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829" activeTab="12"/>
  </bookViews>
  <sheets>
    <sheet name="项目进度" sheetId="26" r:id="rId1"/>
    <sheet name="设计进度安排" sheetId="27" r:id="rId2"/>
    <sheet name="测评" sheetId="28" r:id="rId3"/>
    <sheet name="站外营销" sheetId="29" r:id="rId4"/>
    <sheet name="1.1核心竞争对手调研" sheetId="14" r:id="rId5"/>
    <sheet name="1.2 产品定价" sheetId="13" r:id="rId6"/>
    <sheet name="2.1 销售和库存规划" sheetId="3" r:id="rId7"/>
    <sheet name="2.2 运营策略" sheetId="15" r:id="rId8"/>
    <sheet name=" 3.1 ASIN数据" sheetId="22" r:id="rId9"/>
    <sheet name="3.2 关键词数据" sheetId="23" r:id="rId10"/>
    <sheet name="3.3 广告数据" sheetId="18" r:id="rId11"/>
    <sheet name="4.1 关键词原始数据" sheetId="19" r:id="rId12"/>
    <sheet name="4.2 产品详情原始数据" sheetId="25" r:id="rId13"/>
  </sheets>
  <calcPr calcId="191029" concurrentCalc="0"/>
  <pivotCaches>
    <pivotCache cacheId="0" r:id="rId17"/>
    <pivotCache cacheId="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A5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自动广告 预算$20 Bid $1.2</t>
        </r>
      </text>
    </comment>
  </commentList>
</comments>
</file>

<file path=xl/sharedStrings.xml><?xml version="1.0" encoding="utf-8"?>
<sst xmlns="http://schemas.openxmlformats.org/spreadsheetml/2006/main" count="4105" uniqueCount="913">
  <si>
    <t>项目进度计划表</t>
  </si>
  <si>
    <t>一、项目基本情况</t>
  </si>
  <si>
    <t>项目名称</t>
  </si>
  <si>
    <t>英国 扫地机</t>
  </si>
  <si>
    <t>项目编号</t>
  </si>
  <si>
    <t>XXXX-111</t>
  </si>
  <si>
    <t>负责人</t>
  </si>
  <si>
    <t>西悉尼下1</t>
  </si>
  <si>
    <t>执行人</t>
  </si>
  <si>
    <t>西悉尼下3</t>
  </si>
  <si>
    <t>知情人</t>
  </si>
  <si>
    <t>西悉尼下2</t>
  </si>
  <si>
    <t>顾问</t>
  </si>
  <si>
    <t>西悉尼下4</t>
  </si>
  <si>
    <t>二、关键节点图</t>
  </si>
  <si>
    <t>三、项目进度表</t>
  </si>
  <si>
    <t>周</t>
  </si>
  <si>
    <t>休</t>
  </si>
  <si>
    <t>年假</t>
  </si>
  <si>
    <t>版块</t>
  </si>
  <si>
    <t>关键动作</t>
  </si>
  <si>
    <t>PMC
XXX</t>
  </si>
  <si>
    <t>立项开模12.10</t>
  </si>
  <si>
    <t>T0验证12.30</t>
  </si>
  <si>
    <t>修模</t>
  </si>
  <si>
    <t>T1验证1.8</t>
  </si>
  <si>
    <t>签样量产</t>
  </si>
  <si>
    <t>评议营销计划</t>
  </si>
  <si>
    <t>首批原材料下单</t>
  </si>
  <si>
    <t>原材料生产</t>
  </si>
  <si>
    <t>提醒创建X00</t>
  </si>
  <si>
    <t>完成BOM录入系统</t>
  </si>
  <si>
    <t>提醒走Listing流程</t>
  </si>
  <si>
    <t>交货</t>
  </si>
  <si>
    <t>1</t>
  </si>
  <si>
    <t>发货</t>
  </si>
  <si>
    <t>2</t>
  </si>
  <si>
    <t>到货</t>
  </si>
  <si>
    <t>US-1K</t>
  </si>
  <si>
    <t>US-2K</t>
  </si>
  <si>
    <t>DE-1K</t>
  </si>
  <si>
    <t>DE-2K</t>
  </si>
  <si>
    <t>上架</t>
  </si>
  <si>
    <t>审核首单配送费用</t>
  </si>
  <si>
    <t>市场调研</t>
  </si>
  <si>
    <t>了解墙头充电历史容量、同类型产品市场表现等</t>
  </si>
  <si>
    <t>确定产品USP、基础卖点</t>
  </si>
  <si>
    <t>营销计划（销量预估）
李子云</t>
  </si>
  <si>
    <t>初稿（60天计划）</t>
  </si>
  <si>
    <t>内部会议、修改</t>
  </si>
  <si>
    <t>第一次会议-AAA</t>
  </si>
  <si>
    <t>营销计划修改</t>
  </si>
  <si>
    <t>营销计划定稿</t>
  </si>
  <si>
    <t>图片：主副图、A+
XXX</t>
  </si>
  <si>
    <t>图片需求调研</t>
  </si>
  <si>
    <t>运营头脑风暴确定图片需求</t>
  </si>
  <si>
    <t>图片需求同频给设计</t>
  </si>
  <si>
    <t>设计出草图方案</t>
  </si>
  <si>
    <t>运营、设计一起进行草图评议</t>
  </si>
  <si>
    <t>草图修改后最终确认</t>
  </si>
  <si>
    <t>设计下渲染图</t>
  </si>
  <si>
    <t>渲染图给运营、设计看质感和角度（群沟通）</t>
  </si>
  <si>
    <t>第一版稿设计输出(主图一张）给运营确定</t>
  </si>
  <si>
    <t>渲染输出成品给设计</t>
  </si>
  <si>
    <t>设计精修排版（一套）</t>
  </si>
  <si>
    <t>输出一套给到运营：增加文案+调整</t>
  </si>
  <si>
    <t>主副图最终交稿</t>
  </si>
  <si>
    <t>A+图设计精修排版（一套）</t>
  </si>
  <si>
    <t>A+图输出一套给运营：增加文案+调整</t>
  </si>
  <si>
    <t>A+最终交稿</t>
  </si>
  <si>
    <t>文案：标题、五点、图片文案、长描、ST</t>
  </si>
  <si>
    <t>关键词、流量词调研</t>
  </si>
  <si>
    <t>卖点调研（结合国内外）</t>
  </si>
  <si>
    <t>卖点最终确认会议</t>
  </si>
  <si>
    <t>关键词、市调报告、主要卖点给客服</t>
  </si>
  <si>
    <t>标题、五点第一版-给客服</t>
  </si>
  <si>
    <t>标题、五点文案第一次会议</t>
  </si>
  <si>
    <t>标题、五点修改及二次会议</t>
  </si>
  <si>
    <t>标题、五点给本土人修改</t>
  </si>
  <si>
    <t>标题、五点三次评议</t>
  </si>
  <si>
    <t>标题、五点上级评议及定稿</t>
  </si>
  <si>
    <t>产品信息、长描、ST第一版</t>
  </si>
  <si>
    <t>产品信息、长描、ST评议及修改</t>
  </si>
  <si>
    <t>产品信息、长描、ST定稿</t>
  </si>
  <si>
    <t>QA&amp;RV
XXX</t>
  </si>
  <si>
    <t>QA&amp;RV市场调研</t>
  </si>
  <si>
    <t>确认QA、RV拍摄主题</t>
  </si>
  <si>
    <t>拍摄QA、RV</t>
  </si>
  <si>
    <t>QA及RV图片&amp;视频草图评议</t>
  </si>
  <si>
    <t>QA及RV图片&amp;视频补拍及草图定稿</t>
  </si>
  <si>
    <t>输出QA剪辑需求及视频文案</t>
  </si>
  <si>
    <t>QA提交视频、文案给设计剪辑</t>
  </si>
  <si>
    <t>QA二次评议及修改</t>
  </si>
  <si>
    <t>QA视频定稿</t>
  </si>
  <si>
    <t>QA&amp;RV文案撰写</t>
  </si>
  <si>
    <t>QA&amp;RV文案评议</t>
  </si>
  <si>
    <t>RV文案修改及定稿</t>
  </si>
  <si>
    <t>推广
XXX</t>
  </si>
  <si>
    <t>测评需求对接推广负责人员</t>
  </si>
  <si>
    <t>红人需求对接推广负责人员</t>
  </si>
  <si>
    <t>测评及红人计划表</t>
  </si>
  <si>
    <t>测评及红人资源预约</t>
  </si>
  <si>
    <t>测评预约情况同频（例会前）</t>
  </si>
  <si>
    <t>红人寄送样品及视频制作</t>
  </si>
  <si>
    <t>红人视频上传</t>
  </si>
  <si>
    <t>红人视频前台显示</t>
  </si>
  <si>
    <t>买家秀及RV文案评议</t>
  </si>
  <si>
    <t>买家秀交付（根据S22发布进行时间顺移）</t>
  </si>
  <si>
    <t>开始测评下单</t>
  </si>
  <si>
    <t>直评前台显评（2）</t>
  </si>
  <si>
    <t>测评前台显评（2）</t>
  </si>
  <si>
    <t>测评显评节奏</t>
  </si>
  <si>
    <t>广告框架
XXX</t>
  </si>
  <si>
    <t>广告架构</t>
  </si>
  <si>
    <t>广告架构初稿评议</t>
  </si>
  <si>
    <t>广告架构修改</t>
  </si>
  <si>
    <t>广告框架二次评议</t>
  </si>
  <si>
    <t>广告架构修改及定稿</t>
  </si>
  <si>
    <t>站外营销
XXX</t>
  </si>
  <si>
    <t>确定产品USP(并需要产品实物）</t>
  </si>
  <si>
    <t>寻找对标视频</t>
  </si>
  <si>
    <t>视频评议（确定方向+核对合作表格）</t>
  </si>
  <si>
    <t>寻找红人</t>
  </si>
  <si>
    <t>寄送样品</t>
  </si>
  <si>
    <t xml:space="preserve"> </t>
  </si>
  <si>
    <t>确定收货</t>
  </si>
  <si>
    <t>视频跟进</t>
  </si>
  <si>
    <t>合作视频评议会</t>
  </si>
  <si>
    <t>视频问题修正时间</t>
  </si>
  <si>
    <t>视频发布（折扣有效期3.18-3.27)</t>
  </si>
  <si>
    <t>监测数据至活动结束</t>
  </si>
  <si>
    <t>站外营销图片和文案准备PPT</t>
  </si>
  <si>
    <t>PPT氚云下单</t>
  </si>
  <si>
    <t>所有社媒图片的定稿</t>
  </si>
  <si>
    <r>
      <rPr>
        <sz val="11"/>
        <color theme="1"/>
        <rFont val="微软雅黑"/>
        <charset val="134"/>
      </rPr>
      <t>社媒发布（3.</t>
    </r>
    <r>
      <rPr>
        <sz val="11"/>
        <rFont val="微软雅黑"/>
        <charset val="134"/>
      </rPr>
      <t>18-3.27）</t>
    </r>
  </si>
  <si>
    <t>运营关键节点</t>
  </si>
  <si>
    <t>营销计划1.0</t>
  </si>
  <si>
    <t>营销计划2.0</t>
  </si>
  <si>
    <t>所有文案完成</t>
  </si>
  <si>
    <t>主副图完成</t>
  </si>
  <si>
    <t>A+完成</t>
  </si>
  <si>
    <t>买家秀完成</t>
  </si>
  <si>
    <t>QA完成</t>
  </si>
  <si>
    <t>广告框架完成</t>
  </si>
  <si>
    <t>上传所有文案</t>
  </si>
  <si>
    <t>上传主副图</t>
  </si>
  <si>
    <t>上传A+</t>
  </si>
  <si>
    <t>上传QA</t>
  </si>
  <si>
    <t>4Q</t>
  </si>
  <si>
    <t>4A</t>
  </si>
  <si>
    <t>后台建立广告组</t>
  </si>
  <si>
    <t>设计出图项目周期管理表</t>
  </si>
  <si>
    <t>项目决策权：XXX 负责人：XX 参与人员 XX</t>
  </si>
  <si>
    <t>1月</t>
  </si>
  <si>
    <t>2月</t>
  </si>
  <si>
    <t>项目</t>
  </si>
  <si>
    <t>任务内容</t>
  </si>
  <si>
    <t>开始日期</t>
  </si>
  <si>
    <t>完成日期</t>
  </si>
  <si>
    <t xml:space="preserve">利益干系人 </t>
  </si>
  <si>
    <t>准备期</t>
  </si>
  <si>
    <t>方案确定期</t>
  </si>
  <si>
    <t>出图中期</t>
  </si>
  <si>
    <t>调整期后期</t>
  </si>
  <si>
    <t>XXX-111</t>
  </si>
  <si>
    <t>主图</t>
  </si>
  <si>
    <t xml:space="preserve">3D模型确定，拿样品 </t>
  </si>
  <si>
    <t>xxx</t>
  </si>
  <si>
    <t>202/1/8</t>
  </si>
  <si>
    <t>项目启动会议</t>
  </si>
  <si>
    <t>202/1/10</t>
  </si>
  <si>
    <t>运营输出需求PPT对接（USP/功能卖点）</t>
  </si>
  <si>
    <t>设计出草图方案-第一版</t>
  </si>
  <si>
    <t>设计运营一起讨论确定草图方案-第二版</t>
  </si>
  <si>
    <t>渲染出主图给设计，确定质感和角度（群沟通）</t>
  </si>
  <si>
    <t>输出一套给到运营-增加文案+调整</t>
  </si>
  <si>
    <t>全员参与</t>
  </si>
  <si>
    <t>最终交稿（主副）</t>
  </si>
  <si>
    <t>A+</t>
  </si>
  <si>
    <t xml:space="preserve">A+终稿 </t>
  </si>
  <si>
    <t>开会确定</t>
  </si>
  <si>
    <r>
      <rPr>
        <b/>
        <sz val="11"/>
        <color rgb="FF0070C0"/>
        <rFont val="华文黑体"/>
        <charset val="134"/>
      </rPr>
      <t>蓝色</t>
    </r>
    <r>
      <rPr>
        <sz val="11"/>
        <rFont val="华文黑体"/>
        <charset val="134"/>
      </rPr>
      <t>为工作日，</t>
    </r>
    <r>
      <rPr>
        <b/>
        <sz val="11"/>
        <color rgb="FFFFC000"/>
        <rFont val="华文黑体"/>
        <charset val="134"/>
      </rPr>
      <t>黄色</t>
    </r>
    <r>
      <rPr>
        <sz val="11"/>
        <rFont val="华文黑体"/>
        <charset val="134"/>
      </rPr>
      <t>为休息日，</t>
    </r>
    <r>
      <rPr>
        <b/>
        <sz val="11"/>
        <color rgb="FFFF0000"/>
        <rFont val="华文黑体"/>
        <charset val="134"/>
      </rPr>
      <t>红色</t>
    </r>
    <r>
      <rPr>
        <sz val="11"/>
        <rFont val="华文黑体"/>
        <charset val="134"/>
      </rPr>
      <t>为评议日
全员参与：全员参与评议，由负责人组织，全员讨论，最终有项目决策人决策</t>
    </r>
  </si>
  <si>
    <t xml:space="preserve"> MEIG+SHEJI</t>
  </si>
  <si>
    <t>链接</t>
  </si>
  <si>
    <t xml:space="preserve">美国
</t>
  </si>
  <si>
    <t>板块</t>
  </si>
  <si>
    <t>测评下单</t>
  </si>
  <si>
    <t>优质评论：文字+7图</t>
  </si>
  <si>
    <t>TOP：文字+5图+1视频</t>
  </si>
  <si>
    <t>2个优质评论（文字+7图*2）</t>
  </si>
  <si>
    <t>1个优质评论（文字+5图+1视频）+1个优质评论（文字+7图）</t>
  </si>
  <si>
    <t>1个优质评论（文字+5图）+1个优质评论（文字+7图）</t>
  </si>
  <si>
    <t>普评（20个）推广14个，运营6个</t>
  </si>
  <si>
    <t>2（运营）</t>
  </si>
  <si>
    <t>显评</t>
  </si>
  <si>
    <t>普评（14个）</t>
  </si>
  <si>
    <t>备注</t>
  </si>
  <si>
    <t>1. 推广：10（优质）+15（普评）
2. Profile要求
-10个优质：9（100w）+1TOP（10万以内）
-Profile不可有XXX的产品
-15个普评：Profile不可超过2个XXX的产品
-所有测评人的Profile不可空白
3. 不可一测二
4. 普评说明
-运营需要确定15个普评的主题
-有10个普评的文案运营写，字数在300字以内，可以跟顾客提一下附上3-5张图片，但不强求。
-另外5个普评的文案只给顾客提供主题，让顾客自由发挥，图片同样是3-5图，但不强求。</t>
  </si>
  <si>
    <t>说明</t>
  </si>
  <si>
    <t>XXX产品系列项目时间节点图(市场营销）</t>
  </si>
  <si>
    <t>市场合作计划表</t>
  </si>
  <si>
    <t>平台</t>
  </si>
  <si>
    <t>产品USP</t>
  </si>
  <si>
    <t>XXX</t>
  </si>
  <si>
    <t>真机</t>
  </si>
  <si>
    <t>机模4个</t>
  </si>
  <si>
    <t>红人时长</t>
  </si>
  <si>
    <t>3-5分钟</t>
  </si>
  <si>
    <t>合作方式</t>
  </si>
  <si>
    <t>健身、户外运动、开箱</t>
  </si>
  <si>
    <t>视频类型</t>
  </si>
  <si>
    <t>每个人介绍2个型号S22/S22U</t>
  </si>
  <si>
    <t>红人合作数量</t>
  </si>
  <si>
    <t>2个</t>
  </si>
  <si>
    <t>红人级别</t>
  </si>
  <si>
    <t>YT——xxxx粉+</t>
  </si>
  <si>
    <t>红人预算</t>
  </si>
  <si>
    <t>200$</t>
  </si>
  <si>
    <t>红人佣金</t>
  </si>
  <si>
    <t>$1/单</t>
  </si>
  <si>
    <t xml:space="preserve">链接放置位置：
</t>
  </si>
  <si>
    <t>视频下方</t>
  </si>
  <si>
    <t>链接放置时间（以美国东部时间为准）</t>
  </si>
  <si>
    <t>3月18上链接</t>
  </si>
  <si>
    <t>链接落地页</t>
  </si>
  <si>
    <r>
      <rPr>
        <sz val="12"/>
        <color theme="1"/>
        <rFont val="宋体"/>
        <charset val="134"/>
        <scheme val="minor"/>
      </rPr>
      <t>产品页</t>
    </r>
    <r>
      <rPr>
        <b/>
        <sz val="12"/>
        <color rgb="FFFF0000"/>
        <rFont val="宋体"/>
        <charset val="134"/>
        <scheme val="minor"/>
      </rPr>
      <t>(流量风险)</t>
    </r>
  </si>
  <si>
    <t>产品折扣</t>
  </si>
  <si>
    <t>2个人，4个折扣码，折扣有效期10天</t>
  </si>
  <si>
    <t>折扣使用范围</t>
  </si>
  <si>
    <t>指定产品</t>
  </si>
  <si>
    <t>目标单量</t>
  </si>
  <si>
    <t>模块</t>
  </si>
  <si>
    <t>红人营销</t>
  </si>
  <si>
    <t>寻找红人+寄送样品</t>
  </si>
  <si>
    <t>社媒</t>
  </si>
  <si>
    <t>⭐站外营销图片和文案准备PPT</t>
  </si>
  <si>
    <t>下单</t>
  </si>
  <si>
    <r>
      <rPr>
        <sz val="14"/>
        <color theme="1"/>
        <rFont val="宋体"/>
        <charset val="134"/>
        <scheme val="minor"/>
      </rPr>
      <t>社媒发布</t>
    </r>
    <r>
      <rPr>
        <b/>
        <sz val="14"/>
        <color rgb="FFFF0000"/>
        <rFont val="宋体"/>
        <charset val="134"/>
        <scheme val="minor"/>
      </rPr>
      <t>3月18-3月27</t>
    </r>
  </si>
  <si>
    <t>变体形式</t>
  </si>
  <si>
    <t>ASIN</t>
  </si>
  <si>
    <t>品牌</t>
  </si>
  <si>
    <t>图片</t>
  </si>
  <si>
    <t>卖点提炼</t>
  </si>
  <si>
    <t>销售价格</t>
  </si>
  <si>
    <t>尺寸信息</t>
  </si>
  <si>
    <t>FBA配送费</t>
  </si>
  <si>
    <t>reviews星级</t>
  </si>
  <si>
    <t>reviews数量</t>
  </si>
  <si>
    <t>类目</t>
  </si>
  <si>
    <t>review内容分析</t>
  </si>
  <si>
    <t>QA内容分析</t>
  </si>
  <si>
    <t>历史销售数据</t>
  </si>
  <si>
    <t>产品总结</t>
  </si>
  <si>
    <t>1.尺寸对比-分析配送费，优化价格 
2.对比五点，找出共同描述的点，找出自己产品的差异点 
3.查看星级 -是否需要控评 
4.review数量-预估上评数量  
5.reviews布局- 图片review内容（室内or室外），文字review内容（尺寸，材质，颜色，款式，质量），是否中评卡位  
6.对比售价，定位自家价格  
7.对比排名情况，设定目标 
8.关键词分析</t>
  </si>
  <si>
    <t>产品采购信息</t>
  </si>
  <si>
    <t>产品型号</t>
  </si>
  <si>
    <t>每箱毛重</t>
  </si>
  <si>
    <t>每箱体积</t>
  </si>
  <si>
    <t>每箱数量</t>
  </si>
  <si>
    <t>头程运费</t>
  </si>
  <si>
    <t>产品采购成本</t>
  </si>
  <si>
    <t>XXXX-222</t>
  </si>
  <si>
    <t>产品信息</t>
  </si>
  <si>
    <t>亚马逊销售核算公式</t>
  </si>
  <si>
    <t>货号/品名</t>
  </si>
  <si>
    <t>英文品名</t>
  </si>
  <si>
    <t>产品型号
Model No.</t>
  </si>
  <si>
    <t>类目佣金</t>
  </si>
  <si>
    <t>产品成本</t>
  </si>
  <si>
    <t>毛利润</t>
  </si>
  <si>
    <t>毛利润率</t>
  </si>
  <si>
    <t>XXXXX</t>
  </si>
  <si>
    <t>退货</t>
  </si>
  <si>
    <t>广告</t>
  </si>
  <si>
    <t>30天</t>
  </si>
  <si>
    <t>仓储成本</t>
  </si>
  <si>
    <t>500个</t>
  </si>
  <si>
    <t>日期</t>
  </si>
  <si>
    <t>每日销量目标</t>
  </si>
  <si>
    <t>目标剩余库存</t>
  </si>
  <si>
    <t>实际每日销量</t>
  </si>
  <si>
    <t>实际剩余库存</t>
  </si>
  <si>
    <t>实际售价</t>
  </si>
  <si>
    <t>单个利润</t>
  </si>
  <si>
    <t>利润</t>
  </si>
  <si>
    <t>实际广告成本</t>
  </si>
  <si>
    <t>每日销量完成率</t>
  </si>
  <si>
    <t>实际利润</t>
  </si>
  <si>
    <t>2026.8.23</t>
  </si>
  <si>
    <t>2026.8.24</t>
  </si>
  <si>
    <t>2026.8.25</t>
  </si>
  <si>
    <t>2026.8.26</t>
  </si>
  <si>
    <t>2026.8.27</t>
  </si>
  <si>
    <t>2026.8.28</t>
  </si>
  <si>
    <t>2026.8.29</t>
  </si>
  <si>
    <t>2026.8.30</t>
  </si>
  <si>
    <t>2026.8.31</t>
  </si>
  <si>
    <t>2026.9.1</t>
  </si>
  <si>
    <t>2026.9.2</t>
  </si>
  <si>
    <t>2026.9.3</t>
  </si>
  <si>
    <t>2026.9.4</t>
  </si>
  <si>
    <t>2026.9.5</t>
  </si>
  <si>
    <t>2026.9.6</t>
  </si>
  <si>
    <t>2026.9.7</t>
  </si>
  <si>
    <t>2026.9.8</t>
  </si>
  <si>
    <t>2026.9.9</t>
  </si>
  <si>
    <t>2026.9.10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</si>
  <si>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</si>
  <si>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</si>
  <si>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</si>
  <si>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</si>
  <si>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</si>
  <si>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</si>
  <si>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</si>
  <si>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</si>
  <si>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</si>
  <si>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</si>
  <si>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</si>
  <si>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</si>
  <si>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</si>
  <si>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</si>
  <si>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</si>
  <si>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</si>
  <si>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</si>
  <si>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</si>
  <si>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</si>
  <si>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</si>
  <si>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</si>
  <si>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</si>
  <si>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</si>
  <si>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</si>
  <si>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</si>
  <si>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</si>
  <si>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</si>
  <si>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</si>
  <si>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</si>
  <si>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</si>
  <si>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</si>
  <si>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</si>
  <si>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</si>
  <si>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</si>
  <si>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</si>
  <si>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</si>
  <si>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</si>
  <si>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</si>
  <si>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</si>
  <si>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</si>
  <si>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</si>
  <si>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</si>
  <si>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</si>
  <si>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</si>
  <si>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</si>
  <si>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</si>
  <si>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</si>
  <si>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</si>
  <si>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</si>
  <si>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</si>
  <si>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</si>
  <si>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变体合并策略</t>
  </si>
  <si>
    <t>执行细节及实际情况</t>
  </si>
  <si>
    <t>整体推广策略</t>
  </si>
  <si>
    <t>使用指南</t>
  </si>
  <si>
    <t>XXXX-111和XXXX-222合并
使用颜色进行合并
XXXXX等细节</t>
  </si>
  <si>
    <t>记录情况:8.18号 变体合并成功</t>
  </si>
  <si>
    <t>1、XXXX-111和XXXX-222 先开自动广告测款定主推款
3、推广节奏
第一阶段：Listing校验----自动广告
第二阶段：变体策略验证，  提升关键词排序---手动广告， 站外
第三阶段：提升订单量和关键词排序</t>
  </si>
  <si>
    <t>1、根据实际运营情况，每周对整体推广策略进行调整
2、基于上周运营表现，对下一周的核心目标、运营措施等进行更新调整并执行
3、记录运营数据到板块3</t>
  </si>
  <si>
    <t>主推款运营框架</t>
  </si>
  <si>
    <t>次推款运营框架</t>
  </si>
  <si>
    <t>【时间节点】</t>
  </si>
  <si>
    <t>第一阶段：9月第一周</t>
  </si>
  <si>
    <t>【核心目标】</t>
  </si>
  <si>
    <t>1.校正Listing的准确性， 完成LISTING基础收录，积累基础权重
2. 测词， 测款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</si>
  <si>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1. 8.23号， 开自动广告， 预算$20， Bid $1.2
</t>
    </r>
    <r>
      <rPr>
        <b/>
        <sz val="12"/>
        <color rgb="FF000000"/>
        <rFont val="微软雅黑"/>
        <charset val="134"/>
      </rPr>
      <t>【核心指标情况】</t>
    </r>
    <r>
      <rPr>
        <sz val="12"/>
        <color rgb="FF000000"/>
        <rFont val="微软雅黑"/>
        <charset val="134"/>
      </rPr>
      <t xml:space="preserve">
1. 预算$20 能花完，展示量正常，整体点击率0.17%，偏低， 每日访客数在30-40，呈递增趋势，转化率7.88%正常
2. 广告展示量主要在商品页面， 预算花费在商品页面最多， 结合投放来看， 花费主要分布在紧密匹配和宽泛匹配， 说明目前市场上的竞品还不多
3. 从用户搜索词看， 目前主要也是跑的关键词，ASIN少。 关键词与我们Listing定位的关键词非常匹配， 主要是XXXXXXXXXXXX等相关词
，与我们Listing的定位一致
4. 虽然看不到广告展示位， 但是关键词自然排序位置靠前， 可以继续按照现在的自动广告跑。
</t>
    </r>
    <r>
      <rPr>
        <b/>
        <sz val="12"/>
        <color rgb="FF000000"/>
        <rFont val="微软雅黑"/>
        <charset val="134"/>
      </rPr>
      <t>【遇到问题及后续计划】</t>
    </r>
    <r>
      <rPr>
        <sz val="12"/>
        <color rgb="FF000000"/>
        <rFont val="微软雅黑"/>
        <charset val="134"/>
      </rPr>
      <t xml:space="preserve">
问题： 
1. 进一步提升关键词自然排序和订单量
2. 预算花费很分散， 现在没有特别热销的ASIN
计划：
1. 预算增加到$30
2. 自动广告中关掉同类商品和关联商品。</t>
    </r>
  </si>
  <si>
    <t xml:space="preserve">【执行细节】
1. 8.23号， 开自动广告， 预算$20， Bid $1.2
【核心指标情况】
1. 预算$20能花完， 展示量偏低， 点击率正常， 转化率正常
2. 广告位来看， 广告主要展示在商品页面，预算主要花费在搜索结果其余位置， 从投放来看， 预算主要分配在紧密匹配和宽泛匹配， 说明现在竞品还不多。
3.看不到广告位
4. 用户搜索词： 主要是跑的一些跟xxxx相关的关键词，，与我们Listing的定位一致
5. 从关键词排序上看， XXXX-111主要在XXXXXX下有排序， 跟XXXX-222关键词排序形成互补， 所以目前XXXX-111和XXXX-222的自然广告都可以开。 
【遇到问题及后续计划】
问题：
1.  进一步提升关键词自然排序和订单量
2. 预算花费很分散， 现在没有特别热销的ASIN，跑了很多长尾词
计划：
1. 预算增加到$30， Bid提高到$1.5
2. 自动广告中关掉同类商品和关联商品。 </t>
  </si>
  <si>
    <t>【本阶段运营措施】</t>
  </si>
  <si>
    <t xml:space="preserve">广告策略： 开自动广告
价格策略： 
站外策略:
</t>
  </si>
  <si>
    <t>【重点跟进关注指标】</t>
  </si>
  <si>
    <t xml:space="preserve">1.Listing资料定位准确
2. 跑出的关键词与我们定位的关键词一致
3.广告曝光量正常
4. 关注核心关键词的排序， 广告位置展示
</t>
  </si>
  <si>
    <t>【指标变动后的应对策略】</t>
  </si>
  <si>
    <t xml:space="preserve">1. 关键词排序提升， 订单量增长， 广告继续这也跑， 直到每日订单量20， 逐渐减少广告预算， 靠关键词自然位出单
2. 关键词排序和订单量没有增长， 那我们集中预算主要跑核心关键词，关闭同类商品和关联商品
</t>
  </si>
  <si>
    <t>第二阶段：9月第二周</t>
  </si>
  <si>
    <t>提升关键词排序占据流量坑位</t>
  </si>
  <si>
    <r>
      <rPr>
        <sz val="12"/>
        <color rgb="FF000000"/>
        <rFont val="微软雅黑"/>
        <charset val="134"/>
      </rPr>
      <t xml:space="preserve">【执行细节】
1. 9.7号 优化listing
【核心指标情况】
1. 订单量增长明显
2. 关键词XXXXXXXXXX P3， XXXXXXXX P1， 关键词位置提升明显
【遇到问题及后续计划】
</t>
    </r>
    <r>
      <rPr>
        <b/>
        <sz val="12"/>
        <color rgb="FF000000"/>
        <rFont val="微软雅黑"/>
        <charset val="134"/>
      </rPr>
      <t>问题</t>
    </r>
    <r>
      <rPr>
        <sz val="12"/>
        <color rgb="FF000000"/>
        <rFont val="微软雅黑"/>
        <charset val="134"/>
      </rPr>
      <t xml:space="preserve">： 
1.出现了一个3星rating， 影响订单量
</t>
    </r>
    <r>
      <rPr>
        <b/>
        <sz val="12"/>
        <color rgb="FF000000"/>
        <rFont val="微软雅黑"/>
        <charset val="134"/>
      </rPr>
      <t>计划</t>
    </r>
    <r>
      <rPr>
        <sz val="12"/>
        <color rgb="FF000000"/>
        <rFont val="微软雅黑"/>
        <charset val="134"/>
      </rPr>
      <t>： 
1. 与其他链接合并，解决评论的问题</t>
    </r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</si>
  <si>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1. 9.6号 关闭自动广告
2. 9.7号  优化listing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1. 订单量增长明显， 关闭自动广告后 ， 订单量有下降
2. 关键词XXXXXXXX 排序在P3-P4， 变化不大
</t>
    </r>
    <r>
      <rPr>
        <b/>
        <sz val="12"/>
        <color rgb="FF000000"/>
        <rFont val="微软雅黑"/>
        <charset val="134"/>
      </rPr>
      <t xml:space="preserve">
【遇到问题及后续计划】</t>
    </r>
  </si>
  <si>
    <t xml:space="preserve">1. 优化Listing标题， 资料文案， 让关键词跑出 XXXXXXXXXXXXX
</t>
  </si>
  <si>
    <t>1. 优化Listing标题， 资料文案， 让关键词跑出 XXXXXXXX
2. 关闭自动广告</t>
  </si>
  <si>
    <t>【重点关注指标】</t>
  </si>
  <si>
    <t>1. 订单量的增长
2. 关键词排序的变化</t>
  </si>
  <si>
    <t xml:space="preserve">
</t>
  </si>
  <si>
    <t>第三阶段：9月第三周</t>
  </si>
  <si>
    <t>推动关键词排序进一步增长，抢占更靠前位置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</si>
  <si>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9.13号 关闭自动广告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>1.订单量能够稳住， 并有增长
2. 关键词自然排序XXXXXXX 在P2， XXXXXXX在P1 能够稳住
3. 访客数也在增长</t>
    </r>
    <r>
      <rPr>
        <b/>
        <sz val="12"/>
        <color rgb="FF000000"/>
        <rFont val="微软雅黑"/>
        <charset val="134"/>
      </rPr>
      <t xml:space="preserve">
【遇到问题及后续计划】
计划：
</t>
    </r>
    <r>
      <rPr>
        <sz val="12"/>
        <color rgb="FF000000"/>
        <rFont val="微软雅黑"/>
        <charset val="134"/>
      </rPr>
      <t>XXXX-111 涨价</t>
    </r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</si>
  <si>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XXX。</t>
    </r>
  </si>
  <si>
    <t>广告策略： 关闭自动广告， 靠自然出单</t>
  </si>
  <si>
    <t>1. 订单量的变化
2. 关键词排序的变化</t>
  </si>
  <si>
    <t>第四阶段：9月第四周</t>
  </si>
  <si>
    <t>保证每日单量 整个链接40+， 提价做利润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</si>
  <si>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9.17 号 XXXX-111 涨价 $13.99--$15.99
9.19号 XXXX-111 涨价 $15.99-$16.99
XXXX-222 涨价 $13.99-$14.99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1.订单量能够稳住， 并有增长
2. 关键词自然排序XXXXXXXXX 在P2， XXXXXXXX在P1 能够稳住
3. 访客数也在增长
</t>
    </r>
    <r>
      <rPr>
        <b/>
        <sz val="12"/>
        <color rgb="FF000000"/>
        <rFont val="微软雅黑"/>
        <charset val="134"/>
      </rPr>
      <t xml:space="preserve">
【遇到问题及后续计划】</t>
    </r>
  </si>
  <si>
    <t>例：保持库存动销，避免库存积压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</si>
  <si>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XXXX</t>
    </r>
  </si>
  <si>
    <t>价格策略：9.17 号 XXXX-111 涨价 $13.99--$15.99
9.19号 XXXX-111 涨价 $15.99-$16.99
XXXX-222 涨价 $13.99-$14.99</t>
  </si>
  <si>
    <t>第五阶段：10月第一周</t>
  </si>
  <si>
    <t>例：保持每日XX销量，视情况提价释放利润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</si>
  <si>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【遇到问题及后续计划】
</t>
    </r>
    <r>
      <rPr>
        <sz val="12"/>
        <color rgb="FF000000"/>
        <rFont val="微软雅黑"/>
        <charset val="134"/>
      </rPr>
      <t>XXX</t>
    </r>
  </si>
  <si>
    <t>例：转化主推款流量，保持动销</t>
  </si>
  <si>
    <t>第六阶段：10月第二周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</si>
  <si>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</t>
    </r>
  </si>
  <si>
    <t>分析指南</t>
  </si>
  <si>
    <t>1、关注数据重点：整个链接的整体数据规模到了什么程度？哪些指标需要重点分析？
2、关注产品重点：主推款与次推款之间的数据占比如何？变体之间是否出现任何异常情况？
3、关注工作重点：下阶段的工作重点是什么？如何帮助我们更好完成目标？后续需要重点关注哪些指标？</t>
  </si>
  <si>
    <t>主推款SKU</t>
  </si>
  <si>
    <t>ASIN1</t>
  </si>
  <si>
    <t>次推款SKU</t>
  </si>
  <si>
    <t>ASIN2</t>
  </si>
  <si>
    <t>销量</t>
  </si>
  <si>
    <t>SESSION</t>
  </si>
  <si>
    <t>销量转化率</t>
  </si>
  <si>
    <t>价格变动</t>
  </si>
  <si>
    <t>运营细节备注</t>
  </si>
  <si>
    <t>总SESSION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</si>
  <si>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</si>
  <si>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</si>
  <si>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</si>
  <si>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</si>
  <si>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</si>
  <si>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</si>
  <si>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</si>
  <si>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</si>
  <si>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</si>
  <si>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</si>
  <si>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</si>
  <si>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</si>
  <si>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</si>
  <si>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</si>
  <si>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</si>
  <si>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</si>
  <si>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</si>
  <si>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</si>
  <si>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</si>
  <si>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</si>
  <si>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</si>
  <si>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</si>
  <si>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</si>
  <si>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</si>
  <si>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</si>
  <si>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</si>
  <si>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</si>
  <si>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</si>
  <si>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</si>
  <si>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</si>
  <si>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</si>
  <si>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</si>
  <si>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</si>
  <si>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</si>
  <si>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</si>
  <si>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</si>
  <si>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</si>
  <si>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</si>
  <si>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</si>
  <si>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</si>
  <si>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</si>
  <si>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</si>
  <si>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</si>
  <si>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</si>
  <si>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</si>
  <si>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</si>
  <si>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</si>
  <si>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</si>
  <si>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</si>
  <si>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</si>
  <si>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</si>
  <si>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</si>
  <si>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</si>
  <si>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</si>
  <si>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求和项:Sessions-Total</t>
  </si>
  <si>
    <t>MSKU</t>
  </si>
  <si>
    <t>时间</t>
  </si>
  <si>
    <t>总计</t>
  </si>
  <si>
    <t>2022-08-20</t>
  </si>
  <si>
    <t>2022-08-21</t>
  </si>
  <si>
    <t>2022-08-22</t>
  </si>
  <si>
    <t>求和项:销量</t>
  </si>
  <si>
    <t>求和项:销量CVR</t>
  </si>
  <si>
    <r>
      <rPr>
        <sz val="12"/>
        <rFont val="宋体"/>
        <charset val="134"/>
      </rPr>
      <t>辅助列</t>
    </r>
  </si>
  <si>
    <t>关键词1</t>
  </si>
  <si>
    <t>关键词2</t>
  </si>
  <si>
    <t>关键词3</t>
  </si>
  <si>
    <t>关键词4</t>
  </si>
  <si>
    <t>广告位</t>
  </si>
  <si>
    <t>自然位</t>
  </si>
  <si>
    <t>8月31日上午</t>
  </si>
  <si>
    <t>8月31日晚上</t>
  </si>
  <si>
    <t>9月1日上午</t>
  </si>
  <si>
    <t>9月1日晚上</t>
  </si>
  <si>
    <t>9月2日上午</t>
  </si>
  <si>
    <t>9月2日晚上</t>
  </si>
  <si>
    <t>9月3日上午</t>
  </si>
  <si>
    <t>9月4日晚上</t>
  </si>
  <si>
    <t>9月5日上午</t>
  </si>
  <si>
    <t>9月6日晚上</t>
  </si>
  <si>
    <t>9月7日上午</t>
  </si>
  <si>
    <t>9月7日晚上</t>
  </si>
  <si>
    <t>9月8日上午</t>
  </si>
  <si>
    <t>9月8日晚上</t>
  </si>
  <si>
    <t>9月9日上午</t>
  </si>
  <si>
    <t>9月9日晚上</t>
  </si>
  <si>
    <t>9月10日上午</t>
  </si>
  <si>
    <t>9月10日晚上</t>
  </si>
  <si>
    <t>9月11日上午</t>
  </si>
  <si>
    <t>9月11日晚上</t>
  </si>
  <si>
    <t>9月12日上午</t>
  </si>
  <si>
    <t>9月12日晚上</t>
  </si>
  <si>
    <t>9月13日上午</t>
  </si>
  <si>
    <t>9月13日晚上</t>
  </si>
  <si>
    <t>9月14日上午</t>
  </si>
  <si>
    <t>9月14日晚上</t>
  </si>
  <si>
    <t>9月15日上午</t>
  </si>
  <si>
    <t>9月15日晚上</t>
  </si>
  <si>
    <t>9月16日上午</t>
  </si>
  <si>
    <t>9月16日晚上</t>
  </si>
  <si>
    <t>9月17日上午</t>
  </si>
  <si>
    <t>9月17日晚上</t>
  </si>
  <si>
    <t>9月18日上午</t>
  </si>
  <si>
    <t>9月18日晚上</t>
  </si>
  <si>
    <t>9月19日上午</t>
  </si>
  <si>
    <t>9月19日晚上</t>
  </si>
  <si>
    <t>9月20日上午</t>
  </si>
  <si>
    <t>9月20日晚上</t>
  </si>
  <si>
    <t>9月21日上午</t>
  </si>
  <si>
    <t>9月21日晚上</t>
  </si>
  <si>
    <t>9月22日上午</t>
  </si>
  <si>
    <t>9月22日晚上</t>
  </si>
  <si>
    <t>9月23日上午</t>
  </si>
  <si>
    <t>9月23日晚上</t>
  </si>
  <si>
    <t>9月24日上午</t>
  </si>
  <si>
    <t>9月24日晚上</t>
  </si>
  <si>
    <t>9月26日上午</t>
  </si>
  <si>
    <t>9月26日晚上</t>
  </si>
  <si>
    <t>9月27日上午</t>
  </si>
  <si>
    <t>9月27日晚上</t>
  </si>
  <si>
    <t>9月28日上午</t>
  </si>
  <si>
    <t>9月28日晚上</t>
  </si>
  <si>
    <t>9月29日上午</t>
  </si>
  <si>
    <t>9月29日晚上</t>
  </si>
  <si>
    <t>9月30日上午</t>
  </si>
  <si>
    <t>9月30日晚上</t>
  </si>
  <si>
    <t>10月1日晚上</t>
  </si>
  <si>
    <t>10月2日晚上</t>
  </si>
  <si>
    <t>10月3日晚上</t>
  </si>
  <si>
    <t>10月4日晚上</t>
  </si>
  <si>
    <t>10月5日晚上</t>
  </si>
  <si>
    <t>10月6日上午</t>
  </si>
  <si>
    <t>10月6日晚上</t>
  </si>
  <si>
    <t>10月7日上午</t>
  </si>
  <si>
    <t>10月7日晚上</t>
  </si>
  <si>
    <t>10月8日上午</t>
  </si>
  <si>
    <t>10月8日晚上</t>
  </si>
  <si>
    <t>10月9日上午</t>
  </si>
  <si>
    <t>10月9日晚上</t>
  </si>
  <si>
    <t>10月10日上午</t>
  </si>
  <si>
    <t>10月10日晚上</t>
  </si>
  <si>
    <t>10月11日上午</t>
  </si>
  <si>
    <t>10月11日晚上</t>
  </si>
  <si>
    <t>10月12日上午</t>
  </si>
  <si>
    <t>10月12日晚上</t>
  </si>
  <si>
    <t>10月13日上午</t>
  </si>
  <si>
    <t>10月13日晚上</t>
  </si>
  <si>
    <t>10月14日上午</t>
  </si>
  <si>
    <t>10月14日晚上</t>
  </si>
  <si>
    <t>10月15日上午</t>
  </si>
  <si>
    <t>10月15日晚上</t>
  </si>
  <si>
    <t>1、发现问题：整体数据是否正常且符合预期，对主推SKU做重点分析，次推SKU做简要总结（花费、展示位置、搜索词、是否有特殊情况等）
2、业务优化：广告结构是否需要进行一定的优化？
3、数据跟踪：后续应当关注哪些重点指标？（如关键词排序、曝光量、曝光位置等）
4、展示位、搜索词等辅助信息，在分析时如果需要再截取，不要每个SKU每个广告组都截</t>
  </si>
  <si>
    <t>广告总花费</t>
  </si>
  <si>
    <t>广告展示量</t>
  </si>
  <si>
    <t>广告点击量</t>
  </si>
  <si>
    <t>广告点击率</t>
  </si>
  <si>
    <t>广告订单量</t>
  </si>
  <si>
    <t>广告转化率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</si>
  <si>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</si>
  <si>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</si>
  <si>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</si>
  <si>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</si>
  <si>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</si>
  <si>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</si>
  <si>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</si>
  <si>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</si>
  <si>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</si>
  <si>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2026-09-1</t>
  </si>
  <si>
    <t>2026-09-2</t>
  </si>
  <si>
    <t>2026-09-3</t>
  </si>
  <si>
    <t>2026-09-4</t>
  </si>
  <si>
    <t>2026-09-5</t>
  </si>
  <si>
    <t>2026-09-6</t>
  </si>
  <si>
    <t>2026-09-7</t>
  </si>
  <si>
    <t>2026-09-8</t>
  </si>
  <si>
    <t>2026-09-9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</si>
  <si>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</si>
  <si>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</si>
  <si>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</si>
  <si>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</si>
  <si>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</si>
  <si>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</si>
  <si>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</si>
  <si>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</si>
  <si>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</si>
  <si>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</si>
  <si>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</si>
  <si>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</si>
  <si>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</si>
  <si>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</si>
  <si>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</si>
  <si>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MYTD-157</t>
  </si>
  <si>
    <t>产品系列</t>
  </si>
  <si>
    <t>款式</t>
  </si>
  <si>
    <t>SKU</t>
  </si>
  <si>
    <t>关键词排序</t>
  </si>
  <si>
    <t>辅助标识</t>
  </si>
  <si>
    <t>3-7-2</t>
  </si>
  <si>
    <t>1-17-1</t>
  </si>
  <si>
    <t>6-12-3</t>
  </si>
  <si>
    <t xml:space="preserve">关键词1 </t>
  </si>
  <si>
    <t xml:space="preserve">关键词2 </t>
  </si>
  <si>
    <t>2-12-4</t>
  </si>
  <si>
    <t>2-4-4</t>
  </si>
  <si>
    <t>6-5-1</t>
  </si>
  <si>
    <t>5-4-4</t>
  </si>
  <si>
    <t>2-14-4</t>
  </si>
  <si>
    <t>2-7-4</t>
  </si>
  <si>
    <t>3-16-4</t>
  </si>
  <si>
    <t>5-9-1</t>
  </si>
  <si>
    <t>5-3-2</t>
  </si>
  <si>
    <t>3-12-4</t>
  </si>
  <si>
    <t>1-16-4</t>
  </si>
  <si>
    <t>4-12-4</t>
  </si>
  <si>
    <t>6-9-3</t>
  </si>
  <si>
    <t>5-12-1</t>
  </si>
  <si>
    <t>9月3日晚上</t>
  </si>
  <si>
    <t>9月4日上午</t>
  </si>
  <si>
    <t xml:space="preserve"> 
</t>
  </si>
  <si>
    <t>3-11-1</t>
  </si>
  <si>
    <t>5-11-2</t>
  </si>
  <si>
    <t>1-17-4</t>
  </si>
  <si>
    <t>6-12-4</t>
  </si>
  <si>
    <t>6-12-2</t>
  </si>
  <si>
    <t>6-9-2</t>
  </si>
  <si>
    <t>3-10-3</t>
  </si>
  <si>
    <t>9月5日晚上</t>
  </si>
  <si>
    <t>9月6日上午</t>
  </si>
  <si>
    <t>3-13-3</t>
  </si>
  <si>
    <t>4-14-3</t>
  </si>
  <si>
    <t>3-16-2</t>
  </si>
  <si>
    <t>7-4-2</t>
  </si>
  <si>
    <t>3-12-3</t>
  </si>
  <si>
    <t>2-3-1</t>
  </si>
  <si>
    <t>4-4-4</t>
  </si>
  <si>
    <t>4-14-1</t>
  </si>
  <si>
    <t>6-7-3</t>
  </si>
  <si>
    <t>2-14-2</t>
  </si>
  <si>
    <t>3-14-3</t>
  </si>
  <si>
    <t>1-15-4</t>
  </si>
  <si>
    <t>3-2-3</t>
  </si>
  <si>
    <t>7-4-4</t>
  </si>
  <si>
    <t>3-13-1</t>
  </si>
  <si>
    <t>3-16-3</t>
  </si>
  <si>
    <t>3-11-2</t>
  </si>
  <si>
    <t>5-8-2</t>
  </si>
  <si>
    <t>4-13-4</t>
  </si>
  <si>
    <t>4-8-2</t>
  </si>
  <si>
    <t>7-4-1</t>
  </si>
  <si>
    <t>4-2-3</t>
  </si>
  <si>
    <t>2-7-3</t>
  </si>
  <si>
    <t>1-15-1</t>
  </si>
  <si>
    <t>3-14-1</t>
  </si>
  <si>
    <t>6-15-1</t>
  </si>
  <si>
    <t>3-7-3</t>
  </si>
  <si>
    <t>4-14-4</t>
  </si>
  <si>
    <t>4-9-3</t>
  </si>
  <si>
    <t>2-1-2</t>
  </si>
  <si>
    <t>6-4-3</t>
  </si>
  <si>
    <t>4-10-3</t>
  </si>
  <si>
    <t>6-3-2</t>
  </si>
  <si>
    <t>3-12-1</t>
  </si>
  <si>
    <t>4-13-2</t>
  </si>
  <si>
    <t>1-8-4</t>
  </si>
  <si>
    <t>2-5-2</t>
  </si>
  <si>
    <t>1-12-2</t>
  </si>
  <si>
    <t>6-13-2</t>
  </si>
  <si>
    <t>5-6-3</t>
  </si>
  <si>
    <t>2-13-4</t>
  </si>
  <si>
    <t>7-9-1</t>
  </si>
  <si>
    <t>2-13-3</t>
  </si>
  <si>
    <t>1-16-3</t>
  </si>
  <si>
    <t>1-12-1</t>
  </si>
  <si>
    <t>4-10-4</t>
  </si>
  <si>
    <t>6-8-4</t>
  </si>
  <si>
    <t>4-6-2</t>
  </si>
  <si>
    <t>4-9-4</t>
  </si>
  <si>
    <t>1-17-2</t>
  </si>
  <si>
    <t>6-16-4</t>
  </si>
  <si>
    <t>3-9-4</t>
  </si>
  <si>
    <t>5-15-4</t>
  </si>
  <si>
    <t>4-4-1</t>
  </si>
  <si>
    <t>2-2-2</t>
  </si>
  <si>
    <t>5-8-1</t>
  </si>
  <si>
    <t>1-13-3</t>
  </si>
  <si>
    <t>2-8-1</t>
  </si>
  <si>
    <t>5-10-2</t>
  </si>
  <si>
    <t>7-7-4</t>
  </si>
  <si>
    <t>3-11-4</t>
  </si>
  <si>
    <t>4-12-3</t>
  </si>
  <si>
    <t>2-8-2</t>
  </si>
  <si>
    <t>6-14-4</t>
  </si>
  <si>
    <t>4-10-1</t>
  </si>
  <si>
    <t>2-7-1</t>
  </si>
  <si>
    <t>6-8-3</t>
  </si>
  <si>
    <t>3-11-3</t>
  </si>
  <si>
    <t>5-10-3</t>
  </si>
  <si>
    <t>3-12-2</t>
  </si>
  <si>
    <t>3-15-1</t>
  </si>
  <si>
    <t>3-15-4</t>
  </si>
  <si>
    <t>3-14-4</t>
  </si>
  <si>
    <t>6-4-2</t>
  </si>
  <si>
    <t>4-7-4</t>
  </si>
  <si>
    <t>5-7-1</t>
  </si>
  <si>
    <t>6-13-4</t>
  </si>
  <si>
    <t>2-10-3</t>
  </si>
  <si>
    <t>4-11-4</t>
  </si>
  <si>
    <t>2-11-3</t>
  </si>
  <si>
    <t>1-14-3</t>
  </si>
  <si>
    <t>5-16-4</t>
  </si>
  <si>
    <t>4-12-2</t>
  </si>
  <si>
    <t>6-8-2</t>
  </si>
  <si>
    <t>4-7-2</t>
  </si>
  <si>
    <t>5-9-4</t>
  </si>
  <si>
    <t>2-10-2</t>
  </si>
  <si>
    <t>4-7-3</t>
  </si>
  <si>
    <t>5-13-4</t>
  </si>
  <si>
    <t>2-6-3</t>
  </si>
  <si>
    <t>5-3-4</t>
  </si>
  <si>
    <t>2-13-2</t>
  </si>
  <si>
    <t>4-14-2</t>
  </si>
  <si>
    <t>4-15-1</t>
  </si>
  <si>
    <t>2-11-4</t>
  </si>
  <si>
    <t>4-16-3</t>
  </si>
  <si>
    <t>4-11-3</t>
  </si>
  <si>
    <t>1-1-2</t>
  </si>
  <si>
    <t>3-7-4</t>
  </si>
  <si>
    <t>3-9-2</t>
  </si>
  <si>
    <t>2-9-2</t>
  </si>
  <si>
    <t>1-9-4</t>
  </si>
  <si>
    <t>5-9-3</t>
  </si>
  <si>
    <t>3-3-4</t>
  </si>
  <si>
    <t>5-11-3</t>
  </si>
  <si>
    <t>3-14-2</t>
  </si>
  <si>
    <t>2-13-1</t>
  </si>
  <si>
    <t>1-10-1</t>
  </si>
  <si>
    <t>6-14-1</t>
  </si>
  <si>
    <t>2-6-2</t>
  </si>
  <si>
    <t>3-5-4</t>
  </si>
  <si>
    <t>6-13-1</t>
  </si>
  <si>
    <t>5-10-4</t>
  </si>
  <si>
    <t>5-16-3</t>
  </si>
  <si>
    <t>3-9-1</t>
  </si>
  <si>
    <t>6-14-2</t>
  </si>
  <si>
    <t>7-6-2</t>
  </si>
  <si>
    <t>1-13-1</t>
  </si>
  <si>
    <t>6-3-1</t>
  </si>
  <si>
    <t>2-15-1</t>
  </si>
  <si>
    <t>5-12-4</t>
  </si>
  <si>
    <t>1-10-4</t>
  </si>
  <si>
    <t>5-11-4</t>
  </si>
  <si>
    <t>2-11-2</t>
  </si>
  <si>
    <t>5-15-1</t>
  </si>
  <si>
    <t>1-11-5</t>
  </si>
  <si>
    <t>2-5-1</t>
  </si>
  <si>
    <t>4-9-2</t>
  </si>
  <si>
    <t>1-10-2</t>
  </si>
  <si>
    <t>5-11-1</t>
  </si>
  <si>
    <t>3-5-3</t>
  </si>
  <si>
    <t>2-6-1</t>
  </si>
  <si>
    <t>6-6-3</t>
  </si>
  <si>
    <t>6-9-1</t>
  </si>
  <si>
    <t>5-3-1</t>
  </si>
  <si>
    <t>1-11-4</t>
  </si>
  <si>
    <t>6-6-2</t>
  </si>
  <si>
    <t>2-6-4</t>
  </si>
  <si>
    <t>5-12-3</t>
  </si>
  <si>
    <t>6-3-4</t>
  </si>
  <si>
    <t>1-9-5</t>
  </si>
  <si>
    <t>2-3-3</t>
  </si>
  <si>
    <t>4-13-5</t>
  </si>
  <si>
    <t>1-13-2</t>
  </si>
  <si>
    <t>5-9-2</t>
  </si>
  <si>
    <t>2-4-5</t>
  </si>
  <si>
    <t>5-9-5</t>
  </si>
  <si>
    <t>5-2-5</t>
  </si>
  <si>
    <t>1-13-5</t>
  </si>
  <si>
    <t>5-10-1</t>
  </si>
  <si>
    <t>1-6-2</t>
  </si>
  <si>
    <t>5-2-3</t>
  </si>
  <si>
    <t>2-2-4</t>
  </si>
  <si>
    <t>6-11-2</t>
  </si>
  <si>
    <t>1-1-4</t>
  </si>
  <si>
    <t>1-10-3</t>
  </si>
  <si>
    <t>1-12-5</t>
  </si>
  <si>
    <t>1-13-4</t>
  </si>
  <si>
    <t>6-11-5</t>
  </si>
  <si>
    <t>1-6-4</t>
  </si>
  <si>
    <t>1-14-5</t>
  </si>
  <si>
    <t>1-8-5</t>
  </si>
  <si>
    <t>5-5-4</t>
  </si>
  <si>
    <t>5-7-2</t>
  </si>
  <si>
    <t>4-12-1</t>
  </si>
  <si>
    <t>5-8-4</t>
  </si>
  <si>
    <t>6-6-1</t>
  </si>
  <si>
    <t>4-13-3</t>
  </si>
  <si>
    <t>7-5-5</t>
  </si>
  <si>
    <t>2-5-3</t>
  </si>
  <si>
    <t>6-2-2</t>
  </si>
  <si>
    <t>1-12-3</t>
  </si>
  <si>
    <t>5-4-3</t>
  </si>
  <si>
    <t>1-11-3</t>
  </si>
  <si>
    <t>5-15-2</t>
  </si>
  <si>
    <t>1-8-1</t>
  </si>
  <si>
    <t>5-14-3</t>
  </si>
  <si>
    <t>2-8-3</t>
  </si>
  <si>
    <t>1-14-2</t>
  </si>
  <si>
    <t>4-11-2</t>
  </si>
  <si>
    <t>4-16-2</t>
  </si>
  <si>
    <t>1-9-3</t>
  </si>
  <si>
    <t>4-2-1</t>
  </si>
  <si>
    <t>1-16-2</t>
  </si>
  <si>
    <t>2-2-1</t>
  </si>
  <si>
    <t>1-15-3</t>
  </si>
  <si>
    <t>4-9-1</t>
  </si>
  <si>
    <t>1-11-1</t>
  </si>
  <si>
    <t>3-9-3</t>
  </si>
  <si>
    <t>4-7-1</t>
  </si>
  <si>
    <t>1-11-2</t>
  </si>
  <si>
    <t>4-8-3</t>
  </si>
  <si>
    <t>4-8-4</t>
  </si>
  <si>
    <t>5-2-1</t>
  </si>
  <si>
    <t>1-9-1</t>
  </si>
  <si>
    <t>2-7-2</t>
  </si>
  <si>
    <t>4-16-4</t>
  </si>
  <si>
    <t>2-3-4</t>
  </si>
  <si>
    <t>5-2-4</t>
  </si>
  <si>
    <t>3-8-3</t>
  </si>
  <si>
    <t>4-2-4</t>
  </si>
  <si>
    <t>3-10-4</t>
  </si>
  <si>
    <t>3-8-2</t>
  </si>
  <si>
    <t>1-8-2</t>
  </si>
  <si>
    <t>1-7-3</t>
  </si>
  <si>
    <t>4-4-2</t>
  </si>
  <si>
    <t>3-5-2</t>
  </si>
  <si>
    <t>3-2-2</t>
  </si>
  <si>
    <t>5-1-4</t>
  </si>
  <si>
    <t>4-2-2</t>
  </si>
  <si>
    <t>1-1-1</t>
  </si>
  <si>
    <t>5-13-2</t>
  </si>
  <si>
    <t>7-1-1</t>
  </si>
  <si>
    <t>产品标识</t>
  </si>
  <si>
    <t>父ASIN</t>
  </si>
  <si>
    <t>品名</t>
  </si>
  <si>
    <t>价格</t>
  </si>
  <si>
    <t>FBA可售</t>
  </si>
  <si>
    <t>FBM可售</t>
  </si>
  <si>
    <t>订单量</t>
  </si>
  <si>
    <t>销售额</t>
  </si>
  <si>
    <t>净销售额</t>
  </si>
  <si>
    <t>B2B 销量</t>
  </si>
  <si>
    <t>B2B 销售额</t>
  </si>
  <si>
    <t>B2B 订单量</t>
  </si>
  <si>
    <t>促销销量</t>
  </si>
  <si>
    <t>促销销售额</t>
  </si>
  <si>
    <t>促销订单量</t>
  </si>
  <si>
    <t>平均客单价</t>
  </si>
  <si>
    <t>平均销量</t>
  </si>
  <si>
    <t>大类排名</t>
  </si>
  <si>
    <t>小类排名</t>
  </si>
  <si>
    <t>退款量</t>
  </si>
  <si>
    <t>退款率</t>
  </si>
  <si>
    <t>评分</t>
  </si>
  <si>
    <t>评论数</t>
  </si>
  <si>
    <t>留评率</t>
  </si>
  <si>
    <t>促销折扣</t>
  </si>
  <si>
    <t>毛利率</t>
  </si>
  <si>
    <t>ROI</t>
  </si>
  <si>
    <t>退货量</t>
  </si>
  <si>
    <t>退货率</t>
  </si>
  <si>
    <t>Sessions-Browser</t>
  </si>
  <si>
    <t>Sessions-Mobile</t>
  </si>
  <si>
    <t>Sessions-Total</t>
  </si>
  <si>
    <t>PV-Browser</t>
  </si>
  <si>
    <t>PV-Mobile</t>
  </si>
  <si>
    <t>PV-Total</t>
  </si>
  <si>
    <t>Buybox</t>
  </si>
  <si>
    <t>CVR</t>
  </si>
  <si>
    <t>销量CVR</t>
  </si>
  <si>
    <t>CPC</t>
  </si>
  <si>
    <t>CTR</t>
  </si>
  <si>
    <t>广告花费</t>
  </si>
  <si>
    <t>ROAS</t>
  </si>
  <si>
    <t>ACOS</t>
  </si>
  <si>
    <t>ACoAS</t>
  </si>
  <si>
    <t>ASoAS</t>
  </si>
  <si>
    <t>CPO</t>
  </si>
  <si>
    <t>CPM</t>
  </si>
  <si>
    <t>广告销售额</t>
  </si>
  <si>
    <t>广告订单占比</t>
  </si>
  <si>
    <t>广告CVR</t>
  </si>
  <si>
    <t>展示</t>
  </si>
  <si>
    <t>点击</t>
  </si>
  <si>
    <t>运营日志1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</si>
</sst>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$\-#,##0.00"/>
    <numFmt numFmtId="177" formatCode="#,##0.0;\-#,##0.0"/>
    <numFmt numFmtId="178" formatCode="\$#,##0.00;\-\$#,##0.00"/>
    <numFmt numFmtId="179" formatCode="0_ "/>
    <numFmt numFmtId="180" formatCode="\$#,##0.000;\-\$#,##0.000"/>
    <numFmt numFmtId="181" formatCode="0.000_ "/>
    <numFmt numFmtId="182" formatCode="0.00_ "/>
    <numFmt numFmtId="183" formatCode="&quot;￥&quot;#,##0.00_);[Red]\(&quot;￥&quot;#,##0.00\)"/>
    <numFmt numFmtId="184" formatCode="m/d;@"/>
    <numFmt numFmtId="185" formatCode="yyyy/m/d;@"/>
  </numFmts>
  <fonts count="76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2"/>
      <name val="微软雅黑"/>
      <charset val="134"/>
    </font>
    <font>
      <sz val="14"/>
      <name val="Times New Roman"/>
      <charset val="134"/>
    </font>
    <font>
      <sz val="12"/>
      <name val="Times New Roman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10"/>
      <name val="微软雅黑"/>
      <charset val="134"/>
    </font>
    <font>
      <b/>
      <sz val="12"/>
      <color rgb="FF00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6"/>
      <name val="黑体"/>
      <charset val="134"/>
    </font>
    <font>
      <sz val="11"/>
      <name val="宋体"/>
      <charset val="134"/>
      <scheme val="minor"/>
    </font>
    <font>
      <sz val="18"/>
      <color rgb="FF0F1111"/>
      <name val="Arial"/>
      <charset val="134"/>
    </font>
    <font>
      <sz val="10.5"/>
      <color rgb="FF333333"/>
      <name val="Arial"/>
      <charset val="134"/>
    </font>
    <font>
      <sz val="12"/>
      <color theme="1"/>
      <name val="黑体"/>
      <charset val="134"/>
    </font>
    <font>
      <b/>
      <sz val="24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黑体"/>
      <charset val="134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0"/>
      <name val="微软雅黑"/>
      <charset val="134"/>
    </font>
    <font>
      <sz val="14"/>
      <color rgb="FFFF000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宋体"/>
      <charset val="134"/>
      <scheme val="minor"/>
    </font>
    <font>
      <b/>
      <sz val="22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b/>
      <sz val="12"/>
      <color theme="0"/>
      <name val="微软雅黑"/>
      <charset val="134"/>
    </font>
    <font>
      <sz val="11"/>
      <color theme="0"/>
      <name val="微软雅黑"/>
      <charset val="134"/>
    </font>
    <font>
      <b/>
      <sz val="12"/>
      <color theme="1"/>
      <name val="微软雅黑"/>
      <charset val="134"/>
    </font>
    <font>
      <sz val="11"/>
      <color rgb="FF00206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b/>
      <sz val="11"/>
      <color rgb="FF0070C0"/>
      <name val="华文黑体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name val="华文黑体"/>
      <charset val="134"/>
    </font>
    <font>
      <b/>
      <sz val="11"/>
      <color rgb="FFFFC000"/>
      <name val="华文黑体"/>
      <charset val="134"/>
    </font>
    <font>
      <b/>
      <sz val="11"/>
      <color rgb="FFFF0000"/>
      <name val="华文黑体"/>
      <charset val="134"/>
    </font>
    <font>
      <b/>
      <sz val="14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7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D0B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4" tint="-0.25"/>
        <bgColor theme="8"/>
      </patternFill>
    </fill>
    <fill>
      <patternFill patternType="solid">
        <fgColor theme="0" tint="-0.05"/>
        <bgColor indexed="64"/>
      </patternFill>
    </fill>
    <fill>
      <patternFill patternType="solid">
        <fgColor rgb="FFE6EFEF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FEEFF4"/>
        <bgColor indexed="64"/>
      </patternFill>
    </fill>
    <fill>
      <patternFill patternType="solid">
        <fgColor rgb="FFEFF4F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FF4F6"/>
        <bgColor theme="8" tint="0.799951170384838"/>
      </patternFill>
    </fill>
    <fill>
      <patternFill patternType="solid">
        <fgColor theme="7" tint="0.8"/>
        <bgColor theme="8" tint="0.799951170384838"/>
      </patternFill>
    </fill>
    <fill>
      <patternFill patternType="solid">
        <fgColor rgb="FFFEEFF4"/>
        <bgColor theme="8" tint="0.799951170384838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8" tint="0.399975585192419"/>
      </left>
      <right/>
      <top style="medium">
        <color theme="8" tint="0.399975585192419"/>
      </top>
      <bottom/>
      <diagonal/>
    </border>
    <border>
      <left/>
      <right/>
      <top style="medium">
        <color theme="8" tint="0.399975585192419"/>
      </top>
      <bottom/>
      <diagonal/>
    </border>
    <border>
      <left style="thin">
        <color theme="8" tint="0.399945066682943"/>
      </left>
      <right/>
      <top style="medium">
        <color theme="8" tint="0.399975585192419"/>
      </top>
      <bottom/>
      <diagonal/>
    </border>
    <border>
      <left/>
      <right style="thin">
        <color theme="8" tint="0.399914548173467"/>
      </right>
      <top/>
      <bottom/>
      <diagonal/>
    </border>
    <border>
      <left style="thin">
        <color theme="8" tint="0.399914548173467"/>
      </left>
      <right style="thin">
        <color theme="8" tint="0.399914548173467"/>
      </right>
      <top/>
      <bottom style="thin">
        <color theme="8" tint="0.399945066682943"/>
      </bottom>
      <diagonal/>
    </border>
    <border>
      <left style="thin">
        <color theme="8" tint="0.399914548173467"/>
      </left>
      <right style="thin">
        <color theme="8" tint="0.399914548173467"/>
      </right>
      <top style="thin">
        <color theme="8" tint="0.399945066682943"/>
      </top>
      <bottom style="thin">
        <color theme="8" tint="0.39994506668294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3" borderId="2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4" borderId="27" applyNumberFormat="0" applyAlignment="0" applyProtection="0">
      <alignment vertical="center"/>
    </xf>
    <xf numFmtId="0" fontId="60" fillId="45" borderId="28" applyNumberFormat="0" applyAlignment="0" applyProtection="0">
      <alignment vertical="center"/>
    </xf>
    <xf numFmtId="0" fontId="61" fillId="45" borderId="27" applyNumberFormat="0" applyAlignment="0" applyProtection="0">
      <alignment vertical="center"/>
    </xf>
    <xf numFmtId="0" fontId="62" fillId="46" borderId="29" applyNumberFormat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0" borderId="31" applyNumberFormat="0" applyFill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68" fillId="63" borderId="0" applyNumberFormat="0" applyBorder="0" applyAlignment="0" applyProtection="0">
      <alignment vertical="center"/>
    </xf>
    <xf numFmtId="0" fontId="68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6" borderId="0" applyNumberFormat="0" applyBorder="0" applyAlignment="0" applyProtection="0">
      <alignment vertical="center"/>
    </xf>
    <xf numFmtId="0" fontId="68" fillId="67" borderId="0" applyNumberFormat="0" applyBorder="0" applyAlignment="0" applyProtection="0">
      <alignment vertical="center"/>
    </xf>
    <xf numFmtId="0" fontId="68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70" borderId="0" applyNumberFormat="0" applyBorder="0" applyAlignment="0" applyProtection="0">
      <alignment vertical="center"/>
    </xf>
    <xf numFmtId="0" fontId="68" fillId="71" borderId="0" applyNumberFormat="0" applyBorder="0" applyAlignment="0" applyProtection="0">
      <alignment vertical="center"/>
    </xf>
  </cellStyleXfs>
  <cellXfs count="37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14" fontId="3" fillId="0" borderId="0" xfId="0" applyNumberFormat="1" applyFont="1" applyFill="1" applyAlignment="1"/>
    <xf numFmtId="0" fontId="3" fillId="0" borderId="0" xfId="0" applyFont="1" applyFill="1" applyAlignment="1"/>
    <xf numFmtId="26" fontId="3" fillId="0" borderId="0" xfId="0" applyNumberFormat="1" applyFont="1" applyFill="1" applyAlignment="1"/>
    <xf numFmtId="37" fontId="3" fillId="0" borderId="0" xfId="0" applyNumberFormat="1" applyFont="1" applyFill="1" applyAlignment="1"/>
    <xf numFmtId="176" fontId="3" fillId="0" borderId="0" xfId="0" applyNumberFormat="1" applyFont="1" applyFill="1" applyAlignment="1"/>
    <xf numFmtId="177" fontId="3" fillId="0" borderId="0" xfId="0" applyNumberFormat="1" applyFont="1" applyFill="1" applyAlignment="1"/>
    <xf numFmtId="10" fontId="3" fillId="0" borderId="0" xfId="0" applyNumberFormat="1" applyFont="1" applyFill="1" applyAlignment="1"/>
    <xf numFmtId="39" fontId="3" fillId="0" borderId="0" xfId="0" applyNumberFormat="1" applyFont="1" applyFill="1" applyAlignment="1"/>
    <xf numFmtId="0" fontId="0" fillId="0" borderId="0" xfId="0" applyFill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6" fillId="0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49" fontId="6" fillId="0" borderId="7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4" borderId="5" xfId="0" applyFont="1" applyFill="1" applyBorder="1">
      <alignment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49" fontId="7" fillId="0" borderId="0" xfId="0" applyNumberFormat="1" applyFont="1">
      <alignment vertical="center"/>
    </xf>
    <xf numFmtId="10" fontId="7" fillId="0" borderId="0" xfId="0" applyNumberFormat="1" applyFont="1">
      <alignment vertical="center"/>
    </xf>
    <xf numFmtId="0" fontId="7" fillId="0" borderId="0" xfId="0" applyFont="1" applyBorder="1">
      <alignment vertical="center"/>
    </xf>
    <xf numFmtId="10" fontId="7" fillId="0" borderId="0" xfId="0" applyNumberFormat="1" applyFont="1" applyBorder="1">
      <alignment vertical="center"/>
    </xf>
    <xf numFmtId="0" fontId="7" fillId="0" borderId="0" xfId="0" applyFont="1" applyFill="1">
      <alignment vertical="center"/>
    </xf>
    <xf numFmtId="0" fontId="7" fillId="5" borderId="0" xfId="0" applyFont="1" applyFill="1">
      <alignment vertical="center"/>
    </xf>
    <xf numFmtId="0" fontId="8" fillId="0" borderId="1" xfId="0" applyFont="1" applyBorder="1">
      <alignment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3" borderId="7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4" borderId="7" xfId="0" applyFont="1" applyFill="1" applyBorder="1">
      <alignment vertical="center"/>
    </xf>
    <xf numFmtId="0" fontId="7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12" fillId="0" borderId="9" xfId="0" applyFont="1" applyBorder="1" applyAlignment="1">
      <alignment horizontal="left" vertical="center"/>
    </xf>
    <xf numFmtId="0" fontId="13" fillId="6" borderId="9" xfId="0" applyNumberFormat="1" applyFont="1" applyFill="1" applyBorder="1" applyAlignment="1">
      <alignment horizontal="center" vertical="center"/>
    </xf>
    <xf numFmtId="0" fontId="13" fillId="6" borderId="9" xfId="0" applyNumberFormat="1" applyFont="1" applyFill="1" applyBorder="1">
      <alignment vertical="center"/>
    </xf>
    <xf numFmtId="0" fontId="14" fillId="0" borderId="9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 vertical="center"/>
    </xf>
    <xf numFmtId="0" fontId="15" fillId="0" borderId="10" xfId="0" applyNumberFormat="1" applyFont="1" applyBorder="1" applyAlignment="1">
      <alignment horizontal="left" vertical="center" wrapText="1"/>
    </xf>
    <xf numFmtId="0" fontId="13" fillId="7" borderId="9" xfId="0" applyNumberFormat="1" applyFont="1" applyFill="1" applyBorder="1" applyAlignment="1">
      <alignment horizontal="center" vertical="center"/>
    </xf>
    <xf numFmtId="0" fontId="13" fillId="7" borderId="9" xfId="0" applyNumberFormat="1" applyFont="1" applyFill="1" applyBorder="1">
      <alignment vertical="center"/>
    </xf>
    <xf numFmtId="0" fontId="13" fillId="8" borderId="9" xfId="0" applyNumberFormat="1" applyFont="1" applyFill="1" applyBorder="1" applyAlignment="1">
      <alignment vertical="center" wrapText="1"/>
    </xf>
    <xf numFmtId="0" fontId="13" fillId="8" borderId="9" xfId="0" applyNumberFormat="1" applyFont="1" applyFill="1" applyBorder="1" applyAlignment="1">
      <alignment horizontal="center" vertical="center" wrapText="1"/>
    </xf>
    <xf numFmtId="0" fontId="15" fillId="0" borderId="9" xfId="0" applyNumberFormat="1" applyFont="1" applyBorder="1" applyAlignment="1">
      <alignment vertical="center" wrapText="1"/>
    </xf>
    <xf numFmtId="0" fontId="13" fillId="0" borderId="9" xfId="0" applyNumberFormat="1" applyFont="1" applyBorder="1" applyAlignment="1">
      <alignment horizontal="left" vertical="top" wrapText="1"/>
    </xf>
    <xf numFmtId="0" fontId="15" fillId="0" borderId="9" xfId="0" applyNumberFormat="1" applyFont="1" applyBorder="1" applyAlignment="1">
      <alignment horizontal="left" vertical="top" wrapText="1"/>
    </xf>
    <xf numFmtId="0" fontId="15" fillId="0" borderId="9" xfId="0" applyNumberFormat="1" applyFont="1" applyBorder="1">
      <alignment vertical="center"/>
    </xf>
    <xf numFmtId="0" fontId="1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9" fontId="17" fillId="5" borderId="1" xfId="0" applyNumberFormat="1" applyFont="1" applyFill="1" applyBorder="1" applyAlignment="1">
      <alignment horizontal="center" vertical="center"/>
    </xf>
    <xf numFmtId="179" fontId="17" fillId="5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8" fillId="0" borderId="8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8" fontId="12" fillId="0" borderId="0" xfId="0" applyNumberFormat="1" applyFont="1" applyFill="1" applyAlignment="1">
      <alignment horizontal="center" vertical="center"/>
    </xf>
    <xf numFmtId="9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79" fontId="18" fillId="5" borderId="1" xfId="0" applyNumberFormat="1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178" fontId="18" fillId="0" borderId="0" xfId="0" applyNumberFormat="1" applyFont="1" applyFill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78" fontId="12" fillId="0" borderId="7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180" fontId="12" fillId="0" borderId="7" xfId="0" applyNumberFormat="1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/>
    </xf>
    <xf numFmtId="10" fontId="18" fillId="0" borderId="2" xfId="0" applyNumberFormat="1" applyFont="1" applyFill="1" applyBorder="1" applyAlignment="1">
      <alignment horizontal="center" vertical="center"/>
    </xf>
    <xf numFmtId="180" fontId="18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0" fontId="12" fillId="0" borderId="2" xfId="0" applyNumberFormat="1" applyFont="1" applyFill="1" applyBorder="1" applyAlignment="1">
      <alignment horizontal="center" vertical="center"/>
    </xf>
    <xf numFmtId="178" fontId="12" fillId="0" borderId="2" xfId="0" applyNumberFormat="1" applyFont="1" applyFill="1" applyBorder="1" applyAlignment="1">
      <alignment horizontal="center" vertical="center"/>
    </xf>
    <xf numFmtId="181" fontId="12" fillId="0" borderId="0" xfId="0" applyNumberFormat="1" applyFont="1" applyFill="1" applyBorder="1" applyAlignment="1">
      <alignment horizontal="center" vertical="center" wrapText="1"/>
    </xf>
    <xf numFmtId="181" fontId="5" fillId="0" borderId="0" xfId="0" applyNumberFormat="1" applyFont="1" applyFill="1" applyBorder="1" applyAlignment="1">
      <alignment horizontal="center"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181" fontId="5" fillId="0" borderId="0" xfId="0" applyNumberFormat="1" applyFont="1" applyFill="1" applyBorder="1" applyAlignment="1">
      <alignment horizontal="center" vertical="center"/>
    </xf>
    <xf numFmtId="182" fontId="5" fillId="0" borderId="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83" fontId="16" fillId="5" borderId="3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82" fontId="17" fillId="0" borderId="1" xfId="0" applyNumberFormat="1" applyFont="1" applyFill="1" applyBorder="1" applyAlignment="1">
      <alignment horizontal="center" vertical="center" wrapText="1"/>
    </xf>
    <xf numFmtId="183" fontId="16" fillId="0" borderId="1" xfId="0" applyNumberFormat="1" applyFont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181" fontId="17" fillId="5" borderId="1" xfId="0" applyNumberFormat="1" applyFont="1" applyFill="1" applyBorder="1" applyAlignment="1">
      <alignment horizontal="center" vertical="center" wrapText="1"/>
    </xf>
    <xf numFmtId="182" fontId="4" fillId="5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181" fontId="16" fillId="5" borderId="1" xfId="0" applyNumberFormat="1" applyFont="1" applyFill="1" applyBorder="1" applyAlignment="1">
      <alignment horizontal="center" vertical="center" wrapText="1"/>
    </xf>
    <xf numFmtId="182" fontId="16" fillId="5" borderId="1" xfId="0" applyNumberFormat="1" applyFont="1" applyFill="1" applyBorder="1" applyAlignment="1">
      <alignment horizontal="center" vertical="center"/>
    </xf>
    <xf numFmtId="181" fontId="16" fillId="5" borderId="1" xfId="0" applyNumberFormat="1" applyFont="1" applyFill="1" applyBorder="1" applyAlignment="1">
      <alignment horizontal="center" vertical="center"/>
    </xf>
    <xf numFmtId="10" fontId="16" fillId="5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82" fontId="12" fillId="0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0" fillId="0" borderId="1" xfId="6" applyFont="1" applyFill="1" applyBorder="1" applyAlignment="1">
      <alignment horizontal="left" vertical="center" wrapText="1"/>
    </xf>
    <xf numFmtId="0" fontId="21" fillId="0" borderId="0" xfId="0" applyFont="1" applyFill="1" applyAlignment="1">
      <alignment vertical="center" wrapText="1"/>
    </xf>
    <xf numFmtId="26" fontId="1" fillId="0" borderId="1" xfId="0" applyNumberFormat="1" applyFont="1" applyFill="1" applyBorder="1" applyAlignment="1">
      <alignment horizontal="left" vertical="center" wrapText="1"/>
    </xf>
    <xf numFmtId="0" fontId="22" fillId="0" borderId="0" xfId="0" applyFont="1" applyFill="1">
      <alignment vertical="center"/>
    </xf>
    <xf numFmtId="0" fontId="23" fillId="0" borderId="0" xfId="0" applyFont="1" applyFill="1" applyAlignment="1"/>
    <xf numFmtId="0" fontId="24" fillId="9" borderId="0" xfId="0" applyFont="1" applyFill="1" applyAlignment="1">
      <alignment horizontal="center" vertical="center"/>
    </xf>
    <xf numFmtId="0" fontId="1" fillId="0" borderId="0" xfId="0" applyFont="1" applyFill="1" applyBorder="1" applyAlignment="1"/>
    <xf numFmtId="0" fontId="25" fillId="0" borderId="0" xfId="0" applyFont="1" applyFill="1" applyAlignment="1">
      <alignment horizontal="center"/>
    </xf>
    <xf numFmtId="0" fontId="26" fillId="10" borderId="1" xfId="0" applyFont="1" applyFill="1" applyBorder="1" applyAlignment="1"/>
    <xf numFmtId="0" fontId="26" fillId="0" borderId="1" xfId="0" applyFont="1" applyFill="1" applyBorder="1" applyAlignment="1"/>
    <xf numFmtId="0" fontId="23" fillId="1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/>
    <xf numFmtId="0" fontId="28" fillId="0" borderId="0" xfId="0" applyFont="1" applyFill="1" applyBorder="1" applyAlignment="1"/>
    <xf numFmtId="0" fontId="27" fillId="0" borderId="1" xfId="0" applyFont="1" applyFill="1" applyBorder="1" applyAlignment="1">
      <alignment wrapText="1"/>
    </xf>
    <xf numFmtId="0" fontId="28" fillId="0" borderId="0" xfId="0" applyFont="1" applyFill="1" applyBorder="1" applyAlignment="1">
      <alignment wrapText="1"/>
    </xf>
    <xf numFmtId="0" fontId="27" fillId="0" borderId="1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Alignment="1">
      <alignment vertical="top" wrapText="1"/>
    </xf>
    <xf numFmtId="24" fontId="27" fillId="0" borderId="1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vertical="top" wrapText="1"/>
    </xf>
    <xf numFmtId="0" fontId="23" fillId="0" borderId="7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23" fillId="0" borderId="1" xfId="0" applyFont="1" applyFill="1" applyBorder="1" applyAlignment="1">
      <alignment horizontal="left" vertical="center" wrapText="1"/>
    </xf>
    <xf numFmtId="184" fontId="23" fillId="0" borderId="7" xfId="0" applyNumberFormat="1" applyFont="1" applyFill="1" applyBorder="1" applyAlignment="1">
      <alignment horizontal="center" vertical="center" wrapText="1"/>
    </xf>
    <xf numFmtId="184" fontId="23" fillId="11" borderId="7" xfId="0" applyNumberFormat="1" applyFont="1" applyFill="1" applyBorder="1" applyAlignment="1">
      <alignment horizontal="center" vertical="center" wrapText="1"/>
    </xf>
    <xf numFmtId="184" fontId="23" fillId="12" borderId="7" xfId="0" applyNumberFormat="1" applyFont="1" applyFill="1" applyBorder="1" applyAlignment="1">
      <alignment horizontal="center" vertical="center" wrapText="1"/>
    </xf>
    <xf numFmtId="184" fontId="30" fillId="13" borderId="7" xfId="0" applyNumberFormat="1" applyFont="1" applyFill="1" applyBorder="1" applyAlignment="1">
      <alignment horizontal="center" vertical="center" wrapText="1"/>
    </xf>
    <xf numFmtId="184" fontId="23" fillId="0" borderId="1" xfId="0" applyNumberFormat="1" applyFont="1" applyFill="1" applyBorder="1" applyAlignment="1">
      <alignment horizontal="center" vertical="center" wrapText="1"/>
    </xf>
    <xf numFmtId="184" fontId="23" fillId="11" borderId="1" xfId="0" applyNumberFormat="1" applyFont="1" applyFill="1" applyBorder="1" applyAlignment="1">
      <alignment horizontal="center" vertical="center" wrapText="1"/>
    </xf>
    <xf numFmtId="184" fontId="23" fillId="12" borderId="1" xfId="0" applyNumberFormat="1" applyFont="1" applyFill="1" applyBorder="1" applyAlignment="1">
      <alignment horizontal="center" vertical="center" wrapText="1"/>
    </xf>
    <xf numFmtId="0" fontId="31" fillId="4" borderId="5" xfId="0" applyFont="1" applyFill="1" applyBorder="1" applyAlignment="1">
      <alignment horizontal="center" vertical="center"/>
    </xf>
    <xf numFmtId="0" fontId="28" fillId="4" borderId="1" xfId="0" applyFont="1" applyFill="1" applyBorder="1" applyAlignment="1"/>
    <xf numFmtId="184" fontId="11" fillId="14" borderId="1" xfId="0" applyNumberFormat="1" applyFont="1" applyFill="1" applyBorder="1" applyAlignment="1">
      <alignment horizontal="center" vertical="center" wrapText="1"/>
    </xf>
    <xf numFmtId="184" fontId="11" fillId="11" borderId="1" xfId="0" applyNumberFormat="1" applyFont="1" applyFill="1" applyBorder="1" applyAlignment="1">
      <alignment horizontal="center" vertical="center" wrapText="1"/>
    </xf>
    <xf numFmtId="184" fontId="11" fillId="0" borderId="1" xfId="0" applyNumberFormat="1" applyFont="1" applyFill="1" applyBorder="1" applyAlignment="1">
      <alignment horizontal="center" vertical="center" wrapText="1"/>
    </xf>
    <xf numFmtId="184" fontId="11" fillId="12" borderId="1" xfId="0" applyNumberFormat="1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31" fillId="4" borderId="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/>
    <xf numFmtId="0" fontId="33" fillId="1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/>
    <xf numFmtId="0" fontId="31" fillId="4" borderId="7" xfId="0" applyFont="1" applyFill="1" applyBorder="1" applyAlignment="1">
      <alignment horizontal="center" vertical="center"/>
    </xf>
    <xf numFmtId="0" fontId="1" fillId="15" borderId="1" xfId="0" applyFont="1" applyFill="1" applyBorder="1" applyAlignment="1"/>
    <xf numFmtId="0" fontId="31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/>
    <xf numFmtId="0" fontId="11" fillId="0" borderId="1" xfId="0" applyFont="1" applyFill="1" applyBorder="1" applyAlignment="1"/>
    <xf numFmtId="0" fontId="11" fillId="11" borderId="1" xfId="0" applyFont="1" applyFill="1" applyBorder="1" applyAlignment="1"/>
    <xf numFmtId="0" fontId="11" fillId="12" borderId="1" xfId="0" applyFont="1" applyFill="1" applyBorder="1" applyAlignment="1"/>
    <xf numFmtId="0" fontId="1" fillId="14" borderId="1" xfId="0" applyFont="1" applyFill="1" applyBorder="1" applyAlignment="1"/>
    <xf numFmtId="0" fontId="35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wrapText="1"/>
    </xf>
    <xf numFmtId="184" fontId="35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 wrapText="1"/>
    </xf>
    <xf numFmtId="0" fontId="35" fillId="5" borderId="0" xfId="0" applyFont="1" applyFill="1" applyBorder="1" applyAlignment="1">
      <alignment horizontal="center" vertical="center"/>
    </xf>
    <xf numFmtId="0" fontId="35" fillId="18" borderId="0" xfId="0" applyFont="1" applyFill="1" applyBorder="1" applyAlignment="1">
      <alignment horizontal="center" vertical="center"/>
    </xf>
    <xf numFmtId="179" fontId="12" fillId="0" borderId="0" xfId="0" applyNumberFormat="1" applyFont="1" applyFill="1" applyBorder="1" applyAlignment="1">
      <alignment vertical="center"/>
    </xf>
    <xf numFmtId="179" fontId="12" fillId="19" borderId="0" xfId="0" applyNumberFormat="1" applyFont="1" applyFill="1" applyBorder="1" applyAlignment="1">
      <alignment vertical="center"/>
    </xf>
    <xf numFmtId="179" fontId="12" fillId="0" borderId="0" xfId="0" applyNumberFormat="1" applyFont="1" applyFill="1" applyAlignment="1">
      <alignment vertical="center"/>
    </xf>
    <xf numFmtId="0" fontId="36" fillId="19" borderId="1" xfId="0" applyFont="1" applyFill="1" applyBorder="1" applyAlignment="1">
      <alignment horizontal="center" vertical="center"/>
    </xf>
    <xf numFmtId="179" fontId="37" fillId="20" borderId="15" xfId="0" applyNumberFormat="1" applyFont="1" applyFill="1" applyBorder="1" applyAlignment="1">
      <alignment horizontal="center" vertical="center" wrapText="1"/>
    </xf>
    <xf numFmtId="179" fontId="37" fillId="20" borderId="16" xfId="0" applyNumberFormat="1" applyFont="1" applyFill="1" applyBorder="1" applyAlignment="1">
      <alignment horizontal="center" vertical="center" wrapText="1"/>
    </xf>
    <xf numFmtId="179" fontId="37" fillId="20" borderId="17" xfId="0" applyNumberFormat="1" applyFont="1" applyFill="1" applyBorder="1" applyAlignment="1">
      <alignment horizontal="center" vertical="center" wrapText="1"/>
    </xf>
    <xf numFmtId="179" fontId="37" fillId="20" borderId="16" xfId="0" applyNumberFormat="1" applyFont="1" applyFill="1" applyBorder="1" applyAlignment="1">
      <alignment horizontal="right"/>
    </xf>
    <xf numFmtId="179" fontId="38" fillId="20" borderId="16" xfId="0" applyNumberFormat="1" applyFont="1" applyFill="1" applyBorder="1" applyAlignment="1">
      <alignment horizontal="center" vertical="center" wrapText="1"/>
    </xf>
    <xf numFmtId="179" fontId="38" fillId="20" borderId="16" xfId="0" applyNumberFormat="1" applyFont="1" applyFill="1" applyBorder="1" applyAlignment="1">
      <alignment horizontal="right"/>
    </xf>
    <xf numFmtId="185" fontId="38" fillId="20" borderId="16" xfId="0" applyNumberFormat="1" applyFont="1" applyFill="1" applyBorder="1" applyAlignment="1">
      <alignment horizontal="left"/>
    </xf>
    <xf numFmtId="179" fontId="39" fillId="21" borderId="1" xfId="0" applyNumberFormat="1" applyFont="1" applyFill="1" applyBorder="1" applyAlignment="1">
      <alignment horizontal="center" vertical="center" wrapText="1"/>
    </xf>
    <xf numFmtId="179" fontId="40" fillId="21" borderId="2" xfId="0" applyNumberFormat="1" applyFont="1" applyFill="1" applyBorder="1" applyAlignment="1">
      <alignment horizontal="center" vertical="center" wrapText="1"/>
    </xf>
    <xf numFmtId="179" fontId="40" fillId="21" borderId="3" xfId="0" applyNumberFormat="1" applyFont="1" applyFill="1" applyBorder="1" applyAlignment="1">
      <alignment horizontal="center" vertical="center" wrapText="1"/>
    </xf>
    <xf numFmtId="179" fontId="40" fillId="21" borderId="4" xfId="0" applyNumberFormat="1" applyFont="1" applyFill="1" applyBorder="1" applyAlignment="1">
      <alignment horizontal="center" vertical="center" wrapText="1"/>
    </xf>
    <xf numFmtId="179" fontId="41" fillId="21" borderId="1" xfId="0" applyNumberFormat="1" applyFont="1" applyFill="1" applyBorder="1" applyAlignment="1">
      <alignment horizontal="center" vertical="center" wrapText="1"/>
    </xf>
    <xf numFmtId="179" fontId="41" fillId="21" borderId="5" xfId="0" applyNumberFormat="1" applyFont="1" applyFill="1" applyBorder="1" applyAlignment="1">
      <alignment horizontal="center" vertical="center" wrapText="1"/>
    </xf>
    <xf numFmtId="179" fontId="41" fillId="21" borderId="1" xfId="0" applyNumberFormat="1" applyFont="1" applyFill="1" applyBorder="1" applyAlignment="1">
      <alignment horizontal="center" vertical="center"/>
    </xf>
    <xf numFmtId="185" fontId="41" fillId="21" borderId="1" xfId="0" applyNumberFormat="1" applyFont="1" applyFill="1" applyBorder="1" applyAlignment="1">
      <alignment horizontal="center" vertical="center"/>
    </xf>
    <xf numFmtId="185" fontId="41" fillId="21" borderId="1" xfId="0" applyNumberFormat="1" applyFont="1" applyFill="1" applyBorder="1" applyAlignment="1">
      <alignment horizontal="center" vertical="center" wrapText="1"/>
    </xf>
    <xf numFmtId="0" fontId="36" fillId="19" borderId="2" xfId="0" applyFont="1" applyFill="1" applyBorder="1" applyAlignment="1">
      <alignment horizontal="center" vertical="center"/>
    </xf>
    <xf numFmtId="0" fontId="36" fillId="19" borderId="3" xfId="0" applyFont="1" applyFill="1" applyBorder="1" applyAlignment="1">
      <alignment horizontal="center" vertical="center"/>
    </xf>
    <xf numFmtId="0" fontId="36" fillId="19" borderId="4" xfId="0" applyFont="1" applyFill="1" applyBorder="1" applyAlignment="1">
      <alignment horizontal="center" vertical="center"/>
    </xf>
    <xf numFmtId="179" fontId="41" fillId="21" borderId="7" xfId="0" applyNumberFormat="1" applyFont="1" applyFill="1" applyBorder="1" applyAlignment="1">
      <alignment horizontal="center" vertical="center" wrapText="1"/>
    </xf>
    <xf numFmtId="179" fontId="42" fillId="0" borderId="0" xfId="0" applyNumberFormat="1" applyFont="1" applyFill="1" applyAlignment="1">
      <alignment horizontal="center" vertical="center" wrapText="1"/>
    </xf>
    <xf numFmtId="179" fontId="42" fillId="0" borderId="18" xfId="0" applyNumberFormat="1" applyFont="1" applyFill="1" applyBorder="1" applyAlignment="1">
      <alignment horizontal="center" vertical="center" wrapText="1"/>
    </xf>
    <xf numFmtId="179" fontId="5" fillId="0" borderId="19" xfId="0" applyNumberFormat="1" applyFont="1" applyFill="1" applyBorder="1" applyAlignment="1">
      <alignment horizontal="left" vertical="center" wrapText="1"/>
    </xf>
    <xf numFmtId="179" fontId="5" fillId="0" borderId="19" xfId="0" applyNumberFormat="1" applyFont="1" applyFill="1" applyBorder="1" applyAlignment="1">
      <alignment horizontal="center" vertical="center"/>
    </xf>
    <xf numFmtId="185" fontId="5" fillId="0" borderId="19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vertical="center"/>
    </xf>
    <xf numFmtId="0" fontId="1" fillId="22" borderId="1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/>
    </xf>
    <xf numFmtId="0" fontId="1" fillId="24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/>
    </xf>
    <xf numFmtId="179" fontId="5" fillId="0" borderId="20" xfId="0" applyNumberFormat="1" applyFont="1" applyFill="1" applyBorder="1" applyAlignment="1">
      <alignment horizontal="left" vertical="center"/>
    </xf>
    <xf numFmtId="179" fontId="5" fillId="0" borderId="20" xfId="0" applyNumberFormat="1" applyFont="1" applyFill="1" applyBorder="1" applyAlignment="1">
      <alignment horizontal="center" vertical="center"/>
    </xf>
    <xf numFmtId="185" fontId="5" fillId="0" borderId="20" xfId="0" applyNumberFormat="1" applyFont="1" applyFill="1" applyBorder="1" applyAlignment="1">
      <alignment horizontal="center" vertical="center" wrapText="1"/>
    </xf>
    <xf numFmtId="179" fontId="5" fillId="26" borderId="20" xfId="0" applyNumberFormat="1" applyFont="1" applyFill="1" applyBorder="1" applyAlignment="1">
      <alignment horizontal="left" vertical="center" wrapText="1"/>
    </xf>
    <xf numFmtId="179" fontId="5" fillId="26" borderId="20" xfId="0" applyNumberFormat="1" applyFont="1" applyFill="1" applyBorder="1" applyAlignment="1">
      <alignment horizontal="center" vertical="center"/>
    </xf>
    <xf numFmtId="185" fontId="5" fillId="26" borderId="20" xfId="0" applyNumberFormat="1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vertical="center"/>
    </xf>
    <xf numFmtId="0" fontId="44" fillId="19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/>
    </xf>
    <xf numFmtId="179" fontId="5" fillId="26" borderId="20" xfId="0" applyNumberFormat="1" applyFont="1" applyFill="1" applyBorder="1" applyAlignment="1">
      <alignment horizontal="left" vertical="center"/>
    </xf>
    <xf numFmtId="179" fontId="45" fillId="29" borderId="2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79" fontId="5" fillId="29" borderId="19" xfId="0" applyNumberFormat="1" applyFont="1" applyFill="1" applyBorder="1" applyAlignment="1">
      <alignment horizontal="left" vertical="center"/>
    </xf>
    <xf numFmtId="179" fontId="5" fillId="29" borderId="20" xfId="0" applyNumberFormat="1" applyFont="1" applyFill="1" applyBorder="1" applyAlignment="1">
      <alignment horizontal="center" vertical="center"/>
    </xf>
    <xf numFmtId="185" fontId="5" fillId="29" borderId="20" xfId="0" applyNumberFormat="1" applyFont="1" applyFill="1" applyBorder="1" applyAlignment="1">
      <alignment horizontal="center" vertical="center" wrapText="1"/>
    </xf>
    <xf numFmtId="0" fontId="44" fillId="28" borderId="1" xfId="0" applyFont="1" applyFill="1" applyBorder="1" applyAlignment="1">
      <alignment vertical="center"/>
    </xf>
    <xf numFmtId="179" fontId="5" fillId="30" borderId="19" xfId="0" applyNumberFormat="1" applyFont="1" applyFill="1" applyBorder="1" applyAlignment="1">
      <alignment horizontal="left" vertical="center"/>
    </xf>
    <xf numFmtId="179" fontId="5" fillId="12" borderId="20" xfId="0" applyNumberFormat="1" applyFont="1" applyFill="1" applyBorder="1" applyAlignment="1">
      <alignment horizontal="center" vertical="center"/>
    </xf>
    <xf numFmtId="185" fontId="5" fillId="30" borderId="20" xfId="0" applyNumberFormat="1" applyFont="1" applyFill="1" applyBorder="1" applyAlignment="1">
      <alignment horizontal="center" vertical="center" wrapText="1"/>
    </xf>
    <xf numFmtId="179" fontId="5" fillId="12" borderId="19" xfId="0" applyNumberFormat="1" applyFont="1" applyFill="1" applyBorder="1" applyAlignment="1">
      <alignment horizontal="left" vertical="center" wrapText="1"/>
    </xf>
    <xf numFmtId="185" fontId="12" fillId="12" borderId="20" xfId="0" applyNumberFormat="1" applyFont="1" applyFill="1" applyBorder="1" applyAlignment="1">
      <alignment horizontal="center" vertical="center" wrapText="1"/>
    </xf>
    <xf numFmtId="179" fontId="12" fillId="30" borderId="20" xfId="0" applyNumberFormat="1" applyFont="1" applyFill="1" applyBorder="1" applyAlignment="1">
      <alignment horizontal="center" vertical="center"/>
    </xf>
    <xf numFmtId="179" fontId="5" fillId="12" borderId="19" xfId="0" applyNumberFormat="1" applyFont="1" applyFill="1" applyBorder="1" applyAlignment="1">
      <alignment horizontal="left" vertical="center"/>
    </xf>
    <xf numFmtId="185" fontId="5" fillId="12" borderId="20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/>
    </xf>
    <xf numFmtId="179" fontId="5" fillId="26" borderId="19" xfId="0" applyNumberFormat="1" applyFont="1" applyFill="1" applyBorder="1" applyAlignment="1">
      <alignment horizontal="left" vertical="center"/>
    </xf>
    <xf numFmtId="179" fontId="5" fillId="31" borderId="19" xfId="0" applyNumberFormat="1" applyFont="1" applyFill="1" applyBorder="1" applyAlignment="1">
      <alignment horizontal="left" vertical="center"/>
    </xf>
    <xf numFmtId="179" fontId="5" fillId="31" borderId="19" xfId="0" applyNumberFormat="1" applyFont="1" applyFill="1" applyBorder="1" applyAlignment="1">
      <alignment horizontal="center" vertical="center"/>
    </xf>
    <xf numFmtId="185" fontId="5" fillId="31" borderId="20" xfId="0" applyNumberFormat="1" applyFont="1" applyFill="1" applyBorder="1" applyAlignment="1">
      <alignment horizontal="center" vertical="center" wrapText="1"/>
    </xf>
    <xf numFmtId="179" fontId="5" fillId="31" borderId="20" xfId="0" applyNumberFormat="1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vertical="center"/>
    </xf>
    <xf numFmtId="0" fontId="46" fillId="0" borderId="0" xfId="0" applyFont="1" applyFill="1" applyAlignment="1">
      <alignment horizontal="center" vertical="center" wrapText="1"/>
    </xf>
    <xf numFmtId="0" fontId="36" fillId="0" borderId="11" xfId="0" applyFont="1" applyFill="1" applyBorder="1" applyAlignment="1">
      <alignment vertical="center"/>
    </xf>
    <xf numFmtId="0" fontId="36" fillId="0" borderId="12" xfId="0" applyFont="1" applyFill="1" applyBorder="1" applyAlignment="1">
      <alignment vertical="center"/>
    </xf>
    <xf numFmtId="0" fontId="36" fillId="0" borderId="13" xfId="0" applyFont="1" applyFill="1" applyBorder="1" applyAlignment="1">
      <alignment vertical="center"/>
    </xf>
    <xf numFmtId="0" fontId="36" fillId="0" borderId="8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6" fillId="0" borderId="14" xfId="0" applyFont="1" applyFill="1" applyBorder="1" applyAlignment="1">
      <alignment vertical="center"/>
    </xf>
    <xf numFmtId="0" fontId="36" fillId="0" borderId="21" xfId="0" applyFont="1" applyFill="1" applyBorder="1" applyAlignment="1">
      <alignment vertical="center"/>
    </xf>
    <xf numFmtId="0" fontId="36" fillId="0" borderId="22" xfId="0" applyFont="1" applyFill="1" applyBorder="1" applyAlignment="1">
      <alignment vertical="center"/>
    </xf>
    <xf numFmtId="0" fontId="36" fillId="0" borderId="23" xfId="0" applyFont="1" applyFill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47" fillId="32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vertical="center"/>
    </xf>
    <xf numFmtId="0" fontId="48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49" fillId="33" borderId="1" xfId="0" applyFont="1" applyFill="1" applyBorder="1" applyAlignment="1">
      <alignment horizontal="center" vertical="center" wrapText="1"/>
    </xf>
    <xf numFmtId="0" fontId="35" fillId="33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vertical="center"/>
    </xf>
    <xf numFmtId="0" fontId="11" fillId="34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47" fillId="33" borderId="1" xfId="0" applyFont="1" applyFill="1" applyBorder="1" applyAlignment="1">
      <alignment horizontal="left" vertical="center" wrapText="1"/>
    </xf>
    <xf numFmtId="0" fontId="15" fillId="35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15" fillId="33" borderId="1" xfId="0" applyFont="1" applyFill="1" applyBorder="1" applyAlignment="1">
      <alignment horizontal="center" vertical="center" wrapText="1"/>
    </xf>
    <xf numFmtId="0" fontId="15" fillId="35" borderId="1" xfId="0" applyFont="1" applyFill="1" applyBorder="1" applyAlignment="1">
      <alignment horizontal="left" vertical="center" wrapText="1"/>
    </xf>
    <xf numFmtId="0" fontId="15" fillId="33" borderId="1" xfId="0" applyFont="1" applyFill="1" applyBorder="1" applyAlignment="1">
      <alignment horizontal="left" vertical="center" wrapText="1"/>
    </xf>
    <xf numFmtId="0" fontId="48" fillId="33" borderId="1" xfId="0" applyFont="1" applyFill="1" applyBorder="1" applyAlignment="1">
      <alignment horizontal="center" vertical="center" wrapText="1"/>
    </xf>
    <xf numFmtId="14" fontId="15" fillId="35" borderId="1" xfId="0" applyNumberFormat="1" applyFont="1" applyFill="1" applyBorder="1" applyAlignment="1">
      <alignment horizontal="left" vertical="center" wrapText="1"/>
    </xf>
    <xf numFmtId="14" fontId="15" fillId="33" borderId="1" xfId="0" applyNumberFormat="1" applyFont="1" applyFill="1" applyBorder="1" applyAlignment="1">
      <alignment horizontal="left" vertical="center" wrapText="1"/>
    </xf>
    <xf numFmtId="0" fontId="35" fillId="36" borderId="2" xfId="0" applyFont="1" applyFill="1" applyBorder="1" applyAlignment="1">
      <alignment horizontal="center" vertical="center" wrapText="1"/>
    </xf>
    <xf numFmtId="0" fontId="35" fillId="36" borderId="4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184" fontId="35" fillId="0" borderId="1" xfId="0" applyNumberFormat="1" applyFont="1" applyFill="1" applyBorder="1" applyAlignment="1">
      <alignment horizontal="center" vertical="center" wrapText="1"/>
    </xf>
    <xf numFmtId="184" fontId="49" fillId="33" borderId="1" xfId="0" applyNumberFormat="1" applyFont="1" applyFill="1" applyBorder="1" applyAlignment="1">
      <alignment horizontal="center" vertical="center" wrapText="1"/>
    </xf>
    <xf numFmtId="184" fontId="35" fillId="33" borderId="1" xfId="0" applyNumberFormat="1" applyFont="1" applyFill="1" applyBorder="1" applyAlignment="1">
      <alignment horizontal="center" vertical="center" wrapText="1"/>
    </xf>
    <xf numFmtId="0" fontId="35" fillId="37" borderId="5" xfId="0" applyFont="1" applyFill="1" applyBorder="1" applyAlignment="1">
      <alignment horizontal="center" vertical="center" wrapText="1"/>
    </xf>
    <xf numFmtId="0" fontId="35" fillId="38" borderId="1" xfId="0" applyFont="1" applyFill="1" applyBorder="1" applyAlignment="1">
      <alignment horizontal="center" vertical="center" wrapText="1"/>
    </xf>
    <xf numFmtId="0" fontId="35" fillId="37" borderId="6" xfId="0" applyFont="1" applyFill="1" applyBorder="1" applyAlignment="1">
      <alignment horizontal="center" vertical="center" wrapText="1"/>
    </xf>
    <xf numFmtId="184" fontId="35" fillId="38" borderId="1" xfId="0" applyNumberFormat="1" applyFont="1" applyFill="1" applyBorder="1" applyAlignment="1">
      <alignment horizontal="center" vertical="center" wrapText="1"/>
    </xf>
    <xf numFmtId="0" fontId="35" fillId="37" borderId="1" xfId="0" applyFont="1" applyFill="1" applyBorder="1" applyAlignment="1">
      <alignment horizontal="center" vertical="center" wrapText="1"/>
    </xf>
    <xf numFmtId="0" fontId="1" fillId="38" borderId="1" xfId="0" applyFont="1" applyFill="1" applyBorder="1" applyAlignment="1">
      <alignment vertical="center"/>
    </xf>
    <xf numFmtId="0" fontId="1" fillId="33" borderId="1" xfId="0" applyFont="1" applyFill="1" applyBorder="1" applyAlignment="1">
      <alignment vertical="center"/>
    </xf>
    <xf numFmtId="184" fontId="35" fillId="3" borderId="1" xfId="0" applyNumberFormat="1" applyFont="1" applyFill="1" applyBorder="1" applyAlignment="1">
      <alignment horizontal="center" vertical="center" wrapText="1"/>
    </xf>
    <xf numFmtId="0" fontId="35" fillId="37" borderId="1" xfId="0" applyFont="1" applyFill="1" applyBorder="1" applyAlignment="1">
      <alignment horizontal="center" vertical="center"/>
    </xf>
    <xf numFmtId="0" fontId="35" fillId="37" borderId="7" xfId="0" applyFont="1" applyFill="1" applyBorder="1" applyAlignment="1">
      <alignment horizontal="center" vertical="center" wrapText="1"/>
    </xf>
    <xf numFmtId="0" fontId="35" fillId="39" borderId="1" xfId="0" applyFont="1" applyFill="1" applyBorder="1" applyAlignment="1">
      <alignment horizontal="center" vertical="center" wrapText="1"/>
    </xf>
    <xf numFmtId="184" fontId="35" fillId="4" borderId="1" xfId="0" applyNumberFormat="1" applyFont="1" applyFill="1" applyBorder="1" applyAlignment="1">
      <alignment horizontal="center" vertical="center" wrapText="1"/>
    </xf>
    <xf numFmtId="0" fontId="35" fillId="40" borderId="5" xfId="0" applyFont="1" applyFill="1" applyBorder="1" applyAlignment="1">
      <alignment horizontal="center" vertical="center" wrapText="1"/>
    </xf>
    <xf numFmtId="0" fontId="35" fillId="40" borderId="1" xfId="0" applyFont="1" applyFill="1" applyBorder="1" applyAlignment="1">
      <alignment horizontal="center" vertical="center" wrapText="1"/>
    </xf>
    <xf numFmtId="184" fontId="35" fillId="2" borderId="1" xfId="0" applyNumberFormat="1" applyFont="1" applyFill="1" applyBorder="1" applyAlignment="1">
      <alignment horizontal="center" vertical="center" wrapText="1"/>
    </xf>
    <xf numFmtId="0" fontId="35" fillId="40" borderId="6" xfId="0" applyFont="1" applyFill="1" applyBorder="1" applyAlignment="1">
      <alignment horizontal="center" vertical="center" wrapText="1"/>
    </xf>
    <xf numFmtId="184" fontId="50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84" fontId="41" fillId="0" borderId="1" xfId="0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9" borderId="5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5" fillId="39" borderId="6" xfId="0" applyFont="1" applyFill="1" applyBorder="1" applyAlignment="1">
      <alignment horizontal="center" vertical="center" wrapText="1"/>
    </xf>
    <xf numFmtId="0" fontId="35" fillId="41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35" fillId="39" borderId="7" xfId="0" applyFont="1" applyFill="1" applyBorder="1" applyAlignment="1">
      <alignment horizontal="center" vertical="center" wrapText="1"/>
    </xf>
    <xf numFmtId="0" fontId="35" fillId="42" borderId="1" xfId="0" applyFont="1" applyFill="1" applyBorder="1" applyAlignment="1">
      <alignment horizontal="center" vertical="center" wrapText="1"/>
    </xf>
    <xf numFmtId="0" fontId="35" fillId="42" borderId="1" xfId="0" applyFont="1" applyFill="1" applyBorder="1" applyAlignment="1">
      <alignment horizontal="center" vertical="center"/>
    </xf>
    <xf numFmtId="0" fontId="35" fillId="36" borderId="1" xfId="0" applyFont="1" applyFill="1" applyBorder="1" applyAlignment="1">
      <alignment horizontal="center" vertical="center" wrapText="1"/>
    </xf>
    <xf numFmtId="0" fontId="35" fillId="38" borderId="1" xfId="0" applyFont="1" applyFill="1" applyBorder="1" applyAlignment="1">
      <alignment horizontal="center" vertical="center"/>
    </xf>
    <xf numFmtId="0" fontId="35" fillId="16" borderId="5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35" fillId="16" borderId="6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 wrapText="1"/>
    </xf>
    <xf numFmtId="0" fontId="35" fillId="16" borderId="7" xfId="0" applyFont="1" applyFill="1" applyBorder="1" applyAlignment="1">
      <alignment horizontal="center" vertical="center" wrapText="1"/>
    </xf>
    <xf numFmtId="184" fontId="35" fillId="38" borderId="1" xfId="0" applyNumberFormat="1" applyFont="1" applyFill="1" applyBorder="1" applyAlignment="1" quotePrefix="1">
      <alignment horizontal="center" vertical="center" wrapText="1"/>
    </xf>
    <xf numFmtId="184" fontId="35" fillId="33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10" formatCode="0.00%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[销售计划书.xlsx] 3.1 ASIN数据!数据透视表3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3.1 ASIN数据'!$B$76:$B$77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ASIN数据'!$A$78:$A$135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ASIN数据'!$B$78:$B$135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25</c:v>
                </c:pt>
                <c:pt idx="5">
                  <c:v>17</c:v>
                </c:pt>
                <c:pt idx="6">
                  <c:v>32</c:v>
                </c:pt>
                <c:pt idx="7">
                  <c:v>40</c:v>
                </c:pt>
                <c:pt idx="8">
                  <c:v>54</c:v>
                </c:pt>
                <c:pt idx="9">
                  <c:v>46</c:v>
                </c:pt>
                <c:pt idx="10">
                  <c:v>78</c:v>
                </c:pt>
                <c:pt idx="11">
                  <c:v>71</c:v>
                </c:pt>
                <c:pt idx="12">
                  <c:v>85</c:v>
                </c:pt>
                <c:pt idx="13">
                  <c:v>94</c:v>
                </c:pt>
                <c:pt idx="14">
                  <c:v>124</c:v>
                </c:pt>
                <c:pt idx="15">
                  <c:v>149</c:v>
                </c:pt>
                <c:pt idx="16">
                  <c:v>203</c:v>
                </c:pt>
                <c:pt idx="17">
                  <c:v>138</c:v>
                </c:pt>
                <c:pt idx="18">
                  <c:v>142</c:v>
                </c:pt>
                <c:pt idx="19">
                  <c:v>122</c:v>
                </c:pt>
                <c:pt idx="20">
                  <c:v>102</c:v>
                </c:pt>
                <c:pt idx="21">
                  <c:v>172</c:v>
                </c:pt>
                <c:pt idx="22">
                  <c:v>204</c:v>
                </c:pt>
                <c:pt idx="23">
                  <c:v>165</c:v>
                </c:pt>
                <c:pt idx="24">
                  <c:v>175</c:v>
                </c:pt>
                <c:pt idx="25">
                  <c:v>200</c:v>
                </c:pt>
                <c:pt idx="26">
                  <c:v>176</c:v>
                </c:pt>
                <c:pt idx="27">
                  <c:v>187</c:v>
                </c:pt>
                <c:pt idx="28">
                  <c:v>241</c:v>
                </c:pt>
                <c:pt idx="29">
                  <c:v>341</c:v>
                </c:pt>
                <c:pt idx="30">
                  <c:v>225</c:v>
                </c:pt>
                <c:pt idx="31">
                  <c:v>235</c:v>
                </c:pt>
                <c:pt idx="32">
                  <c:v>226</c:v>
                </c:pt>
                <c:pt idx="33">
                  <c:v>220</c:v>
                </c:pt>
                <c:pt idx="34">
                  <c:v>206</c:v>
                </c:pt>
                <c:pt idx="35">
                  <c:v>250</c:v>
                </c:pt>
                <c:pt idx="36">
                  <c:v>314</c:v>
                </c:pt>
                <c:pt idx="37">
                  <c:v>231</c:v>
                </c:pt>
                <c:pt idx="38">
                  <c:v>214</c:v>
                </c:pt>
                <c:pt idx="39">
                  <c:v>191</c:v>
                </c:pt>
                <c:pt idx="40">
                  <c:v>191</c:v>
                </c:pt>
                <c:pt idx="41">
                  <c:v>216</c:v>
                </c:pt>
                <c:pt idx="42">
                  <c:v>353</c:v>
                </c:pt>
                <c:pt idx="43">
                  <c:v>403</c:v>
                </c:pt>
                <c:pt idx="44">
                  <c:v>285</c:v>
                </c:pt>
                <c:pt idx="45">
                  <c:v>229</c:v>
                </c:pt>
                <c:pt idx="46">
                  <c:v>208</c:v>
                </c:pt>
                <c:pt idx="47">
                  <c:v>167</c:v>
                </c:pt>
                <c:pt idx="48">
                  <c:v>160</c:v>
                </c:pt>
                <c:pt idx="49">
                  <c:v>192</c:v>
                </c:pt>
                <c:pt idx="50">
                  <c:v>195</c:v>
                </c:pt>
                <c:pt idx="51">
                  <c:v>181</c:v>
                </c:pt>
                <c:pt idx="52">
                  <c:v>116</c:v>
                </c:pt>
                <c:pt idx="53">
                  <c:v>105</c:v>
                </c:pt>
                <c:pt idx="54">
                  <c:v>85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ASIN数据'!$C$76:$C$77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ASIN数据'!$A$78:$A$135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ASIN数据'!$C$78:$C$135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16</c:v>
                </c:pt>
                <c:pt idx="5">
                  <c:v>28</c:v>
                </c:pt>
                <c:pt idx="6">
                  <c:v>37</c:v>
                </c:pt>
                <c:pt idx="7">
                  <c:v>47</c:v>
                </c:pt>
                <c:pt idx="8">
                  <c:v>50</c:v>
                </c:pt>
                <c:pt idx="9">
                  <c:v>34</c:v>
                </c:pt>
                <c:pt idx="10">
                  <c:v>48</c:v>
                </c:pt>
                <c:pt idx="11">
                  <c:v>62</c:v>
                </c:pt>
                <c:pt idx="12">
                  <c:v>52</c:v>
                </c:pt>
                <c:pt idx="13">
                  <c:v>61</c:v>
                </c:pt>
                <c:pt idx="14">
                  <c:v>81</c:v>
                </c:pt>
                <c:pt idx="15">
                  <c:v>90</c:v>
                </c:pt>
                <c:pt idx="16">
                  <c:v>129</c:v>
                </c:pt>
                <c:pt idx="17">
                  <c:v>77</c:v>
                </c:pt>
                <c:pt idx="18">
                  <c:v>62</c:v>
                </c:pt>
                <c:pt idx="19">
                  <c:v>61</c:v>
                </c:pt>
                <c:pt idx="20">
                  <c:v>58</c:v>
                </c:pt>
                <c:pt idx="21">
                  <c:v>67</c:v>
                </c:pt>
                <c:pt idx="22">
                  <c:v>81</c:v>
                </c:pt>
                <c:pt idx="23">
                  <c:v>56</c:v>
                </c:pt>
                <c:pt idx="24">
                  <c:v>60</c:v>
                </c:pt>
                <c:pt idx="25">
                  <c:v>71</c:v>
                </c:pt>
                <c:pt idx="26">
                  <c:v>72</c:v>
                </c:pt>
                <c:pt idx="27">
                  <c:v>67</c:v>
                </c:pt>
                <c:pt idx="28">
                  <c:v>91</c:v>
                </c:pt>
                <c:pt idx="29">
                  <c:v>125</c:v>
                </c:pt>
                <c:pt idx="30">
                  <c:v>73</c:v>
                </c:pt>
                <c:pt idx="31">
                  <c:v>92</c:v>
                </c:pt>
                <c:pt idx="32">
                  <c:v>85</c:v>
                </c:pt>
                <c:pt idx="33">
                  <c:v>66</c:v>
                </c:pt>
                <c:pt idx="34">
                  <c:v>74</c:v>
                </c:pt>
                <c:pt idx="35">
                  <c:v>77</c:v>
                </c:pt>
                <c:pt idx="36">
                  <c:v>113</c:v>
                </c:pt>
                <c:pt idx="37">
                  <c:v>85</c:v>
                </c:pt>
                <c:pt idx="38">
                  <c:v>61</c:v>
                </c:pt>
                <c:pt idx="39">
                  <c:v>60</c:v>
                </c:pt>
                <c:pt idx="40">
                  <c:v>69</c:v>
                </c:pt>
                <c:pt idx="41">
                  <c:v>69</c:v>
                </c:pt>
                <c:pt idx="42">
                  <c:v>180</c:v>
                </c:pt>
                <c:pt idx="43">
                  <c:v>221</c:v>
                </c:pt>
                <c:pt idx="44">
                  <c:v>126</c:v>
                </c:pt>
                <c:pt idx="45">
                  <c:v>119</c:v>
                </c:pt>
                <c:pt idx="46">
                  <c:v>117</c:v>
                </c:pt>
                <c:pt idx="47">
                  <c:v>115</c:v>
                </c:pt>
                <c:pt idx="48">
                  <c:v>96</c:v>
                </c:pt>
                <c:pt idx="49">
                  <c:v>134</c:v>
                </c:pt>
                <c:pt idx="50">
                  <c:v>132</c:v>
                </c:pt>
                <c:pt idx="51">
                  <c:v>168</c:v>
                </c:pt>
                <c:pt idx="52">
                  <c:v>158</c:v>
                </c:pt>
                <c:pt idx="53">
                  <c:v>141</c:v>
                </c:pt>
                <c:pt idx="54">
                  <c:v>142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7721184"/>
        <c:axId val="836304277"/>
      </c:lineChart>
      <c:catAx>
        <c:axId val="36772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304277"/>
        <c:crosses val="autoZero"/>
        <c:auto val="1"/>
        <c:lblAlgn val="ctr"/>
        <c:lblOffset val="100"/>
        <c:noMultiLvlLbl val="0"/>
      </c:catAx>
      <c:valAx>
        <c:axId val="836304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7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eddbee-de48-4222-8fff-6c855e4c66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[销售计划书.xlsx] 3.1 ASIN数据!数据透视表4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468181818181818"/>
          <c:y val="0.140468226527689"/>
          <c:w val="0.776558441558442"/>
          <c:h val="0.538336122195458"/>
        </c:manualLayout>
      </c:layout>
      <c:lineChart>
        <c:grouping val="standard"/>
        <c:varyColors val="0"/>
        <c:ser>
          <c:idx val="0"/>
          <c:order val="0"/>
          <c:tx>
            <c:strRef>
              <c:f>' 3.1 ASIN数据'!$I$76:$I$77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ASIN数据'!$H$78:$H$135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ASIN数据'!$I$78:$I$135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9</c:v>
                </c:pt>
                <c:pt idx="10">
                  <c:v>5</c:v>
                </c:pt>
                <c:pt idx="11">
                  <c:v>9</c:v>
                </c:pt>
                <c:pt idx="12">
                  <c:v>4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23</c:v>
                </c:pt>
                <c:pt idx="17">
                  <c:v>17</c:v>
                </c:pt>
                <c:pt idx="18">
                  <c:v>11</c:v>
                </c:pt>
                <c:pt idx="19">
                  <c:v>12</c:v>
                </c:pt>
                <c:pt idx="20">
                  <c:v>9</c:v>
                </c:pt>
                <c:pt idx="21">
                  <c:v>11</c:v>
                </c:pt>
                <c:pt idx="22">
                  <c:v>14</c:v>
                </c:pt>
                <c:pt idx="23">
                  <c:v>18</c:v>
                </c:pt>
                <c:pt idx="24">
                  <c:v>19</c:v>
                </c:pt>
                <c:pt idx="25">
                  <c:v>21</c:v>
                </c:pt>
                <c:pt idx="26">
                  <c:v>22</c:v>
                </c:pt>
                <c:pt idx="27">
                  <c:v>29</c:v>
                </c:pt>
                <c:pt idx="28">
                  <c:v>18</c:v>
                </c:pt>
                <c:pt idx="29">
                  <c:v>40</c:v>
                </c:pt>
                <c:pt idx="30">
                  <c:v>28</c:v>
                </c:pt>
                <c:pt idx="31">
                  <c:v>26</c:v>
                </c:pt>
                <c:pt idx="32">
                  <c:v>21</c:v>
                </c:pt>
                <c:pt idx="33">
                  <c:v>35</c:v>
                </c:pt>
                <c:pt idx="34">
                  <c:v>27</c:v>
                </c:pt>
                <c:pt idx="35">
                  <c:v>24</c:v>
                </c:pt>
                <c:pt idx="36">
                  <c:v>35</c:v>
                </c:pt>
                <c:pt idx="37">
                  <c:v>25</c:v>
                </c:pt>
                <c:pt idx="38">
                  <c:v>31</c:v>
                </c:pt>
                <c:pt idx="39">
                  <c:v>24</c:v>
                </c:pt>
                <c:pt idx="40">
                  <c:v>29</c:v>
                </c:pt>
                <c:pt idx="41">
                  <c:v>29</c:v>
                </c:pt>
                <c:pt idx="42">
                  <c:v>47</c:v>
                </c:pt>
                <c:pt idx="43">
                  <c:v>49</c:v>
                </c:pt>
                <c:pt idx="44">
                  <c:v>38</c:v>
                </c:pt>
                <c:pt idx="45">
                  <c:v>27</c:v>
                </c:pt>
                <c:pt idx="46">
                  <c:v>32</c:v>
                </c:pt>
                <c:pt idx="47">
                  <c:v>20</c:v>
                </c:pt>
                <c:pt idx="48">
                  <c:v>24</c:v>
                </c:pt>
                <c:pt idx="49">
                  <c:v>10</c:v>
                </c:pt>
                <c:pt idx="50">
                  <c:v>17</c:v>
                </c:pt>
                <c:pt idx="51">
                  <c:v>19</c:v>
                </c:pt>
                <c:pt idx="52">
                  <c:v>19</c:v>
                </c:pt>
                <c:pt idx="53">
                  <c:v>18</c:v>
                </c:pt>
                <c:pt idx="54">
                  <c:v>8</c:v>
                </c:pt>
                <c:pt idx="55">
                  <c:v>4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ASIN数据'!$J$76:$J$77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ASIN数据'!$H$78:$H$135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ASIN数据'!$J$78:$J$135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10</c:v>
                </c:pt>
                <c:pt idx="23">
                  <c:v>5</c:v>
                </c:pt>
                <c:pt idx="24">
                  <c:v>10</c:v>
                </c:pt>
                <c:pt idx="25">
                  <c:v>6</c:v>
                </c:pt>
                <c:pt idx="26">
                  <c:v>14</c:v>
                </c:pt>
                <c:pt idx="27">
                  <c:v>7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10</c:v>
                </c:pt>
                <c:pt idx="32">
                  <c:v>13</c:v>
                </c:pt>
                <c:pt idx="33">
                  <c:v>7</c:v>
                </c:pt>
                <c:pt idx="34">
                  <c:v>13</c:v>
                </c:pt>
                <c:pt idx="35">
                  <c:v>18</c:v>
                </c:pt>
                <c:pt idx="36">
                  <c:v>8</c:v>
                </c:pt>
                <c:pt idx="37">
                  <c:v>12</c:v>
                </c:pt>
                <c:pt idx="38">
                  <c:v>14</c:v>
                </c:pt>
                <c:pt idx="39">
                  <c:v>9</c:v>
                </c:pt>
                <c:pt idx="40">
                  <c:v>6</c:v>
                </c:pt>
                <c:pt idx="41">
                  <c:v>10</c:v>
                </c:pt>
                <c:pt idx="42">
                  <c:v>36</c:v>
                </c:pt>
                <c:pt idx="43">
                  <c:v>40</c:v>
                </c:pt>
                <c:pt idx="44">
                  <c:v>23</c:v>
                </c:pt>
                <c:pt idx="45">
                  <c:v>18</c:v>
                </c:pt>
                <c:pt idx="46">
                  <c:v>26</c:v>
                </c:pt>
                <c:pt idx="47">
                  <c:v>22</c:v>
                </c:pt>
                <c:pt idx="48">
                  <c:v>12</c:v>
                </c:pt>
                <c:pt idx="49">
                  <c:v>20</c:v>
                </c:pt>
                <c:pt idx="50">
                  <c:v>24</c:v>
                </c:pt>
                <c:pt idx="51">
                  <c:v>18</c:v>
                </c:pt>
                <c:pt idx="52">
                  <c:v>38</c:v>
                </c:pt>
                <c:pt idx="53">
                  <c:v>34</c:v>
                </c:pt>
                <c:pt idx="54">
                  <c:v>27</c:v>
                </c:pt>
                <c:pt idx="55">
                  <c:v>28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990175"/>
        <c:axId val="141198309"/>
      </c:lineChart>
      <c:catAx>
        <c:axId val="5299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198309"/>
        <c:crosses val="autoZero"/>
        <c:auto val="1"/>
        <c:lblAlgn val="ctr"/>
        <c:lblOffset val="100"/>
        <c:noMultiLvlLbl val="0"/>
      </c:catAx>
      <c:valAx>
        <c:axId val="141198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a03913-07bb-4652-95a0-65434ac054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[销售计划书.xlsx] 3.1 ASIN数据!数据透视表5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3.1 ASIN数据'!$O$76:$O$77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ASIN数据'!$N$78:$N$135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ASIN数据'!$O$78:$O$135</c:f>
              <c:numCache>
                <c:formatCode>0.00%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0.069</c:v>
                </c:pt>
                <c:pt idx="4">
                  <c:v>0.04</c:v>
                </c:pt>
                <c:pt idx="5">
                  <c:v>0</c:v>
                </c:pt>
                <c:pt idx="6">
                  <c:v>0.0312</c:v>
                </c:pt>
                <c:pt idx="7">
                  <c:v>0.075</c:v>
                </c:pt>
                <c:pt idx="8">
                  <c:v>0.0556</c:v>
                </c:pt>
                <c:pt idx="9">
                  <c:v>0.1957</c:v>
                </c:pt>
                <c:pt idx="10">
                  <c:v>0.0641</c:v>
                </c:pt>
                <c:pt idx="11">
                  <c:v>0.1268</c:v>
                </c:pt>
                <c:pt idx="12">
                  <c:v>0.0471</c:v>
                </c:pt>
                <c:pt idx="13">
                  <c:v>0.0957</c:v>
                </c:pt>
                <c:pt idx="14">
                  <c:v>0.0726</c:v>
                </c:pt>
                <c:pt idx="15">
                  <c:v>0.0537</c:v>
                </c:pt>
                <c:pt idx="16">
                  <c:v>0.1133</c:v>
                </c:pt>
                <c:pt idx="17">
                  <c:v>0.1232</c:v>
                </c:pt>
                <c:pt idx="18">
                  <c:v>0.0775</c:v>
                </c:pt>
                <c:pt idx="19">
                  <c:v>0.0984</c:v>
                </c:pt>
                <c:pt idx="20">
                  <c:v>0.0882</c:v>
                </c:pt>
                <c:pt idx="21">
                  <c:v>0.064</c:v>
                </c:pt>
                <c:pt idx="22">
                  <c:v>0.0686</c:v>
                </c:pt>
                <c:pt idx="23">
                  <c:v>0.1091</c:v>
                </c:pt>
                <c:pt idx="24">
                  <c:v>0.1086</c:v>
                </c:pt>
                <c:pt idx="25">
                  <c:v>0.105</c:v>
                </c:pt>
                <c:pt idx="26">
                  <c:v>0.125</c:v>
                </c:pt>
                <c:pt idx="27">
                  <c:v>0.1551</c:v>
                </c:pt>
                <c:pt idx="28">
                  <c:v>0.0747</c:v>
                </c:pt>
                <c:pt idx="29">
                  <c:v>0.1173</c:v>
                </c:pt>
                <c:pt idx="30">
                  <c:v>0.1244</c:v>
                </c:pt>
                <c:pt idx="31">
                  <c:v>0.1106</c:v>
                </c:pt>
                <c:pt idx="32">
                  <c:v>0.0929</c:v>
                </c:pt>
                <c:pt idx="33">
                  <c:v>0.1591</c:v>
                </c:pt>
                <c:pt idx="34">
                  <c:v>0.1311</c:v>
                </c:pt>
                <c:pt idx="35">
                  <c:v>0.096</c:v>
                </c:pt>
                <c:pt idx="36">
                  <c:v>0.1115</c:v>
                </c:pt>
                <c:pt idx="37">
                  <c:v>0.1082</c:v>
                </c:pt>
                <c:pt idx="38">
                  <c:v>0.1449</c:v>
                </c:pt>
                <c:pt idx="39">
                  <c:v>0.1257</c:v>
                </c:pt>
                <c:pt idx="40">
                  <c:v>0.1518</c:v>
                </c:pt>
                <c:pt idx="41">
                  <c:v>0.1343</c:v>
                </c:pt>
                <c:pt idx="42">
                  <c:v>0.1331</c:v>
                </c:pt>
                <c:pt idx="43">
                  <c:v>0.1216</c:v>
                </c:pt>
                <c:pt idx="44">
                  <c:v>0.1333</c:v>
                </c:pt>
                <c:pt idx="45">
                  <c:v>0.1179</c:v>
                </c:pt>
                <c:pt idx="46">
                  <c:v>0.1538</c:v>
                </c:pt>
                <c:pt idx="47">
                  <c:v>0.1198</c:v>
                </c:pt>
                <c:pt idx="48">
                  <c:v>0.15</c:v>
                </c:pt>
                <c:pt idx="49">
                  <c:v>0.0521</c:v>
                </c:pt>
                <c:pt idx="50">
                  <c:v>0.0872</c:v>
                </c:pt>
                <c:pt idx="51">
                  <c:v>0.105</c:v>
                </c:pt>
                <c:pt idx="52">
                  <c:v>0.1638</c:v>
                </c:pt>
                <c:pt idx="53">
                  <c:v>0.1714</c:v>
                </c:pt>
                <c:pt idx="54">
                  <c:v>0.0941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ASIN数据'!$P$76:$P$77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ASIN数据'!$N$78:$N$135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ASIN数据'!$P$78:$P$135</c:f>
              <c:numCache>
                <c:formatCode>0.00%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0.0357</c:v>
                </c:pt>
                <c:pt idx="6">
                  <c:v>0.1351</c:v>
                </c:pt>
                <c:pt idx="7">
                  <c:v>0.0426</c:v>
                </c:pt>
                <c:pt idx="8">
                  <c:v>0.02</c:v>
                </c:pt>
                <c:pt idx="9">
                  <c:v>0.0294</c:v>
                </c:pt>
                <c:pt idx="10">
                  <c:v>0.1042</c:v>
                </c:pt>
                <c:pt idx="11">
                  <c:v>0.0484</c:v>
                </c:pt>
                <c:pt idx="12">
                  <c:v>0.0962</c:v>
                </c:pt>
                <c:pt idx="13">
                  <c:v>0.0492</c:v>
                </c:pt>
                <c:pt idx="14">
                  <c:v>0.0247</c:v>
                </c:pt>
                <c:pt idx="15">
                  <c:v>0.1222</c:v>
                </c:pt>
                <c:pt idx="16">
                  <c:v>0.0853</c:v>
                </c:pt>
                <c:pt idx="17">
                  <c:v>0.1299</c:v>
                </c:pt>
                <c:pt idx="18">
                  <c:v>0.0645</c:v>
                </c:pt>
                <c:pt idx="19">
                  <c:v>0.0656</c:v>
                </c:pt>
                <c:pt idx="20">
                  <c:v>0.0862</c:v>
                </c:pt>
                <c:pt idx="21">
                  <c:v>0.0746</c:v>
                </c:pt>
                <c:pt idx="22">
                  <c:v>0.1235</c:v>
                </c:pt>
                <c:pt idx="23">
                  <c:v>0.0893</c:v>
                </c:pt>
                <c:pt idx="24">
                  <c:v>0.1667</c:v>
                </c:pt>
                <c:pt idx="25">
                  <c:v>0.0845</c:v>
                </c:pt>
                <c:pt idx="26">
                  <c:v>0.1944</c:v>
                </c:pt>
                <c:pt idx="27">
                  <c:v>0.1045</c:v>
                </c:pt>
                <c:pt idx="28">
                  <c:v>0.0879</c:v>
                </c:pt>
                <c:pt idx="29">
                  <c:v>0.16</c:v>
                </c:pt>
                <c:pt idx="30">
                  <c:v>0.1096</c:v>
                </c:pt>
                <c:pt idx="31">
                  <c:v>0.1087</c:v>
                </c:pt>
                <c:pt idx="32">
                  <c:v>0.1529</c:v>
                </c:pt>
                <c:pt idx="33">
                  <c:v>0.1061</c:v>
                </c:pt>
                <c:pt idx="34">
                  <c:v>0.1757</c:v>
                </c:pt>
                <c:pt idx="35">
                  <c:v>0.2338</c:v>
                </c:pt>
                <c:pt idx="36">
                  <c:v>0.0708</c:v>
                </c:pt>
                <c:pt idx="37">
                  <c:v>0.1412</c:v>
                </c:pt>
                <c:pt idx="38">
                  <c:v>0.2295</c:v>
                </c:pt>
                <c:pt idx="39">
                  <c:v>0.15</c:v>
                </c:pt>
                <c:pt idx="40">
                  <c:v>0.087</c:v>
                </c:pt>
                <c:pt idx="41">
                  <c:v>0.1449</c:v>
                </c:pt>
                <c:pt idx="42">
                  <c:v>0.2</c:v>
                </c:pt>
                <c:pt idx="43">
                  <c:v>0.181</c:v>
                </c:pt>
                <c:pt idx="44">
                  <c:v>0.1825</c:v>
                </c:pt>
                <c:pt idx="45">
                  <c:v>0.1513</c:v>
                </c:pt>
                <c:pt idx="46">
                  <c:v>0.2222</c:v>
                </c:pt>
                <c:pt idx="47">
                  <c:v>0.1913</c:v>
                </c:pt>
                <c:pt idx="48">
                  <c:v>0.125</c:v>
                </c:pt>
                <c:pt idx="49">
                  <c:v>0.1493</c:v>
                </c:pt>
                <c:pt idx="50">
                  <c:v>0.1818</c:v>
                </c:pt>
                <c:pt idx="51">
                  <c:v>0.1071</c:v>
                </c:pt>
                <c:pt idx="52">
                  <c:v>0.2405</c:v>
                </c:pt>
                <c:pt idx="53">
                  <c:v>0.2411</c:v>
                </c:pt>
                <c:pt idx="54">
                  <c:v>0.1901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1363978"/>
        <c:axId val="70075672"/>
      </c:lineChart>
      <c:catAx>
        <c:axId val="501363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75672"/>
        <c:crosses val="autoZero"/>
        <c:auto val="1"/>
        <c:lblAlgn val="ctr"/>
        <c:lblOffset val="100"/>
        <c:noMultiLvlLbl val="0"/>
      </c:catAx>
      <c:valAx>
        <c:axId val="7007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363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b968ff-7eb1-471e-b66c-eafa064078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64770</xdr:colOff>
      <xdr:row>28</xdr:row>
      <xdr:rowOff>64770</xdr:rowOff>
    </xdr:from>
    <xdr:to>
      <xdr:col>4</xdr:col>
      <xdr:colOff>331470</xdr:colOff>
      <xdr:row>28</xdr:row>
      <xdr:rowOff>264795</xdr:rowOff>
    </xdr:to>
    <xdr:sp>
      <xdr:nvSpPr>
        <xdr:cNvPr id="2" name="波形 1"/>
        <xdr:cNvSpPr/>
      </xdr:nvSpPr>
      <xdr:spPr>
        <a:xfrm>
          <a:off x="6650990" y="1107059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62230</xdr:colOff>
      <xdr:row>35</xdr:row>
      <xdr:rowOff>41275</xdr:rowOff>
    </xdr:from>
    <xdr:to>
      <xdr:col>7</xdr:col>
      <xdr:colOff>328930</xdr:colOff>
      <xdr:row>35</xdr:row>
      <xdr:rowOff>241300</xdr:rowOff>
    </xdr:to>
    <xdr:sp>
      <xdr:nvSpPr>
        <xdr:cNvPr id="3" name="波形 2"/>
        <xdr:cNvSpPr/>
      </xdr:nvSpPr>
      <xdr:spPr>
        <a:xfrm>
          <a:off x="7936230" y="132695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62230</xdr:colOff>
      <xdr:row>36</xdr:row>
      <xdr:rowOff>50800</xdr:rowOff>
    </xdr:from>
    <xdr:to>
      <xdr:col>9</xdr:col>
      <xdr:colOff>328930</xdr:colOff>
      <xdr:row>36</xdr:row>
      <xdr:rowOff>250825</xdr:rowOff>
    </xdr:to>
    <xdr:sp>
      <xdr:nvSpPr>
        <xdr:cNvPr id="4" name="波形 3"/>
        <xdr:cNvSpPr/>
      </xdr:nvSpPr>
      <xdr:spPr>
        <a:xfrm>
          <a:off x="8794750" y="135966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71755</xdr:colOff>
      <xdr:row>39</xdr:row>
      <xdr:rowOff>50800</xdr:rowOff>
    </xdr:from>
    <xdr:to>
      <xdr:col>20</xdr:col>
      <xdr:colOff>338455</xdr:colOff>
      <xdr:row>39</xdr:row>
      <xdr:rowOff>250825</xdr:rowOff>
    </xdr:to>
    <xdr:sp>
      <xdr:nvSpPr>
        <xdr:cNvPr id="5" name="波形 4"/>
        <xdr:cNvSpPr/>
      </xdr:nvSpPr>
      <xdr:spPr>
        <a:xfrm>
          <a:off x="13526135" y="145491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71755</xdr:colOff>
      <xdr:row>52</xdr:row>
      <xdr:rowOff>60325</xdr:rowOff>
    </xdr:from>
    <xdr:to>
      <xdr:col>7</xdr:col>
      <xdr:colOff>338455</xdr:colOff>
      <xdr:row>52</xdr:row>
      <xdr:rowOff>260350</xdr:rowOff>
    </xdr:to>
    <xdr:sp>
      <xdr:nvSpPr>
        <xdr:cNvPr id="6" name="波形 5"/>
        <xdr:cNvSpPr/>
      </xdr:nvSpPr>
      <xdr:spPr>
        <a:xfrm>
          <a:off x="7945755" y="186861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71755</xdr:colOff>
      <xdr:row>56</xdr:row>
      <xdr:rowOff>50800</xdr:rowOff>
    </xdr:from>
    <xdr:to>
      <xdr:col>20</xdr:col>
      <xdr:colOff>338455</xdr:colOff>
      <xdr:row>56</xdr:row>
      <xdr:rowOff>250825</xdr:rowOff>
    </xdr:to>
    <xdr:sp>
      <xdr:nvSpPr>
        <xdr:cNvPr id="7" name="波形 6"/>
        <xdr:cNvSpPr/>
      </xdr:nvSpPr>
      <xdr:spPr>
        <a:xfrm>
          <a:off x="13526135" y="199466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71755</xdr:colOff>
      <xdr:row>61</xdr:row>
      <xdr:rowOff>50800</xdr:rowOff>
    </xdr:from>
    <xdr:to>
      <xdr:col>37</xdr:col>
      <xdr:colOff>338455</xdr:colOff>
      <xdr:row>61</xdr:row>
      <xdr:rowOff>250825</xdr:rowOff>
    </xdr:to>
    <xdr:sp>
      <xdr:nvSpPr>
        <xdr:cNvPr id="8" name="波形 7"/>
        <xdr:cNvSpPr/>
      </xdr:nvSpPr>
      <xdr:spPr>
        <a:xfrm>
          <a:off x="20823555" y="215341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71755</xdr:colOff>
      <xdr:row>62</xdr:row>
      <xdr:rowOff>69850</xdr:rowOff>
    </xdr:from>
    <xdr:to>
      <xdr:col>38</xdr:col>
      <xdr:colOff>338455</xdr:colOff>
      <xdr:row>62</xdr:row>
      <xdr:rowOff>269875</xdr:rowOff>
    </xdr:to>
    <xdr:sp>
      <xdr:nvSpPr>
        <xdr:cNvPr id="9" name="波形 8"/>
        <xdr:cNvSpPr/>
      </xdr:nvSpPr>
      <xdr:spPr>
        <a:xfrm>
          <a:off x="21252815" y="218706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71755</xdr:colOff>
      <xdr:row>64</xdr:row>
      <xdr:rowOff>50800</xdr:rowOff>
    </xdr:from>
    <xdr:to>
      <xdr:col>32</xdr:col>
      <xdr:colOff>338455</xdr:colOff>
      <xdr:row>64</xdr:row>
      <xdr:rowOff>250825</xdr:rowOff>
    </xdr:to>
    <xdr:sp>
      <xdr:nvSpPr>
        <xdr:cNvPr id="10" name="波形 9"/>
        <xdr:cNvSpPr/>
      </xdr:nvSpPr>
      <xdr:spPr>
        <a:xfrm>
          <a:off x="18677255" y="224866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71755</xdr:colOff>
      <xdr:row>66</xdr:row>
      <xdr:rowOff>60325</xdr:rowOff>
    </xdr:from>
    <xdr:to>
      <xdr:col>40</xdr:col>
      <xdr:colOff>338455</xdr:colOff>
      <xdr:row>66</xdr:row>
      <xdr:rowOff>260350</xdr:rowOff>
    </xdr:to>
    <xdr:sp>
      <xdr:nvSpPr>
        <xdr:cNvPr id="11" name="波形 10"/>
        <xdr:cNvSpPr/>
      </xdr:nvSpPr>
      <xdr:spPr>
        <a:xfrm>
          <a:off x="22111335" y="231311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53</xdr:col>
      <xdr:colOff>62230</xdr:colOff>
      <xdr:row>71</xdr:row>
      <xdr:rowOff>60325</xdr:rowOff>
    </xdr:from>
    <xdr:to>
      <xdr:col>53</xdr:col>
      <xdr:colOff>328930</xdr:colOff>
      <xdr:row>71</xdr:row>
      <xdr:rowOff>260350</xdr:rowOff>
    </xdr:to>
    <xdr:sp>
      <xdr:nvSpPr>
        <xdr:cNvPr id="12" name="波形 11"/>
        <xdr:cNvSpPr/>
      </xdr:nvSpPr>
      <xdr:spPr>
        <a:xfrm>
          <a:off x="27674570" y="248202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81280</xdr:colOff>
      <xdr:row>73</xdr:row>
      <xdr:rowOff>60325</xdr:rowOff>
    </xdr:from>
    <xdr:to>
      <xdr:col>51</xdr:col>
      <xdr:colOff>347980</xdr:colOff>
      <xdr:row>73</xdr:row>
      <xdr:rowOff>260350</xdr:rowOff>
    </xdr:to>
    <xdr:sp>
      <xdr:nvSpPr>
        <xdr:cNvPr id="13" name="波形 12"/>
        <xdr:cNvSpPr/>
      </xdr:nvSpPr>
      <xdr:spPr>
        <a:xfrm>
          <a:off x="26842720" y="254552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53</xdr:col>
      <xdr:colOff>71755</xdr:colOff>
      <xdr:row>74</xdr:row>
      <xdr:rowOff>69850</xdr:rowOff>
    </xdr:from>
    <xdr:to>
      <xdr:col>53</xdr:col>
      <xdr:colOff>338455</xdr:colOff>
      <xdr:row>74</xdr:row>
      <xdr:rowOff>269875</xdr:rowOff>
    </xdr:to>
    <xdr:sp>
      <xdr:nvSpPr>
        <xdr:cNvPr id="14" name="波形 13"/>
        <xdr:cNvSpPr/>
      </xdr:nvSpPr>
      <xdr:spPr>
        <a:xfrm>
          <a:off x="27684095" y="257822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81280</xdr:colOff>
      <xdr:row>90</xdr:row>
      <xdr:rowOff>60325</xdr:rowOff>
    </xdr:from>
    <xdr:to>
      <xdr:col>41</xdr:col>
      <xdr:colOff>347980</xdr:colOff>
      <xdr:row>90</xdr:row>
      <xdr:rowOff>260350</xdr:rowOff>
    </xdr:to>
    <xdr:sp>
      <xdr:nvSpPr>
        <xdr:cNvPr id="15" name="波形 14"/>
        <xdr:cNvSpPr/>
      </xdr:nvSpPr>
      <xdr:spPr>
        <a:xfrm>
          <a:off x="22550120" y="308527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65405</xdr:colOff>
      <xdr:row>92</xdr:row>
      <xdr:rowOff>60325</xdr:rowOff>
    </xdr:from>
    <xdr:to>
      <xdr:col>47</xdr:col>
      <xdr:colOff>332105</xdr:colOff>
      <xdr:row>92</xdr:row>
      <xdr:rowOff>260350</xdr:rowOff>
    </xdr:to>
    <xdr:sp>
      <xdr:nvSpPr>
        <xdr:cNvPr id="16" name="波形 15"/>
        <xdr:cNvSpPr/>
      </xdr:nvSpPr>
      <xdr:spPr>
        <a:xfrm>
          <a:off x="25109805" y="314877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74930</xdr:colOff>
      <xdr:row>93</xdr:row>
      <xdr:rowOff>60325</xdr:rowOff>
    </xdr:from>
    <xdr:to>
      <xdr:col>48</xdr:col>
      <xdr:colOff>341630</xdr:colOff>
      <xdr:row>93</xdr:row>
      <xdr:rowOff>260350</xdr:rowOff>
    </xdr:to>
    <xdr:sp>
      <xdr:nvSpPr>
        <xdr:cNvPr id="17" name="波形 16"/>
        <xdr:cNvSpPr/>
      </xdr:nvSpPr>
      <xdr:spPr>
        <a:xfrm>
          <a:off x="25548590" y="318052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162560</xdr:colOff>
      <xdr:row>6</xdr:row>
      <xdr:rowOff>906780</xdr:rowOff>
    </xdr:from>
    <xdr:to>
      <xdr:col>41</xdr:col>
      <xdr:colOff>36830</xdr:colOff>
      <xdr:row>6</xdr:row>
      <xdr:rowOff>960120</xdr:rowOff>
    </xdr:to>
    <xdr:cxnSp>
      <xdr:nvCxnSpPr>
        <xdr:cNvPr id="18" name="直接箭头连接符 17"/>
        <xdr:cNvCxnSpPr/>
      </xdr:nvCxnSpPr>
      <xdr:spPr>
        <a:xfrm flipV="1">
          <a:off x="162560" y="3061335"/>
          <a:ext cx="22343110" cy="5334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267335</xdr:colOff>
      <xdr:row>6</xdr:row>
      <xdr:rowOff>488315</xdr:rowOff>
    </xdr:from>
    <xdr:to>
      <xdr:col>0</xdr:col>
      <xdr:colOff>412115</xdr:colOff>
      <xdr:row>6</xdr:row>
      <xdr:rowOff>912495</xdr:rowOff>
    </xdr:to>
    <xdr:sp>
      <xdr:nvSpPr>
        <xdr:cNvPr id="19" name="流程图: 摘录 18"/>
        <xdr:cNvSpPr/>
      </xdr:nvSpPr>
      <xdr:spPr>
        <a:xfrm rot="10800000">
          <a:off x="267335" y="2642870"/>
          <a:ext cx="144780" cy="424180"/>
        </a:xfrm>
        <a:prstGeom prst="flowChartExtra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635</xdr:colOff>
      <xdr:row>6</xdr:row>
      <xdr:rowOff>220980</xdr:rowOff>
    </xdr:from>
    <xdr:ext cx="741680" cy="273685"/>
    <xdr:sp>
      <xdr:nvSpPr>
        <xdr:cNvPr id="20" name="文本框 19"/>
        <xdr:cNvSpPr txBox="1"/>
      </xdr:nvSpPr>
      <xdr:spPr>
        <a:xfrm>
          <a:off x="635" y="2375535"/>
          <a:ext cx="74168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项目立项</a:t>
          </a:r>
          <a:endParaRPr lang="zh-CN" altLang="en-US" sz="1100"/>
        </a:p>
      </xdr:txBody>
    </xdr:sp>
    <xdr:clientData/>
  </xdr:oneCellAnchor>
  <xdr:oneCellAnchor>
    <xdr:from>
      <xdr:col>0</xdr:col>
      <xdr:colOff>114935</xdr:colOff>
      <xdr:row>6</xdr:row>
      <xdr:rowOff>1002030</xdr:rowOff>
    </xdr:from>
    <xdr:ext cx="438785" cy="273685"/>
    <xdr:sp>
      <xdr:nvSpPr>
        <xdr:cNvPr id="21" name="文本框 20"/>
        <xdr:cNvSpPr txBox="1"/>
      </xdr:nvSpPr>
      <xdr:spPr>
        <a:xfrm>
          <a:off x="114935" y="3156585"/>
          <a:ext cx="438785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1-10</a:t>
          </a:r>
          <a:endParaRPr lang="zh-CN" altLang="en-US" sz="1100"/>
        </a:p>
      </xdr:txBody>
    </xdr:sp>
    <xdr:clientData/>
  </xdr:oneCellAnchor>
  <xdr:twoCellAnchor>
    <xdr:from>
      <xdr:col>0</xdr:col>
      <xdr:colOff>793750</xdr:colOff>
      <xdr:row>6</xdr:row>
      <xdr:rowOff>982980</xdr:rowOff>
    </xdr:from>
    <xdr:to>
      <xdr:col>0</xdr:col>
      <xdr:colOff>869950</xdr:colOff>
      <xdr:row>6</xdr:row>
      <xdr:rowOff>1143000</xdr:rowOff>
    </xdr:to>
    <xdr:sp>
      <xdr:nvSpPr>
        <xdr:cNvPr id="22" name="流程图: 合并 21"/>
        <xdr:cNvSpPr/>
      </xdr:nvSpPr>
      <xdr:spPr>
        <a:xfrm rot="10800000">
          <a:off x="793750" y="313753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386080</xdr:colOff>
      <xdr:row>6</xdr:row>
      <xdr:rowOff>1144905</xdr:rowOff>
    </xdr:from>
    <xdr:ext cx="1299210" cy="440055"/>
    <xdr:sp>
      <xdr:nvSpPr>
        <xdr:cNvPr id="23" name="文本框 22"/>
        <xdr:cNvSpPr txBox="1"/>
      </xdr:nvSpPr>
      <xdr:spPr>
        <a:xfrm>
          <a:off x="386080" y="3299460"/>
          <a:ext cx="1299210" cy="440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        1-12</a:t>
          </a:r>
          <a:endParaRPr lang="en-US" altLang="zh-CN" sz="1100"/>
        </a:p>
        <a:p>
          <a:r>
            <a:rPr lang="zh-CN" altLang="en-US" sz="1000">
              <a:sym typeface="+mn-ea"/>
            </a:rPr>
            <a:t>       初步确立卖点</a:t>
          </a:r>
          <a:endParaRPr lang="zh-CN" altLang="en-US" sz="1100"/>
        </a:p>
      </xdr:txBody>
    </xdr:sp>
    <xdr:clientData/>
  </xdr:oneCellAnchor>
  <xdr:twoCellAnchor>
    <xdr:from>
      <xdr:col>0</xdr:col>
      <xdr:colOff>1739265</xdr:colOff>
      <xdr:row>6</xdr:row>
      <xdr:rowOff>773430</xdr:rowOff>
    </xdr:from>
    <xdr:to>
      <xdr:col>0</xdr:col>
      <xdr:colOff>1815465</xdr:colOff>
      <xdr:row>6</xdr:row>
      <xdr:rowOff>933450</xdr:rowOff>
    </xdr:to>
    <xdr:sp>
      <xdr:nvSpPr>
        <xdr:cNvPr id="24" name="流程图: 合并 23"/>
        <xdr:cNvSpPr/>
      </xdr:nvSpPr>
      <xdr:spPr>
        <a:xfrm>
          <a:off x="1739265" y="292798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1067435</xdr:colOff>
      <xdr:row>6</xdr:row>
      <xdr:rowOff>382905</xdr:rowOff>
    </xdr:from>
    <xdr:ext cx="1581785" cy="423545"/>
    <xdr:sp>
      <xdr:nvSpPr>
        <xdr:cNvPr id="25" name="文本框 24"/>
        <xdr:cNvSpPr txBox="1"/>
      </xdr:nvSpPr>
      <xdr:spPr>
        <a:xfrm>
          <a:off x="1067435" y="2537460"/>
          <a:ext cx="158178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输出五点卖点、图片需求</a:t>
          </a:r>
          <a:endParaRPr lang="zh-CN" altLang="en-US" sz="1000"/>
        </a:p>
        <a:p>
          <a:r>
            <a:rPr lang="en-US" altLang="en-US" sz="1000"/>
            <a:t>                 1-18</a:t>
          </a:r>
          <a:endParaRPr lang="en-US" altLang="en-US" sz="1000"/>
        </a:p>
      </xdr:txBody>
    </xdr:sp>
    <xdr:clientData/>
  </xdr:oneCellAnchor>
  <xdr:twoCellAnchor>
    <xdr:from>
      <xdr:col>0</xdr:col>
      <xdr:colOff>1542415</xdr:colOff>
      <xdr:row>6</xdr:row>
      <xdr:rowOff>986155</xdr:rowOff>
    </xdr:from>
    <xdr:to>
      <xdr:col>0</xdr:col>
      <xdr:colOff>1618615</xdr:colOff>
      <xdr:row>6</xdr:row>
      <xdr:rowOff>1441450</xdr:rowOff>
    </xdr:to>
    <xdr:sp>
      <xdr:nvSpPr>
        <xdr:cNvPr id="26" name="流程图: 合并 25"/>
        <xdr:cNvSpPr/>
      </xdr:nvSpPr>
      <xdr:spPr>
        <a:xfrm rot="10800000">
          <a:off x="1542415" y="3140710"/>
          <a:ext cx="76200" cy="45529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689610</xdr:colOff>
      <xdr:row>6</xdr:row>
      <xdr:rowOff>1488440</xdr:rowOff>
    </xdr:from>
    <xdr:ext cx="1986280" cy="423545"/>
    <xdr:sp>
      <xdr:nvSpPr>
        <xdr:cNvPr id="27" name="文本框 26"/>
        <xdr:cNvSpPr txBox="1"/>
      </xdr:nvSpPr>
      <xdr:spPr>
        <a:xfrm>
          <a:off x="689610" y="3642995"/>
          <a:ext cx="198628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               1-17</a:t>
          </a:r>
          <a:endParaRPr lang="en-US" altLang="en-US" sz="1000"/>
        </a:p>
        <a:p>
          <a:r>
            <a:rPr lang="zh-CN" altLang="en-US" sz="1000"/>
            <a:t>        对接推广需求（测评</a:t>
          </a:r>
          <a:r>
            <a:rPr lang="en-US" altLang="zh-CN" sz="1000"/>
            <a:t>/</a:t>
          </a:r>
          <a:r>
            <a:rPr lang="zh-CN" altLang="en-US" sz="1000"/>
            <a:t>红人）</a:t>
          </a:r>
          <a:endParaRPr lang="en-US" altLang="zh-CN" sz="1000"/>
        </a:p>
      </xdr:txBody>
    </xdr:sp>
    <xdr:clientData/>
  </xdr:oneCellAnchor>
  <xdr:twoCellAnchor>
    <xdr:from>
      <xdr:col>7</xdr:col>
      <xdr:colOff>100330</xdr:colOff>
      <xdr:row>6</xdr:row>
      <xdr:rowOff>723900</xdr:rowOff>
    </xdr:from>
    <xdr:to>
      <xdr:col>7</xdr:col>
      <xdr:colOff>176530</xdr:colOff>
      <xdr:row>6</xdr:row>
      <xdr:rowOff>883920</xdr:rowOff>
    </xdr:to>
    <xdr:sp>
      <xdr:nvSpPr>
        <xdr:cNvPr id="28" name="流程图: 合并 27"/>
        <xdr:cNvSpPr/>
      </xdr:nvSpPr>
      <xdr:spPr>
        <a:xfrm>
          <a:off x="7974330" y="287845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257810</xdr:colOff>
      <xdr:row>6</xdr:row>
      <xdr:rowOff>268605</xdr:rowOff>
    </xdr:from>
    <xdr:ext cx="1312545" cy="423545"/>
    <xdr:sp>
      <xdr:nvSpPr>
        <xdr:cNvPr id="29" name="文本框 28"/>
        <xdr:cNvSpPr txBox="1"/>
      </xdr:nvSpPr>
      <xdr:spPr>
        <a:xfrm>
          <a:off x="7273290" y="2423160"/>
          <a:ext cx="131254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完成标题、五点终稿</a:t>
          </a:r>
          <a:endParaRPr lang="zh-CN" altLang="en-US" sz="1000"/>
        </a:p>
        <a:p>
          <a:r>
            <a:rPr lang="en-US" altLang="en-US" sz="1000"/>
            <a:t>                 2-10</a:t>
          </a:r>
          <a:endParaRPr lang="en-US" altLang="en-US" sz="1000"/>
        </a:p>
      </xdr:txBody>
    </xdr:sp>
    <xdr:clientData/>
  </xdr:oneCellAnchor>
  <xdr:twoCellAnchor>
    <xdr:from>
      <xdr:col>11</xdr:col>
      <xdr:colOff>9525</xdr:colOff>
      <xdr:row>6</xdr:row>
      <xdr:rowOff>733425</xdr:rowOff>
    </xdr:from>
    <xdr:to>
      <xdr:col>11</xdr:col>
      <xdr:colOff>85725</xdr:colOff>
      <xdr:row>6</xdr:row>
      <xdr:rowOff>893445</xdr:rowOff>
    </xdr:to>
    <xdr:sp>
      <xdr:nvSpPr>
        <xdr:cNvPr id="30" name="流程图: 合并 29"/>
        <xdr:cNvSpPr/>
      </xdr:nvSpPr>
      <xdr:spPr>
        <a:xfrm>
          <a:off x="9600565" y="2887980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9</xdr:col>
      <xdr:colOff>48260</xdr:colOff>
      <xdr:row>6</xdr:row>
      <xdr:rowOff>316230</xdr:rowOff>
    </xdr:from>
    <xdr:ext cx="1804670" cy="423545"/>
    <xdr:sp>
      <xdr:nvSpPr>
        <xdr:cNvPr id="31" name="文本框 30"/>
        <xdr:cNvSpPr txBox="1"/>
      </xdr:nvSpPr>
      <xdr:spPr>
        <a:xfrm>
          <a:off x="8780780" y="2470785"/>
          <a:ext cx="180467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完成长描、</a:t>
          </a:r>
          <a:r>
            <a:rPr lang="en-US" altLang="zh-CN" sz="1000"/>
            <a:t>ST</a:t>
          </a:r>
          <a:r>
            <a:rPr lang="zh-CN" altLang="en-US" sz="1000"/>
            <a:t>、产品信息终稿</a:t>
          </a:r>
          <a:endParaRPr lang="zh-CN" altLang="en-US" sz="1000"/>
        </a:p>
        <a:p>
          <a:r>
            <a:rPr lang="en-US" altLang="en-US" sz="1000"/>
            <a:t>                     2-15</a:t>
          </a:r>
          <a:endParaRPr lang="en-US" altLang="en-US" sz="1000"/>
        </a:p>
      </xdr:txBody>
    </xdr:sp>
    <xdr:clientData/>
  </xdr:oneCellAnchor>
  <xdr:twoCellAnchor>
    <xdr:from>
      <xdr:col>16</xdr:col>
      <xdr:colOff>127000</xdr:colOff>
      <xdr:row>6</xdr:row>
      <xdr:rowOff>711835</xdr:rowOff>
    </xdr:from>
    <xdr:to>
      <xdr:col>16</xdr:col>
      <xdr:colOff>203200</xdr:colOff>
      <xdr:row>6</xdr:row>
      <xdr:rowOff>871855</xdr:rowOff>
    </xdr:to>
    <xdr:sp>
      <xdr:nvSpPr>
        <xdr:cNvPr id="32" name="流程图: 合并 31"/>
        <xdr:cNvSpPr/>
      </xdr:nvSpPr>
      <xdr:spPr>
        <a:xfrm>
          <a:off x="11864340" y="2866390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15</xdr:col>
      <xdr:colOff>122555</xdr:colOff>
      <xdr:row>6</xdr:row>
      <xdr:rowOff>325120</xdr:rowOff>
    </xdr:from>
    <xdr:ext cx="812800" cy="423545"/>
    <xdr:sp>
      <xdr:nvSpPr>
        <xdr:cNvPr id="33" name="文本框 32"/>
        <xdr:cNvSpPr txBox="1"/>
      </xdr:nvSpPr>
      <xdr:spPr>
        <a:xfrm>
          <a:off x="11430635" y="2479675"/>
          <a:ext cx="81280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完成主副图</a:t>
          </a:r>
          <a:endParaRPr lang="zh-CN" altLang="en-US" sz="1000"/>
        </a:p>
        <a:p>
          <a:r>
            <a:rPr lang="en-US" altLang="en-US" sz="1000"/>
            <a:t>        2-24</a:t>
          </a:r>
          <a:endParaRPr lang="en-US" altLang="en-US" sz="1000"/>
        </a:p>
      </xdr:txBody>
    </xdr:sp>
    <xdr:clientData/>
  </xdr:oneCellAnchor>
  <xdr:twoCellAnchor>
    <xdr:from>
      <xdr:col>19</xdr:col>
      <xdr:colOff>339725</xdr:colOff>
      <xdr:row>6</xdr:row>
      <xdr:rowOff>749300</xdr:rowOff>
    </xdr:from>
    <xdr:to>
      <xdr:col>20</xdr:col>
      <xdr:colOff>29845</xdr:colOff>
      <xdr:row>6</xdr:row>
      <xdr:rowOff>909320</xdr:rowOff>
    </xdr:to>
    <xdr:sp>
      <xdr:nvSpPr>
        <xdr:cNvPr id="34" name="流程图: 合并 33"/>
        <xdr:cNvSpPr/>
      </xdr:nvSpPr>
      <xdr:spPr>
        <a:xfrm>
          <a:off x="13364845" y="2903855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18</xdr:col>
      <xdr:colOff>349885</xdr:colOff>
      <xdr:row>6</xdr:row>
      <xdr:rowOff>332105</xdr:rowOff>
    </xdr:from>
    <xdr:ext cx="753110" cy="423545"/>
    <xdr:sp>
      <xdr:nvSpPr>
        <xdr:cNvPr id="35" name="文本框 34"/>
        <xdr:cNvSpPr txBox="1"/>
      </xdr:nvSpPr>
      <xdr:spPr>
        <a:xfrm>
          <a:off x="12945745" y="2486660"/>
          <a:ext cx="75311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00"/>
            <a:t>  </a:t>
          </a:r>
          <a:r>
            <a:rPr lang="zh-CN" altLang="en-US" sz="1000"/>
            <a:t>完成</a:t>
          </a:r>
          <a:r>
            <a:rPr lang="en-US" altLang="zh-CN" sz="1000"/>
            <a:t>A+</a:t>
          </a:r>
          <a:r>
            <a:rPr lang="zh-CN" altLang="en-US" sz="1000"/>
            <a:t>图</a:t>
          </a:r>
          <a:endParaRPr lang="zh-CN" altLang="en-US" sz="1000"/>
        </a:p>
        <a:p>
          <a:r>
            <a:rPr lang="en-US" altLang="en-US" sz="1000"/>
            <a:t>        2-28</a:t>
          </a:r>
          <a:endParaRPr lang="en-US" altLang="en-US" sz="1000"/>
        </a:p>
      </xdr:txBody>
    </xdr:sp>
    <xdr:clientData/>
  </xdr:oneCellAnchor>
  <xdr:twoCellAnchor>
    <xdr:from>
      <xdr:col>22</xdr:col>
      <xdr:colOff>335915</xdr:colOff>
      <xdr:row>6</xdr:row>
      <xdr:rowOff>731520</xdr:rowOff>
    </xdr:from>
    <xdr:to>
      <xdr:col>23</xdr:col>
      <xdr:colOff>26035</xdr:colOff>
      <xdr:row>6</xdr:row>
      <xdr:rowOff>891540</xdr:rowOff>
    </xdr:to>
    <xdr:sp>
      <xdr:nvSpPr>
        <xdr:cNvPr id="36" name="流程图: 合并 35"/>
        <xdr:cNvSpPr/>
      </xdr:nvSpPr>
      <xdr:spPr>
        <a:xfrm>
          <a:off x="14648815" y="2886075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21</xdr:col>
      <xdr:colOff>290830</xdr:colOff>
      <xdr:row>6</xdr:row>
      <xdr:rowOff>316230</xdr:rowOff>
    </xdr:from>
    <xdr:ext cx="902335" cy="423545"/>
    <xdr:sp>
      <xdr:nvSpPr>
        <xdr:cNvPr id="37" name="文本框 36"/>
        <xdr:cNvSpPr txBox="1"/>
      </xdr:nvSpPr>
      <xdr:spPr>
        <a:xfrm>
          <a:off x="14174470" y="2470785"/>
          <a:ext cx="90233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00"/>
            <a:t>  </a:t>
          </a:r>
          <a:r>
            <a:rPr lang="zh-CN" altLang="en-US" sz="1000"/>
            <a:t>完成</a:t>
          </a:r>
          <a:r>
            <a:rPr lang="en-US" altLang="zh-CN" sz="1000"/>
            <a:t>QA</a:t>
          </a:r>
          <a:r>
            <a:rPr lang="zh-CN" altLang="en-US" sz="1000"/>
            <a:t>视频</a:t>
          </a:r>
          <a:endParaRPr lang="zh-CN" altLang="en-US" sz="1000"/>
        </a:p>
        <a:p>
          <a:r>
            <a:rPr lang="en-US" altLang="en-US" sz="1000"/>
            <a:t>         3-2</a:t>
          </a:r>
          <a:endParaRPr lang="en-US" altLang="en-US" sz="1000"/>
        </a:p>
      </xdr:txBody>
    </xdr:sp>
    <xdr:clientData/>
  </xdr:oneCellAnchor>
  <xdr:twoCellAnchor>
    <xdr:from>
      <xdr:col>22</xdr:col>
      <xdr:colOff>337820</xdr:colOff>
      <xdr:row>6</xdr:row>
      <xdr:rowOff>955040</xdr:rowOff>
    </xdr:from>
    <xdr:to>
      <xdr:col>23</xdr:col>
      <xdr:colOff>27940</xdr:colOff>
      <xdr:row>6</xdr:row>
      <xdr:rowOff>1115060</xdr:rowOff>
    </xdr:to>
    <xdr:sp>
      <xdr:nvSpPr>
        <xdr:cNvPr id="38" name="流程图: 合并 37"/>
        <xdr:cNvSpPr/>
      </xdr:nvSpPr>
      <xdr:spPr>
        <a:xfrm rot="10800000">
          <a:off x="14650720" y="3109595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21</xdr:col>
      <xdr:colOff>304800</xdr:colOff>
      <xdr:row>6</xdr:row>
      <xdr:rowOff>1137285</xdr:rowOff>
    </xdr:from>
    <xdr:ext cx="958850" cy="423545"/>
    <xdr:sp>
      <xdr:nvSpPr>
        <xdr:cNvPr id="39" name="文本框 38"/>
        <xdr:cNvSpPr txBox="1"/>
      </xdr:nvSpPr>
      <xdr:spPr>
        <a:xfrm>
          <a:off x="14188440" y="3291840"/>
          <a:ext cx="95885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 3-2</a:t>
          </a:r>
          <a:endParaRPr lang="en-US" altLang="en-US" sz="1000"/>
        </a:p>
        <a:p>
          <a:r>
            <a:rPr lang="zh-CN" altLang="en-US" sz="1000"/>
            <a:t>完成</a:t>
          </a:r>
          <a:r>
            <a:rPr lang="en-US" altLang="zh-CN" sz="1000"/>
            <a:t>RV</a:t>
          </a:r>
          <a:r>
            <a:rPr lang="zh-CN" altLang="en-US" sz="1000"/>
            <a:t>（图文）</a:t>
          </a:r>
          <a:endParaRPr lang="en-US" altLang="zh-CN" sz="1000"/>
        </a:p>
      </xdr:txBody>
    </xdr:sp>
    <xdr:clientData/>
  </xdr:oneCellAnchor>
  <xdr:twoCellAnchor>
    <xdr:from>
      <xdr:col>27</xdr:col>
      <xdr:colOff>6985</xdr:colOff>
      <xdr:row>6</xdr:row>
      <xdr:rowOff>727075</xdr:rowOff>
    </xdr:from>
    <xdr:to>
      <xdr:col>27</xdr:col>
      <xdr:colOff>83185</xdr:colOff>
      <xdr:row>6</xdr:row>
      <xdr:rowOff>887095</xdr:rowOff>
    </xdr:to>
    <xdr:sp>
      <xdr:nvSpPr>
        <xdr:cNvPr id="40" name="流程图: 合并 39"/>
        <xdr:cNvSpPr/>
      </xdr:nvSpPr>
      <xdr:spPr>
        <a:xfrm>
          <a:off x="16466185" y="2881630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25</xdr:col>
      <xdr:colOff>59690</xdr:colOff>
      <xdr:row>6</xdr:row>
      <xdr:rowOff>347980</xdr:rowOff>
    </xdr:from>
    <xdr:ext cx="1416050" cy="423545"/>
    <xdr:sp>
      <xdr:nvSpPr>
        <xdr:cNvPr id="41" name="文本框 40"/>
        <xdr:cNvSpPr txBox="1"/>
      </xdr:nvSpPr>
      <xdr:spPr>
        <a:xfrm>
          <a:off x="15660370" y="2502535"/>
          <a:ext cx="141605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上架</a:t>
          </a:r>
          <a:r>
            <a:rPr lang="en-US" altLang="zh-CN" sz="1000"/>
            <a:t>/</a:t>
          </a:r>
          <a:r>
            <a:rPr lang="zh-CN" altLang="en-US" sz="1000"/>
            <a:t>测评</a:t>
          </a:r>
          <a:r>
            <a:rPr lang="en-US" altLang="zh-CN" sz="1000"/>
            <a:t>/</a:t>
          </a:r>
          <a:r>
            <a:rPr lang="zh-CN" altLang="en-US" sz="1000"/>
            <a:t>买家秀交付</a:t>
          </a:r>
          <a:endParaRPr lang="zh-CN" altLang="en-US" sz="1000"/>
        </a:p>
        <a:p>
          <a:r>
            <a:rPr lang="en-US" altLang="en-US" sz="1000"/>
            <a:t>                   3-10</a:t>
          </a:r>
          <a:endParaRPr lang="en-US" altLang="en-US" sz="1000"/>
        </a:p>
      </xdr:txBody>
    </xdr:sp>
    <xdr:clientData/>
  </xdr:oneCellAnchor>
  <xdr:twoCellAnchor>
    <xdr:from>
      <xdr:col>32</xdr:col>
      <xdr:colOff>52070</xdr:colOff>
      <xdr:row>6</xdr:row>
      <xdr:rowOff>446405</xdr:rowOff>
    </xdr:from>
    <xdr:to>
      <xdr:col>32</xdr:col>
      <xdr:colOff>128270</xdr:colOff>
      <xdr:row>6</xdr:row>
      <xdr:rowOff>862965</xdr:rowOff>
    </xdr:to>
    <xdr:sp>
      <xdr:nvSpPr>
        <xdr:cNvPr id="42" name="流程图: 合并 41"/>
        <xdr:cNvSpPr/>
      </xdr:nvSpPr>
      <xdr:spPr>
        <a:xfrm>
          <a:off x="18657570" y="2600960"/>
          <a:ext cx="76200" cy="41656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31</xdr:col>
      <xdr:colOff>86360</xdr:colOff>
      <xdr:row>6</xdr:row>
      <xdr:rowOff>20955</xdr:rowOff>
    </xdr:from>
    <xdr:ext cx="736600" cy="456565"/>
    <xdr:sp>
      <xdr:nvSpPr>
        <xdr:cNvPr id="43" name="文本框 42"/>
        <xdr:cNvSpPr txBox="1"/>
      </xdr:nvSpPr>
      <xdr:spPr>
        <a:xfrm>
          <a:off x="18262600" y="2175510"/>
          <a:ext cx="736600" cy="456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正式开售</a:t>
          </a:r>
          <a:endParaRPr lang="zh-CN" altLang="en-US"/>
        </a:p>
        <a:p>
          <a:r>
            <a:rPr lang="en-US" altLang="en-US"/>
            <a:t>     3-18</a:t>
          </a:r>
          <a:endParaRPr lang="en-US" altLang="en-US"/>
        </a:p>
      </xdr:txBody>
    </xdr:sp>
    <xdr:clientData/>
  </xdr:oneCellAnchor>
  <xdr:twoCellAnchor>
    <xdr:from>
      <xdr:col>18</xdr:col>
      <xdr:colOff>200660</xdr:colOff>
      <xdr:row>6</xdr:row>
      <xdr:rowOff>971550</xdr:rowOff>
    </xdr:from>
    <xdr:to>
      <xdr:col>18</xdr:col>
      <xdr:colOff>276860</xdr:colOff>
      <xdr:row>6</xdr:row>
      <xdr:rowOff>1131570</xdr:rowOff>
    </xdr:to>
    <xdr:sp>
      <xdr:nvSpPr>
        <xdr:cNvPr id="44" name="流程图: 合并 43"/>
        <xdr:cNvSpPr/>
      </xdr:nvSpPr>
      <xdr:spPr>
        <a:xfrm rot="10800000">
          <a:off x="12796520" y="312610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190500</xdr:colOff>
      <xdr:row>6</xdr:row>
      <xdr:rowOff>1184275</xdr:rowOff>
    </xdr:from>
    <xdr:ext cx="790575" cy="423545"/>
    <xdr:sp>
      <xdr:nvSpPr>
        <xdr:cNvPr id="45" name="文本框 44"/>
        <xdr:cNvSpPr txBox="1"/>
      </xdr:nvSpPr>
      <xdr:spPr>
        <a:xfrm>
          <a:off x="12357100" y="3338830"/>
          <a:ext cx="79057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 2-26</a:t>
          </a:r>
          <a:endParaRPr lang="en-US" altLang="en-US" sz="1000"/>
        </a:p>
        <a:p>
          <a:r>
            <a:rPr lang="zh-CN" altLang="en-US" sz="1000"/>
            <a:t> 上传</a:t>
          </a:r>
          <a:r>
            <a:rPr lang="en-US" altLang="zh-CN" sz="1000"/>
            <a:t>Listing</a:t>
          </a:r>
          <a:endParaRPr lang="en-US" altLang="zh-CN" sz="1000"/>
        </a:p>
      </xdr:txBody>
    </xdr:sp>
    <xdr:clientData/>
  </xdr:oneCellAnchor>
  <xdr:twoCellAnchor>
    <xdr:from>
      <xdr:col>17</xdr:col>
      <xdr:colOff>217805</xdr:colOff>
      <xdr:row>6</xdr:row>
      <xdr:rowOff>428625</xdr:rowOff>
    </xdr:from>
    <xdr:to>
      <xdr:col>17</xdr:col>
      <xdr:colOff>294005</xdr:colOff>
      <xdr:row>6</xdr:row>
      <xdr:rowOff>873760</xdr:rowOff>
    </xdr:to>
    <xdr:sp>
      <xdr:nvSpPr>
        <xdr:cNvPr id="46" name="流程图: 合并 45"/>
        <xdr:cNvSpPr/>
      </xdr:nvSpPr>
      <xdr:spPr>
        <a:xfrm>
          <a:off x="12384405" y="2583180"/>
          <a:ext cx="76200" cy="44513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16</xdr:col>
      <xdr:colOff>175895</xdr:colOff>
      <xdr:row>6</xdr:row>
      <xdr:rowOff>45085</xdr:rowOff>
    </xdr:from>
    <xdr:ext cx="937260" cy="423545"/>
    <xdr:sp>
      <xdr:nvSpPr>
        <xdr:cNvPr id="47" name="文本框 46"/>
        <xdr:cNvSpPr txBox="1"/>
      </xdr:nvSpPr>
      <xdr:spPr>
        <a:xfrm>
          <a:off x="11913235" y="2199640"/>
          <a:ext cx="93726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完成广告框架</a:t>
          </a:r>
          <a:endParaRPr lang="zh-CN" altLang="en-US" sz="1000"/>
        </a:p>
        <a:p>
          <a:r>
            <a:rPr lang="en-US" altLang="en-US" sz="1000"/>
            <a:t>          2-25</a:t>
          </a:r>
          <a:endParaRPr lang="en-US" altLang="en-US" sz="1000"/>
        </a:p>
      </xdr:txBody>
    </xdr:sp>
    <xdr:clientData/>
  </xdr:oneCellAnchor>
  <xdr:twoCellAnchor>
    <xdr:from>
      <xdr:col>14</xdr:col>
      <xdr:colOff>324485</xdr:colOff>
      <xdr:row>6</xdr:row>
      <xdr:rowOff>935355</xdr:rowOff>
    </xdr:from>
    <xdr:to>
      <xdr:col>15</xdr:col>
      <xdr:colOff>14605</xdr:colOff>
      <xdr:row>6</xdr:row>
      <xdr:rowOff>1095375</xdr:rowOff>
    </xdr:to>
    <xdr:sp>
      <xdr:nvSpPr>
        <xdr:cNvPr id="48" name="流程图: 合并 47"/>
        <xdr:cNvSpPr/>
      </xdr:nvSpPr>
      <xdr:spPr>
        <a:xfrm rot="10800000">
          <a:off x="11203305" y="3089910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14</xdr:col>
      <xdr:colOff>152400</xdr:colOff>
      <xdr:row>6</xdr:row>
      <xdr:rowOff>1094740</xdr:rowOff>
    </xdr:from>
    <xdr:ext cx="438150" cy="423545"/>
    <xdr:sp>
      <xdr:nvSpPr>
        <xdr:cNvPr id="49" name="文本框 48"/>
        <xdr:cNvSpPr txBox="1"/>
      </xdr:nvSpPr>
      <xdr:spPr>
        <a:xfrm>
          <a:off x="11031220" y="3249295"/>
          <a:ext cx="43815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2-20</a:t>
          </a:r>
          <a:endParaRPr lang="en-US" altLang="en-US" sz="1000"/>
        </a:p>
        <a:p>
          <a:r>
            <a:rPr lang="zh-CN" altLang="en-US" sz="1000"/>
            <a:t>发货</a:t>
          </a:r>
          <a:endParaRPr lang="en-US" altLang="zh-CN" sz="1000"/>
        </a:p>
      </xdr:txBody>
    </xdr:sp>
    <xdr:clientData/>
  </xdr:oneCellAnchor>
  <xdr:twoCellAnchor>
    <xdr:from>
      <xdr:col>7</xdr:col>
      <xdr:colOff>95885</xdr:colOff>
      <xdr:row>6</xdr:row>
      <xdr:rowOff>982980</xdr:rowOff>
    </xdr:from>
    <xdr:to>
      <xdr:col>7</xdr:col>
      <xdr:colOff>172085</xdr:colOff>
      <xdr:row>6</xdr:row>
      <xdr:rowOff>1143000</xdr:rowOff>
    </xdr:to>
    <xdr:sp>
      <xdr:nvSpPr>
        <xdr:cNvPr id="50" name="流程图: 合并 49"/>
        <xdr:cNvSpPr/>
      </xdr:nvSpPr>
      <xdr:spPr>
        <a:xfrm rot="10800000">
          <a:off x="7969885" y="313753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6</xdr:col>
      <xdr:colOff>95250</xdr:colOff>
      <xdr:row>6</xdr:row>
      <xdr:rowOff>1142365</xdr:rowOff>
    </xdr:from>
    <xdr:ext cx="855345" cy="423545"/>
    <xdr:sp>
      <xdr:nvSpPr>
        <xdr:cNvPr id="51" name="文本框 50"/>
        <xdr:cNvSpPr txBox="1"/>
      </xdr:nvSpPr>
      <xdr:spPr>
        <a:xfrm>
          <a:off x="7539990" y="3296920"/>
          <a:ext cx="85534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 2-10</a:t>
          </a:r>
          <a:endParaRPr lang="en-US" altLang="en-US" sz="1000"/>
        </a:p>
        <a:p>
          <a:r>
            <a:rPr lang="zh-CN" altLang="en-US" sz="1000"/>
            <a:t>拍摄</a:t>
          </a:r>
          <a:r>
            <a:rPr lang="en-US" altLang="zh-CN" sz="1000"/>
            <a:t>QA</a:t>
          </a:r>
          <a:r>
            <a:rPr lang="zh-CN" altLang="en-US" sz="1000"/>
            <a:t>、</a:t>
          </a:r>
          <a:r>
            <a:rPr lang="en-US" altLang="zh-CN" sz="1000"/>
            <a:t>RV</a:t>
          </a:r>
          <a:endParaRPr lang="en-US" altLang="zh-CN" sz="1000"/>
        </a:p>
      </xdr:txBody>
    </xdr:sp>
    <xdr:clientData/>
  </xdr:oneCellAnchor>
  <xdr:twoCellAnchor>
    <xdr:from>
      <xdr:col>4</xdr:col>
      <xdr:colOff>381635</xdr:colOff>
      <xdr:row>6</xdr:row>
      <xdr:rowOff>757555</xdr:rowOff>
    </xdr:from>
    <xdr:to>
      <xdr:col>5</xdr:col>
      <xdr:colOff>71755</xdr:colOff>
      <xdr:row>6</xdr:row>
      <xdr:rowOff>917575</xdr:rowOff>
    </xdr:to>
    <xdr:sp>
      <xdr:nvSpPr>
        <xdr:cNvPr id="52" name="流程图: 合并 51"/>
        <xdr:cNvSpPr/>
      </xdr:nvSpPr>
      <xdr:spPr>
        <a:xfrm>
          <a:off x="6967855" y="2912110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</xdr:col>
      <xdr:colOff>211455</xdr:colOff>
      <xdr:row>6</xdr:row>
      <xdr:rowOff>384175</xdr:rowOff>
    </xdr:from>
    <xdr:ext cx="1209040" cy="423545"/>
    <xdr:sp>
      <xdr:nvSpPr>
        <xdr:cNvPr id="53" name="文本框 52"/>
        <xdr:cNvSpPr txBox="1"/>
      </xdr:nvSpPr>
      <xdr:spPr>
        <a:xfrm>
          <a:off x="6368415" y="2538730"/>
          <a:ext cx="120904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00"/>
            <a:t>主副、</a:t>
          </a:r>
          <a:r>
            <a:rPr lang="en-US" altLang="zh-CN" sz="1000"/>
            <a:t>A+</a:t>
          </a:r>
          <a:r>
            <a:rPr lang="zh-CN" altLang="en-US" sz="1000"/>
            <a:t>草图确认</a:t>
          </a:r>
          <a:endParaRPr lang="zh-CN" altLang="en-US" sz="1000"/>
        </a:p>
        <a:p>
          <a:r>
            <a:rPr lang="en-US" altLang="en-US" sz="1000"/>
            <a:t>             1-28</a:t>
          </a:r>
          <a:endParaRPr lang="en-US" altLang="en-US" sz="1000"/>
        </a:p>
      </xdr:txBody>
    </xdr:sp>
    <xdr:clientData/>
  </xdr:oneCellAnchor>
  <xdr:twoCellAnchor>
    <xdr:from>
      <xdr:col>0</xdr:col>
      <xdr:colOff>530225</xdr:colOff>
      <xdr:row>6</xdr:row>
      <xdr:rowOff>995680</xdr:rowOff>
    </xdr:from>
    <xdr:to>
      <xdr:col>0</xdr:col>
      <xdr:colOff>606425</xdr:colOff>
      <xdr:row>6</xdr:row>
      <xdr:rowOff>1659890</xdr:rowOff>
    </xdr:to>
    <xdr:sp>
      <xdr:nvSpPr>
        <xdr:cNvPr id="54" name="流程图: 合并 53"/>
        <xdr:cNvSpPr/>
      </xdr:nvSpPr>
      <xdr:spPr>
        <a:xfrm rot="10800000">
          <a:off x="530225" y="3150235"/>
          <a:ext cx="76200" cy="66421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84455</xdr:colOff>
      <xdr:row>6</xdr:row>
      <xdr:rowOff>1624330</xdr:rowOff>
    </xdr:from>
    <xdr:ext cx="1299210" cy="440055"/>
    <xdr:sp>
      <xdr:nvSpPr>
        <xdr:cNvPr id="55" name="文本框 54"/>
        <xdr:cNvSpPr txBox="1"/>
      </xdr:nvSpPr>
      <xdr:spPr>
        <a:xfrm>
          <a:off x="84455" y="3778885"/>
          <a:ext cx="1299210" cy="440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        1-11</a:t>
          </a:r>
          <a:endParaRPr lang="en-US" altLang="zh-CN" sz="1100"/>
        </a:p>
        <a:p>
          <a:r>
            <a:rPr lang="zh-CN" altLang="en-US" sz="1000">
              <a:sym typeface="+mn-ea"/>
            </a:rPr>
            <a:t>   产品发布会</a:t>
          </a:r>
          <a:endParaRPr lang="zh-CN" altLang="en-US" sz="1100"/>
        </a:p>
      </xdr:txBody>
    </xdr:sp>
    <xdr:clientData/>
  </xdr:oneCellAnchor>
  <xdr:twoCellAnchor>
    <xdr:from>
      <xdr:col>47</xdr:col>
      <xdr:colOff>69850</xdr:colOff>
      <xdr:row>46</xdr:row>
      <xdr:rowOff>67945</xdr:rowOff>
    </xdr:from>
    <xdr:to>
      <xdr:col>47</xdr:col>
      <xdr:colOff>336550</xdr:colOff>
      <xdr:row>46</xdr:row>
      <xdr:rowOff>267970</xdr:rowOff>
    </xdr:to>
    <xdr:sp>
      <xdr:nvSpPr>
        <xdr:cNvPr id="56" name="波形 55"/>
        <xdr:cNvSpPr/>
      </xdr:nvSpPr>
      <xdr:spPr>
        <a:xfrm>
          <a:off x="25114250" y="1678876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71755</xdr:colOff>
      <xdr:row>49</xdr:row>
      <xdr:rowOff>60325</xdr:rowOff>
    </xdr:from>
    <xdr:to>
      <xdr:col>51</xdr:col>
      <xdr:colOff>338455</xdr:colOff>
      <xdr:row>49</xdr:row>
      <xdr:rowOff>260350</xdr:rowOff>
    </xdr:to>
    <xdr:sp>
      <xdr:nvSpPr>
        <xdr:cNvPr id="57" name="波形 56"/>
        <xdr:cNvSpPr/>
      </xdr:nvSpPr>
      <xdr:spPr>
        <a:xfrm>
          <a:off x="26833195" y="177336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54610</xdr:colOff>
      <xdr:row>67</xdr:row>
      <xdr:rowOff>109855</xdr:rowOff>
    </xdr:from>
    <xdr:to>
      <xdr:col>41</xdr:col>
      <xdr:colOff>321310</xdr:colOff>
      <xdr:row>67</xdr:row>
      <xdr:rowOff>309880</xdr:rowOff>
    </xdr:to>
    <xdr:sp>
      <xdr:nvSpPr>
        <xdr:cNvPr id="58" name="波形 57"/>
        <xdr:cNvSpPr/>
      </xdr:nvSpPr>
      <xdr:spPr>
        <a:xfrm>
          <a:off x="22523450" y="2349817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62230</xdr:colOff>
      <xdr:row>70</xdr:row>
      <xdr:rowOff>69850</xdr:rowOff>
    </xdr:from>
    <xdr:to>
      <xdr:col>51</xdr:col>
      <xdr:colOff>328930</xdr:colOff>
      <xdr:row>70</xdr:row>
      <xdr:rowOff>269875</xdr:rowOff>
    </xdr:to>
    <xdr:sp>
      <xdr:nvSpPr>
        <xdr:cNvPr id="59" name="波形 58"/>
        <xdr:cNvSpPr/>
      </xdr:nvSpPr>
      <xdr:spPr>
        <a:xfrm>
          <a:off x="26823670" y="245122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74930</xdr:colOff>
      <xdr:row>81</xdr:row>
      <xdr:rowOff>56515</xdr:rowOff>
    </xdr:from>
    <xdr:to>
      <xdr:col>62</xdr:col>
      <xdr:colOff>341630</xdr:colOff>
      <xdr:row>81</xdr:row>
      <xdr:rowOff>256540</xdr:rowOff>
    </xdr:to>
    <xdr:sp>
      <xdr:nvSpPr>
        <xdr:cNvPr id="60" name="波形 59"/>
        <xdr:cNvSpPr/>
      </xdr:nvSpPr>
      <xdr:spPr>
        <a:xfrm>
          <a:off x="31482030" y="2799143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2708910</xdr:colOff>
      <xdr:row>6</xdr:row>
      <xdr:rowOff>995680</xdr:rowOff>
    </xdr:from>
    <xdr:to>
      <xdr:col>1</xdr:col>
      <xdr:colOff>2785110</xdr:colOff>
      <xdr:row>6</xdr:row>
      <xdr:rowOff>1155700</xdr:rowOff>
    </xdr:to>
    <xdr:sp>
      <xdr:nvSpPr>
        <xdr:cNvPr id="61" name="流程图: 合并 60"/>
        <xdr:cNvSpPr/>
      </xdr:nvSpPr>
      <xdr:spPr>
        <a:xfrm rot="10800000">
          <a:off x="4912360" y="3150235"/>
          <a:ext cx="7620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</xdr:col>
      <xdr:colOff>2089150</xdr:colOff>
      <xdr:row>6</xdr:row>
      <xdr:rowOff>1193165</xdr:rowOff>
    </xdr:from>
    <xdr:ext cx="1321435" cy="423545"/>
    <xdr:sp>
      <xdr:nvSpPr>
        <xdr:cNvPr id="62" name="文本框 61"/>
        <xdr:cNvSpPr txBox="1"/>
      </xdr:nvSpPr>
      <xdr:spPr>
        <a:xfrm>
          <a:off x="4292600" y="3347720"/>
          <a:ext cx="1321435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       1-20</a:t>
          </a:r>
          <a:endParaRPr lang="en-US" altLang="en-US" sz="1000"/>
        </a:p>
        <a:p>
          <a:r>
            <a:rPr lang="zh-CN" altLang="en-US" sz="1000"/>
            <a:t>营销计划第一次评议</a:t>
          </a:r>
          <a:endParaRPr lang="en-US" altLang="zh-CN" sz="1000"/>
        </a:p>
      </xdr:txBody>
    </xdr:sp>
    <xdr:clientData/>
  </xdr:oneCellAnchor>
  <xdr:twoCellAnchor>
    <xdr:from>
      <xdr:col>3</xdr:col>
      <xdr:colOff>351155</xdr:colOff>
      <xdr:row>6</xdr:row>
      <xdr:rowOff>976630</xdr:rowOff>
    </xdr:from>
    <xdr:to>
      <xdr:col>4</xdr:col>
      <xdr:colOff>41275</xdr:colOff>
      <xdr:row>6</xdr:row>
      <xdr:rowOff>1136650</xdr:rowOff>
    </xdr:to>
    <xdr:sp>
      <xdr:nvSpPr>
        <xdr:cNvPr id="63" name="流程图: 合并 62"/>
        <xdr:cNvSpPr/>
      </xdr:nvSpPr>
      <xdr:spPr>
        <a:xfrm rot="10800000">
          <a:off x="6508115" y="3131185"/>
          <a:ext cx="11938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71755</xdr:colOff>
      <xdr:row>30</xdr:row>
      <xdr:rowOff>69850</xdr:rowOff>
    </xdr:from>
    <xdr:to>
      <xdr:col>5</xdr:col>
      <xdr:colOff>338455</xdr:colOff>
      <xdr:row>30</xdr:row>
      <xdr:rowOff>269875</xdr:rowOff>
    </xdr:to>
    <xdr:sp>
      <xdr:nvSpPr>
        <xdr:cNvPr id="64" name="波形 63"/>
        <xdr:cNvSpPr/>
      </xdr:nvSpPr>
      <xdr:spPr>
        <a:xfrm>
          <a:off x="7087235" y="117106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71755</xdr:colOff>
      <xdr:row>16</xdr:row>
      <xdr:rowOff>57150</xdr:rowOff>
    </xdr:from>
    <xdr:to>
      <xdr:col>7</xdr:col>
      <xdr:colOff>338455</xdr:colOff>
      <xdr:row>16</xdr:row>
      <xdr:rowOff>257175</xdr:rowOff>
    </xdr:to>
    <xdr:sp>
      <xdr:nvSpPr>
        <xdr:cNvPr id="65" name="波形 64"/>
        <xdr:cNvSpPr/>
      </xdr:nvSpPr>
      <xdr:spPr>
        <a:xfrm>
          <a:off x="7945755" y="72529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62230</xdr:colOff>
      <xdr:row>19</xdr:row>
      <xdr:rowOff>85725</xdr:rowOff>
    </xdr:from>
    <xdr:to>
      <xdr:col>7</xdr:col>
      <xdr:colOff>328930</xdr:colOff>
      <xdr:row>19</xdr:row>
      <xdr:rowOff>285750</xdr:rowOff>
    </xdr:to>
    <xdr:sp>
      <xdr:nvSpPr>
        <xdr:cNvPr id="66" name="波形 65"/>
        <xdr:cNvSpPr/>
      </xdr:nvSpPr>
      <xdr:spPr>
        <a:xfrm>
          <a:off x="7936230" y="82340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62230</xdr:colOff>
      <xdr:row>20</xdr:row>
      <xdr:rowOff>85725</xdr:rowOff>
    </xdr:from>
    <xdr:to>
      <xdr:col>11</xdr:col>
      <xdr:colOff>328930</xdr:colOff>
      <xdr:row>20</xdr:row>
      <xdr:rowOff>285750</xdr:rowOff>
    </xdr:to>
    <xdr:sp>
      <xdr:nvSpPr>
        <xdr:cNvPr id="67" name="波形 66"/>
        <xdr:cNvSpPr/>
      </xdr:nvSpPr>
      <xdr:spPr>
        <a:xfrm>
          <a:off x="9653270" y="85515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62230</xdr:colOff>
      <xdr:row>21</xdr:row>
      <xdr:rowOff>57150</xdr:rowOff>
    </xdr:from>
    <xdr:to>
      <xdr:col>34</xdr:col>
      <xdr:colOff>328930</xdr:colOff>
      <xdr:row>21</xdr:row>
      <xdr:rowOff>257175</xdr:rowOff>
    </xdr:to>
    <xdr:sp>
      <xdr:nvSpPr>
        <xdr:cNvPr id="68" name="波形 67"/>
        <xdr:cNvSpPr/>
      </xdr:nvSpPr>
      <xdr:spPr>
        <a:xfrm>
          <a:off x="19526250" y="88404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52705</xdr:colOff>
      <xdr:row>58</xdr:row>
      <xdr:rowOff>41275</xdr:rowOff>
    </xdr:from>
    <xdr:to>
      <xdr:col>31</xdr:col>
      <xdr:colOff>319405</xdr:colOff>
      <xdr:row>58</xdr:row>
      <xdr:rowOff>241300</xdr:rowOff>
    </xdr:to>
    <xdr:sp>
      <xdr:nvSpPr>
        <xdr:cNvPr id="69" name="波形 68"/>
        <xdr:cNvSpPr/>
      </xdr:nvSpPr>
      <xdr:spPr>
        <a:xfrm>
          <a:off x="18228945" y="205720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67945</xdr:colOff>
      <xdr:row>59</xdr:row>
      <xdr:rowOff>66040</xdr:rowOff>
    </xdr:from>
    <xdr:to>
      <xdr:col>33</xdr:col>
      <xdr:colOff>334645</xdr:colOff>
      <xdr:row>59</xdr:row>
      <xdr:rowOff>266065</xdr:rowOff>
    </xdr:to>
    <xdr:sp>
      <xdr:nvSpPr>
        <xdr:cNvPr id="70" name="波形 69"/>
        <xdr:cNvSpPr/>
      </xdr:nvSpPr>
      <xdr:spPr>
        <a:xfrm>
          <a:off x="19102705" y="2091436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81280</xdr:colOff>
      <xdr:row>57</xdr:row>
      <xdr:rowOff>79375</xdr:rowOff>
    </xdr:from>
    <xdr:to>
      <xdr:col>30</xdr:col>
      <xdr:colOff>347980</xdr:colOff>
      <xdr:row>57</xdr:row>
      <xdr:rowOff>279400</xdr:rowOff>
    </xdr:to>
    <xdr:sp>
      <xdr:nvSpPr>
        <xdr:cNvPr id="71" name="波形 70"/>
        <xdr:cNvSpPr/>
      </xdr:nvSpPr>
      <xdr:spPr>
        <a:xfrm>
          <a:off x="17828260" y="202926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52705</xdr:colOff>
      <xdr:row>33</xdr:row>
      <xdr:rowOff>50800</xdr:rowOff>
    </xdr:from>
    <xdr:to>
      <xdr:col>18</xdr:col>
      <xdr:colOff>319405</xdr:colOff>
      <xdr:row>33</xdr:row>
      <xdr:rowOff>250825</xdr:rowOff>
    </xdr:to>
    <xdr:sp>
      <xdr:nvSpPr>
        <xdr:cNvPr id="72" name="波形 71"/>
        <xdr:cNvSpPr/>
      </xdr:nvSpPr>
      <xdr:spPr>
        <a:xfrm>
          <a:off x="12648565" y="126441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71755</xdr:colOff>
      <xdr:row>31</xdr:row>
      <xdr:rowOff>41275</xdr:rowOff>
    </xdr:from>
    <xdr:to>
      <xdr:col>12</xdr:col>
      <xdr:colOff>338455</xdr:colOff>
      <xdr:row>31</xdr:row>
      <xdr:rowOff>241300</xdr:rowOff>
    </xdr:to>
    <xdr:sp>
      <xdr:nvSpPr>
        <xdr:cNvPr id="73" name="波形 72"/>
        <xdr:cNvSpPr/>
      </xdr:nvSpPr>
      <xdr:spPr>
        <a:xfrm>
          <a:off x="10092055" y="119995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62230</xdr:colOff>
      <xdr:row>49</xdr:row>
      <xdr:rowOff>69850</xdr:rowOff>
    </xdr:from>
    <xdr:to>
      <xdr:col>51</xdr:col>
      <xdr:colOff>328930</xdr:colOff>
      <xdr:row>49</xdr:row>
      <xdr:rowOff>269875</xdr:rowOff>
    </xdr:to>
    <xdr:sp>
      <xdr:nvSpPr>
        <xdr:cNvPr id="74" name="波形 73"/>
        <xdr:cNvSpPr/>
      </xdr:nvSpPr>
      <xdr:spPr>
        <a:xfrm>
          <a:off x="26823670" y="177431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62230</xdr:colOff>
      <xdr:row>53</xdr:row>
      <xdr:rowOff>31750</xdr:rowOff>
    </xdr:from>
    <xdr:to>
      <xdr:col>11</xdr:col>
      <xdr:colOff>328930</xdr:colOff>
      <xdr:row>53</xdr:row>
      <xdr:rowOff>231775</xdr:rowOff>
    </xdr:to>
    <xdr:sp>
      <xdr:nvSpPr>
        <xdr:cNvPr id="75" name="波形 74"/>
        <xdr:cNvSpPr/>
      </xdr:nvSpPr>
      <xdr:spPr>
        <a:xfrm>
          <a:off x="9653270" y="189750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62230</xdr:colOff>
      <xdr:row>55</xdr:row>
      <xdr:rowOff>60325</xdr:rowOff>
    </xdr:from>
    <xdr:to>
      <xdr:col>17</xdr:col>
      <xdr:colOff>328930</xdr:colOff>
      <xdr:row>55</xdr:row>
      <xdr:rowOff>260350</xdr:rowOff>
    </xdr:to>
    <xdr:sp>
      <xdr:nvSpPr>
        <xdr:cNvPr id="76" name="波形 75"/>
        <xdr:cNvSpPr/>
      </xdr:nvSpPr>
      <xdr:spPr>
        <a:xfrm>
          <a:off x="12228830" y="196386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16</xdr:col>
      <xdr:colOff>52705</xdr:colOff>
      <xdr:row>54</xdr:row>
      <xdr:rowOff>79375</xdr:rowOff>
    </xdr:from>
    <xdr:to>
      <xdr:col>16</xdr:col>
      <xdr:colOff>319405</xdr:colOff>
      <xdr:row>54</xdr:row>
      <xdr:rowOff>279400</xdr:rowOff>
    </xdr:to>
    <xdr:sp>
      <xdr:nvSpPr>
        <xdr:cNvPr id="77" name="波形 76"/>
        <xdr:cNvSpPr/>
      </xdr:nvSpPr>
      <xdr:spPr>
        <a:xfrm>
          <a:off x="11790045" y="193401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oneCellAnchor>
    <xdr:from>
      <xdr:col>2</xdr:col>
      <xdr:colOff>334010</xdr:colOff>
      <xdr:row>6</xdr:row>
      <xdr:rowOff>1173480</xdr:rowOff>
    </xdr:from>
    <xdr:ext cx="935990" cy="423545"/>
    <xdr:sp>
      <xdr:nvSpPr>
        <xdr:cNvPr id="78" name="文本框 77"/>
        <xdr:cNvSpPr txBox="1"/>
      </xdr:nvSpPr>
      <xdr:spPr>
        <a:xfrm>
          <a:off x="6061710" y="3328035"/>
          <a:ext cx="935990" cy="423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000"/>
            <a:t>        1-26</a:t>
          </a:r>
          <a:endParaRPr lang="en-US" altLang="en-US" sz="1000"/>
        </a:p>
        <a:p>
          <a:r>
            <a:rPr lang="zh-CN" altLang="en-US" sz="1000"/>
            <a:t>营销计划定稿</a:t>
          </a:r>
          <a:endParaRPr lang="en-US" altLang="zh-CN" sz="1000"/>
        </a:p>
      </xdr:txBody>
    </xdr:sp>
    <xdr:clientData/>
  </xdr:oneCellAnchor>
  <xdr:twoCellAnchor>
    <xdr:from>
      <xdr:col>12</xdr:col>
      <xdr:colOff>43180</xdr:colOff>
      <xdr:row>77</xdr:row>
      <xdr:rowOff>69850</xdr:rowOff>
    </xdr:from>
    <xdr:to>
      <xdr:col>12</xdr:col>
      <xdr:colOff>309880</xdr:colOff>
      <xdr:row>77</xdr:row>
      <xdr:rowOff>269875</xdr:rowOff>
    </xdr:to>
    <xdr:sp>
      <xdr:nvSpPr>
        <xdr:cNvPr id="79" name="波形 78"/>
        <xdr:cNvSpPr/>
      </xdr:nvSpPr>
      <xdr:spPr>
        <a:xfrm>
          <a:off x="10063480" y="267347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62230</xdr:colOff>
      <xdr:row>37</xdr:row>
      <xdr:rowOff>69850</xdr:rowOff>
    </xdr:from>
    <xdr:to>
      <xdr:col>18</xdr:col>
      <xdr:colOff>328930</xdr:colOff>
      <xdr:row>37</xdr:row>
      <xdr:rowOff>269875</xdr:rowOff>
    </xdr:to>
    <xdr:sp>
      <xdr:nvSpPr>
        <xdr:cNvPr id="80" name="波形 79"/>
        <xdr:cNvSpPr/>
      </xdr:nvSpPr>
      <xdr:spPr>
        <a:xfrm>
          <a:off x="12658090" y="139331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76835</xdr:colOff>
      <xdr:row>41</xdr:row>
      <xdr:rowOff>78740</xdr:rowOff>
    </xdr:from>
    <xdr:to>
      <xdr:col>20</xdr:col>
      <xdr:colOff>343535</xdr:colOff>
      <xdr:row>41</xdr:row>
      <xdr:rowOff>278765</xdr:rowOff>
    </xdr:to>
    <xdr:sp>
      <xdr:nvSpPr>
        <xdr:cNvPr id="81" name="波形 80"/>
        <xdr:cNvSpPr/>
      </xdr:nvSpPr>
      <xdr:spPr>
        <a:xfrm>
          <a:off x="13531215" y="1521206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76835</xdr:colOff>
      <xdr:row>42</xdr:row>
      <xdr:rowOff>78740</xdr:rowOff>
    </xdr:from>
    <xdr:to>
      <xdr:col>21</xdr:col>
      <xdr:colOff>343535</xdr:colOff>
      <xdr:row>42</xdr:row>
      <xdr:rowOff>278765</xdr:rowOff>
    </xdr:to>
    <xdr:sp>
      <xdr:nvSpPr>
        <xdr:cNvPr id="82" name="波形 81"/>
        <xdr:cNvSpPr/>
      </xdr:nvSpPr>
      <xdr:spPr>
        <a:xfrm>
          <a:off x="13960475" y="1552956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43180</xdr:colOff>
      <xdr:row>43</xdr:row>
      <xdr:rowOff>69850</xdr:rowOff>
    </xdr:from>
    <xdr:to>
      <xdr:col>43</xdr:col>
      <xdr:colOff>309880</xdr:colOff>
      <xdr:row>43</xdr:row>
      <xdr:rowOff>269875</xdr:rowOff>
    </xdr:to>
    <xdr:sp>
      <xdr:nvSpPr>
        <xdr:cNvPr id="83" name="波形 82"/>
        <xdr:cNvSpPr/>
      </xdr:nvSpPr>
      <xdr:spPr>
        <a:xfrm>
          <a:off x="23370540" y="158381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43180</xdr:colOff>
      <xdr:row>44</xdr:row>
      <xdr:rowOff>69850</xdr:rowOff>
    </xdr:from>
    <xdr:to>
      <xdr:col>45</xdr:col>
      <xdr:colOff>309880</xdr:colOff>
      <xdr:row>44</xdr:row>
      <xdr:rowOff>269875</xdr:rowOff>
    </xdr:to>
    <xdr:sp>
      <xdr:nvSpPr>
        <xdr:cNvPr id="84" name="波形 83"/>
        <xdr:cNvSpPr/>
      </xdr:nvSpPr>
      <xdr:spPr>
        <a:xfrm>
          <a:off x="24229060" y="161556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71755</xdr:colOff>
      <xdr:row>48</xdr:row>
      <xdr:rowOff>60325</xdr:rowOff>
    </xdr:from>
    <xdr:to>
      <xdr:col>50</xdr:col>
      <xdr:colOff>338455</xdr:colOff>
      <xdr:row>48</xdr:row>
      <xdr:rowOff>260350</xdr:rowOff>
    </xdr:to>
    <xdr:sp>
      <xdr:nvSpPr>
        <xdr:cNvPr id="85" name="波形 84"/>
        <xdr:cNvSpPr/>
      </xdr:nvSpPr>
      <xdr:spPr>
        <a:xfrm>
          <a:off x="26403935" y="1741614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62230</xdr:colOff>
      <xdr:row>48</xdr:row>
      <xdr:rowOff>69850</xdr:rowOff>
    </xdr:from>
    <xdr:to>
      <xdr:col>50</xdr:col>
      <xdr:colOff>328930</xdr:colOff>
      <xdr:row>48</xdr:row>
      <xdr:rowOff>269875</xdr:rowOff>
    </xdr:to>
    <xdr:sp>
      <xdr:nvSpPr>
        <xdr:cNvPr id="86" name="波形 85"/>
        <xdr:cNvSpPr/>
      </xdr:nvSpPr>
      <xdr:spPr>
        <a:xfrm>
          <a:off x="26394410" y="1742567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50800</xdr:colOff>
      <xdr:row>47</xdr:row>
      <xdr:rowOff>66040</xdr:rowOff>
    </xdr:from>
    <xdr:to>
      <xdr:col>50</xdr:col>
      <xdr:colOff>317500</xdr:colOff>
      <xdr:row>47</xdr:row>
      <xdr:rowOff>266065</xdr:rowOff>
    </xdr:to>
    <xdr:sp>
      <xdr:nvSpPr>
        <xdr:cNvPr id="87" name="波形 86"/>
        <xdr:cNvSpPr/>
      </xdr:nvSpPr>
      <xdr:spPr>
        <a:xfrm>
          <a:off x="26382980" y="1710436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74930</xdr:colOff>
      <xdr:row>82</xdr:row>
      <xdr:rowOff>41275</xdr:rowOff>
    </xdr:from>
    <xdr:to>
      <xdr:col>69</xdr:col>
      <xdr:colOff>341630</xdr:colOff>
      <xdr:row>82</xdr:row>
      <xdr:rowOff>241300</xdr:rowOff>
    </xdr:to>
    <xdr:sp>
      <xdr:nvSpPr>
        <xdr:cNvPr id="88" name="波形 87"/>
        <xdr:cNvSpPr/>
      </xdr:nvSpPr>
      <xdr:spPr>
        <a:xfrm>
          <a:off x="34433510" y="28293695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66040</xdr:colOff>
      <xdr:row>94</xdr:row>
      <xdr:rowOff>50800</xdr:rowOff>
    </xdr:from>
    <xdr:to>
      <xdr:col>7</xdr:col>
      <xdr:colOff>332740</xdr:colOff>
      <xdr:row>94</xdr:row>
      <xdr:rowOff>250825</xdr:rowOff>
    </xdr:to>
    <xdr:sp>
      <xdr:nvSpPr>
        <xdr:cNvPr id="89" name="波形 88"/>
        <xdr:cNvSpPr/>
      </xdr:nvSpPr>
      <xdr:spPr>
        <a:xfrm>
          <a:off x="7940040" y="321132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66040</xdr:colOff>
      <xdr:row>96</xdr:row>
      <xdr:rowOff>50800</xdr:rowOff>
    </xdr:from>
    <xdr:to>
      <xdr:col>19</xdr:col>
      <xdr:colOff>332740</xdr:colOff>
      <xdr:row>96</xdr:row>
      <xdr:rowOff>250825</xdr:rowOff>
    </xdr:to>
    <xdr:sp>
      <xdr:nvSpPr>
        <xdr:cNvPr id="90" name="波形 89"/>
        <xdr:cNvSpPr/>
      </xdr:nvSpPr>
      <xdr:spPr>
        <a:xfrm>
          <a:off x="13091160" y="327482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73660</xdr:colOff>
      <xdr:row>98</xdr:row>
      <xdr:rowOff>50800</xdr:rowOff>
    </xdr:from>
    <xdr:to>
      <xdr:col>44</xdr:col>
      <xdr:colOff>340360</xdr:colOff>
      <xdr:row>98</xdr:row>
      <xdr:rowOff>250825</xdr:rowOff>
    </xdr:to>
    <xdr:sp>
      <xdr:nvSpPr>
        <xdr:cNvPr id="91" name="波形 90"/>
        <xdr:cNvSpPr/>
      </xdr:nvSpPr>
      <xdr:spPr>
        <a:xfrm>
          <a:off x="23830280" y="333832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58420</xdr:colOff>
      <xdr:row>99</xdr:row>
      <xdr:rowOff>50800</xdr:rowOff>
    </xdr:from>
    <xdr:to>
      <xdr:col>49</xdr:col>
      <xdr:colOff>325120</xdr:colOff>
      <xdr:row>99</xdr:row>
      <xdr:rowOff>250825</xdr:rowOff>
    </xdr:to>
    <xdr:sp>
      <xdr:nvSpPr>
        <xdr:cNvPr id="92" name="波形 91"/>
        <xdr:cNvSpPr/>
      </xdr:nvSpPr>
      <xdr:spPr>
        <a:xfrm>
          <a:off x="25961340" y="337007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67310</xdr:colOff>
      <xdr:row>100</xdr:row>
      <xdr:rowOff>43180</xdr:rowOff>
    </xdr:from>
    <xdr:to>
      <xdr:col>61</xdr:col>
      <xdr:colOff>334010</xdr:colOff>
      <xdr:row>100</xdr:row>
      <xdr:rowOff>243205</xdr:rowOff>
    </xdr:to>
    <xdr:sp>
      <xdr:nvSpPr>
        <xdr:cNvPr id="93" name="波形 92"/>
        <xdr:cNvSpPr/>
      </xdr:nvSpPr>
      <xdr:spPr>
        <a:xfrm>
          <a:off x="31052770" y="3401060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67310</xdr:colOff>
      <xdr:row>101</xdr:row>
      <xdr:rowOff>43180</xdr:rowOff>
    </xdr:from>
    <xdr:to>
      <xdr:col>62</xdr:col>
      <xdr:colOff>334010</xdr:colOff>
      <xdr:row>101</xdr:row>
      <xdr:rowOff>243205</xdr:rowOff>
    </xdr:to>
    <xdr:sp>
      <xdr:nvSpPr>
        <xdr:cNvPr id="94" name="波形 93"/>
        <xdr:cNvSpPr/>
      </xdr:nvSpPr>
      <xdr:spPr>
        <a:xfrm>
          <a:off x="31474410" y="3432810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67310</xdr:colOff>
      <xdr:row>103</xdr:row>
      <xdr:rowOff>43180</xdr:rowOff>
    </xdr:from>
    <xdr:to>
      <xdr:col>69</xdr:col>
      <xdr:colOff>334010</xdr:colOff>
      <xdr:row>103</xdr:row>
      <xdr:rowOff>243205</xdr:rowOff>
    </xdr:to>
    <xdr:sp>
      <xdr:nvSpPr>
        <xdr:cNvPr id="95" name="波形 94"/>
        <xdr:cNvSpPr/>
      </xdr:nvSpPr>
      <xdr:spPr>
        <a:xfrm>
          <a:off x="34425890" y="3496310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58420</xdr:colOff>
      <xdr:row>38</xdr:row>
      <xdr:rowOff>50800</xdr:rowOff>
    </xdr:from>
    <xdr:to>
      <xdr:col>19</xdr:col>
      <xdr:colOff>325120</xdr:colOff>
      <xdr:row>38</xdr:row>
      <xdr:rowOff>250825</xdr:rowOff>
    </xdr:to>
    <xdr:sp>
      <xdr:nvSpPr>
        <xdr:cNvPr id="96" name="波形 95"/>
        <xdr:cNvSpPr/>
      </xdr:nvSpPr>
      <xdr:spPr>
        <a:xfrm>
          <a:off x="13083540" y="142316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58420</xdr:colOff>
      <xdr:row>83</xdr:row>
      <xdr:rowOff>50800</xdr:rowOff>
    </xdr:from>
    <xdr:to>
      <xdr:col>49</xdr:col>
      <xdr:colOff>325120</xdr:colOff>
      <xdr:row>83</xdr:row>
      <xdr:rowOff>250825</xdr:rowOff>
    </xdr:to>
    <xdr:sp>
      <xdr:nvSpPr>
        <xdr:cNvPr id="97" name="波形 96"/>
        <xdr:cNvSpPr/>
      </xdr:nvSpPr>
      <xdr:spPr>
        <a:xfrm>
          <a:off x="25961340" y="28620720"/>
          <a:ext cx="266700" cy="200025"/>
        </a:xfrm>
        <a:prstGeom prst="wav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</xdr:colOff>
      <xdr:row>10</xdr:row>
      <xdr:rowOff>1089660</xdr:rowOff>
    </xdr:from>
    <xdr:to>
      <xdr:col>32</xdr:col>
      <xdr:colOff>429895</xdr:colOff>
      <xdr:row>10</xdr:row>
      <xdr:rowOff>1162050</xdr:rowOff>
    </xdr:to>
    <xdr:cxnSp>
      <xdr:nvCxnSpPr>
        <xdr:cNvPr id="2" name="直接箭头连接符 1"/>
        <xdr:cNvCxnSpPr/>
      </xdr:nvCxnSpPr>
      <xdr:spPr>
        <a:xfrm flipV="1">
          <a:off x="11430" y="2849880"/>
          <a:ext cx="26024205" cy="72390"/>
        </a:xfrm>
        <a:prstGeom prst="straightConnector1">
          <a:avLst/>
        </a:prstGeom>
        <a:ln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556260</xdr:colOff>
      <xdr:row>10</xdr:row>
      <xdr:rowOff>800100</xdr:rowOff>
    </xdr:from>
    <xdr:to>
      <xdr:col>1</xdr:col>
      <xdr:colOff>15240</xdr:colOff>
      <xdr:row>10</xdr:row>
      <xdr:rowOff>1569720</xdr:rowOff>
    </xdr:to>
    <xdr:sp>
      <xdr:nvSpPr>
        <xdr:cNvPr id="3" name="流程图: 排序 2"/>
        <xdr:cNvSpPr/>
      </xdr:nvSpPr>
      <xdr:spPr>
        <a:xfrm>
          <a:off x="556260" y="2560320"/>
          <a:ext cx="3089910" cy="769620"/>
        </a:xfrm>
        <a:prstGeom prst="flowChartSor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1595755</xdr:colOff>
      <xdr:row>10</xdr:row>
      <xdr:rowOff>1238885</xdr:rowOff>
    </xdr:from>
    <xdr:ext cx="508000" cy="323850"/>
    <xdr:sp>
      <xdr:nvSpPr>
        <xdr:cNvPr id="4" name="文本框 3"/>
        <xdr:cNvSpPr txBox="1"/>
      </xdr:nvSpPr>
      <xdr:spPr>
        <a:xfrm>
          <a:off x="1595755" y="2999105"/>
          <a:ext cx="50800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/>
            <a:t>1-1</a:t>
          </a:r>
          <a:r>
            <a:rPr lang="en-US" sz="1400"/>
            <a:t>1</a:t>
          </a:r>
          <a:endParaRPr lang="en-US" altLang="en-US" sz="1400"/>
        </a:p>
      </xdr:txBody>
    </xdr:sp>
    <xdr:clientData/>
  </xdr:oneCellAnchor>
  <xdr:twoCellAnchor>
    <xdr:from>
      <xdr:col>27</xdr:col>
      <xdr:colOff>274320</xdr:colOff>
      <xdr:row>10</xdr:row>
      <xdr:rowOff>754380</xdr:rowOff>
    </xdr:from>
    <xdr:to>
      <xdr:col>27</xdr:col>
      <xdr:colOff>350520</xdr:colOff>
      <xdr:row>10</xdr:row>
      <xdr:rowOff>1531620</xdr:rowOff>
    </xdr:to>
    <xdr:sp>
      <xdr:nvSpPr>
        <xdr:cNvPr id="5" name="流程图: 排序 4"/>
        <xdr:cNvSpPr/>
      </xdr:nvSpPr>
      <xdr:spPr>
        <a:xfrm>
          <a:off x="23219410" y="2514600"/>
          <a:ext cx="76200" cy="777240"/>
        </a:xfrm>
        <a:prstGeom prst="flowChartSor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26</xdr:col>
      <xdr:colOff>541020</xdr:colOff>
      <xdr:row>10</xdr:row>
      <xdr:rowOff>495300</xdr:rowOff>
    </xdr:from>
    <xdr:ext cx="748665" cy="275590"/>
    <xdr:sp>
      <xdr:nvSpPr>
        <xdr:cNvPr id="6" name="文本框 5"/>
        <xdr:cNvSpPr txBox="1"/>
      </xdr:nvSpPr>
      <xdr:spPr>
        <a:xfrm>
          <a:off x="22945090" y="2255520"/>
          <a:ext cx="748665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链接开售</a:t>
          </a:r>
          <a:endParaRPr lang="zh-CN" altLang="en-US" sz="1100"/>
        </a:p>
      </xdr:txBody>
    </xdr:sp>
    <xdr:clientData/>
  </xdr:oneCellAnchor>
  <xdr:oneCellAnchor>
    <xdr:from>
      <xdr:col>27</xdr:col>
      <xdr:colOff>76200</xdr:colOff>
      <xdr:row>10</xdr:row>
      <xdr:rowOff>1563370</xdr:rowOff>
    </xdr:from>
    <xdr:ext cx="553720" cy="357505"/>
    <xdr:sp>
      <xdr:nvSpPr>
        <xdr:cNvPr id="7" name="文本框 6"/>
        <xdr:cNvSpPr txBox="1"/>
      </xdr:nvSpPr>
      <xdr:spPr>
        <a:xfrm>
          <a:off x="23021290" y="3323590"/>
          <a:ext cx="553720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3-18</a:t>
          </a:r>
          <a:endParaRPr lang="en-US" altLang="zh-CN" sz="1600"/>
        </a:p>
      </xdr:txBody>
    </xdr:sp>
    <xdr:clientData/>
  </xdr:oneCellAnchor>
  <xdr:oneCellAnchor>
    <xdr:from>
      <xdr:col>0</xdr:col>
      <xdr:colOff>1458595</xdr:colOff>
      <xdr:row>10</xdr:row>
      <xdr:rowOff>297180</xdr:rowOff>
    </xdr:from>
    <xdr:ext cx="894080" cy="323850"/>
    <xdr:sp>
      <xdr:nvSpPr>
        <xdr:cNvPr id="8" name="文本框 7"/>
        <xdr:cNvSpPr txBox="1"/>
      </xdr:nvSpPr>
      <xdr:spPr>
        <a:xfrm>
          <a:off x="1458595" y="2057400"/>
          <a:ext cx="89408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/>
            <a:t>项目立项</a:t>
          </a:r>
          <a:endParaRPr lang="zh-CN" altLang="en-US" sz="1400"/>
        </a:p>
      </xdr:txBody>
    </xdr:sp>
    <xdr:clientData/>
  </xdr:oneCellAnchor>
  <xdr:twoCellAnchor>
    <xdr:from>
      <xdr:col>22</xdr:col>
      <xdr:colOff>601980</xdr:colOff>
      <xdr:row>10</xdr:row>
      <xdr:rowOff>942975</xdr:rowOff>
    </xdr:from>
    <xdr:to>
      <xdr:col>23</xdr:col>
      <xdr:colOff>60960</xdr:colOff>
      <xdr:row>10</xdr:row>
      <xdr:rowOff>1102995</xdr:rowOff>
    </xdr:to>
    <xdr:sp>
      <xdr:nvSpPr>
        <xdr:cNvPr id="9" name="流程图: 合并 8"/>
        <xdr:cNvSpPr/>
      </xdr:nvSpPr>
      <xdr:spPr>
        <a:xfrm>
          <a:off x="20816570" y="2703195"/>
          <a:ext cx="6096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22</xdr:col>
      <xdr:colOff>293370</xdr:colOff>
      <xdr:row>10</xdr:row>
      <xdr:rowOff>1263650</xdr:rowOff>
    </xdr:from>
    <xdr:ext cx="542925" cy="357505"/>
    <xdr:sp>
      <xdr:nvSpPr>
        <xdr:cNvPr id="10" name="文本框 9"/>
        <xdr:cNvSpPr txBox="1"/>
      </xdr:nvSpPr>
      <xdr:spPr>
        <a:xfrm>
          <a:off x="20577810" y="3023870"/>
          <a:ext cx="542925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3.11</a:t>
          </a:r>
          <a:endParaRPr lang="en-US" altLang="zh-CN" sz="1600"/>
        </a:p>
      </xdr:txBody>
    </xdr:sp>
    <xdr:clientData/>
  </xdr:oneCellAnchor>
  <xdr:oneCellAnchor>
    <xdr:from>
      <xdr:col>22</xdr:col>
      <xdr:colOff>164465</xdr:colOff>
      <xdr:row>10</xdr:row>
      <xdr:rowOff>140335</xdr:rowOff>
    </xdr:from>
    <xdr:ext cx="1323340" cy="623570"/>
    <xdr:sp>
      <xdr:nvSpPr>
        <xdr:cNvPr id="11" name="文本框 10"/>
        <xdr:cNvSpPr txBox="1"/>
      </xdr:nvSpPr>
      <xdr:spPr>
        <a:xfrm>
          <a:off x="20448905" y="1900555"/>
          <a:ext cx="1323340" cy="623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红人视频评议</a:t>
          </a:r>
          <a:endParaRPr lang="zh-CN" altLang="en-US" sz="1600"/>
        </a:p>
      </xdr:txBody>
    </xdr:sp>
    <xdr:clientData/>
  </xdr:oneCellAnchor>
  <xdr:oneCellAnchor>
    <xdr:from>
      <xdr:col>26</xdr:col>
      <xdr:colOff>314325</xdr:colOff>
      <xdr:row>8</xdr:row>
      <xdr:rowOff>29210</xdr:rowOff>
    </xdr:from>
    <xdr:ext cx="2832735" cy="737870"/>
    <xdr:sp>
      <xdr:nvSpPr>
        <xdr:cNvPr id="12" name="文本框 11"/>
        <xdr:cNvSpPr txBox="1"/>
      </xdr:nvSpPr>
      <xdr:spPr>
        <a:xfrm>
          <a:off x="22727285" y="1423670"/>
          <a:ext cx="2832735" cy="7378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1.</a:t>
          </a:r>
          <a:r>
            <a:rPr lang="zh-CN" altLang="en-US" sz="1600"/>
            <a:t>社媒发布</a:t>
          </a:r>
          <a:endParaRPr lang="zh-CN" altLang="en-US" sz="1600"/>
        </a:p>
        <a:p>
          <a:r>
            <a:rPr lang="en-US" altLang="zh-CN" sz="1600"/>
            <a:t>2.</a:t>
          </a:r>
          <a:r>
            <a:rPr lang="zh-CN" altLang="en-US" sz="1600"/>
            <a:t>红人视频和图片发布，放置亚马逊链接</a:t>
          </a:r>
          <a:endParaRPr lang="en-US" altLang="zh-CN" sz="1600"/>
        </a:p>
      </xdr:txBody>
    </xdr:sp>
    <xdr:clientData/>
  </xdr:oneCellAnchor>
  <xdr:oneCellAnchor>
    <xdr:from>
      <xdr:col>18</xdr:col>
      <xdr:colOff>19685</xdr:colOff>
      <xdr:row>10</xdr:row>
      <xdr:rowOff>1279525</xdr:rowOff>
    </xdr:from>
    <xdr:ext cx="553720" cy="357505"/>
    <xdr:sp>
      <xdr:nvSpPr>
        <xdr:cNvPr id="13" name="文本框 12"/>
        <xdr:cNvSpPr txBox="1"/>
      </xdr:nvSpPr>
      <xdr:spPr>
        <a:xfrm>
          <a:off x="18175605" y="3039745"/>
          <a:ext cx="553720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2-2</a:t>
          </a:r>
          <a:r>
            <a:rPr lang="en-US" sz="1600"/>
            <a:t>1</a:t>
          </a:r>
          <a:endParaRPr lang="en-US" altLang="en-US" sz="1600"/>
        </a:p>
      </xdr:txBody>
    </xdr:sp>
    <xdr:clientData/>
  </xdr:oneCellAnchor>
  <xdr:twoCellAnchor>
    <xdr:from>
      <xdr:col>19</xdr:col>
      <xdr:colOff>910590</xdr:colOff>
      <xdr:row>10</xdr:row>
      <xdr:rowOff>964565</xdr:rowOff>
    </xdr:from>
    <xdr:to>
      <xdr:col>19</xdr:col>
      <xdr:colOff>986790</xdr:colOff>
      <xdr:row>10</xdr:row>
      <xdr:rowOff>1124585</xdr:rowOff>
    </xdr:to>
    <xdr:sp>
      <xdr:nvSpPr>
        <xdr:cNvPr id="14" name="流程图: 合并 13"/>
        <xdr:cNvSpPr/>
      </xdr:nvSpPr>
      <xdr:spPr>
        <a:xfrm>
          <a:off x="19220180" y="2724785"/>
          <a:ext cx="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186055</xdr:colOff>
      <xdr:row>8</xdr:row>
      <xdr:rowOff>55245</xdr:rowOff>
    </xdr:from>
    <xdr:ext cx="1143000" cy="1029335"/>
    <xdr:sp>
      <xdr:nvSpPr>
        <xdr:cNvPr id="15" name="文本框 14"/>
        <xdr:cNvSpPr txBox="1"/>
      </xdr:nvSpPr>
      <xdr:spPr>
        <a:xfrm>
          <a:off x="17809845" y="1449705"/>
          <a:ext cx="1143000" cy="1029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给红人寄样品（国内</a:t>
          </a:r>
          <a:r>
            <a:rPr lang="en-US" altLang="zh-CN" sz="1600"/>
            <a:t>DHL)</a:t>
          </a:r>
          <a:endParaRPr lang="en-US" altLang="zh-CN" sz="1600"/>
        </a:p>
      </xdr:txBody>
    </xdr:sp>
    <xdr:clientData/>
  </xdr:oneCellAnchor>
  <xdr:oneCellAnchor>
    <xdr:from>
      <xdr:col>1</xdr:col>
      <xdr:colOff>3237865</xdr:colOff>
      <xdr:row>9</xdr:row>
      <xdr:rowOff>10160</xdr:rowOff>
    </xdr:from>
    <xdr:ext cx="1986280" cy="913130"/>
    <xdr:sp>
      <xdr:nvSpPr>
        <xdr:cNvPr id="16" name="文本框 15"/>
        <xdr:cNvSpPr txBox="1"/>
      </xdr:nvSpPr>
      <xdr:spPr>
        <a:xfrm>
          <a:off x="6868795" y="1587500"/>
          <a:ext cx="1986280" cy="913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1.</a:t>
          </a:r>
          <a:r>
            <a:rPr lang="zh-CN" altLang="en-US" sz="1600"/>
            <a:t>确定产品</a:t>
          </a:r>
          <a:r>
            <a:rPr lang="en-US" altLang="zh-CN" sz="1600"/>
            <a:t>USP</a:t>
          </a:r>
          <a:endParaRPr lang="en-US" altLang="zh-CN" sz="1600"/>
        </a:p>
        <a:p>
          <a:r>
            <a:rPr lang="en-US" altLang="zh-CN" sz="1600"/>
            <a:t>2,</a:t>
          </a:r>
          <a:r>
            <a:rPr lang="zh-CN" altLang="en-US" sz="1600"/>
            <a:t>需要产品实物</a:t>
          </a:r>
          <a:endParaRPr lang="en-US" altLang="zh-CN" sz="1600"/>
        </a:p>
      </xdr:txBody>
    </xdr:sp>
    <xdr:clientData/>
  </xdr:oneCellAnchor>
  <xdr:twoCellAnchor>
    <xdr:from>
      <xdr:col>2</xdr:col>
      <xdr:colOff>440055</xdr:colOff>
      <xdr:row>10</xdr:row>
      <xdr:rowOff>959485</xdr:rowOff>
    </xdr:from>
    <xdr:to>
      <xdr:col>2</xdr:col>
      <xdr:colOff>516255</xdr:colOff>
      <xdr:row>10</xdr:row>
      <xdr:rowOff>1119505</xdr:rowOff>
    </xdr:to>
    <xdr:sp>
      <xdr:nvSpPr>
        <xdr:cNvPr id="17" name="流程图: 合并 16"/>
        <xdr:cNvSpPr/>
      </xdr:nvSpPr>
      <xdr:spPr>
        <a:xfrm>
          <a:off x="8921115" y="2719705"/>
          <a:ext cx="31750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</xdr:col>
      <xdr:colOff>312420</xdr:colOff>
      <xdr:row>10</xdr:row>
      <xdr:rowOff>1261110</xdr:rowOff>
    </xdr:from>
    <xdr:ext cx="553720" cy="357505"/>
    <xdr:sp>
      <xdr:nvSpPr>
        <xdr:cNvPr id="18" name="文本框 17"/>
        <xdr:cNvSpPr txBox="1"/>
      </xdr:nvSpPr>
      <xdr:spPr>
        <a:xfrm>
          <a:off x="8793480" y="3021330"/>
          <a:ext cx="553720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1-15</a:t>
          </a:r>
          <a:endParaRPr lang="en-US" altLang="zh-CN" sz="1600"/>
        </a:p>
      </xdr:txBody>
    </xdr:sp>
    <xdr:clientData/>
  </xdr:oneCellAnchor>
  <xdr:twoCellAnchor>
    <xdr:from>
      <xdr:col>32</xdr:col>
      <xdr:colOff>139700</xdr:colOff>
      <xdr:row>10</xdr:row>
      <xdr:rowOff>641350</xdr:rowOff>
    </xdr:from>
    <xdr:to>
      <xdr:col>32</xdr:col>
      <xdr:colOff>215900</xdr:colOff>
      <xdr:row>10</xdr:row>
      <xdr:rowOff>1418590</xdr:rowOff>
    </xdr:to>
    <xdr:sp>
      <xdr:nvSpPr>
        <xdr:cNvPr id="19" name="流程图: 排序 18"/>
        <xdr:cNvSpPr/>
      </xdr:nvSpPr>
      <xdr:spPr>
        <a:xfrm>
          <a:off x="25745440" y="2401570"/>
          <a:ext cx="76200" cy="777240"/>
        </a:xfrm>
        <a:prstGeom prst="flowChartSor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0</xdr:col>
      <xdr:colOff>76200</xdr:colOff>
      <xdr:row>7</xdr:row>
      <xdr:rowOff>76200</xdr:rowOff>
    </xdr:to>
    <xdr:sp>
      <xdr:nvSpPr>
        <xdr:cNvPr id="20" name="流程图: 排序 19"/>
        <xdr:cNvSpPr/>
      </xdr:nvSpPr>
      <xdr:spPr>
        <a:xfrm>
          <a:off x="0" y="480060"/>
          <a:ext cx="76200" cy="807720"/>
        </a:xfrm>
        <a:prstGeom prst="flowChartSor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31</xdr:col>
      <xdr:colOff>600075</xdr:colOff>
      <xdr:row>10</xdr:row>
      <xdr:rowOff>1534160</xdr:rowOff>
    </xdr:from>
    <xdr:ext cx="550545" cy="357505"/>
    <xdr:sp>
      <xdr:nvSpPr>
        <xdr:cNvPr id="21" name="文本框 20"/>
        <xdr:cNvSpPr txBox="1"/>
      </xdr:nvSpPr>
      <xdr:spPr>
        <a:xfrm>
          <a:off x="25605740" y="3294380"/>
          <a:ext cx="550545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3-27</a:t>
          </a:r>
          <a:endParaRPr lang="en-US" altLang="zh-CN" sz="1600"/>
        </a:p>
      </xdr:txBody>
    </xdr:sp>
    <xdr:clientData/>
  </xdr:oneCellAnchor>
  <xdr:twoCellAnchor>
    <xdr:from>
      <xdr:col>11</xdr:col>
      <xdr:colOff>450215</xdr:colOff>
      <xdr:row>10</xdr:row>
      <xdr:rowOff>1223010</xdr:rowOff>
    </xdr:from>
    <xdr:to>
      <xdr:col>12</xdr:col>
      <xdr:colOff>420370</xdr:colOff>
      <xdr:row>10</xdr:row>
      <xdr:rowOff>1580515</xdr:rowOff>
    </xdr:to>
    <xdr:sp>
      <xdr:nvSpPr>
        <xdr:cNvPr id="22" name="文本框 21"/>
        <xdr:cNvSpPr txBox="1"/>
      </xdr:nvSpPr>
      <xdr:spPr>
        <a:xfrm>
          <a:off x="14881225" y="2983230"/>
          <a:ext cx="502285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2-7</a:t>
          </a:r>
          <a:endParaRPr lang="en-US" altLang="zh-CN" sz="1600"/>
        </a:p>
      </xdr:txBody>
    </xdr:sp>
    <xdr:clientData/>
  </xdr:twoCellAnchor>
  <xdr:twoCellAnchor>
    <xdr:from>
      <xdr:col>12</xdr:col>
      <xdr:colOff>104775</xdr:colOff>
      <xdr:row>10</xdr:row>
      <xdr:rowOff>981710</xdr:rowOff>
    </xdr:from>
    <xdr:to>
      <xdr:col>12</xdr:col>
      <xdr:colOff>210820</xdr:colOff>
      <xdr:row>10</xdr:row>
      <xdr:rowOff>1141730</xdr:rowOff>
    </xdr:to>
    <xdr:sp>
      <xdr:nvSpPr>
        <xdr:cNvPr id="23" name="流程图: 合并 22"/>
        <xdr:cNvSpPr/>
      </xdr:nvSpPr>
      <xdr:spPr>
        <a:xfrm>
          <a:off x="15067915" y="2741930"/>
          <a:ext cx="106045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600"/>
        </a:p>
      </xdr:txBody>
    </xdr:sp>
    <xdr:clientData/>
  </xdr:twoCellAnchor>
  <xdr:oneCellAnchor>
    <xdr:from>
      <xdr:col>10</xdr:col>
      <xdr:colOff>279400</xdr:colOff>
      <xdr:row>10</xdr:row>
      <xdr:rowOff>81915</xdr:rowOff>
    </xdr:from>
    <xdr:ext cx="1816100" cy="485140"/>
    <xdr:sp>
      <xdr:nvSpPr>
        <xdr:cNvPr id="24" name="文本框 23"/>
        <xdr:cNvSpPr txBox="1"/>
      </xdr:nvSpPr>
      <xdr:spPr>
        <a:xfrm>
          <a:off x="14178280" y="1842135"/>
          <a:ext cx="1816100" cy="485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开始找对应得红人</a:t>
          </a:r>
          <a:endParaRPr lang="zh-CN" altLang="en-US" sz="1600"/>
        </a:p>
      </xdr:txBody>
    </xdr:sp>
    <xdr:clientData/>
  </xdr:oneCellAnchor>
  <xdr:twoCellAnchor>
    <xdr:from>
      <xdr:col>6</xdr:col>
      <xdr:colOff>1687195</xdr:colOff>
      <xdr:row>10</xdr:row>
      <xdr:rowOff>938530</xdr:rowOff>
    </xdr:from>
    <xdr:to>
      <xdr:col>6</xdr:col>
      <xdr:colOff>2237740</xdr:colOff>
      <xdr:row>10</xdr:row>
      <xdr:rowOff>1635125</xdr:rowOff>
    </xdr:to>
    <xdr:grpSp>
      <xdr:nvGrpSpPr>
        <xdr:cNvPr id="25" name="组合 24"/>
        <xdr:cNvGrpSpPr/>
      </xdr:nvGrpSpPr>
      <xdr:grpSpPr>
        <a:xfrm>
          <a:off x="11141710" y="2698750"/>
          <a:ext cx="0" cy="696595"/>
          <a:chOff x="28950" y="4106"/>
          <a:chExt cx="866" cy="1097"/>
        </a:xfrm>
      </xdr:grpSpPr>
      <xdr:sp>
        <xdr:nvSpPr>
          <xdr:cNvPr id="26" name="文本框 25"/>
          <xdr:cNvSpPr txBox="1"/>
        </xdr:nvSpPr>
        <xdr:spPr>
          <a:xfrm>
            <a:off x="28950" y="4640"/>
            <a:ext cx="866" cy="5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600"/>
              <a:t>1-24</a:t>
            </a:r>
            <a:endParaRPr lang="en-US" altLang="en-US" sz="1600"/>
          </a:p>
        </xdr:txBody>
      </xdr:sp>
      <xdr:sp>
        <xdr:nvSpPr>
          <xdr:cNvPr id="27" name="流程图: 合并 26"/>
          <xdr:cNvSpPr/>
        </xdr:nvSpPr>
        <xdr:spPr>
          <a:xfrm>
            <a:off x="29325" y="4106"/>
            <a:ext cx="120" cy="252"/>
          </a:xfrm>
          <a:prstGeom prst="flowChartMerg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5</xdr:col>
      <xdr:colOff>282575</xdr:colOff>
      <xdr:row>10</xdr:row>
      <xdr:rowOff>9525</xdr:rowOff>
    </xdr:from>
    <xdr:ext cx="1619885" cy="461645"/>
    <xdr:sp>
      <xdr:nvSpPr>
        <xdr:cNvPr id="28" name="文本框 27"/>
        <xdr:cNvSpPr txBox="1"/>
      </xdr:nvSpPr>
      <xdr:spPr>
        <a:xfrm>
          <a:off x="10360025" y="1769745"/>
          <a:ext cx="1619885" cy="461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对标视频得确认</a:t>
          </a:r>
          <a:endParaRPr lang="zh-CN" altLang="en-US" sz="1600"/>
        </a:p>
      </xdr:txBody>
    </xdr:sp>
    <xdr:clientData/>
  </xdr:oneCellAnchor>
  <xdr:oneCellAnchor>
    <xdr:from>
      <xdr:col>31</xdr:col>
      <xdr:colOff>366395</xdr:colOff>
      <xdr:row>10</xdr:row>
      <xdr:rowOff>287020</xdr:rowOff>
    </xdr:from>
    <xdr:ext cx="1143635" cy="570865"/>
    <xdr:sp>
      <xdr:nvSpPr>
        <xdr:cNvPr id="29" name="文本框 28"/>
        <xdr:cNvSpPr txBox="1"/>
      </xdr:nvSpPr>
      <xdr:spPr>
        <a:xfrm>
          <a:off x="25440005" y="2047240"/>
          <a:ext cx="1143635" cy="570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链接放置结束</a:t>
          </a:r>
          <a:endParaRPr lang="en-US" altLang="en-US" sz="1100"/>
        </a:p>
      </xdr:txBody>
    </xdr:sp>
    <xdr:clientData/>
  </xdr:oneCellAnchor>
  <xdr:twoCellAnchor>
    <xdr:from>
      <xdr:col>6</xdr:col>
      <xdr:colOff>127000</xdr:colOff>
      <xdr:row>31</xdr:row>
      <xdr:rowOff>17780</xdr:rowOff>
    </xdr:from>
    <xdr:to>
      <xdr:col>6</xdr:col>
      <xdr:colOff>410210</xdr:colOff>
      <xdr:row>31</xdr:row>
      <xdr:rowOff>192405</xdr:rowOff>
    </xdr:to>
    <xdr:sp>
      <xdr:nvSpPr>
        <xdr:cNvPr id="30" name="波形 29"/>
        <xdr:cNvSpPr/>
      </xdr:nvSpPr>
      <xdr:spPr>
        <a:xfrm>
          <a:off x="10736580" y="8879840"/>
          <a:ext cx="283210" cy="174625"/>
        </a:xfrm>
        <a:prstGeom prst="wave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110490</xdr:colOff>
      <xdr:row>33</xdr:row>
      <xdr:rowOff>23495</xdr:rowOff>
    </xdr:from>
    <xdr:to>
      <xdr:col>18</xdr:col>
      <xdr:colOff>393700</xdr:colOff>
      <xdr:row>33</xdr:row>
      <xdr:rowOff>198120</xdr:rowOff>
    </xdr:to>
    <xdr:sp>
      <xdr:nvSpPr>
        <xdr:cNvPr id="31" name="波形 30"/>
        <xdr:cNvSpPr/>
      </xdr:nvSpPr>
      <xdr:spPr>
        <a:xfrm>
          <a:off x="18266410" y="9373235"/>
          <a:ext cx="283210" cy="174625"/>
        </a:xfrm>
        <a:prstGeom prst="wave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138430</xdr:colOff>
      <xdr:row>34</xdr:row>
      <xdr:rowOff>29210</xdr:rowOff>
    </xdr:from>
    <xdr:to>
      <xdr:col>43</xdr:col>
      <xdr:colOff>421640</xdr:colOff>
      <xdr:row>34</xdr:row>
      <xdr:rowOff>203835</xdr:rowOff>
    </xdr:to>
    <xdr:sp>
      <xdr:nvSpPr>
        <xdr:cNvPr id="32" name="波形 31"/>
        <xdr:cNvSpPr/>
      </xdr:nvSpPr>
      <xdr:spPr>
        <a:xfrm>
          <a:off x="31597600" y="9622790"/>
          <a:ext cx="283210" cy="174625"/>
        </a:xfrm>
        <a:prstGeom prst="wave">
          <a:avLst/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98425</xdr:colOff>
      <xdr:row>37</xdr:row>
      <xdr:rowOff>66040</xdr:rowOff>
    </xdr:from>
    <xdr:to>
      <xdr:col>61</xdr:col>
      <xdr:colOff>446405</xdr:colOff>
      <xdr:row>37</xdr:row>
      <xdr:rowOff>219075</xdr:rowOff>
    </xdr:to>
    <xdr:sp>
      <xdr:nvSpPr>
        <xdr:cNvPr id="33" name="波形 32"/>
        <xdr:cNvSpPr/>
      </xdr:nvSpPr>
      <xdr:spPr>
        <a:xfrm>
          <a:off x="41135935" y="10391140"/>
          <a:ext cx="347980" cy="153035"/>
        </a:xfrm>
        <a:prstGeom prst="wave">
          <a:avLst>
            <a:gd name="adj1" fmla="val 12500"/>
            <a:gd name="adj2" fmla="val -10000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48260</xdr:colOff>
      <xdr:row>36</xdr:row>
      <xdr:rowOff>26670</xdr:rowOff>
    </xdr:from>
    <xdr:to>
      <xdr:col>60</xdr:col>
      <xdr:colOff>396240</xdr:colOff>
      <xdr:row>36</xdr:row>
      <xdr:rowOff>179705</xdr:rowOff>
    </xdr:to>
    <xdr:sp>
      <xdr:nvSpPr>
        <xdr:cNvPr id="34" name="波形 33"/>
        <xdr:cNvSpPr/>
      </xdr:nvSpPr>
      <xdr:spPr>
        <a:xfrm>
          <a:off x="40553640" y="10107930"/>
          <a:ext cx="347980" cy="153035"/>
        </a:xfrm>
        <a:prstGeom prst="wave">
          <a:avLst>
            <a:gd name="adj1" fmla="val 12500"/>
            <a:gd name="adj2" fmla="val -10000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56515</xdr:colOff>
      <xdr:row>35</xdr:row>
      <xdr:rowOff>46990</xdr:rowOff>
    </xdr:from>
    <xdr:to>
      <xdr:col>48</xdr:col>
      <xdr:colOff>404495</xdr:colOff>
      <xdr:row>35</xdr:row>
      <xdr:rowOff>200025</xdr:rowOff>
    </xdr:to>
    <xdr:sp>
      <xdr:nvSpPr>
        <xdr:cNvPr id="35" name="波形 34"/>
        <xdr:cNvSpPr/>
      </xdr:nvSpPr>
      <xdr:spPr>
        <a:xfrm>
          <a:off x="34176335" y="9884410"/>
          <a:ext cx="347980" cy="153035"/>
        </a:xfrm>
        <a:prstGeom prst="wave">
          <a:avLst>
            <a:gd name="adj1" fmla="val 12500"/>
            <a:gd name="adj2" fmla="val -10000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50165</xdr:colOff>
      <xdr:row>39</xdr:row>
      <xdr:rowOff>19050</xdr:rowOff>
    </xdr:from>
    <xdr:to>
      <xdr:col>68</xdr:col>
      <xdr:colOff>398145</xdr:colOff>
      <xdr:row>39</xdr:row>
      <xdr:rowOff>172085</xdr:rowOff>
    </xdr:to>
    <xdr:sp>
      <xdr:nvSpPr>
        <xdr:cNvPr id="36" name="波形 35"/>
        <xdr:cNvSpPr/>
      </xdr:nvSpPr>
      <xdr:spPr>
        <a:xfrm>
          <a:off x="44812585" y="10831830"/>
          <a:ext cx="347980" cy="153035"/>
        </a:xfrm>
        <a:prstGeom prst="wave">
          <a:avLst>
            <a:gd name="adj1" fmla="val 12500"/>
            <a:gd name="adj2" fmla="val -10000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111125</xdr:colOff>
      <xdr:row>40</xdr:row>
      <xdr:rowOff>37465</xdr:rowOff>
    </xdr:from>
    <xdr:to>
      <xdr:col>77</xdr:col>
      <xdr:colOff>459105</xdr:colOff>
      <xdr:row>40</xdr:row>
      <xdr:rowOff>190500</xdr:rowOff>
    </xdr:to>
    <xdr:sp>
      <xdr:nvSpPr>
        <xdr:cNvPr id="37" name="波形 36"/>
        <xdr:cNvSpPr/>
      </xdr:nvSpPr>
      <xdr:spPr>
        <a:xfrm>
          <a:off x="50338355" y="11091545"/>
          <a:ext cx="347980" cy="153035"/>
        </a:xfrm>
        <a:prstGeom prst="wave">
          <a:avLst>
            <a:gd name="adj1" fmla="val 12500"/>
            <a:gd name="adj2" fmla="val -10000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62865</xdr:colOff>
      <xdr:row>41</xdr:row>
      <xdr:rowOff>42545</xdr:rowOff>
    </xdr:from>
    <xdr:to>
      <xdr:col>45</xdr:col>
      <xdr:colOff>410845</xdr:colOff>
      <xdr:row>41</xdr:row>
      <xdr:rowOff>195580</xdr:rowOff>
    </xdr:to>
    <xdr:sp>
      <xdr:nvSpPr>
        <xdr:cNvPr id="38" name="波形 37"/>
        <xdr:cNvSpPr/>
      </xdr:nvSpPr>
      <xdr:spPr>
        <a:xfrm>
          <a:off x="32586295" y="11337925"/>
          <a:ext cx="347980" cy="153035"/>
        </a:xfrm>
        <a:prstGeom prst="wave">
          <a:avLst>
            <a:gd name="adj1" fmla="val 12500"/>
            <a:gd name="adj2" fmla="val -10000"/>
          </a:avLst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57785</xdr:colOff>
      <xdr:row>42</xdr:row>
      <xdr:rowOff>27305</xdr:rowOff>
    </xdr:from>
    <xdr:to>
      <xdr:col>46</xdr:col>
      <xdr:colOff>405765</xdr:colOff>
      <xdr:row>42</xdr:row>
      <xdr:rowOff>180340</xdr:rowOff>
    </xdr:to>
    <xdr:sp>
      <xdr:nvSpPr>
        <xdr:cNvPr id="39" name="波形 38"/>
        <xdr:cNvSpPr/>
      </xdr:nvSpPr>
      <xdr:spPr>
        <a:xfrm>
          <a:off x="33113345" y="11566525"/>
          <a:ext cx="347980" cy="153035"/>
        </a:xfrm>
        <a:prstGeom prst="wave">
          <a:avLst>
            <a:gd name="adj1" fmla="val 12500"/>
            <a:gd name="adj2" fmla="val -10000"/>
          </a:avLst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64</xdr:col>
      <xdr:colOff>53975</xdr:colOff>
      <xdr:row>43</xdr:row>
      <xdr:rowOff>43180</xdr:rowOff>
    </xdr:from>
    <xdr:to>
      <xdr:col>64</xdr:col>
      <xdr:colOff>401955</xdr:colOff>
      <xdr:row>43</xdr:row>
      <xdr:rowOff>196215</xdr:rowOff>
    </xdr:to>
    <xdr:sp>
      <xdr:nvSpPr>
        <xdr:cNvPr id="40" name="波形 39"/>
        <xdr:cNvSpPr/>
      </xdr:nvSpPr>
      <xdr:spPr>
        <a:xfrm>
          <a:off x="42687875" y="11826240"/>
          <a:ext cx="347980" cy="153035"/>
        </a:xfrm>
        <a:prstGeom prst="wave">
          <a:avLst>
            <a:gd name="adj1" fmla="val 12500"/>
            <a:gd name="adj2" fmla="val -10000"/>
          </a:avLst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6</xdr:col>
      <xdr:colOff>234315</xdr:colOff>
      <xdr:row>10</xdr:row>
      <xdr:rowOff>1289685</xdr:rowOff>
    </xdr:from>
    <xdr:ext cx="438785" cy="263525"/>
    <xdr:sp>
      <xdr:nvSpPr>
        <xdr:cNvPr id="41" name="文本框 40"/>
        <xdr:cNvSpPr txBox="1"/>
      </xdr:nvSpPr>
      <xdr:spPr>
        <a:xfrm>
          <a:off x="10843895" y="3049905"/>
          <a:ext cx="43878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1-24</a:t>
          </a:r>
          <a:endParaRPr lang="en-US" altLang="zh-CN" sz="1600"/>
        </a:p>
      </xdr:txBody>
    </xdr:sp>
    <xdr:clientData/>
  </xdr:oneCellAnchor>
  <xdr:twoCellAnchor>
    <xdr:from>
      <xdr:col>18</xdr:col>
      <xdr:colOff>210185</xdr:colOff>
      <xdr:row>10</xdr:row>
      <xdr:rowOff>911860</xdr:rowOff>
    </xdr:from>
    <xdr:to>
      <xdr:col>18</xdr:col>
      <xdr:colOff>316230</xdr:colOff>
      <xdr:row>10</xdr:row>
      <xdr:rowOff>1071880</xdr:rowOff>
    </xdr:to>
    <xdr:sp>
      <xdr:nvSpPr>
        <xdr:cNvPr id="42" name="流程图: 合并 41"/>
        <xdr:cNvSpPr/>
      </xdr:nvSpPr>
      <xdr:spPr>
        <a:xfrm>
          <a:off x="18366105" y="2672080"/>
          <a:ext cx="106045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600"/>
        </a:p>
      </xdr:txBody>
    </xdr:sp>
    <xdr:clientData/>
  </xdr:twoCellAnchor>
  <xdr:twoCellAnchor>
    <xdr:from>
      <xdr:col>6</xdr:col>
      <xdr:colOff>434975</xdr:colOff>
      <xdr:row>10</xdr:row>
      <xdr:rowOff>940435</xdr:rowOff>
    </xdr:from>
    <xdr:to>
      <xdr:col>7</xdr:col>
      <xdr:colOff>62230</xdr:colOff>
      <xdr:row>10</xdr:row>
      <xdr:rowOff>1100455</xdr:rowOff>
    </xdr:to>
    <xdr:sp>
      <xdr:nvSpPr>
        <xdr:cNvPr id="43" name="流程图: 合并 42"/>
        <xdr:cNvSpPr/>
      </xdr:nvSpPr>
      <xdr:spPr>
        <a:xfrm>
          <a:off x="11044555" y="2700655"/>
          <a:ext cx="159385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600"/>
        </a:p>
      </xdr:txBody>
    </xdr:sp>
    <xdr:clientData/>
  </xdr:twoCellAnchor>
  <xdr:twoCellAnchor>
    <xdr:from>
      <xdr:col>2</xdr:col>
      <xdr:colOff>365760</xdr:colOff>
      <xdr:row>10</xdr:row>
      <xdr:rowOff>979805</xdr:rowOff>
    </xdr:from>
    <xdr:to>
      <xdr:col>3</xdr:col>
      <xdr:colOff>46990</xdr:colOff>
      <xdr:row>10</xdr:row>
      <xdr:rowOff>1139825</xdr:rowOff>
    </xdr:to>
    <xdr:sp>
      <xdr:nvSpPr>
        <xdr:cNvPr id="44" name="流程图: 合并 43"/>
        <xdr:cNvSpPr/>
      </xdr:nvSpPr>
      <xdr:spPr>
        <a:xfrm>
          <a:off x="8846820" y="2740025"/>
          <a:ext cx="153035" cy="160020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</xdr:colOff>
      <xdr:row>59</xdr:row>
      <xdr:rowOff>107950</xdr:rowOff>
    </xdr:from>
    <xdr:to>
      <xdr:col>4</xdr:col>
      <xdr:colOff>295910</xdr:colOff>
      <xdr:row>73</xdr:row>
      <xdr:rowOff>202565</xdr:rowOff>
    </xdr:to>
    <xdr:graphicFrame>
      <xdr:nvGraphicFramePr>
        <xdr:cNvPr id="4" name="图表 3"/>
        <xdr:cNvGraphicFramePr/>
      </xdr:nvGraphicFramePr>
      <xdr:xfrm>
        <a:off x="47625" y="14913610"/>
        <a:ext cx="5420360" cy="3188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765175</xdr:colOff>
      <xdr:row>59</xdr:row>
      <xdr:rowOff>203835</xdr:rowOff>
    </xdr:from>
    <xdr:to>
      <xdr:col>9</xdr:col>
      <xdr:colOff>174625</xdr:colOff>
      <xdr:row>74</xdr:row>
      <xdr:rowOff>12065</xdr:rowOff>
    </xdr:to>
    <xdr:graphicFrame>
      <xdr:nvGraphicFramePr>
        <xdr:cNvPr id="7" name="图表 6"/>
        <xdr:cNvGraphicFramePr/>
      </xdr:nvGraphicFramePr>
      <xdr:xfrm>
        <a:off x="5937250" y="15009495"/>
        <a:ext cx="5334000" cy="3122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635000</xdr:colOff>
      <xdr:row>58</xdr:row>
      <xdr:rowOff>203200</xdr:rowOff>
    </xdr:from>
    <xdr:to>
      <xdr:col>12</xdr:col>
      <xdr:colOff>1644015</xdr:colOff>
      <xdr:row>73</xdr:row>
      <xdr:rowOff>135890</xdr:rowOff>
    </xdr:to>
    <xdr:graphicFrame>
      <xdr:nvGraphicFramePr>
        <xdr:cNvPr id="9" name="图表 8"/>
        <xdr:cNvGraphicFramePr/>
      </xdr:nvGraphicFramePr>
      <xdr:xfrm>
        <a:off x="11731625" y="14787880"/>
        <a:ext cx="4809490" cy="3247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56.606087963" refreshedBy="86131" recordCount="117">
  <cacheSource type="worksheet">
    <worksheetSource ref="A1:A1" sheet="1.1核心竞争对手调研"/>
  </cacheSource>
  <cacheFields count="59">
    <cacheField name="产品标识" numFmtId="0">
      <sharedItems containsBlank="1" count="117">
        <s v="2022-08-20XXXX-111"/>
        <s v="2022-08-21XXXX-111"/>
        <s v="2022-08-22XXXX-111"/>
        <s v="2022-08-23XXXX-111"/>
        <s v="2022-08-24XXXX-111"/>
        <s v="2022-08-25XXXX-111"/>
        <s v="2022-08-26XXXX-111"/>
        <s v="2022-08-27XXXX-111"/>
        <s v="2022-08-28XXXX-111"/>
        <s v="2022-08-29XXXX-111"/>
        <s v="2022-08-30XXXX-111"/>
        <s v="2022-08-31XXXX-111"/>
        <s v="2022-09-01XXXX-111"/>
        <s v="2022-09-02XXXX-111"/>
        <s v="2022-09-03XXXX-111"/>
        <s v="2022-09-04XXXX-111"/>
        <s v="2022-09-05XXXX-111"/>
        <s v="2022-09-06XXXX-111"/>
        <s v="2022-09-07XXXX-111"/>
        <s v="2022-09-08XXXX-111"/>
        <s v="2022-09-09XXXX-111"/>
        <s v="2022-09-10XXXX-111"/>
        <s v="2022-09-11XXXX-111"/>
        <s v="2022-09-12XXXX-111"/>
        <s v="2022-09-13XXXX-111"/>
        <s v="2022-09-14XXXX-111"/>
        <s v="2022-09-15XXXX-111"/>
        <s v="2022-09-16XXXX-111"/>
        <s v="2022-09-17XXXX-111"/>
        <s v="2022-09-18XXXX-111"/>
        <s v="2022-09-19XXXX-111"/>
        <s v="2022-09-20XXXX-111"/>
        <s v="2022-09-21XXXX-111"/>
        <s v="2022-09-22XXXX-111"/>
        <s v="2022-09-23XXXX-111"/>
        <s v="2022-09-24XXXX-111"/>
        <s v="2022-09-25XXXX-111"/>
        <s v="2022-09-26XXXX-111"/>
        <s v="2022-09-27XXXX-111"/>
        <s v="2022-09-28XXXX-111"/>
        <s v="2022-09-29XXXX-111"/>
        <s v="2022-09-30XXXX-111"/>
        <s v="2022-10-01XXXX-111"/>
        <s v="2022-10-02XXXX-111"/>
        <s v="2022-10-03XXXX-111"/>
        <s v="2022-10-04XXXX-111"/>
        <s v="2022-10-05XXXX-111"/>
        <s v="2022-10-06XXXX-111"/>
        <s v="2022-10-07XXXX-111"/>
        <s v="2022-10-08XXXX-111"/>
        <s v="2022-10-09XXXX-111"/>
        <s v="2022-10-10XXXX-111"/>
        <s v="2022-10-11XXXX-111"/>
        <s v="2022-10-12XXXX-111"/>
        <s v="2022-10-13XXXX-111"/>
        <s v="2022-10-14XXXX-111"/>
        <s v="2022-10-15XXXX-111"/>
        <s v=""/>
        <s v="时间MSKU"/>
        <s v="2022-08-20XXXX-222"/>
        <s v="2022-08-21XXXX-222"/>
        <s v="2022-08-22XXXX-222"/>
        <s v="2022-08-23XXXX-222"/>
        <s v="2022-08-24XXXX-222"/>
        <s v="2022-08-25XXXX-222"/>
        <s v="2022-08-26XXXX-222"/>
        <s v="2022-08-27XXXX-222"/>
        <s v="2022-08-28XXXX-222"/>
        <s v="2022-08-29XXXX-222"/>
        <s v="2022-08-30XXXX-222"/>
        <s v="2022-08-31XXXX-222"/>
        <s v="2022-09-01XXXX-222"/>
        <s v="2022-09-02XXXX-222"/>
        <s v="2022-09-03XXXX-222"/>
        <s v="2022-09-04XXXX-222"/>
        <s v="2022-09-05XXXX-222"/>
        <s v="2022-09-06XXXX-222"/>
        <s v="2022-09-07XXXX-222"/>
        <s v="2022-09-08XXXX-222"/>
        <s v="2022-09-09XXXX-222"/>
        <s v="2022-09-10XXXX-222"/>
        <s v="2022-09-11XXXX-222"/>
        <s v="2022-09-12XXXX-222"/>
        <s v="2022-09-13XXXX-222"/>
        <s v="2022-09-14XXXX-222"/>
        <s v="2022-09-15XXXX-222"/>
        <s v="2022-09-16XXXX-222"/>
        <s v="2022-09-17XXXX-222"/>
        <s v="2022-09-18XXXX-222"/>
        <s v="2022-09-19XXXX-222"/>
        <s v="2022-09-20XXXX-222"/>
        <s v="2022-09-21XXXX-222"/>
        <s v="2022-09-22XXXX-222"/>
        <s v="2022-09-23XXXX-222"/>
        <s v="2022-09-24XXXX-222"/>
        <s v="2022-09-25XXXX-222"/>
        <s v="2022-09-26XXXX-222"/>
        <s v="2022-09-27XXXX-222"/>
        <s v="2022-09-28XXXX-222"/>
        <s v="2022-09-29XXXX-222"/>
        <s v="2022-09-30XXXX-222"/>
        <s v="2022-10-01XXXX-222"/>
        <s v="2022-10-02XXXX-222"/>
        <s v="2022-10-03XXXX-222"/>
        <s v="2022-10-04XXXX-222"/>
        <s v="2022-10-05XXXX-222"/>
        <s v="2022-10-06XXXX-222"/>
        <s v="2022-10-07XXXX-222"/>
        <s v="2022-10-08XXXX-222"/>
        <s v="2022-10-09XXXX-222"/>
        <s v="2022-10-10XXXX-222"/>
        <s v="2022-10-11XXXX-222"/>
        <s v="2022-10-12XXXX-222"/>
        <s v="2022-10-13XXXX-222"/>
        <s v="2022-10-14XXXX-222"/>
        <s v="2022-10-15XXXX-222"/>
        <m/>
      </sharedItems>
    </cacheField>
    <cacheField name="时间" numFmtId="0">
      <sharedItems containsBlank="1" count="59"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m/>
        <s v="时间"/>
      </sharedItems>
    </cacheField>
    <cacheField name="ASIN" numFmtId="0">
      <sharedItems containsBlank="1" count="4">
        <s v="ASIN1"/>
        <m/>
        <s v="ASIN"/>
        <s v="ASIN2"/>
      </sharedItems>
    </cacheField>
    <cacheField name="父ASIN" numFmtId="0">
      <sharedItems containsBlank="1" count="3">
        <s v="B0B9ZKN8JG"/>
        <m/>
        <s v="父ASIN"/>
      </sharedItems>
    </cacheField>
    <cacheField name="MSKU" numFmtId="0">
      <sharedItems containsBlank="1" count="6">
        <s v="XXXX-111"/>
        <m/>
        <s v="MSKU"/>
        <s v="XXXX-222"/>
        <s v="MYTD-156" u="1"/>
        <s v="MYTD-157" u="1"/>
      </sharedItems>
    </cacheField>
    <cacheField name="品名" numFmtId="0">
      <sharedItems containsBlank="1" count="2">
        <m/>
        <s v="品名"/>
      </sharedItems>
    </cacheField>
    <cacheField name="价格" numFmtId="0">
      <sharedItems containsBlank="1" count="11">
        <s v="$13.99"/>
        <s v="$15.99"/>
        <s v="$16.99"/>
        <s v="$17.99"/>
        <s v="$19.99"/>
        <s v="$21.99"/>
        <m/>
        <s v="价格"/>
        <s v="$14.99"/>
        <s v="$11.99"/>
        <s v="$9.99"/>
      </sharedItems>
    </cacheField>
    <cacheField name="FBA可售" numFmtId="0">
      <sharedItems containsBlank="1" containsNumber="1" containsInteger="1" containsMixedTypes="1" count="108">
        <n v="199"/>
        <n v="259"/>
        <n v="319"/>
        <n v="340"/>
        <n v="337"/>
        <n v="334"/>
        <n v="493"/>
        <n v="513"/>
        <n v="526"/>
        <n v="524"/>
        <n v="555"/>
        <n v="613"/>
        <n v="758"/>
        <n v="812"/>
        <n v="803"/>
        <n v="797"/>
        <n v="835"/>
        <n v="863"/>
        <n v="842"/>
        <n v="838"/>
        <n v="843"/>
        <n v="830"/>
        <n v="818"/>
        <n v="807"/>
        <n v="781"/>
        <n v="759"/>
        <n v="736"/>
        <n v="706"/>
        <n v="682"/>
        <n v="653"/>
        <n v="612"/>
        <n v="584"/>
        <n v="572"/>
        <n v="546"/>
        <n v="530"/>
        <n v="507"/>
        <n v="476"/>
        <n v="452"/>
        <n v="423"/>
        <n v="389"/>
        <n v="362"/>
        <n v="330"/>
        <n v="293"/>
        <n v="241"/>
        <n v="204"/>
        <n v="172"/>
        <n v="148"/>
        <n v="130"/>
        <n v="96"/>
        <n v="89"/>
        <n v="72"/>
        <n v="54"/>
        <n v="37"/>
        <n v="22"/>
        <n v="6"/>
        <n v="1"/>
        <m/>
        <s v="FBA可售"/>
        <n v="240"/>
        <n v="284"/>
        <n v="344"/>
        <n v="365"/>
        <n v="364"/>
        <n v="379"/>
        <n v="497"/>
        <n v="551"/>
        <n v="550"/>
        <n v="565"/>
        <n v="644"/>
        <n v="780"/>
        <n v="819"/>
        <n v="816"/>
        <n v="827"/>
        <n v="859"/>
        <n v="886"/>
        <n v="882"/>
        <n v="878"/>
        <n v="872"/>
        <n v="861"/>
        <n v="849"/>
        <n v="821"/>
        <n v="804"/>
        <n v="785"/>
        <n v="790"/>
        <n v="782"/>
        <n v="777"/>
        <n v="762"/>
        <n v="793"/>
        <n v="778"/>
        <n v="765"/>
        <n v="754"/>
        <n v="742"/>
        <n v="733"/>
        <n v="728"/>
        <n v="716"/>
        <n v="685"/>
        <n v="611"/>
        <n v="601"/>
        <n v="574"/>
        <n v="562"/>
        <n v="541"/>
        <n v="504"/>
        <n v="471"/>
        <n v="444"/>
        <n v="417"/>
        <n v="385"/>
        <n v="355"/>
        <n v="342"/>
      </sharedItems>
    </cacheField>
    <cacheField name="FBM可售" numFmtId="0">
      <sharedItems containsBlank="1" containsNumber="1" containsInteger="1" containsMixedTypes="1" count="3">
        <n v="0"/>
        <m/>
        <s v="FBM可售"/>
      </sharedItems>
    </cacheField>
    <cacheField name="销量" numFmtId="0">
      <sharedItems containsBlank="1" containsNumber="1" containsInteger="1" containsMixedTypes="1" count="39">
        <n v="0"/>
        <n v="2"/>
        <n v="1"/>
        <n v="3"/>
        <n v="9"/>
        <n v="5"/>
        <n v="4"/>
        <n v="8"/>
        <n v="23"/>
        <n v="17"/>
        <n v="11"/>
        <n v="12"/>
        <n v="14"/>
        <n v="18"/>
        <n v="19"/>
        <n v="21"/>
        <n v="22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m/>
        <s v="销量"/>
        <n v="6"/>
        <n v="7"/>
        <n v="13"/>
        <n v="36"/>
        <n v="34"/>
      </sharedItems>
    </cacheField>
    <cacheField name="订单量" numFmtId="0">
      <sharedItems containsBlank="1" containsNumber="1" containsInteger="1" containsMixedTypes="1" count="41">
        <n v="0"/>
        <n v="2"/>
        <n v="1"/>
        <n v="3"/>
        <n v="9"/>
        <n v="5"/>
        <n v="7"/>
        <n v="4"/>
        <n v="8"/>
        <n v="22"/>
        <n v="16"/>
        <n v="11"/>
        <n v="12"/>
        <n v="14"/>
        <n v="18"/>
        <n v="19"/>
        <n v="21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n v="17"/>
        <m/>
        <s v="订单量"/>
        <n v="6"/>
        <n v="13"/>
        <n v="36"/>
        <n v="39"/>
        <n v="23"/>
        <n v="33"/>
      </sharedItems>
    </cacheField>
    <cacheField name="销售额" numFmtId="0">
      <sharedItems containsBlank="1" containsNumber="1" containsMixedTypes="1" count="72">
        <n v="0"/>
        <n v="27.98"/>
        <n v="13.99"/>
        <n v="41.97"/>
        <n v="125.91"/>
        <n v="69.95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87.82"/>
        <n v="639.6"/>
        <n v="475.72"/>
        <n v="441.74"/>
        <n v="356.79"/>
        <n v="594.65"/>
        <n v="458.73"/>
        <n v="407.76"/>
        <n v="449.75"/>
        <n v="557.69"/>
        <n v="431.76"/>
        <n v="521.71"/>
        <n v="845.53"/>
        <n v="881.51"/>
        <n v="761.62"/>
        <n v="593.73"/>
        <n v="703.68"/>
        <n v="439.8"/>
        <n v="487.76"/>
        <n v="189.9"/>
        <n v="297.83"/>
        <n v="303.81"/>
        <n v="349.81"/>
        <n v="359.82"/>
        <n v="159.92"/>
        <n v="79.96"/>
        <m/>
        <s v="销售额"/>
        <n v="139.9"/>
        <n v="83.94"/>
        <n v="97.93"/>
        <n v="279.8"/>
        <n v="119.92"/>
        <n v="149.9"/>
        <n v="194.87"/>
        <n v="104.93"/>
        <n v="254.83"/>
        <n v="179.88"/>
        <n v="209.86"/>
        <n v="134.91"/>
        <n v="89.94"/>
        <n v="431.64"/>
        <n v="479.6"/>
        <n v="319.77"/>
        <n v="363.74"/>
        <n v="263.78"/>
        <n v="143.88"/>
        <n v="239.8"/>
        <n v="273.76"/>
        <n v="179.82"/>
        <n v="379.62"/>
        <n v="329.67"/>
        <n v="269.73"/>
        <n v="279.72"/>
      </sharedItems>
    </cacheField>
    <cacheField name="净销售额" numFmtId="0">
      <sharedItems containsBlank="1" containsNumber="1" containsMixedTypes="1" count="79">
        <n v="0"/>
        <n v="27.98"/>
        <n v="13.99"/>
        <n v="41.97"/>
        <n v="125.91"/>
        <n v="69.95"/>
        <n v="113.6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75.51"/>
        <n v="627.29"/>
        <n v="475.72"/>
        <n v="441.74"/>
        <n v="356.79"/>
        <n v="594.65"/>
        <n v="446.42"/>
        <n v="407.76"/>
        <n v="434.8"/>
        <n v="557.69"/>
        <n v="416.81"/>
        <n v="506.76"/>
        <n v="509.4"/>
        <n v="829.7"/>
        <n v="865.68"/>
        <n v="761.62"/>
        <n v="579.66"/>
        <n v="687.85"/>
        <n v="439.8"/>
        <n v="472.81"/>
        <n v="172.31"/>
        <n v="285.52"/>
        <n v="303.81"/>
        <n v="337.5"/>
        <n v="329.04"/>
        <n v="159.92"/>
        <n v="79.96"/>
        <m/>
        <s v="净销售额"/>
        <n v="1.68"/>
        <n v="141.58"/>
        <n v="139.9"/>
        <n v="31.34"/>
        <n v="71.63"/>
        <n v="183.55"/>
        <n v="85.62"/>
        <n v="279.8"/>
        <n v="119.92"/>
        <n v="149.9"/>
        <n v="194.87"/>
        <n v="104.93"/>
        <n v="254.83"/>
        <n v="179.88"/>
        <n v="209.86"/>
        <n v="134.91"/>
        <n v="64.44"/>
        <n v="405.26"/>
        <n v="479.6"/>
        <n v="319.77"/>
        <n v="238.63"/>
        <n v="363.74"/>
        <n v="263.78"/>
        <n v="143.88"/>
        <n v="229.25"/>
        <n v="273.76"/>
        <n v="169.27"/>
        <n v="358.52"/>
        <n v="306.81"/>
        <n v="260.94"/>
        <n v="279.72"/>
      </sharedItems>
    </cacheField>
    <cacheField name="B2B 销量" numFmtId="0">
      <sharedItems containsBlank="1" containsNumber="1" containsInteger="1" containsMixedTypes="1" count="9">
        <n v="0"/>
        <n v="1"/>
        <n v="2"/>
        <n v="6"/>
        <n v="3"/>
        <n v="4"/>
        <m/>
        <s v="B2B 销量"/>
        <n v="5"/>
      </sharedItems>
    </cacheField>
    <cacheField name="B2B 销售额" numFmtId="0">
      <sharedItems containsBlank="1" containsNumber="1" containsMixedTypes="1" count="22">
        <n v="0"/>
        <n v="13.99"/>
        <n v="33.98"/>
        <n v="16.99"/>
        <n v="17.99"/>
        <n v="107.94"/>
        <n v="35.98"/>
        <n v="59.97"/>
        <n v="43.98"/>
        <n v="39.98"/>
        <n v="19.99"/>
        <n v="15.99"/>
        <n v="79.96"/>
        <m/>
        <s v="B2B 销售额"/>
        <n v="55.96"/>
        <n v="14.99"/>
        <n v="11.99"/>
        <n v="49.95"/>
        <n v="19.98"/>
        <n v="29.97"/>
        <n v="9.99"/>
      </sharedItems>
    </cacheField>
    <cacheField name="B2B 订单量" numFmtId="0">
      <sharedItems containsBlank="1" containsNumber="1" containsInteger="1" containsMixedTypes="1" count="9">
        <n v="0"/>
        <n v="1"/>
        <n v="2"/>
        <n v="6"/>
        <n v="3"/>
        <n v="4"/>
        <m/>
        <s v="B2B 订单量"/>
        <n v="5"/>
      </sharedItems>
    </cacheField>
    <cacheField name="促销销量" numFmtId="0">
      <sharedItems containsBlank="1" containsNumber="1" containsInteger="1" containsMixedTypes="1" count="3">
        <n v="0"/>
        <m/>
        <s v="促销销量"/>
      </sharedItems>
    </cacheField>
    <cacheField name="促销销售额" numFmtId="0">
      <sharedItems containsBlank="1" containsNumber="1" containsInteger="1" containsMixedTypes="1" count="3">
        <n v="0"/>
        <m/>
        <s v="促销销售额"/>
      </sharedItems>
    </cacheField>
    <cacheField name="促销订单量" numFmtId="0">
      <sharedItems containsBlank="1" containsNumber="1" containsInteger="1" containsMixedTypes="1" count="3">
        <n v="0"/>
        <m/>
        <s v="促销订单量"/>
      </sharedItems>
    </cacheField>
    <cacheField name="平均客单价" numFmtId="0">
      <sharedItems containsBlank="1" containsNumber="1" containsMixedTypes="1" count="47">
        <m/>
        <n v="13.99"/>
        <n v="12.62"/>
        <n v="14.27"/>
        <n v="15.31"/>
        <n v="15.68"/>
        <n v="16.99"/>
        <n v="16.53"/>
        <n v="17.39"/>
        <n v="17.99"/>
        <n v="17.37"/>
        <n v="17.47"/>
        <n v="17.57"/>
        <n v="17.65"/>
        <n v="17.67"/>
        <n v="20.04"/>
        <n v="21.47"/>
        <n v="21.5"/>
        <n v="21.99"/>
        <n v="19.7"/>
        <n v="17.23"/>
        <n v="16.8"/>
        <n v="15.99"/>
        <n v="17.76"/>
        <n v="18.28"/>
        <n v="19.99"/>
        <s v="平均客单价"/>
        <n v="1.68"/>
        <n v="12.87"/>
        <n v="7.84"/>
        <n v="11.94"/>
        <n v="13.11"/>
        <n v="12.23"/>
        <n v="14.99"/>
        <n v="14.16"/>
        <n v="10.74"/>
        <n v="11.26"/>
        <n v="11.99"/>
        <n v="13.9"/>
        <n v="13.26"/>
        <n v="11.46"/>
        <n v="11.41"/>
        <n v="9.4"/>
        <n v="9.43"/>
        <n v="9.02"/>
        <n v="9.66"/>
        <n v="9.99"/>
      </sharedItems>
    </cacheField>
    <cacheField name="平均销量" numFmtId="0">
      <sharedItems containsBlank="1" containsNumber="1" containsMixedTypes="1" count="12">
        <n v="0"/>
        <n v="0.1"/>
        <n v="0.2"/>
        <n v="0.4"/>
        <n v="0.3"/>
        <n v="0.5"/>
        <n v="0.7"/>
        <n v="0.6"/>
        <n v="0.8"/>
        <n v="0.9"/>
        <m/>
        <s v="平均销量"/>
      </sharedItems>
    </cacheField>
    <cacheField name="大类排名" numFmtId="0">
      <sharedItems containsString="0" containsBlank="1" containsNonDate="0" count="1">
        <m/>
      </sharedItems>
    </cacheField>
    <cacheField name="小类排名" numFmtId="0">
      <sharedItems containsString="0" containsBlank="1" containsNonDate="0" count="1">
        <m/>
      </sharedItems>
    </cacheField>
    <cacheField name="退款量" numFmtId="0">
      <sharedItems containsBlank="1" containsNumber="1" containsInteger="1" containsMixedTypes="1" count="5">
        <n v="0"/>
        <n v="1"/>
        <n v="2"/>
        <m/>
        <s v="退款量"/>
      </sharedItems>
    </cacheField>
    <cacheField name="退款率" numFmtId="0">
      <sharedItems containsBlank="1" count="26">
        <s v="0.00%"/>
        <s v="11.11%"/>
        <s v="5.56%"/>
        <s v="2.50%"/>
        <s v="7.41%"/>
        <s v="4.00%"/>
        <s v="4.17%"/>
        <s v="3.45%"/>
        <s v="2.13%"/>
        <s v="2.04%"/>
        <s v="3.70%"/>
        <s v="3.12%"/>
        <s v="10.00%"/>
        <s v="5.88%"/>
        <s v="5.26%"/>
        <s v="50.00%"/>
        <m/>
        <s v="退款率"/>
        <s v="100.00%"/>
        <s v="9.09%"/>
        <s v="16.67%"/>
        <s v="7.14%"/>
        <s v="14.29%"/>
        <s v="33.33%"/>
        <s v="5.00%"/>
        <s v="3.57%"/>
      </sharedItems>
    </cacheField>
    <cacheField name="评分" numFmtId="0">
      <sharedItems containsBlank="1" containsNumber="1" containsMixedTypes="1" count="8">
        <n v="0"/>
        <n v="3"/>
        <n v="4.6"/>
        <n v="4.7"/>
        <n v="4.5"/>
        <n v="4.4"/>
        <m/>
        <s v="评分"/>
      </sharedItems>
    </cacheField>
    <cacheField name="评论数" numFmtId="0">
      <sharedItems containsBlank="1" containsNumber="1" containsInteger="1" containsMixedTypes="1" count="13">
        <n v="0"/>
        <n v="1"/>
        <n v="16"/>
        <n v="18"/>
        <n v="21"/>
        <n v="22"/>
        <n v="24"/>
        <n v="28"/>
        <n v="30"/>
        <n v="33"/>
        <n v="36"/>
        <m/>
        <s v="评论数"/>
      </sharedItems>
    </cacheField>
    <cacheField name="留评率" numFmtId="0">
      <sharedItems containsBlank="1" count="10">
        <s v="0.00%"/>
        <s v="3.57%"/>
        <s v="3.23%"/>
        <s v="2.13%"/>
        <s v="5.56%"/>
        <m/>
        <s v="留评率"/>
        <s v="8.33%"/>
        <s v="2.56%"/>
        <s v="3.85%"/>
      </sharedItems>
    </cacheField>
    <cacheField name="促销折扣" numFmtId="0">
      <sharedItems containsBlank="1" containsNumber="1" containsInteger="1" containsMixedTypes="1" count="3">
        <n v="0"/>
        <m/>
        <s v="促销折扣"/>
      </sharedItems>
    </cacheField>
    <cacheField name="毛利润" numFmtId="0">
      <sharedItems containsBlank="1" containsNumber="1" containsMixedTypes="1" count="109">
        <n v="0"/>
        <n v="-20.95"/>
        <n v="-18.32"/>
        <n v="-1.13"/>
        <n v="-20.26"/>
        <n v="-22.85"/>
        <n v="-23.48"/>
        <n v="-0.2"/>
        <n v="19.73"/>
        <n v="-0.9"/>
        <n v="-5.41"/>
        <n v="1.98"/>
        <n v="6.54"/>
        <n v="10.03"/>
        <n v="30.29"/>
        <n v="54.47"/>
        <n v="40.68"/>
        <n v="23.06"/>
        <n v="10.64"/>
        <n v="28.77"/>
        <n v="18.01"/>
        <n v="42.39"/>
        <n v="77.09"/>
        <n v="75.64"/>
        <n v="57.52"/>
        <n v="79.12"/>
        <n v="106.15"/>
        <n v="112.65"/>
        <n v="165.68"/>
        <n v="196.97"/>
        <n v="136.59"/>
        <n v="127.92"/>
        <n v="195.34"/>
        <n v="153.31"/>
        <n v="171.36"/>
        <n v="248.13"/>
        <n v="191.92"/>
        <n v="165.62"/>
        <n v="182.2"/>
        <n v="214.21"/>
        <n v="203.19"/>
        <n v="262.16"/>
        <n v="312.2"/>
        <n v="312.99"/>
        <n v="311.23"/>
        <n v="304.8"/>
        <n v="285.44"/>
        <n v="66.74"/>
        <n v="117.39"/>
        <n v="174.85"/>
        <n v="95"/>
        <n v="116.31"/>
        <n v="67.39"/>
        <n v="30.12"/>
        <m/>
        <s v="毛利润"/>
        <n v="-15.72"/>
        <n v="-6.68"/>
        <n v="-25.23"/>
        <n v="-14.15"/>
        <n v="-11.46"/>
        <n v="-27.75"/>
        <n v="-11.42"/>
        <n v="-16.15"/>
        <n v="-8.25"/>
        <n v="12.65"/>
        <n v="-15.83"/>
        <n v="-16.01"/>
        <n v="-13.09"/>
        <n v="6.5"/>
        <n v="58.96"/>
        <n v="25.87"/>
        <n v="-2.77"/>
        <n v="11.21"/>
        <n v="14.94"/>
        <n v="22.91"/>
        <n v="34.8"/>
        <n v="23.13"/>
        <n v="11.57"/>
        <n v="22.84"/>
        <n v="40.45"/>
        <n v="30.44"/>
        <n v="42.49"/>
        <n v="40.66"/>
        <n v="53.01"/>
        <n v="40.51"/>
        <n v="43.97"/>
        <n v="42.53"/>
        <n v="58.86"/>
        <n v="70.2"/>
        <n v="56.21"/>
        <n v="87.57"/>
        <n v="52.91"/>
        <n v="-1.39"/>
        <n v="43.5"/>
        <n v="29.65"/>
        <n v="46.3"/>
        <n v="103.22"/>
        <n v="61.2"/>
        <n v="90.89"/>
        <n v="93.75"/>
        <n v="48.16"/>
        <n v="32.08"/>
        <n v="48.74"/>
        <n v="20.23"/>
        <n v="-12.84"/>
        <n v="-47.36"/>
        <n v="-20.93"/>
        <n v="-36.52"/>
      </sharedItems>
    </cacheField>
    <cacheField name="毛利率" numFmtId="0">
      <sharedItems containsBlank="1" count="101">
        <s v="0.00%"/>
        <s v="-8.10%"/>
        <s v="-163.35%"/>
        <s v="-0.29%"/>
        <s v="14.09%"/>
        <s v="-0.81%"/>
        <s v="-9.67%"/>
        <s v="2.36%"/>
        <s v="6.68%"/>
        <s v="8.96%"/>
        <s v="16.30%"/>
        <s v="19.26%"/>
        <s v="17.11%"/>
        <s v="13.73%"/>
        <s v="9.50%"/>
        <s v="15.63%"/>
        <s v="12.88%"/>
        <s v="18.94%"/>
        <s v="27.55%"/>
        <s v="28.46%"/>
        <s v="22.52%"/>
        <s v="26.93%"/>
        <s v="26.94%"/>
        <s v="30.30%"/>
        <s v="35.27%"/>
        <s v="33.44%"/>
        <s v="33.43%"/>
        <s v="37.10%"/>
        <s v="34.66%"/>
        <s v="37.49%"/>
        <s v="37.44%"/>
        <s v="36.63%"/>
        <s v="40.17%"/>
        <s v="36.99%"/>
        <s v="37.05%"/>
        <s v="38.24%"/>
        <s v="37.65%"/>
        <s v="38.35%"/>
        <s v="41.63%"/>
        <s v="40.48%"/>
        <s v="44.82%"/>
        <s v="47.42%"/>
        <s v="44.76%"/>
        <s v="36.29%"/>
        <s v="39.95%"/>
        <s v="40.69%"/>
        <s v="34.23%"/>
        <s v="29.84%"/>
        <s v="46.65%"/>
        <s v="30.75%"/>
        <m/>
        <s v="毛利率"/>
        <s v="-31.46%"/>
        <s v="-27.29%"/>
        <s v="-198.38%"/>
        <s v="-40.80%"/>
        <s v="-115.46%"/>
        <s v="-19.24%"/>
        <s v="10.05%"/>
        <s v="-113.17%"/>
        <s v="-114.46%"/>
        <s v="-18.72%"/>
        <s v="6.44%"/>
        <s v="28.10%"/>
        <s v="26.42%"/>
        <s v="-3.30%"/>
        <s v="26.71%"/>
        <s v="26.70%"/>
        <s v="27.30%"/>
        <s v="27.64%"/>
        <s v="27.56%"/>
        <s v="13.79%"/>
        <s v="14.55%"/>
        <s v="20.65%"/>
        <s v="27.20%"/>
        <s v="27.61%"/>
        <s v="28.66%"/>
        <s v="27.89%"/>
        <s v="30.03%"/>
        <s v="32.83%"/>
        <s v="31.53%"/>
        <s v="29.93%"/>
        <s v="31.36%"/>
        <s v="34.09%"/>
        <s v="32.45%"/>
        <s v="31.91%"/>
        <s v="-1.86%"/>
        <s v="30.23%"/>
        <s v="11.33%"/>
        <s v="20.10%"/>
        <s v="22.91%"/>
        <s v="19.92%"/>
        <s v="28.60%"/>
        <s v="26.06%"/>
        <s v="14.86%"/>
        <s v="19.83%"/>
        <s v="6.86%"/>
        <s v="-4.09%"/>
        <s v="-17.30%"/>
        <s v="-7.71%"/>
        <s v="-73.12%"/>
      </sharedItems>
    </cacheField>
    <cacheField name="ROI" numFmtId="0">
      <sharedItems containsBlank="1" count="79">
        <s v="0.00%"/>
        <s v="24.52%"/>
        <s v="-253.39%"/>
        <s v="-322.12%"/>
        <s v="88.58%"/>
        <s v="118.34%"/>
        <s v="315.07%"/>
        <s v="256.88%"/>
        <s v="315.39%"/>
        <s v="215.82%"/>
        <s v="316.02%"/>
        <s v="318.89%"/>
        <s v="326.79%"/>
        <s v="371.23%"/>
        <s v="353.16%"/>
        <s v="324.27%"/>
        <s v="334.65%"/>
        <s v="328.81%"/>
        <s v="331.88%"/>
        <s v="344.55%"/>
        <s v="357.25%"/>
        <s v="402.40%"/>
        <s v="406.27%"/>
        <s v="395.61%"/>
        <s v="405.38%"/>
        <s v="466.46%"/>
        <s v="466.87%"/>
        <s v="502.58%"/>
        <s v="501.89%"/>
        <s v="515.86%"/>
        <s v="509.10%"/>
        <s v="506.06%"/>
        <s v="502.46%"/>
        <s v="537.31%"/>
        <s v="548.91%"/>
        <s v="273.39%"/>
        <s v="342.42%"/>
        <s v="404.40%"/>
        <s v="402.75%"/>
        <s v="408.10%"/>
        <s v="343.65%"/>
        <s v="303.50%"/>
        <s v="274.74%"/>
        <s v="226.50%"/>
        <s v="300.52%"/>
        <s v="379.39%"/>
        <s v="608.17%"/>
        <m/>
        <s v="ROI"/>
        <s v="-161.29%"/>
        <s v="-498.19%"/>
        <s v="236.90%"/>
        <s v="25.59%"/>
        <s v="-297.68%"/>
        <s v="-298.03%"/>
        <s v="259.72%"/>
        <s v="157.43%"/>
        <s v="247.88%"/>
        <s v="164.99%"/>
        <s v="46.13%"/>
        <s v="333.58%"/>
        <s v="340.89%"/>
        <s v="398.23%"/>
        <s v="401.58%"/>
        <s v="396.00%"/>
        <s v="431.04%"/>
        <s v="435.91%"/>
        <s v="401.53%"/>
        <s v="433.69%"/>
        <s v="92.72%"/>
        <s v="92.73%"/>
        <s v="150.32%"/>
        <s v="152.94%"/>
        <s v="75.15%"/>
        <s v="19.11%"/>
        <s v="12.97%"/>
        <s v="10.19%"/>
        <s v="109.38%"/>
        <s v="218.29%"/>
      </sharedItems>
    </cacheField>
    <cacheField name="退货量" numFmtId="0">
      <sharedItems containsBlank="1" containsNumber="1" containsInteger="1" containsMixedTypes="1" count="5">
        <n v="0"/>
        <n v="1"/>
        <n v="2"/>
        <m/>
        <s v="退货量"/>
      </sharedItems>
    </cacheField>
    <cacheField name="退货率" numFmtId="0">
      <sharedItems containsBlank="1" count="17">
        <s v="0.00%"/>
        <s v="7.14%"/>
        <s v="2.50%"/>
        <s v="2.86%"/>
        <s v="4.26%"/>
        <s v="2.63%"/>
        <s v="3.70%"/>
        <s v="11.11%"/>
        <m/>
        <s v="退货率"/>
        <s v="10.00%"/>
        <s v="20.00%"/>
        <s v="7.69%"/>
        <s v="14.29%"/>
        <s v="16.67%"/>
        <s v="5.56%"/>
        <s v="2.94%"/>
      </sharedItems>
    </cacheField>
    <cacheField name="Sessions-Browser" numFmtId="0">
      <sharedItems containsBlank="1" containsNumber="1" containsInteger="1" containsMixedTypes="1" count="64">
        <n v="0"/>
        <n v="9"/>
        <n v="8"/>
        <n v="15"/>
        <n v="16"/>
        <n v="17"/>
        <n v="23"/>
        <n v="25"/>
        <n v="24"/>
        <n v="31"/>
        <n v="35"/>
        <n v="47"/>
        <n v="64"/>
        <n v="37"/>
        <n v="43"/>
        <n v="41"/>
        <n v="29"/>
        <n v="46"/>
        <n v="54"/>
        <n v="55"/>
        <n v="59"/>
        <n v="53"/>
        <n v="61"/>
        <n v="67"/>
        <n v="96"/>
        <n v="78"/>
        <n v="91"/>
        <n v="88"/>
        <n v="76"/>
        <n v="73"/>
        <n v="99"/>
        <n v="93"/>
        <n v="84"/>
        <n v="70"/>
        <n v="106"/>
        <n v="107"/>
        <n v="112"/>
        <n v="89"/>
        <n v="86"/>
        <n v="62"/>
        <n v="58"/>
        <n v="60"/>
        <n v="27"/>
        <m/>
        <s v="Sessions-Browser"/>
        <n v="6"/>
        <n v="7"/>
        <n v="11"/>
        <n v="14"/>
        <n v="10"/>
        <n v="13"/>
        <n v="19"/>
        <n v="12"/>
        <n v="28"/>
        <n v="20"/>
        <n v="22"/>
        <n v="21"/>
        <n v="32"/>
        <n v="26"/>
        <n v="44"/>
        <n v="50"/>
        <n v="38"/>
        <n v="57"/>
        <n v="40"/>
      </sharedItems>
    </cacheField>
    <cacheField name="Sessions-Mobile" numFmtId="0">
      <sharedItems containsBlank="1" containsNumber="1" containsInteger="1" containsMixedTypes="1" count="85">
        <n v="0"/>
        <n v="20"/>
        <n v="16"/>
        <n v="9"/>
        <n v="17"/>
        <n v="24"/>
        <n v="37"/>
        <n v="30"/>
        <n v="55"/>
        <n v="46"/>
        <n v="61"/>
        <n v="63"/>
        <n v="89"/>
        <n v="102"/>
        <n v="139"/>
        <n v="101"/>
        <n v="99"/>
        <n v="81"/>
        <n v="73"/>
        <n v="131"/>
        <n v="158"/>
        <n v="111"/>
        <n v="120"/>
        <n v="141"/>
        <n v="123"/>
        <n v="126"/>
        <n v="174"/>
        <n v="245"/>
        <n v="147"/>
        <n v="144"/>
        <n v="138"/>
        <n v="177"/>
        <n v="215"/>
        <n v="107"/>
        <n v="121"/>
        <n v="149"/>
        <n v="247"/>
        <n v="296"/>
        <n v="173"/>
        <n v="140"/>
        <n v="122"/>
        <n v="108"/>
        <n v="98"/>
        <n v="137"/>
        <n v="117"/>
        <n v="56"/>
        <n v="64"/>
        <n v="58"/>
        <m/>
        <s v="Sessions-Mobile"/>
        <n v="19"/>
        <n v="23"/>
        <n v="36"/>
        <n v="34"/>
        <n v="18"/>
        <n v="38"/>
        <n v="45"/>
        <n v="39"/>
        <n v="42"/>
        <n v="69"/>
        <n v="62"/>
        <n v="92"/>
        <n v="65"/>
        <n v="41"/>
        <n v="44"/>
        <n v="51"/>
        <n v="31"/>
        <n v="49"/>
        <n v="50"/>
        <n v="52"/>
        <n v="70"/>
        <n v="100"/>
        <n v="60"/>
        <n v="57"/>
        <n v="40"/>
        <n v="53"/>
        <n v="85"/>
        <n v="43"/>
        <n v="161"/>
        <n v="82"/>
        <n v="76"/>
        <n v="67"/>
        <n v="77"/>
        <n v="91"/>
        <n v="96"/>
      </sharedItems>
    </cacheField>
    <cacheField name="Sessions-Total" numFmtId="0">
      <sharedItems containsBlank="1" containsNumber="1" containsInteger="1" containsMixedTypes="1" count="92">
        <n v="0"/>
        <n v="29"/>
        <n v="25"/>
        <n v="17"/>
        <n v="32"/>
        <n v="40"/>
        <n v="54"/>
        <n v="46"/>
        <n v="78"/>
        <n v="71"/>
        <n v="85"/>
        <n v="94"/>
        <n v="124"/>
        <n v="149"/>
        <n v="203"/>
        <n v="138"/>
        <n v="142"/>
        <n v="122"/>
        <n v="102"/>
        <n v="172"/>
        <n v="204"/>
        <n v="165"/>
        <n v="175"/>
        <n v="200"/>
        <n v="176"/>
        <n v="187"/>
        <n v="241"/>
        <n v="341"/>
        <n v="225"/>
        <n v="235"/>
        <n v="226"/>
        <n v="220"/>
        <n v="206"/>
        <n v="250"/>
        <n v="314"/>
        <n v="231"/>
        <n v="214"/>
        <n v="191"/>
        <n v="216"/>
        <n v="353"/>
        <n v="403"/>
        <n v="285"/>
        <n v="229"/>
        <n v="208"/>
        <n v="167"/>
        <n v="160"/>
        <n v="192"/>
        <n v="195"/>
        <n v="181"/>
        <n v="116"/>
        <n v="105"/>
        <m/>
        <s v="Sessions-Total"/>
        <n v="16"/>
        <n v="28"/>
        <n v="37"/>
        <n v="47"/>
        <n v="50"/>
        <n v="34"/>
        <n v="48"/>
        <n v="62"/>
        <n v="52"/>
        <n v="61"/>
        <n v="81"/>
        <n v="90"/>
        <n v="129"/>
        <n v="77"/>
        <n v="58"/>
        <n v="67"/>
        <n v="56"/>
        <n v="60"/>
        <n v="72"/>
        <n v="91"/>
        <n v="125"/>
        <n v="73"/>
        <n v="92"/>
        <n v="66"/>
        <n v="74"/>
        <n v="113"/>
        <n v="69"/>
        <n v="180"/>
        <n v="221"/>
        <n v="126"/>
        <n v="119"/>
        <n v="117"/>
        <n v="115"/>
        <n v="96"/>
        <n v="134"/>
        <n v="132"/>
        <n v="168"/>
        <n v="158"/>
        <n v="141"/>
      </sharedItems>
    </cacheField>
    <cacheField name="PV-Browser" numFmtId="0">
      <sharedItems containsBlank="1" containsNumber="1" containsInteger="1" containsMixedTypes="1" count="69">
        <n v="0"/>
        <n v="14"/>
        <n v="11"/>
        <n v="8"/>
        <n v="23"/>
        <n v="18"/>
        <n v="21"/>
        <n v="19"/>
        <n v="32"/>
        <n v="35"/>
        <n v="34"/>
        <n v="44"/>
        <n v="41"/>
        <n v="66"/>
        <n v="82"/>
        <n v="52"/>
        <n v="68"/>
        <n v="58"/>
        <n v="39"/>
        <n v="54"/>
        <n v="60"/>
        <n v="77"/>
        <n v="71"/>
        <n v="91"/>
        <n v="78"/>
        <n v="79"/>
        <n v="93"/>
        <n v="128"/>
        <n v="103"/>
        <n v="120"/>
        <n v="121"/>
        <n v="100"/>
        <n v="87"/>
        <n v="127"/>
        <n v="130"/>
        <n v="94"/>
        <n v="113"/>
        <n v="88"/>
        <n v="86"/>
        <n v="138"/>
        <n v="141"/>
        <n v="89"/>
        <n v="69"/>
        <n v="75"/>
        <n v="73"/>
        <n v="48"/>
        <n v="33"/>
        <m/>
        <s v="PV-Browser"/>
        <n v="7"/>
        <n v="13"/>
        <n v="16"/>
        <n v="20"/>
        <n v="17"/>
        <n v="25"/>
        <n v="40"/>
        <n v="46"/>
        <n v="15"/>
        <n v="31"/>
        <n v="29"/>
        <n v="27"/>
        <n v="28"/>
        <n v="36"/>
        <n v="62"/>
        <n v="80"/>
        <n v="56"/>
        <n v="57"/>
        <n v="51"/>
        <n v="81"/>
      </sharedItems>
    </cacheField>
    <cacheField name="PV-Mobile" numFmtId="0">
      <sharedItems containsBlank="1" containsNumber="1" containsInteger="1" containsMixedTypes="1" count="88">
        <n v="0"/>
        <n v="23"/>
        <n v="22"/>
        <n v="15"/>
        <n v="19"/>
        <n v="37"/>
        <n v="52"/>
        <n v="34"/>
        <n v="64"/>
        <n v="51"/>
        <n v="75"/>
        <n v="84"/>
        <n v="110"/>
        <n v="126"/>
        <n v="168"/>
        <n v="128"/>
        <n v="115"/>
        <n v="101"/>
        <n v="96"/>
        <n v="153"/>
        <n v="182"/>
        <n v="131"/>
        <n v="151"/>
        <n v="172"/>
        <n v="147"/>
        <n v="149"/>
        <n v="207"/>
        <n v="303"/>
        <n v="175"/>
        <n v="183"/>
        <n v="186"/>
        <n v="179"/>
        <n v="176"/>
        <n v="224"/>
        <n v="275"/>
        <n v="167"/>
        <n v="160"/>
        <n v="130"/>
        <n v="202"/>
        <n v="317"/>
        <n v="355"/>
        <n v="235"/>
        <n v="178"/>
        <n v="143"/>
        <n v="123"/>
        <n v="185"/>
        <n v="177"/>
        <n v="146"/>
        <n v="67"/>
        <n v="76"/>
        <n v="69"/>
        <m/>
        <s v="PV-Mobile"/>
        <n v="10"/>
        <n v="24"/>
        <n v="31"/>
        <n v="42"/>
        <n v="43"/>
        <n v="46"/>
        <n v="57"/>
        <n v="48"/>
        <n v="89"/>
        <n v="80"/>
        <n v="117"/>
        <n v="61"/>
        <n v="50"/>
        <n v="53"/>
        <n v="63"/>
        <n v="77"/>
        <n v="38"/>
        <n v="65"/>
        <n v="85"/>
        <n v="60"/>
        <n v="70"/>
        <n v="72"/>
        <n v="44"/>
        <n v="62"/>
        <n v="105"/>
        <n v="166"/>
        <n v="203"/>
        <n v="104"/>
        <n v="97"/>
        <n v="90"/>
        <n v="112"/>
        <n v="119"/>
        <n v="133"/>
        <n v="132"/>
        <n v="102"/>
      </sharedItems>
    </cacheField>
    <cacheField name="PV-Total" numFmtId="0">
      <sharedItems containsBlank="1" containsNumber="1" containsInteger="1" containsMixedTypes="1" count="88">
        <n v="0"/>
        <n v="37"/>
        <n v="33"/>
        <n v="23"/>
        <n v="42"/>
        <n v="55"/>
        <n v="73"/>
        <n v="53"/>
        <n v="96"/>
        <n v="86"/>
        <n v="109"/>
        <n v="128"/>
        <n v="151"/>
        <n v="192"/>
        <n v="250"/>
        <n v="180"/>
        <n v="183"/>
        <n v="159"/>
        <n v="135"/>
        <n v="207"/>
        <n v="242"/>
        <n v="208"/>
        <n v="222"/>
        <n v="263"/>
        <n v="225"/>
        <n v="228"/>
        <n v="300"/>
        <n v="431"/>
        <n v="278"/>
        <n v="303"/>
        <n v="307"/>
        <n v="279"/>
        <n v="317"/>
        <n v="402"/>
        <n v="297"/>
        <n v="254"/>
        <n v="243"/>
        <n v="239"/>
        <n v="288"/>
        <n v="447"/>
        <n v="493"/>
        <n v="376"/>
        <n v="298"/>
        <n v="256"/>
        <n v="220"/>
        <n v="210"/>
        <n v="252"/>
        <n v="140"/>
        <n v="124"/>
        <n v="102"/>
        <m/>
        <s v="PV-Total"/>
        <n v="30"/>
        <n v="17"/>
        <n v="47"/>
        <n v="63"/>
        <n v="40"/>
        <n v="57"/>
        <n v="75"/>
        <n v="69"/>
        <n v="108"/>
        <n v="120"/>
        <n v="163"/>
        <n v="95"/>
        <n v="81"/>
        <n v="82"/>
        <n v="100"/>
        <n v="88"/>
        <n v="90"/>
        <n v="112"/>
        <n v="155"/>
        <n v="85"/>
        <n v="110"/>
        <n v="104"/>
        <n v="89"/>
        <n v="138"/>
        <n v="79"/>
        <n v="77"/>
        <n v="283"/>
        <n v="160"/>
        <n v="154"/>
        <n v="145"/>
        <n v="122"/>
        <n v="164"/>
        <n v="175"/>
        <n v="202"/>
        <n v="226"/>
        <n v="176"/>
      </sharedItems>
    </cacheField>
    <cacheField name="Buybox" numFmtId="0">
      <sharedItems containsBlank="1" count="10">
        <m/>
        <s v="100.00%"/>
        <s v="83.00%"/>
        <s v="88.00%"/>
        <s v="96.00%"/>
        <s v="98.00%"/>
        <s v="95.00%"/>
        <s v="99.00%"/>
        <s v="97.00%"/>
        <s v="Buybox"/>
      </sharedItems>
    </cacheField>
    <cacheField name="CVR" numFmtId="0">
      <sharedItems containsBlank="1" count="101">
        <s v="0.00%"/>
        <s v="6.90%"/>
        <s v="4.00%"/>
        <s v="3.12%"/>
        <s v="7.50%"/>
        <s v="3.70%"/>
        <s v="19.57%"/>
        <s v="6.41%"/>
        <s v="9.86%"/>
        <s v="4.71%"/>
        <s v="9.57%"/>
        <s v="7.26%"/>
        <s v="5.37%"/>
        <s v="10.84%"/>
        <s v="11.59%"/>
        <s v="7.75%"/>
        <s v="9.84%"/>
        <s v="8.82%"/>
        <s v="6.40%"/>
        <s v="6.86%"/>
        <s v="10.91%"/>
        <s v="10.86%"/>
        <s v="10.50%"/>
        <s v="12.50%"/>
        <s v="15.51%"/>
        <s v="7.47%"/>
        <s v="11.73%"/>
        <s v="12.44%"/>
        <s v="11.06%"/>
        <s v="9.29%"/>
        <s v="15.91%"/>
        <s v="13.11%"/>
        <s v="9.60%"/>
        <s v="11.15%"/>
        <s v="10.82%"/>
        <s v="14.49%"/>
        <s v="12.57%"/>
        <s v="15.18%"/>
        <s v="13.43%"/>
        <s v="13.31%"/>
        <s v="12.16%"/>
        <s v="13.33%"/>
        <s v="11.79%"/>
        <s v="15.38%"/>
        <s v="11.98%"/>
        <s v="15.00%"/>
        <s v="5.21%"/>
        <s v="8.72%"/>
        <s v="9.94%"/>
        <s v="16.38%"/>
        <s v="16.19%"/>
        <s v="9.41%"/>
        <m/>
        <s v="CVR"/>
        <s v="3.57%"/>
        <s v="13.51%"/>
        <s v="4.26%"/>
        <s v="2.00%"/>
        <s v="2.94%"/>
        <s v="10.42%"/>
        <s v="4.84%"/>
        <s v="9.62%"/>
        <s v="4.92%"/>
        <s v="2.47%"/>
        <s v="12.22%"/>
        <s v="8.53%"/>
        <s v="9.09%"/>
        <s v="6.45%"/>
        <s v="6.56%"/>
        <s v="8.62%"/>
        <s v="7.46%"/>
        <s v="12.35%"/>
        <s v="8.93%"/>
        <s v="16.67%"/>
        <s v="8.45%"/>
        <s v="18.06%"/>
        <s v="10.45%"/>
        <s v="8.79%"/>
        <s v="16.00%"/>
        <s v="10.96%"/>
        <s v="10.87%"/>
        <s v="15.29%"/>
        <s v="10.61%"/>
        <s v="17.57%"/>
        <s v="23.38%"/>
        <s v="7.08%"/>
        <s v="14.12%"/>
        <s v="22.95%"/>
        <s v="8.70%"/>
        <s v="20.00%"/>
        <s v="17.65%"/>
        <s v="18.25%"/>
        <s v="15.13%"/>
        <s v="22.22%"/>
        <s v="18.26%"/>
        <s v="14.93%"/>
        <s v="18.18%"/>
        <s v="10.71%"/>
        <s v="24.05%"/>
        <s v="23.40%"/>
        <s v="16.20%"/>
      </sharedItems>
    </cacheField>
    <cacheField name="销量CVR" numFmtId="0">
      <sharedItems containsBlank="1" count="100">
        <s v="0.00%"/>
        <s v="6.90%"/>
        <s v="4.00%"/>
        <s v="3.12%"/>
        <s v="7.50%"/>
        <s v="5.56%"/>
        <s v="19.57%"/>
        <s v="6.41%"/>
        <s v="12.68%"/>
        <s v="4.71%"/>
        <s v="9.57%"/>
        <s v="7.26%"/>
        <s v="5.37%"/>
        <s v="11.33%"/>
        <s v="12.32%"/>
        <s v="7.75%"/>
        <s v="9.84%"/>
        <s v="8.82%"/>
        <s v="6.40%"/>
        <s v="6.86%"/>
        <s v="10.91%"/>
        <s v="10.86%"/>
        <s v="10.50%"/>
        <s v="12.50%"/>
        <s v="15.51%"/>
        <s v="7.47%"/>
        <s v="11.73%"/>
        <s v="12.44%"/>
        <s v="11.06%"/>
        <s v="9.29%"/>
        <s v="15.91%"/>
        <s v="13.11%"/>
        <s v="9.60%"/>
        <s v="11.15%"/>
        <s v="10.82%"/>
        <s v="14.49%"/>
        <s v="12.57%"/>
        <s v="15.18%"/>
        <s v="13.43%"/>
        <s v="13.31%"/>
        <s v="12.16%"/>
        <s v="13.33%"/>
        <s v="11.79%"/>
        <s v="15.38%"/>
        <s v="11.98%"/>
        <s v="15.00%"/>
        <s v="5.21%"/>
        <s v="8.72%"/>
        <s v="16.38%"/>
        <s v="17.14%"/>
        <s v="9.41%"/>
        <m/>
        <s v="销量CVR"/>
        <s v="3.57%"/>
        <s v="13.51%"/>
        <s v="4.26%"/>
        <s v="2.00%"/>
        <s v="2.94%"/>
        <s v="10.42%"/>
        <s v="4.84%"/>
        <s v="9.62%"/>
        <s v="4.92%"/>
        <s v="2.47%"/>
        <s v="12.22%"/>
        <s v="8.53%"/>
        <s v="12.99%"/>
        <s v="6.45%"/>
        <s v="6.56%"/>
        <s v="8.62%"/>
        <s v="7.46%"/>
        <s v="12.35%"/>
        <s v="8.93%"/>
        <s v="16.67%"/>
        <s v="8.45%"/>
        <s v="19.44%"/>
        <s v="10.45%"/>
        <s v="8.79%"/>
        <s v="16.00%"/>
        <s v="10.96%"/>
        <s v="10.87%"/>
        <s v="15.29%"/>
        <s v="10.61%"/>
        <s v="17.57%"/>
        <s v="23.38%"/>
        <s v="7.08%"/>
        <s v="14.12%"/>
        <s v="22.95%"/>
        <s v="8.70%"/>
        <s v="20.00%"/>
        <s v="18.10%"/>
        <s v="18.25%"/>
        <s v="15.13%"/>
        <s v="22.22%"/>
        <s v="19.13%"/>
        <s v="14.93%"/>
        <s v="18.18%"/>
        <s v="10.71%"/>
        <s v="24.05%"/>
        <s v="24.11%"/>
        <s v="19.01%"/>
      </sharedItems>
    </cacheField>
    <cacheField name="CPC" numFmtId="0">
      <sharedItems containsBlank="1" containsNumber="1" containsMixedTypes="1" count="25">
        <m/>
        <n v="0.91"/>
        <n v="0.92"/>
        <n v="0.79"/>
        <n v="1.07"/>
        <n v="1.08"/>
        <n v="1.09"/>
        <n v="1.13"/>
        <n v="1.19"/>
        <n v="1.15"/>
        <n v="1.18"/>
        <n v="1.11"/>
        <n v="1.1"/>
        <s v="CPC"/>
        <n v="0.98"/>
        <n v="0.83"/>
        <n v="1.01"/>
        <n v="1.02"/>
        <n v="1.04"/>
        <n v="1.03"/>
        <n v="1.12"/>
        <n v="1.16"/>
        <n v="0.85"/>
        <n v="0.84"/>
        <n v="0.78"/>
      </sharedItems>
    </cacheField>
    <cacheField name="CTR" numFmtId="0">
      <sharedItems containsBlank="1" count="35">
        <s v="0.00%"/>
        <s v="0.20%"/>
        <s v="0.24%"/>
        <s v="0.17%"/>
        <s v="0.19%"/>
        <s v="0.27%"/>
        <s v="0.13%"/>
        <s v="0.14%"/>
        <s v="0.33%"/>
        <s v="0.36%"/>
        <s v="0.43%"/>
        <s v="0.42%"/>
        <s v="0.38%"/>
        <s v="0.34%"/>
        <s v="0.28%"/>
        <s v="0.37%"/>
        <s v="0.45%"/>
        <s v="0.32%"/>
        <s v="0.35%"/>
        <m/>
        <s v="CTR"/>
        <s v="0.31%"/>
        <s v="0.59%"/>
        <s v="0.30%"/>
        <s v="0.99%"/>
        <s v="0.81%"/>
        <s v="0.63%"/>
        <s v="0.44%"/>
        <s v="0.53%"/>
        <s v="0.82%"/>
        <s v="0.78%"/>
        <s v="1.13%"/>
        <s v="0.57%"/>
        <s v="0.73%"/>
        <s v="0.49%"/>
      </sharedItems>
    </cacheField>
    <cacheField name="广告花费" numFmtId="0">
      <sharedItems containsBlank="1" containsNumber="1" containsMixedTypes="1" count="40">
        <n v="0"/>
        <n v="-20.95"/>
        <n v="-18.32"/>
        <n v="-4.72"/>
        <n v="-20.26"/>
        <n v="-26"/>
        <n v="-23.48"/>
        <n v="-20.61"/>
        <n v="-19.58"/>
        <n v="-20.38"/>
        <n v="-20.3"/>
        <n v="-20.22"/>
        <n v="-19.49"/>
        <n v="-19.53"/>
        <n v="-18.89"/>
        <n v="-20.37"/>
        <n v="-22.15"/>
        <n v="-20.65"/>
        <n v="-19.25"/>
        <n v="-19.79"/>
        <n v="-20.18"/>
        <m/>
        <s v="广告花费"/>
        <n v="-15.72"/>
        <n v="-6.68"/>
        <n v="-25.23"/>
        <n v="-25.39"/>
        <n v="-20.89"/>
        <n v="-19.57"/>
        <n v="-20.08"/>
        <n v="-20.17"/>
        <n v="-20.85"/>
        <n v="-19.73"/>
        <n v="-19.26"/>
        <n v="-19.98"/>
        <n v="-6.8"/>
        <n v="-27.19"/>
        <n v="-30.18"/>
        <n v="-28.91"/>
        <n v="-33.32"/>
      </sharedItems>
    </cacheField>
    <cacheField name="ROAS" numFmtId="0">
      <sharedItems containsBlank="1" containsNumber="1" containsMixedTypes="1" count="34">
        <n v="0"/>
        <n v="2.67"/>
        <n v="1.38"/>
        <n v="0.54"/>
        <n v="1.79"/>
        <n v="1.36"/>
        <n v="3.57"/>
        <n v="1.37"/>
        <n v="0.69"/>
        <n v="2.08"/>
        <n v="2.15"/>
        <n v="2.87"/>
        <n v="1.26"/>
        <n v="2.03"/>
        <n v="1.45"/>
        <n v="1.41"/>
        <n v="1.39"/>
        <m/>
        <s v="ROAS"/>
        <n v="1.66"/>
        <n v="1.65"/>
        <n v="0.67"/>
        <n v="2.14"/>
        <n v="0.71"/>
        <n v="0.7"/>
        <n v="2.01"/>
        <n v="0.72"/>
        <n v="1.42"/>
        <n v="2.18"/>
        <n v="1.47"/>
        <n v="0.37"/>
        <n v="2.85"/>
        <n v="2.7"/>
        <n v="1.5"/>
      </sharedItems>
    </cacheField>
    <cacheField name="ACOS" numFmtId="0">
      <sharedItems containsBlank="1" count="36">
        <s v="0.00%"/>
        <s v="37.44%"/>
        <s v="100.00%"/>
        <s v="72.41%"/>
        <s v="185.85%"/>
        <s v="55.94%"/>
        <s v="73.66%"/>
        <s v="27.99%"/>
        <s v="72.84%"/>
        <s v="145.10%"/>
        <s v="48.18%"/>
        <s v="46.44%"/>
        <s v="34.90%"/>
        <s v="79.16%"/>
        <s v="49.20%"/>
        <s v="68.80%"/>
        <s v="70.73%"/>
        <s v="72.12%"/>
        <m/>
        <s v="ACOS"/>
        <s v="60.11%"/>
        <s v="60.50%"/>
        <s v="149.32%"/>
        <s v="46.63%"/>
        <s v="139.96%"/>
        <s v="143.53%"/>
        <s v="49.68%"/>
        <s v="139.60%"/>
        <s v="70.51%"/>
        <s v="45.89%"/>
        <s v="142.82%"/>
        <s v="68.07%"/>
        <s v="272.17%"/>
        <s v="35.12%"/>
        <s v="37.10%"/>
        <s v="66.71%"/>
      </sharedItems>
    </cacheField>
    <cacheField name="ACoAS" numFmtId="0">
      <sharedItems containsBlank="1" count="42">
        <s v="0.00%"/>
        <s v="74.87%"/>
        <s v="130.95%"/>
        <s v="100.00%"/>
        <s v="144.82%"/>
        <s v="61.95%"/>
        <s v="55.94%"/>
        <s v="16.37%"/>
        <s v="27.99%"/>
        <s v="16.19%"/>
        <s v="36.28%"/>
        <s v="16.06%"/>
        <s v="15.48%"/>
        <s v="17.45%"/>
        <s v="5.87%"/>
        <s v="8.56%"/>
        <s v="14.39%"/>
        <s v="12.30%"/>
        <s v="15.29%"/>
        <s v="12.86%"/>
        <s v="10.30%"/>
        <s v="7.74%"/>
        <m/>
        <s v="ACoAS"/>
        <s v="112.37%"/>
        <s v="180.34%"/>
        <s v="36.30%"/>
        <s v="74.66%"/>
        <s v="139.89%"/>
        <s v="139.96%"/>
        <s v="28.71%"/>
        <s v="48.06%"/>
        <s v="29.81%"/>
        <s v="46.53%"/>
        <s v="70.51%"/>
        <s v="12.52%"/>
        <s v="12.98%"/>
        <s v="3.78%"/>
        <s v="7.16%"/>
        <s v="9.15%"/>
        <s v="10.72%"/>
        <s v="11.91%"/>
      </sharedItems>
    </cacheField>
    <cacheField name="ASoAS" numFmtId="0">
      <sharedItems containsBlank="1" count="22">
        <s v="0.00%"/>
        <s v="200.00%"/>
        <s v="33.33%"/>
        <s v="100.00%"/>
        <s v="22.22%"/>
        <s v="25.00%"/>
        <s v="50.00%"/>
        <s v="18.18%"/>
        <s v="14.29%"/>
        <s v="16.67%"/>
        <m/>
        <s v="ASoAS"/>
        <s v="300.00%"/>
        <s v="60.00%"/>
        <s v="20.00%"/>
        <s v="27.27%"/>
        <s v="9.09%"/>
        <s v="5.56%"/>
        <s v="2.63%"/>
        <s v="26.07%"/>
        <s v="28.89%"/>
        <s v="17.86%"/>
      </sharedItems>
    </cacheField>
    <cacheField name="CPO" numFmtId="0">
      <sharedItems containsBlank="1" containsNumber="1" containsMixedTypes="1" count="34">
        <m/>
        <n v="5.24"/>
        <n v="10.13"/>
        <n v="26"/>
        <n v="7.83"/>
        <n v="10.3"/>
        <n v="3.92"/>
        <n v="10.19"/>
        <n v="20.3"/>
        <n v="6.74"/>
        <n v="6.5"/>
        <n v="4.88"/>
        <n v="11.07"/>
        <n v="6.88"/>
        <n v="9.62"/>
        <n v="9.89"/>
        <n v="10.09"/>
        <s v="CPO"/>
        <n v="8.41"/>
        <n v="8.46"/>
        <n v="20.89"/>
        <n v="9.79"/>
        <n v="19.58"/>
        <n v="20.08"/>
        <n v="6.95"/>
        <n v="19.53"/>
        <n v="9.87"/>
        <n v="6.42"/>
        <n v="19.98"/>
        <n v="3.4"/>
        <n v="27.19"/>
        <n v="4.31"/>
        <n v="3.61"/>
        <n v="6.66"/>
      </sharedItems>
    </cacheField>
    <cacheField name="CPM" numFmtId="0">
      <sharedItems containsBlank="1" containsNumber="1" containsMixedTypes="1" count="43">
        <n v="0"/>
        <n v="1.81"/>
        <n v="2.19"/>
        <n v="1.35"/>
        <n v="1.98"/>
        <n v="2.97"/>
        <n v="1.4"/>
        <n v="1.51"/>
        <n v="1.52"/>
        <n v="3.69"/>
        <n v="4.35"/>
        <n v="5.13"/>
        <n v="3.86"/>
        <n v="4.83"/>
        <n v="4.5"/>
        <n v="4.79"/>
        <n v="3.73"/>
        <n v="3.26"/>
        <n v="4.16"/>
        <n v="4.91"/>
        <n v="3.75"/>
        <n v="3.79"/>
        <m/>
        <s v="CPM"/>
        <n v="4.43"/>
        <n v="2.57"/>
        <n v="5.94"/>
        <n v="3.03"/>
        <n v="4.46"/>
        <n v="9.65"/>
        <n v="8.35"/>
        <n v="7.49"/>
        <n v="4.97"/>
        <n v="6.19"/>
        <n v="9.37"/>
        <n v="9.09"/>
        <n v="8.85"/>
        <n v="4.22"/>
        <n v="9.6"/>
        <n v="4.84"/>
        <n v="6.1"/>
        <n v="3.81"/>
        <n v="3.38"/>
      </sharedItems>
    </cacheField>
    <cacheField name="广告销售额" numFmtId="0">
      <sharedItems containsBlank="1" containsNumber="1" containsMixedTypes="1" count="12">
        <n v="0"/>
        <n v="55.96"/>
        <n v="27.98"/>
        <n v="13.99"/>
        <n v="41.97"/>
        <n v="69.95"/>
        <m/>
        <s v="广告销售额"/>
        <n v="9.99"/>
        <n v="85.93"/>
        <n v="77.92"/>
        <n v="49.95"/>
      </sharedItems>
    </cacheField>
    <cacheField name="广告订单量" numFmtId="0">
      <sharedItems containsBlank="1" containsNumber="1" containsInteger="1" containsMixedTypes="1" count="10">
        <n v="0"/>
        <n v="4"/>
        <n v="2"/>
        <n v="1"/>
        <n v="3"/>
        <n v="5"/>
        <m/>
        <s v="广告订单量"/>
        <n v="7"/>
        <n v="8"/>
      </sharedItems>
    </cacheField>
    <cacheField name="广告订单占比" numFmtId="0">
      <sharedItems containsBlank="1" count="24">
        <s v="0.00%"/>
        <s v="200.00%"/>
        <s v="33.33%"/>
        <s v="150.00%"/>
        <s v="22.22%"/>
        <s v="100.00%"/>
        <s v="28.57%"/>
        <s v="25.00%"/>
        <s v="50.00%"/>
        <s v="18.18%"/>
        <s v="14.29%"/>
        <s v="16.67%"/>
        <m/>
        <s v="广告订单占比"/>
        <s v="300.00%"/>
        <s v="60.00%"/>
        <s v="20.00%"/>
        <s v="27.27%"/>
        <s v="9.09%"/>
        <s v="11.11%"/>
        <s v="2.63%"/>
        <s v="21.21%"/>
        <s v="34.78%"/>
        <s v="19.23%"/>
      </sharedItems>
    </cacheField>
    <cacheField name="广告CVR" numFmtId="0">
      <sharedItems containsBlank="1" count="23">
        <s v="0.00%"/>
        <s v="17.39%"/>
        <s v="10.53%"/>
        <s v="4.17%"/>
        <s v="13.64%"/>
        <s v="27.78%"/>
        <s v="11.11%"/>
        <s v="5.88%"/>
        <s v="17.65%"/>
        <s v="16.67%"/>
        <s v="23.53%"/>
        <s v="10.00%"/>
        <s v="11.76%"/>
        <m/>
        <s v="广告CVR"/>
        <s v="12.00%"/>
        <s v="5.00%"/>
        <s v="5.26%"/>
        <s v="25.00%"/>
        <s v="3.12%"/>
        <s v="19.44%"/>
        <s v="21.62%"/>
        <s v="14.71%"/>
      </sharedItems>
    </cacheField>
    <cacheField name="展示" numFmtId="0">
      <sharedItems containsBlank="1" containsNumber="1" containsInteger="1" containsMixedTypes="1" count="44">
        <n v="0"/>
        <n v="11582"/>
        <n v="8355"/>
        <n v="3488"/>
        <n v="10230"/>
        <n v="8753"/>
        <n v="16751"/>
        <n v="13659"/>
        <n v="12849"/>
        <n v="5518"/>
        <n v="4668"/>
        <n v="3943"/>
        <n v="5051"/>
        <n v="4046"/>
        <n v="4194"/>
        <n v="4253"/>
        <n v="5936"/>
        <n v="6325"/>
        <n v="4629"/>
        <n v="4027"/>
        <n v="5376"/>
        <n v="5139"/>
        <m/>
        <s v="展示"/>
        <n v="3551"/>
        <n v="2595"/>
        <n v="4249"/>
        <n v="8366"/>
        <n v="4684"/>
        <n v="2027"/>
        <n v="2344"/>
        <n v="2680"/>
        <n v="4058"/>
        <n v="3370"/>
        <n v="2085"/>
        <n v="2171"/>
        <n v="2177"/>
        <n v="4737"/>
        <n v="299"/>
        <n v="708"/>
        <n v="5618"/>
        <n v="4948"/>
        <n v="7592"/>
        <n v="9844"/>
      </sharedItems>
    </cacheField>
    <cacheField name="点击" numFmtId="0">
      <sharedItems containsBlank="1" containsNumber="1" containsInteger="1" containsMixedTypes="1" count="18">
        <n v="0"/>
        <n v="23"/>
        <n v="20"/>
        <n v="6"/>
        <n v="19"/>
        <n v="24"/>
        <n v="22"/>
        <n v="18"/>
        <n v="17"/>
        <n v="16"/>
        <m/>
        <s v="点击"/>
        <n v="8"/>
        <n v="25"/>
        <n v="32"/>
        <n v="36"/>
        <n v="37"/>
        <n v="34"/>
      </sharedItems>
    </cacheField>
    <cacheField name="运营日志1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56.6170023148" refreshedBy="86131" recordCount="117">
  <cacheSource type="worksheet">
    <worksheetSource ref="A1:BG1048576" sheet="4.2 产品详情原始数据"/>
  </cacheSource>
  <cacheFields count="59">
    <cacheField name="产品标识" numFmtId="0">
      <sharedItems containsBlank="1" count="117">
        <s v="2022-08-20XXXX-111"/>
        <s v="2022-08-21XXXX-111"/>
        <s v="2022-08-22XXXX-111"/>
        <s v="2022-08-23XXXX-111"/>
        <s v="2022-08-24XXXX-111"/>
        <s v="2022-08-25XXXX-111"/>
        <s v="2022-08-26XXXX-111"/>
        <s v="2022-08-27XXXX-111"/>
        <s v="2022-08-28XXXX-111"/>
        <s v="2022-08-29XXXX-111"/>
        <s v="2022-08-30XXXX-111"/>
        <s v="2022-08-31XXXX-111"/>
        <s v="2022-09-01XXXX-111"/>
        <s v="2022-09-02XXXX-111"/>
        <s v="2022-09-03XXXX-111"/>
        <s v="2022-09-04XXXX-111"/>
        <s v="2022-09-05XXXX-111"/>
        <s v="2022-09-06XXXX-111"/>
        <s v="2022-09-07XXXX-111"/>
        <s v="2022-09-08XXXX-111"/>
        <s v="2022-09-09XXXX-111"/>
        <s v="2022-09-10XXXX-111"/>
        <s v="2022-09-11XXXX-111"/>
        <s v="2022-09-12XXXX-111"/>
        <s v="2022-09-13XXXX-111"/>
        <s v="2022-09-14XXXX-111"/>
        <s v="2022-09-15XXXX-111"/>
        <s v="2022-09-16XXXX-111"/>
        <s v="2022-09-17XXXX-111"/>
        <s v="2022-09-18XXXX-111"/>
        <s v="2022-09-19XXXX-111"/>
        <s v="2022-09-20XXXX-111"/>
        <s v="2022-09-21XXXX-111"/>
        <s v="2022-09-22XXXX-111"/>
        <s v="2022-09-23XXXX-111"/>
        <s v="2022-09-24XXXX-111"/>
        <s v="2022-09-25XXXX-111"/>
        <s v="2022-09-26XXXX-111"/>
        <s v="2022-09-27XXXX-111"/>
        <s v="2022-09-28XXXX-111"/>
        <s v="2022-09-29XXXX-111"/>
        <s v="2022-09-30XXXX-111"/>
        <s v="2022-10-01XXXX-111"/>
        <s v="2022-10-02XXXX-111"/>
        <s v="2022-10-03XXXX-111"/>
        <s v="2022-10-04XXXX-111"/>
        <s v="2022-10-05XXXX-111"/>
        <s v="2022-10-06XXXX-111"/>
        <s v="2022-10-07XXXX-111"/>
        <s v="2022-10-08XXXX-111"/>
        <s v="2022-10-09XXXX-111"/>
        <s v="2022-10-10XXXX-111"/>
        <s v="2022-10-11XXXX-111"/>
        <s v="2022-10-12XXXX-111"/>
        <s v="2022-10-13XXXX-111"/>
        <s v="2022-10-14XXXX-111"/>
        <s v="2022-10-15XXXX-111"/>
        <s v=""/>
        <s v="时间MSKU"/>
        <s v="2022-08-20XXXX-222"/>
        <s v="2022-08-21XXXX-222"/>
        <s v="2022-08-22XXXX-222"/>
        <s v="2022-08-23XXXX-222"/>
        <s v="2022-08-24XXXX-222"/>
        <s v="2022-08-25XXXX-222"/>
        <s v="2022-08-26XXXX-222"/>
        <s v="2022-08-27XXXX-222"/>
        <s v="2022-08-28XXXX-222"/>
        <s v="2022-08-29XXXX-222"/>
        <s v="2022-08-30XXXX-222"/>
        <s v="2022-08-31XXXX-222"/>
        <s v="2022-09-01XXXX-222"/>
        <s v="2022-09-02XXXX-222"/>
        <s v="2022-09-03XXXX-222"/>
        <s v="2022-09-04XXXX-222"/>
        <s v="2022-09-05XXXX-222"/>
        <s v="2022-09-06XXXX-222"/>
        <s v="2022-09-07XXXX-222"/>
        <s v="2022-09-08XXXX-222"/>
        <s v="2022-09-09XXXX-222"/>
        <s v="2022-09-10XXXX-222"/>
        <s v="2022-09-11XXXX-222"/>
        <s v="2022-09-12XXXX-222"/>
        <s v="2022-09-13XXXX-222"/>
        <s v="2022-09-14XXXX-222"/>
        <s v="2022-09-15XXXX-222"/>
        <s v="2022-09-16XXXX-222"/>
        <s v="2022-09-17XXXX-222"/>
        <s v="2022-09-18XXXX-222"/>
        <s v="2022-09-19XXXX-222"/>
        <s v="2022-09-20XXXX-222"/>
        <s v="2022-09-21XXXX-222"/>
        <s v="2022-09-22XXXX-222"/>
        <s v="2022-09-23XXXX-222"/>
        <s v="2022-09-24XXXX-222"/>
        <s v="2022-09-25XXXX-222"/>
        <s v="2022-09-26XXXX-222"/>
        <s v="2022-09-27XXXX-222"/>
        <s v="2022-09-28XXXX-222"/>
        <s v="2022-09-29XXXX-222"/>
        <s v="2022-09-30XXXX-222"/>
        <s v="2022-10-01XXXX-222"/>
        <s v="2022-10-02XXXX-222"/>
        <s v="2022-10-03XXXX-222"/>
        <s v="2022-10-04XXXX-222"/>
        <s v="2022-10-05XXXX-222"/>
        <s v="2022-10-06XXXX-222"/>
        <s v="2022-10-07XXXX-222"/>
        <s v="2022-10-08XXXX-222"/>
        <s v="2022-10-09XXXX-222"/>
        <s v="2022-10-10XXXX-222"/>
        <s v="2022-10-11XXXX-222"/>
        <s v="2022-10-12XXXX-222"/>
        <s v="2022-10-13XXXX-222"/>
        <s v="2022-10-14XXXX-222"/>
        <s v="2022-10-15XXXX-222"/>
        <m/>
      </sharedItems>
    </cacheField>
    <cacheField name="时间" numFmtId="0">
      <sharedItems containsBlank="1" count="59"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m/>
        <s v="时间"/>
      </sharedItems>
    </cacheField>
    <cacheField name="ASIN" numFmtId="0">
      <sharedItems containsBlank="1" count="4">
        <s v="ASIN1"/>
        <m/>
        <s v="ASIN"/>
        <s v="ASIN2"/>
      </sharedItems>
    </cacheField>
    <cacheField name="父ASIN" numFmtId="0">
      <sharedItems containsBlank="1" count="2">
        <m/>
        <s v="父ASIN"/>
      </sharedItems>
    </cacheField>
    <cacheField name="MSKU" numFmtId="0">
      <sharedItems containsBlank="1" count="4">
        <s v="XXXX-111"/>
        <m/>
        <s v="MSKU"/>
        <s v="XXXX-222"/>
      </sharedItems>
    </cacheField>
    <cacheField name="品名" numFmtId="0">
      <sharedItems containsBlank="1" count="2">
        <m/>
        <s v="品名"/>
      </sharedItems>
    </cacheField>
    <cacheField name="价格" numFmtId="0">
      <sharedItems containsBlank="1" containsNumber="1" containsMixedTypes="1" count="11">
        <n v="13.99"/>
        <n v="15.99"/>
        <n v="16.99"/>
        <n v="17.99"/>
        <n v="19.99"/>
        <n v="21.99"/>
        <m/>
        <s v="价格"/>
        <n v="14.99"/>
        <n v="11.99"/>
        <n v="9.99"/>
      </sharedItems>
    </cacheField>
    <cacheField name="FBA可售" numFmtId="0">
      <sharedItems containsBlank="1" containsNumber="1" containsInteger="1" containsMixedTypes="1" count="108">
        <n v="199"/>
        <n v="259"/>
        <n v="319"/>
        <n v="340"/>
        <n v="337"/>
        <n v="334"/>
        <n v="493"/>
        <n v="513"/>
        <n v="526"/>
        <n v="524"/>
        <n v="555"/>
        <n v="613"/>
        <n v="758"/>
        <n v="812"/>
        <n v="803"/>
        <n v="797"/>
        <n v="835"/>
        <n v="863"/>
        <n v="842"/>
        <n v="838"/>
        <n v="843"/>
        <n v="830"/>
        <n v="818"/>
        <n v="807"/>
        <n v="781"/>
        <n v="759"/>
        <n v="736"/>
        <n v="706"/>
        <n v="682"/>
        <n v="653"/>
        <n v="612"/>
        <n v="584"/>
        <n v="572"/>
        <n v="546"/>
        <n v="530"/>
        <n v="507"/>
        <n v="476"/>
        <n v="452"/>
        <n v="423"/>
        <n v="389"/>
        <n v="362"/>
        <n v="330"/>
        <n v="293"/>
        <n v="241"/>
        <n v="204"/>
        <n v="172"/>
        <n v="148"/>
        <n v="130"/>
        <n v="96"/>
        <n v="89"/>
        <n v="72"/>
        <n v="54"/>
        <n v="37"/>
        <n v="22"/>
        <n v="6"/>
        <n v="1"/>
        <m/>
        <s v="FBA可售"/>
        <n v="240"/>
        <n v="284"/>
        <n v="344"/>
        <n v="365"/>
        <n v="364"/>
        <n v="379"/>
        <n v="497"/>
        <n v="551"/>
        <n v="550"/>
        <n v="565"/>
        <n v="644"/>
        <n v="780"/>
        <n v="819"/>
        <n v="816"/>
        <n v="827"/>
        <n v="859"/>
        <n v="886"/>
        <n v="882"/>
        <n v="878"/>
        <n v="872"/>
        <n v="861"/>
        <n v="849"/>
        <n v="821"/>
        <n v="804"/>
        <n v="785"/>
        <n v="790"/>
        <n v="782"/>
        <n v="777"/>
        <n v="762"/>
        <n v="793"/>
        <n v="778"/>
        <n v="765"/>
        <n v="754"/>
        <n v="742"/>
        <n v="733"/>
        <n v="728"/>
        <n v="716"/>
        <n v="685"/>
        <n v="611"/>
        <n v="601"/>
        <n v="574"/>
        <n v="562"/>
        <n v="541"/>
        <n v="504"/>
        <n v="471"/>
        <n v="444"/>
        <n v="417"/>
        <n v="385"/>
        <n v="355"/>
        <n v="342"/>
      </sharedItems>
    </cacheField>
    <cacheField name="FBM可售" numFmtId="0">
      <sharedItems containsBlank="1" containsNumber="1" containsInteger="1" containsMixedTypes="1" count="3">
        <n v="0"/>
        <m/>
        <s v="FBM可售"/>
      </sharedItems>
    </cacheField>
    <cacheField name="销量" numFmtId="0">
      <sharedItems containsBlank="1" containsNumber="1" containsInteger="1" containsMixedTypes="1" count="39">
        <n v="0"/>
        <n v="2"/>
        <n v="1"/>
        <n v="3"/>
        <n v="9"/>
        <n v="5"/>
        <n v="4"/>
        <n v="8"/>
        <n v="23"/>
        <n v="17"/>
        <n v="11"/>
        <n v="12"/>
        <n v="14"/>
        <n v="18"/>
        <n v="19"/>
        <n v="21"/>
        <n v="22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m/>
        <s v="销量"/>
        <n v="6"/>
        <n v="7"/>
        <n v="13"/>
        <n v="36"/>
        <n v="34"/>
      </sharedItems>
    </cacheField>
    <cacheField name="订单量" numFmtId="0">
      <sharedItems containsBlank="1" containsNumber="1" containsInteger="1" containsMixedTypes="1" count="41">
        <n v="0"/>
        <n v="2"/>
        <n v="1"/>
        <n v="3"/>
        <n v="9"/>
        <n v="5"/>
        <n v="7"/>
        <n v="4"/>
        <n v="8"/>
        <n v="22"/>
        <n v="16"/>
        <n v="11"/>
        <n v="12"/>
        <n v="14"/>
        <n v="18"/>
        <n v="19"/>
        <n v="21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n v="17"/>
        <m/>
        <s v="订单量"/>
        <n v="6"/>
        <n v="13"/>
        <n v="36"/>
        <n v="39"/>
        <n v="23"/>
        <n v="33"/>
      </sharedItems>
    </cacheField>
    <cacheField name="销售额" numFmtId="0">
      <sharedItems containsBlank="1" containsNumber="1" containsMixedTypes="1" count="72">
        <n v="0"/>
        <n v="27.98"/>
        <n v="13.99"/>
        <n v="41.97"/>
        <n v="125.91"/>
        <n v="69.95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87.82"/>
        <n v="639.6"/>
        <n v="475.72"/>
        <n v="441.74"/>
        <n v="356.79"/>
        <n v="594.65"/>
        <n v="458.73"/>
        <n v="407.76"/>
        <n v="449.75"/>
        <n v="557.69"/>
        <n v="431.76"/>
        <n v="521.71"/>
        <n v="845.53"/>
        <n v="881.51"/>
        <n v="761.62"/>
        <n v="593.73"/>
        <n v="703.68"/>
        <n v="439.8"/>
        <n v="487.76"/>
        <n v="189.9"/>
        <n v="297.83"/>
        <n v="303.81"/>
        <n v="349.81"/>
        <n v="359.82"/>
        <n v="159.92"/>
        <n v="79.96"/>
        <m/>
        <s v="销售额"/>
        <n v="139.9"/>
        <n v="83.94"/>
        <n v="97.93"/>
        <n v="279.8"/>
        <n v="119.92"/>
        <n v="149.9"/>
        <n v="194.87"/>
        <n v="104.93"/>
        <n v="254.83"/>
        <n v="179.88"/>
        <n v="209.86"/>
        <n v="134.91"/>
        <n v="89.94"/>
        <n v="431.64"/>
        <n v="479.6"/>
        <n v="319.77"/>
        <n v="363.74"/>
        <n v="263.78"/>
        <n v="143.88"/>
        <n v="239.8"/>
        <n v="273.76"/>
        <n v="179.82"/>
        <n v="379.62"/>
        <n v="329.67"/>
        <n v="269.73"/>
        <n v="279.72"/>
      </sharedItems>
    </cacheField>
    <cacheField name="净销售额" numFmtId="0">
      <sharedItems containsBlank="1" containsNumber="1" containsMixedTypes="1" count="79">
        <n v="0"/>
        <n v="27.98"/>
        <n v="13.99"/>
        <n v="41.97"/>
        <n v="125.91"/>
        <n v="69.95"/>
        <n v="113.6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75.51"/>
        <n v="627.29"/>
        <n v="475.72"/>
        <n v="441.74"/>
        <n v="356.79"/>
        <n v="594.65"/>
        <n v="446.42"/>
        <n v="407.76"/>
        <n v="434.8"/>
        <n v="557.69"/>
        <n v="416.81"/>
        <n v="506.76"/>
        <n v="509.4"/>
        <n v="829.7"/>
        <n v="865.68"/>
        <n v="761.62"/>
        <n v="579.66"/>
        <n v="687.85"/>
        <n v="439.8"/>
        <n v="472.81"/>
        <n v="172.31"/>
        <n v="285.52"/>
        <n v="303.81"/>
        <n v="337.5"/>
        <n v="329.04"/>
        <n v="159.92"/>
        <n v="79.96"/>
        <m/>
        <s v="净销售额"/>
        <n v="1.68"/>
        <n v="141.58"/>
        <n v="139.9"/>
        <n v="31.34"/>
        <n v="71.63"/>
        <n v="183.55"/>
        <n v="85.62"/>
        <n v="279.8"/>
        <n v="119.92"/>
        <n v="149.9"/>
        <n v="194.87"/>
        <n v="104.93"/>
        <n v="254.83"/>
        <n v="179.88"/>
        <n v="209.86"/>
        <n v="134.91"/>
        <n v="64.44"/>
        <n v="405.26"/>
        <n v="479.6"/>
        <n v="319.77"/>
        <n v="238.63"/>
        <n v="363.74"/>
        <n v="263.78"/>
        <n v="143.88"/>
        <n v="229.25"/>
        <n v="273.76"/>
        <n v="169.27"/>
        <n v="358.52"/>
        <n v="306.81"/>
        <n v="260.94"/>
        <n v="279.72"/>
      </sharedItems>
    </cacheField>
    <cacheField name="B2B 销量" numFmtId="0">
      <sharedItems containsBlank="1" containsNumber="1" containsInteger="1" containsMixedTypes="1" count="9">
        <n v="0"/>
        <n v="1"/>
        <n v="2"/>
        <n v="6"/>
        <n v="3"/>
        <n v="4"/>
        <m/>
        <s v="B2B 销量"/>
        <n v="5"/>
      </sharedItems>
    </cacheField>
    <cacheField name="B2B 销售额" numFmtId="0">
      <sharedItems containsBlank="1" containsNumber="1" containsMixedTypes="1" count="22">
        <n v="0"/>
        <n v="13.99"/>
        <n v="33.98"/>
        <n v="16.99"/>
        <n v="17.99"/>
        <n v="107.94"/>
        <n v="35.98"/>
        <n v="59.97"/>
        <n v="43.98"/>
        <n v="39.98"/>
        <n v="19.99"/>
        <n v="15.99"/>
        <n v="79.96"/>
        <m/>
        <s v="B2B 销售额"/>
        <n v="55.96"/>
        <n v="14.99"/>
        <n v="11.99"/>
        <n v="49.95"/>
        <n v="19.98"/>
        <n v="29.97"/>
        <n v="9.99"/>
      </sharedItems>
    </cacheField>
    <cacheField name="B2B 订单量" numFmtId="0">
      <sharedItems containsBlank="1" containsNumber="1" containsInteger="1" containsMixedTypes="1" count="9">
        <n v="0"/>
        <n v="1"/>
        <n v="2"/>
        <n v="6"/>
        <n v="3"/>
        <n v="4"/>
        <m/>
        <s v="B2B 订单量"/>
        <n v="5"/>
      </sharedItems>
    </cacheField>
    <cacheField name="促销销量" numFmtId="0">
      <sharedItems containsBlank="1" containsNumber="1" containsInteger="1" containsMixedTypes="1" count="3">
        <n v="0"/>
        <m/>
        <s v="促销销量"/>
      </sharedItems>
    </cacheField>
    <cacheField name="促销销售额" numFmtId="0">
      <sharedItems containsBlank="1" containsNumber="1" containsInteger="1" containsMixedTypes="1" count="3">
        <n v="0"/>
        <m/>
        <s v="促销销售额"/>
      </sharedItems>
    </cacheField>
    <cacheField name="促销订单量" numFmtId="0">
      <sharedItems containsBlank="1" containsNumber="1" containsInteger="1" containsMixedTypes="1" count="3">
        <n v="0"/>
        <m/>
        <s v="促销订单量"/>
      </sharedItems>
    </cacheField>
    <cacheField name="平均客单价" numFmtId="0">
      <sharedItems containsBlank="1" containsNumber="1" containsMixedTypes="1" count="47">
        <m/>
        <n v="13.99"/>
        <n v="12.62"/>
        <n v="14.27"/>
        <n v="15.31"/>
        <n v="15.68"/>
        <n v="16.99"/>
        <n v="16.53"/>
        <n v="17.39"/>
        <n v="17.99"/>
        <n v="17.37"/>
        <n v="17.47"/>
        <n v="17.57"/>
        <n v="17.65"/>
        <n v="17.67"/>
        <n v="20.04"/>
        <n v="21.47"/>
        <n v="21.5"/>
        <n v="21.99"/>
        <n v="19.7"/>
        <n v="17.23"/>
        <n v="16.8"/>
        <n v="15.99"/>
        <n v="17.76"/>
        <n v="18.28"/>
        <n v="19.99"/>
        <s v="平均客单价"/>
        <n v="1.68"/>
        <n v="12.87"/>
        <n v="7.84"/>
        <n v="11.94"/>
        <n v="13.11"/>
        <n v="12.23"/>
        <n v="14.99"/>
        <n v="14.16"/>
        <n v="10.74"/>
        <n v="11.26"/>
        <n v="11.99"/>
        <n v="13.9"/>
        <n v="13.26"/>
        <n v="11.46"/>
        <n v="11.41"/>
        <n v="9.4"/>
        <n v="9.43"/>
        <n v="9.02"/>
        <n v="9.66"/>
        <n v="9.99"/>
      </sharedItems>
    </cacheField>
    <cacheField name="平均销量" numFmtId="0">
      <sharedItems containsBlank="1" containsNumber="1" containsMixedTypes="1" count="12">
        <n v="0"/>
        <n v="0.1"/>
        <n v="0.2"/>
        <n v="0.4"/>
        <n v="0.3"/>
        <n v="0.5"/>
        <n v="0.7"/>
        <n v="0.6"/>
        <n v="0.8"/>
        <n v="0.9"/>
        <m/>
        <s v="平均销量"/>
      </sharedItems>
    </cacheField>
    <cacheField name="大类排名" numFmtId="0">
      <sharedItems containsString="0" containsBlank="1" containsNonDate="0" count="1">
        <m/>
      </sharedItems>
    </cacheField>
    <cacheField name="小类排名" numFmtId="0">
      <sharedItems containsString="0" containsBlank="1" containsNonDate="0" count="1">
        <m/>
      </sharedItems>
    </cacheField>
    <cacheField name="退款量" numFmtId="0">
      <sharedItems containsBlank="1" containsNumber="1" containsInteger="1" containsMixedTypes="1" count="5">
        <n v="0"/>
        <n v="1"/>
        <n v="2"/>
        <m/>
        <s v="退款量"/>
      </sharedItems>
    </cacheField>
    <cacheField name="退款率" numFmtId="0">
      <sharedItems containsBlank="1" containsNumber="1" containsMixedTypes="1" count="26">
        <n v="0"/>
        <n v="0.1111"/>
        <n v="0.0556"/>
        <n v="0.025"/>
        <n v="0.0741"/>
        <n v="0.04"/>
        <n v="0.0417"/>
        <n v="0.0345"/>
        <n v="0.0213"/>
        <n v="0.0204"/>
        <n v="0.037"/>
        <n v="0.0312"/>
        <n v="0.1"/>
        <n v="0.0588"/>
        <n v="0.0526"/>
        <n v="0.5"/>
        <m/>
        <s v="退款率"/>
        <n v="1"/>
        <n v="0.0909"/>
        <n v="0.1667"/>
        <n v="0.0714"/>
        <n v="0.1429"/>
        <n v="0.3333"/>
        <n v="0.05"/>
        <n v="0.0357"/>
      </sharedItems>
    </cacheField>
    <cacheField name="评分" numFmtId="0">
      <sharedItems containsBlank="1" containsNumber="1" containsMixedTypes="1" count="8">
        <n v="0"/>
        <n v="3"/>
        <n v="4.6"/>
        <n v="4.7"/>
        <n v="4.5"/>
        <n v="4.4"/>
        <m/>
        <s v="评分"/>
      </sharedItems>
    </cacheField>
    <cacheField name="评论数" numFmtId="0">
      <sharedItems containsBlank="1" containsNumber="1" containsInteger="1" containsMixedTypes="1" count="13">
        <n v="0"/>
        <n v="1"/>
        <n v="16"/>
        <n v="18"/>
        <n v="21"/>
        <n v="22"/>
        <n v="24"/>
        <n v="28"/>
        <n v="30"/>
        <n v="33"/>
        <n v="36"/>
        <m/>
        <s v="评论数"/>
      </sharedItems>
    </cacheField>
    <cacheField name="留评率" numFmtId="0">
      <sharedItems containsBlank="1" containsNumber="1" containsMixedTypes="1" count="10">
        <n v="0"/>
        <n v="0.0357"/>
        <n v="0.0323"/>
        <n v="0.0213"/>
        <n v="0.0556"/>
        <m/>
        <s v="留评率"/>
        <n v="0.0833"/>
        <n v="0.0256"/>
        <n v="0.0385"/>
      </sharedItems>
    </cacheField>
    <cacheField name="促销折扣" numFmtId="0">
      <sharedItems containsBlank="1" containsNumber="1" containsInteger="1" containsMixedTypes="1" count="3">
        <n v="0"/>
        <m/>
        <s v="促销折扣"/>
      </sharedItems>
    </cacheField>
    <cacheField name="毛利润" numFmtId="0">
      <sharedItems containsBlank="1" containsNumber="1" containsMixedTypes="1" count="109">
        <n v="0"/>
        <n v="-20.95"/>
        <n v="-18.32"/>
        <n v="-1.13"/>
        <n v="-20.26"/>
        <n v="-22.85"/>
        <n v="-23.48"/>
        <n v="-0.2"/>
        <n v="19.73"/>
        <n v="-0.9"/>
        <n v="-5.41"/>
        <n v="1.98"/>
        <n v="6.54"/>
        <n v="10.03"/>
        <n v="30.29"/>
        <n v="54.47"/>
        <n v="40.68"/>
        <n v="23.06"/>
        <n v="10.64"/>
        <n v="28.77"/>
        <n v="18.01"/>
        <n v="42.39"/>
        <n v="77.09"/>
        <n v="75.64"/>
        <n v="57.52"/>
        <n v="79.12"/>
        <n v="106.15"/>
        <n v="112.65"/>
        <n v="165.68"/>
        <n v="196.97"/>
        <n v="136.59"/>
        <n v="127.92"/>
        <n v="195.34"/>
        <n v="153.31"/>
        <n v="171.36"/>
        <n v="248.13"/>
        <n v="191.92"/>
        <n v="165.62"/>
        <n v="182.2"/>
        <n v="214.21"/>
        <n v="203.19"/>
        <n v="262.16"/>
        <n v="312.2"/>
        <n v="312.99"/>
        <n v="311.23"/>
        <n v="304.8"/>
        <n v="285.44"/>
        <n v="66.74"/>
        <n v="117.39"/>
        <n v="174.85"/>
        <n v="95"/>
        <n v="116.31"/>
        <n v="67.39"/>
        <n v="30.12"/>
        <m/>
        <s v="毛利润"/>
        <n v="-15.72"/>
        <n v="-6.68"/>
        <n v="-25.23"/>
        <n v="-14.15"/>
        <n v="-11.46"/>
        <n v="-27.75"/>
        <n v="-11.42"/>
        <n v="-16.15"/>
        <n v="-8.25"/>
        <n v="12.65"/>
        <n v="-15.83"/>
        <n v="-16.01"/>
        <n v="-13.09"/>
        <n v="6.5"/>
        <n v="58.96"/>
        <n v="25.87"/>
        <n v="-2.77"/>
        <n v="11.21"/>
        <n v="14.94"/>
        <n v="22.91"/>
        <n v="34.8"/>
        <n v="23.13"/>
        <n v="11.57"/>
        <n v="22.84"/>
        <n v="40.45"/>
        <n v="30.44"/>
        <n v="42.49"/>
        <n v="40.66"/>
        <n v="53.01"/>
        <n v="40.51"/>
        <n v="43.97"/>
        <n v="42.53"/>
        <n v="58.86"/>
        <n v="70.2"/>
        <n v="56.21"/>
        <n v="87.57"/>
        <n v="52.91"/>
        <n v="-1.39"/>
        <n v="43.5"/>
        <n v="29.65"/>
        <n v="46.3"/>
        <n v="103.22"/>
        <n v="61.2"/>
        <n v="90.89"/>
        <n v="93.75"/>
        <n v="48.16"/>
        <n v="32.08"/>
        <n v="48.74"/>
        <n v="20.23"/>
        <n v="-12.84"/>
        <n v="-47.36"/>
        <n v="-20.93"/>
        <n v="-36.52"/>
      </sharedItems>
    </cacheField>
    <cacheField name="毛利率" numFmtId="0">
      <sharedItems containsBlank="1" containsNumber="1" containsMixedTypes="1" count="101">
        <n v="0"/>
        <n v="-0.081"/>
        <n v="-1.6335"/>
        <n v="-0.0029"/>
        <n v="0.1409"/>
        <n v="-0.0081"/>
        <n v="-0.0967"/>
        <n v="0.0236"/>
        <n v="0.0668"/>
        <n v="0.0896"/>
        <n v="0.163"/>
        <n v="0.1926"/>
        <n v="0.1711"/>
        <n v="0.1373"/>
        <n v="0.095"/>
        <n v="0.1563"/>
        <n v="0.1288"/>
        <n v="0.1894"/>
        <n v="0.2755"/>
        <n v="0.2846"/>
        <n v="0.2252"/>
        <n v="0.2693"/>
        <n v="0.2694"/>
        <n v="0.303"/>
        <n v="0.3527"/>
        <n v="0.3344"/>
        <n v="0.3343"/>
        <n v="0.371"/>
        <n v="0.3466"/>
        <n v="0.3749"/>
        <n v="0.3744"/>
        <n v="0.3663"/>
        <n v="0.4017"/>
        <n v="0.3699"/>
        <n v="0.3705"/>
        <n v="0.3824"/>
        <n v="0.3765"/>
        <n v="0.3835"/>
        <n v="0.4163"/>
        <n v="0.4048"/>
        <n v="0.4482"/>
        <n v="0.4742"/>
        <n v="0.4476"/>
        <n v="0.3629"/>
        <n v="0.3995"/>
        <n v="0.4069"/>
        <n v="0.3423"/>
        <n v="0.2984"/>
        <n v="0.4665"/>
        <n v="0.3075"/>
        <m/>
        <s v="毛利率"/>
        <n v="-0.3146"/>
        <n v="-0.2729"/>
        <n v="-1.9838"/>
        <n v="-0.408"/>
        <n v="-1.1546"/>
        <n v="-0.1924"/>
        <n v="0.1005"/>
        <n v="-1.1317"/>
        <n v="-1.1446"/>
        <n v="-0.1872"/>
        <n v="0.0644"/>
        <n v="0.281"/>
        <n v="0.2642"/>
        <n v="-0.033"/>
        <n v="0.2671"/>
        <n v="0.267"/>
        <n v="0.273"/>
        <n v="0.2764"/>
        <n v="0.2756"/>
        <n v="0.1379"/>
        <n v="0.1455"/>
        <n v="0.2065"/>
        <n v="0.272"/>
        <n v="0.2761"/>
        <n v="0.2866"/>
        <n v="0.2789"/>
        <n v="0.3003"/>
        <n v="0.3283"/>
        <n v="0.3153"/>
        <n v="0.2993"/>
        <n v="0.3136"/>
        <n v="0.3409"/>
        <n v="0.3245"/>
        <n v="0.3191"/>
        <n v="-0.0186"/>
        <n v="0.3023"/>
        <n v="0.1133"/>
        <n v="0.201"/>
        <n v="0.2291"/>
        <n v="0.1992"/>
        <n v="0.286"/>
        <n v="0.2606"/>
        <n v="0.1486"/>
        <n v="0.1983"/>
        <n v="0.0686"/>
        <n v="-0.0409"/>
        <n v="-0.173"/>
        <n v="-0.0771"/>
        <n v="-0.7312"/>
      </sharedItems>
    </cacheField>
    <cacheField name="ROI" numFmtId="0">
      <sharedItems containsBlank="1" containsNumber="1" containsMixedTypes="1" count="79">
        <n v="0"/>
        <n v="0.2452"/>
        <n v="-2.5339"/>
        <n v="-3.2212"/>
        <n v="0.8858"/>
        <n v="1.1834"/>
        <n v="3.1507"/>
        <n v="2.5688"/>
        <n v="3.1539"/>
        <n v="2.1582"/>
        <n v="3.1602"/>
        <n v="3.1889"/>
        <n v="3.2679"/>
        <n v="3.7123"/>
        <n v="3.5316"/>
        <n v="3.2427"/>
        <n v="3.3465"/>
        <n v="3.2881"/>
        <n v="3.3188"/>
        <n v="3.4455"/>
        <n v="3.5725"/>
        <n v="4.024"/>
        <n v="4.0627"/>
        <n v="3.9561"/>
        <n v="4.0538"/>
        <n v="4.6646"/>
        <n v="4.6687"/>
        <n v="5.0258"/>
        <n v="5.0189"/>
        <n v="5.1586"/>
        <n v="5.091"/>
        <n v="5.0606"/>
        <n v="5.0246"/>
        <n v="5.3731"/>
        <n v="5.4891"/>
        <n v="2.7339"/>
        <n v="3.4242"/>
        <n v="4.044"/>
        <n v="4.0275"/>
        <n v="4.081"/>
        <n v="3.4365"/>
        <n v="3.035"/>
        <n v="2.7474"/>
        <n v="2.265"/>
        <n v="3.0052"/>
        <n v="3.7939"/>
        <n v="6.0817"/>
        <m/>
        <s v="ROI"/>
        <n v="-1.6129"/>
        <n v="-4.9819"/>
        <n v="2.369"/>
        <n v="0.2559"/>
        <n v="-2.9768"/>
        <n v="-2.9803"/>
        <n v="2.5972"/>
        <n v="1.5743"/>
        <n v="2.4788"/>
        <n v="1.6499"/>
        <n v="0.4613"/>
        <n v="3.3358"/>
        <n v="3.4089"/>
        <n v="3.9823"/>
        <n v="4.0158"/>
        <n v="3.96"/>
        <n v="4.3104"/>
        <n v="4.3591"/>
        <n v="4.0153"/>
        <n v="4.3369"/>
        <n v="0.9272"/>
        <n v="0.9273"/>
        <n v="1.5032"/>
        <n v="1.5294"/>
        <n v="0.7515"/>
        <n v="0.1911"/>
        <n v="0.1297"/>
        <n v="0.1019"/>
        <n v="1.0938"/>
        <n v="2.1829"/>
      </sharedItems>
    </cacheField>
    <cacheField name="退货量" numFmtId="0">
      <sharedItems containsBlank="1" containsNumber="1" containsInteger="1" containsMixedTypes="1" count="5">
        <n v="0"/>
        <n v="1"/>
        <n v="2"/>
        <m/>
        <s v="退货量"/>
      </sharedItems>
    </cacheField>
    <cacheField name="退货率" numFmtId="0">
      <sharedItems containsBlank="1" containsNumber="1" containsMixedTypes="1" count="17">
        <n v="0"/>
        <n v="0.0714"/>
        <n v="0.025"/>
        <n v="0.0286"/>
        <n v="0.0426"/>
        <n v="0.0263"/>
        <n v="0.037"/>
        <n v="0.1111"/>
        <m/>
        <s v="退货率"/>
        <n v="0.1"/>
        <n v="0.2"/>
        <n v="0.0769"/>
        <n v="0.1429"/>
        <n v="0.1667"/>
        <n v="0.0556"/>
        <n v="0.0294"/>
      </sharedItems>
    </cacheField>
    <cacheField name="Sessions-Browser" numFmtId="0">
      <sharedItems containsBlank="1" containsNumber="1" containsInteger="1" containsMixedTypes="1" count="64">
        <n v="0"/>
        <n v="9"/>
        <n v="8"/>
        <n v="15"/>
        <n v="16"/>
        <n v="17"/>
        <n v="23"/>
        <n v="25"/>
        <n v="24"/>
        <n v="31"/>
        <n v="35"/>
        <n v="47"/>
        <n v="64"/>
        <n v="37"/>
        <n v="43"/>
        <n v="41"/>
        <n v="29"/>
        <n v="46"/>
        <n v="54"/>
        <n v="55"/>
        <n v="59"/>
        <n v="53"/>
        <n v="61"/>
        <n v="67"/>
        <n v="96"/>
        <n v="78"/>
        <n v="91"/>
        <n v="88"/>
        <n v="76"/>
        <n v="73"/>
        <n v="99"/>
        <n v="93"/>
        <n v="84"/>
        <n v="70"/>
        <n v="106"/>
        <n v="107"/>
        <n v="112"/>
        <n v="89"/>
        <n v="86"/>
        <n v="62"/>
        <n v="58"/>
        <n v="60"/>
        <n v="27"/>
        <m/>
        <s v="Sessions-Browser"/>
        <n v="6"/>
        <n v="7"/>
        <n v="11"/>
        <n v="14"/>
        <n v="10"/>
        <n v="13"/>
        <n v="19"/>
        <n v="12"/>
        <n v="28"/>
        <n v="20"/>
        <n v="22"/>
        <n v="21"/>
        <n v="32"/>
        <n v="26"/>
        <n v="44"/>
        <n v="50"/>
        <n v="38"/>
        <n v="57"/>
        <n v="40"/>
      </sharedItems>
    </cacheField>
    <cacheField name="Sessions-Mobile" numFmtId="0">
      <sharedItems containsBlank="1" containsNumber="1" containsInteger="1" containsMixedTypes="1" count="85">
        <n v="0"/>
        <n v="20"/>
        <n v="16"/>
        <n v="9"/>
        <n v="17"/>
        <n v="24"/>
        <n v="37"/>
        <n v="30"/>
        <n v="55"/>
        <n v="46"/>
        <n v="61"/>
        <n v="63"/>
        <n v="89"/>
        <n v="102"/>
        <n v="139"/>
        <n v="101"/>
        <n v="99"/>
        <n v="81"/>
        <n v="73"/>
        <n v="131"/>
        <n v="158"/>
        <n v="111"/>
        <n v="120"/>
        <n v="141"/>
        <n v="123"/>
        <n v="126"/>
        <n v="174"/>
        <n v="245"/>
        <n v="147"/>
        <n v="144"/>
        <n v="138"/>
        <n v="177"/>
        <n v="215"/>
        <n v="107"/>
        <n v="121"/>
        <n v="149"/>
        <n v="247"/>
        <n v="296"/>
        <n v="173"/>
        <n v="140"/>
        <n v="122"/>
        <n v="108"/>
        <n v="98"/>
        <n v="137"/>
        <n v="117"/>
        <n v="56"/>
        <n v="64"/>
        <n v="58"/>
        <m/>
        <s v="Sessions-Mobile"/>
        <n v="19"/>
        <n v="23"/>
        <n v="36"/>
        <n v="34"/>
        <n v="18"/>
        <n v="38"/>
        <n v="45"/>
        <n v="39"/>
        <n v="42"/>
        <n v="69"/>
        <n v="62"/>
        <n v="92"/>
        <n v="65"/>
        <n v="41"/>
        <n v="44"/>
        <n v="51"/>
        <n v="31"/>
        <n v="49"/>
        <n v="50"/>
        <n v="52"/>
        <n v="70"/>
        <n v="100"/>
        <n v="60"/>
        <n v="57"/>
        <n v="40"/>
        <n v="53"/>
        <n v="85"/>
        <n v="43"/>
        <n v="161"/>
        <n v="82"/>
        <n v="76"/>
        <n v="67"/>
        <n v="77"/>
        <n v="91"/>
        <n v="96"/>
      </sharedItems>
    </cacheField>
    <cacheField name="Sessions-Total" numFmtId="0">
      <sharedItems containsBlank="1" containsNumber="1" containsInteger="1" containsMixedTypes="1" count="92">
        <n v="0"/>
        <n v="29"/>
        <n v="25"/>
        <n v="17"/>
        <n v="32"/>
        <n v="40"/>
        <n v="54"/>
        <n v="46"/>
        <n v="78"/>
        <n v="71"/>
        <n v="85"/>
        <n v="94"/>
        <n v="124"/>
        <n v="149"/>
        <n v="203"/>
        <n v="138"/>
        <n v="142"/>
        <n v="122"/>
        <n v="102"/>
        <n v="172"/>
        <n v="204"/>
        <n v="165"/>
        <n v="175"/>
        <n v="200"/>
        <n v="176"/>
        <n v="187"/>
        <n v="241"/>
        <n v="341"/>
        <n v="225"/>
        <n v="235"/>
        <n v="226"/>
        <n v="220"/>
        <n v="206"/>
        <n v="250"/>
        <n v="314"/>
        <n v="231"/>
        <n v="214"/>
        <n v="191"/>
        <n v="216"/>
        <n v="353"/>
        <n v="403"/>
        <n v="285"/>
        <n v="229"/>
        <n v="208"/>
        <n v="167"/>
        <n v="160"/>
        <n v="192"/>
        <n v="195"/>
        <n v="181"/>
        <n v="116"/>
        <n v="105"/>
        <m/>
        <s v="Sessions-Total"/>
        <n v="16"/>
        <n v="28"/>
        <n v="37"/>
        <n v="47"/>
        <n v="50"/>
        <n v="34"/>
        <n v="48"/>
        <n v="62"/>
        <n v="52"/>
        <n v="61"/>
        <n v="81"/>
        <n v="90"/>
        <n v="129"/>
        <n v="77"/>
        <n v="58"/>
        <n v="67"/>
        <n v="56"/>
        <n v="60"/>
        <n v="72"/>
        <n v="91"/>
        <n v="125"/>
        <n v="73"/>
        <n v="92"/>
        <n v="66"/>
        <n v="74"/>
        <n v="113"/>
        <n v="69"/>
        <n v="180"/>
        <n v="221"/>
        <n v="126"/>
        <n v="119"/>
        <n v="117"/>
        <n v="115"/>
        <n v="96"/>
        <n v="134"/>
        <n v="132"/>
        <n v="168"/>
        <n v="158"/>
        <n v="141"/>
      </sharedItems>
    </cacheField>
    <cacheField name="PV-Browser" numFmtId="0">
      <sharedItems containsBlank="1" containsNumber="1" containsInteger="1" containsMixedTypes="1" count="69">
        <n v="0"/>
        <n v="14"/>
        <n v="11"/>
        <n v="8"/>
        <n v="23"/>
        <n v="18"/>
        <n v="21"/>
        <n v="19"/>
        <n v="32"/>
        <n v="35"/>
        <n v="34"/>
        <n v="44"/>
        <n v="41"/>
        <n v="66"/>
        <n v="82"/>
        <n v="52"/>
        <n v="68"/>
        <n v="58"/>
        <n v="39"/>
        <n v="54"/>
        <n v="60"/>
        <n v="77"/>
        <n v="71"/>
        <n v="91"/>
        <n v="78"/>
        <n v="79"/>
        <n v="93"/>
        <n v="128"/>
        <n v="103"/>
        <n v="120"/>
        <n v="121"/>
        <n v="100"/>
        <n v="87"/>
        <n v="127"/>
        <n v="130"/>
        <n v="94"/>
        <n v="113"/>
        <n v="88"/>
        <n v="86"/>
        <n v="138"/>
        <n v="141"/>
        <n v="89"/>
        <n v="69"/>
        <n v="75"/>
        <n v="73"/>
        <n v="48"/>
        <n v="33"/>
        <m/>
        <s v="PV-Browser"/>
        <n v="7"/>
        <n v="13"/>
        <n v="16"/>
        <n v="20"/>
        <n v="17"/>
        <n v="25"/>
        <n v="40"/>
        <n v="46"/>
        <n v="15"/>
        <n v="31"/>
        <n v="29"/>
        <n v="27"/>
        <n v="28"/>
        <n v="36"/>
        <n v="62"/>
        <n v="80"/>
        <n v="56"/>
        <n v="57"/>
        <n v="51"/>
        <n v="81"/>
      </sharedItems>
    </cacheField>
    <cacheField name="PV-Mobile" numFmtId="0">
      <sharedItems containsBlank="1" containsNumber="1" containsInteger="1" containsMixedTypes="1" count="88">
        <n v="0"/>
        <n v="23"/>
        <n v="22"/>
        <n v="15"/>
        <n v="19"/>
        <n v="37"/>
        <n v="52"/>
        <n v="34"/>
        <n v="64"/>
        <n v="51"/>
        <n v="75"/>
        <n v="84"/>
        <n v="110"/>
        <n v="126"/>
        <n v="168"/>
        <n v="128"/>
        <n v="115"/>
        <n v="101"/>
        <n v="96"/>
        <n v="153"/>
        <n v="182"/>
        <n v="131"/>
        <n v="151"/>
        <n v="172"/>
        <n v="147"/>
        <n v="149"/>
        <n v="207"/>
        <n v="303"/>
        <n v="175"/>
        <n v="183"/>
        <n v="186"/>
        <n v="179"/>
        <n v="176"/>
        <n v="224"/>
        <n v="275"/>
        <n v="167"/>
        <n v="160"/>
        <n v="130"/>
        <n v="202"/>
        <n v="317"/>
        <n v="355"/>
        <n v="235"/>
        <n v="178"/>
        <n v="143"/>
        <n v="123"/>
        <n v="185"/>
        <n v="177"/>
        <n v="146"/>
        <n v="67"/>
        <n v="76"/>
        <n v="69"/>
        <m/>
        <s v="PV-Mobile"/>
        <n v="10"/>
        <n v="24"/>
        <n v="31"/>
        <n v="42"/>
        <n v="43"/>
        <n v="46"/>
        <n v="57"/>
        <n v="48"/>
        <n v="89"/>
        <n v="80"/>
        <n v="117"/>
        <n v="61"/>
        <n v="50"/>
        <n v="53"/>
        <n v="63"/>
        <n v="77"/>
        <n v="38"/>
        <n v="65"/>
        <n v="85"/>
        <n v="60"/>
        <n v="70"/>
        <n v="72"/>
        <n v="44"/>
        <n v="62"/>
        <n v="105"/>
        <n v="166"/>
        <n v="203"/>
        <n v="104"/>
        <n v="97"/>
        <n v="90"/>
        <n v="112"/>
        <n v="119"/>
        <n v="133"/>
        <n v="132"/>
        <n v="102"/>
      </sharedItems>
    </cacheField>
    <cacheField name="PV-Total" numFmtId="0">
      <sharedItems containsBlank="1" containsNumber="1" containsInteger="1" containsMixedTypes="1" count="88">
        <n v="0"/>
        <n v="37"/>
        <n v="33"/>
        <n v="23"/>
        <n v="42"/>
        <n v="55"/>
        <n v="73"/>
        <n v="53"/>
        <n v="96"/>
        <n v="86"/>
        <n v="109"/>
        <n v="128"/>
        <n v="151"/>
        <n v="192"/>
        <n v="250"/>
        <n v="180"/>
        <n v="183"/>
        <n v="159"/>
        <n v="135"/>
        <n v="207"/>
        <n v="242"/>
        <n v="208"/>
        <n v="222"/>
        <n v="263"/>
        <n v="225"/>
        <n v="228"/>
        <n v="300"/>
        <n v="431"/>
        <n v="278"/>
        <n v="303"/>
        <n v="307"/>
        <n v="279"/>
        <n v="317"/>
        <n v="402"/>
        <n v="297"/>
        <n v="254"/>
        <n v="243"/>
        <n v="239"/>
        <n v="288"/>
        <n v="447"/>
        <n v="493"/>
        <n v="376"/>
        <n v="298"/>
        <n v="256"/>
        <n v="220"/>
        <n v="210"/>
        <n v="252"/>
        <n v="140"/>
        <n v="124"/>
        <n v="102"/>
        <m/>
        <s v="PV-Total"/>
        <n v="30"/>
        <n v="17"/>
        <n v="47"/>
        <n v="63"/>
        <n v="40"/>
        <n v="57"/>
        <n v="75"/>
        <n v="69"/>
        <n v="108"/>
        <n v="120"/>
        <n v="163"/>
        <n v="95"/>
        <n v="81"/>
        <n v="82"/>
        <n v="100"/>
        <n v="88"/>
        <n v="90"/>
        <n v="112"/>
        <n v="155"/>
        <n v="85"/>
        <n v="110"/>
        <n v="104"/>
        <n v="89"/>
        <n v="138"/>
        <n v="79"/>
        <n v="77"/>
        <n v="283"/>
        <n v="160"/>
        <n v="154"/>
        <n v="145"/>
        <n v="122"/>
        <n v="164"/>
        <n v="175"/>
        <n v="202"/>
        <n v="226"/>
        <n v="176"/>
      </sharedItems>
    </cacheField>
    <cacheField name="Buybox" numFmtId="0">
      <sharedItems containsBlank="1" containsNumber="1" containsMixedTypes="1" count="10">
        <m/>
        <n v="1"/>
        <n v="0.83"/>
        <n v="0.88"/>
        <n v="0.96"/>
        <n v="0.98"/>
        <n v="0.95"/>
        <n v="0.99"/>
        <n v="0.97"/>
        <s v="Buybox"/>
      </sharedItems>
    </cacheField>
    <cacheField name="CVR" numFmtId="0">
      <sharedItems containsBlank="1" containsNumber="1" containsMixedTypes="1" count="101">
        <n v="0"/>
        <n v="0.069"/>
        <n v="0.04"/>
        <n v="0.0312"/>
        <n v="0.075"/>
        <n v="0.037"/>
        <n v="0.1957"/>
        <n v="0.0641"/>
        <n v="0.0986"/>
        <n v="0.0471"/>
        <n v="0.0957"/>
        <n v="0.0726"/>
        <n v="0.0537"/>
        <n v="0.1084"/>
        <n v="0.1159"/>
        <n v="0.0775"/>
        <n v="0.0984"/>
        <n v="0.0882"/>
        <n v="0.064"/>
        <n v="0.0686"/>
        <n v="0.1091"/>
        <n v="0.1086"/>
        <n v="0.105"/>
        <n v="0.125"/>
        <n v="0.1551"/>
        <n v="0.0747"/>
        <n v="0.1173"/>
        <n v="0.1244"/>
        <n v="0.1106"/>
        <n v="0.0929"/>
        <n v="0.1591"/>
        <n v="0.1311"/>
        <n v="0.096"/>
        <n v="0.1115"/>
        <n v="0.1082"/>
        <n v="0.1449"/>
        <n v="0.1257"/>
        <n v="0.1518"/>
        <n v="0.1343"/>
        <n v="0.1331"/>
        <n v="0.1216"/>
        <n v="0.1333"/>
        <n v="0.1179"/>
        <n v="0.1538"/>
        <n v="0.1198"/>
        <n v="0.15"/>
        <n v="0.0521"/>
        <n v="0.0872"/>
        <n v="0.0994"/>
        <n v="0.1638"/>
        <n v="0.1619"/>
        <n v="0.0941"/>
        <m/>
        <s v="CVR"/>
        <n v="0.0357"/>
        <n v="0.1351"/>
        <n v="0.0426"/>
        <n v="0.02"/>
        <n v="0.0294"/>
        <n v="0.1042"/>
        <n v="0.0484"/>
        <n v="0.0962"/>
        <n v="0.0492"/>
        <n v="0.0247"/>
        <n v="0.1222"/>
        <n v="0.0853"/>
        <n v="0.0909"/>
        <n v="0.0645"/>
        <n v="0.0656"/>
        <n v="0.0862"/>
        <n v="0.0746"/>
        <n v="0.1235"/>
        <n v="0.0893"/>
        <n v="0.1667"/>
        <n v="0.0845"/>
        <n v="0.1806"/>
        <n v="0.1045"/>
        <n v="0.0879"/>
        <n v="0.16"/>
        <n v="0.1096"/>
        <n v="0.1087"/>
        <n v="0.1529"/>
        <n v="0.1061"/>
        <n v="0.1757"/>
        <n v="0.2338"/>
        <n v="0.0708"/>
        <n v="0.1412"/>
        <n v="0.2295"/>
        <n v="0.087"/>
        <n v="0.2"/>
        <n v="0.1765"/>
        <n v="0.1825"/>
        <n v="0.1513"/>
        <n v="0.2222"/>
        <n v="0.1826"/>
        <n v="0.1493"/>
        <n v="0.1818"/>
        <n v="0.1071"/>
        <n v="0.2405"/>
        <n v="0.234"/>
        <n v="0.162"/>
      </sharedItems>
    </cacheField>
    <cacheField name="销量CVR" numFmtId="0">
      <sharedItems containsBlank="1" containsNumber="1" containsMixedTypes="1" count="100">
        <n v="0"/>
        <n v="0.069"/>
        <n v="0.04"/>
        <n v="0.0312"/>
        <n v="0.075"/>
        <n v="0.0556"/>
        <n v="0.1957"/>
        <n v="0.0641"/>
        <n v="0.1268"/>
        <n v="0.0471"/>
        <n v="0.0957"/>
        <n v="0.0726"/>
        <n v="0.0537"/>
        <n v="0.1133"/>
        <n v="0.1232"/>
        <n v="0.0775"/>
        <n v="0.0984"/>
        <n v="0.0882"/>
        <n v="0.064"/>
        <n v="0.0686"/>
        <n v="0.1091"/>
        <n v="0.1086"/>
        <n v="0.105"/>
        <n v="0.125"/>
        <n v="0.1551"/>
        <n v="0.0747"/>
        <n v="0.1173"/>
        <n v="0.1244"/>
        <n v="0.1106"/>
        <n v="0.0929"/>
        <n v="0.1591"/>
        <n v="0.1311"/>
        <n v="0.096"/>
        <n v="0.1115"/>
        <n v="0.1082"/>
        <n v="0.1449"/>
        <n v="0.1257"/>
        <n v="0.1518"/>
        <n v="0.1343"/>
        <n v="0.1331"/>
        <n v="0.1216"/>
        <n v="0.1333"/>
        <n v="0.1179"/>
        <n v="0.1538"/>
        <n v="0.1198"/>
        <n v="0.15"/>
        <n v="0.0521"/>
        <n v="0.0872"/>
        <n v="0.1638"/>
        <n v="0.1714"/>
        <n v="0.0941"/>
        <m/>
        <s v="销量CVR"/>
        <n v="0.0357"/>
        <n v="0.1351"/>
        <n v="0.0426"/>
        <n v="0.02"/>
        <n v="0.0294"/>
        <n v="0.1042"/>
        <n v="0.0484"/>
        <n v="0.0962"/>
        <n v="0.0492"/>
        <n v="0.0247"/>
        <n v="0.1222"/>
        <n v="0.0853"/>
        <n v="0.1299"/>
        <n v="0.0645"/>
        <n v="0.0656"/>
        <n v="0.0862"/>
        <n v="0.0746"/>
        <n v="0.1235"/>
        <n v="0.0893"/>
        <n v="0.1667"/>
        <n v="0.0845"/>
        <n v="0.1944"/>
        <n v="0.1045"/>
        <n v="0.0879"/>
        <n v="0.16"/>
        <n v="0.1096"/>
        <n v="0.1087"/>
        <n v="0.1529"/>
        <n v="0.1061"/>
        <n v="0.1757"/>
        <n v="0.2338"/>
        <n v="0.0708"/>
        <n v="0.1412"/>
        <n v="0.2295"/>
        <n v="0.087"/>
        <n v="0.2"/>
        <n v="0.181"/>
        <n v="0.1825"/>
        <n v="0.1513"/>
        <n v="0.2222"/>
        <n v="0.1913"/>
        <n v="0.1493"/>
        <n v="0.1818"/>
        <n v="0.1071"/>
        <n v="0.2405"/>
        <n v="0.2411"/>
        <n v="0.1901"/>
      </sharedItems>
    </cacheField>
    <cacheField name="CPC" numFmtId="0">
      <sharedItems containsBlank="1" containsNumber="1" containsMixedTypes="1" count="25">
        <m/>
        <n v="0.91"/>
        <n v="0.92"/>
        <n v="0.79"/>
        <n v="1.07"/>
        <n v="1.08"/>
        <n v="1.09"/>
        <n v="1.13"/>
        <n v="1.19"/>
        <n v="1.15"/>
        <n v="1.18"/>
        <n v="1.11"/>
        <n v="1.1"/>
        <s v="CPC"/>
        <n v="0.98"/>
        <n v="0.83"/>
        <n v="1.01"/>
        <n v="1.02"/>
        <n v="1.04"/>
        <n v="1.03"/>
        <n v="1.12"/>
        <n v="1.16"/>
        <n v="0.85"/>
        <n v="0.84"/>
        <n v="0.78"/>
      </sharedItems>
    </cacheField>
    <cacheField name="CTR" numFmtId="0">
      <sharedItems containsBlank="1" containsNumber="1" containsMixedTypes="1" count="35">
        <n v="0"/>
        <n v="0.002"/>
        <n v="0.0024"/>
        <n v="0.0017"/>
        <n v="0.0019"/>
        <n v="0.0027"/>
        <n v="0.0013"/>
        <n v="0.0014"/>
        <n v="0.0033"/>
        <n v="0.0036"/>
        <n v="0.0043"/>
        <n v="0.0042"/>
        <n v="0.0038"/>
        <n v="0.0034"/>
        <n v="0.0028"/>
        <n v="0.0037"/>
        <n v="0.0045"/>
        <n v="0.0032"/>
        <n v="0.0035"/>
        <m/>
        <s v="CTR"/>
        <n v="0.0031"/>
        <n v="0.0059"/>
        <n v="0.003"/>
        <n v="0.0099"/>
        <n v="0.0081"/>
        <n v="0.0063"/>
        <n v="0.0044"/>
        <n v="0.0053"/>
        <n v="0.0082"/>
        <n v="0.0078"/>
        <n v="0.0113"/>
        <n v="0.0057"/>
        <n v="0.0073"/>
        <n v="0.0049"/>
      </sharedItems>
    </cacheField>
    <cacheField name="广告花费" numFmtId="0">
      <sharedItems containsBlank="1" containsNumber="1" containsMixedTypes="1" count="40">
        <n v="0"/>
        <n v="-20.95"/>
        <n v="-18.32"/>
        <n v="-4.72"/>
        <n v="-20.26"/>
        <n v="-26"/>
        <n v="-23.48"/>
        <n v="-20.61"/>
        <n v="-19.58"/>
        <n v="-20.38"/>
        <n v="-20.3"/>
        <n v="-20.22"/>
        <n v="-19.49"/>
        <n v="-19.53"/>
        <n v="-18.89"/>
        <n v="-20.37"/>
        <n v="-22.15"/>
        <n v="-20.65"/>
        <n v="-19.25"/>
        <n v="-19.79"/>
        <n v="-20.18"/>
        <m/>
        <s v="广告花费"/>
        <n v="-15.72"/>
        <n v="-6.68"/>
        <n v="-25.23"/>
        <n v="-25.39"/>
        <n v="-20.89"/>
        <n v="-19.57"/>
        <n v="-20.08"/>
        <n v="-20.17"/>
        <n v="-20.85"/>
        <n v="-19.73"/>
        <n v="-19.26"/>
        <n v="-19.98"/>
        <n v="-6.8"/>
        <n v="-27.19"/>
        <n v="-30.18"/>
        <n v="-28.91"/>
        <n v="-33.32"/>
      </sharedItems>
    </cacheField>
    <cacheField name="ROAS" numFmtId="0">
      <sharedItems containsBlank="1" containsNumber="1" containsMixedTypes="1" count="34">
        <n v="0"/>
        <n v="2.67"/>
        <n v="1.38"/>
        <n v="0.54"/>
        <n v="1.79"/>
        <n v="1.36"/>
        <n v="3.57"/>
        <n v="1.37"/>
        <n v="0.69"/>
        <n v="2.08"/>
        <n v="2.15"/>
        <n v="2.87"/>
        <n v="1.26"/>
        <n v="2.03"/>
        <n v="1.45"/>
        <n v="1.41"/>
        <n v="1.39"/>
        <m/>
        <s v="ROAS"/>
        <n v="1.66"/>
        <n v="1.65"/>
        <n v="0.67"/>
        <n v="2.14"/>
        <n v="0.71"/>
        <n v="0.7"/>
        <n v="2.01"/>
        <n v="0.72"/>
        <n v="1.42"/>
        <n v="2.18"/>
        <n v="1.47"/>
        <n v="0.37"/>
        <n v="2.85"/>
        <n v="2.7"/>
        <n v="1.5"/>
      </sharedItems>
    </cacheField>
    <cacheField name="ACOS" numFmtId="0">
      <sharedItems containsBlank="1" containsNumber="1" containsMixedTypes="1" count="36">
        <n v="0"/>
        <n v="0.3744"/>
        <n v="1"/>
        <n v="0.7241"/>
        <n v="1.8585"/>
        <n v="0.5594"/>
        <n v="0.7366"/>
        <n v="0.2799"/>
        <n v="0.7284"/>
        <n v="1.451"/>
        <n v="0.4818"/>
        <n v="0.4644"/>
        <n v="0.349"/>
        <n v="0.7916"/>
        <n v="0.492"/>
        <n v="0.688"/>
        <n v="0.7073"/>
        <n v="0.7212"/>
        <m/>
        <s v="ACOS"/>
        <n v="0.6011"/>
        <n v="0.605"/>
        <n v="1.4932"/>
        <n v="0.4663"/>
        <n v="1.3996"/>
        <n v="1.4353"/>
        <n v="0.4968"/>
        <n v="1.396"/>
        <n v="0.7051"/>
        <n v="0.4589"/>
        <n v="1.4282"/>
        <n v="0.6807"/>
        <n v="2.7217"/>
        <n v="0.3512"/>
        <n v="0.371"/>
        <n v="0.6671"/>
      </sharedItems>
    </cacheField>
    <cacheField name="ACoAS" numFmtId="0">
      <sharedItems containsBlank="1" containsNumber="1" containsMixedTypes="1" count="42">
        <n v="0"/>
        <n v="0.7487"/>
        <n v="1.3095"/>
        <n v="1"/>
        <n v="1.4482"/>
        <n v="0.6195"/>
        <n v="0.5594"/>
        <n v="0.1637"/>
        <n v="0.2799"/>
        <n v="0.1619"/>
        <n v="0.3628"/>
        <n v="0.1606"/>
        <n v="0.1548"/>
        <n v="0.1745"/>
        <n v="0.0587"/>
        <n v="0.0856"/>
        <n v="0.1439"/>
        <n v="0.123"/>
        <n v="0.1529"/>
        <n v="0.1286"/>
        <n v="0.103"/>
        <n v="0.0774"/>
        <m/>
        <s v="ACoAS"/>
        <n v="1.1237"/>
        <n v="1.8034"/>
        <n v="0.363"/>
        <n v="0.7466"/>
        <n v="1.3989"/>
        <n v="1.3996"/>
        <n v="0.2871"/>
        <n v="0.4806"/>
        <n v="0.2981"/>
        <n v="0.4653"/>
        <n v="0.7051"/>
        <n v="0.1252"/>
        <n v="0.1298"/>
        <n v="0.0378"/>
        <n v="0.0716"/>
        <n v="0.0915"/>
        <n v="0.1072"/>
        <n v="0.1191"/>
      </sharedItems>
    </cacheField>
    <cacheField name="ASoAS" numFmtId="0">
      <sharedItems containsBlank="1" containsNumber="1" containsMixedTypes="1" count="22">
        <n v="0"/>
        <n v="2"/>
        <n v="0.3333"/>
        <n v="1"/>
        <n v="0.2222"/>
        <n v="0.25"/>
        <n v="0.5"/>
        <n v="0.1818"/>
        <n v="0.1429"/>
        <n v="0.1667"/>
        <m/>
        <s v="ASoAS"/>
        <n v="3"/>
        <n v="0.6"/>
        <n v="0.2"/>
        <n v="0.2727"/>
        <n v="0.0909"/>
        <n v="0.0556"/>
        <n v="0.0263"/>
        <n v="0.2607"/>
        <n v="0.2889"/>
        <n v="0.1786"/>
      </sharedItems>
    </cacheField>
    <cacheField name="CPO" numFmtId="0">
      <sharedItems containsBlank="1" containsNumber="1" containsMixedTypes="1" count="34">
        <m/>
        <n v="5.24"/>
        <n v="10.13"/>
        <n v="26"/>
        <n v="7.83"/>
        <n v="10.3"/>
        <n v="3.92"/>
        <n v="10.19"/>
        <n v="20.3"/>
        <n v="6.74"/>
        <n v="6.5"/>
        <n v="4.88"/>
        <n v="11.07"/>
        <n v="6.88"/>
        <n v="9.62"/>
        <n v="9.89"/>
        <n v="10.09"/>
        <s v="CPO"/>
        <n v="8.41"/>
        <n v="8.46"/>
        <n v="20.89"/>
        <n v="9.79"/>
        <n v="19.58"/>
        <n v="20.08"/>
        <n v="6.95"/>
        <n v="19.53"/>
        <n v="9.87"/>
        <n v="6.42"/>
        <n v="19.98"/>
        <n v="3.4"/>
        <n v="27.19"/>
        <n v="4.31"/>
        <n v="3.61"/>
        <n v="6.66"/>
      </sharedItems>
    </cacheField>
    <cacheField name="CPM" numFmtId="0">
      <sharedItems containsBlank="1" containsNumber="1" containsMixedTypes="1" count="43">
        <n v="0"/>
        <n v="1.81"/>
        <n v="2.19"/>
        <n v="1.35"/>
        <n v="1.98"/>
        <n v="2.97"/>
        <n v="1.4"/>
        <n v="1.51"/>
        <n v="1.52"/>
        <n v="3.69"/>
        <n v="4.35"/>
        <n v="5.13"/>
        <n v="3.86"/>
        <n v="4.83"/>
        <n v="4.5"/>
        <n v="4.79"/>
        <n v="3.73"/>
        <n v="3.26"/>
        <n v="4.16"/>
        <n v="4.91"/>
        <n v="3.75"/>
        <n v="3.79"/>
        <m/>
        <s v="CPM"/>
        <n v="4.43"/>
        <n v="2.57"/>
        <n v="5.94"/>
        <n v="3.03"/>
        <n v="4.46"/>
        <n v="9.65"/>
        <n v="8.35"/>
        <n v="7.49"/>
        <n v="4.97"/>
        <n v="6.19"/>
        <n v="9.37"/>
        <n v="9.09"/>
        <n v="8.85"/>
        <n v="4.22"/>
        <n v="9.6"/>
        <n v="4.84"/>
        <n v="6.1"/>
        <n v="3.81"/>
        <n v="3.38"/>
      </sharedItems>
    </cacheField>
    <cacheField name="广告销售额" numFmtId="0">
      <sharedItems containsBlank="1" containsNumber="1" containsMixedTypes="1" count="12">
        <n v="0"/>
        <n v="55.96"/>
        <n v="27.98"/>
        <n v="13.99"/>
        <n v="41.97"/>
        <n v="69.95"/>
        <m/>
        <s v="广告销售额"/>
        <n v="9.99"/>
        <n v="85.93"/>
        <n v="77.92"/>
        <n v="49.95"/>
      </sharedItems>
    </cacheField>
    <cacheField name="广告订单量" numFmtId="0">
      <sharedItems containsBlank="1" containsNumber="1" containsInteger="1" containsMixedTypes="1" count="10">
        <n v="0"/>
        <n v="4"/>
        <n v="2"/>
        <n v="1"/>
        <n v="3"/>
        <n v="5"/>
        <m/>
        <s v="广告订单量"/>
        <n v="7"/>
        <n v="8"/>
      </sharedItems>
    </cacheField>
    <cacheField name="广告订单占比" numFmtId="0">
      <sharedItems containsBlank="1" containsNumber="1" containsMixedTypes="1" count="24">
        <n v="0"/>
        <n v="2"/>
        <n v="0.3333"/>
        <n v="1.5"/>
        <n v="0.2222"/>
        <n v="1"/>
        <n v="0.2857"/>
        <n v="0.25"/>
        <n v="0.5"/>
        <n v="0.1818"/>
        <n v="0.1429"/>
        <n v="0.1667"/>
        <m/>
        <s v="广告订单占比"/>
        <n v="3"/>
        <n v="0.6"/>
        <n v="0.2"/>
        <n v="0.2727"/>
        <n v="0.0909"/>
        <n v="0.1111"/>
        <n v="0.0263"/>
        <n v="0.2121"/>
        <n v="0.3478"/>
        <n v="0.1923"/>
      </sharedItems>
    </cacheField>
    <cacheField name="广告CVR" numFmtId="0">
      <sharedItems containsBlank="1" containsNumber="1" containsMixedTypes="1" count="23">
        <n v="0"/>
        <n v="0.1739"/>
        <n v="0.1053"/>
        <n v="0.0417"/>
        <n v="0.1364"/>
        <n v="0.2778"/>
        <n v="0.1111"/>
        <n v="0.0588"/>
        <n v="0.1765"/>
        <n v="0.1667"/>
        <n v="0.2353"/>
        <n v="0.1"/>
        <n v="0.1176"/>
        <m/>
        <s v="广告CVR"/>
        <n v="0.12"/>
        <n v="0.05"/>
        <n v="0.0526"/>
        <n v="0.25"/>
        <n v="0.0312"/>
        <n v="0.1944"/>
        <n v="0.2162"/>
        <n v="0.1471"/>
      </sharedItems>
    </cacheField>
    <cacheField name="展示" numFmtId="0">
      <sharedItems containsBlank="1" containsNumber="1" containsInteger="1" containsMixedTypes="1" count="44">
        <n v="0"/>
        <n v="11582"/>
        <n v="8355"/>
        <n v="3488"/>
        <n v="10230"/>
        <n v="8753"/>
        <n v="16751"/>
        <n v="13659"/>
        <n v="12849"/>
        <n v="5518"/>
        <n v="4668"/>
        <n v="3943"/>
        <n v="5051"/>
        <n v="4046"/>
        <n v="4194"/>
        <n v="4253"/>
        <n v="5936"/>
        <n v="6325"/>
        <n v="4629"/>
        <n v="4027"/>
        <n v="5376"/>
        <n v="5139"/>
        <m/>
        <s v="展示"/>
        <n v="3551"/>
        <n v="2595"/>
        <n v="4249"/>
        <n v="8366"/>
        <n v="4684"/>
        <n v="2027"/>
        <n v="2344"/>
        <n v="2680"/>
        <n v="4058"/>
        <n v="3370"/>
        <n v="2085"/>
        <n v="2171"/>
        <n v="2177"/>
        <n v="4737"/>
        <n v="299"/>
        <n v="708"/>
        <n v="5618"/>
        <n v="4948"/>
        <n v="7592"/>
        <n v="9844"/>
      </sharedItems>
    </cacheField>
    <cacheField name="点击" numFmtId="0">
      <sharedItems containsBlank="1" containsNumber="1" containsInteger="1" containsMixedTypes="1" count="18">
        <n v="0"/>
        <n v="23"/>
        <n v="20"/>
        <n v="6"/>
        <n v="19"/>
        <n v="24"/>
        <n v="22"/>
        <n v="18"/>
        <n v="17"/>
        <n v="16"/>
        <m/>
        <s v="点击"/>
        <n v="8"/>
        <n v="25"/>
        <n v="32"/>
        <n v="36"/>
        <n v="37"/>
        <n v="34"/>
      </sharedItems>
    </cacheField>
    <cacheField name="运营日志1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2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F69:AI93" firstHeaderRow="1" firstDataRow="2" firstDataCol="1"/>
  <pivotFields count="59">
    <pivotField compact="0" showAll="0">
      <items count="118">
        <item x="57"/>
        <item x="58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axis="axisRow" compact="0" multipleItemSelectionAllowed="1" showAll="0">
      <items count="60">
        <item x="0"/>
        <item x="1"/>
        <item x="2"/>
        <item x="3"/>
        <item x="4"/>
        <item h="1" x="58"/>
        <item x="5"/>
        <item x="6"/>
        <item h="1" x="5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showAll="0">
      <items count="7">
        <item x="2"/>
        <item x="1"/>
        <item m="1" x="4"/>
        <item m="1" x="5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2">
        <item x="7"/>
        <item x="6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57"/>
        <item x="56"/>
        <item x="3"/>
        <item x="4"/>
        <item x="5"/>
        <item x="6"/>
        <item x="7"/>
        <item x="8"/>
        <item x="9"/>
        <item x="10"/>
        <item x="11"/>
        <item x="12"/>
        <item x="13"/>
        <item x="61"/>
        <item x="62"/>
        <item x="63"/>
        <item x="64"/>
        <item x="65"/>
        <item x="66"/>
        <item x="67"/>
        <item x="68"/>
        <item x="69"/>
        <item x="70"/>
        <item x="14"/>
        <item x="15"/>
        <item x="16"/>
        <item x="17"/>
        <item x="18"/>
        <item x="19"/>
        <item x="20"/>
        <item x="21"/>
        <item x="71"/>
        <item x="72"/>
        <item x="73"/>
        <item x="74"/>
        <item x="75"/>
        <item x="76"/>
        <item x="77"/>
        <item x="0"/>
        <item x="1"/>
        <item x="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0">
        <item x="2"/>
        <item x="1"/>
        <item x="6"/>
        <item x="5"/>
        <item x="33"/>
        <item x="32"/>
        <item x="0"/>
        <item x="3"/>
        <item x="4"/>
        <item x="7"/>
        <item x="8"/>
        <item x="9"/>
        <item x="10"/>
        <item x="36"/>
        <item x="31"/>
        <item x="3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5"/>
        <item x="37"/>
        <item x="38"/>
        <item t="default"/>
      </items>
    </pivotField>
    <pivotField compact="0" showAll="0">
      <items count="42">
        <item x="2"/>
        <item x="1"/>
        <item x="7"/>
        <item x="5"/>
        <item x="34"/>
        <item x="6"/>
        <item x="4"/>
        <item x="33"/>
        <item x="0"/>
        <item x="3"/>
        <item x="8"/>
        <item x="9"/>
        <item x="10"/>
        <item x="11"/>
        <item x="36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7"/>
        <item x="38"/>
        <item x="39"/>
        <item x="40"/>
        <item t="default"/>
      </items>
    </pivotField>
    <pivotField compact="0" showAll="0">
      <items count="73">
        <item x="45"/>
        <item x="44"/>
        <item x="1"/>
        <item x="2"/>
        <item x="0"/>
        <item x="3"/>
        <item x="4"/>
        <item x="5"/>
        <item x="6"/>
        <item x="7"/>
        <item x="8"/>
        <item x="9"/>
        <item x="10"/>
        <item x="46"/>
        <item x="4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47"/>
        <item x="46"/>
        <item x="1"/>
        <item x="2"/>
        <item x="0"/>
        <item x="3"/>
        <item x="4"/>
        <item x="5"/>
        <item x="6"/>
        <item x="7"/>
        <item x="48"/>
        <item x="8"/>
        <item x="9"/>
        <item x="10"/>
        <item x="11"/>
        <item x="49"/>
        <item x="50"/>
        <item x="5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7"/>
        <item x="6"/>
        <item x="1"/>
        <item x="5"/>
        <item x="2"/>
        <item x="3"/>
        <item x="4"/>
        <item x="8"/>
        <item t="default"/>
      </items>
    </pivotField>
    <pivotField compact="0" showAll="0">
      <items count="23">
        <item x="0"/>
        <item x="14"/>
        <item x="13"/>
        <item x="1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7"/>
        <item x="6"/>
        <item x="1"/>
        <item x="2"/>
        <item x="3"/>
        <item x="4"/>
        <item x="5"/>
        <item x="8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8">
        <item x="26"/>
        <item x="0"/>
        <item x="1"/>
        <item x="9"/>
        <item x="25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11"/>
        <item x="10"/>
        <item x="4"/>
        <item x="1"/>
        <item x="2"/>
        <item x="0"/>
        <item x="3"/>
        <item x="5"/>
        <item x="9"/>
        <item x="7"/>
        <item x="6"/>
        <item x="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27">
        <item x="17"/>
        <item x="0"/>
        <item x="16"/>
        <item x="1"/>
        <item x="18"/>
        <item x="19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compact="0" showAll="0">
      <items count="14">
        <item x="12"/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1">
        <item x="6"/>
        <item x="0"/>
        <item x="5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10">
        <item x="55"/>
        <item x="54"/>
        <item x="1"/>
        <item x="2"/>
        <item x="3"/>
        <item x="4"/>
        <item x="5"/>
        <item x="6"/>
        <item x="7"/>
        <item x="8"/>
        <item x="56"/>
        <item x="57"/>
        <item x="58"/>
        <item x="60"/>
        <item x="62"/>
        <item x="63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61"/>
        <item x="65"/>
        <item x="66"/>
        <item x="68"/>
        <item x="69"/>
        <item x="71"/>
        <item x="72"/>
        <item x="73"/>
        <item x="74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9"/>
        <item x="67"/>
        <item x="70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1"/>
        <item x="50"/>
        <item x="0"/>
        <item x="1"/>
        <item x="2"/>
        <item x="3"/>
        <item x="4"/>
        <item x="53"/>
        <item x="55"/>
        <item x="56"/>
        <item x="57"/>
        <item x="5"/>
        <item x="6"/>
        <item x="7"/>
        <item x="8"/>
        <item x="9"/>
        <item x="10"/>
        <item x="11"/>
        <item x="12"/>
        <item x="13"/>
        <item x="14"/>
        <item x="15"/>
        <item x="54"/>
        <item x="58"/>
        <item x="59"/>
        <item x="61"/>
        <item x="62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60"/>
        <item x="63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8"/>
        <item x="47"/>
        <item x="0"/>
        <item x="1"/>
        <item x="2"/>
        <item x="3"/>
        <item x="4"/>
        <item x="49"/>
        <item x="50"/>
        <item x="52"/>
        <item x="72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18">
        <item x="9"/>
        <item x="0"/>
        <item x="8"/>
        <item x="10"/>
        <item x="11"/>
        <item x="1"/>
        <item x="2"/>
        <item x="3"/>
        <item x="4"/>
        <item x="5"/>
        <item x="6"/>
        <item x="7"/>
        <item x="12"/>
        <item x="13"/>
        <item x="14"/>
        <item x="15"/>
        <item x="16"/>
        <item t="default"/>
      </items>
    </pivotField>
    <pivotField compact="0" showAll="0">
      <items count="65">
        <item x="45"/>
        <item x="48"/>
        <item x="5"/>
        <item x="44"/>
        <item x="6"/>
        <item x="43"/>
        <item x="1"/>
        <item x="2"/>
        <item x="3"/>
        <item x="4"/>
        <item x="7"/>
        <item x="8"/>
        <item x="0"/>
        <item x="46"/>
        <item x="47"/>
        <item x="49"/>
        <item x="50"/>
        <item x="9"/>
        <item x="10"/>
        <item x="11"/>
        <item x="12"/>
        <item x="13"/>
        <item x="14"/>
        <item x="51"/>
        <item x="52"/>
        <item x="5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3"/>
        <item x="53"/>
        <item x="52"/>
        <item x="49"/>
        <item x="55"/>
        <item x="48"/>
        <item x="1"/>
        <item x="2"/>
        <item x="4"/>
        <item x="5"/>
        <item x="6"/>
        <item x="7"/>
        <item x="8"/>
        <item x="9"/>
        <item x="10"/>
        <item x="0"/>
        <item x="50"/>
        <item x="51"/>
        <item x="54"/>
        <item x="56"/>
        <item x="57"/>
        <item x="11"/>
        <item x="12"/>
        <item x="13"/>
        <item x="14"/>
        <item x="15"/>
        <item x="16"/>
        <item x="58"/>
        <item x="59"/>
        <item x="60"/>
        <item x="61"/>
        <item x="6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compact="0" showAll="0">
      <items count="93">
        <item x="59"/>
        <item x="52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6"/>
        <item x="57"/>
        <item x="58"/>
        <item x="60"/>
        <item x="61"/>
        <item x="11"/>
        <item x="12"/>
        <item x="13"/>
        <item x="14"/>
        <item x="15"/>
        <item x="16"/>
        <item x="62"/>
        <item x="63"/>
        <item x="64"/>
        <item x="65"/>
        <item x="6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49"/>
        <item x="5"/>
        <item x="48"/>
        <item x="47"/>
        <item x="1"/>
        <item x="2"/>
        <item x="3"/>
        <item x="4"/>
        <item x="6"/>
        <item x="7"/>
        <item x="8"/>
        <item x="9"/>
        <item x="10"/>
        <item x="0"/>
        <item x="50"/>
        <item x="51"/>
        <item x="52"/>
        <item x="53"/>
        <item x="11"/>
        <item x="12"/>
        <item x="13"/>
        <item x="14"/>
        <item x="15"/>
        <item x="16"/>
        <item x="54"/>
        <item x="55"/>
        <item x="56"/>
        <item x="57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56"/>
        <item x="57"/>
        <item x="52"/>
        <item x="58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53"/>
        <item x="51"/>
        <item x="50"/>
        <item x="1"/>
        <item x="2"/>
        <item x="3"/>
        <item x="4"/>
        <item x="5"/>
        <item x="6"/>
        <item x="7"/>
        <item x="8"/>
        <item x="9"/>
        <item x="10"/>
        <item x="0"/>
        <item x="52"/>
        <item x="54"/>
        <item x="55"/>
        <item x="56"/>
        <item x="57"/>
        <item x="58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9"/>
        <item x="0"/>
        <item x="1"/>
        <item x="5"/>
        <item x="6"/>
        <item x="2"/>
        <item x="3"/>
        <item x="4"/>
        <item x="7"/>
        <item x="8"/>
        <item t="default"/>
      </items>
    </pivotField>
    <pivotField compact="0" showAll="0">
      <items count="102">
        <item x="53"/>
        <item x="52"/>
        <item x="1"/>
        <item x="2"/>
        <item x="0"/>
        <item x="3"/>
        <item x="4"/>
        <item x="5"/>
        <item x="6"/>
        <item x="7"/>
        <item x="8"/>
        <item x="9"/>
        <item x="54"/>
        <item x="55"/>
        <item x="56"/>
        <item x="57"/>
        <item x="58"/>
        <item x="59"/>
        <item x="60"/>
        <item x="61"/>
        <item x="10"/>
        <item x="11"/>
        <item x="12"/>
        <item x="13"/>
        <item x="14"/>
        <item x="15"/>
        <item x="62"/>
        <item x="63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2"/>
        <item x="51"/>
        <item x="1"/>
        <item x="2"/>
        <item x="0"/>
        <item x="3"/>
        <item x="4"/>
        <item x="5"/>
        <item x="6"/>
        <item x="7"/>
        <item x="8"/>
        <item x="9"/>
        <item x="53"/>
        <item x="54"/>
        <item x="55"/>
        <item x="56"/>
        <item x="57"/>
        <item x="58"/>
        <item x="59"/>
        <item x="60"/>
        <item x="10"/>
        <item x="11"/>
        <item x="12"/>
        <item x="13"/>
        <item x="14"/>
        <item x="15"/>
        <item x="61"/>
        <item x="62"/>
        <item x="63"/>
        <item x="64"/>
        <item x="65"/>
        <item x="6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1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8"/>
        <item x="19"/>
        <item x="10"/>
        <item x="20"/>
        <item x="21"/>
        <item x="9"/>
        <item x="11"/>
        <item x="12"/>
        <item x="17"/>
        <item x="22"/>
        <item x="23"/>
        <item x="24"/>
        <item t="default"/>
      </items>
    </pivotField>
    <pivotField compact="0" showAll="0">
      <items count="36">
        <item x="20"/>
        <item x="11"/>
        <item x="8"/>
        <item x="1"/>
        <item x="21"/>
        <item x="19"/>
        <item x="0"/>
        <item x="2"/>
        <item x="3"/>
        <item x="5"/>
        <item x="6"/>
        <item x="7"/>
        <item x="9"/>
        <item x="16"/>
        <item x="22"/>
        <item x="10"/>
        <item x="25"/>
        <item x="26"/>
        <item x="27"/>
        <item x="28"/>
        <item x="12"/>
        <item x="13"/>
        <item x="14"/>
        <item x="15"/>
        <item x="29"/>
        <item x="30"/>
        <item x="4"/>
        <item x="17"/>
        <item x="18"/>
        <item x="23"/>
        <item x="24"/>
        <item x="31"/>
        <item x="32"/>
        <item x="33"/>
        <item x="34"/>
        <item t="default"/>
      </items>
    </pivotField>
    <pivotField compact="0" showAll="0">
      <items count="41">
        <item x="0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24"/>
        <item x="25"/>
        <item x="27"/>
        <item x="28"/>
        <item x="29"/>
        <item x="30"/>
        <item x="31"/>
        <item x="13"/>
        <item x="12"/>
        <item x="14"/>
        <item x="15"/>
        <item x="16"/>
        <item x="17"/>
        <item x="18"/>
        <item x="19"/>
        <item x="33"/>
        <item x="34"/>
        <item x="20"/>
        <item x="26"/>
        <item x="32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8"/>
        <item x="17"/>
        <item x="8"/>
        <item x="3"/>
        <item x="5"/>
        <item x="7"/>
        <item x="9"/>
        <item x="19"/>
        <item x="21"/>
        <item x="22"/>
        <item x="23"/>
        <item x="24"/>
        <item x="25"/>
        <item x="26"/>
        <item x="1"/>
        <item x="6"/>
        <item x="10"/>
        <item x="11"/>
        <item x="14"/>
        <item x="15"/>
        <item x="28"/>
        <item x="2"/>
        <item x="4"/>
        <item x="12"/>
        <item x="13"/>
        <item x="16"/>
        <item x="20"/>
        <item x="27"/>
        <item x="29"/>
        <item x="30"/>
        <item x="31"/>
        <item x="32"/>
        <item x="33"/>
        <item t="default"/>
      </items>
    </pivotField>
    <pivotField compact="0" showAll="0">
      <items count="37">
        <item x="19"/>
        <item x="18"/>
        <item x="0"/>
        <item x="2"/>
        <item x="4"/>
        <item x="6"/>
        <item x="8"/>
        <item x="9"/>
        <item x="10"/>
        <item x="20"/>
        <item x="22"/>
        <item x="23"/>
        <item x="24"/>
        <item x="25"/>
        <item x="26"/>
        <item x="27"/>
        <item x="1"/>
        <item x="7"/>
        <item x="11"/>
        <item x="12"/>
        <item x="15"/>
        <item x="16"/>
        <item x="29"/>
        <item x="30"/>
        <item x="3"/>
        <item x="5"/>
        <item x="13"/>
        <item x="14"/>
        <item x="17"/>
        <item x="21"/>
        <item x="28"/>
        <item x="31"/>
        <item x="32"/>
        <item x="33"/>
        <item x="34"/>
        <item x="35"/>
        <item t="default"/>
      </items>
    </pivotField>
    <pivotField compact="0" showAll="0">
      <items count="43"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4"/>
        <item x="25"/>
        <item x="27"/>
        <item x="28"/>
        <item x="29"/>
        <item x="30"/>
        <item x="31"/>
        <item x="32"/>
        <item x="33"/>
        <item x="12"/>
        <item x="13"/>
        <item x="14"/>
        <item x="15"/>
        <item x="16"/>
        <item x="18"/>
        <item x="19"/>
        <item x="35"/>
        <item x="36"/>
        <item x="17"/>
        <item x="20"/>
        <item x="21"/>
        <item x="26"/>
        <item x="34"/>
        <item x="37"/>
        <item x="38"/>
        <item x="39"/>
        <item x="40"/>
        <item x="41"/>
        <item t="default"/>
      </items>
    </pivotField>
    <pivotField compact="0" showAll="0">
      <items count="23">
        <item x="11"/>
        <item x="6"/>
        <item x="5"/>
        <item x="2"/>
        <item x="10"/>
        <item x="0"/>
        <item x="3"/>
        <item x="4"/>
        <item x="12"/>
        <item x="13"/>
        <item x="14"/>
        <item x="1"/>
        <item x="15"/>
        <item x="7"/>
        <item x="16"/>
        <item x="8"/>
        <item x="9"/>
        <item x="17"/>
        <item x="18"/>
        <item x="19"/>
        <item x="20"/>
        <item x="21"/>
        <item t="default"/>
      </items>
    </pivotField>
    <pivotField compact="0" showAll="0">
      <items count="35">
        <item x="17"/>
        <item x="0"/>
        <item x="3"/>
        <item x="5"/>
        <item x="7"/>
        <item x="8"/>
        <item x="9"/>
        <item x="18"/>
        <item x="20"/>
        <item x="21"/>
        <item x="22"/>
        <item x="23"/>
        <item x="24"/>
        <item x="25"/>
        <item x="1"/>
        <item x="6"/>
        <item x="10"/>
        <item x="11"/>
        <item x="14"/>
        <item x="15"/>
        <item x="27"/>
        <item x="28"/>
        <item x="2"/>
        <item x="4"/>
        <item x="12"/>
        <item x="13"/>
        <item x="16"/>
        <item x="19"/>
        <item x="26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23"/>
        <item x="22"/>
        <item x="2"/>
        <item x="3"/>
        <item x="5"/>
        <item x="6"/>
        <item x="8"/>
        <item x="9"/>
        <item x="10"/>
        <item x="25"/>
        <item x="28"/>
        <item x="32"/>
        <item x="33"/>
        <item x="1"/>
        <item x="11"/>
        <item x="14"/>
        <item x="15"/>
        <item x="24"/>
        <item x="31"/>
        <item x="34"/>
        <item x="4"/>
        <item x="7"/>
        <item x="12"/>
        <item x="13"/>
        <item x="16"/>
        <item x="17"/>
        <item x="18"/>
        <item x="19"/>
        <item x="20"/>
        <item x="21"/>
        <item x="26"/>
        <item x="27"/>
        <item x="29"/>
        <item x="30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7"/>
        <item x="6"/>
        <item x="4"/>
        <item x="3"/>
        <item x="2"/>
        <item x="1"/>
        <item x="5"/>
        <item x="8"/>
        <item x="9"/>
        <item x="10"/>
        <item x="11"/>
        <item t="default"/>
      </items>
    </pivotField>
    <pivotField compact="0" showAll="0">
      <items count="11">
        <item x="0"/>
        <item x="3"/>
        <item x="2"/>
        <item x="7"/>
        <item x="4"/>
        <item x="1"/>
        <item x="6"/>
        <item x="5"/>
        <item x="8"/>
        <item x="9"/>
        <item t="default"/>
      </items>
    </pivotField>
    <pivotField compact="0" showAll="0">
      <items count="25">
        <item x="13"/>
        <item x="8"/>
        <item x="7"/>
        <item x="12"/>
        <item x="0"/>
        <item x="5"/>
        <item x="2"/>
        <item x="4"/>
        <item x="6"/>
        <item x="14"/>
        <item x="15"/>
        <item x="1"/>
        <item x="16"/>
        <item x="17"/>
        <item x="9"/>
        <item x="18"/>
        <item x="3"/>
        <item x="10"/>
        <item x="11"/>
        <item x="19"/>
        <item x="20"/>
        <item x="21"/>
        <item x="22"/>
        <item x="23"/>
        <item t="default"/>
      </items>
    </pivotField>
    <pivotField compact="0" showAll="0">
      <items count="24">
        <item x="14"/>
        <item x="6"/>
        <item x="13"/>
        <item x="0"/>
        <item x="17"/>
        <item x="3"/>
        <item x="2"/>
        <item x="7"/>
        <item x="8"/>
        <item x="15"/>
        <item x="16"/>
        <item x="11"/>
        <item x="9"/>
        <item x="1"/>
        <item x="5"/>
        <item x="10"/>
        <item x="12"/>
        <item x="4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23"/>
        <item x="22"/>
        <item x="5"/>
        <item x="9"/>
        <item x="10"/>
        <item x="28"/>
        <item x="32"/>
        <item x="33"/>
        <item x="11"/>
        <item x="15"/>
        <item x="34"/>
        <item x="38"/>
        <item x="1"/>
        <item x="2"/>
        <item x="3"/>
        <item x="4"/>
        <item x="6"/>
        <item x="7"/>
        <item x="8"/>
        <item x="12"/>
        <item x="13"/>
        <item x="14"/>
        <item x="16"/>
        <item x="17"/>
        <item x="18"/>
        <item x="19"/>
        <item x="20"/>
        <item x="21"/>
        <item x="24"/>
        <item x="25"/>
        <item x="26"/>
        <item x="27"/>
        <item x="29"/>
        <item x="30"/>
        <item x="31"/>
        <item x="35"/>
        <item x="36"/>
        <item x="37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1"/>
        <item x="1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3">
    <i>
      <x v="4"/>
    </i>
    <i>
      <x v="5"/>
    </i>
    <i t="grand">
      <x/>
    </i>
  </colItems>
  <dataFields count="1">
    <dataField name="求和项:Sessions-Total" fld="36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C110:AD112" firstHeaderRow="1" firstDataRow="2" firstDataCol="1"/>
  <pivotFields count="59">
    <pivotField compact="0" showAll="0">
      <items count="118">
        <item x="57"/>
        <item x="58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axis="axisRow" compact="0" showAll="0">
      <items count="60">
        <item x="0"/>
        <item x="1"/>
        <item x="2"/>
        <item x="3"/>
        <item x="4"/>
        <item x="58"/>
        <item x="5"/>
        <item x="6"/>
        <item x="5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multipleItemSelectionAllowed="1" showAll="0">
      <items count="7">
        <item h="1" x="2"/>
        <item h="1" x="1"/>
        <item m="1" x="4"/>
        <item m="1" x="5"/>
        <item h="1" x="0"/>
        <item h="1"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2">
        <item x="7"/>
        <item x="6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57"/>
        <item x="56"/>
        <item x="3"/>
        <item x="4"/>
        <item x="5"/>
        <item x="6"/>
        <item x="7"/>
        <item x="8"/>
        <item x="9"/>
        <item x="10"/>
        <item x="11"/>
        <item x="12"/>
        <item x="13"/>
        <item x="61"/>
        <item x="62"/>
        <item x="63"/>
        <item x="64"/>
        <item x="65"/>
        <item x="66"/>
        <item x="67"/>
        <item x="68"/>
        <item x="69"/>
        <item x="70"/>
        <item x="14"/>
        <item x="15"/>
        <item x="16"/>
        <item x="17"/>
        <item x="18"/>
        <item x="19"/>
        <item x="20"/>
        <item x="21"/>
        <item x="71"/>
        <item x="72"/>
        <item x="73"/>
        <item x="74"/>
        <item x="75"/>
        <item x="76"/>
        <item x="77"/>
        <item x="0"/>
        <item x="1"/>
        <item x="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0">
        <item x="2"/>
        <item x="1"/>
        <item x="6"/>
        <item x="5"/>
        <item x="33"/>
        <item x="32"/>
        <item x="0"/>
        <item x="3"/>
        <item x="4"/>
        <item x="7"/>
        <item x="8"/>
        <item x="9"/>
        <item x="10"/>
        <item x="36"/>
        <item x="31"/>
        <item x="3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5"/>
        <item x="37"/>
        <item x="38"/>
        <item t="default"/>
      </items>
    </pivotField>
    <pivotField compact="0" showAll="0">
      <items count="42">
        <item x="2"/>
        <item x="1"/>
        <item x="7"/>
        <item x="5"/>
        <item x="34"/>
        <item x="6"/>
        <item x="4"/>
        <item x="33"/>
        <item x="0"/>
        <item x="3"/>
        <item x="8"/>
        <item x="9"/>
        <item x="10"/>
        <item x="11"/>
        <item x="36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7"/>
        <item x="38"/>
        <item x="39"/>
        <item x="40"/>
        <item t="default"/>
      </items>
    </pivotField>
    <pivotField compact="0" showAll="0">
      <items count="73">
        <item x="45"/>
        <item x="44"/>
        <item x="1"/>
        <item x="2"/>
        <item x="0"/>
        <item x="3"/>
        <item x="4"/>
        <item x="5"/>
        <item x="6"/>
        <item x="7"/>
        <item x="8"/>
        <item x="9"/>
        <item x="10"/>
        <item x="46"/>
        <item x="4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47"/>
        <item x="46"/>
        <item x="1"/>
        <item x="2"/>
        <item x="0"/>
        <item x="3"/>
        <item x="4"/>
        <item x="5"/>
        <item x="6"/>
        <item x="7"/>
        <item x="48"/>
        <item x="8"/>
        <item x="9"/>
        <item x="10"/>
        <item x="11"/>
        <item x="49"/>
        <item x="50"/>
        <item x="5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7"/>
        <item x="6"/>
        <item x="1"/>
        <item x="5"/>
        <item x="2"/>
        <item x="3"/>
        <item x="4"/>
        <item x="8"/>
        <item t="default"/>
      </items>
    </pivotField>
    <pivotField compact="0" showAll="0">
      <items count="23">
        <item x="0"/>
        <item x="14"/>
        <item x="13"/>
        <item x="1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7"/>
        <item x="6"/>
        <item x="1"/>
        <item x="2"/>
        <item x="3"/>
        <item x="4"/>
        <item x="5"/>
        <item x="8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8">
        <item x="26"/>
        <item x="0"/>
        <item x="1"/>
        <item x="9"/>
        <item x="25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11"/>
        <item x="10"/>
        <item x="4"/>
        <item x="1"/>
        <item x="2"/>
        <item x="0"/>
        <item x="3"/>
        <item x="5"/>
        <item x="9"/>
        <item x="7"/>
        <item x="6"/>
        <item x="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27">
        <item x="17"/>
        <item x="0"/>
        <item x="16"/>
        <item x="1"/>
        <item x="18"/>
        <item x="19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compact="0" showAll="0">
      <items count="14">
        <item x="12"/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1">
        <item x="6"/>
        <item x="0"/>
        <item x="5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10">
        <item x="55"/>
        <item x="54"/>
        <item x="1"/>
        <item x="2"/>
        <item x="3"/>
        <item x="4"/>
        <item x="5"/>
        <item x="6"/>
        <item x="7"/>
        <item x="8"/>
        <item x="56"/>
        <item x="57"/>
        <item x="58"/>
        <item x="60"/>
        <item x="62"/>
        <item x="63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61"/>
        <item x="65"/>
        <item x="66"/>
        <item x="68"/>
        <item x="69"/>
        <item x="71"/>
        <item x="72"/>
        <item x="73"/>
        <item x="74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9"/>
        <item x="67"/>
        <item x="70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1"/>
        <item x="50"/>
        <item x="0"/>
        <item x="1"/>
        <item x="2"/>
        <item x="3"/>
        <item x="4"/>
        <item x="53"/>
        <item x="55"/>
        <item x="56"/>
        <item x="57"/>
        <item x="5"/>
        <item x="6"/>
        <item x="7"/>
        <item x="8"/>
        <item x="9"/>
        <item x="10"/>
        <item x="11"/>
        <item x="12"/>
        <item x="13"/>
        <item x="14"/>
        <item x="15"/>
        <item x="54"/>
        <item x="58"/>
        <item x="59"/>
        <item x="61"/>
        <item x="62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60"/>
        <item x="63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8"/>
        <item x="47"/>
        <item x="0"/>
        <item x="1"/>
        <item x="2"/>
        <item x="3"/>
        <item x="4"/>
        <item x="49"/>
        <item x="50"/>
        <item x="52"/>
        <item x="72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18">
        <item x="9"/>
        <item x="0"/>
        <item x="8"/>
        <item x="10"/>
        <item x="11"/>
        <item x="1"/>
        <item x="2"/>
        <item x="3"/>
        <item x="4"/>
        <item x="5"/>
        <item x="6"/>
        <item x="7"/>
        <item x="12"/>
        <item x="13"/>
        <item x="14"/>
        <item x="15"/>
        <item x="16"/>
        <item t="default"/>
      </items>
    </pivotField>
    <pivotField compact="0" showAll="0">
      <items count="65">
        <item x="45"/>
        <item x="48"/>
        <item x="5"/>
        <item x="44"/>
        <item x="6"/>
        <item x="43"/>
        <item x="1"/>
        <item x="2"/>
        <item x="3"/>
        <item x="4"/>
        <item x="7"/>
        <item x="8"/>
        <item x="0"/>
        <item x="46"/>
        <item x="47"/>
        <item x="49"/>
        <item x="50"/>
        <item x="9"/>
        <item x="10"/>
        <item x="11"/>
        <item x="12"/>
        <item x="13"/>
        <item x="14"/>
        <item x="51"/>
        <item x="52"/>
        <item x="5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3"/>
        <item x="53"/>
        <item x="52"/>
        <item x="49"/>
        <item x="55"/>
        <item x="48"/>
        <item x="1"/>
        <item x="2"/>
        <item x="4"/>
        <item x="5"/>
        <item x="6"/>
        <item x="7"/>
        <item x="8"/>
        <item x="9"/>
        <item x="10"/>
        <item x="0"/>
        <item x="50"/>
        <item x="51"/>
        <item x="54"/>
        <item x="56"/>
        <item x="57"/>
        <item x="11"/>
        <item x="12"/>
        <item x="13"/>
        <item x="14"/>
        <item x="15"/>
        <item x="16"/>
        <item x="58"/>
        <item x="59"/>
        <item x="60"/>
        <item x="61"/>
        <item x="6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59"/>
        <item x="52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6"/>
        <item x="57"/>
        <item x="58"/>
        <item x="60"/>
        <item x="61"/>
        <item x="11"/>
        <item x="12"/>
        <item x="13"/>
        <item x="14"/>
        <item x="15"/>
        <item x="16"/>
        <item x="62"/>
        <item x="63"/>
        <item x="64"/>
        <item x="65"/>
        <item x="6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49"/>
        <item x="5"/>
        <item x="48"/>
        <item x="47"/>
        <item x="1"/>
        <item x="2"/>
        <item x="3"/>
        <item x="4"/>
        <item x="6"/>
        <item x="7"/>
        <item x="8"/>
        <item x="9"/>
        <item x="10"/>
        <item x="0"/>
        <item x="50"/>
        <item x="51"/>
        <item x="52"/>
        <item x="53"/>
        <item x="11"/>
        <item x="12"/>
        <item x="13"/>
        <item x="14"/>
        <item x="15"/>
        <item x="16"/>
        <item x="54"/>
        <item x="55"/>
        <item x="56"/>
        <item x="57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56"/>
        <item x="57"/>
        <item x="52"/>
        <item x="58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53"/>
        <item x="51"/>
        <item x="50"/>
        <item x="1"/>
        <item x="2"/>
        <item x="3"/>
        <item x="4"/>
        <item x="5"/>
        <item x="6"/>
        <item x="7"/>
        <item x="8"/>
        <item x="9"/>
        <item x="10"/>
        <item x="0"/>
        <item x="52"/>
        <item x="54"/>
        <item x="55"/>
        <item x="56"/>
        <item x="57"/>
        <item x="58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9"/>
        <item x="0"/>
        <item x="1"/>
        <item x="5"/>
        <item x="6"/>
        <item x="2"/>
        <item x="3"/>
        <item x="4"/>
        <item x="7"/>
        <item x="8"/>
        <item t="default"/>
      </items>
    </pivotField>
    <pivotField compact="0" showAll="0">
      <items count="102">
        <item x="53"/>
        <item x="52"/>
        <item x="1"/>
        <item x="2"/>
        <item x="0"/>
        <item x="3"/>
        <item x="4"/>
        <item x="5"/>
        <item x="6"/>
        <item x="7"/>
        <item x="8"/>
        <item x="9"/>
        <item x="54"/>
        <item x="55"/>
        <item x="56"/>
        <item x="57"/>
        <item x="58"/>
        <item x="59"/>
        <item x="60"/>
        <item x="61"/>
        <item x="10"/>
        <item x="11"/>
        <item x="12"/>
        <item x="13"/>
        <item x="14"/>
        <item x="15"/>
        <item x="62"/>
        <item x="63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1">
        <item x="52"/>
        <item x="51"/>
        <item x="1"/>
        <item x="2"/>
        <item x="0"/>
        <item x="3"/>
        <item x="4"/>
        <item x="5"/>
        <item x="6"/>
        <item x="7"/>
        <item x="8"/>
        <item x="9"/>
        <item x="53"/>
        <item x="54"/>
        <item x="55"/>
        <item x="56"/>
        <item x="57"/>
        <item x="58"/>
        <item x="59"/>
        <item x="60"/>
        <item x="10"/>
        <item x="11"/>
        <item x="12"/>
        <item x="13"/>
        <item x="14"/>
        <item x="15"/>
        <item x="61"/>
        <item x="62"/>
        <item x="63"/>
        <item x="64"/>
        <item x="65"/>
        <item x="6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1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8"/>
        <item x="19"/>
        <item x="10"/>
        <item x="20"/>
        <item x="21"/>
        <item x="9"/>
        <item x="11"/>
        <item x="12"/>
        <item x="17"/>
        <item x="22"/>
        <item x="23"/>
        <item x="24"/>
        <item t="default"/>
      </items>
    </pivotField>
    <pivotField compact="0" showAll="0">
      <items count="36">
        <item x="20"/>
        <item x="11"/>
        <item x="8"/>
        <item x="1"/>
        <item x="21"/>
        <item x="19"/>
        <item x="0"/>
        <item x="2"/>
        <item x="3"/>
        <item x="5"/>
        <item x="6"/>
        <item x="7"/>
        <item x="9"/>
        <item x="16"/>
        <item x="22"/>
        <item x="10"/>
        <item x="25"/>
        <item x="26"/>
        <item x="27"/>
        <item x="28"/>
        <item x="12"/>
        <item x="13"/>
        <item x="14"/>
        <item x="15"/>
        <item x="29"/>
        <item x="30"/>
        <item x="4"/>
        <item x="17"/>
        <item x="18"/>
        <item x="23"/>
        <item x="24"/>
        <item x="31"/>
        <item x="32"/>
        <item x="33"/>
        <item x="34"/>
        <item t="default"/>
      </items>
    </pivotField>
    <pivotField compact="0" showAll="0">
      <items count="41">
        <item x="0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24"/>
        <item x="25"/>
        <item x="27"/>
        <item x="28"/>
        <item x="29"/>
        <item x="30"/>
        <item x="31"/>
        <item x="13"/>
        <item x="12"/>
        <item x="14"/>
        <item x="15"/>
        <item x="16"/>
        <item x="17"/>
        <item x="18"/>
        <item x="19"/>
        <item x="33"/>
        <item x="34"/>
        <item x="20"/>
        <item x="26"/>
        <item x="32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8"/>
        <item x="17"/>
        <item x="8"/>
        <item x="3"/>
        <item x="5"/>
        <item x="7"/>
        <item x="9"/>
        <item x="19"/>
        <item x="21"/>
        <item x="22"/>
        <item x="23"/>
        <item x="24"/>
        <item x="25"/>
        <item x="26"/>
        <item x="1"/>
        <item x="6"/>
        <item x="10"/>
        <item x="11"/>
        <item x="14"/>
        <item x="15"/>
        <item x="28"/>
        <item x="2"/>
        <item x="4"/>
        <item x="12"/>
        <item x="13"/>
        <item x="16"/>
        <item x="20"/>
        <item x="27"/>
        <item x="29"/>
        <item x="30"/>
        <item x="31"/>
        <item x="32"/>
        <item x="33"/>
        <item t="default"/>
      </items>
    </pivotField>
    <pivotField compact="0" showAll="0">
      <items count="37">
        <item x="19"/>
        <item x="18"/>
        <item x="0"/>
        <item x="2"/>
        <item x="4"/>
        <item x="6"/>
        <item x="8"/>
        <item x="9"/>
        <item x="10"/>
        <item x="20"/>
        <item x="22"/>
        <item x="23"/>
        <item x="24"/>
        <item x="25"/>
        <item x="26"/>
        <item x="27"/>
        <item x="1"/>
        <item x="7"/>
        <item x="11"/>
        <item x="12"/>
        <item x="15"/>
        <item x="16"/>
        <item x="29"/>
        <item x="30"/>
        <item x="3"/>
        <item x="5"/>
        <item x="13"/>
        <item x="14"/>
        <item x="17"/>
        <item x="21"/>
        <item x="28"/>
        <item x="31"/>
        <item x="32"/>
        <item x="33"/>
        <item x="34"/>
        <item x="35"/>
        <item t="default"/>
      </items>
    </pivotField>
    <pivotField compact="0" showAll="0">
      <items count="43"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4"/>
        <item x="25"/>
        <item x="27"/>
        <item x="28"/>
        <item x="29"/>
        <item x="30"/>
        <item x="31"/>
        <item x="32"/>
        <item x="33"/>
        <item x="12"/>
        <item x="13"/>
        <item x="14"/>
        <item x="15"/>
        <item x="16"/>
        <item x="18"/>
        <item x="19"/>
        <item x="35"/>
        <item x="36"/>
        <item x="17"/>
        <item x="20"/>
        <item x="21"/>
        <item x="26"/>
        <item x="34"/>
        <item x="37"/>
        <item x="38"/>
        <item x="39"/>
        <item x="40"/>
        <item x="41"/>
        <item t="default"/>
      </items>
    </pivotField>
    <pivotField compact="0" showAll="0">
      <items count="23">
        <item x="11"/>
        <item x="6"/>
        <item x="5"/>
        <item x="2"/>
        <item x="10"/>
        <item x="0"/>
        <item x="3"/>
        <item x="4"/>
        <item x="12"/>
        <item x="13"/>
        <item x="14"/>
        <item x="1"/>
        <item x="15"/>
        <item x="7"/>
        <item x="16"/>
        <item x="8"/>
        <item x="9"/>
        <item x="17"/>
        <item x="18"/>
        <item x="19"/>
        <item x="20"/>
        <item x="21"/>
        <item t="default"/>
      </items>
    </pivotField>
    <pivotField compact="0" showAll="0">
      <items count="35">
        <item x="17"/>
        <item x="0"/>
        <item x="3"/>
        <item x="5"/>
        <item x="7"/>
        <item x="8"/>
        <item x="9"/>
        <item x="18"/>
        <item x="20"/>
        <item x="21"/>
        <item x="22"/>
        <item x="23"/>
        <item x="24"/>
        <item x="25"/>
        <item x="1"/>
        <item x="6"/>
        <item x="10"/>
        <item x="11"/>
        <item x="14"/>
        <item x="15"/>
        <item x="27"/>
        <item x="28"/>
        <item x="2"/>
        <item x="4"/>
        <item x="12"/>
        <item x="13"/>
        <item x="16"/>
        <item x="19"/>
        <item x="26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23"/>
        <item x="22"/>
        <item x="2"/>
        <item x="3"/>
        <item x="5"/>
        <item x="6"/>
        <item x="8"/>
        <item x="9"/>
        <item x="10"/>
        <item x="25"/>
        <item x="28"/>
        <item x="32"/>
        <item x="33"/>
        <item x="1"/>
        <item x="11"/>
        <item x="14"/>
        <item x="15"/>
        <item x="24"/>
        <item x="31"/>
        <item x="34"/>
        <item x="4"/>
        <item x="7"/>
        <item x="12"/>
        <item x="13"/>
        <item x="16"/>
        <item x="17"/>
        <item x="18"/>
        <item x="19"/>
        <item x="20"/>
        <item x="21"/>
        <item x="26"/>
        <item x="27"/>
        <item x="29"/>
        <item x="30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7"/>
        <item x="6"/>
        <item x="4"/>
        <item x="3"/>
        <item x="2"/>
        <item x="1"/>
        <item x="5"/>
        <item x="8"/>
        <item x="9"/>
        <item x="10"/>
        <item x="11"/>
        <item t="default"/>
      </items>
    </pivotField>
    <pivotField compact="0" showAll="0">
      <items count="11">
        <item x="0"/>
        <item x="3"/>
        <item x="2"/>
        <item x="7"/>
        <item x="4"/>
        <item x="1"/>
        <item x="6"/>
        <item x="5"/>
        <item x="8"/>
        <item x="9"/>
        <item t="default"/>
      </items>
    </pivotField>
    <pivotField compact="0" showAll="0">
      <items count="25">
        <item x="13"/>
        <item x="8"/>
        <item x="7"/>
        <item x="12"/>
        <item x="0"/>
        <item x="5"/>
        <item x="2"/>
        <item x="4"/>
        <item x="6"/>
        <item x="14"/>
        <item x="15"/>
        <item x="1"/>
        <item x="16"/>
        <item x="17"/>
        <item x="9"/>
        <item x="18"/>
        <item x="3"/>
        <item x="10"/>
        <item x="11"/>
        <item x="19"/>
        <item x="20"/>
        <item x="21"/>
        <item x="22"/>
        <item x="23"/>
        <item t="default"/>
      </items>
    </pivotField>
    <pivotField compact="0" showAll="0">
      <items count="24">
        <item x="14"/>
        <item x="6"/>
        <item x="13"/>
        <item x="0"/>
        <item x="17"/>
        <item x="3"/>
        <item x="2"/>
        <item x="7"/>
        <item x="8"/>
        <item x="15"/>
        <item x="16"/>
        <item x="11"/>
        <item x="9"/>
        <item x="1"/>
        <item x="5"/>
        <item x="10"/>
        <item x="12"/>
        <item x="4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23"/>
        <item x="22"/>
        <item x="5"/>
        <item x="9"/>
        <item x="10"/>
        <item x="28"/>
        <item x="32"/>
        <item x="33"/>
        <item x="11"/>
        <item x="15"/>
        <item x="34"/>
        <item x="38"/>
        <item x="1"/>
        <item x="2"/>
        <item x="3"/>
        <item x="4"/>
        <item x="6"/>
        <item x="7"/>
        <item x="8"/>
        <item x="12"/>
        <item x="13"/>
        <item x="14"/>
        <item x="16"/>
        <item x="17"/>
        <item x="18"/>
        <item x="19"/>
        <item x="20"/>
        <item x="21"/>
        <item x="24"/>
        <item x="25"/>
        <item x="26"/>
        <item x="27"/>
        <item x="29"/>
        <item x="30"/>
        <item x="31"/>
        <item x="35"/>
        <item x="36"/>
        <item x="37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1"/>
        <item x="1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1">
    <i t="grand">
      <x/>
    </i>
  </rowItems>
  <colFields count="1">
    <field x="4"/>
  </colFields>
  <colItems count="1">
    <i t="grand">
      <x/>
    </i>
  </colItems>
  <dataFields count="1">
    <dataField name="求和项:销量CVR" fld="42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76:D135" firstHeaderRow="1" firstDataRow="2" firstDataCol="1"/>
  <pivotFields count="59"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Sessions-Total" fld="3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H76:K135" firstHeaderRow="1" firstDataRow="2" firstDataCol="1"/>
  <pivotFields count="59">
    <pivotField compact="0" showAll="0">
      <items count="118">
        <item x="57"/>
        <item x="0"/>
        <item x="59"/>
        <item x="1"/>
        <item x="60"/>
        <item x="2"/>
        <item x="61"/>
        <item x="3"/>
        <item x="62"/>
        <item x="4"/>
        <item x="63"/>
        <item x="5"/>
        <item x="64"/>
        <item x="6"/>
        <item x="65"/>
        <item x="7"/>
        <item x="66"/>
        <item x="8"/>
        <item x="67"/>
        <item x="9"/>
        <item x="68"/>
        <item x="10"/>
        <item x="69"/>
        <item x="11"/>
        <item x="70"/>
        <item x="12"/>
        <item x="71"/>
        <item x="13"/>
        <item x="72"/>
        <item x="14"/>
        <item x="73"/>
        <item x="15"/>
        <item x="74"/>
        <item x="16"/>
        <item x="75"/>
        <item x="17"/>
        <item x="76"/>
        <item x="18"/>
        <item x="77"/>
        <item x="19"/>
        <item x="78"/>
        <item x="20"/>
        <item x="79"/>
        <item x="21"/>
        <item x="80"/>
        <item x="22"/>
        <item x="81"/>
        <item x="23"/>
        <item x="82"/>
        <item x="24"/>
        <item x="83"/>
        <item x="25"/>
        <item x="84"/>
        <item x="26"/>
        <item x="85"/>
        <item x="27"/>
        <item x="86"/>
        <item x="28"/>
        <item x="87"/>
        <item x="29"/>
        <item x="88"/>
        <item x="30"/>
        <item x="89"/>
        <item x="31"/>
        <item x="90"/>
        <item x="32"/>
        <item x="91"/>
        <item x="33"/>
        <item x="92"/>
        <item x="34"/>
        <item x="93"/>
        <item x="35"/>
        <item x="94"/>
        <item x="36"/>
        <item x="95"/>
        <item x="37"/>
        <item x="96"/>
        <item x="38"/>
        <item x="97"/>
        <item x="39"/>
        <item x="98"/>
        <item x="40"/>
        <item x="99"/>
        <item x="41"/>
        <item x="100"/>
        <item x="42"/>
        <item x="101"/>
        <item x="43"/>
        <item x="102"/>
        <item x="44"/>
        <item x="103"/>
        <item x="45"/>
        <item x="104"/>
        <item x="46"/>
        <item x="105"/>
        <item x="47"/>
        <item x="106"/>
        <item x="48"/>
        <item x="107"/>
        <item x="49"/>
        <item x="108"/>
        <item x="50"/>
        <item x="109"/>
        <item x="51"/>
        <item x="110"/>
        <item x="52"/>
        <item x="111"/>
        <item x="53"/>
        <item x="112"/>
        <item x="54"/>
        <item x="113"/>
        <item x="55"/>
        <item x="114"/>
        <item x="56"/>
        <item x="115"/>
        <item x="58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销量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N76:Q135" firstHeaderRow="1" firstDataRow="2" firstDataCol="1"/>
  <pivotFields count="59">
    <pivotField compact="0" showAll="0">
      <items count="118">
        <item x="57"/>
        <item x="0"/>
        <item x="59"/>
        <item x="1"/>
        <item x="60"/>
        <item x="2"/>
        <item x="61"/>
        <item x="3"/>
        <item x="62"/>
        <item x="4"/>
        <item x="63"/>
        <item x="5"/>
        <item x="64"/>
        <item x="6"/>
        <item x="65"/>
        <item x="7"/>
        <item x="66"/>
        <item x="8"/>
        <item x="67"/>
        <item x="9"/>
        <item x="68"/>
        <item x="10"/>
        <item x="69"/>
        <item x="11"/>
        <item x="70"/>
        <item x="12"/>
        <item x="71"/>
        <item x="13"/>
        <item x="72"/>
        <item x="14"/>
        <item x="73"/>
        <item x="15"/>
        <item x="74"/>
        <item x="16"/>
        <item x="75"/>
        <item x="17"/>
        <item x="76"/>
        <item x="18"/>
        <item x="77"/>
        <item x="19"/>
        <item x="78"/>
        <item x="20"/>
        <item x="79"/>
        <item x="21"/>
        <item x="80"/>
        <item x="22"/>
        <item x="81"/>
        <item x="23"/>
        <item x="82"/>
        <item x="24"/>
        <item x="83"/>
        <item x="25"/>
        <item x="84"/>
        <item x="26"/>
        <item x="85"/>
        <item x="27"/>
        <item x="86"/>
        <item x="28"/>
        <item x="87"/>
        <item x="29"/>
        <item x="88"/>
        <item x="30"/>
        <item x="89"/>
        <item x="31"/>
        <item x="90"/>
        <item x="32"/>
        <item x="91"/>
        <item x="33"/>
        <item x="92"/>
        <item x="34"/>
        <item x="93"/>
        <item x="35"/>
        <item x="94"/>
        <item x="36"/>
        <item x="95"/>
        <item x="37"/>
        <item x="96"/>
        <item x="38"/>
        <item x="97"/>
        <item x="39"/>
        <item x="98"/>
        <item x="40"/>
        <item x="99"/>
        <item x="41"/>
        <item x="100"/>
        <item x="42"/>
        <item x="101"/>
        <item x="43"/>
        <item x="102"/>
        <item x="44"/>
        <item x="103"/>
        <item x="45"/>
        <item x="104"/>
        <item x="46"/>
        <item x="105"/>
        <item x="47"/>
        <item x="106"/>
        <item x="48"/>
        <item x="107"/>
        <item x="49"/>
        <item x="108"/>
        <item x="50"/>
        <item x="109"/>
        <item x="51"/>
        <item x="110"/>
        <item x="52"/>
        <item x="111"/>
        <item x="53"/>
        <item x="112"/>
        <item x="54"/>
        <item x="113"/>
        <item x="55"/>
        <item x="114"/>
        <item x="56"/>
        <item x="115"/>
        <item x="58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销量CVR" fld="42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9"/>
  <sheetViews>
    <sheetView zoomScale="60" zoomScaleNormal="60" topLeftCell="A91" workbookViewId="0">
      <selection activeCell="BY9" sqref="BY9"/>
    </sheetView>
  </sheetViews>
  <sheetFormatPr defaultColWidth="9" defaultRowHeight="15.6"/>
  <cols>
    <col min="1" max="1" width="28.9166666666667" style="314" customWidth="1"/>
    <col min="2" max="2" width="46.25" style="314" customWidth="1"/>
    <col min="3" max="8" width="5.63333333333333" style="314" customWidth="1"/>
    <col min="9" max="9" width="5.63333333333333" style="315" customWidth="1"/>
    <col min="10" max="14" width="5.63333333333333" style="314" customWidth="1"/>
    <col min="15" max="16" width="5.63333333333333" style="316" customWidth="1"/>
    <col min="17" max="21" width="5.63333333333333" style="314" customWidth="1"/>
    <col min="22" max="30" width="5.63333333333333" style="316" customWidth="1"/>
    <col min="31" max="36" width="5.63333333333333" style="314" customWidth="1"/>
    <col min="37" max="37" width="5.63333333333333" style="316" customWidth="1"/>
    <col min="38" max="42" width="5.63333333333333" style="314" customWidth="1"/>
    <col min="43" max="44" width="5.63333333333333" style="316" customWidth="1"/>
    <col min="45" max="50" width="5.63333333333333" style="314" customWidth="1"/>
    <col min="51" max="51" width="5.63333333333333" style="316" customWidth="1"/>
    <col min="52" max="52" width="5.63333333333333" style="314" customWidth="1"/>
    <col min="53" max="56" width="5.53333333333333" style="314" customWidth="1"/>
    <col min="57" max="58" width="5.53333333333333" style="316" customWidth="1"/>
    <col min="59" max="64" width="5.53333333333333" style="314" customWidth="1"/>
    <col min="65" max="65" width="5.53333333333333" style="316" customWidth="1"/>
    <col min="66" max="70" width="5.53333333333333" style="314" customWidth="1"/>
    <col min="71" max="72" width="5.53333333333333" style="316" customWidth="1"/>
    <col min="73" max="74" width="5.53333333333333" style="314" customWidth="1"/>
    <col min="75" max="216" width="9" style="314"/>
    <col min="217" max="217" width="21.6666666666667" style="314" customWidth="1"/>
    <col min="218" max="218" width="30.2166666666667" style="314" customWidth="1"/>
    <col min="219" max="219" width="6" style="314" customWidth="1"/>
    <col min="220" max="228" width="4.66666666666667" style="314" customWidth="1"/>
    <col min="229" max="229" width="3.88333333333333" style="314" customWidth="1"/>
    <col min="230" max="237" width="4.66666666666667" style="314" customWidth="1"/>
    <col min="238" max="238" width="4.775" style="314" customWidth="1"/>
    <col min="239" max="247" width="4.66666666666667" style="314" customWidth="1"/>
    <col min="248" max="248" width="3.55833333333333" style="314" customWidth="1"/>
    <col min="249" max="249" width="5.66666666666667" style="314" customWidth="1"/>
    <col min="250" max="250" width="6.775" style="314" customWidth="1"/>
    <col min="251" max="251" width="4.66666666666667" style="314" customWidth="1"/>
    <col min="252" max="252" width="5.66666666666667" style="314" customWidth="1"/>
    <col min="253" max="254" width="4.66666666666667" style="314" customWidth="1"/>
    <col min="255" max="255" width="30.6666666666667" style="314" customWidth="1"/>
    <col min="256" max="256" width="36.2166666666667" style="314" customWidth="1"/>
    <col min="257" max="472" width="9" style="314"/>
    <col min="473" max="473" width="21.6666666666667" style="314" customWidth="1"/>
    <col min="474" max="474" width="30.2166666666667" style="314" customWidth="1"/>
    <col min="475" max="475" width="6" style="314" customWidth="1"/>
    <col min="476" max="484" width="4.66666666666667" style="314" customWidth="1"/>
    <col min="485" max="485" width="3.88333333333333" style="314" customWidth="1"/>
    <col min="486" max="493" width="4.66666666666667" style="314" customWidth="1"/>
    <col min="494" max="494" width="4.775" style="314" customWidth="1"/>
    <col min="495" max="503" width="4.66666666666667" style="314" customWidth="1"/>
    <col min="504" max="504" width="3.55833333333333" style="314" customWidth="1"/>
    <col min="505" max="505" width="5.66666666666667" style="314" customWidth="1"/>
    <col min="506" max="506" width="6.775" style="314" customWidth="1"/>
    <col min="507" max="507" width="4.66666666666667" style="314" customWidth="1"/>
    <col min="508" max="508" width="5.66666666666667" style="314" customWidth="1"/>
    <col min="509" max="510" width="4.66666666666667" style="314" customWidth="1"/>
    <col min="511" max="511" width="30.6666666666667" style="314" customWidth="1"/>
    <col min="512" max="512" width="36.2166666666667" style="314" customWidth="1"/>
    <col min="513" max="728" width="9" style="314"/>
    <col min="729" max="729" width="21.6666666666667" style="314" customWidth="1"/>
    <col min="730" max="730" width="30.2166666666667" style="314" customWidth="1"/>
    <col min="731" max="731" width="6" style="314" customWidth="1"/>
    <col min="732" max="740" width="4.66666666666667" style="314" customWidth="1"/>
    <col min="741" max="741" width="3.88333333333333" style="314" customWidth="1"/>
    <col min="742" max="749" width="4.66666666666667" style="314" customWidth="1"/>
    <col min="750" max="750" width="4.775" style="314" customWidth="1"/>
    <col min="751" max="759" width="4.66666666666667" style="314" customWidth="1"/>
    <col min="760" max="760" width="3.55833333333333" style="314" customWidth="1"/>
    <col min="761" max="761" width="5.66666666666667" style="314" customWidth="1"/>
    <col min="762" max="762" width="6.775" style="314" customWidth="1"/>
    <col min="763" max="763" width="4.66666666666667" style="314" customWidth="1"/>
    <col min="764" max="764" width="5.66666666666667" style="314" customWidth="1"/>
    <col min="765" max="766" width="4.66666666666667" style="314" customWidth="1"/>
    <col min="767" max="767" width="30.6666666666667" style="314" customWidth="1"/>
    <col min="768" max="768" width="36.2166666666667" style="314" customWidth="1"/>
    <col min="769" max="984" width="9" style="314"/>
    <col min="985" max="985" width="21.6666666666667" style="314" customWidth="1"/>
    <col min="986" max="986" width="30.2166666666667" style="314" customWidth="1"/>
    <col min="987" max="987" width="6" style="314" customWidth="1"/>
    <col min="988" max="996" width="4.66666666666667" style="314" customWidth="1"/>
    <col min="997" max="997" width="3.88333333333333" style="314" customWidth="1"/>
    <col min="998" max="1005" width="4.66666666666667" style="314" customWidth="1"/>
    <col min="1006" max="1006" width="4.775" style="314" customWidth="1"/>
    <col min="1007" max="1015" width="4.66666666666667" style="314" customWidth="1"/>
    <col min="1016" max="1016" width="3.55833333333333" style="314" customWidth="1"/>
    <col min="1017" max="1017" width="5.66666666666667" style="314" customWidth="1"/>
    <col min="1018" max="1018" width="6.775" style="314" customWidth="1"/>
    <col min="1019" max="1019" width="4.66666666666667" style="314" customWidth="1"/>
    <col min="1020" max="1020" width="5.66666666666667" style="314" customWidth="1"/>
    <col min="1021" max="1022" width="4.66666666666667" style="314" customWidth="1"/>
    <col min="1023" max="1023" width="30.6666666666667" style="314" customWidth="1"/>
    <col min="1024" max="1024" width="36.2166666666667" style="314" customWidth="1"/>
    <col min="1025" max="1240" width="9" style="314"/>
    <col min="1241" max="1241" width="21.6666666666667" style="314" customWidth="1"/>
    <col min="1242" max="1242" width="30.2166666666667" style="314" customWidth="1"/>
    <col min="1243" max="1243" width="6" style="314" customWidth="1"/>
    <col min="1244" max="1252" width="4.66666666666667" style="314" customWidth="1"/>
    <col min="1253" max="1253" width="3.88333333333333" style="314" customWidth="1"/>
    <col min="1254" max="1261" width="4.66666666666667" style="314" customWidth="1"/>
    <col min="1262" max="1262" width="4.775" style="314" customWidth="1"/>
    <col min="1263" max="1271" width="4.66666666666667" style="314" customWidth="1"/>
    <col min="1272" max="1272" width="3.55833333333333" style="314" customWidth="1"/>
    <col min="1273" max="1273" width="5.66666666666667" style="314" customWidth="1"/>
    <col min="1274" max="1274" width="6.775" style="314" customWidth="1"/>
    <col min="1275" max="1275" width="4.66666666666667" style="314" customWidth="1"/>
    <col min="1276" max="1276" width="5.66666666666667" style="314" customWidth="1"/>
    <col min="1277" max="1278" width="4.66666666666667" style="314" customWidth="1"/>
    <col min="1279" max="1279" width="30.6666666666667" style="314" customWidth="1"/>
    <col min="1280" max="1280" width="36.2166666666667" style="314" customWidth="1"/>
    <col min="1281" max="1496" width="9" style="314"/>
    <col min="1497" max="1497" width="21.6666666666667" style="314" customWidth="1"/>
    <col min="1498" max="1498" width="30.2166666666667" style="314" customWidth="1"/>
    <col min="1499" max="1499" width="6" style="314" customWidth="1"/>
    <col min="1500" max="1508" width="4.66666666666667" style="314" customWidth="1"/>
    <col min="1509" max="1509" width="3.88333333333333" style="314" customWidth="1"/>
    <col min="1510" max="1517" width="4.66666666666667" style="314" customWidth="1"/>
    <col min="1518" max="1518" width="4.775" style="314" customWidth="1"/>
    <col min="1519" max="1527" width="4.66666666666667" style="314" customWidth="1"/>
    <col min="1528" max="1528" width="3.55833333333333" style="314" customWidth="1"/>
    <col min="1529" max="1529" width="5.66666666666667" style="314" customWidth="1"/>
    <col min="1530" max="1530" width="6.775" style="314" customWidth="1"/>
    <col min="1531" max="1531" width="4.66666666666667" style="314" customWidth="1"/>
    <col min="1532" max="1532" width="5.66666666666667" style="314" customWidth="1"/>
    <col min="1533" max="1534" width="4.66666666666667" style="314" customWidth="1"/>
    <col min="1535" max="1535" width="30.6666666666667" style="314" customWidth="1"/>
    <col min="1536" max="1536" width="36.2166666666667" style="314" customWidth="1"/>
    <col min="1537" max="1752" width="9" style="314"/>
    <col min="1753" max="1753" width="21.6666666666667" style="314" customWidth="1"/>
    <col min="1754" max="1754" width="30.2166666666667" style="314" customWidth="1"/>
    <col min="1755" max="1755" width="6" style="314" customWidth="1"/>
    <col min="1756" max="1764" width="4.66666666666667" style="314" customWidth="1"/>
    <col min="1765" max="1765" width="3.88333333333333" style="314" customWidth="1"/>
    <col min="1766" max="1773" width="4.66666666666667" style="314" customWidth="1"/>
    <col min="1774" max="1774" width="4.775" style="314" customWidth="1"/>
    <col min="1775" max="1783" width="4.66666666666667" style="314" customWidth="1"/>
    <col min="1784" max="1784" width="3.55833333333333" style="314" customWidth="1"/>
    <col min="1785" max="1785" width="5.66666666666667" style="314" customWidth="1"/>
    <col min="1786" max="1786" width="6.775" style="314" customWidth="1"/>
    <col min="1787" max="1787" width="4.66666666666667" style="314" customWidth="1"/>
    <col min="1788" max="1788" width="5.66666666666667" style="314" customWidth="1"/>
    <col min="1789" max="1790" width="4.66666666666667" style="314" customWidth="1"/>
    <col min="1791" max="1791" width="30.6666666666667" style="314" customWidth="1"/>
    <col min="1792" max="1792" width="36.2166666666667" style="314" customWidth="1"/>
    <col min="1793" max="2008" width="9" style="314"/>
    <col min="2009" max="2009" width="21.6666666666667" style="314" customWidth="1"/>
    <col min="2010" max="2010" width="30.2166666666667" style="314" customWidth="1"/>
    <col min="2011" max="2011" width="6" style="314" customWidth="1"/>
    <col min="2012" max="2020" width="4.66666666666667" style="314" customWidth="1"/>
    <col min="2021" max="2021" width="3.88333333333333" style="314" customWidth="1"/>
    <col min="2022" max="2029" width="4.66666666666667" style="314" customWidth="1"/>
    <col min="2030" max="2030" width="4.775" style="314" customWidth="1"/>
    <col min="2031" max="2039" width="4.66666666666667" style="314" customWidth="1"/>
    <col min="2040" max="2040" width="3.55833333333333" style="314" customWidth="1"/>
    <col min="2041" max="2041" width="5.66666666666667" style="314" customWidth="1"/>
    <col min="2042" max="2042" width="6.775" style="314" customWidth="1"/>
    <col min="2043" max="2043" width="4.66666666666667" style="314" customWidth="1"/>
    <col min="2044" max="2044" width="5.66666666666667" style="314" customWidth="1"/>
    <col min="2045" max="2046" width="4.66666666666667" style="314" customWidth="1"/>
    <col min="2047" max="2047" width="30.6666666666667" style="314" customWidth="1"/>
    <col min="2048" max="2048" width="36.2166666666667" style="314" customWidth="1"/>
    <col min="2049" max="2264" width="9" style="314"/>
    <col min="2265" max="2265" width="21.6666666666667" style="314" customWidth="1"/>
    <col min="2266" max="2266" width="30.2166666666667" style="314" customWidth="1"/>
    <col min="2267" max="2267" width="6" style="314" customWidth="1"/>
    <col min="2268" max="2276" width="4.66666666666667" style="314" customWidth="1"/>
    <col min="2277" max="2277" width="3.88333333333333" style="314" customWidth="1"/>
    <col min="2278" max="2285" width="4.66666666666667" style="314" customWidth="1"/>
    <col min="2286" max="2286" width="4.775" style="314" customWidth="1"/>
    <col min="2287" max="2295" width="4.66666666666667" style="314" customWidth="1"/>
    <col min="2296" max="2296" width="3.55833333333333" style="314" customWidth="1"/>
    <col min="2297" max="2297" width="5.66666666666667" style="314" customWidth="1"/>
    <col min="2298" max="2298" width="6.775" style="314" customWidth="1"/>
    <col min="2299" max="2299" width="4.66666666666667" style="314" customWidth="1"/>
    <col min="2300" max="2300" width="5.66666666666667" style="314" customWidth="1"/>
    <col min="2301" max="2302" width="4.66666666666667" style="314" customWidth="1"/>
    <col min="2303" max="2303" width="30.6666666666667" style="314" customWidth="1"/>
    <col min="2304" max="2304" width="36.2166666666667" style="314" customWidth="1"/>
    <col min="2305" max="2520" width="9" style="314"/>
    <col min="2521" max="2521" width="21.6666666666667" style="314" customWidth="1"/>
    <col min="2522" max="2522" width="30.2166666666667" style="314" customWidth="1"/>
    <col min="2523" max="2523" width="6" style="314" customWidth="1"/>
    <col min="2524" max="2532" width="4.66666666666667" style="314" customWidth="1"/>
    <col min="2533" max="2533" width="3.88333333333333" style="314" customWidth="1"/>
    <col min="2534" max="2541" width="4.66666666666667" style="314" customWidth="1"/>
    <col min="2542" max="2542" width="4.775" style="314" customWidth="1"/>
    <col min="2543" max="2551" width="4.66666666666667" style="314" customWidth="1"/>
    <col min="2552" max="2552" width="3.55833333333333" style="314" customWidth="1"/>
    <col min="2553" max="2553" width="5.66666666666667" style="314" customWidth="1"/>
    <col min="2554" max="2554" width="6.775" style="314" customWidth="1"/>
    <col min="2555" max="2555" width="4.66666666666667" style="314" customWidth="1"/>
    <col min="2556" max="2556" width="5.66666666666667" style="314" customWidth="1"/>
    <col min="2557" max="2558" width="4.66666666666667" style="314" customWidth="1"/>
    <col min="2559" max="2559" width="30.6666666666667" style="314" customWidth="1"/>
    <col min="2560" max="2560" width="36.2166666666667" style="314" customWidth="1"/>
    <col min="2561" max="2776" width="9" style="314"/>
    <col min="2777" max="2777" width="21.6666666666667" style="314" customWidth="1"/>
    <col min="2778" max="2778" width="30.2166666666667" style="314" customWidth="1"/>
    <col min="2779" max="2779" width="6" style="314" customWidth="1"/>
    <col min="2780" max="2788" width="4.66666666666667" style="314" customWidth="1"/>
    <col min="2789" max="2789" width="3.88333333333333" style="314" customWidth="1"/>
    <col min="2790" max="2797" width="4.66666666666667" style="314" customWidth="1"/>
    <col min="2798" max="2798" width="4.775" style="314" customWidth="1"/>
    <col min="2799" max="2807" width="4.66666666666667" style="314" customWidth="1"/>
    <col min="2808" max="2808" width="3.55833333333333" style="314" customWidth="1"/>
    <col min="2809" max="2809" width="5.66666666666667" style="314" customWidth="1"/>
    <col min="2810" max="2810" width="6.775" style="314" customWidth="1"/>
    <col min="2811" max="2811" width="4.66666666666667" style="314" customWidth="1"/>
    <col min="2812" max="2812" width="5.66666666666667" style="314" customWidth="1"/>
    <col min="2813" max="2814" width="4.66666666666667" style="314" customWidth="1"/>
    <col min="2815" max="2815" width="30.6666666666667" style="314" customWidth="1"/>
    <col min="2816" max="2816" width="36.2166666666667" style="314" customWidth="1"/>
    <col min="2817" max="3032" width="9" style="314"/>
    <col min="3033" max="3033" width="21.6666666666667" style="314" customWidth="1"/>
    <col min="3034" max="3034" width="30.2166666666667" style="314" customWidth="1"/>
    <col min="3035" max="3035" width="6" style="314" customWidth="1"/>
    <col min="3036" max="3044" width="4.66666666666667" style="314" customWidth="1"/>
    <col min="3045" max="3045" width="3.88333333333333" style="314" customWidth="1"/>
    <col min="3046" max="3053" width="4.66666666666667" style="314" customWidth="1"/>
    <col min="3054" max="3054" width="4.775" style="314" customWidth="1"/>
    <col min="3055" max="3063" width="4.66666666666667" style="314" customWidth="1"/>
    <col min="3064" max="3064" width="3.55833333333333" style="314" customWidth="1"/>
    <col min="3065" max="3065" width="5.66666666666667" style="314" customWidth="1"/>
    <col min="3066" max="3066" width="6.775" style="314" customWidth="1"/>
    <col min="3067" max="3067" width="4.66666666666667" style="314" customWidth="1"/>
    <col min="3068" max="3068" width="5.66666666666667" style="314" customWidth="1"/>
    <col min="3069" max="3070" width="4.66666666666667" style="314" customWidth="1"/>
    <col min="3071" max="3071" width="30.6666666666667" style="314" customWidth="1"/>
    <col min="3072" max="3072" width="36.2166666666667" style="314" customWidth="1"/>
    <col min="3073" max="3288" width="9" style="314"/>
    <col min="3289" max="3289" width="21.6666666666667" style="314" customWidth="1"/>
    <col min="3290" max="3290" width="30.2166666666667" style="314" customWidth="1"/>
    <col min="3291" max="3291" width="6" style="314" customWidth="1"/>
    <col min="3292" max="3300" width="4.66666666666667" style="314" customWidth="1"/>
    <col min="3301" max="3301" width="3.88333333333333" style="314" customWidth="1"/>
    <col min="3302" max="3309" width="4.66666666666667" style="314" customWidth="1"/>
    <col min="3310" max="3310" width="4.775" style="314" customWidth="1"/>
    <col min="3311" max="3319" width="4.66666666666667" style="314" customWidth="1"/>
    <col min="3320" max="3320" width="3.55833333333333" style="314" customWidth="1"/>
    <col min="3321" max="3321" width="5.66666666666667" style="314" customWidth="1"/>
    <col min="3322" max="3322" width="6.775" style="314" customWidth="1"/>
    <col min="3323" max="3323" width="4.66666666666667" style="314" customWidth="1"/>
    <col min="3324" max="3324" width="5.66666666666667" style="314" customWidth="1"/>
    <col min="3325" max="3326" width="4.66666666666667" style="314" customWidth="1"/>
    <col min="3327" max="3327" width="30.6666666666667" style="314" customWidth="1"/>
    <col min="3328" max="3328" width="36.2166666666667" style="314" customWidth="1"/>
    <col min="3329" max="3544" width="9" style="314"/>
    <col min="3545" max="3545" width="21.6666666666667" style="314" customWidth="1"/>
    <col min="3546" max="3546" width="30.2166666666667" style="314" customWidth="1"/>
    <col min="3547" max="3547" width="6" style="314" customWidth="1"/>
    <col min="3548" max="3556" width="4.66666666666667" style="314" customWidth="1"/>
    <col min="3557" max="3557" width="3.88333333333333" style="314" customWidth="1"/>
    <col min="3558" max="3565" width="4.66666666666667" style="314" customWidth="1"/>
    <col min="3566" max="3566" width="4.775" style="314" customWidth="1"/>
    <col min="3567" max="3575" width="4.66666666666667" style="314" customWidth="1"/>
    <col min="3576" max="3576" width="3.55833333333333" style="314" customWidth="1"/>
    <col min="3577" max="3577" width="5.66666666666667" style="314" customWidth="1"/>
    <col min="3578" max="3578" width="6.775" style="314" customWidth="1"/>
    <col min="3579" max="3579" width="4.66666666666667" style="314" customWidth="1"/>
    <col min="3580" max="3580" width="5.66666666666667" style="314" customWidth="1"/>
    <col min="3581" max="3582" width="4.66666666666667" style="314" customWidth="1"/>
    <col min="3583" max="3583" width="30.6666666666667" style="314" customWidth="1"/>
    <col min="3584" max="3584" width="36.2166666666667" style="314" customWidth="1"/>
    <col min="3585" max="3800" width="9" style="314"/>
    <col min="3801" max="3801" width="21.6666666666667" style="314" customWidth="1"/>
    <col min="3802" max="3802" width="30.2166666666667" style="314" customWidth="1"/>
    <col min="3803" max="3803" width="6" style="314" customWidth="1"/>
    <col min="3804" max="3812" width="4.66666666666667" style="314" customWidth="1"/>
    <col min="3813" max="3813" width="3.88333333333333" style="314" customWidth="1"/>
    <col min="3814" max="3821" width="4.66666666666667" style="314" customWidth="1"/>
    <col min="3822" max="3822" width="4.775" style="314" customWidth="1"/>
    <col min="3823" max="3831" width="4.66666666666667" style="314" customWidth="1"/>
    <col min="3832" max="3832" width="3.55833333333333" style="314" customWidth="1"/>
    <col min="3833" max="3833" width="5.66666666666667" style="314" customWidth="1"/>
    <col min="3834" max="3834" width="6.775" style="314" customWidth="1"/>
    <col min="3835" max="3835" width="4.66666666666667" style="314" customWidth="1"/>
    <col min="3836" max="3836" width="5.66666666666667" style="314" customWidth="1"/>
    <col min="3837" max="3838" width="4.66666666666667" style="314" customWidth="1"/>
    <col min="3839" max="3839" width="30.6666666666667" style="314" customWidth="1"/>
    <col min="3840" max="3840" width="36.2166666666667" style="314" customWidth="1"/>
    <col min="3841" max="4056" width="9" style="314"/>
    <col min="4057" max="4057" width="21.6666666666667" style="314" customWidth="1"/>
    <col min="4058" max="4058" width="30.2166666666667" style="314" customWidth="1"/>
    <col min="4059" max="4059" width="6" style="314" customWidth="1"/>
    <col min="4060" max="4068" width="4.66666666666667" style="314" customWidth="1"/>
    <col min="4069" max="4069" width="3.88333333333333" style="314" customWidth="1"/>
    <col min="4070" max="4077" width="4.66666666666667" style="314" customWidth="1"/>
    <col min="4078" max="4078" width="4.775" style="314" customWidth="1"/>
    <col min="4079" max="4087" width="4.66666666666667" style="314" customWidth="1"/>
    <col min="4088" max="4088" width="3.55833333333333" style="314" customWidth="1"/>
    <col min="4089" max="4089" width="5.66666666666667" style="314" customWidth="1"/>
    <col min="4090" max="4090" width="6.775" style="314" customWidth="1"/>
    <col min="4091" max="4091" width="4.66666666666667" style="314" customWidth="1"/>
    <col min="4092" max="4092" width="5.66666666666667" style="314" customWidth="1"/>
    <col min="4093" max="4094" width="4.66666666666667" style="314" customWidth="1"/>
    <col min="4095" max="4095" width="30.6666666666667" style="314" customWidth="1"/>
    <col min="4096" max="4096" width="36.2166666666667" style="314" customWidth="1"/>
    <col min="4097" max="4312" width="9" style="314"/>
    <col min="4313" max="4313" width="21.6666666666667" style="314" customWidth="1"/>
    <col min="4314" max="4314" width="30.2166666666667" style="314" customWidth="1"/>
    <col min="4315" max="4315" width="6" style="314" customWidth="1"/>
    <col min="4316" max="4324" width="4.66666666666667" style="314" customWidth="1"/>
    <col min="4325" max="4325" width="3.88333333333333" style="314" customWidth="1"/>
    <col min="4326" max="4333" width="4.66666666666667" style="314" customWidth="1"/>
    <col min="4334" max="4334" width="4.775" style="314" customWidth="1"/>
    <col min="4335" max="4343" width="4.66666666666667" style="314" customWidth="1"/>
    <col min="4344" max="4344" width="3.55833333333333" style="314" customWidth="1"/>
    <col min="4345" max="4345" width="5.66666666666667" style="314" customWidth="1"/>
    <col min="4346" max="4346" width="6.775" style="314" customWidth="1"/>
    <col min="4347" max="4347" width="4.66666666666667" style="314" customWidth="1"/>
    <col min="4348" max="4348" width="5.66666666666667" style="314" customWidth="1"/>
    <col min="4349" max="4350" width="4.66666666666667" style="314" customWidth="1"/>
    <col min="4351" max="4351" width="30.6666666666667" style="314" customWidth="1"/>
    <col min="4352" max="4352" width="36.2166666666667" style="314" customWidth="1"/>
    <col min="4353" max="4568" width="9" style="314"/>
    <col min="4569" max="4569" width="21.6666666666667" style="314" customWidth="1"/>
    <col min="4570" max="4570" width="30.2166666666667" style="314" customWidth="1"/>
    <col min="4571" max="4571" width="6" style="314" customWidth="1"/>
    <col min="4572" max="4580" width="4.66666666666667" style="314" customWidth="1"/>
    <col min="4581" max="4581" width="3.88333333333333" style="314" customWidth="1"/>
    <col min="4582" max="4589" width="4.66666666666667" style="314" customWidth="1"/>
    <col min="4590" max="4590" width="4.775" style="314" customWidth="1"/>
    <col min="4591" max="4599" width="4.66666666666667" style="314" customWidth="1"/>
    <col min="4600" max="4600" width="3.55833333333333" style="314" customWidth="1"/>
    <col min="4601" max="4601" width="5.66666666666667" style="314" customWidth="1"/>
    <col min="4602" max="4602" width="6.775" style="314" customWidth="1"/>
    <col min="4603" max="4603" width="4.66666666666667" style="314" customWidth="1"/>
    <col min="4604" max="4604" width="5.66666666666667" style="314" customWidth="1"/>
    <col min="4605" max="4606" width="4.66666666666667" style="314" customWidth="1"/>
    <col min="4607" max="4607" width="30.6666666666667" style="314" customWidth="1"/>
    <col min="4608" max="4608" width="36.2166666666667" style="314" customWidth="1"/>
    <col min="4609" max="4824" width="9" style="314"/>
    <col min="4825" max="4825" width="21.6666666666667" style="314" customWidth="1"/>
    <col min="4826" max="4826" width="30.2166666666667" style="314" customWidth="1"/>
    <col min="4827" max="4827" width="6" style="314" customWidth="1"/>
    <col min="4828" max="4836" width="4.66666666666667" style="314" customWidth="1"/>
    <col min="4837" max="4837" width="3.88333333333333" style="314" customWidth="1"/>
    <col min="4838" max="4845" width="4.66666666666667" style="314" customWidth="1"/>
    <col min="4846" max="4846" width="4.775" style="314" customWidth="1"/>
    <col min="4847" max="4855" width="4.66666666666667" style="314" customWidth="1"/>
    <col min="4856" max="4856" width="3.55833333333333" style="314" customWidth="1"/>
    <col min="4857" max="4857" width="5.66666666666667" style="314" customWidth="1"/>
    <col min="4858" max="4858" width="6.775" style="314" customWidth="1"/>
    <col min="4859" max="4859" width="4.66666666666667" style="314" customWidth="1"/>
    <col min="4860" max="4860" width="5.66666666666667" style="314" customWidth="1"/>
    <col min="4861" max="4862" width="4.66666666666667" style="314" customWidth="1"/>
    <col min="4863" max="4863" width="30.6666666666667" style="314" customWidth="1"/>
    <col min="4864" max="4864" width="36.2166666666667" style="314" customWidth="1"/>
    <col min="4865" max="5080" width="9" style="314"/>
    <col min="5081" max="5081" width="21.6666666666667" style="314" customWidth="1"/>
    <col min="5082" max="5082" width="30.2166666666667" style="314" customWidth="1"/>
    <col min="5083" max="5083" width="6" style="314" customWidth="1"/>
    <col min="5084" max="5092" width="4.66666666666667" style="314" customWidth="1"/>
    <col min="5093" max="5093" width="3.88333333333333" style="314" customWidth="1"/>
    <col min="5094" max="5101" width="4.66666666666667" style="314" customWidth="1"/>
    <col min="5102" max="5102" width="4.775" style="314" customWidth="1"/>
    <col min="5103" max="5111" width="4.66666666666667" style="314" customWidth="1"/>
    <col min="5112" max="5112" width="3.55833333333333" style="314" customWidth="1"/>
    <col min="5113" max="5113" width="5.66666666666667" style="314" customWidth="1"/>
    <col min="5114" max="5114" width="6.775" style="314" customWidth="1"/>
    <col min="5115" max="5115" width="4.66666666666667" style="314" customWidth="1"/>
    <col min="5116" max="5116" width="5.66666666666667" style="314" customWidth="1"/>
    <col min="5117" max="5118" width="4.66666666666667" style="314" customWidth="1"/>
    <col min="5119" max="5119" width="30.6666666666667" style="314" customWidth="1"/>
    <col min="5120" max="5120" width="36.2166666666667" style="314" customWidth="1"/>
    <col min="5121" max="5336" width="9" style="314"/>
    <col min="5337" max="5337" width="21.6666666666667" style="314" customWidth="1"/>
    <col min="5338" max="5338" width="30.2166666666667" style="314" customWidth="1"/>
    <col min="5339" max="5339" width="6" style="314" customWidth="1"/>
    <col min="5340" max="5348" width="4.66666666666667" style="314" customWidth="1"/>
    <col min="5349" max="5349" width="3.88333333333333" style="314" customWidth="1"/>
    <col min="5350" max="5357" width="4.66666666666667" style="314" customWidth="1"/>
    <col min="5358" max="5358" width="4.775" style="314" customWidth="1"/>
    <col min="5359" max="5367" width="4.66666666666667" style="314" customWidth="1"/>
    <col min="5368" max="5368" width="3.55833333333333" style="314" customWidth="1"/>
    <col min="5369" max="5369" width="5.66666666666667" style="314" customWidth="1"/>
    <col min="5370" max="5370" width="6.775" style="314" customWidth="1"/>
    <col min="5371" max="5371" width="4.66666666666667" style="314" customWidth="1"/>
    <col min="5372" max="5372" width="5.66666666666667" style="314" customWidth="1"/>
    <col min="5373" max="5374" width="4.66666666666667" style="314" customWidth="1"/>
    <col min="5375" max="5375" width="30.6666666666667" style="314" customWidth="1"/>
    <col min="5376" max="5376" width="36.2166666666667" style="314" customWidth="1"/>
    <col min="5377" max="5592" width="9" style="314"/>
    <col min="5593" max="5593" width="21.6666666666667" style="314" customWidth="1"/>
    <col min="5594" max="5594" width="30.2166666666667" style="314" customWidth="1"/>
    <col min="5595" max="5595" width="6" style="314" customWidth="1"/>
    <col min="5596" max="5604" width="4.66666666666667" style="314" customWidth="1"/>
    <col min="5605" max="5605" width="3.88333333333333" style="314" customWidth="1"/>
    <col min="5606" max="5613" width="4.66666666666667" style="314" customWidth="1"/>
    <col min="5614" max="5614" width="4.775" style="314" customWidth="1"/>
    <col min="5615" max="5623" width="4.66666666666667" style="314" customWidth="1"/>
    <col min="5624" max="5624" width="3.55833333333333" style="314" customWidth="1"/>
    <col min="5625" max="5625" width="5.66666666666667" style="314" customWidth="1"/>
    <col min="5626" max="5626" width="6.775" style="314" customWidth="1"/>
    <col min="5627" max="5627" width="4.66666666666667" style="314" customWidth="1"/>
    <col min="5628" max="5628" width="5.66666666666667" style="314" customWidth="1"/>
    <col min="5629" max="5630" width="4.66666666666667" style="314" customWidth="1"/>
    <col min="5631" max="5631" width="30.6666666666667" style="314" customWidth="1"/>
    <col min="5632" max="5632" width="36.2166666666667" style="314" customWidth="1"/>
    <col min="5633" max="5848" width="9" style="314"/>
    <col min="5849" max="5849" width="21.6666666666667" style="314" customWidth="1"/>
    <col min="5850" max="5850" width="30.2166666666667" style="314" customWidth="1"/>
    <col min="5851" max="5851" width="6" style="314" customWidth="1"/>
    <col min="5852" max="5860" width="4.66666666666667" style="314" customWidth="1"/>
    <col min="5861" max="5861" width="3.88333333333333" style="314" customWidth="1"/>
    <col min="5862" max="5869" width="4.66666666666667" style="314" customWidth="1"/>
    <col min="5870" max="5870" width="4.775" style="314" customWidth="1"/>
    <col min="5871" max="5879" width="4.66666666666667" style="314" customWidth="1"/>
    <col min="5880" max="5880" width="3.55833333333333" style="314" customWidth="1"/>
    <col min="5881" max="5881" width="5.66666666666667" style="314" customWidth="1"/>
    <col min="5882" max="5882" width="6.775" style="314" customWidth="1"/>
    <col min="5883" max="5883" width="4.66666666666667" style="314" customWidth="1"/>
    <col min="5884" max="5884" width="5.66666666666667" style="314" customWidth="1"/>
    <col min="5885" max="5886" width="4.66666666666667" style="314" customWidth="1"/>
    <col min="5887" max="5887" width="30.6666666666667" style="314" customWidth="1"/>
    <col min="5888" max="5888" width="36.2166666666667" style="314" customWidth="1"/>
    <col min="5889" max="6104" width="9" style="314"/>
    <col min="6105" max="6105" width="21.6666666666667" style="314" customWidth="1"/>
    <col min="6106" max="6106" width="30.2166666666667" style="314" customWidth="1"/>
    <col min="6107" max="6107" width="6" style="314" customWidth="1"/>
    <col min="6108" max="6116" width="4.66666666666667" style="314" customWidth="1"/>
    <col min="6117" max="6117" width="3.88333333333333" style="314" customWidth="1"/>
    <col min="6118" max="6125" width="4.66666666666667" style="314" customWidth="1"/>
    <col min="6126" max="6126" width="4.775" style="314" customWidth="1"/>
    <col min="6127" max="6135" width="4.66666666666667" style="314" customWidth="1"/>
    <col min="6136" max="6136" width="3.55833333333333" style="314" customWidth="1"/>
    <col min="6137" max="6137" width="5.66666666666667" style="314" customWidth="1"/>
    <col min="6138" max="6138" width="6.775" style="314" customWidth="1"/>
    <col min="6139" max="6139" width="4.66666666666667" style="314" customWidth="1"/>
    <col min="6140" max="6140" width="5.66666666666667" style="314" customWidth="1"/>
    <col min="6141" max="6142" width="4.66666666666667" style="314" customWidth="1"/>
    <col min="6143" max="6143" width="30.6666666666667" style="314" customWidth="1"/>
    <col min="6144" max="6144" width="36.2166666666667" style="314" customWidth="1"/>
    <col min="6145" max="6360" width="9" style="314"/>
    <col min="6361" max="6361" width="21.6666666666667" style="314" customWidth="1"/>
    <col min="6362" max="6362" width="30.2166666666667" style="314" customWidth="1"/>
    <col min="6363" max="6363" width="6" style="314" customWidth="1"/>
    <col min="6364" max="6372" width="4.66666666666667" style="314" customWidth="1"/>
    <col min="6373" max="6373" width="3.88333333333333" style="314" customWidth="1"/>
    <col min="6374" max="6381" width="4.66666666666667" style="314" customWidth="1"/>
    <col min="6382" max="6382" width="4.775" style="314" customWidth="1"/>
    <col min="6383" max="6391" width="4.66666666666667" style="314" customWidth="1"/>
    <col min="6392" max="6392" width="3.55833333333333" style="314" customWidth="1"/>
    <col min="6393" max="6393" width="5.66666666666667" style="314" customWidth="1"/>
    <col min="6394" max="6394" width="6.775" style="314" customWidth="1"/>
    <col min="6395" max="6395" width="4.66666666666667" style="314" customWidth="1"/>
    <col min="6396" max="6396" width="5.66666666666667" style="314" customWidth="1"/>
    <col min="6397" max="6398" width="4.66666666666667" style="314" customWidth="1"/>
    <col min="6399" max="6399" width="30.6666666666667" style="314" customWidth="1"/>
    <col min="6400" max="6400" width="36.2166666666667" style="314" customWidth="1"/>
    <col min="6401" max="6616" width="9" style="314"/>
    <col min="6617" max="6617" width="21.6666666666667" style="314" customWidth="1"/>
    <col min="6618" max="6618" width="30.2166666666667" style="314" customWidth="1"/>
    <col min="6619" max="6619" width="6" style="314" customWidth="1"/>
    <col min="6620" max="6628" width="4.66666666666667" style="314" customWidth="1"/>
    <col min="6629" max="6629" width="3.88333333333333" style="314" customWidth="1"/>
    <col min="6630" max="6637" width="4.66666666666667" style="314" customWidth="1"/>
    <col min="6638" max="6638" width="4.775" style="314" customWidth="1"/>
    <col min="6639" max="6647" width="4.66666666666667" style="314" customWidth="1"/>
    <col min="6648" max="6648" width="3.55833333333333" style="314" customWidth="1"/>
    <col min="6649" max="6649" width="5.66666666666667" style="314" customWidth="1"/>
    <col min="6650" max="6650" width="6.775" style="314" customWidth="1"/>
    <col min="6651" max="6651" width="4.66666666666667" style="314" customWidth="1"/>
    <col min="6652" max="6652" width="5.66666666666667" style="314" customWidth="1"/>
    <col min="6653" max="6654" width="4.66666666666667" style="314" customWidth="1"/>
    <col min="6655" max="6655" width="30.6666666666667" style="314" customWidth="1"/>
    <col min="6656" max="6656" width="36.2166666666667" style="314" customWidth="1"/>
    <col min="6657" max="6872" width="9" style="314"/>
    <col min="6873" max="6873" width="21.6666666666667" style="314" customWidth="1"/>
    <col min="6874" max="6874" width="30.2166666666667" style="314" customWidth="1"/>
    <col min="6875" max="6875" width="6" style="314" customWidth="1"/>
    <col min="6876" max="6884" width="4.66666666666667" style="314" customWidth="1"/>
    <col min="6885" max="6885" width="3.88333333333333" style="314" customWidth="1"/>
    <col min="6886" max="6893" width="4.66666666666667" style="314" customWidth="1"/>
    <col min="6894" max="6894" width="4.775" style="314" customWidth="1"/>
    <col min="6895" max="6903" width="4.66666666666667" style="314" customWidth="1"/>
    <col min="6904" max="6904" width="3.55833333333333" style="314" customWidth="1"/>
    <col min="6905" max="6905" width="5.66666666666667" style="314" customWidth="1"/>
    <col min="6906" max="6906" width="6.775" style="314" customWidth="1"/>
    <col min="6907" max="6907" width="4.66666666666667" style="314" customWidth="1"/>
    <col min="6908" max="6908" width="5.66666666666667" style="314" customWidth="1"/>
    <col min="6909" max="6910" width="4.66666666666667" style="314" customWidth="1"/>
    <col min="6911" max="6911" width="30.6666666666667" style="314" customWidth="1"/>
    <col min="6912" max="6912" width="36.2166666666667" style="314" customWidth="1"/>
    <col min="6913" max="7128" width="9" style="314"/>
    <col min="7129" max="7129" width="21.6666666666667" style="314" customWidth="1"/>
    <col min="7130" max="7130" width="30.2166666666667" style="314" customWidth="1"/>
    <col min="7131" max="7131" width="6" style="314" customWidth="1"/>
    <col min="7132" max="7140" width="4.66666666666667" style="314" customWidth="1"/>
    <col min="7141" max="7141" width="3.88333333333333" style="314" customWidth="1"/>
    <col min="7142" max="7149" width="4.66666666666667" style="314" customWidth="1"/>
    <col min="7150" max="7150" width="4.775" style="314" customWidth="1"/>
    <col min="7151" max="7159" width="4.66666666666667" style="314" customWidth="1"/>
    <col min="7160" max="7160" width="3.55833333333333" style="314" customWidth="1"/>
    <col min="7161" max="7161" width="5.66666666666667" style="314" customWidth="1"/>
    <col min="7162" max="7162" width="6.775" style="314" customWidth="1"/>
    <col min="7163" max="7163" width="4.66666666666667" style="314" customWidth="1"/>
    <col min="7164" max="7164" width="5.66666666666667" style="314" customWidth="1"/>
    <col min="7165" max="7166" width="4.66666666666667" style="314" customWidth="1"/>
    <col min="7167" max="7167" width="30.6666666666667" style="314" customWidth="1"/>
    <col min="7168" max="7168" width="36.2166666666667" style="314" customWidth="1"/>
    <col min="7169" max="7384" width="9" style="314"/>
    <col min="7385" max="7385" width="21.6666666666667" style="314" customWidth="1"/>
    <col min="7386" max="7386" width="30.2166666666667" style="314" customWidth="1"/>
    <col min="7387" max="7387" width="6" style="314" customWidth="1"/>
    <col min="7388" max="7396" width="4.66666666666667" style="314" customWidth="1"/>
    <col min="7397" max="7397" width="3.88333333333333" style="314" customWidth="1"/>
    <col min="7398" max="7405" width="4.66666666666667" style="314" customWidth="1"/>
    <col min="7406" max="7406" width="4.775" style="314" customWidth="1"/>
    <col min="7407" max="7415" width="4.66666666666667" style="314" customWidth="1"/>
    <col min="7416" max="7416" width="3.55833333333333" style="314" customWidth="1"/>
    <col min="7417" max="7417" width="5.66666666666667" style="314" customWidth="1"/>
    <col min="7418" max="7418" width="6.775" style="314" customWidth="1"/>
    <col min="7419" max="7419" width="4.66666666666667" style="314" customWidth="1"/>
    <col min="7420" max="7420" width="5.66666666666667" style="314" customWidth="1"/>
    <col min="7421" max="7422" width="4.66666666666667" style="314" customWidth="1"/>
    <col min="7423" max="7423" width="30.6666666666667" style="314" customWidth="1"/>
    <col min="7424" max="7424" width="36.2166666666667" style="314" customWidth="1"/>
    <col min="7425" max="7640" width="9" style="314"/>
    <col min="7641" max="7641" width="21.6666666666667" style="314" customWidth="1"/>
    <col min="7642" max="7642" width="30.2166666666667" style="314" customWidth="1"/>
    <col min="7643" max="7643" width="6" style="314" customWidth="1"/>
    <col min="7644" max="7652" width="4.66666666666667" style="314" customWidth="1"/>
    <col min="7653" max="7653" width="3.88333333333333" style="314" customWidth="1"/>
    <col min="7654" max="7661" width="4.66666666666667" style="314" customWidth="1"/>
    <col min="7662" max="7662" width="4.775" style="314" customWidth="1"/>
    <col min="7663" max="7671" width="4.66666666666667" style="314" customWidth="1"/>
    <col min="7672" max="7672" width="3.55833333333333" style="314" customWidth="1"/>
    <col min="7673" max="7673" width="5.66666666666667" style="314" customWidth="1"/>
    <col min="7674" max="7674" width="6.775" style="314" customWidth="1"/>
    <col min="7675" max="7675" width="4.66666666666667" style="314" customWidth="1"/>
    <col min="7676" max="7676" width="5.66666666666667" style="314" customWidth="1"/>
    <col min="7677" max="7678" width="4.66666666666667" style="314" customWidth="1"/>
    <col min="7679" max="7679" width="30.6666666666667" style="314" customWidth="1"/>
    <col min="7680" max="7680" width="36.2166666666667" style="314" customWidth="1"/>
    <col min="7681" max="7896" width="9" style="314"/>
    <col min="7897" max="7897" width="21.6666666666667" style="314" customWidth="1"/>
    <col min="7898" max="7898" width="30.2166666666667" style="314" customWidth="1"/>
    <col min="7899" max="7899" width="6" style="314" customWidth="1"/>
    <col min="7900" max="7908" width="4.66666666666667" style="314" customWidth="1"/>
    <col min="7909" max="7909" width="3.88333333333333" style="314" customWidth="1"/>
    <col min="7910" max="7917" width="4.66666666666667" style="314" customWidth="1"/>
    <col min="7918" max="7918" width="4.775" style="314" customWidth="1"/>
    <col min="7919" max="7927" width="4.66666666666667" style="314" customWidth="1"/>
    <col min="7928" max="7928" width="3.55833333333333" style="314" customWidth="1"/>
    <col min="7929" max="7929" width="5.66666666666667" style="314" customWidth="1"/>
    <col min="7930" max="7930" width="6.775" style="314" customWidth="1"/>
    <col min="7931" max="7931" width="4.66666666666667" style="314" customWidth="1"/>
    <col min="7932" max="7932" width="5.66666666666667" style="314" customWidth="1"/>
    <col min="7933" max="7934" width="4.66666666666667" style="314" customWidth="1"/>
    <col min="7935" max="7935" width="30.6666666666667" style="314" customWidth="1"/>
    <col min="7936" max="7936" width="36.2166666666667" style="314" customWidth="1"/>
    <col min="7937" max="8152" width="9" style="314"/>
    <col min="8153" max="8153" width="21.6666666666667" style="314" customWidth="1"/>
    <col min="8154" max="8154" width="30.2166666666667" style="314" customWidth="1"/>
    <col min="8155" max="8155" width="6" style="314" customWidth="1"/>
    <col min="8156" max="8164" width="4.66666666666667" style="314" customWidth="1"/>
    <col min="8165" max="8165" width="3.88333333333333" style="314" customWidth="1"/>
    <col min="8166" max="8173" width="4.66666666666667" style="314" customWidth="1"/>
    <col min="8174" max="8174" width="4.775" style="314" customWidth="1"/>
    <col min="8175" max="8183" width="4.66666666666667" style="314" customWidth="1"/>
    <col min="8184" max="8184" width="3.55833333333333" style="314" customWidth="1"/>
    <col min="8185" max="8185" width="5.66666666666667" style="314" customWidth="1"/>
    <col min="8186" max="8186" width="6.775" style="314" customWidth="1"/>
    <col min="8187" max="8187" width="4.66666666666667" style="314" customWidth="1"/>
    <col min="8188" max="8188" width="5.66666666666667" style="314" customWidth="1"/>
    <col min="8189" max="8190" width="4.66666666666667" style="314" customWidth="1"/>
    <col min="8191" max="8191" width="30.6666666666667" style="314" customWidth="1"/>
    <col min="8192" max="8192" width="36.2166666666667" style="314" customWidth="1"/>
    <col min="8193" max="8408" width="9" style="314"/>
    <col min="8409" max="8409" width="21.6666666666667" style="314" customWidth="1"/>
    <col min="8410" max="8410" width="30.2166666666667" style="314" customWidth="1"/>
    <col min="8411" max="8411" width="6" style="314" customWidth="1"/>
    <col min="8412" max="8420" width="4.66666666666667" style="314" customWidth="1"/>
    <col min="8421" max="8421" width="3.88333333333333" style="314" customWidth="1"/>
    <col min="8422" max="8429" width="4.66666666666667" style="314" customWidth="1"/>
    <col min="8430" max="8430" width="4.775" style="314" customWidth="1"/>
    <col min="8431" max="8439" width="4.66666666666667" style="314" customWidth="1"/>
    <col min="8440" max="8440" width="3.55833333333333" style="314" customWidth="1"/>
    <col min="8441" max="8441" width="5.66666666666667" style="314" customWidth="1"/>
    <col min="8442" max="8442" width="6.775" style="314" customWidth="1"/>
    <col min="8443" max="8443" width="4.66666666666667" style="314" customWidth="1"/>
    <col min="8444" max="8444" width="5.66666666666667" style="314" customWidth="1"/>
    <col min="8445" max="8446" width="4.66666666666667" style="314" customWidth="1"/>
    <col min="8447" max="8447" width="30.6666666666667" style="314" customWidth="1"/>
    <col min="8448" max="8448" width="36.2166666666667" style="314" customWidth="1"/>
    <col min="8449" max="8664" width="9" style="314"/>
    <col min="8665" max="8665" width="21.6666666666667" style="314" customWidth="1"/>
    <col min="8666" max="8666" width="30.2166666666667" style="314" customWidth="1"/>
    <col min="8667" max="8667" width="6" style="314" customWidth="1"/>
    <col min="8668" max="8676" width="4.66666666666667" style="314" customWidth="1"/>
    <col min="8677" max="8677" width="3.88333333333333" style="314" customWidth="1"/>
    <col min="8678" max="8685" width="4.66666666666667" style="314" customWidth="1"/>
    <col min="8686" max="8686" width="4.775" style="314" customWidth="1"/>
    <col min="8687" max="8695" width="4.66666666666667" style="314" customWidth="1"/>
    <col min="8696" max="8696" width="3.55833333333333" style="314" customWidth="1"/>
    <col min="8697" max="8697" width="5.66666666666667" style="314" customWidth="1"/>
    <col min="8698" max="8698" width="6.775" style="314" customWidth="1"/>
    <col min="8699" max="8699" width="4.66666666666667" style="314" customWidth="1"/>
    <col min="8700" max="8700" width="5.66666666666667" style="314" customWidth="1"/>
    <col min="8701" max="8702" width="4.66666666666667" style="314" customWidth="1"/>
    <col min="8703" max="8703" width="30.6666666666667" style="314" customWidth="1"/>
    <col min="8704" max="8704" width="36.2166666666667" style="314" customWidth="1"/>
    <col min="8705" max="8920" width="9" style="314"/>
    <col min="8921" max="8921" width="21.6666666666667" style="314" customWidth="1"/>
    <col min="8922" max="8922" width="30.2166666666667" style="314" customWidth="1"/>
    <col min="8923" max="8923" width="6" style="314" customWidth="1"/>
    <col min="8924" max="8932" width="4.66666666666667" style="314" customWidth="1"/>
    <col min="8933" max="8933" width="3.88333333333333" style="314" customWidth="1"/>
    <col min="8934" max="8941" width="4.66666666666667" style="314" customWidth="1"/>
    <col min="8942" max="8942" width="4.775" style="314" customWidth="1"/>
    <col min="8943" max="8951" width="4.66666666666667" style="314" customWidth="1"/>
    <col min="8952" max="8952" width="3.55833333333333" style="314" customWidth="1"/>
    <col min="8953" max="8953" width="5.66666666666667" style="314" customWidth="1"/>
    <col min="8954" max="8954" width="6.775" style="314" customWidth="1"/>
    <col min="8955" max="8955" width="4.66666666666667" style="314" customWidth="1"/>
    <col min="8956" max="8956" width="5.66666666666667" style="314" customWidth="1"/>
    <col min="8957" max="8958" width="4.66666666666667" style="314" customWidth="1"/>
    <col min="8959" max="8959" width="30.6666666666667" style="314" customWidth="1"/>
    <col min="8960" max="8960" width="36.2166666666667" style="314" customWidth="1"/>
    <col min="8961" max="9176" width="9" style="314"/>
    <col min="9177" max="9177" width="21.6666666666667" style="314" customWidth="1"/>
    <col min="9178" max="9178" width="30.2166666666667" style="314" customWidth="1"/>
    <col min="9179" max="9179" width="6" style="314" customWidth="1"/>
    <col min="9180" max="9188" width="4.66666666666667" style="314" customWidth="1"/>
    <col min="9189" max="9189" width="3.88333333333333" style="314" customWidth="1"/>
    <col min="9190" max="9197" width="4.66666666666667" style="314" customWidth="1"/>
    <col min="9198" max="9198" width="4.775" style="314" customWidth="1"/>
    <col min="9199" max="9207" width="4.66666666666667" style="314" customWidth="1"/>
    <col min="9208" max="9208" width="3.55833333333333" style="314" customWidth="1"/>
    <col min="9209" max="9209" width="5.66666666666667" style="314" customWidth="1"/>
    <col min="9210" max="9210" width="6.775" style="314" customWidth="1"/>
    <col min="9211" max="9211" width="4.66666666666667" style="314" customWidth="1"/>
    <col min="9212" max="9212" width="5.66666666666667" style="314" customWidth="1"/>
    <col min="9213" max="9214" width="4.66666666666667" style="314" customWidth="1"/>
    <col min="9215" max="9215" width="30.6666666666667" style="314" customWidth="1"/>
    <col min="9216" max="9216" width="36.2166666666667" style="314" customWidth="1"/>
    <col min="9217" max="9432" width="9" style="314"/>
    <col min="9433" max="9433" width="21.6666666666667" style="314" customWidth="1"/>
    <col min="9434" max="9434" width="30.2166666666667" style="314" customWidth="1"/>
    <col min="9435" max="9435" width="6" style="314" customWidth="1"/>
    <col min="9436" max="9444" width="4.66666666666667" style="314" customWidth="1"/>
    <col min="9445" max="9445" width="3.88333333333333" style="314" customWidth="1"/>
    <col min="9446" max="9453" width="4.66666666666667" style="314" customWidth="1"/>
    <col min="9454" max="9454" width="4.775" style="314" customWidth="1"/>
    <col min="9455" max="9463" width="4.66666666666667" style="314" customWidth="1"/>
    <col min="9464" max="9464" width="3.55833333333333" style="314" customWidth="1"/>
    <col min="9465" max="9465" width="5.66666666666667" style="314" customWidth="1"/>
    <col min="9466" max="9466" width="6.775" style="314" customWidth="1"/>
    <col min="9467" max="9467" width="4.66666666666667" style="314" customWidth="1"/>
    <col min="9468" max="9468" width="5.66666666666667" style="314" customWidth="1"/>
    <col min="9469" max="9470" width="4.66666666666667" style="314" customWidth="1"/>
    <col min="9471" max="9471" width="30.6666666666667" style="314" customWidth="1"/>
    <col min="9472" max="9472" width="36.2166666666667" style="314" customWidth="1"/>
    <col min="9473" max="9688" width="9" style="314"/>
    <col min="9689" max="9689" width="21.6666666666667" style="314" customWidth="1"/>
    <col min="9690" max="9690" width="30.2166666666667" style="314" customWidth="1"/>
    <col min="9691" max="9691" width="6" style="314" customWidth="1"/>
    <col min="9692" max="9700" width="4.66666666666667" style="314" customWidth="1"/>
    <col min="9701" max="9701" width="3.88333333333333" style="314" customWidth="1"/>
    <col min="9702" max="9709" width="4.66666666666667" style="314" customWidth="1"/>
    <col min="9710" max="9710" width="4.775" style="314" customWidth="1"/>
    <col min="9711" max="9719" width="4.66666666666667" style="314" customWidth="1"/>
    <col min="9720" max="9720" width="3.55833333333333" style="314" customWidth="1"/>
    <col min="9721" max="9721" width="5.66666666666667" style="314" customWidth="1"/>
    <col min="9722" max="9722" width="6.775" style="314" customWidth="1"/>
    <col min="9723" max="9723" width="4.66666666666667" style="314" customWidth="1"/>
    <col min="9724" max="9724" width="5.66666666666667" style="314" customWidth="1"/>
    <col min="9725" max="9726" width="4.66666666666667" style="314" customWidth="1"/>
    <col min="9727" max="9727" width="30.6666666666667" style="314" customWidth="1"/>
    <col min="9728" max="9728" width="36.2166666666667" style="314" customWidth="1"/>
    <col min="9729" max="9944" width="9" style="314"/>
    <col min="9945" max="9945" width="21.6666666666667" style="314" customWidth="1"/>
    <col min="9946" max="9946" width="30.2166666666667" style="314" customWidth="1"/>
    <col min="9947" max="9947" width="6" style="314" customWidth="1"/>
    <col min="9948" max="9956" width="4.66666666666667" style="314" customWidth="1"/>
    <col min="9957" max="9957" width="3.88333333333333" style="314" customWidth="1"/>
    <col min="9958" max="9965" width="4.66666666666667" style="314" customWidth="1"/>
    <col min="9966" max="9966" width="4.775" style="314" customWidth="1"/>
    <col min="9967" max="9975" width="4.66666666666667" style="314" customWidth="1"/>
    <col min="9976" max="9976" width="3.55833333333333" style="314" customWidth="1"/>
    <col min="9977" max="9977" width="5.66666666666667" style="314" customWidth="1"/>
    <col min="9978" max="9978" width="6.775" style="314" customWidth="1"/>
    <col min="9979" max="9979" width="4.66666666666667" style="314" customWidth="1"/>
    <col min="9980" max="9980" width="5.66666666666667" style="314" customWidth="1"/>
    <col min="9981" max="9982" width="4.66666666666667" style="314" customWidth="1"/>
    <col min="9983" max="9983" width="30.6666666666667" style="314" customWidth="1"/>
    <col min="9984" max="9984" width="36.2166666666667" style="314" customWidth="1"/>
    <col min="9985" max="10200" width="9" style="314"/>
    <col min="10201" max="10201" width="21.6666666666667" style="314" customWidth="1"/>
    <col min="10202" max="10202" width="30.2166666666667" style="314" customWidth="1"/>
    <col min="10203" max="10203" width="6" style="314" customWidth="1"/>
    <col min="10204" max="10212" width="4.66666666666667" style="314" customWidth="1"/>
    <col min="10213" max="10213" width="3.88333333333333" style="314" customWidth="1"/>
    <col min="10214" max="10221" width="4.66666666666667" style="314" customWidth="1"/>
    <col min="10222" max="10222" width="4.775" style="314" customWidth="1"/>
    <col min="10223" max="10231" width="4.66666666666667" style="314" customWidth="1"/>
    <col min="10232" max="10232" width="3.55833333333333" style="314" customWidth="1"/>
    <col min="10233" max="10233" width="5.66666666666667" style="314" customWidth="1"/>
    <col min="10234" max="10234" width="6.775" style="314" customWidth="1"/>
    <col min="10235" max="10235" width="4.66666666666667" style="314" customWidth="1"/>
    <col min="10236" max="10236" width="5.66666666666667" style="314" customWidth="1"/>
    <col min="10237" max="10238" width="4.66666666666667" style="314" customWidth="1"/>
    <col min="10239" max="10239" width="30.6666666666667" style="314" customWidth="1"/>
    <col min="10240" max="10240" width="36.2166666666667" style="314" customWidth="1"/>
    <col min="10241" max="10456" width="9" style="314"/>
    <col min="10457" max="10457" width="21.6666666666667" style="314" customWidth="1"/>
    <col min="10458" max="10458" width="30.2166666666667" style="314" customWidth="1"/>
    <col min="10459" max="10459" width="6" style="314" customWidth="1"/>
    <col min="10460" max="10468" width="4.66666666666667" style="314" customWidth="1"/>
    <col min="10469" max="10469" width="3.88333333333333" style="314" customWidth="1"/>
    <col min="10470" max="10477" width="4.66666666666667" style="314" customWidth="1"/>
    <col min="10478" max="10478" width="4.775" style="314" customWidth="1"/>
    <col min="10479" max="10487" width="4.66666666666667" style="314" customWidth="1"/>
    <col min="10488" max="10488" width="3.55833333333333" style="314" customWidth="1"/>
    <col min="10489" max="10489" width="5.66666666666667" style="314" customWidth="1"/>
    <col min="10490" max="10490" width="6.775" style="314" customWidth="1"/>
    <col min="10491" max="10491" width="4.66666666666667" style="314" customWidth="1"/>
    <col min="10492" max="10492" width="5.66666666666667" style="314" customWidth="1"/>
    <col min="10493" max="10494" width="4.66666666666667" style="314" customWidth="1"/>
    <col min="10495" max="10495" width="30.6666666666667" style="314" customWidth="1"/>
    <col min="10496" max="10496" width="36.2166666666667" style="314" customWidth="1"/>
    <col min="10497" max="10712" width="9" style="314"/>
    <col min="10713" max="10713" width="21.6666666666667" style="314" customWidth="1"/>
    <col min="10714" max="10714" width="30.2166666666667" style="314" customWidth="1"/>
    <col min="10715" max="10715" width="6" style="314" customWidth="1"/>
    <col min="10716" max="10724" width="4.66666666666667" style="314" customWidth="1"/>
    <col min="10725" max="10725" width="3.88333333333333" style="314" customWidth="1"/>
    <col min="10726" max="10733" width="4.66666666666667" style="314" customWidth="1"/>
    <col min="10734" max="10734" width="4.775" style="314" customWidth="1"/>
    <col min="10735" max="10743" width="4.66666666666667" style="314" customWidth="1"/>
    <col min="10744" max="10744" width="3.55833333333333" style="314" customWidth="1"/>
    <col min="10745" max="10745" width="5.66666666666667" style="314" customWidth="1"/>
    <col min="10746" max="10746" width="6.775" style="314" customWidth="1"/>
    <col min="10747" max="10747" width="4.66666666666667" style="314" customWidth="1"/>
    <col min="10748" max="10748" width="5.66666666666667" style="314" customWidth="1"/>
    <col min="10749" max="10750" width="4.66666666666667" style="314" customWidth="1"/>
    <col min="10751" max="10751" width="30.6666666666667" style="314" customWidth="1"/>
    <col min="10752" max="10752" width="36.2166666666667" style="314" customWidth="1"/>
    <col min="10753" max="10968" width="9" style="314"/>
    <col min="10969" max="10969" width="21.6666666666667" style="314" customWidth="1"/>
    <col min="10970" max="10970" width="30.2166666666667" style="314" customWidth="1"/>
    <col min="10971" max="10971" width="6" style="314" customWidth="1"/>
    <col min="10972" max="10980" width="4.66666666666667" style="314" customWidth="1"/>
    <col min="10981" max="10981" width="3.88333333333333" style="314" customWidth="1"/>
    <col min="10982" max="10989" width="4.66666666666667" style="314" customWidth="1"/>
    <col min="10990" max="10990" width="4.775" style="314" customWidth="1"/>
    <col min="10991" max="10999" width="4.66666666666667" style="314" customWidth="1"/>
    <col min="11000" max="11000" width="3.55833333333333" style="314" customWidth="1"/>
    <col min="11001" max="11001" width="5.66666666666667" style="314" customWidth="1"/>
    <col min="11002" max="11002" width="6.775" style="314" customWidth="1"/>
    <col min="11003" max="11003" width="4.66666666666667" style="314" customWidth="1"/>
    <col min="11004" max="11004" width="5.66666666666667" style="314" customWidth="1"/>
    <col min="11005" max="11006" width="4.66666666666667" style="314" customWidth="1"/>
    <col min="11007" max="11007" width="30.6666666666667" style="314" customWidth="1"/>
    <col min="11008" max="11008" width="36.2166666666667" style="314" customWidth="1"/>
    <col min="11009" max="11224" width="9" style="314"/>
    <col min="11225" max="11225" width="21.6666666666667" style="314" customWidth="1"/>
    <col min="11226" max="11226" width="30.2166666666667" style="314" customWidth="1"/>
    <col min="11227" max="11227" width="6" style="314" customWidth="1"/>
    <col min="11228" max="11236" width="4.66666666666667" style="314" customWidth="1"/>
    <col min="11237" max="11237" width="3.88333333333333" style="314" customWidth="1"/>
    <col min="11238" max="11245" width="4.66666666666667" style="314" customWidth="1"/>
    <col min="11246" max="11246" width="4.775" style="314" customWidth="1"/>
    <col min="11247" max="11255" width="4.66666666666667" style="314" customWidth="1"/>
    <col min="11256" max="11256" width="3.55833333333333" style="314" customWidth="1"/>
    <col min="11257" max="11257" width="5.66666666666667" style="314" customWidth="1"/>
    <col min="11258" max="11258" width="6.775" style="314" customWidth="1"/>
    <col min="11259" max="11259" width="4.66666666666667" style="314" customWidth="1"/>
    <col min="11260" max="11260" width="5.66666666666667" style="314" customWidth="1"/>
    <col min="11261" max="11262" width="4.66666666666667" style="314" customWidth="1"/>
    <col min="11263" max="11263" width="30.6666666666667" style="314" customWidth="1"/>
    <col min="11264" max="11264" width="36.2166666666667" style="314" customWidth="1"/>
    <col min="11265" max="11480" width="9" style="314"/>
    <col min="11481" max="11481" width="21.6666666666667" style="314" customWidth="1"/>
    <col min="11482" max="11482" width="30.2166666666667" style="314" customWidth="1"/>
    <col min="11483" max="11483" width="6" style="314" customWidth="1"/>
    <col min="11484" max="11492" width="4.66666666666667" style="314" customWidth="1"/>
    <col min="11493" max="11493" width="3.88333333333333" style="314" customWidth="1"/>
    <col min="11494" max="11501" width="4.66666666666667" style="314" customWidth="1"/>
    <col min="11502" max="11502" width="4.775" style="314" customWidth="1"/>
    <col min="11503" max="11511" width="4.66666666666667" style="314" customWidth="1"/>
    <col min="11512" max="11512" width="3.55833333333333" style="314" customWidth="1"/>
    <col min="11513" max="11513" width="5.66666666666667" style="314" customWidth="1"/>
    <col min="11514" max="11514" width="6.775" style="314" customWidth="1"/>
    <col min="11515" max="11515" width="4.66666666666667" style="314" customWidth="1"/>
    <col min="11516" max="11516" width="5.66666666666667" style="314" customWidth="1"/>
    <col min="11517" max="11518" width="4.66666666666667" style="314" customWidth="1"/>
    <col min="11519" max="11519" width="30.6666666666667" style="314" customWidth="1"/>
    <col min="11520" max="11520" width="36.2166666666667" style="314" customWidth="1"/>
    <col min="11521" max="11736" width="9" style="314"/>
    <col min="11737" max="11737" width="21.6666666666667" style="314" customWidth="1"/>
    <col min="11738" max="11738" width="30.2166666666667" style="314" customWidth="1"/>
    <col min="11739" max="11739" width="6" style="314" customWidth="1"/>
    <col min="11740" max="11748" width="4.66666666666667" style="314" customWidth="1"/>
    <col min="11749" max="11749" width="3.88333333333333" style="314" customWidth="1"/>
    <col min="11750" max="11757" width="4.66666666666667" style="314" customWidth="1"/>
    <col min="11758" max="11758" width="4.775" style="314" customWidth="1"/>
    <col min="11759" max="11767" width="4.66666666666667" style="314" customWidth="1"/>
    <col min="11768" max="11768" width="3.55833333333333" style="314" customWidth="1"/>
    <col min="11769" max="11769" width="5.66666666666667" style="314" customWidth="1"/>
    <col min="11770" max="11770" width="6.775" style="314" customWidth="1"/>
    <col min="11771" max="11771" width="4.66666666666667" style="314" customWidth="1"/>
    <col min="11772" max="11772" width="5.66666666666667" style="314" customWidth="1"/>
    <col min="11773" max="11774" width="4.66666666666667" style="314" customWidth="1"/>
    <col min="11775" max="11775" width="30.6666666666667" style="314" customWidth="1"/>
    <col min="11776" max="11776" width="36.2166666666667" style="314" customWidth="1"/>
    <col min="11777" max="11992" width="9" style="314"/>
    <col min="11993" max="11993" width="21.6666666666667" style="314" customWidth="1"/>
    <col min="11994" max="11994" width="30.2166666666667" style="314" customWidth="1"/>
    <col min="11995" max="11995" width="6" style="314" customWidth="1"/>
    <col min="11996" max="12004" width="4.66666666666667" style="314" customWidth="1"/>
    <col min="12005" max="12005" width="3.88333333333333" style="314" customWidth="1"/>
    <col min="12006" max="12013" width="4.66666666666667" style="314" customWidth="1"/>
    <col min="12014" max="12014" width="4.775" style="314" customWidth="1"/>
    <col min="12015" max="12023" width="4.66666666666667" style="314" customWidth="1"/>
    <col min="12024" max="12024" width="3.55833333333333" style="314" customWidth="1"/>
    <col min="12025" max="12025" width="5.66666666666667" style="314" customWidth="1"/>
    <col min="12026" max="12026" width="6.775" style="314" customWidth="1"/>
    <col min="12027" max="12027" width="4.66666666666667" style="314" customWidth="1"/>
    <col min="12028" max="12028" width="5.66666666666667" style="314" customWidth="1"/>
    <col min="12029" max="12030" width="4.66666666666667" style="314" customWidth="1"/>
    <col min="12031" max="12031" width="30.6666666666667" style="314" customWidth="1"/>
    <col min="12032" max="12032" width="36.2166666666667" style="314" customWidth="1"/>
    <col min="12033" max="12248" width="9" style="314"/>
    <col min="12249" max="12249" width="21.6666666666667" style="314" customWidth="1"/>
    <col min="12250" max="12250" width="30.2166666666667" style="314" customWidth="1"/>
    <col min="12251" max="12251" width="6" style="314" customWidth="1"/>
    <col min="12252" max="12260" width="4.66666666666667" style="314" customWidth="1"/>
    <col min="12261" max="12261" width="3.88333333333333" style="314" customWidth="1"/>
    <col min="12262" max="12269" width="4.66666666666667" style="314" customWidth="1"/>
    <col min="12270" max="12270" width="4.775" style="314" customWidth="1"/>
    <col min="12271" max="12279" width="4.66666666666667" style="314" customWidth="1"/>
    <col min="12280" max="12280" width="3.55833333333333" style="314" customWidth="1"/>
    <col min="12281" max="12281" width="5.66666666666667" style="314" customWidth="1"/>
    <col min="12282" max="12282" width="6.775" style="314" customWidth="1"/>
    <col min="12283" max="12283" width="4.66666666666667" style="314" customWidth="1"/>
    <col min="12284" max="12284" width="5.66666666666667" style="314" customWidth="1"/>
    <col min="12285" max="12286" width="4.66666666666667" style="314" customWidth="1"/>
    <col min="12287" max="12287" width="30.6666666666667" style="314" customWidth="1"/>
    <col min="12288" max="12288" width="36.2166666666667" style="314" customWidth="1"/>
    <col min="12289" max="12504" width="9" style="314"/>
    <col min="12505" max="12505" width="21.6666666666667" style="314" customWidth="1"/>
    <col min="12506" max="12506" width="30.2166666666667" style="314" customWidth="1"/>
    <col min="12507" max="12507" width="6" style="314" customWidth="1"/>
    <col min="12508" max="12516" width="4.66666666666667" style="314" customWidth="1"/>
    <col min="12517" max="12517" width="3.88333333333333" style="314" customWidth="1"/>
    <col min="12518" max="12525" width="4.66666666666667" style="314" customWidth="1"/>
    <col min="12526" max="12526" width="4.775" style="314" customWidth="1"/>
    <col min="12527" max="12535" width="4.66666666666667" style="314" customWidth="1"/>
    <col min="12536" max="12536" width="3.55833333333333" style="314" customWidth="1"/>
    <col min="12537" max="12537" width="5.66666666666667" style="314" customWidth="1"/>
    <col min="12538" max="12538" width="6.775" style="314" customWidth="1"/>
    <col min="12539" max="12539" width="4.66666666666667" style="314" customWidth="1"/>
    <col min="12540" max="12540" width="5.66666666666667" style="314" customWidth="1"/>
    <col min="12541" max="12542" width="4.66666666666667" style="314" customWidth="1"/>
    <col min="12543" max="12543" width="30.6666666666667" style="314" customWidth="1"/>
    <col min="12544" max="12544" width="36.2166666666667" style="314" customWidth="1"/>
    <col min="12545" max="12760" width="9" style="314"/>
    <col min="12761" max="12761" width="21.6666666666667" style="314" customWidth="1"/>
    <col min="12762" max="12762" width="30.2166666666667" style="314" customWidth="1"/>
    <col min="12763" max="12763" width="6" style="314" customWidth="1"/>
    <col min="12764" max="12772" width="4.66666666666667" style="314" customWidth="1"/>
    <col min="12773" max="12773" width="3.88333333333333" style="314" customWidth="1"/>
    <col min="12774" max="12781" width="4.66666666666667" style="314" customWidth="1"/>
    <col min="12782" max="12782" width="4.775" style="314" customWidth="1"/>
    <col min="12783" max="12791" width="4.66666666666667" style="314" customWidth="1"/>
    <col min="12792" max="12792" width="3.55833333333333" style="314" customWidth="1"/>
    <col min="12793" max="12793" width="5.66666666666667" style="314" customWidth="1"/>
    <col min="12794" max="12794" width="6.775" style="314" customWidth="1"/>
    <col min="12795" max="12795" width="4.66666666666667" style="314" customWidth="1"/>
    <col min="12796" max="12796" width="5.66666666666667" style="314" customWidth="1"/>
    <col min="12797" max="12798" width="4.66666666666667" style="314" customWidth="1"/>
    <col min="12799" max="12799" width="30.6666666666667" style="314" customWidth="1"/>
    <col min="12800" max="12800" width="36.2166666666667" style="314" customWidth="1"/>
    <col min="12801" max="13016" width="9" style="314"/>
    <col min="13017" max="13017" width="21.6666666666667" style="314" customWidth="1"/>
    <col min="13018" max="13018" width="30.2166666666667" style="314" customWidth="1"/>
    <col min="13019" max="13019" width="6" style="314" customWidth="1"/>
    <col min="13020" max="13028" width="4.66666666666667" style="314" customWidth="1"/>
    <col min="13029" max="13029" width="3.88333333333333" style="314" customWidth="1"/>
    <col min="13030" max="13037" width="4.66666666666667" style="314" customWidth="1"/>
    <col min="13038" max="13038" width="4.775" style="314" customWidth="1"/>
    <col min="13039" max="13047" width="4.66666666666667" style="314" customWidth="1"/>
    <col min="13048" max="13048" width="3.55833333333333" style="314" customWidth="1"/>
    <col min="13049" max="13049" width="5.66666666666667" style="314" customWidth="1"/>
    <col min="13050" max="13050" width="6.775" style="314" customWidth="1"/>
    <col min="13051" max="13051" width="4.66666666666667" style="314" customWidth="1"/>
    <col min="13052" max="13052" width="5.66666666666667" style="314" customWidth="1"/>
    <col min="13053" max="13054" width="4.66666666666667" style="314" customWidth="1"/>
    <col min="13055" max="13055" width="30.6666666666667" style="314" customWidth="1"/>
    <col min="13056" max="13056" width="36.2166666666667" style="314" customWidth="1"/>
    <col min="13057" max="13272" width="9" style="314"/>
    <col min="13273" max="13273" width="21.6666666666667" style="314" customWidth="1"/>
    <col min="13274" max="13274" width="30.2166666666667" style="314" customWidth="1"/>
    <col min="13275" max="13275" width="6" style="314" customWidth="1"/>
    <col min="13276" max="13284" width="4.66666666666667" style="314" customWidth="1"/>
    <col min="13285" max="13285" width="3.88333333333333" style="314" customWidth="1"/>
    <col min="13286" max="13293" width="4.66666666666667" style="314" customWidth="1"/>
    <col min="13294" max="13294" width="4.775" style="314" customWidth="1"/>
    <col min="13295" max="13303" width="4.66666666666667" style="314" customWidth="1"/>
    <col min="13304" max="13304" width="3.55833333333333" style="314" customWidth="1"/>
    <col min="13305" max="13305" width="5.66666666666667" style="314" customWidth="1"/>
    <col min="13306" max="13306" width="6.775" style="314" customWidth="1"/>
    <col min="13307" max="13307" width="4.66666666666667" style="314" customWidth="1"/>
    <col min="13308" max="13308" width="5.66666666666667" style="314" customWidth="1"/>
    <col min="13309" max="13310" width="4.66666666666667" style="314" customWidth="1"/>
    <col min="13311" max="13311" width="30.6666666666667" style="314" customWidth="1"/>
    <col min="13312" max="13312" width="36.2166666666667" style="314" customWidth="1"/>
    <col min="13313" max="13528" width="9" style="314"/>
    <col min="13529" max="13529" width="21.6666666666667" style="314" customWidth="1"/>
    <col min="13530" max="13530" width="30.2166666666667" style="314" customWidth="1"/>
    <col min="13531" max="13531" width="6" style="314" customWidth="1"/>
    <col min="13532" max="13540" width="4.66666666666667" style="314" customWidth="1"/>
    <col min="13541" max="13541" width="3.88333333333333" style="314" customWidth="1"/>
    <col min="13542" max="13549" width="4.66666666666667" style="314" customWidth="1"/>
    <col min="13550" max="13550" width="4.775" style="314" customWidth="1"/>
    <col min="13551" max="13559" width="4.66666666666667" style="314" customWidth="1"/>
    <col min="13560" max="13560" width="3.55833333333333" style="314" customWidth="1"/>
    <col min="13561" max="13561" width="5.66666666666667" style="314" customWidth="1"/>
    <col min="13562" max="13562" width="6.775" style="314" customWidth="1"/>
    <col min="13563" max="13563" width="4.66666666666667" style="314" customWidth="1"/>
    <col min="13564" max="13564" width="5.66666666666667" style="314" customWidth="1"/>
    <col min="13565" max="13566" width="4.66666666666667" style="314" customWidth="1"/>
    <col min="13567" max="13567" width="30.6666666666667" style="314" customWidth="1"/>
    <col min="13568" max="13568" width="36.2166666666667" style="314" customWidth="1"/>
    <col min="13569" max="13784" width="9" style="314"/>
    <col min="13785" max="13785" width="21.6666666666667" style="314" customWidth="1"/>
    <col min="13786" max="13786" width="30.2166666666667" style="314" customWidth="1"/>
    <col min="13787" max="13787" width="6" style="314" customWidth="1"/>
    <col min="13788" max="13796" width="4.66666666666667" style="314" customWidth="1"/>
    <col min="13797" max="13797" width="3.88333333333333" style="314" customWidth="1"/>
    <col min="13798" max="13805" width="4.66666666666667" style="314" customWidth="1"/>
    <col min="13806" max="13806" width="4.775" style="314" customWidth="1"/>
    <col min="13807" max="13815" width="4.66666666666667" style="314" customWidth="1"/>
    <col min="13816" max="13816" width="3.55833333333333" style="314" customWidth="1"/>
    <col min="13817" max="13817" width="5.66666666666667" style="314" customWidth="1"/>
    <col min="13818" max="13818" width="6.775" style="314" customWidth="1"/>
    <col min="13819" max="13819" width="4.66666666666667" style="314" customWidth="1"/>
    <col min="13820" max="13820" width="5.66666666666667" style="314" customWidth="1"/>
    <col min="13821" max="13822" width="4.66666666666667" style="314" customWidth="1"/>
    <col min="13823" max="13823" width="30.6666666666667" style="314" customWidth="1"/>
    <col min="13824" max="13824" width="36.2166666666667" style="314" customWidth="1"/>
    <col min="13825" max="14040" width="9" style="314"/>
    <col min="14041" max="14041" width="21.6666666666667" style="314" customWidth="1"/>
    <col min="14042" max="14042" width="30.2166666666667" style="314" customWidth="1"/>
    <col min="14043" max="14043" width="6" style="314" customWidth="1"/>
    <col min="14044" max="14052" width="4.66666666666667" style="314" customWidth="1"/>
    <col min="14053" max="14053" width="3.88333333333333" style="314" customWidth="1"/>
    <col min="14054" max="14061" width="4.66666666666667" style="314" customWidth="1"/>
    <col min="14062" max="14062" width="4.775" style="314" customWidth="1"/>
    <col min="14063" max="14071" width="4.66666666666667" style="314" customWidth="1"/>
    <col min="14072" max="14072" width="3.55833333333333" style="314" customWidth="1"/>
    <col min="14073" max="14073" width="5.66666666666667" style="314" customWidth="1"/>
    <col min="14074" max="14074" width="6.775" style="314" customWidth="1"/>
    <col min="14075" max="14075" width="4.66666666666667" style="314" customWidth="1"/>
    <col min="14076" max="14076" width="5.66666666666667" style="314" customWidth="1"/>
    <col min="14077" max="14078" width="4.66666666666667" style="314" customWidth="1"/>
    <col min="14079" max="14079" width="30.6666666666667" style="314" customWidth="1"/>
    <col min="14080" max="14080" width="36.2166666666667" style="314" customWidth="1"/>
    <col min="14081" max="14296" width="9" style="314"/>
    <col min="14297" max="14297" width="21.6666666666667" style="314" customWidth="1"/>
    <col min="14298" max="14298" width="30.2166666666667" style="314" customWidth="1"/>
    <col min="14299" max="14299" width="6" style="314" customWidth="1"/>
    <col min="14300" max="14308" width="4.66666666666667" style="314" customWidth="1"/>
    <col min="14309" max="14309" width="3.88333333333333" style="314" customWidth="1"/>
    <col min="14310" max="14317" width="4.66666666666667" style="314" customWidth="1"/>
    <col min="14318" max="14318" width="4.775" style="314" customWidth="1"/>
    <col min="14319" max="14327" width="4.66666666666667" style="314" customWidth="1"/>
    <col min="14328" max="14328" width="3.55833333333333" style="314" customWidth="1"/>
    <col min="14329" max="14329" width="5.66666666666667" style="314" customWidth="1"/>
    <col min="14330" max="14330" width="6.775" style="314" customWidth="1"/>
    <col min="14331" max="14331" width="4.66666666666667" style="314" customWidth="1"/>
    <col min="14332" max="14332" width="5.66666666666667" style="314" customWidth="1"/>
    <col min="14333" max="14334" width="4.66666666666667" style="314" customWidth="1"/>
    <col min="14335" max="14335" width="30.6666666666667" style="314" customWidth="1"/>
    <col min="14336" max="14336" width="36.2166666666667" style="314" customWidth="1"/>
    <col min="14337" max="14504" width="9" style="314"/>
    <col min="14505" max="16384" width="9" style="317"/>
  </cols>
  <sheetData>
    <row r="1" s="310" customFormat="1" ht="27" customHeight="1" spans="1:74 14505:16384">
      <c r="A1" s="318" t="s">
        <v>0</v>
      </c>
      <c r="B1" s="318"/>
      <c r="C1" s="318"/>
      <c r="D1" s="318"/>
      <c r="E1" s="318"/>
      <c r="F1" s="318"/>
      <c r="G1" s="318"/>
      <c r="H1" s="318"/>
      <c r="I1" s="319"/>
      <c r="J1" s="318"/>
      <c r="K1" s="318"/>
      <c r="L1" s="318"/>
      <c r="M1" s="318"/>
      <c r="N1" s="318"/>
      <c r="O1" s="319"/>
      <c r="P1" s="319"/>
      <c r="Q1" s="318"/>
      <c r="R1" s="318"/>
      <c r="S1" s="318"/>
      <c r="T1" s="318"/>
      <c r="U1" s="318"/>
      <c r="V1" s="319"/>
      <c r="W1" s="319"/>
      <c r="X1" s="319"/>
      <c r="Y1" s="319"/>
      <c r="Z1" s="319"/>
      <c r="AA1" s="319"/>
      <c r="AB1" s="319"/>
      <c r="AC1" s="319"/>
      <c r="AD1" s="319"/>
      <c r="AE1" s="318"/>
      <c r="AF1" s="318"/>
      <c r="AG1" s="318"/>
      <c r="AH1" s="318"/>
      <c r="AI1" s="318"/>
      <c r="AJ1" s="318"/>
      <c r="AK1" s="319"/>
      <c r="AL1" s="318"/>
      <c r="AM1" s="318"/>
      <c r="AN1" s="318"/>
      <c r="AO1" s="318"/>
      <c r="AP1" s="318"/>
      <c r="AQ1" s="319"/>
      <c r="AR1" s="319"/>
      <c r="AS1" s="318"/>
      <c r="AT1" s="318"/>
      <c r="AU1" s="318"/>
      <c r="AV1" s="318"/>
      <c r="AW1" s="318"/>
      <c r="AX1" s="318"/>
      <c r="AY1" s="319"/>
      <c r="AZ1" s="318"/>
      <c r="BA1" s="318"/>
      <c r="BB1" s="318"/>
      <c r="BC1" s="318"/>
      <c r="BD1" s="318"/>
      <c r="BE1" s="319"/>
      <c r="BF1" s="319"/>
      <c r="BG1" s="318"/>
      <c r="BH1" s="318"/>
      <c r="BI1" s="318"/>
      <c r="BJ1" s="318"/>
      <c r="BK1" s="318"/>
      <c r="BL1" s="318"/>
      <c r="BM1" s="319"/>
      <c r="BN1" s="318"/>
      <c r="BO1" s="318"/>
      <c r="BP1" s="203"/>
      <c r="BQ1" s="203"/>
      <c r="BR1" s="203"/>
      <c r="BS1" s="319"/>
      <c r="BT1" s="319"/>
      <c r="BU1" s="203"/>
      <c r="BV1" s="203"/>
    </row>
    <row r="2" s="311" customFormat="1" ht="21.9" customHeight="1" spans="1:74 14505:16384">
      <c r="A2" s="311" t="s">
        <v>1</v>
      </c>
      <c r="I2" s="320"/>
      <c r="O2" s="320"/>
      <c r="P2" s="320"/>
      <c r="V2" s="320"/>
      <c r="W2" s="320"/>
      <c r="X2" s="320"/>
      <c r="Y2" s="320"/>
      <c r="Z2" s="320"/>
      <c r="AA2" s="320"/>
      <c r="AB2" s="320"/>
      <c r="AC2" s="320"/>
      <c r="AD2" s="320"/>
      <c r="AK2" s="320"/>
      <c r="AQ2" s="320"/>
      <c r="AR2" s="320"/>
      <c r="AY2" s="320"/>
      <c r="BE2" s="320"/>
      <c r="BF2" s="320"/>
      <c r="BM2" s="320"/>
      <c r="BS2" s="320"/>
      <c r="BT2" s="320"/>
    </row>
    <row r="3" s="312" customFormat="1" ht="39" customHeight="1" spans="1:74 14505:16384">
      <c r="A3" s="313" t="s">
        <v>2</v>
      </c>
      <c r="B3" s="321" t="s">
        <v>3</v>
      </c>
      <c r="C3" s="321"/>
      <c r="D3" s="321"/>
      <c r="E3" s="321"/>
      <c r="F3" s="321"/>
      <c r="G3" s="321" t="s">
        <v>4</v>
      </c>
      <c r="H3" s="321"/>
      <c r="I3" s="322"/>
      <c r="J3" s="321"/>
      <c r="K3" s="321"/>
      <c r="L3" s="321"/>
      <c r="M3" s="321" t="s">
        <v>5</v>
      </c>
      <c r="N3" s="321"/>
      <c r="O3" s="323"/>
      <c r="P3" s="323"/>
      <c r="Q3" s="321"/>
      <c r="R3" s="321"/>
      <c r="S3" s="324"/>
      <c r="T3" s="324"/>
      <c r="U3" s="324"/>
      <c r="V3" s="325"/>
      <c r="W3" s="325"/>
      <c r="X3" s="325"/>
      <c r="Y3" s="325"/>
      <c r="Z3" s="325"/>
      <c r="AA3" s="325"/>
      <c r="AB3" s="325"/>
      <c r="AC3" s="325"/>
      <c r="AD3" s="325"/>
      <c r="AE3" s="324"/>
      <c r="AF3" s="324"/>
      <c r="AG3" s="324"/>
      <c r="AH3" s="324"/>
      <c r="AI3" s="324"/>
      <c r="AJ3" s="324"/>
      <c r="AK3" s="325"/>
      <c r="AL3" s="324"/>
      <c r="AM3" s="324"/>
      <c r="AN3" s="324"/>
      <c r="AO3" s="324"/>
      <c r="AP3" s="324"/>
      <c r="AQ3" s="325"/>
      <c r="AR3" s="325"/>
      <c r="AS3" s="324"/>
      <c r="AT3" s="324"/>
      <c r="AU3" s="324"/>
      <c r="AV3" s="324"/>
      <c r="AW3" s="324"/>
      <c r="AX3" s="324"/>
      <c r="AY3" s="325"/>
      <c r="AZ3" s="324"/>
      <c r="BA3" s="324"/>
      <c r="BB3" s="324"/>
      <c r="BC3" s="324"/>
      <c r="BD3" s="324"/>
      <c r="BE3" s="325"/>
      <c r="BF3" s="325"/>
      <c r="BG3" s="324"/>
      <c r="BH3" s="324"/>
      <c r="BI3" s="324"/>
      <c r="BJ3" s="324"/>
      <c r="BK3" s="324"/>
      <c r="BL3" s="324"/>
      <c r="BM3" s="325"/>
      <c r="BN3" s="324"/>
      <c r="BO3" s="324"/>
      <c r="BP3" s="313"/>
      <c r="BQ3" s="313"/>
      <c r="BR3" s="313"/>
      <c r="BS3" s="326"/>
      <c r="BT3" s="326"/>
      <c r="BU3" s="313"/>
      <c r="BV3" s="313"/>
    </row>
    <row r="4" s="312" customFormat="1" ht="37.95" customHeight="1" spans="1:74 14505:16384">
      <c r="A4" s="313" t="s">
        <v>6</v>
      </c>
      <c r="B4" s="321" t="s">
        <v>7</v>
      </c>
      <c r="C4" s="321"/>
      <c r="D4" s="321"/>
      <c r="E4" s="321"/>
      <c r="F4" s="321"/>
      <c r="G4" s="321" t="s">
        <v>8</v>
      </c>
      <c r="H4" s="321"/>
      <c r="I4" s="322"/>
      <c r="J4" s="321"/>
      <c r="K4" s="321"/>
      <c r="L4" s="321"/>
      <c r="M4" s="321" t="s">
        <v>9</v>
      </c>
      <c r="N4" s="321"/>
      <c r="O4" s="323"/>
      <c r="P4" s="323"/>
      <c r="Q4" s="321"/>
      <c r="R4" s="321"/>
      <c r="S4" s="324"/>
      <c r="T4" s="324"/>
      <c r="U4" s="324"/>
      <c r="V4" s="325"/>
      <c r="W4" s="325"/>
      <c r="X4" s="325"/>
      <c r="Y4" s="325"/>
      <c r="Z4" s="325"/>
      <c r="AA4" s="325"/>
      <c r="AB4" s="325"/>
      <c r="AC4" s="325"/>
      <c r="AD4" s="325"/>
      <c r="AE4" s="324"/>
      <c r="AF4" s="324"/>
      <c r="AG4" s="324"/>
      <c r="AH4" s="324"/>
      <c r="AI4" s="324"/>
      <c r="AJ4" s="324"/>
      <c r="AK4" s="325"/>
      <c r="AL4" s="324"/>
      <c r="AM4" s="324"/>
      <c r="AN4" s="324"/>
      <c r="AO4" s="324"/>
      <c r="AP4" s="324"/>
      <c r="AQ4" s="325"/>
      <c r="AR4" s="325"/>
      <c r="AS4" s="324"/>
      <c r="AT4" s="324"/>
      <c r="AU4" s="324"/>
      <c r="AV4" s="324"/>
      <c r="AW4" s="324"/>
      <c r="AX4" s="324"/>
      <c r="AY4" s="325"/>
      <c r="AZ4" s="324"/>
      <c r="BA4" s="324"/>
      <c r="BB4" s="324"/>
      <c r="BC4" s="324"/>
      <c r="BD4" s="324"/>
      <c r="BE4" s="325"/>
      <c r="BF4" s="325"/>
      <c r="BG4" s="324"/>
      <c r="BH4" s="324"/>
      <c r="BI4" s="324"/>
      <c r="BJ4" s="324"/>
      <c r="BK4" s="324"/>
      <c r="BL4" s="324"/>
      <c r="BM4" s="325"/>
      <c r="BN4" s="324"/>
      <c r="BO4" s="324"/>
      <c r="BP4" s="313"/>
      <c r="BQ4" s="313"/>
      <c r="BR4" s="313"/>
      <c r="BS4" s="326"/>
      <c r="BT4" s="326"/>
      <c r="BU4" s="313"/>
      <c r="BV4" s="313"/>
    </row>
    <row r="5" s="312" customFormat="1" ht="21.9" customHeight="1" spans="1:74 14505:16384">
      <c r="A5" s="313" t="s">
        <v>10</v>
      </c>
      <c r="B5" s="321" t="s">
        <v>11</v>
      </c>
      <c r="C5" s="321"/>
      <c r="D5" s="321"/>
      <c r="E5" s="321"/>
      <c r="F5" s="321"/>
      <c r="G5" s="321" t="s">
        <v>12</v>
      </c>
      <c r="H5" s="321"/>
      <c r="I5" s="322"/>
      <c r="J5" s="321"/>
      <c r="K5" s="321"/>
      <c r="L5" s="321"/>
      <c r="M5" s="321" t="s">
        <v>13</v>
      </c>
      <c r="N5" s="321"/>
      <c r="O5" s="323"/>
      <c r="P5" s="323"/>
      <c r="Q5" s="321"/>
      <c r="R5" s="321"/>
      <c r="S5" s="327"/>
      <c r="T5" s="327"/>
      <c r="U5" s="327"/>
      <c r="V5" s="328"/>
      <c r="W5" s="328"/>
      <c r="X5" s="328"/>
      <c r="Y5" s="328"/>
      <c r="Z5" s="328"/>
      <c r="AA5" s="328"/>
      <c r="AB5" s="328"/>
      <c r="AC5" s="328"/>
      <c r="AD5" s="328"/>
      <c r="AE5" s="327"/>
      <c r="AF5" s="327"/>
      <c r="AG5" s="327"/>
      <c r="AH5" s="327"/>
      <c r="AI5" s="327"/>
      <c r="AJ5" s="327"/>
      <c r="AK5" s="328"/>
      <c r="AL5" s="327"/>
      <c r="AM5" s="327"/>
      <c r="AN5" s="327"/>
      <c r="AO5" s="327"/>
      <c r="AP5" s="327"/>
      <c r="AQ5" s="328"/>
      <c r="AR5" s="328"/>
      <c r="AS5" s="327"/>
      <c r="AT5" s="327"/>
      <c r="AU5" s="327"/>
      <c r="AV5" s="327"/>
      <c r="AW5" s="327"/>
      <c r="AX5" s="327"/>
      <c r="AY5" s="328"/>
      <c r="AZ5" s="327"/>
      <c r="BA5" s="327"/>
      <c r="BB5" s="327"/>
      <c r="BC5" s="327"/>
      <c r="BD5" s="327"/>
      <c r="BE5" s="328"/>
      <c r="BF5" s="328"/>
      <c r="BG5" s="327"/>
      <c r="BH5" s="327"/>
      <c r="BI5" s="327"/>
      <c r="BJ5" s="327"/>
      <c r="BK5" s="327"/>
      <c r="BL5" s="327"/>
      <c r="BM5" s="328"/>
      <c r="BN5" s="327"/>
      <c r="BO5" s="327"/>
      <c r="BP5" s="313"/>
      <c r="BQ5" s="313"/>
      <c r="BR5" s="313"/>
      <c r="BS5" s="326"/>
      <c r="BT5" s="326"/>
      <c r="BU5" s="313"/>
      <c r="BV5" s="313"/>
    </row>
    <row r="6" s="311" customFormat="1" ht="21.9" customHeight="1" spans="1:74 14505:16384">
      <c r="A6" s="311" t="s">
        <v>14</v>
      </c>
      <c r="I6" s="320"/>
      <c r="O6" s="320"/>
      <c r="P6" s="320"/>
      <c r="V6" s="320"/>
      <c r="W6" s="320"/>
      <c r="X6" s="320"/>
      <c r="Y6" s="320"/>
      <c r="Z6" s="320"/>
      <c r="AA6" s="320"/>
      <c r="AB6" s="320"/>
      <c r="AC6" s="320"/>
      <c r="AD6" s="320"/>
      <c r="AK6" s="320"/>
      <c r="AQ6" s="320"/>
      <c r="AR6" s="320"/>
      <c r="AY6" s="320"/>
      <c r="BE6" s="320"/>
      <c r="BF6" s="320"/>
      <c r="BM6" s="320"/>
      <c r="BS6" s="320"/>
      <c r="BT6" s="320"/>
    </row>
    <row r="7" s="313" customFormat="1" ht="164" customHeight="1" spans="1:74 14505:16384">
      <c r="I7" s="326"/>
      <c r="O7" s="326"/>
      <c r="P7" s="326"/>
      <c r="V7" s="326"/>
      <c r="W7" s="326"/>
      <c r="X7" s="326"/>
      <c r="Y7" s="326"/>
      <c r="Z7" s="326"/>
      <c r="AA7" s="326"/>
      <c r="AB7" s="326"/>
      <c r="AC7" s="326"/>
      <c r="AD7" s="326"/>
      <c r="AK7" s="326"/>
      <c r="AQ7" s="326"/>
      <c r="AR7" s="326"/>
      <c r="AY7" s="326"/>
      <c r="BE7" s="326"/>
      <c r="BF7" s="326"/>
      <c r="BM7" s="326"/>
      <c r="BS7" s="326"/>
      <c r="BT7" s="326"/>
    </row>
    <row r="8" s="314" customFormat="1" ht="21.9" customHeight="1" spans="1:74 14505:16384">
      <c r="A8" s="311" t="s">
        <v>15</v>
      </c>
      <c r="B8" s="311"/>
      <c r="C8" s="311"/>
      <c r="D8" s="311"/>
      <c r="E8" s="311"/>
      <c r="F8" s="311"/>
      <c r="G8" s="311"/>
      <c r="H8" s="311"/>
      <c r="I8" s="320"/>
      <c r="J8" s="311"/>
      <c r="K8" s="311"/>
      <c r="L8" s="311"/>
      <c r="M8" s="311"/>
      <c r="N8" s="311"/>
      <c r="O8" s="320"/>
      <c r="P8" s="320"/>
      <c r="Q8" s="311"/>
      <c r="R8" s="311"/>
      <c r="S8" s="311"/>
      <c r="T8" s="311"/>
      <c r="U8" s="311"/>
      <c r="V8" s="320"/>
      <c r="W8" s="320"/>
      <c r="X8" s="320"/>
      <c r="Y8" s="320"/>
      <c r="Z8" s="320"/>
      <c r="AA8" s="320"/>
      <c r="AB8" s="320"/>
      <c r="AC8" s="320"/>
      <c r="AD8" s="320"/>
      <c r="AE8" s="311"/>
      <c r="AF8" s="311"/>
      <c r="AG8" s="311"/>
      <c r="AH8" s="311"/>
      <c r="AI8" s="311"/>
      <c r="AJ8" s="311"/>
      <c r="AK8" s="320"/>
      <c r="AL8" s="311"/>
      <c r="AM8" s="311"/>
      <c r="AN8" s="311"/>
      <c r="AO8" s="311"/>
      <c r="AP8" s="311"/>
      <c r="AQ8" s="320"/>
      <c r="AR8" s="320"/>
      <c r="AS8" s="311"/>
      <c r="AT8" s="311"/>
      <c r="AU8" s="311"/>
      <c r="AV8" s="311"/>
      <c r="AW8" s="311"/>
      <c r="AX8" s="311"/>
      <c r="AY8" s="320"/>
      <c r="AZ8" s="311"/>
      <c r="BA8" s="311"/>
      <c r="BB8" s="311"/>
      <c r="BC8" s="311"/>
      <c r="BD8" s="311"/>
      <c r="BE8" s="320"/>
      <c r="BF8" s="320"/>
      <c r="BG8" s="311"/>
      <c r="BH8" s="311"/>
      <c r="BI8" s="311"/>
      <c r="BJ8" s="311"/>
      <c r="BK8" s="311"/>
      <c r="BL8" s="311"/>
      <c r="BM8" s="320"/>
      <c r="BN8" s="311"/>
      <c r="BO8" s="311"/>
      <c r="BP8" s="311"/>
      <c r="BQ8" s="311"/>
      <c r="BR8" s="311"/>
      <c r="BS8" s="316"/>
      <c r="BT8" s="316"/>
      <c r="BU8" s="329"/>
      <c r="BV8" s="330"/>
      <c r="UKW8" s="317"/>
      <c r="UKX8" s="317"/>
      <c r="UKY8" s="317"/>
      <c r="UKZ8" s="317"/>
      <c r="ULA8" s="317"/>
      <c r="ULB8" s="317"/>
      <c r="ULC8" s="317"/>
      <c r="ULD8" s="317"/>
      <c r="ULE8" s="317"/>
      <c r="ULF8" s="317"/>
      <c r="ULG8" s="317"/>
      <c r="ULH8" s="317"/>
      <c r="ULI8" s="317"/>
      <c r="ULJ8" s="317"/>
      <c r="ULK8" s="317"/>
      <c r="ULL8" s="317"/>
      <c r="ULM8" s="317"/>
      <c r="ULN8" s="317"/>
      <c r="ULO8" s="317"/>
      <c r="ULP8" s="317"/>
      <c r="ULQ8" s="317"/>
      <c r="ULR8" s="317"/>
      <c r="ULS8" s="317"/>
      <c r="ULT8" s="317"/>
      <c r="ULU8" s="317"/>
      <c r="ULV8" s="317"/>
      <c r="ULW8" s="317"/>
      <c r="ULX8" s="317"/>
      <c r="ULY8" s="317"/>
      <c r="ULZ8" s="317"/>
      <c r="UMA8" s="317"/>
      <c r="UMB8" s="317"/>
      <c r="UMC8" s="317"/>
      <c r="UMD8" s="317"/>
      <c r="UME8" s="317"/>
      <c r="UMF8" s="317"/>
      <c r="UMG8" s="317"/>
      <c r="UMH8" s="317"/>
      <c r="UMI8" s="317"/>
      <c r="UMJ8" s="317"/>
      <c r="UMK8" s="317"/>
      <c r="UML8" s="317"/>
      <c r="UMM8" s="317"/>
      <c r="UMN8" s="317"/>
      <c r="UMO8" s="317"/>
      <c r="UMP8" s="317"/>
      <c r="UMQ8" s="317"/>
      <c r="UMR8" s="317"/>
      <c r="UMS8" s="317"/>
      <c r="UMT8" s="317"/>
      <c r="UMU8" s="317"/>
      <c r="UMV8" s="317"/>
      <c r="UMW8" s="317"/>
      <c r="UMX8" s="317"/>
      <c r="UMY8" s="317"/>
      <c r="UMZ8" s="317"/>
      <c r="UNA8" s="317"/>
      <c r="UNB8" s="317"/>
      <c r="UNC8" s="317"/>
      <c r="UND8" s="317"/>
      <c r="UNE8" s="317"/>
      <c r="UNF8" s="317"/>
      <c r="UNG8" s="317"/>
      <c r="UNH8" s="317"/>
      <c r="UNI8" s="317"/>
      <c r="UNJ8" s="317"/>
      <c r="UNK8" s="317"/>
      <c r="UNL8" s="317"/>
      <c r="UNM8" s="317"/>
      <c r="UNN8" s="317"/>
      <c r="UNO8" s="317"/>
      <c r="UNP8" s="317"/>
      <c r="UNQ8" s="317"/>
      <c r="UNR8" s="317"/>
      <c r="UNS8" s="317"/>
      <c r="UNT8" s="317"/>
      <c r="UNU8" s="317"/>
      <c r="UNV8" s="317"/>
      <c r="UNW8" s="317"/>
      <c r="UNX8" s="317"/>
      <c r="UNY8" s="317"/>
      <c r="UNZ8" s="317"/>
      <c r="UOA8" s="317"/>
      <c r="UOB8" s="317"/>
      <c r="UOC8" s="317"/>
      <c r="UOD8" s="317"/>
      <c r="UOE8" s="317"/>
      <c r="UOF8" s="317"/>
      <c r="UOG8" s="317"/>
      <c r="UOH8" s="317"/>
      <c r="UOI8" s="317"/>
      <c r="UOJ8" s="317"/>
      <c r="UOK8" s="317"/>
      <c r="UOL8" s="317"/>
      <c r="UOM8" s="317"/>
      <c r="UON8" s="317"/>
      <c r="UOO8" s="317"/>
      <c r="UOP8" s="317"/>
      <c r="UOQ8" s="317"/>
      <c r="UOR8" s="317"/>
      <c r="UOS8" s="317"/>
      <c r="UOT8" s="317"/>
      <c r="UOU8" s="317"/>
      <c r="UOV8" s="317"/>
      <c r="UOW8" s="317"/>
      <c r="UOX8" s="317"/>
      <c r="UOY8" s="317"/>
      <c r="UOZ8" s="317"/>
      <c r="UPA8" s="317"/>
      <c r="UPB8" s="317"/>
      <c r="UPC8" s="317"/>
      <c r="UPD8" s="317"/>
      <c r="UPE8" s="317"/>
      <c r="UPF8" s="317"/>
      <c r="UPG8" s="317"/>
      <c r="UPH8" s="317"/>
      <c r="UPI8" s="317"/>
      <c r="UPJ8" s="317"/>
      <c r="UPK8" s="317"/>
      <c r="UPL8" s="317"/>
      <c r="UPM8" s="317"/>
      <c r="UPN8" s="317"/>
      <c r="UPO8" s="317"/>
      <c r="UPP8" s="317"/>
      <c r="UPQ8" s="317"/>
      <c r="UPR8" s="317"/>
      <c r="UPS8" s="317"/>
      <c r="UPT8" s="317"/>
      <c r="UPU8" s="317"/>
      <c r="UPV8" s="317"/>
      <c r="UPW8" s="317"/>
      <c r="UPX8" s="317"/>
      <c r="UPY8" s="317"/>
      <c r="UPZ8" s="317"/>
      <c r="UQA8" s="317"/>
      <c r="UQB8" s="317"/>
      <c r="UQC8" s="317"/>
      <c r="UQD8" s="317"/>
      <c r="UQE8" s="317"/>
      <c r="UQF8" s="317"/>
      <c r="UQG8" s="317"/>
      <c r="UQH8" s="317"/>
      <c r="UQI8" s="317"/>
      <c r="UQJ8" s="317"/>
      <c r="UQK8" s="317"/>
      <c r="UQL8" s="317"/>
      <c r="UQM8" s="317"/>
      <c r="UQN8" s="317"/>
      <c r="UQO8" s="317"/>
      <c r="UQP8" s="317"/>
      <c r="UQQ8" s="317"/>
      <c r="UQR8" s="317"/>
      <c r="UQS8" s="317"/>
      <c r="UQT8" s="317"/>
      <c r="UQU8" s="317"/>
      <c r="UQV8" s="317"/>
      <c r="UQW8" s="317"/>
      <c r="UQX8" s="317"/>
      <c r="UQY8" s="317"/>
      <c r="UQZ8" s="317"/>
      <c r="URA8" s="317"/>
      <c r="URB8" s="317"/>
      <c r="URC8" s="317"/>
      <c r="URD8" s="317"/>
      <c r="URE8" s="317"/>
      <c r="URF8" s="317"/>
      <c r="URG8" s="317"/>
      <c r="URH8" s="317"/>
      <c r="URI8" s="317"/>
      <c r="URJ8" s="317"/>
      <c r="URK8" s="317"/>
      <c r="URL8" s="317"/>
      <c r="URM8" s="317"/>
      <c r="URN8" s="317"/>
      <c r="URO8" s="317"/>
      <c r="URP8" s="317"/>
      <c r="URQ8" s="317"/>
      <c r="URR8" s="317"/>
      <c r="URS8" s="317"/>
      <c r="URT8" s="317"/>
      <c r="URU8" s="317"/>
      <c r="URV8" s="317"/>
      <c r="URW8" s="317"/>
      <c r="URX8" s="317"/>
      <c r="URY8" s="317"/>
      <c r="URZ8" s="317"/>
      <c r="USA8" s="317"/>
      <c r="USB8" s="317"/>
      <c r="USC8" s="317"/>
      <c r="USD8" s="317"/>
      <c r="USE8" s="317"/>
      <c r="USF8" s="317"/>
      <c r="USG8" s="317"/>
      <c r="USH8" s="317"/>
      <c r="USI8" s="317"/>
      <c r="USJ8" s="317"/>
      <c r="USK8" s="317"/>
      <c r="USL8" s="317"/>
      <c r="USM8" s="317"/>
      <c r="USN8" s="317"/>
      <c r="USO8" s="317"/>
      <c r="USP8" s="317"/>
      <c r="USQ8" s="317"/>
      <c r="USR8" s="317"/>
      <c r="USS8" s="317"/>
      <c r="UST8" s="317"/>
      <c r="USU8" s="317"/>
      <c r="USV8" s="317"/>
      <c r="USW8" s="317"/>
      <c r="USX8" s="317"/>
      <c r="USY8" s="317"/>
      <c r="USZ8" s="317"/>
      <c r="UTA8" s="317"/>
      <c r="UTB8" s="317"/>
      <c r="UTC8" s="317"/>
      <c r="UTD8" s="317"/>
      <c r="UTE8" s="317"/>
      <c r="UTF8" s="317"/>
      <c r="UTG8" s="317"/>
      <c r="UTH8" s="317"/>
      <c r="UTI8" s="317"/>
      <c r="UTJ8" s="317"/>
      <c r="UTK8" s="317"/>
      <c r="UTL8" s="317"/>
      <c r="UTM8" s="317"/>
      <c r="UTN8" s="317"/>
      <c r="UTO8" s="317"/>
      <c r="UTP8" s="317"/>
      <c r="UTQ8" s="317"/>
      <c r="UTR8" s="317"/>
      <c r="UTS8" s="317"/>
      <c r="UTT8" s="317"/>
      <c r="UTU8" s="317"/>
      <c r="UTV8" s="317"/>
      <c r="UTW8" s="317"/>
      <c r="UTX8" s="317"/>
      <c r="UTY8" s="317"/>
      <c r="UTZ8" s="317"/>
      <c r="UUA8" s="317"/>
      <c r="UUB8" s="317"/>
      <c r="UUC8" s="317"/>
      <c r="UUD8" s="317"/>
      <c r="UUE8" s="317"/>
      <c r="UUF8" s="317"/>
      <c r="UUG8" s="317"/>
      <c r="UUH8" s="317"/>
      <c r="UUI8" s="317"/>
      <c r="UUJ8" s="317"/>
      <c r="UUK8" s="317"/>
      <c r="UUL8" s="317"/>
      <c r="UUM8" s="317"/>
      <c r="UUN8" s="317"/>
      <c r="UUO8" s="317"/>
      <c r="UUP8" s="317"/>
      <c r="UUQ8" s="317"/>
      <c r="UUR8" s="317"/>
      <c r="UUS8" s="317"/>
      <c r="UUT8" s="317"/>
      <c r="UUU8" s="317"/>
      <c r="UUV8" s="317"/>
      <c r="UUW8" s="317"/>
      <c r="UUX8" s="317"/>
      <c r="UUY8" s="317"/>
      <c r="UUZ8" s="317"/>
      <c r="UVA8" s="317"/>
      <c r="UVB8" s="317"/>
      <c r="UVC8" s="317"/>
      <c r="UVD8" s="317"/>
      <c r="UVE8" s="317"/>
      <c r="UVF8" s="317"/>
      <c r="UVG8" s="317"/>
      <c r="UVH8" s="317"/>
      <c r="UVI8" s="317"/>
      <c r="UVJ8" s="317"/>
      <c r="UVK8" s="317"/>
      <c r="UVL8" s="317"/>
      <c r="UVM8" s="317"/>
      <c r="UVN8" s="317"/>
      <c r="UVO8" s="317"/>
      <c r="UVP8" s="317"/>
      <c r="UVQ8" s="317"/>
      <c r="UVR8" s="317"/>
      <c r="UVS8" s="317"/>
      <c r="UVT8" s="317"/>
      <c r="UVU8" s="317"/>
      <c r="UVV8" s="317"/>
      <c r="UVW8" s="317"/>
      <c r="UVX8" s="317"/>
      <c r="UVY8" s="317"/>
      <c r="UVZ8" s="317"/>
      <c r="UWA8" s="317"/>
      <c r="UWB8" s="317"/>
      <c r="UWC8" s="317"/>
      <c r="UWD8" s="317"/>
      <c r="UWE8" s="317"/>
      <c r="UWF8" s="317"/>
      <c r="UWG8" s="317"/>
      <c r="UWH8" s="317"/>
      <c r="UWI8" s="317"/>
      <c r="UWJ8" s="317"/>
      <c r="UWK8" s="317"/>
      <c r="UWL8" s="317"/>
      <c r="UWM8" s="317"/>
      <c r="UWN8" s="317"/>
      <c r="UWO8" s="317"/>
      <c r="UWP8" s="317"/>
      <c r="UWQ8" s="317"/>
      <c r="UWR8" s="317"/>
      <c r="UWS8" s="317"/>
      <c r="UWT8" s="317"/>
      <c r="UWU8" s="317"/>
      <c r="UWV8" s="317"/>
      <c r="UWW8" s="317"/>
      <c r="UWX8" s="317"/>
      <c r="UWY8" s="317"/>
      <c r="UWZ8" s="317"/>
      <c r="UXA8" s="317"/>
      <c r="UXB8" s="317"/>
      <c r="UXC8" s="317"/>
      <c r="UXD8" s="317"/>
      <c r="UXE8" s="317"/>
      <c r="UXF8" s="317"/>
      <c r="UXG8" s="317"/>
      <c r="UXH8" s="317"/>
      <c r="UXI8" s="317"/>
      <c r="UXJ8" s="317"/>
      <c r="UXK8" s="317"/>
      <c r="UXL8" s="317"/>
      <c r="UXM8" s="317"/>
      <c r="UXN8" s="317"/>
      <c r="UXO8" s="317"/>
      <c r="UXP8" s="317"/>
      <c r="UXQ8" s="317"/>
      <c r="UXR8" s="317"/>
      <c r="UXS8" s="317"/>
      <c r="UXT8" s="317"/>
      <c r="UXU8" s="317"/>
      <c r="UXV8" s="317"/>
      <c r="UXW8" s="317"/>
      <c r="UXX8" s="317"/>
      <c r="UXY8" s="317"/>
      <c r="UXZ8" s="317"/>
      <c r="UYA8" s="317"/>
      <c r="UYB8" s="317"/>
      <c r="UYC8" s="317"/>
      <c r="UYD8" s="317"/>
      <c r="UYE8" s="317"/>
      <c r="UYF8" s="317"/>
      <c r="UYG8" s="317"/>
      <c r="UYH8" s="317"/>
      <c r="UYI8" s="317"/>
      <c r="UYJ8" s="317"/>
      <c r="UYK8" s="317"/>
      <c r="UYL8" s="317"/>
      <c r="UYM8" s="317"/>
      <c r="UYN8" s="317"/>
      <c r="UYO8" s="317"/>
      <c r="UYP8" s="317"/>
      <c r="UYQ8" s="317"/>
      <c r="UYR8" s="317"/>
      <c r="UYS8" s="317"/>
      <c r="UYT8" s="317"/>
      <c r="UYU8" s="317"/>
      <c r="UYV8" s="317"/>
      <c r="UYW8" s="317"/>
      <c r="UYX8" s="317"/>
      <c r="UYY8" s="317"/>
      <c r="UYZ8" s="317"/>
      <c r="UZA8" s="317"/>
      <c r="UZB8" s="317"/>
      <c r="UZC8" s="317"/>
      <c r="UZD8" s="317"/>
      <c r="UZE8" s="317"/>
      <c r="UZF8" s="317"/>
      <c r="UZG8" s="317"/>
      <c r="UZH8" s="317"/>
      <c r="UZI8" s="317"/>
      <c r="UZJ8" s="317"/>
      <c r="UZK8" s="317"/>
      <c r="UZL8" s="317"/>
      <c r="UZM8" s="317"/>
      <c r="UZN8" s="317"/>
      <c r="UZO8" s="317"/>
      <c r="UZP8" s="317"/>
      <c r="UZQ8" s="317"/>
      <c r="UZR8" s="317"/>
      <c r="UZS8" s="317"/>
      <c r="UZT8" s="317"/>
      <c r="UZU8" s="317"/>
      <c r="UZV8" s="317"/>
      <c r="UZW8" s="317"/>
      <c r="UZX8" s="317"/>
      <c r="UZY8" s="317"/>
      <c r="UZZ8" s="317"/>
      <c r="VAA8" s="317"/>
      <c r="VAB8" s="317"/>
      <c r="VAC8" s="317"/>
      <c r="VAD8" s="317"/>
      <c r="VAE8" s="317"/>
      <c r="VAF8" s="317"/>
      <c r="VAG8" s="317"/>
      <c r="VAH8" s="317"/>
      <c r="VAI8" s="317"/>
      <c r="VAJ8" s="317"/>
      <c r="VAK8" s="317"/>
      <c r="VAL8" s="317"/>
      <c r="VAM8" s="317"/>
      <c r="VAN8" s="317"/>
      <c r="VAO8" s="317"/>
      <c r="VAP8" s="317"/>
      <c r="VAQ8" s="317"/>
      <c r="VAR8" s="317"/>
      <c r="VAS8" s="317"/>
      <c r="VAT8" s="317"/>
      <c r="VAU8" s="317"/>
      <c r="VAV8" s="317"/>
      <c r="VAW8" s="317"/>
      <c r="VAX8" s="317"/>
      <c r="VAY8" s="317"/>
      <c r="VAZ8" s="317"/>
      <c r="VBA8" s="317"/>
      <c r="VBB8" s="317"/>
      <c r="VBC8" s="317"/>
      <c r="VBD8" s="317"/>
      <c r="VBE8" s="317"/>
      <c r="VBF8" s="317"/>
      <c r="VBG8" s="317"/>
      <c r="VBH8" s="317"/>
      <c r="VBI8" s="317"/>
      <c r="VBJ8" s="317"/>
      <c r="VBK8" s="317"/>
      <c r="VBL8" s="317"/>
      <c r="VBM8" s="317"/>
      <c r="VBN8" s="317"/>
      <c r="VBO8" s="317"/>
      <c r="VBP8" s="317"/>
      <c r="VBQ8" s="317"/>
      <c r="VBR8" s="317"/>
      <c r="VBS8" s="317"/>
      <c r="VBT8" s="317"/>
      <c r="VBU8" s="317"/>
      <c r="VBV8" s="317"/>
      <c r="VBW8" s="317"/>
      <c r="VBX8" s="317"/>
      <c r="VBY8" s="317"/>
      <c r="VBZ8" s="317"/>
      <c r="VCA8" s="317"/>
      <c r="VCB8" s="317"/>
      <c r="VCC8" s="317"/>
      <c r="VCD8" s="317"/>
      <c r="VCE8" s="317"/>
      <c r="VCF8" s="317"/>
      <c r="VCG8" s="317"/>
      <c r="VCH8" s="317"/>
      <c r="VCI8" s="317"/>
      <c r="VCJ8" s="317"/>
      <c r="VCK8" s="317"/>
      <c r="VCL8" s="317"/>
      <c r="VCM8" s="317"/>
      <c r="VCN8" s="317"/>
      <c r="VCO8" s="317"/>
      <c r="VCP8" s="317"/>
      <c r="VCQ8" s="317"/>
      <c r="VCR8" s="317"/>
      <c r="VCS8" s="317"/>
      <c r="VCT8" s="317"/>
      <c r="VCU8" s="317"/>
      <c r="VCV8" s="317"/>
      <c r="VCW8" s="317"/>
      <c r="VCX8" s="317"/>
      <c r="VCY8" s="317"/>
      <c r="VCZ8" s="317"/>
      <c r="VDA8" s="317"/>
      <c r="VDB8" s="317"/>
      <c r="VDC8" s="317"/>
      <c r="VDD8" s="317"/>
      <c r="VDE8" s="317"/>
      <c r="VDF8" s="317"/>
      <c r="VDG8" s="317"/>
      <c r="VDH8" s="317"/>
      <c r="VDI8" s="317"/>
      <c r="VDJ8" s="317"/>
      <c r="VDK8" s="317"/>
      <c r="VDL8" s="317"/>
      <c r="VDM8" s="317"/>
      <c r="VDN8" s="317"/>
      <c r="VDO8" s="317"/>
      <c r="VDP8" s="317"/>
      <c r="VDQ8" s="317"/>
      <c r="VDR8" s="317"/>
      <c r="VDS8" s="317"/>
      <c r="VDT8" s="317"/>
      <c r="VDU8" s="317"/>
      <c r="VDV8" s="317"/>
      <c r="VDW8" s="317"/>
      <c r="VDX8" s="317"/>
      <c r="VDY8" s="317"/>
      <c r="VDZ8" s="317"/>
      <c r="VEA8" s="317"/>
      <c r="VEB8" s="317"/>
      <c r="VEC8" s="317"/>
      <c r="VED8" s="317"/>
      <c r="VEE8" s="317"/>
      <c r="VEF8" s="317"/>
      <c r="VEG8" s="317"/>
      <c r="VEH8" s="317"/>
      <c r="VEI8" s="317"/>
      <c r="VEJ8" s="317"/>
      <c r="VEK8" s="317"/>
      <c r="VEL8" s="317"/>
      <c r="VEM8" s="317"/>
      <c r="VEN8" s="317"/>
      <c r="VEO8" s="317"/>
      <c r="VEP8" s="317"/>
      <c r="VEQ8" s="317"/>
      <c r="VER8" s="317"/>
      <c r="VES8" s="317"/>
      <c r="VET8" s="317"/>
      <c r="VEU8" s="317"/>
      <c r="VEV8" s="317"/>
      <c r="VEW8" s="317"/>
      <c r="VEX8" s="317"/>
      <c r="VEY8" s="317"/>
      <c r="VEZ8" s="317"/>
      <c r="VFA8" s="317"/>
      <c r="VFB8" s="317"/>
      <c r="VFC8" s="317"/>
      <c r="VFD8" s="317"/>
      <c r="VFE8" s="317"/>
      <c r="VFF8" s="317"/>
      <c r="VFG8" s="317"/>
      <c r="VFH8" s="317"/>
      <c r="VFI8" s="317"/>
      <c r="VFJ8" s="317"/>
      <c r="VFK8" s="317"/>
      <c r="VFL8" s="317"/>
      <c r="VFM8" s="317"/>
      <c r="VFN8" s="317"/>
      <c r="VFO8" s="317"/>
      <c r="VFP8" s="317"/>
      <c r="VFQ8" s="317"/>
      <c r="VFR8" s="317"/>
      <c r="VFS8" s="317"/>
      <c r="VFT8" s="317"/>
      <c r="VFU8" s="317"/>
      <c r="VFV8" s="317"/>
      <c r="VFW8" s="317"/>
      <c r="VFX8" s="317"/>
      <c r="VFY8" s="317"/>
      <c r="VFZ8" s="317"/>
      <c r="VGA8" s="317"/>
      <c r="VGB8" s="317"/>
      <c r="VGC8" s="317"/>
      <c r="VGD8" s="317"/>
      <c r="VGE8" s="317"/>
      <c r="VGF8" s="317"/>
      <c r="VGG8" s="317"/>
      <c r="VGH8" s="317"/>
      <c r="VGI8" s="317"/>
      <c r="VGJ8" s="317"/>
      <c r="VGK8" s="317"/>
      <c r="VGL8" s="317"/>
      <c r="VGM8" s="317"/>
      <c r="VGN8" s="317"/>
      <c r="VGO8" s="317"/>
      <c r="VGP8" s="317"/>
      <c r="VGQ8" s="317"/>
      <c r="VGR8" s="317"/>
      <c r="VGS8" s="317"/>
      <c r="VGT8" s="317"/>
      <c r="VGU8" s="317"/>
      <c r="VGV8" s="317"/>
      <c r="VGW8" s="317"/>
      <c r="VGX8" s="317"/>
      <c r="VGY8" s="317"/>
      <c r="VGZ8" s="317"/>
      <c r="VHA8" s="317"/>
      <c r="VHB8" s="317"/>
      <c r="VHC8" s="317"/>
      <c r="VHD8" s="317"/>
      <c r="VHE8" s="317"/>
      <c r="VHF8" s="317"/>
      <c r="VHG8" s="317"/>
      <c r="VHH8" s="317"/>
      <c r="VHI8" s="317"/>
      <c r="VHJ8" s="317"/>
      <c r="VHK8" s="317"/>
      <c r="VHL8" s="317"/>
      <c r="VHM8" s="317"/>
      <c r="VHN8" s="317"/>
      <c r="VHO8" s="317"/>
      <c r="VHP8" s="317"/>
      <c r="VHQ8" s="317"/>
      <c r="VHR8" s="317"/>
      <c r="VHS8" s="317"/>
      <c r="VHT8" s="317"/>
      <c r="VHU8" s="317"/>
      <c r="VHV8" s="317"/>
      <c r="VHW8" s="317"/>
      <c r="VHX8" s="317"/>
      <c r="VHY8" s="317"/>
      <c r="VHZ8" s="317"/>
      <c r="VIA8" s="317"/>
      <c r="VIB8" s="317"/>
      <c r="VIC8" s="317"/>
      <c r="VID8" s="317"/>
      <c r="VIE8" s="317"/>
      <c r="VIF8" s="317"/>
      <c r="VIG8" s="317"/>
      <c r="VIH8" s="317"/>
      <c r="VII8" s="317"/>
      <c r="VIJ8" s="317"/>
      <c r="VIK8" s="317"/>
      <c r="VIL8" s="317"/>
      <c r="VIM8" s="317"/>
      <c r="VIN8" s="317"/>
      <c r="VIO8" s="317"/>
      <c r="VIP8" s="317"/>
      <c r="VIQ8" s="317"/>
      <c r="VIR8" s="317"/>
      <c r="VIS8" s="317"/>
      <c r="VIT8" s="317"/>
      <c r="VIU8" s="317"/>
      <c r="VIV8" s="317"/>
      <c r="VIW8" s="317"/>
      <c r="VIX8" s="317"/>
      <c r="VIY8" s="317"/>
      <c r="VIZ8" s="317"/>
      <c r="VJA8" s="317"/>
      <c r="VJB8" s="317"/>
      <c r="VJC8" s="317"/>
      <c r="VJD8" s="317"/>
      <c r="VJE8" s="317"/>
      <c r="VJF8" s="317"/>
      <c r="VJG8" s="317"/>
      <c r="VJH8" s="317"/>
      <c r="VJI8" s="317"/>
      <c r="VJJ8" s="317"/>
      <c r="VJK8" s="317"/>
      <c r="VJL8" s="317"/>
      <c r="VJM8" s="317"/>
      <c r="VJN8" s="317"/>
      <c r="VJO8" s="317"/>
      <c r="VJP8" s="317"/>
      <c r="VJQ8" s="317"/>
      <c r="VJR8" s="317"/>
      <c r="VJS8" s="317"/>
      <c r="VJT8" s="317"/>
      <c r="VJU8" s="317"/>
      <c r="VJV8" s="317"/>
      <c r="VJW8" s="317"/>
      <c r="VJX8" s="317"/>
      <c r="VJY8" s="317"/>
      <c r="VJZ8" s="317"/>
      <c r="VKA8" s="317"/>
      <c r="VKB8" s="317"/>
      <c r="VKC8" s="317"/>
      <c r="VKD8" s="317"/>
      <c r="VKE8" s="317"/>
      <c r="VKF8" s="317"/>
      <c r="VKG8" s="317"/>
      <c r="VKH8" s="317"/>
      <c r="VKI8" s="317"/>
      <c r="VKJ8" s="317"/>
      <c r="VKK8" s="317"/>
      <c r="VKL8" s="317"/>
      <c r="VKM8" s="317"/>
      <c r="VKN8" s="317"/>
      <c r="VKO8" s="317"/>
      <c r="VKP8" s="317"/>
      <c r="VKQ8" s="317"/>
      <c r="VKR8" s="317"/>
      <c r="VKS8" s="317"/>
      <c r="VKT8" s="317"/>
      <c r="VKU8" s="317"/>
      <c r="VKV8" s="317"/>
      <c r="VKW8" s="317"/>
      <c r="VKX8" s="317"/>
      <c r="VKY8" s="317"/>
      <c r="VKZ8" s="317"/>
      <c r="VLA8" s="317"/>
      <c r="VLB8" s="317"/>
      <c r="VLC8" s="317"/>
      <c r="VLD8" s="317"/>
      <c r="VLE8" s="317"/>
      <c r="VLF8" s="317"/>
      <c r="VLG8" s="317"/>
      <c r="VLH8" s="317"/>
      <c r="VLI8" s="317"/>
      <c r="VLJ8" s="317"/>
      <c r="VLK8" s="317"/>
      <c r="VLL8" s="317"/>
      <c r="VLM8" s="317"/>
      <c r="VLN8" s="317"/>
      <c r="VLO8" s="317"/>
      <c r="VLP8" s="317"/>
      <c r="VLQ8" s="317"/>
      <c r="VLR8" s="317"/>
      <c r="VLS8" s="317"/>
      <c r="VLT8" s="317"/>
      <c r="VLU8" s="317"/>
      <c r="VLV8" s="317"/>
      <c r="VLW8" s="317"/>
      <c r="VLX8" s="317"/>
      <c r="VLY8" s="317"/>
      <c r="VLZ8" s="317"/>
      <c r="VMA8" s="317"/>
      <c r="VMB8" s="317"/>
      <c r="VMC8" s="317"/>
      <c r="VMD8" s="317"/>
      <c r="VME8" s="317"/>
      <c r="VMF8" s="317"/>
      <c r="VMG8" s="317"/>
      <c r="VMH8" s="317"/>
      <c r="VMI8" s="317"/>
      <c r="VMJ8" s="317"/>
      <c r="VMK8" s="317"/>
      <c r="VML8" s="317"/>
      <c r="VMM8" s="317"/>
      <c r="VMN8" s="317"/>
      <c r="VMO8" s="317"/>
      <c r="VMP8" s="317"/>
      <c r="VMQ8" s="317"/>
      <c r="VMR8" s="317"/>
      <c r="VMS8" s="317"/>
      <c r="VMT8" s="317"/>
      <c r="VMU8" s="317"/>
      <c r="VMV8" s="317"/>
      <c r="VMW8" s="317"/>
      <c r="VMX8" s="317"/>
      <c r="VMY8" s="317"/>
      <c r="VMZ8" s="317"/>
      <c r="VNA8" s="317"/>
      <c r="VNB8" s="317"/>
      <c r="VNC8" s="317"/>
      <c r="VND8" s="317"/>
      <c r="VNE8" s="317"/>
      <c r="VNF8" s="317"/>
      <c r="VNG8" s="317"/>
      <c r="VNH8" s="317"/>
      <c r="VNI8" s="317"/>
      <c r="VNJ8" s="317"/>
      <c r="VNK8" s="317"/>
      <c r="VNL8" s="317"/>
      <c r="VNM8" s="317"/>
      <c r="VNN8" s="317"/>
      <c r="VNO8" s="317"/>
      <c r="VNP8" s="317"/>
      <c r="VNQ8" s="317"/>
      <c r="VNR8" s="317"/>
      <c r="VNS8" s="317"/>
      <c r="VNT8" s="317"/>
      <c r="VNU8" s="317"/>
      <c r="VNV8" s="317"/>
      <c r="VNW8" s="317"/>
      <c r="VNX8" s="317"/>
      <c r="VNY8" s="317"/>
      <c r="VNZ8" s="317"/>
      <c r="VOA8" s="317"/>
      <c r="VOB8" s="317"/>
      <c r="VOC8" s="317"/>
      <c r="VOD8" s="317"/>
      <c r="VOE8" s="317"/>
      <c r="VOF8" s="317"/>
      <c r="VOG8" s="317"/>
      <c r="VOH8" s="317"/>
      <c r="VOI8" s="317"/>
      <c r="VOJ8" s="317"/>
      <c r="VOK8" s="317"/>
      <c r="VOL8" s="317"/>
      <c r="VOM8" s="317"/>
      <c r="VON8" s="317"/>
      <c r="VOO8" s="317"/>
      <c r="VOP8" s="317"/>
      <c r="VOQ8" s="317"/>
      <c r="VOR8" s="317"/>
      <c r="VOS8" s="317"/>
      <c r="VOT8" s="317"/>
      <c r="VOU8" s="317"/>
      <c r="VOV8" s="317"/>
      <c r="VOW8" s="317"/>
      <c r="VOX8" s="317"/>
      <c r="VOY8" s="317"/>
      <c r="VOZ8" s="317"/>
      <c r="VPA8" s="317"/>
      <c r="VPB8" s="317"/>
      <c r="VPC8" s="317"/>
      <c r="VPD8" s="317"/>
      <c r="VPE8" s="317"/>
      <c r="VPF8" s="317"/>
      <c r="VPG8" s="317"/>
      <c r="VPH8" s="317"/>
      <c r="VPI8" s="317"/>
      <c r="VPJ8" s="317"/>
      <c r="VPK8" s="317"/>
      <c r="VPL8" s="317"/>
      <c r="VPM8" s="317"/>
      <c r="VPN8" s="317"/>
      <c r="VPO8" s="317"/>
      <c r="VPP8" s="317"/>
      <c r="VPQ8" s="317"/>
      <c r="VPR8" s="317"/>
      <c r="VPS8" s="317"/>
      <c r="VPT8" s="317"/>
      <c r="VPU8" s="317"/>
      <c r="VPV8" s="317"/>
      <c r="VPW8" s="317"/>
      <c r="VPX8" s="317"/>
      <c r="VPY8" s="317"/>
      <c r="VPZ8" s="317"/>
      <c r="VQA8" s="317"/>
      <c r="VQB8" s="317"/>
      <c r="VQC8" s="317"/>
      <c r="VQD8" s="317"/>
      <c r="VQE8" s="317"/>
      <c r="VQF8" s="317"/>
      <c r="VQG8" s="317"/>
      <c r="VQH8" s="317"/>
      <c r="VQI8" s="317"/>
      <c r="VQJ8" s="317"/>
      <c r="VQK8" s="317"/>
      <c r="VQL8" s="317"/>
      <c r="VQM8" s="317"/>
      <c r="VQN8" s="317"/>
      <c r="VQO8" s="317"/>
      <c r="VQP8" s="317"/>
      <c r="VQQ8" s="317"/>
      <c r="VQR8" s="317"/>
      <c r="VQS8" s="317"/>
      <c r="VQT8" s="317"/>
      <c r="VQU8" s="317"/>
      <c r="VQV8" s="317"/>
      <c r="VQW8" s="317"/>
      <c r="VQX8" s="317"/>
      <c r="VQY8" s="317"/>
      <c r="VQZ8" s="317"/>
      <c r="VRA8" s="317"/>
      <c r="VRB8" s="317"/>
      <c r="VRC8" s="317"/>
      <c r="VRD8" s="317"/>
      <c r="VRE8" s="317"/>
      <c r="VRF8" s="317"/>
      <c r="VRG8" s="317"/>
      <c r="VRH8" s="317"/>
      <c r="VRI8" s="317"/>
      <c r="VRJ8" s="317"/>
      <c r="VRK8" s="317"/>
      <c r="VRL8" s="317"/>
      <c r="VRM8" s="317"/>
      <c r="VRN8" s="317"/>
      <c r="VRO8" s="317"/>
      <c r="VRP8" s="317"/>
      <c r="VRQ8" s="317"/>
      <c r="VRR8" s="317"/>
      <c r="VRS8" s="317"/>
      <c r="VRT8" s="317"/>
      <c r="VRU8" s="317"/>
      <c r="VRV8" s="317"/>
      <c r="VRW8" s="317"/>
      <c r="VRX8" s="317"/>
      <c r="VRY8" s="317"/>
      <c r="VRZ8" s="317"/>
      <c r="VSA8" s="317"/>
      <c r="VSB8" s="317"/>
      <c r="VSC8" s="317"/>
      <c r="VSD8" s="317"/>
      <c r="VSE8" s="317"/>
      <c r="VSF8" s="317"/>
      <c r="VSG8" s="317"/>
      <c r="VSH8" s="317"/>
      <c r="VSI8" s="317"/>
      <c r="VSJ8" s="317"/>
      <c r="VSK8" s="317"/>
      <c r="VSL8" s="317"/>
      <c r="VSM8" s="317"/>
      <c r="VSN8" s="317"/>
      <c r="VSO8" s="317"/>
      <c r="VSP8" s="317"/>
      <c r="VSQ8" s="317"/>
      <c r="VSR8" s="317"/>
      <c r="VSS8" s="317"/>
      <c r="VST8" s="317"/>
      <c r="VSU8" s="317"/>
      <c r="VSV8" s="317"/>
      <c r="VSW8" s="317"/>
      <c r="VSX8" s="317"/>
      <c r="VSY8" s="317"/>
      <c r="VSZ8" s="317"/>
      <c r="VTA8" s="317"/>
      <c r="VTB8" s="317"/>
      <c r="VTC8" s="317"/>
      <c r="VTD8" s="317"/>
      <c r="VTE8" s="317"/>
      <c r="VTF8" s="317"/>
      <c r="VTG8" s="317"/>
      <c r="VTH8" s="317"/>
      <c r="VTI8" s="317"/>
      <c r="VTJ8" s="317"/>
      <c r="VTK8" s="317"/>
      <c r="VTL8" s="317"/>
      <c r="VTM8" s="317"/>
      <c r="VTN8" s="317"/>
      <c r="VTO8" s="317"/>
      <c r="VTP8" s="317"/>
      <c r="VTQ8" s="317"/>
      <c r="VTR8" s="317"/>
      <c r="VTS8" s="317"/>
      <c r="VTT8" s="317"/>
      <c r="VTU8" s="317"/>
      <c r="VTV8" s="317"/>
      <c r="VTW8" s="317"/>
      <c r="VTX8" s="317"/>
      <c r="VTY8" s="317"/>
      <c r="VTZ8" s="317"/>
      <c r="VUA8" s="317"/>
      <c r="VUB8" s="317"/>
      <c r="VUC8" s="317"/>
      <c r="VUD8" s="317"/>
      <c r="VUE8" s="317"/>
      <c r="VUF8" s="317"/>
      <c r="VUG8" s="317"/>
      <c r="VUH8" s="317"/>
      <c r="VUI8" s="317"/>
      <c r="VUJ8" s="317"/>
      <c r="VUK8" s="317"/>
      <c r="VUL8" s="317"/>
      <c r="VUM8" s="317"/>
      <c r="VUN8" s="317"/>
      <c r="VUO8" s="317"/>
      <c r="VUP8" s="317"/>
      <c r="VUQ8" s="317"/>
      <c r="VUR8" s="317"/>
      <c r="VUS8" s="317"/>
      <c r="VUT8" s="317"/>
      <c r="VUU8" s="317"/>
      <c r="VUV8" s="317"/>
      <c r="VUW8" s="317"/>
      <c r="VUX8" s="317"/>
      <c r="VUY8" s="317"/>
      <c r="VUZ8" s="317"/>
      <c r="VVA8" s="317"/>
      <c r="VVB8" s="317"/>
      <c r="VVC8" s="317"/>
      <c r="VVD8" s="317"/>
      <c r="VVE8" s="317"/>
      <c r="VVF8" s="317"/>
      <c r="VVG8" s="317"/>
      <c r="VVH8" s="317"/>
      <c r="VVI8" s="317"/>
      <c r="VVJ8" s="317"/>
      <c r="VVK8" s="317"/>
      <c r="VVL8" s="317"/>
      <c r="VVM8" s="317"/>
      <c r="VVN8" s="317"/>
      <c r="VVO8" s="317"/>
      <c r="VVP8" s="317"/>
      <c r="VVQ8" s="317"/>
      <c r="VVR8" s="317"/>
      <c r="VVS8" s="317"/>
      <c r="VVT8" s="317"/>
      <c r="VVU8" s="317"/>
      <c r="VVV8" s="317"/>
      <c r="VVW8" s="317"/>
      <c r="VVX8" s="317"/>
      <c r="VVY8" s="317"/>
      <c r="VVZ8" s="317"/>
      <c r="VWA8" s="317"/>
      <c r="VWB8" s="317"/>
      <c r="VWC8" s="317"/>
      <c r="VWD8" s="317"/>
      <c r="VWE8" s="317"/>
      <c r="VWF8" s="317"/>
      <c r="VWG8" s="317"/>
      <c r="VWH8" s="317"/>
      <c r="VWI8" s="317"/>
      <c r="VWJ8" s="317"/>
      <c r="VWK8" s="317"/>
      <c r="VWL8" s="317"/>
      <c r="VWM8" s="317"/>
      <c r="VWN8" s="317"/>
      <c r="VWO8" s="317"/>
      <c r="VWP8" s="317"/>
      <c r="VWQ8" s="317"/>
      <c r="VWR8" s="317"/>
      <c r="VWS8" s="317"/>
      <c r="VWT8" s="317"/>
      <c r="VWU8" s="317"/>
      <c r="VWV8" s="317"/>
      <c r="VWW8" s="317"/>
      <c r="VWX8" s="317"/>
      <c r="VWY8" s="317"/>
      <c r="VWZ8" s="317"/>
      <c r="VXA8" s="317"/>
      <c r="VXB8" s="317"/>
      <c r="VXC8" s="317"/>
      <c r="VXD8" s="317"/>
      <c r="VXE8" s="317"/>
      <c r="VXF8" s="317"/>
      <c r="VXG8" s="317"/>
      <c r="VXH8" s="317"/>
      <c r="VXI8" s="317"/>
      <c r="VXJ8" s="317"/>
      <c r="VXK8" s="317"/>
      <c r="VXL8" s="317"/>
      <c r="VXM8" s="317"/>
      <c r="VXN8" s="317"/>
      <c r="VXO8" s="317"/>
      <c r="VXP8" s="317"/>
      <c r="VXQ8" s="317"/>
      <c r="VXR8" s="317"/>
      <c r="VXS8" s="317"/>
      <c r="VXT8" s="317"/>
      <c r="VXU8" s="317"/>
      <c r="VXV8" s="317"/>
      <c r="VXW8" s="317"/>
      <c r="VXX8" s="317"/>
      <c r="VXY8" s="317"/>
      <c r="VXZ8" s="317"/>
      <c r="VYA8" s="317"/>
      <c r="VYB8" s="317"/>
      <c r="VYC8" s="317"/>
      <c r="VYD8" s="317"/>
      <c r="VYE8" s="317"/>
      <c r="VYF8" s="317"/>
      <c r="VYG8" s="317"/>
      <c r="VYH8" s="317"/>
      <c r="VYI8" s="317"/>
      <c r="VYJ8" s="317"/>
      <c r="VYK8" s="317"/>
      <c r="VYL8" s="317"/>
      <c r="VYM8" s="317"/>
      <c r="VYN8" s="317"/>
      <c r="VYO8" s="317"/>
      <c r="VYP8" s="317"/>
      <c r="VYQ8" s="317"/>
      <c r="VYR8" s="317"/>
      <c r="VYS8" s="317"/>
      <c r="VYT8" s="317"/>
      <c r="VYU8" s="317"/>
      <c r="VYV8" s="317"/>
      <c r="VYW8" s="317"/>
      <c r="VYX8" s="317"/>
      <c r="VYY8" s="317"/>
      <c r="VYZ8" s="317"/>
      <c r="VZA8" s="317"/>
      <c r="VZB8" s="317"/>
      <c r="VZC8" s="317"/>
      <c r="VZD8" s="317"/>
      <c r="VZE8" s="317"/>
      <c r="VZF8" s="317"/>
      <c r="VZG8" s="317"/>
      <c r="VZH8" s="317"/>
      <c r="VZI8" s="317"/>
      <c r="VZJ8" s="317"/>
      <c r="VZK8" s="317"/>
      <c r="VZL8" s="317"/>
      <c r="VZM8" s="317"/>
      <c r="VZN8" s="317"/>
      <c r="VZO8" s="317"/>
      <c r="VZP8" s="317"/>
      <c r="VZQ8" s="317"/>
      <c r="VZR8" s="317"/>
      <c r="VZS8" s="317"/>
      <c r="VZT8" s="317"/>
      <c r="VZU8" s="317"/>
      <c r="VZV8" s="317"/>
      <c r="VZW8" s="317"/>
      <c r="VZX8" s="317"/>
      <c r="VZY8" s="317"/>
      <c r="VZZ8" s="317"/>
      <c r="WAA8" s="317"/>
      <c r="WAB8" s="317"/>
      <c r="WAC8" s="317"/>
      <c r="WAD8" s="317"/>
      <c r="WAE8" s="317"/>
      <c r="WAF8" s="317"/>
      <c r="WAG8" s="317"/>
      <c r="WAH8" s="317"/>
      <c r="WAI8" s="317"/>
      <c r="WAJ8" s="317"/>
      <c r="WAK8" s="317"/>
      <c r="WAL8" s="317"/>
      <c r="WAM8" s="317"/>
      <c r="WAN8" s="317"/>
      <c r="WAO8" s="317"/>
      <c r="WAP8" s="317"/>
      <c r="WAQ8" s="317"/>
      <c r="WAR8" s="317"/>
      <c r="WAS8" s="317"/>
      <c r="WAT8" s="317"/>
      <c r="WAU8" s="317"/>
      <c r="WAV8" s="317"/>
      <c r="WAW8" s="317"/>
      <c r="WAX8" s="317"/>
      <c r="WAY8" s="317"/>
      <c r="WAZ8" s="317"/>
      <c r="WBA8" s="317"/>
      <c r="WBB8" s="317"/>
      <c r="WBC8" s="317"/>
      <c r="WBD8" s="317"/>
      <c r="WBE8" s="317"/>
      <c r="WBF8" s="317"/>
      <c r="WBG8" s="317"/>
      <c r="WBH8" s="317"/>
      <c r="WBI8" s="317"/>
      <c r="WBJ8" s="317"/>
      <c r="WBK8" s="317"/>
      <c r="WBL8" s="317"/>
      <c r="WBM8" s="317"/>
      <c r="WBN8" s="317"/>
      <c r="WBO8" s="317"/>
      <c r="WBP8" s="317"/>
      <c r="WBQ8" s="317"/>
      <c r="WBR8" s="317"/>
      <c r="WBS8" s="317"/>
      <c r="WBT8" s="317"/>
      <c r="WBU8" s="317"/>
      <c r="WBV8" s="317"/>
      <c r="WBW8" s="317"/>
      <c r="WBX8" s="317"/>
      <c r="WBY8" s="317"/>
      <c r="WBZ8" s="317"/>
      <c r="WCA8" s="317"/>
      <c r="WCB8" s="317"/>
      <c r="WCC8" s="317"/>
      <c r="WCD8" s="317"/>
      <c r="WCE8" s="317"/>
      <c r="WCF8" s="317"/>
      <c r="WCG8" s="317"/>
      <c r="WCH8" s="317"/>
      <c r="WCI8" s="317"/>
      <c r="WCJ8" s="317"/>
      <c r="WCK8" s="317"/>
      <c r="WCL8" s="317"/>
      <c r="WCM8" s="317"/>
      <c r="WCN8" s="317"/>
      <c r="WCO8" s="317"/>
      <c r="WCP8" s="317"/>
      <c r="WCQ8" s="317"/>
      <c r="WCR8" s="317"/>
      <c r="WCS8" s="317"/>
      <c r="WCT8" s="317"/>
      <c r="WCU8" s="317"/>
      <c r="WCV8" s="317"/>
      <c r="WCW8" s="317"/>
      <c r="WCX8" s="317"/>
      <c r="WCY8" s="317"/>
      <c r="WCZ8" s="317"/>
      <c r="WDA8" s="317"/>
      <c r="WDB8" s="317"/>
      <c r="WDC8" s="317"/>
      <c r="WDD8" s="317"/>
      <c r="WDE8" s="317"/>
      <c r="WDF8" s="317"/>
      <c r="WDG8" s="317"/>
      <c r="WDH8" s="317"/>
      <c r="WDI8" s="317"/>
      <c r="WDJ8" s="317"/>
      <c r="WDK8" s="317"/>
      <c r="WDL8" s="317"/>
      <c r="WDM8" s="317"/>
      <c r="WDN8" s="317"/>
      <c r="WDO8" s="317"/>
      <c r="WDP8" s="317"/>
      <c r="WDQ8" s="317"/>
      <c r="WDR8" s="317"/>
      <c r="WDS8" s="317"/>
      <c r="WDT8" s="317"/>
      <c r="WDU8" s="317"/>
      <c r="WDV8" s="317"/>
      <c r="WDW8" s="317"/>
      <c r="WDX8" s="317"/>
      <c r="WDY8" s="317"/>
      <c r="WDZ8" s="317"/>
      <c r="WEA8" s="317"/>
      <c r="WEB8" s="317"/>
      <c r="WEC8" s="317"/>
      <c r="WED8" s="317"/>
      <c r="WEE8" s="317"/>
      <c r="WEF8" s="317"/>
      <c r="WEG8" s="317"/>
      <c r="WEH8" s="317"/>
      <c r="WEI8" s="317"/>
      <c r="WEJ8" s="317"/>
      <c r="WEK8" s="317"/>
      <c r="WEL8" s="317"/>
      <c r="WEM8" s="317"/>
      <c r="WEN8" s="317"/>
      <c r="WEO8" s="317"/>
      <c r="WEP8" s="317"/>
      <c r="WEQ8" s="317"/>
      <c r="WER8" s="317"/>
      <c r="WES8" s="317"/>
      <c r="WET8" s="317"/>
      <c r="WEU8" s="317"/>
      <c r="WEV8" s="317"/>
      <c r="WEW8" s="317"/>
      <c r="WEX8" s="317"/>
      <c r="WEY8" s="317"/>
      <c r="WEZ8" s="317"/>
      <c r="WFA8" s="317"/>
      <c r="WFB8" s="317"/>
      <c r="WFC8" s="317"/>
      <c r="WFD8" s="317"/>
      <c r="WFE8" s="317"/>
      <c r="WFF8" s="317"/>
      <c r="WFG8" s="317"/>
      <c r="WFH8" s="317"/>
      <c r="WFI8" s="317"/>
      <c r="WFJ8" s="317"/>
      <c r="WFK8" s="317"/>
      <c r="WFL8" s="317"/>
      <c r="WFM8" s="317"/>
      <c r="WFN8" s="317"/>
      <c r="WFO8" s="317"/>
      <c r="WFP8" s="317"/>
      <c r="WFQ8" s="317"/>
      <c r="WFR8" s="317"/>
      <c r="WFS8" s="317"/>
      <c r="WFT8" s="317"/>
      <c r="WFU8" s="317"/>
      <c r="WFV8" s="317"/>
      <c r="WFW8" s="317"/>
      <c r="WFX8" s="317"/>
      <c r="WFY8" s="317"/>
      <c r="WFZ8" s="317"/>
      <c r="WGA8" s="317"/>
      <c r="WGB8" s="317"/>
      <c r="WGC8" s="317"/>
      <c r="WGD8" s="317"/>
      <c r="WGE8" s="317"/>
      <c r="WGF8" s="317"/>
      <c r="WGG8" s="317"/>
      <c r="WGH8" s="317"/>
      <c r="WGI8" s="317"/>
      <c r="WGJ8" s="317"/>
      <c r="WGK8" s="317"/>
      <c r="WGL8" s="317"/>
      <c r="WGM8" s="317"/>
      <c r="WGN8" s="317"/>
      <c r="WGO8" s="317"/>
      <c r="WGP8" s="317"/>
      <c r="WGQ8" s="317"/>
      <c r="WGR8" s="317"/>
      <c r="WGS8" s="317"/>
      <c r="WGT8" s="317"/>
      <c r="WGU8" s="317"/>
      <c r="WGV8" s="317"/>
      <c r="WGW8" s="317"/>
      <c r="WGX8" s="317"/>
      <c r="WGY8" s="317"/>
      <c r="WGZ8" s="317"/>
      <c r="WHA8" s="317"/>
      <c r="WHB8" s="317"/>
      <c r="WHC8" s="317"/>
      <c r="WHD8" s="317"/>
      <c r="WHE8" s="317"/>
      <c r="WHF8" s="317"/>
      <c r="WHG8" s="317"/>
      <c r="WHH8" s="317"/>
      <c r="WHI8" s="317"/>
      <c r="WHJ8" s="317"/>
      <c r="WHK8" s="317"/>
      <c r="WHL8" s="317"/>
      <c r="WHM8" s="317"/>
      <c r="WHN8" s="317"/>
      <c r="WHO8" s="317"/>
      <c r="WHP8" s="317"/>
      <c r="WHQ8" s="317"/>
      <c r="WHR8" s="317"/>
      <c r="WHS8" s="317"/>
      <c r="WHT8" s="317"/>
      <c r="WHU8" s="317"/>
      <c r="WHV8" s="317"/>
      <c r="WHW8" s="317"/>
      <c r="WHX8" s="317"/>
      <c r="WHY8" s="317"/>
      <c r="WHZ8" s="317"/>
      <c r="WIA8" s="317"/>
      <c r="WIB8" s="317"/>
      <c r="WIC8" s="317"/>
      <c r="WID8" s="317"/>
      <c r="WIE8" s="317"/>
      <c r="WIF8" s="317"/>
      <c r="WIG8" s="317"/>
      <c r="WIH8" s="317"/>
      <c r="WII8" s="317"/>
      <c r="WIJ8" s="317"/>
      <c r="WIK8" s="317"/>
      <c r="WIL8" s="317"/>
      <c r="WIM8" s="317"/>
      <c r="WIN8" s="317"/>
      <c r="WIO8" s="317"/>
      <c r="WIP8" s="317"/>
      <c r="WIQ8" s="317"/>
      <c r="WIR8" s="317"/>
      <c r="WIS8" s="317"/>
      <c r="WIT8" s="317"/>
      <c r="WIU8" s="317"/>
      <c r="WIV8" s="317"/>
      <c r="WIW8" s="317"/>
      <c r="WIX8" s="317"/>
      <c r="WIY8" s="317"/>
      <c r="WIZ8" s="317"/>
      <c r="WJA8" s="317"/>
      <c r="WJB8" s="317"/>
      <c r="WJC8" s="317"/>
      <c r="WJD8" s="317"/>
      <c r="WJE8" s="317"/>
      <c r="WJF8" s="317"/>
      <c r="WJG8" s="317"/>
      <c r="WJH8" s="317"/>
      <c r="WJI8" s="317"/>
      <c r="WJJ8" s="317"/>
      <c r="WJK8" s="317"/>
      <c r="WJL8" s="317"/>
      <c r="WJM8" s="317"/>
      <c r="WJN8" s="317"/>
      <c r="WJO8" s="317"/>
      <c r="WJP8" s="317"/>
      <c r="WJQ8" s="317"/>
      <c r="WJR8" s="317"/>
      <c r="WJS8" s="317"/>
      <c r="WJT8" s="317"/>
      <c r="WJU8" s="317"/>
      <c r="WJV8" s="317"/>
      <c r="WJW8" s="317"/>
      <c r="WJX8" s="317"/>
      <c r="WJY8" s="317"/>
      <c r="WJZ8" s="317"/>
      <c r="WKA8" s="317"/>
      <c r="WKB8" s="317"/>
      <c r="WKC8" s="317"/>
      <c r="WKD8" s="317"/>
      <c r="WKE8" s="317"/>
      <c r="WKF8" s="317"/>
      <c r="WKG8" s="317"/>
      <c r="WKH8" s="317"/>
      <c r="WKI8" s="317"/>
      <c r="WKJ8" s="317"/>
      <c r="WKK8" s="317"/>
      <c r="WKL8" s="317"/>
      <c r="WKM8" s="317"/>
      <c r="WKN8" s="317"/>
      <c r="WKO8" s="317"/>
      <c r="WKP8" s="317"/>
      <c r="WKQ8" s="317"/>
      <c r="WKR8" s="317"/>
      <c r="WKS8" s="317"/>
      <c r="WKT8" s="317"/>
      <c r="WKU8" s="317"/>
      <c r="WKV8" s="317"/>
      <c r="WKW8" s="317"/>
      <c r="WKX8" s="317"/>
      <c r="WKY8" s="317"/>
      <c r="WKZ8" s="317"/>
      <c r="WLA8" s="317"/>
      <c r="WLB8" s="317"/>
      <c r="WLC8" s="317"/>
      <c r="WLD8" s="317"/>
      <c r="WLE8" s="317"/>
      <c r="WLF8" s="317"/>
      <c r="WLG8" s="317"/>
      <c r="WLH8" s="317"/>
      <c r="WLI8" s="317"/>
      <c r="WLJ8" s="317"/>
      <c r="WLK8" s="317"/>
      <c r="WLL8" s="317"/>
      <c r="WLM8" s="317"/>
      <c r="WLN8" s="317"/>
      <c r="WLO8" s="317"/>
      <c r="WLP8" s="317"/>
      <c r="WLQ8" s="317"/>
      <c r="WLR8" s="317"/>
      <c r="WLS8" s="317"/>
      <c r="WLT8" s="317"/>
      <c r="WLU8" s="317"/>
      <c r="WLV8" s="317"/>
      <c r="WLW8" s="317"/>
      <c r="WLX8" s="317"/>
      <c r="WLY8" s="317"/>
      <c r="WLZ8" s="317"/>
      <c r="WMA8" s="317"/>
      <c r="WMB8" s="317"/>
      <c r="WMC8" s="317"/>
      <c r="WMD8" s="317"/>
      <c r="WME8" s="317"/>
      <c r="WMF8" s="317"/>
      <c r="WMG8" s="317"/>
      <c r="WMH8" s="317"/>
      <c r="WMI8" s="317"/>
      <c r="WMJ8" s="317"/>
      <c r="WMK8" s="317"/>
      <c r="WML8" s="317"/>
      <c r="WMM8" s="317"/>
      <c r="WMN8" s="317"/>
      <c r="WMO8" s="317"/>
      <c r="WMP8" s="317"/>
      <c r="WMQ8" s="317"/>
      <c r="WMR8" s="317"/>
      <c r="WMS8" s="317"/>
      <c r="WMT8" s="317"/>
      <c r="WMU8" s="317"/>
      <c r="WMV8" s="317"/>
      <c r="WMW8" s="317"/>
      <c r="WMX8" s="317"/>
      <c r="WMY8" s="317"/>
      <c r="WMZ8" s="317"/>
      <c r="WNA8" s="317"/>
      <c r="WNB8" s="317"/>
      <c r="WNC8" s="317"/>
      <c r="WND8" s="317"/>
      <c r="WNE8" s="317"/>
      <c r="WNF8" s="317"/>
      <c r="WNG8" s="317"/>
      <c r="WNH8" s="317"/>
      <c r="WNI8" s="317"/>
      <c r="WNJ8" s="317"/>
      <c r="WNK8" s="317"/>
      <c r="WNL8" s="317"/>
      <c r="WNM8" s="317"/>
      <c r="WNN8" s="317"/>
      <c r="WNO8" s="317"/>
      <c r="WNP8" s="317"/>
      <c r="WNQ8" s="317"/>
      <c r="WNR8" s="317"/>
      <c r="WNS8" s="317"/>
      <c r="WNT8" s="317"/>
      <c r="WNU8" s="317"/>
      <c r="WNV8" s="317"/>
      <c r="WNW8" s="317"/>
      <c r="WNX8" s="317"/>
      <c r="WNY8" s="317"/>
      <c r="WNZ8" s="317"/>
      <c r="WOA8" s="317"/>
      <c r="WOB8" s="317"/>
      <c r="WOC8" s="317"/>
      <c r="WOD8" s="317"/>
      <c r="WOE8" s="317"/>
      <c r="WOF8" s="317"/>
      <c r="WOG8" s="317"/>
      <c r="WOH8" s="317"/>
      <c r="WOI8" s="317"/>
      <c r="WOJ8" s="317"/>
      <c r="WOK8" s="317"/>
      <c r="WOL8" s="317"/>
      <c r="WOM8" s="317"/>
      <c r="WON8" s="317"/>
      <c r="WOO8" s="317"/>
      <c r="WOP8" s="317"/>
      <c r="WOQ8" s="317"/>
      <c r="WOR8" s="317"/>
      <c r="WOS8" s="317"/>
      <c r="WOT8" s="317"/>
      <c r="WOU8" s="317"/>
      <c r="WOV8" s="317"/>
      <c r="WOW8" s="317"/>
      <c r="WOX8" s="317"/>
      <c r="WOY8" s="317"/>
      <c r="WOZ8" s="317"/>
      <c r="WPA8" s="317"/>
      <c r="WPB8" s="317"/>
      <c r="WPC8" s="317"/>
      <c r="WPD8" s="317"/>
      <c r="WPE8" s="317"/>
      <c r="WPF8" s="317"/>
      <c r="WPG8" s="317"/>
      <c r="WPH8" s="317"/>
      <c r="WPI8" s="317"/>
      <c r="WPJ8" s="317"/>
      <c r="WPK8" s="317"/>
      <c r="WPL8" s="317"/>
      <c r="WPM8" s="317"/>
      <c r="WPN8" s="317"/>
      <c r="WPO8" s="317"/>
      <c r="WPP8" s="317"/>
      <c r="WPQ8" s="317"/>
      <c r="WPR8" s="317"/>
      <c r="WPS8" s="317"/>
      <c r="WPT8" s="317"/>
      <c r="WPU8" s="317"/>
      <c r="WPV8" s="317"/>
      <c r="WPW8" s="317"/>
      <c r="WPX8" s="317"/>
      <c r="WPY8" s="317"/>
      <c r="WPZ8" s="317"/>
      <c r="WQA8" s="317"/>
      <c r="WQB8" s="317"/>
      <c r="WQC8" s="317"/>
      <c r="WQD8" s="317"/>
      <c r="WQE8" s="317"/>
      <c r="WQF8" s="317"/>
      <c r="WQG8" s="317"/>
      <c r="WQH8" s="317"/>
      <c r="WQI8" s="317"/>
      <c r="WQJ8" s="317"/>
      <c r="WQK8" s="317"/>
      <c r="WQL8" s="317"/>
      <c r="WQM8" s="317"/>
      <c r="WQN8" s="317"/>
      <c r="WQO8" s="317"/>
      <c r="WQP8" s="317"/>
      <c r="WQQ8" s="317"/>
      <c r="WQR8" s="317"/>
      <c r="WQS8" s="317"/>
      <c r="WQT8" s="317"/>
      <c r="WQU8" s="317"/>
      <c r="WQV8" s="317"/>
      <c r="WQW8" s="317"/>
      <c r="WQX8" s="317"/>
      <c r="WQY8" s="317"/>
      <c r="WQZ8" s="317"/>
      <c r="WRA8" s="317"/>
      <c r="WRB8" s="317"/>
      <c r="WRC8" s="317"/>
      <c r="WRD8" s="317"/>
      <c r="WRE8" s="317"/>
      <c r="WRF8" s="317"/>
      <c r="WRG8" s="317"/>
      <c r="WRH8" s="317"/>
      <c r="WRI8" s="317"/>
      <c r="WRJ8" s="317"/>
      <c r="WRK8" s="317"/>
      <c r="WRL8" s="317"/>
      <c r="WRM8" s="317"/>
      <c r="WRN8" s="317"/>
      <c r="WRO8" s="317"/>
      <c r="WRP8" s="317"/>
      <c r="WRQ8" s="317"/>
      <c r="WRR8" s="317"/>
      <c r="WRS8" s="317"/>
      <c r="WRT8" s="317"/>
      <c r="WRU8" s="317"/>
      <c r="WRV8" s="317"/>
      <c r="WRW8" s="317"/>
      <c r="WRX8" s="317"/>
      <c r="WRY8" s="317"/>
      <c r="WRZ8" s="317"/>
      <c r="WSA8" s="317"/>
      <c r="WSB8" s="317"/>
      <c r="WSC8" s="317"/>
      <c r="WSD8" s="317"/>
      <c r="WSE8" s="317"/>
      <c r="WSF8" s="317"/>
      <c r="WSG8" s="317"/>
      <c r="WSH8" s="317"/>
      <c r="WSI8" s="317"/>
      <c r="WSJ8" s="317"/>
      <c r="WSK8" s="317"/>
      <c r="WSL8" s="317"/>
      <c r="WSM8" s="317"/>
      <c r="WSN8" s="317"/>
      <c r="WSO8" s="317"/>
      <c r="WSP8" s="317"/>
      <c r="WSQ8" s="317"/>
      <c r="WSR8" s="317"/>
      <c r="WSS8" s="317"/>
      <c r="WST8" s="317"/>
      <c r="WSU8" s="317"/>
      <c r="WSV8" s="317"/>
      <c r="WSW8" s="317"/>
      <c r="WSX8" s="317"/>
      <c r="WSY8" s="317"/>
      <c r="WSZ8" s="317"/>
      <c r="WTA8" s="317"/>
      <c r="WTB8" s="317"/>
      <c r="WTC8" s="317"/>
      <c r="WTD8" s="317"/>
      <c r="WTE8" s="317"/>
      <c r="WTF8" s="317"/>
      <c r="WTG8" s="317"/>
      <c r="WTH8" s="317"/>
      <c r="WTI8" s="317"/>
      <c r="WTJ8" s="317"/>
      <c r="WTK8" s="317"/>
      <c r="WTL8" s="317"/>
      <c r="WTM8" s="317"/>
      <c r="WTN8" s="317"/>
      <c r="WTO8" s="317"/>
      <c r="WTP8" s="317"/>
      <c r="WTQ8" s="317"/>
      <c r="WTR8" s="317"/>
      <c r="WTS8" s="317"/>
      <c r="WTT8" s="317"/>
      <c r="WTU8" s="317"/>
      <c r="WTV8" s="317"/>
      <c r="WTW8" s="317"/>
      <c r="WTX8" s="317"/>
      <c r="WTY8" s="317"/>
      <c r="WTZ8" s="317"/>
      <c r="WUA8" s="317"/>
      <c r="WUB8" s="317"/>
      <c r="WUC8" s="317"/>
      <c r="WUD8" s="317"/>
      <c r="WUE8" s="317"/>
      <c r="WUF8" s="317"/>
      <c r="WUG8" s="317"/>
      <c r="WUH8" s="317"/>
      <c r="WUI8" s="317"/>
      <c r="WUJ8" s="317"/>
      <c r="WUK8" s="317"/>
      <c r="WUL8" s="317"/>
      <c r="WUM8" s="317"/>
      <c r="WUN8" s="317"/>
      <c r="WUO8" s="317"/>
      <c r="WUP8" s="317"/>
      <c r="WUQ8" s="317"/>
      <c r="WUR8" s="317"/>
      <c r="WUS8" s="317"/>
      <c r="WUT8" s="317"/>
      <c r="WUU8" s="317"/>
      <c r="WUV8" s="317"/>
      <c r="WUW8" s="317"/>
      <c r="WUX8" s="317"/>
      <c r="WUY8" s="317"/>
      <c r="WUZ8" s="317"/>
      <c r="WVA8" s="317"/>
      <c r="WVB8" s="317"/>
      <c r="WVC8" s="317"/>
      <c r="WVD8" s="317"/>
      <c r="WVE8" s="317"/>
      <c r="WVF8" s="317"/>
      <c r="WVG8" s="317"/>
      <c r="WVH8" s="317"/>
      <c r="WVI8" s="317"/>
      <c r="WVJ8" s="317"/>
      <c r="WVK8" s="317"/>
      <c r="WVL8" s="317"/>
      <c r="WVM8" s="317"/>
      <c r="WVN8" s="317"/>
      <c r="WVO8" s="317"/>
      <c r="WVP8" s="317"/>
      <c r="WVQ8" s="317"/>
      <c r="WVR8" s="317"/>
      <c r="WVS8" s="317"/>
      <c r="WVT8" s="317"/>
      <c r="WVU8" s="317"/>
      <c r="WVV8" s="317"/>
      <c r="WVW8" s="317"/>
      <c r="WVX8" s="317"/>
      <c r="WVY8" s="317"/>
      <c r="WVZ8" s="317"/>
      <c r="WWA8" s="317"/>
      <c r="WWB8" s="317"/>
      <c r="WWC8" s="317"/>
      <c r="WWD8" s="317"/>
      <c r="WWE8" s="317"/>
      <c r="WWF8" s="317"/>
      <c r="WWG8" s="317"/>
      <c r="WWH8" s="317"/>
      <c r="WWI8" s="317"/>
      <c r="WWJ8" s="317"/>
      <c r="WWK8" s="317"/>
      <c r="WWL8" s="317"/>
      <c r="WWM8" s="317"/>
      <c r="WWN8" s="317"/>
      <c r="WWO8" s="317"/>
      <c r="WWP8" s="317"/>
      <c r="WWQ8" s="317"/>
      <c r="WWR8" s="317"/>
      <c r="WWS8" s="317"/>
      <c r="WWT8" s="317"/>
      <c r="WWU8" s="317"/>
      <c r="WWV8" s="317"/>
      <c r="WWW8" s="317"/>
      <c r="WWX8" s="317"/>
      <c r="WWY8" s="317"/>
      <c r="WWZ8" s="317"/>
      <c r="WXA8" s="317"/>
      <c r="WXB8" s="317"/>
      <c r="WXC8" s="317"/>
      <c r="WXD8" s="317"/>
      <c r="WXE8" s="317"/>
      <c r="WXF8" s="317"/>
      <c r="WXG8" s="317"/>
      <c r="WXH8" s="317"/>
      <c r="WXI8" s="317"/>
      <c r="WXJ8" s="317"/>
      <c r="WXK8" s="317"/>
      <c r="WXL8" s="317"/>
      <c r="WXM8" s="317"/>
      <c r="WXN8" s="317"/>
      <c r="WXO8" s="317"/>
      <c r="WXP8" s="317"/>
      <c r="WXQ8" s="317"/>
      <c r="WXR8" s="317"/>
      <c r="WXS8" s="317"/>
      <c r="WXT8" s="317"/>
      <c r="WXU8" s="317"/>
      <c r="WXV8" s="317"/>
      <c r="WXW8" s="317"/>
      <c r="WXX8" s="317"/>
      <c r="WXY8" s="317"/>
      <c r="WXZ8" s="317"/>
      <c r="WYA8" s="317"/>
      <c r="WYB8" s="317"/>
      <c r="WYC8" s="317"/>
      <c r="WYD8" s="317"/>
      <c r="WYE8" s="317"/>
      <c r="WYF8" s="317"/>
      <c r="WYG8" s="317"/>
      <c r="WYH8" s="317"/>
      <c r="WYI8" s="317"/>
      <c r="WYJ8" s="317"/>
      <c r="WYK8" s="317"/>
      <c r="WYL8" s="317"/>
      <c r="WYM8" s="317"/>
      <c r="WYN8" s="317"/>
      <c r="WYO8" s="317"/>
      <c r="WYP8" s="317"/>
      <c r="WYQ8" s="317"/>
      <c r="WYR8" s="317"/>
      <c r="WYS8" s="317"/>
      <c r="WYT8" s="317"/>
      <c r="WYU8" s="317"/>
      <c r="WYV8" s="317"/>
      <c r="WYW8" s="317"/>
      <c r="WYX8" s="317"/>
      <c r="WYY8" s="317"/>
      <c r="WYZ8" s="317"/>
      <c r="WZA8" s="317"/>
      <c r="WZB8" s="317"/>
      <c r="WZC8" s="317"/>
      <c r="WZD8" s="317"/>
      <c r="WZE8" s="317"/>
      <c r="WZF8" s="317"/>
      <c r="WZG8" s="317"/>
      <c r="WZH8" s="317"/>
      <c r="WZI8" s="317"/>
      <c r="WZJ8" s="317"/>
      <c r="WZK8" s="317"/>
      <c r="WZL8" s="317"/>
      <c r="WZM8" s="317"/>
      <c r="WZN8" s="317"/>
      <c r="WZO8" s="317"/>
      <c r="WZP8" s="317"/>
      <c r="WZQ8" s="317"/>
      <c r="WZR8" s="317"/>
      <c r="WZS8" s="317"/>
      <c r="WZT8" s="317"/>
      <c r="WZU8" s="317"/>
      <c r="WZV8" s="317"/>
      <c r="WZW8" s="317"/>
      <c r="WZX8" s="317"/>
      <c r="WZY8" s="317"/>
      <c r="WZZ8" s="317"/>
      <c r="XAA8" s="317"/>
      <c r="XAB8" s="317"/>
      <c r="XAC8" s="317"/>
      <c r="XAD8" s="317"/>
      <c r="XAE8" s="317"/>
      <c r="XAF8" s="317"/>
      <c r="XAG8" s="317"/>
      <c r="XAH8" s="317"/>
      <c r="XAI8" s="317"/>
      <c r="XAJ8" s="317"/>
      <c r="XAK8" s="317"/>
      <c r="XAL8" s="317"/>
      <c r="XAM8" s="317"/>
      <c r="XAN8" s="317"/>
      <c r="XAO8" s="317"/>
      <c r="XAP8" s="317"/>
      <c r="XAQ8" s="317"/>
      <c r="XAR8" s="317"/>
      <c r="XAS8" s="317"/>
      <c r="XAT8" s="317"/>
      <c r="XAU8" s="317"/>
      <c r="XAV8" s="317"/>
      <c r="XAW8" s="317"/>
      <c r="XAX8" s="317"/>
      <c r="XAY8" s="317"/>
      <c r="XAZ8" s="317"/>
      <c r="XBA8" s="317"/>
      <c r="XBB8" s="317"/>
      <c r="XBC8" s="317"/>
      <c r="XBD8" s="317"/>
      <c r="XBE8" s="317"/>
      <c r="XBF8" s="317"/>
      <c r="XBG8" s="317"/>
      <c r="XBH8" s="317"/>
      <c r="XBI8" s="317"/>
      <c r="XBJ8" s="317"/>
      <c r="XBK8" s="317"/>
      <c r="XBL8" s="317"/>
      <c r="XBM8" s="317"/>
      <c r="XBN8" s="317"/>
      <c r="XBO8" s="317"/>
      <c r="XBP8" s="317"/>
      <c r="XBQ8" s="317"/>
      <c r="XBR8" s="317"/>
      <c r="XBS8" s="317"/>
      <c r="XBT8" s="317"/>
      <c r="XBU8" s="317"/>
      <c r="XBV8" s="317"/>
      <c r="XBW8" s="317"/>
      <c r="XBX8" s="317"/>
      <c r="XBY8" s="317"/>
      <c r="XBZ8" s="317"/>
      <c r="XCA8" s="317"/>
      <c r="XCB8" s="317"/>
      <c r="XCC8" s="317"/>
      <c r="XCD8" s="317"/>
      <c r="XCE8" s="317"/>
      <c r="XCF8" s="317"/>
      <c r="XCG8" s="317"/>
      <c r="XCH8" s="317"/>
      <c r="XCI8" s="317"/>
      <c r="XCJ8" s="317"/>
      <c r="XCK8" s="317"/>
      <c r="XCL8" s="317"/>
      <c r="XCM8" s="317"/>
      <c r="XCN8" s="317"/>
      <c r="XCO8" s="317"/>
      <c r="XCP8" s="317"/>
      <c r="XCQ8" s="317"/>
      <c r="XCR8" s="317"/>
      <c r="XCS8" s="317"/>
      <c r="XCT8" s="317"/>
      <c r="XCU8" s="317"/>
      <c r="XCV8" s="317"/>
      <c r="XCW8" s="317"/>
      <c r="XCX8" s="317"/>
      <c r="XCY8" s="317"/>
      <c r="XCZ8" s="317"/>
      <c r="XDA8" s="317"/>
      <c r="XDB8" s="317"/>
      <c r="XDC8" s="317"/>
      <c r="XDD8" s="317"/>
      <c r="XDE8" s="317"/>
      <c r="XDF8" s="317"/>
      <c r="XDG8" s="317"/>
      <c r="XDH8" s="317"/>
      <c r="XDI8" s="317"/>
      <c r="XDJ8" s="317"/>
      <c r="XDK8" s="317"/>
      <c r="XDL8" s="317"/>
      <c r="XDM8" s="317"/>
      <c r="XDN8" s="317"/>
      <c r="XDO8" s="317"/>
      <c r="XDP8" s="317"/>
      <c r="XDQ8" s="317"/>
      <c r="XDR8" s="317"/>
      <c r="XDS8" s="317"/>
      <c r="XDT8" s="317"/>
      <c r="XDU8" s="317"/>
      <c r="XDV8" s="317"/>
      <c r="XDW8" s="317"/>
      <c r="XDX8" s="317"/>
      <c r="XDY8" s="317"/>
      <c r="XDZ8" s="317"/>
      <c r="XEA8" s="317"/>
      <c r="XEB8" s="317"/>
      <c r="XEC8" s="317"/>
      <c r="XED8" s="317"/>
      <c r="XEE8" s="317"/>
      <c r="XEF8" s="317"/>
      <c r="XEG8" s="317"/>
      <c r="XEH8" s="317"/>
      <c r="XEI8" s="317"/>
      <c r="XEJ8" s="317"/>
      <c r="XEK8" s="317"/>
      <c r="XEL8" s="317"/>
      <c r="XEM8" s="317"/>
      <c r="XEN8" s="317"/>
      <c r="XEO8" s="317"/>
      <c r="XEP8" s="317"/>
      <c r="XEQ8" s="317"/>
      <c r="XER8" s="317"/>
      <c r="XES8" s="317"/>
      <c r="XET8" s="317"/>
      <c r="XEU8" s="317"/>
      <c r="XEV8" s="317"/>
      <c r="XEW8" s="317"/>
      <c r="XEX8" s="317"/>
      <c r="XEY8" s="317"/>
      <c r="XEZ8" s="317"/>
      <c r="XFA8" s="317"/>
      <c r="XFB8" s="317"/>
      <c r="XFC8" s="317"/>
      <c r="XFD8" s="317"/>
    </row>
    <row r="9" s="314" customFormat="1" ht="31.05" customHeight="1" spans="1:74 14505:16384">
      <c r="B9" s="314" t="s">
        <v>16</v>
      </c>
      <c r="C9" s="314">
        <v>1</v>
      </c>
      <c r="I9" s="316" t="s">
        <v>17</v>
      </c>
      <c r="J9" s="314">
        <v>2</v>
      </c>
      <c r="O9" s="316" t="s">
        <v>17</v>
      </c>
      <c r="P9" s="316" t="s">
        <v>17</v>
      </c>
      <c r="Q9" s="314">
        <v>3</v>
      </c>
      <c r="V9" s="316" t="s">
        <v>18</v>
      </c>
      <c r="W9" s="316"/>
      <c r="X9" s="316"/>
      <c r="Y9" s="316"/>
      <c r="Z9" s="316"/>
      <c r="AA9" s="316"/>
      <c r="AB9" s="316"/>
      <c r="AC9" s="316">
        <v>4</v>
      </c>
      <c r="AD9" s="316"/>
      <c r="AK9" s="316" t="s">
        <v>17</v>
      </c>
      <c r="AL9" s="314">
        <v>5</v>
      </c>
      <c r="AQ9" s="316" t="s">
        <v>17</v>
      </c>
      <c r="AR9" s="316" t="s">
        <v>17</v>
      </c>
      <c r="AS9" s="314">
        <v>6</v>
      </c>
      <c r="AY9" s="316" t="s">
        <v>17</v>
      </c>
      <c r="AZ9" s="314">
        <v>7</v>
      </c>
      <c r="BE9" s="316" t="s">
        <v>17</v>
      </c>
      <c r="BF9" s="316" t="s">
        <v>17</v>
      </c>
      <c r="BG9" s="314">
        <v>8</v>
      </c>
      <c r="BM9" s="316" t="s">
        <v>17</v>
      </c>
      <c r="BN9" s="314">
        <v>9</v>
      </c>
      <c r="BS9" s="316" t="s">
        <v>17</v>
      </c>
      <c r="BT9" s="316" t="s">
        <v>17</v>
      </c>
      <c r="BU9" s="331">
        <v>10</v>
      </c>
      <c r="BV9" s="332"/>
      <c r="UKW9" s="317"/>
      <c r="UKX9" s="317"/>
      <c r="UKY9" s="317"/>
      <c r="UKZ9" s="317"/>
      <c r="ULA9" s="317"/>
      <c r="ULB9" s="317"/>
      <c r="ULC9" s="317"/>
      <c r="ULD9" s="317"/>
      <c r="ULE9" s="317"/>
      <c r="ULF9" s="317"/>
      <c r="ULG9" s="317"/>
      <c r="ULH9" s="317"/>
      <c r="ULI9" s="317"/>
      <c r="ULJ9" s="317"/>
      <c r="ULK9" s="317"/>
      <c r="ULL9" s="317"/>
      <c r="ULM9" s="317"/>
      <c r="ULN9" s="317"/>
      <c r="ULO9" s="317"/>
      <c r="ULP9" s="317"/>
      <c r="ULQ9" s="317"/>
      <c r="ULR9" s="317"/>
      <c r="ULS9" s="317"/>
      <c r="ULT9" s="317"/>
      <c r="ULU9" s="317"/>
      <c r="ULV9" s="317"/>
      <c r="ULW9" s="317"/>
      <c r="ULX9" s="317"/>
      <c r="ULY9" s="317"/>
      <c r="ULZ9" s="317"/>
      <c r="UMA9" s="317"/>
      <c r="UMB9" s="317"/>
      <c r="UMC9" s="317"/>
      <c r="UMD9" s="317"/>
      <c r="UME9" s="317"/>
      <c r="UMF9" s="317"/>
      <c r="UMG9" s="317"/>
      <c r="UMH9" s="317"/>
      <c r="UMI9" s="317"/>
      <c r="UMJ9" s="317"/>
      <c r="UMK9" s="317"/>
      <c r="UML9" s="317"/>
      <c r="UMM9" s="317"/>
      <c r="UMN9" s="317"/>
      <c r="UMO9" s="317"/>
      <c r="UMP9" s="317"/>
      <c r="UMQ9" s="317"/>
      <c r="UMR9" s="317"/>
      <c r="UMS9" s="317"/>
      <c r="UMT9" s="317"/>
      <c r="UMU9" s="317"/>
      <c r="UMV9" s="317"/>
      <c r="UMW9" s="317"/>
      <c r="UMX9" s="317"/>
      <c r="UMY9" s="317"/>
      <c r="UMZ9" s="317"/>
      <c r="UNA9" s="317"/>
      <c r="UNB9" s="317"/>
      <c r="UNC9" s="317"/>
      <c r="UND9" s="317"/>
      <c r="UNE9" s="317"/>
      <c r="UNF9" s="317"/>
      <c r="UNG9" s="317"/>
      <c r="UNH9" s="317"/>
      <c r="UNI9" s="317"/>
      <c r="UNJ9" s="317"/>
      <c r="UNK9" s="317"/>
      <c r="UNL9" s="317"/>
      <c r="UNM9" s="317"/>
      <c r="UNN9" s="317"/>
      <c r="UNO9" s="317"/>
      <c r="UNP9" s="317"/>
      <c r="UNQ9" s="317"/>
      <c r="UNR9" s="317"/>
      <c r="UNS9" s="317"/>
      <c r="UNT9" s="317"/>
      <c r="UNU9" s="317"/>
      <c r="UNV9" s="317"/>
      <c r="UNW9" s="317"/>
      <c r="UNX9" s="317"/>
      <c r="UNY9" s="317"/>
      <c r="UNZ9" s="317"/>
      <c r="UOA9" s="317"/>
      <c r="UOB9" s="317"/>
      <c r="UOC9" s="317"/>
      <c r="UOD9" s="317"/>
      <c r="UOE9" s="317"/>
      <c r="UOF9" s="317"/>
      <c r="UOG9" s="317"/>
      <c r="UOH9" s="317"/>
      <c r="UOI9" s="317"/>
      <c r="UOJ9" s="317"/>
      <c r="UOK9" s="317"/>
      <c r="UOL9" s="317"/>
      <c r="UOM9" s="317"/>
      <c r="UON9" s="317"/>
      <c r="UOO9" s="317"/>
      <c r="UOP9" s="317"/>
      <c r="UOQ9" s="317"/>
      <c r="UOR9" s="317"/>
      <c r="UOS9" s="317"/>
      <c r="UOT9" s="317"/>
      <c r="UOU9" s="317"/>
      <c r="UOV9" s="317"/>
      <c r="UOW9" s="317"/>
      <c r="UOX9" s="317"/>
      <c r="UOY9" s="317"/>
      <c r="UOZ9" s="317"/>
      <c r="UPA9" s="317"/>
      <c r="UPB9" s="317"/>
      <c r="UPC9" s="317"/>
      <c r="UPD9" s="317"/>
      <c r="UPE9" s="317"/>
      <c r="UPF9" s="317"/>
      <c r="UPG9" s="317"/>
      <c r="UPH9" s="317"/>
      <c r="UPI9" s="317"/>
      <c r="UPJ9" s="317"/>
      <c r="UPK9" s="317"/>
      <c r="UPL9" s="317"/>
      <c r="UPM9" s="317"/>
      <c r="UPN9" s="317"/>
      <c r="UPO9" s="317"/>
      <c r="UPP9" s="317"/>
      <c r="UPQ9" s="317"/>
      <c r="UPR9" s="317"/>
      <c r="UPS9" s="317"/>
      <c r="UPT9" s="317"/>
      <c r="UPU9" s="317"/>
      <c r="UPV9" s="317"/>
      <c r="UPW9" s="317"/>
      <c r="UPX9" s="317"/>
      <c r="UPY9" s="317"/>
      <c r="UPZ9" s="317"/>
      <c r="UQA9" s="317"/>
      <c r="UQB9" s="317"/>
      <c r="UQC9" s="317"/>
      <c r="UQD9" s="317"/>
      <c r="UQE9" s="317"/>
      <c r="UQF9" s="317"/>
      <c r="UQG9" s="317"/>
      <c r="UQH9" s="317"/>
      <c r="UQI9" s="317"/>
      <c r="UQJ9" s="317"/>
      <c r="UQK9" s="317"/>
      <c r="UQL9" s="317"/>
      <c r="UQM9" s="317"/>
      <c r="UQN9" s="317"/>
      <c r="UQO9" s="317"/>
      <c r="UQP9" s="317"/>
      <c r="UQQ9" s="317"/>
      <c r="UQR9" s="317"/>
      <c r="UQS9" s="317"/>
      <c r="UQT9" s="317"/>
      <c r="UQU9" s="317"/>
      <c r="UQV9" s="317"/>
      <c r="UQW9" s="317"/>
      <c r="UQX9" s="317"/>
      <c r="UQY9" s="317"/>
      <c r="UQZ9" s="317"/>
      <c r="URA9" s="317"/>
      <c r="URB9" s="317"/>
      <c r="URC9" s="317"/>
      <c r="URD9" s="317"/>
      <c r="URE9" s="317"/>
      <c r="URF9" s="317"/>
      <c r="URG9" s="317"/>
      <c r="URH9" s="317"/>
      <c r="URI9" s="317"/>
      <c r="URJ9" s="317"/>
      <c r="URK9" s="317"/>
      <c r="URL9" s="317"/>
      <c r="URM9" s="317"/>
      <c r="URN9" s="317"/>
      <c r="URO9" s="317"/>
      <c r="URP9" s="317"/>
      <c r="URQ9" s="317"/>
      <c r="URR9" s="317"/>
      <c r="URS9" s="317"/>
      <c r="URT9" s="317"/>
      <c r="URU9" s="317"/>
      <c r="URV9" s="317"/>
      <c r="URW9" s="317"/>
      <c r="URX9" s="317"/>
      <c r="URY9" s="317"/>
      <c r="URZ9" s="317"/>
      <c r="USA9" s="317"/>
      <c r="USB9" s="317"/>
      <c r="USC9" s="317"/>
      <c r="USD9" s="317"/>
      <c r="USE9" s="317"/>
      <c r="USF9" s="317"/>
      <c r="USG9" s="317"/>
      <c r="USH9" s="317"/>
      <c r="USI9" s="317"/>
      <c r="USJ9" s="317"/>
      <c r="USK9" s="317"/>
      <c r="USL9" s="317"/>
      <c r="USM9" s="317"/>
      <c r="USN9" s="317"/>
      <c r="USO9" s="317"/>
      <c r="USP9" s="317"/>
      <c r="USQ9" s="317"/>
      <c r="USR9" s="317"/>
      <c r="USS9" s="317"/>
      <c r="UST9" s="317"/>
      <c r="USU9" s="317"/>
      <c r="USV9" s="317"/>
      <c r="USW9" s="317"/>
      <c r="USX9" s="317"/>
      <c r="USY9" s="317"/>
      <c r="USZ9" s="317"/>
      <c r="UTA9" s="317"/>
      <c r="UTB9" s="317"/>
      <c r="UTC9" s="317"/>
      <c r="UTD9" s="317"/>
      <c r="UTE9" s="317"/>
      <c r="UTF9" s="317"/>
      <c r="UTG9" s="317"/>
      <c r="UTH9" s="317"/>
      <c r="UTI9" s="317"/>
      <c r="UTJ9" s="317"/>
      <c r="UTK9" s="317"/>
      <c r="UTL9" s="317"/>
      <c r="UTM9" s="317"/>
      <c r="UTN9" s="317"/>
      <c r="UTO9" s="317"/>
      <c r="UTP9" s="317"/>
      <c r="UTQ9" s="317"/>
      <c r="UTR9" s="317"/>
      <c r="UTS9" s="317"/>
      <c r="UTT9" s="317"/>
      <c r="UTU9" s="317"/>
      <c r="UTV9" s="317"/>
      <c r="UTW9" s="317"/>
      <c r="UTX9" s="317"/>
      <c r="UTY9" s="317"/>
      <c r="UTZ9" s="317"/>
      <c r="UUA9" s="317"/>
      <c r="UUB9" s="317"/>
      <c r="UUC9" s="317"/>
      <c r="UUD9" s="317"/>
      <c r="UUE9" s="317"/>
      <c r="UUF9" s="317"/>
      <c r="UUG9" s="317"/>
      <c r="UUH9" s="317"/>
      <c r="UUI9" s="317"/>
      <c r="UUJ9" s="317"/>
      <c r="UUK9" s="317"/>
      <c r="UUL9" s="317"/>
      <c r="UUM9" s="317"/>
      <c r="UUN9" s="317"/>
      <c r="UUO9" s="317"/>
      <c r="UUP9" s="317"/>
      <c r="UUQ9" s="317"/>
      <c r="UUR9" s="317"/>
      <c r="UUS9" s="317"/>
      <c r="UUT9" s="317"/>
      <c r="UUU9" s="317"/>
      <c r="UUV9" s="317"/>
      <c r="UUW9" s="317"/>
      <c r="UUX9" s="317"/>
      <c r="UUY9" s="317"/>
      <c r="UUZ9" s="317"/>
      <c r="UVA9" s="317"/>
      <c r="UVB9" s="317"/>
      <c r="UVC9" s="317"/>
      <c r="UVD9" s="317"/>
      <c r="UVE9" s="317"/>
      <c r="UVF9" s="317"/>
      <c r="UVG9" s="317"/>
      <c r="UVH9" s="317"/>
      <c r="UVI9" s="317"/>
      <c r="UVJ9" s="317"/>
      <c r="UVK9" s="317"/>
      <c r="UVL9" s="317"/>
      <c r="UVM9" s="317"/>
      <c r="UVN9" s="317"/>
      <c r="UVO9" s="317"/>
      <c r="UVP9" s="317"/>
      <c r="UVQ9" s="317"/>
      <c r="UVR9" s="317"/>
      <c r="UVS9" s="317"/>
      <c r="UVT9" s="317"/>
      <c r="UVU9" s="317"/>
      <c r="UVV9" s="317"/>
      <c r="UVW9" s="317"/>
      <c r="UVX9" s="317"/>
      <c r="UVY9" s="317"/>
      <c r="UVZ9" s="317"/>
      <c r="UWA9" s="317"/>
      <c r="UWB9" s="317"/>
      <c r="UWC9" s="317"/>
      <c r="UWD9" s="317"/>
      <c r="UWE9" s="317"/>
      <c r="UWF9" s="317"/>
      <c r="UWG9" s="317"/>
      <c r="UWH9" s="317"/>
      <c r="UWI9" s="317"/>
      <c r="UWJ9" s="317"/>
      <c r="UWK9" s="317"/>
      <c r="UWL9" s="317"/>
      <c r="UWM9" s="317"/>
      <c r="UWN9" s="317"/>
      <c r="UWO9" s="317"/>
      <c r="UWP9" s="317"/>
      <c r="UWQ9" s="317"/>
      <c r="UWR9" s="317"/>
      <c r="UWS9" s="317"/>
      <c r="UWT9" s="317"/>
      <c r="UWU9" s="317"/>
      <c r="UWV9" s="317"/>
      <c r="UWW9" s="317"/>
      <c r="UWX9" s="317"/>
      <c r="UWY9" s="317"/>
      <c r="UWZ9" s="317"/>
      <c r="UXA9" s="317"/>
      <c r="UXB9" s="317"/>
      <c r="UXC9" s="317"/>
      <c r="UXD9" s="317"/>
      <c r="UXE9" s="317"/>
      <c r="UXF9" s="317"/>
      <c r="UXG9" s="317"/>
      <c r="UXH9" s="317"/>
      <c r="UXI9" s="317"/>
      <c r="UXJ9" s="317"/>
      <c r="UXK9" s="317"/>
      <c r="UXL9" s="317"/>
      <c r="UXM9" s="317"/>
      <c r="UXN9" s="317"/>
      <c r="UXO9" s="317"/>
      <c r="UXP9" s="317"/>
      <c r="UXQ9" s="317"/>
      <c r="UXR9" s="317"/>
      <c r="UXS9" s="317"/>
      <c r="UXT9" s="317"/>
      <c r="UXU9" s="317"/>
      <c r="UXV9" s="317"/>
      <c r="UXW9" s="317"/>
      <c r="UXX9" s="317"/>
      <c r="UXY9" s="317"/>
      <c r="UXZ9" s="317"/>
      <c r="UYA9" s="317"/>
      <c r="UYB9" s="317"/>
      <c r="UYC9" s="317"/>
      <c r="UYD9" s="317"/>
      <c r="UYE9" s="317"/>
      <c r="UYF9" s="317"/>
      <c r="UYG9" s="317"/>
      <c r="UYH9" s="317"/>
      <c r="UYI9" s="317"/>
      <c r="UYJ9" s="317"/>
      <c r="UYK9" s="317"/>
      <c r="UYL9" s="317"/>
      <c r="UYM9" s="317"/>
      <c r="UYN9" s="317"/>
      <c r="UYO9" s="317"/>
      <c r="UYP9" s="317"/>
      <c r="UYQ9" s="317"/>
      <c r="UYR9" s="317"/>
      <c r="UYS9" s="317"/>
      <c r="UYT9" s="317"/>
      <c r="UYU9" s="317"/>
      <c r="UYV9" s="317"/>
      <c r="UYW9" s="317"/>
      <c r="UYX9" s="317"/>
      <c r="UYY9" s="317"/>
      <c r="UYZ9" s="317"/>
      <c r="UZA9" s="317"/>
      <c r="UZB9" s="317"/>
      <c r="UZC9" s="317"/>
      <c r="UZD9" s="317"/>
      <c r="UZE9" s="317"/>
      <c r="UZF9" s="317"/>
      <c r="UZG9" s="317"/>
      <c r="UZH9" s="317"/>
      <c r="UZI9" s="317"/>
      <c r="UZJ9" s="317"/>
      <c r="UZK9" s="317"/>
      <c r="UZL9" s="317"/>
      <c r="UZM9" s="317"/>
      <c r="UZN9" s="317"/>
      <c r="UZO9" s="317"/>
      <c r="UZP9" s="317"/>
      <c r="UZQ9" s="317"/>
      <c r="UZR9" s="317"/>
      <c r="UZS9" s="317"/>
      <c r="UZT9" s="317"/>
      <c r="UZU9" s="317"/>
      <c r="UZV9" s="317"/>
      <c r="UZW9" s="317"/>
      <c r="UZX9" s="317"/>
      <c r="UZY9" s="317"/>
      <c r="UZZ9" s="317"/>
      <c r="VAA9" s="317"/>
      <c r="VAB9" s="317"/>
      <c r="VAC9" s="317"/>
      <c r="VAD9" s="317"/>
      <c r="VAE9" s="317"/>
      <c r="VAF9" s="317"/>
      <c r="VAG9" s="317"/>
      <c r="VAH9" s="317"/>
      <c r="VAI9" s="317"/>
      <c r="VAJ9" s="317"/>
      <c r="VAK9" s="317"/>
      <c r="VAL9" s="317"/>
      <c r="VAM9" s="317"/>
      <c r="VAN9" s="317"/>
      <c r="VAO9" s="317"/>
      <c r="VAP9" s="317"/>
      <c r="VAQ9" s="317"/>
      <c r="VAR9" s="317"/>
      <c r="VAS9" s="317"/>
      <c r="VAT9" s="317"/>
      <c r="VAU9" s="317"/>
      <c r="VAV9" s="317"/>
      <c r="VAW9" s="317"/>
      <c r="VAX9" s="317"/>
      <c r="VAY9" s="317"/>
      <c r="VAZ9" s="317"/>
      <c r="VBA9" s="317"/>
      <c r="VBB9" s="317"/>
      <c r="VBC9" s="317"/>
      <c r="VBD9" s="317"/>
      <c r="VBE9" s="317"/>
      <c r="VBF9" s="317"/>
      <c r="VBG9" s="317"/>
      <c r="VBH9" s="317"/>
      <c r="VBI9" s="317"/>
      <c r="VBJ9" s="317"/>
      <c r="VBK9" s="317"/>
      <c r="VBL9" s="317"/>
      <c r="VBM9" s="317"/>
      <c r="VBN9" s="317"/>
      <c r="VBO9" s="317"/>
      <c r="VBP9" s="317"/>
      <c r="VBQ9" s="317"/>
      <c r="VBR9" s="317"/>
      <c r="VBS9" s="317"/>
      <c r="VBT9" s="317"/>
      <c r="VBU9" s="317"/>
      <c r="VBV9" s="317"/>
      <c r="VBW9" s="317"/>
      <c r="VBX9" s="317"/>
      <c r="VBY9" s="317"/>
      <c r="VBZ9" s="317"/>
      <c r="VCA9" s="317"/>
      <c r="VCB9" s="317"/>
      <c r="VCC9" s="317"/>
      <c r="VCD9" s="317"/>
      <c r="VCE9" s="317"/>
      <c r="VCF9" s="317"/>
      <c r="VCG9" s="317"/>
      <c r="VCH9" s="317"/>
      <c r="VCI9" s="317"/>
      <c r="VCJ9" s="317"/>
      <c r="VCK9" s="317"/>
      <c r="VCL9" s="317"/>
      <c r="VCM9" s="317"/>
      <c r="VCN9" s="317"/>
      <c r="VCO9" s="317"/>
      <c r="VCP9" s="317"/>
      <c r="VCQ9" s="317"/>
      <c r="VCR9" s="317"/>
      <c r="VCS9" s="317"/>
      <c r="VCT9" s="317"/>
      <c r="VCU9" s="317"/>
      <c r="VCV9" s="317"/>
      <c r="VCW9" s="317"/>
      <c r="VCX9" s="317"/>
      <c r="VCY9" s="317"/>
      <c r="VCZ9" s="317"/>
      <c r="VDA9" s="317"/>
      <c r="VDB9" s="317"/>
      <c r="VDC9" s="317"/>
      <c r="VDD9" s="317"/>
      <c r="VDE9" s="317"/>
      <c r="VDF9" s="317"/>
      <c r="VDG9" s="317"/>
      <c r="VDH9" s="317"/>
      <c r="VDI9" s="317"/>
      <c r="VDJ9" s="317"/>
      <c r="VDK9" s="317"/>
      <c r="VDL9" s="317"/>
      <c r="VDM9" s="317"/>
      <c r="VDN9" s="317"/>
      <c r="VDO9" s="317"/>
      <c r="VDP9" s="317"/>
      <c r="VDQ9" s="317"/>
      <c r="VDR9" s="317"/>
      <c r="VDS9" s="317"/>
      <c r="VDT9" s="317"/>
      <c r="VDU9" s="317"/>
      <c r="VDV9" s="317"/>
      <c r="VDW9" s="317"/>
      <c r="VDX9" s="317"/>
      <c r="VDY9" s="317"/>
      <c r="VDZ9" s="317"/>
      <c r="VEA9" s="317"/>
      <c r="VEB9" s="317"/>
      <c r="VEC9" s="317"/>
      <c r="VED9" s="317"/>
      <c r="VEE9" s="317"/>
      <c r="VEF9" s="317"/>
      <c r="VEG9" s="317"/>
      <c r="VEH9" s="317"/>
      <c r="VEI9" s="317"/>
      <c r="VEJ9" s="317"/>
      <c r="VEK9" s="317"/>
      <c r="VEL9" s="317"/>
      <c r="VEM9" s="317"/>
      <c r="VEN9" s="317"/>
      <c r="VEO9" s="317"/>
      <c r="VEP9" s="317"/>
      <c r="VEQ9" s="317"/>
      <c r="VER9" s="317"/>
      <c r="VES9" s="317"/>
      <c r="VET9" s="317"/>
      <c r="VEU9" s="317"/>
      <c r="VEV9" s="317"/>
      <c r="VEW9" s="317"/>
      <c r="VEX9" s="317"/>
      <c r="VEY9" s="317"/>
      <c r="VEZ9" s="317"/>
      <c r="VFA9" s="317"/>
      <c r="VFB9" s="317"/>
      <c r="VFC9" s="317"/>
      <c r="VFD9" s="317"/>
      <c r="VFE9" s="317"/>
      <c r="VFF9" s="317"/>
      <c r="VFG9" s="317"/>
      <c r="VFH9" s="317"/>
      <c r="VFI9" s="317"/>
      <c r="VFJ9" s="317"/>
      <c r="VFK9" s="317"/>
      <c r="VFL9" s="317"/>
      <c r="VFM9" s="317"/>
      <c r="VFN9" s="317"/>
      <c r="VFO9" s="317"/>
      <c r="VFP9" s="317"/>
      <c r="VFQ9" s="317"/>
      <c r="VFR9" s="317"/>
      <c r="VFS9" s="317"/>
      <c r="VFT9" s="317"/>
      <c r="VFU9" s="317"/>
      <c r="VFV9" s="317"/>
      <c r="VFW9" s="317"/>
      <c r="VFX9" s="317"/>
      <c r="VFY9" s="317"/>
      <c r="VFZ9" s="317"/>
      <c r="VGA9" s="317"/>
      <c r="VGB9" s="317"/>
      <c r="VGC9" s="317"/>
      <c r="VGD9" s="317"/>
      <c r="VGE9" s="317"/>
      <c r="VGF9" s="317"/>
      <c r="VGG9" s="317"/>
      <c r="VGH9" s="317"/>
      <c r="VGI9" s="317"/>
      <c r="VGJ9" s="317"/>
      <c r="VGK9" s="317"/>
      <c r="VGL9" s="317"/>
      <c r="VGM9" s="317"/>
      <c r="VGN9" s="317"/>
      <c r="VGO9" s="317"/>
      <c r="VGP9" s="317"/>
      <c r="VGQ9" s="317"/>
      <c r="VGR9" s="317"/>
      <c r="VGS9" s="317"/>
      <c r="VGT9" s="317"/>
      <c r="VGU9" s="317"/>
      <c r="VGV9" s="317"/>
      <c r="VGW9" s="317"/>
      <c r="VGX9" s="317"/>
      <c r="VGY9" s="317"/>
      <c r="VGZ9" s="317"/>
      <c r="VHA9" s="317"/>
      <c r="VHB9" s="317"/>
      <c r="VHC9" s="317"/>
      <c r="VHD9" s="317"/>
      <c r="VHE9" s="317"/>
      <c r="VHF9" s="317"/>
      <c r="VHG9" s="317"/>
      <c r="VHH9" s="317"/>
      <c r="VHI9" s="317"/>
      <c r="VHJ9" s="317"/>
      <c r="VHK9" s="317"/>
      <c r="VHL9" s="317"/>
      <c r="VHM9" s="317"/>
      <c r="VHN9" s="317"/>
      <c r="VHO9" s="317"/>
      <c r="VHP9" s="317"/>
      <c r="VHQ9" s="317"/>
      <c r="VHR9" s="317"/>
      <c r="VHS9" s="317"/>
      <c r="VHT9" s="317"/>
      <c r="VHU9" s="317"/>
      <c r="VHV9" s="317"/>
      <c r="VHW9" s="317"/>
      <c r="VHX9" s="317"/>
      <c r="VHY9" s="317"/>
      <c r="VHZ9" s="317"/>
      <c r="VIA9" s="317"/>
      <c r="VIB9" s="317"/>
      <c r="VIC9" s="317"/>
      <c r="VID9" s="317"/>
      <c r="VIE9" s="317"/>
      <c r="VIF9" s="317"/>
      <c r="VIG9" s="317"/>
      <c r="VIH9" s="317"/>
      <c r="VII9" s="317"/>
      <c r="VIJ9" s="317"/>
      <c r="VIK9" s="317"/>
      <c r="VIL9" s="317"/>
      <c r="VIM9" s="317"/>
      <c r="VIN9" s="317"/>
      <c r="VIO9" s="317"/>
      <c r="VIP9" s="317"/>
      <c r="VIQ9" s="317"/>
      <c r="VIR9" s="317"/>
      <c r="VIS9" s="317"/>
      <c r="VIT9" s="317"/>
      <c r="VIU9" s="317"/>
      <c r="VIV9" s="317"/>
      <c r="VIW9" s="317"/>
      <c r="VIX9" s="317"/>
      <c r="VIY9" s="317"/>
      <c r="VIZ9" s="317"/>
      <c r="VJA9" s="317"/>
      <c r="VJB9" s="317"/>
      <c r="VJC9" s="317"/>
      <c r="VJD9" s="317"/>
      <c r="VJE9" s="317"/>
      <c r="VJF9" s="317"/>
      <c r="VJG9" s="317"/>
      <c r="VJH9" s="317"/>
      <c r="VJI9" s="317"/>
      <c r="VJJ9" s="317"/>
      <c r="VJK9" s="317"/>
      <c r="VJL9" s="317"/>
      <c r="VJM9" s="317"/>
      <c r="VJN9" s="317"/>
      <c r="VJO9" s="317"/>
      <c r="VJP9" s="317"/>
      <c r="VJQ9" s="317"/>
      <c r="VJR9" s="317"/>
      <c r="VJS9" s="317"/>
      <c r="VJT9" s="317"/>
      <c r="VJU9" s="317"/>
      <c r="VJV9" s="317"/>
      <c r="VJW9" s="317"/>
      <c r="VJX9" s="317"/>
      <c r="VJY9" s="317"/>
      <c r="VJZ9" s="317"/>
      <c r="VKA9" s="317"/>
      <c r="VKB9" s="317"/>
      <c r="VKC9" s="317"/>
      <c r="VKD9" s="317"/>
      <c r="VKE9" s="317"/>
      <c r="VKF9" s="317"/>
      <c r="VKG9" s="317"/>
      <c r="VKH9" s="317"/>
      <c r="VKI9" s="317"/>
      <c r="VKJ9" s="317"/>
      <c r="VKK9" s="317"/>
      <c r="VKL9" s="317"/>
      <c r="VKM9" s="317"/>
      <c r="VKN9" s="317"/>
      <c r="VKO9" s="317"/>
      <c r="VKP9" s="317"/>
      <c r="VKQ9" s="317"/>
      <c r="VKR9" s="317"/>
      <c r="VKS9" s="317"/>
      <c r="VKT9" s="317"/>
      <c r="VKU9" s="317"/>
      <c r="VKV9" s="317"/>
      <c r="VKW9" s="317"/>
      <c r="VKX9" s="317"/>
      <c r="VKY9" s="317"/>
      <c r="VKZ9" s="317"/>
      <c r="VLA9" s="317"/>
      <c r="VLB9" s="317"/>
      <c r="VLC9" s="317"/>
      <c r="VLD9" s="317"/>
      <c r="VLE9" s="317"/>
      <c r="VLF9" s="317"/>
      <c r="VLG9" s="317"/>
      <c r="VLH9" s="317"/>
      <c r="VLI9" s="317"/>
      <c r="VLJ9" s="317"/>
      <c r="VLK9" s="317"/>
      <c r="VLL9" s="317"/>
      <c r="VLM9" s="317"/>
      <c r="VLN9" s="317"/>
      <c r="VLO9" s="317"/>
      <c r="VLP9" s="317"/>
      <c r="VLQ9" s="317"/>
      <c r="VLR9" s="317"/>
      <c r="VLS9" s="317"/>
      <c r="VLT9" s="317"/>
      <c r="VLU9" s="317"/>
      <c r="VLV9" s="317"/>
      <c r="VLW9" s="317"/>
      <c r="VLX9" s="317"/>
      <c r="VLY9" s="317"/>
      <c r="VLZ9" s="317"/>
      <c r="VMA9" s="317"/>
      <c r="VMB9" s="317"/>
      <c r="VMC9" s="317"/>
      <c r="VMD9" s="317"/>
      <c r="VME9" s="317"/>
      <c r="VMF9" s="317"/>
      <c r="VMG9" s="317"/>
      <c r="VMH9" s="317"/>
      <c r="VMI9" s="317"/>
      <c r="VMJ9" s="317"/>
      <c r="VMK9" s="317"/>
      <c r="VML9" s="317"/>
      <c r="VMM9" s="317"/>
      <c r="VMN9" s="317"/>
      <c r="VMO9" s="317"/>
      <c r="VMP9" s="317"/>
      <c r="VMQ9" s="317"/>
      <c r="VMR9" s="317"/>
      <c r="VMS9" s="317"/>
      <c r="VMT9" s="317"/>
      <c r="VMU9" s="317"/>
      <c r="VMV9" s="317"/>
      <c r="VMW9" s="317"/>
      <c r="VMX9" s="317"/>
      <c r="VMY9" s="317"/>
      <c r="VMZ9" s="317"/>
      <c r="VNA9" s="317"/>
      <c r="VNB9" s="317"/>
      <c r="VNC9" s="317"/>
      <c r="VND9" s="317"/>
      <c r="VNE9" s="317"/>
      <c r="VNF9" s="317"/>
      <c r="VNG9" s="317"/>
      <c r="VNH9" s="317"/>
      <c r="VNI9" s="317"/>
      <c r="VNJ9" s="317"/>
      <c r="VNK9" s="317"/>
      <c r="VNL9" s="317"/>
      <c r="VNM9" s="317"/>
      <c r="VNN9" s="317"/>
      <c r="VNO9" s="317"/>
      <c r="VNP9" s="317"/>
      <c r="VNQ9" s="317"/>
      <c r="VNR9" s="317"/>
      <c r="VNS9" s="317"/>
      <c r="VNT9" s="317"/>
      <c r="VNU9" s="317"/>
      <c r="VNV9" s="317"/>
      <c r="VNW9" s="317"/>
      <c r="VNX9" s="317"/>
      <c r="VNY9" s="317"/>
      <c r="VNZ9" s="317"/>
      <c r="VOA9" s="317"/>
      <c r="VOB9" s="317"/>
      <c r="VOC9" s="317"/>
      <c r="VOD9" s="317"/>
      <c r="VOE9" s="317"/>
      <c r="VOF9" s="317"/>
      <c r="VOG9" s="317"/>
      <c r="VOH9" s="317"/>
      <c r="VOI9" s="317"/>
      <c r="VOJ9" s="317"/>
      <c r="VOK9" s="317"/>
      <c r="VOL9" s="317"/>
      <c r="VOM9" s="317"/>
      <c r="VON9" s="317"/>
      <c r="VOO9" s="317"/>
      <c r="VOP9" s="317"/>
      <c r="VOQ9" s="317"/>
      <c r="VOR9" s="317"/>
      <c r="VOS9" s="317"/>
      <c r="VOT9" s="317"/>
      <c r="VOU9" s="317"/>
      <c r="VOV9" s="317"/>
      <c r="VOW9" s="317"/>
      <c r="VOX9" s="317"/>
      <c r="VOY9" s="317"/>
      <c r="VOZ9" s="317"/>
      <c r="VPA9" s="317"/>
      <c r="VPB9" s="317"/>
      <c r="VPC9" s="317"/>
      <c r="VPD9" s="317"/>
      <c r="VPE9" s="317"/>
      <c r="VPF9" s="317"/>
      <c r="VPG9" s="317"/>
      <c r="VPH9" s="317"/>
      <c r="VPI9" s="317"/>
      <c r="VPJ9" s="317"/>
      <c r="VPK9" s="317"/>
      <c r="VPL9" s="317"/>
      <c r="VPM9" s="317"/>
      <c r="VPN9" s="317"/>
      <c r="VPO9" s="317"/>
      <c r="VPP9" s="317"/>
      <c r="VPQ9" s="317"/>
      <c r="VPR9" s="317"/>
      <c r="VPS9" s="317"/>
      <c r="VPT9" s="317"/>
      <c r="VPU9" s="317"/>
      <c r="VPV9" s="317"/>
      <c r="VPW9" s="317"/>
      <c r="VPX9" s="317"/>
      <c r="VPY9" s="317"/>
      <c r="VPZ9" s="317"/>
      <c r="VQA9" s="317"/>
      <c r="VQB9" s="317"/>
      <c r="VQC9" s="317"/>
      <c r="VQD9" s="317"/>
      <c r="VQE9" s="317"/>
      <c r="VQF9" s="317"/>
      <c r="VQG9" s="317"/>
      <c r="VQH9" s="317"/>
      <c r="VQI9" s="317"/>
      <c r="VQJ9" s="317"/>
      <c r="VQK9" s="317"/>
      <c r="VQL9" s="317"/>
      <c r="VQM9" s="317"/>
      <c r="VQN9" s="317"/>
      <c r="VQO9" s="317"/>
      <c r="VQP9" s="317"/>
      <c r="VQQ9" s="317"/>
      <c r="VQR9" s="317"/>
      <c r="VQS9" s="317"/>
      <c r="VQT9" s="317"/>
      <c r="VQU9" s="317"/>
      <c r="VQV9" s="317"/>
      <c r="VQW9" s="317"/>
      <c r="VQX9" s="317"/>
      <c r="VQY9" s="317"/>
      <c r="VQZ9" s="317"/>
      <c r="VRA9" s="317"/>
      <c r="VRB9" s="317"/>
      <c r="VRC9" s="317"/>
      <c r="VRD9" s="317"/>
      <c r="VRE9" s="317"/>
      <c r="VRF9" s="317"/>
      <c r="VRG9" s="317"/>
      <c r="VRH9" s="317"/>
      <c r="VRI9" s="317"/>
      <c r="VRJ9" s="317"/>
      <c r="VRK9" s="317"/>
      <c r="VRL9" s="317"/>
      <c r="VRM9" s="317"/>
      <c r="VRN9" s="317"/>
      <c r="VRO9" s="317"/>
      <c r="VRP9" s="317"/>
      <c r="VRQ9" s="317"/>
      <c r="VRR9" s="317"/>
      <c r="VRS9" s="317"/>
      <c r="VRT9" s="317"/>
      <c r="VRU9" s="317"/>
      <c r="VRV9" s="317"/>
      <c r="VRW9" s="317"/>
      <c r="VRX9" s="317"/>
      <c r="VRY9" s="317"/>
      <c r="VRZ9" s="317"/>
      <c r="VSA9" s="317"/>
      <c r="VSB9" s="317"/>
      <c r="VSC9" s="317"/>
      <c r="VSD9" s="317"/>
      <c r="VSE9" s="317"/>
      <c r="VSF9" s="317"/>
      <c r="VSG9" s="317"/>
      <c r="VSH9" s="317"/>
      <c r="VSI9" s="317"/>
      <c r="VSJ9" s="317"/>
      <c r="VSK9" s="317"/>
      <c r="VSL9" s="317"/>
      <c r="VSM9" s="317"/>
      <c r="VSN9" s="317"/>
      <c r="VSO9" s="317"/>
      <c r="VSP9" s="317"/>
      <c r="VSQ9" s="317"/>
      <c r="VSR9" s="317"/>
      <c r="VSS9" s="317"/>
      <c r="VST9" s="317"/>
      <c r="VSU9" s="317"/>
      <c r="VSV9" s="317"/>
      <c r="VSW9" s="317"/>
      <c r="VSX9" s="317"/>
      <c r="VSY9" s="317"/>
      <c r="VSZ9" s="317"/>
      <c r="VTA9" s="317"/>
      <c r="VTB9" s="317"/>
      <c r="VTC9" s="317"/>
      <c r="VTD9" s="317"/>
      <c r="VTE9" s="317"/>
      <c r="VTF9" s="317"/>
      <c r="VTG9" s="317"/>
      <c r="VTH9" s="317"/>
      <c r="VTI9" s="317"/>
      <c r="VTJ9" s="317"/>
      <c r="VTK9" s="317"/>
      <c r="VTL9" s="317"/>
      <c r="VTM9" s="317"/>
      <c r="VTN9" s="317"/>
      <c r="VTO9" s="317"/>
      <c r="VTP9" s="317"/>
      <c r="VTQ9" s="317"/>
      <c r="VTR9" s="317"/>
      <c r="VTS9" s="317"/>
      <c r="VTT9" s="317"/>
      <c r="VTU9" s="317"/>
      <c r="VTV9" s="317"/>
      <c r="VTW9" s="317"/>
      <c r="VTX9" s="317"/>
      <c r="VTY9" s="317"/>
      <c r="VTZ9" s="317"/>
      <c r="VUA9" s="317"/>
      <c r="VUB9" s="317"/>
      <c r="VUC9" s="317"/>
      <c r="VUD9" s="317"/>
      <c r="VUE9" s="317"/>
      <c r="VUF9" s="317"/>
      <c r="VUG9" s="317"/>
      <c r="VUH9" s="317"/>
      <c r="VUI9" s="317"/>
      <c r="VUJ9" s="317"/>
      <c r="VUK9" s="317"/>
      <c r="VUL9" s="317"/>
      <c r="VUM9" s="317"/>
      <c r="VUN9" s="317"/>
      <c r="VUO9" s="317"/>
      <c r="VUP9" s="317"/>
      <c r="VUQ9" s="317"/>
      <c r="VUR9" s="317"/>
      <c r="VUS9" s="317"/>
      <c r="VUT9" s="317"/>
      <c r="VUU9" s="317"/>
      <c r="VUV9" s="317"/>
      <c r="VUW9" s="317"/>
      <c r="VUX9" s="317"/>
      <c r="VUY9" s="317"/>
      <c r="VUZ9" s="317"/>
      <c r="VVA9" s="317"/>
      <c r="VVB9" s="317"/>
      <c r="VVC9" s="317"/>
      <c r="VVD9" s="317"/>
      <c r="VVE9" s="317"/>
      <c r="VVF9" s="317"/>
      <c r="VVG9" s="317"/>
      <c r="VVH9" s="317"/>
      <c r="VVI9" s="317"/>
      <c r="VVJ9" s="317"/>
      <c r="VVK9" s="317"/>
      <c r="VVL9" s="317"/>
      <c r="VVM9" s="317"/>
      <c r="VVN9" s="317"/>
      <c r="VVO9" s="317"/>
      <c r="VVP9" s="317"/>
      <c r="VVQ9" s="317"/>
      <c r="VVR9" s="317"/>
      <c r="VVS9" s="317"/>
      <c r="VVT9" s="317"/>
      <c r="VVU9" s="317"/>
      <c r="VVV9" s="317"/>
      <c r="VVW9" s="317"/>
      <c r="VVX9" s="317"/>
      <c r="VVY9" s="317"/>
      <c r="VVZ9" s="317"/>
      <c r="VWA9" s="317"/>
      <c r="VWB9" s="317"/>
      <c r="VWC9" s="317"/>
      <c r="VWD9" s="317"/>
      <c r="VWE9" s="317"/>
      <c r="VWF9" s="317"/>
      <c r="VWG9" s="317"/>
      <c r="VWH9" s="317"/>
      <c r="VWI9" s="317"/>
      <c r="VWJ9" s="317"/>
      <c r="VWK9" s="317"/>
      <c r="VWL9" s="317"/>
      <c r="VWM9" s="317"/>
      <c r="VWN9" s="317"/>
      <c r="VWO9" s="317"/>
      <c r="VWP9" s="317"/>
      <c r="VWQ9" s="317"/>
      <c r="VWR9" s="317"/>
      <c r="VWS9" s="317"/>
      <c r="VWT9" s="317"/>
      <c r="VWU9" s="317"/>
      <c r="VWV9" s="317"/>
      <c r="VWW9" s="317"/>
      <c r="VWX9" s="317"/>
      <c r="VWY9" s="317"/>
      <c r="VWZ9" s="317"/>
      <c r="VXA9" s="317"/>
      <c r="VXB9" s="317"/>
      <c r="VXC9" s="317"/>
      <c r="VXD9" s="317"/>
      <c r="VXE9" s="317"/>
      <c r="VXF9" s="317"/>
      <c r="VXG9" s="317"/>
      <c r="VXH9" s="317"/>
      <c r="VXI9" s="317"/>
      <c r="VXJ9" s="317"/>
      <c r="VXK9" s="317"/>
      <c r="VXL9" s="317"/>
      <c r="VXM9" s="317"/>
      <c r="VXN9" s="317"/>
      <c r="VXO9" s="317"/>
      <c r="VXP9" s="317"/>
      <c r="VXQ9" s="317"/>
      <c r="VXR9" s="317"/>
      <c r="VXS9" s="317"/>
      <c r="VXT9" s="317"/>
      <c r="VXU9" s="317"/>
      <c r="VXV9" s="317"/>
      <c r="VXW9" s="317"/>
      <c r="VXX9" s="317"/>
      <c r="VXY9" s="317"/>
      <c r="VXZ9" s="317"/>
      <c r="VYA9" s="317"/>
      <c r="VYB9" s="317"/>
      <c r="VYC9" s="317"/>
      <c r="VYD9" s="317"/>
      <c r="VYE9" s="317"/>
      <c r="VYF9" s="317"/>
      <c r="VYG9" s="317"/>
      <c r="VYH9" s="317"/>
      <c r="VYI9" s="317"/>
      <c r="VYJ9" s="317"/>
      <c r="VYK9" s="317"/>
      <c r="VYL9" s="317"/>
      <c r="VYM9" s="317"/>
      <c r="VYN9" s="317"/>
      <c r="VYO9" s="317"/>
      <c r="VYP9" s="317"/>
      <c r="VYQ9" s="317"/>
      <c r="VYR9" s="317"/>
      <c r="VYS9" s="317"/>
      <c r="VYT9" s="317"/>
      <c r="VYU9" s="317"/>
      <c r="VYV9" s="317"/>
      <c r="VYW9" s="317"/>
      <c r="VYX9" s="317"/>
      <c r="VYY9" s="317"/>
      <c r="VYZ9" s="317"/>
      <c r="VZA9" s="317"/>
      <c r="VZB9" s="317"/>
      <c r="VZC9" s="317"/>
      <c r="VZD9" s="317"/>
      <c r="VZE9" s="317"/>
      <c r="VZF9" s="317"/>
      <c r="VZG9" s="317"/>
      <c r="VZH9" s="317"/>
      <c r="VZI9" s="317"/>
      <c r="VZJ9" s="317"/>
      <c r="VZK9" s="317"/>
      <c r="VZL9" s="317"/>
      <c r="VZM9" s="317"/>
      <c r="VZN9" s="317"/>
      <c r="VZO9" s="317"/>
      <c r="VZP9" s="317"/>
      <c r="VZQ9" s="317"/>
      <c r="VZR9" s="317"/>
      <c r="VZS9" s="317"/>
      <c r="VZT9" s="317"/>
      <c r="VZU9" s="317"/>
      <c r="VZV9" s="317"/>
      <c r="VZW9" s="317"/>
      <c r="VZX9" s="317"/>
      <c r="VZY9" s="317"/>
      <c r="VZZ9" s="317"/>
      <c r="WAA9" s="317"/>
      <c r="WAB9" s="317"/>
      <c r="WAC9" s="317"/>
      <c r="WAD9" s="317"/>
      <c r="WAE9" s="317"/>
      <c r="WAF9" s="317"/>
      <c r="WAG9" s="317"/>
      <c r="WAH9" s="317"/>
      <c r="WAI9" s="317"/>
      <c r="WAJ9" s="317"/>
      <c r="WAK9" s="317"/>
      <c r="WAL9" s="317"/>
      <c r="WAM9" s="317"/>
      <c r="WAN9" s="317"/>
      <c r="WAO9" s="317"/>
      <c r="WAP9" s="317"/>
      <c r="WAQ9" s="317"/>
      <c r="WAR9" s="317"/>
      <c r="WAS9" s="317"/>
      <c r="WAT9" s="317"/>
      <c r="WAU9" s="317"/>
      <c r="WAV9" s="317"/>
      <c r="WAW9" s="317"/>
      <c r="WAX9" s="317"/>
      <c r="WAY9" s="317"/>
      <c r="WAZ9" s="317"/>
      <c r="WBA9" s="317"/>
      <c r="WBB9" s="317"/>
      <c r="WBC9" s="317"/>
      <c r="WBD9" s="317"/>
      <c r="WBE9" s="317"/>
      <c r="WBF9" s="317"/>
      <c r="WBG9" s="317"/>
      <c r="WBH9" s="317"/>
      <c r="WBI9" s="317"/>
      <c r="WBJ9" s="317"/>
      <c r="WBK9" s="317"/>
      <c r="WBL9" s="317"/>
      <c r="WBM9" s="317"/>
      <c r="WBN9" s="317"/>
      <c r="WBO9" s="317"/>
      <c r="WBP9" s="317"/>
      <c r="WBQ9" s="317"/>
      <c r="WBR9" s="317"/>
      <c r="WBS9" s="317"/>
      <c r="WBT9" s="317"/>
      <c r="WBU9" s="317"/>
      <c r="WBV9" s="317"/>
      <c r="WBW9" s="317"/>
      <c r="WBX9" s="317"/>
      <c r="WBY9" s="317"/>
      <c r="WBZ9" s="317"/>
      <c r="WCA9" s="317"/>
      <c r="WCB9" s="317"/>
      <c r="WCC9" s="317"/>
      <c r="WCD9" s="317"/>
      <c r="WCE9" s="317"/>
      <c r="WCF9" s="317"/>
      <c r="WCG9" s="317"/>
      <c r="WCH9" s="317"/>
      <c r="WCI9" s="317"/>
      <c r="WCJ9" s="317"/>
      <c r="WCK9" s="317"/>
      <c r="WCL9" s="317"/>
      <c r="WCM9" s="317"/>
      <c r="WCN9" s="317"/>
      <c r="WCO9" s="317"/>
      <c r="WCP9" s="317"/>
      <c r="WCQ9" s="317"/>
      <c r="WCR9" s="317"/>
      <c r="WCS9" s="317"/>
      <c r="WCT9" s="317"/>
      <c r="WCU9" s="317"/>
      <c r="WCV9" s="317"/>
      <c r="WCW9" s="317"/>
      <c r="WCX9" s="317"/>
      <c r="WCY9" s="317"/>
      <c r="WCZ9" s="317"/>
      <c r="WDA9" s="317"/>
      <c r="WDB9" s="317"/>
      <c r="WDC9" s="317"/>
      <c r="WDD9" s="317"/>
      <c r="WDE9" s="317"/>
      <c r="WDF9" s="317"/>
      <c r="WDG9" s="317"/>
      <c r="WDH9" s="317"/>
      <c r="WDI9" s="317"/>
      <c r="WDJ9" s="317"/>
      <c r="WDK9" s="317"/>
      <c r="WDL9" s="317"/>
      <c r="WDM9" s="317"/>
      <c r="WDN9" s="317"/>
      <c r="WDO9" s="317"/>
      <c r="WDP9" s="317"/>
      <c r="WDQ9" s="317"/>
      <c r="WDR9" s="317"/>
      <c r="WDS9" s="317"/>
      <c r="WDT9" s="317"/>
      <c r="WDU9" s="317"/>
      <c r="WDV9" s="317"/>
      <c r="WDW9" s="317"/>
      <c r="WDX9" s="317"/>
      <c r="WDY9" s="317"/>
      <c r="WDZ9" s="317"/>
      <c r="WEA9" s="317"/>
      <c r="WEB9" s="317"/>
      <c r="WEC9" s="317"/>
      <c r="WED9" s="317"/>
      <c r="WEE9" s="317"/>
      <c r="WEF9" s="317"/>
      <c r="WEG9" s="317"/>
      <c r="WEH9" s="317"/>
      <c r="WEI9" s="317"/>
      <c r="WEJ9" s="317"/>
      <c r="WEK9" s="317"/>
      <c r="WEL9" s="317"/>
      <c r="WEM9" s="317"/>
      <c r="WEN9" s="317"/>
      <c r="WEO9" s="317"/>
      <c r="WEP9" s="317"/>
      <c r="WEQ9" s="317"/>
      <c r="WER9" s="317"/>
      <c r="WES9" s="317"/>
      <c r="WET9" s="317"/>
      <c r="WEU9" s="317"/>
      <c r="WEV9" s="317"/>
      <c r="WEW9" s="317"/>
      <c r="WEX9" s="317"/>
      <c r="WEY9" s="317"/>
      <c r="WEZ9" s="317"/>
      <c r="WFA9" s="317"/>
      <c r="WFB9" s="317"/>
      <c r="WFC9" s="317"/>
      <c r="WFD9" s="317"/>
      <c r="WFE9" s="317"/>
      <c r="WFF9" s="317"/>
      <c r="WFG9" s="317"/>
      <c r="WFH9" s="317"/>
      <c r="WFI9" s="317"/>
      <c r="WFJ9" s="317"/>
      <c r="WFK9" s="317"/>
      <c r="WFL9" s="317"/>
      <c r="WFM9" s="317"/>
      <c r="WFN9" s="317"/>
      <c r="WFO9" s="317"/>
      <c r="WFP9" s="317"/>
      <c r="WFQ9" s="317"/>
      <c r="WFR9" s="317"/>
      <c r="WFS9" s="317"/>
      <c r="WFT9" s="317"/>
      <c r="WFU9" s="317"/>
      <c r="WFV9" s="317"/>
      <c r="WFW9" s="317"/>
      <c r="WFX9" s="317"/>
      <c r="WFY9" s="317"/>
      <c r="WFZ9" s="317"/>
      <c r="WGA9" s="317"/>
      <c r="WGB9" s="317"/>
      <c r="WGC9" s="317"/>
      <c r="WGD9" s="317"/>
      <c r="WGE9" s="317"/>
      <c r="WGF9" s="317"/>
      <c r="WGG9" s="317"/>
      <c r="WGH9" s="317"/>
      <c r="WGI9" s="317"/>
      <c r="WGJ9" s="317"/>
      <c r="WGK9" s="317"/>
      <c r="WGL9" s="317"/>
      <c r="WGM9" s="317"/>
      <c r="WGN9" s="317"/>
      <c r="WGO9" s="317"/>
      <c r="WGP9" s="317"/>
      <c r="WGQ9" s="317"/>
      <c r="WGR9" s="317"/>
      <c r="WGS9" s="317"/>
      <c r="WGT9" s="317"/>
      <c r="WGU9" s="317"/>
      <c r="WGV9" s="317"/>
      <c r="WGW9" s="317"/>
      <c r="WGX9" s="317"/>
      <c r="WGY9" s="317"/>
      <c r="WGZ9" s="317"/>
      <c r="WHA9" s="317"/>
      <c r="WHB9" s="317"/>
      <c r="WHC9" s="317"/>
      <c r="WHD9" s="317"/>
      <c r="WHE9" s="317"/>
      <c r="WHF9" s="317"/>
      <c r="WHG9" s="317"/>
      <c r="WHH9" s="317"/>
      <c r="WHI9" s="317"/>
      <c r="WHJ9" s="317"/>
      <c r="WHK9" s="317"/>
      <c r="WHL9" s="317"/>
      <c r="WHM9" s="317"/>
      <c r="WHN9" s="317"/>
      <c r="WHO9" s="317"/>
      <c r="WHP9" s="317"/>
      <c r="WHQ9" s="317"/>
      <c r="WHR9" s="317"/>
      <c r="WHS9" s="317"/>
      <c r="WHT9" s="317"/>
      <c r="WHU9" s="317"/>
      <c r="WHV9" s="317"/>
      <c r="WHW9" s="317"/>
      <c r="WHX9" s="317"/>
      <c r="WHY9" s="317"/>
      <c r="WHZ9" s="317"/>
      <c r="WIA9" s="317"/>
      <c r="WIB9" s="317"/>
      <c r="WIC9" s="317"/>
      <c r="WID9" s="317"/>
      <c r="WIE9" s="317"/>
      <c r="WIF9" s="317"/>
      <c r="WIG9" s="317"/>
      <c r="WIH9" s="317"/>
      <c r="WII9" s="317"/>
      <c r="WIJ9" s="317"/>
      <c r="WIK9" s="317"/>
      <c r="WIL9" s="317"/>
      <c r="WIM9" s="317"/>
      <c r="WIN9" s="317"/>
      <c r="WIO9" s="317"/>
      <c r="WIP9" s="317"/>
      <c r="WIQ9" s="317"/>
      <c r="WIR9" s="317"/>
      <c r="WIS9" s="317"/>
      <c r="WIT9" s="317"/>
      <c r="WIU9" s="317"/>
      <c r="WIV9" s="317"/>
      <c r="WIW9" s="317"/>
      <c r="WIX9" s="317"/>
      <c r="WIY9" s="317"/>
      <c r="WIZ9" s="317"/>
      <c r="WJA9" s="317"/>
      <c r="WJB9" s="317"/>
      <c r="WJC9" s="317"/>
      <c r="WJD9" s="317"/>
      <c r="WJE9" s="317"/>
      <c r="WJF9" s="317"/>
      <c r="WJG9" s="317"/>
      <c r="WJH9" s="317"/>
      <c r="WJI9" s="317"/>
      <c r="WJJ9" s="317"/>
      <c r="WJK9" s="317"/>
      <c r="WJL9" s="317"/>
      <c r="WJM9" s="317"/>
      <c r="WJN9" s="317"/>
      <c r="WJO9" s="317"/>
      <c r="WJP9" s="317"/>
      <c r="WJQ9" s="317"/>
      <c r="WJR9" s="317"/>
      <c r="WJS9" s="317"/>
      <c r="WJT9" s="317"/>
      <c r="WJU9" s="317"/>
      <c r="WJV9" s="317"/>
      <c r="WJW9" s="317"/>
      <c r="WJX9" s="317"/>
      <c r="WJY9" s="317"/>
      <c r="WJZ9" s="317"/>
      <c r="WKA9" s="317"/>
      <c r="WKB9" s="317"/>
      <c r="WKC9" s="317"/>
      <c r="WKD9" s="317"/>
      <c r="WKE9" s="317"/>
      <c r="WKF9" s="317"/>
      <c r="WKG9" s="317"/>
      <c r="WKH9" s="317"/>
      <c r="WKI9" s="317"/>
      <c r="WKJ9" s="317"/>
      <c r="WKK9" s="317"/>
      <c r="WKL9" s="317"/>
      <c r="WKM9" s="317"/>
      <c r="WKN9" s="317"/>
      <c r="WKO9" s="317"/>
      <c r="WKP9" s="317"/>
      <c r="WKQ9" s="317"/>
      <c r="WKR9" s="317"/>
      <c r="WKS9" s="317"/>
      <c r="WKT9" s="317"/>
      <c r="WKU9" s="317"/>
      <c r="WKV9" s="317"/>
      <c r="WKW9" s="317"/>
      <c r="WKX9" s="317"/>
      <c r="WKY9" s="317"/>
      <c r="WKZ9" s="317"/>
      <c r="WLA9" s="317"/>
      <c r="WLB9" s="317"/>
      <c r="WLC9" s="317"/>
      <c r="WLD9" s="317"/>
      <c r="WLE9" s="317"/>
      <c r="WLF9" s="317"/>
      <c r="WLG9" s="317"/>
      <c r="WLH9" s="317"/>
      <c r="WLI9" s="317"/>
      <c r="WLJ9" s="317"/>
      <c r="WLK9" s="317"/>
      <c r="WLL9" s="317"/>
      <c r="WLM9" s="317"/>
      <c r="WLN9" s="317"/>
      <c r="WLO9" s="317"/>
      <c r="WLP9" s="317"/>
      <c r="WLQ9" s="317"/>
      <c r="WLR9" s="317"/>
      <c r="WLS9" s="317"/>
      <c r="WLT9" s="317"/>
      <c r="WLU9" s="317"/>
      <c r="WLV9" s="317"/>
      <c r="WLW9" s="317"/>
      <c r="WLX9" s="317"/>
      <c r="WLY9" s="317"/>
      <c r="WLZ9" s="317"/>
      <c r="WMA9" s="317"/>
      <c r="WMB9" s="317"/>
      <c r="WMC9" s="317"/>
      <c r="WMD9" s="317"/>
      <c r="WME9" s="317"/>
      <c r="WMF9" s="317"/>
      <c r="WMG9" s="317"/>
      <c r="WMH9" s="317"/>
      <c r="WMI9" s="317"/>
      <c r="WMJ9" s="317"/>
      <c r="WMK9" s="317"/>
      <c r="WML9" s="317"/>
      <c r="WMM9" s="317"/>
      <c r="WMN9" s="317"/>
      <c r="WMO9" s="317"/>
      <c r="WMP9" s="317"/>
      <c r="WMQ9" s="317"/>
      <c r="WMR9" s="317"/>
      <c r="WMS9" s="317"/>
      <c r="WMT9" s="317"/>
      <c r="WMU9" s="317"/>
      <c r="WMV9" s="317"/>
      <c r="WMW9" s="317"/>
      <c r="WMX9" s="317"/>
      <c r="WMY9" s="317"/>
      <c r="WMZ9" s="317"/>
      <c r="WNA9" s="317"/>
      <c r="WNB9" s="317"/>
      <c r="WNC9" s="317"/>
      <c r="WND9" s="317"/>
      <c r="WNE9" s="317"/>
      <c r="WNF9" s="317"/>
      <c r="WNG9" s="317"/>
      <c r="WNH9" s="317"/>
      <c r="WNI9" s="317"/>
      <c r="WNJ9" s="317"/>
      <c r="WNK9" s="317"/>
      <c r="WNL9" s="317"/>
      <c r="WNM9" s="317"/>
      <c r="WNN9" s="317"/>
      <c r="WNO9" s="317"/>
      <c r="WNP9" s="317"/>
      <c r="WNQ9" s="317"/>
      <c r="WNR9" s="317"/>
      <c r="WNS9" s="317"/>
      <c r="WNT9" s="317"/>
      <c r="WNU9" s="317"/>
      <c r="WNV9" s="317"/>
      <c r="WNW9" s="317"/>
      <c r="WNX9" s="317"/>
      <c r="WNY9" s="317"/>
      <c r="WNZ9" s="317"/>
      <c r="WOA9" s="317"/>
      <c r="WOB9" s="317"/>
      <c r="WOC9" s="317"/>
      <c r="WOD9" s="317"/>
      <c r="WOE9" s="317"/>
      <c r="WOF9" s="317"/>
      <c r="WOG9" s="317"/>
      <c r="WOH9" s="317"/>
      <c r="WOI9" s="317"/>
      <c r="WOJ9" s="317"/>
      <c r="WOK9" s="317"/>
      <c r="WOL9" s="317"/>
      <c r="WOM9" s="317"/>
      <c r="WON9" s="317"/>
      <c r="WOO9" s="317"/>
      <c r="WOP9" s="317"/>
      <c r="WOQ9" s="317"/>
      <c r="WOR9" s="317"/>
      <c r="WOS9" s="317"/>
      <c r="WOT9" s="317"/>
      <c r="WOU9" s="317"/>
      <c r="WOV9" s="317"/>
      <c r="WOW9" s="317"/>
      <c r="WOX9" s="317"/>
      <c r="WOY9" s="317"/>
      <c r="WOZ9" s="317"/>
      <c r="WPA9" s="317"/>
      <c r="WPB9" s="317"/>
      <c r="WPC9" s="317"/>
      <c r="WPD9" s="317"/>
      <c r="WPE9" s="317"/>
      <c r="WPF9" s="317"/>
      <c r="WPG9" s="317"/>
      <c r="WPH9" s="317"/>
      <c r="WPI9" s="317"/>
      <c r="WPJ9" s="317"/>
      <c r="WPK9" s="317"/>
      <c r="WPL9" s="317"/>
      <c r="WPM9" s="317"/>
      <c r="WPN9" s="317"/>
      <c r="WPO9" s="317"/>
      <c r="WPP9" s="317"/>
      <c r="WPQ9" s="317"/>
      <c r="WPR9" s="317"/>
      <c r="WPS9" s="317"/>
      <c r="WPT9" s="317"/>
      <c r="WPU9" s="317"/>
      <c r="WPV9" s="317"/>
      <c r="WPW9" s="317"/>
      <c r="WPX9" s="317"/>
      <c r="WPY9" s="317"/>
      <c r="WPZ9" s="317"/>
      <c r="WQA9" s="317"/>
      <c r="WQB9" s="317"/>
      <c r="WQC9" s="317"/>
      <c r="WQD9" s="317"/>
      <c r="WQE9" s="317"/>
      <c r="WQF9" s="317"/>
      <c r="WQG9" s="317"/>
      <c r="WQH9" s="317"/>
      <c r="WQI9" s="317"/>
      <c r="WQJ9" s="317"/>
      <c r="WQK9" s="317"/>
      <c r="WQL9" s="317"/>
      <c r="WQM9" s="317"/>
      <c r="WQN9" s="317"/>
      <c r="WQO9" s="317"/>
      <c r="WQP9" s="317"/>
      <c r="WQQ9" s="317"/>
      <c r="WQR9" s="317"/>
      <c r="WQS9" s="317"/>
      <c r="WQT9" s="317"/>
      <c r="WQU9" s="317"/>
      <c r="WQV9" s="317"/>
      <c r="WQW9" s="317"/>
      <c r="WQX9" s="317"/>
      <c r="WQY9" s="317"/>
      <c r="WQZ9" s="317"/>
      <c r="WRA9" s="317"/>
      <c r="WRB9" s="317"/>
      <c r="WRC9" s="317"/>
      <c r="WRD9" s="317"/>
      <c r="WRE9" s="317"/>
      <c r="WRF9" s="317"/>
      <c r="WRG9" s="317"/>
      <c r="WRH9" s="317"/>
      <c r="WRI9" s="317"/>
      <c r="WRJ9" s="317"/>
      <c r="WRK9" s="317"/>
      <c r="WRL9" s="317"/>
      <c r="WRM9" s="317"/>
      <c r="WRN9" s="317"/>
      <c r="WRO9" s="317"/>
      <c r="WRP9" s="317"/>
      <c r="WRQ9" s="317"/>
      <c r="WRR9" s="317"/>
      <c r="WRS9" s="317"/>
      <c r="WRT9" s="317"/>
      <c r="WRU9" s="317"/>
      <c r="WRV9" s="317"/>
      <c r="WRW9" s="317"/>
      <c r="WRX9" s="317"/>
      <c r="WRY9" s="317"/>
      <c r="WRZ9" s="317"/>
      <c r="WSA9" s="317"/>
      <c r="WSB9" s="317"/>
      <c r="WSC9" s="317"/>
      <c r="WSD9" s="317"/>
      <c r="WSE9" s="317"/>
      <c r="WSF9" s="317"/>
      <c r="WSG9" s="317"/>
      <c r="WSH9" s="317"/>
      <c r="WSI9" s="317"/>
      <c r="WSJ9" s="317"/>
      <c r="WSK9" s="317"/>
      <c r="WSL9" s="317"/>
      <c r="WSM9" s="317"/>
      <c r="WSN9" s="317"/>
      <c r="WSO9" s="317"/>
      <c r="WSP9" s="317"/>
      <c r="WSQ9" s="317"/>
      <c r="WSR9" s="317"/>
      <c r="WSS9" s="317"/>
      <c r="WST9" s="317"/>
      <c r="WSU9" s="317"/>
      <c r="WSV9" s="317"/>
      <c r="WSW9" s="317"/>
      <c r="WSX9" s="317"/>
      <c r="WSY9" s="317"/>
      <c r="WSZ9" s="317"/>
      <c r="WTA9" s="317"/>
      <c r="WTB9" s="317"/>
      <c r="WTC9" s="317"/>
      <c r="WTD9" s="317"/>
      <c r="WTE9" s="317"/>
      <c r="WTF9" s="317"/>
      <c r="WTG9" s="317"/>
      <c r="WTH9" s="317"/>
      <c r="WTI9" s="317"/>
      <c r="WTJ9" s="317"/>
      <c r="WTK9" s="317"/>
      <c r="WTL9" s="317"/>
      <c r="WTM9" s="317"/>
      <c r="WTN9" s="317"/>
      <c r="WTO9" s="317"/>
      <c r="WTP9" s="317"/>
      <c r="WTQ9" s="317"/>
      <c r="WTR9" s="317"/>
      <c r="WTS9" s="317"/>
      <c r="WTT9" s="317"/>
      <c r="WTU9" s="317"/>
      <c r="WTV9" s="317"/>
      <c r="WTW9" s="317"/>
      <c r="WTX9" s="317"/>
      <c r="WTY9" s="317"/>
      <c r="WTZ9" s="317"/>
      <c r="WUA9" s="317"/>
      <c r="WUB9" s="317"/>
      <c r="WUC9" s="317"/>
      <c r="WUD9" s="317"/>
      <c r="WUE9" s="317"/>
      <c r="WUF9" s="317"/>
      <c r="WUG9" s="317"/>
      <c r="WUH9" s="317"/>
      <c r="WUI9" s="317"/>
      <c r="WUJ9" s="317"/>
      <c r="WUK9" s="317"/>
      <c r="WUL9" s="317"/>
      <c r="WUM9" s="317"/>
      <c r="WUN9" s="317"/>
      <c r="WUO9" s="317"/>
      <c r="WUP9" s="317"/>
      <c r="WUQ9" s="317"/>
      <c r="WUR9" s="317"/>
      <c r="WUS9" s="317"/>
      <c r="WUT9" s="317"/>
      <c r="WUU9" s="317"/>
      <c r="WUV9" s="317"/>
      <c r="WUW9" s="317"/>
      <c r="WUX9" s="317"/>
      <c r="WUY9" s="317"/>
      <c r="WUZ9" s="317"/>
      <c r="WVA9" s="317"/>
      <c r="WVB9" s="317"/>
      <c r="WVC9" s="317"/>
      <c r="WVD9" s="317"/>
      <c r="WVE9" s="317"/>
      <c r="WVF9" s="317"/>
      <c r="WVG9" s="317"/>
      <c r="WVH9" s="317"/>
      <c r="WVI9" s="317"/>
      <c r="WVJ9" s="317"/>
      <c r="WVK9" s="317"/>
      <c r="WVL9" s="317"/>
      <c r="WVM9" s="317"/>
      <c r="WVN9" s="317"/>
      <c r="WVO9" s="317"/>
      <c r="WVP9" s="317"/>
      <c r="WVQ9" s="317"/>
      <c r="WVR9" s="317"/>
      <c r="WVS9" s="317"/>
      <c r="WVT9" s="317"/>
      <c r="WVU9" s="317"/>
      <c r="WVV9" s="317"/>
      <c r="WVW9" s="317"/>
      <c r="WVX9" s="317"/>
      <c r="WVY9" s="317"/>
      <c r="WVZ9" s="317"/>
      <c r="WWA9" s="317"/>
      <c r="WWB9" s="317"/>
      <c r="WWC9" s="317"/>
      <c r="WWD9" s="317"/>
      <c r="WWE9" s="317"/>
      <c r="WWF9" s="317"/>
      <c r="WWG9" s="317"/>
      <c r="WWH9" s="317"/>
      <c r="WWI9" s="317"/>
      <c r="WWJ9" s="317"/>
      <c r="WWK9" s="317"/>
      <c r="WWL9" s="317"/>
      <c r="WWM9" s="317"/>
      <c r="WWN9" s="317"/>
      <c r="WWO9" s="317"/>
      <c r="WWP9" s="317"/>
      <c r="WWQ9" s="317"/>
      <c r="WWR9" s="317"/>
      <c r="WWS9" s="317"/>
      <c r="WWT9" s="317"/>
      <c r="WWU9" s="317"/>
      <c r="WWV9" s="317"/>
      <c r="WWW9" s="317"/>
      <c r="WWX9" s="317"/>
      <c r="WWY9" s="317"/>
      <c r="WWZ9" s="317"/>
      <c r="WXA9" s="317"/>
      <c r="WXB9" s="317"/>
      <c r="WXC9" s="317"/>
      <c r="WXD9" s="317"/>
      <c r="WXE9" s="317"/>
      <c r="WXF9" s="317"/>
      <c r="WXG9" s="317"/>
      <c r="WXH9" s="317"/>
      <c r="WXI9" s="317"/>
      <c r="WXJ9" s="317"/>
      <c r="WXK9" s="317"/>
      <c r="WXL9" s="317"/>
      <c r="WXM9" s="317"/>
      <c r="WXN9" s="317"/>
      <c r="WXO9" s="317"/>
      <c r="WXP9" s="317"/>
      <c r="WXQ9" s="317"/>
      <c r="WXR9" s="317"/>
      <c r="WXS9" s="317"/>
      <c r="WXT9" s="317"/>
      <c r="WXU9" s="317"/>
      <c r="WXV9" s="317"/>
      <c r="WXW9" s="317"/>
      <c r="WXX9" s="317"/>
      <c r="WXY9" s="317"/>
      <c r="WXZ9" s="317"/>
      <c r="WYA9" s="317"/>
      <c r="WYB9" s="317"/>
      <c r="WYC9" s="317"/>
      <c r="WYD9" s="317"/>
      <c r="WYE9" s="317"/>
      <c r="WYF9" s="317"/>
      <c r="WYG9" s="317"/>
      <c r="WYH9" s="317"/>
      <c r="WYI9" s="317"/>
      <c r="WYJ9" s="317"/>
      <c r="WYK9" s="317"/>
      <c r="WYL9" s="317"/>
      <c r="WYM9" s="317"/>
      <c r="WYN9" s="317"/>
      <c r="WYO9" s="317"/>
      <c r="WYP9" s="317"/>
      <c r="WYQ9" s="317"/>
      <c r="WYR9" s="317"/>
      <c r="WYS9" s="317"/>
      <c r="WYT9" s="317"/>
      <c r="WYU9" s="317"/>
      <c r="WYV9" s="317"/>
      <c r="WYW9" s="317"/>
      <c r="WYX9" s="317"/>
      <c r="WYY9" s="317"/>
      <c r="WYZ9" s="317"/>
      <c r="WZA9" s="317"/>
      <c r="WZB9" s="317"/>
      <c r="WZC9" s="317"/>
      <c r="WZD9" s="317"/>
      <c r="WZE9" s="317"/>
      <c r="WZF9" s="317"/>
      <c r="WZG9" s="317"/>
      <c r="WZH9" s="317"/>
      <c r="WZI9" s="317"/>
      <c r="WZJ9" s="317"/>
      <c r="WZK9" s="317"/>
      <c r="WZL9" s="317"/>
      <c r="WZM9" s="317"/>
      <c r="WZN9" s="317"/>
      <c r="WZO9" s="317"/>
      <c r="WZP9" s="317"/>
      <c r="WZQ9" s="317"/>
      <c r="WZR9" s="317"/>
      <c r="WZS9" s="317"/>
      <c r="WZT9" s="317"/>
      <c r="WZU9" s="317"/>
      <c r="WZV9" s="317"/>
      <c r="WZW9" s="317"/>
      <c r="WZX9" s="317"/>
      <c r="WZY9" s="317"/>
      <c r="WZZ9" s="317"/>
      <c r="XAA9" s="317"/>
      <c r="XAB9" s="317"/>
      <c r="XAC9" s="317"/>
      <c r="XAD9" s="317"/>
      <c r="XAE9" s="317"/>
      <c r="XAF9" s="317"/>
      <c r="XAG9" s="317"/>
      <c r="XAH9" s="317"/>
      <c r="XAI9" s="317"/>
      <c r="XAJ9" s="317"/>
      <c r="XAK9" s="317"/>
      <c r="XAL9" s="317"/>
      <c r="XAM9" s="317"/>
      <c r="XAN9" s="317"/>
      <c r="XAO9" s="317"/>
      <c r="XAP9" s="317"/>
      <c r="XAQ9" s="317"/>
      <c r="XAR9" s="317"/>
      <c r="XAS9" s="317"/>
      <c r="XAT9" s="317"/>
      <c r="XAU9" s="317"/>
      <c r="XAV9" s="317"/>
      <c r="XAW9" s="317"/>
      <c r="XAX9" s="317"/>
      <c r="XAY9" s="317"/>
      <c r="XAZ9" s="317"/>
      <c r="XBA9" s="317"/>
      <c r="XBB9" s="317"/>
      <c r="XBC9" s="317"/>
      <c r="XBD9" s="317"/>
      <c r="XBE9" s="317"/>
      <c r="XBF9" s="317"/>
      <c r="XBG9" s="317"/>
      <c r="XBH9" s="317"/>
      <c r="XBI9" s="317"/>
      <c r="XBJ9" s="317"/>
      <c r="XBK9" s="317"/>
      <c r="XBL9" s="317"/>
      <c r="XBM9" s="317"/>
      <c r="XBN9" s="317"/>
      <c r="XBO9" s="317"/>
      <c r="XBP9" s="317"/>
      <c r="XBQ9" s="317"/>
      <c r="XBR9" s="317"/>
      <c r="XBS9" s="317"/>
      <c r="XBT9" s="317"/>
      <c r="XBU9" s="317"/>
      <c r="XBV9" s="317"/>
      <c r="XBW9" s="317"/>
      <c r="XBX9" s="317"/>
      <c r="XBY9" s="317"/>
      <c r="XBZ9" s="317"/>
      <c r="XCA9" s="317"/>
      <c r="XCB9" s="317"/>
      <c r="XCC9" s="317"/>
      <c r="XCD9" s="317"/>
      <c r="XCE9" s="317"/>
      <c r="XCF9" s="317"/>
      <c r="XCG9" s="317"/>
      <c r="XCH9" s="317"/>
      <c r="XCI9" s="317"/>
      <c r="XCJ9" s="317"/>
      <c r="XCK9" s="317"/>
      <c r="XCL9" s="317"/>
      <c r="XCM9" s="317"/>
      <c r="XCN9" s="317"/>
      <c r="XCO9" s="317"/>
      <c r="XCP9" s="317"/>
      <c r="XCQ9" s="317"/>
      <c r="XCR9" s="317"/>
      <c r="XCS9" s="317"/>
      <c r="XCT9" s="317"/>
      <c r="XCU9" s="317"/>
      <c r="XCV9" s="317"/>
      <c r="XCW9" s="317"/>
      <c r="XCX9" s="317"/>
      <c r="XCY9" s="317"/>
      <c r="XCZ9" s="317"/>
      <c r="XDA9" s="317"/>
      <c r="XDB9" s="317"/>
      <c r="XDC9" s="317"/>
      <c r="XDD9" s="317"/>
      <c r="XDE9" s="317"/>
      <c r="XDF9" s="317"/>
      <c r="XDG9" s="317"/>
      <c r="XDH9" s="317"/>
      <c r="XDI9" s="317"/>
      <c r="XDJ9" s="317"/>
      <c r="XDK9" s="317"/>
      <c r="XDL9" s="317"/>
      <c r="XDM9" s="317"/>
      <c r="XDN9" s="317"/>
      <c r="XDO9" s="317"/>
      <c r="XDP9" s="317"/>
      <c r="XDQ9" s="317"/>
      <c r="XDR9" s="317"/>
      <c r="XDS9" s="317"/>
      <c r="XDT9" s="317"/>
      <c r="XDU9" s="317"/>
      <c r="XDV9" s="317"/>
      <c r="XDW9" s="317"/>
      <c r="XDX9" s="317"/>
      <c r="XDY9" s="317"/>
      <c r="XDZ9" s="317"/>
      <c r="XEA9" s="317"/>
      <c r="XEB9" s="317"/>
      <c r="XEC9" s="317"/>
      <c r="XED9" s="317"/>
      <c r="XEE9" s="317"/>
      <c r="XEF9" s="317"/>
      <c r="XEG9" s="317"/>
      <c r="XEH9" s="317"/>
      <c r="XEI9" s="317"/>
      <c r="XEJ9" s="317"/>
      <c r="XEK9" s="317"/>
      <c r="XEL9" s="317"/>
      <c r="XEM9" s="317"/>
      <c r="XEN9" s="317"/>
      <c r="XEO9" s="317"/>
      <c r="XEP9" s="317"/>
      <c r="XEQ9" s="317"/>
      <c r="XER9" s="317"/>
      <c r="XES9" s="317"/>
      <c r="XET9" s="317"/>
      <c r="XEU9" s="317"/>
      <c r="XEV9" s="317"/>
      <c r="XEW9" s="317"/>
      <c r="XEX9" s="317"/>
      <c r="XEY9" s="317"/>
      <c r="XEZ9" s="317"/>
      <c r="XFA9" s="317"/>
      <c r="XFB9" s="317"/>
      <c r="XFC9" s="317"/>
      <c r="XFD9" s="317"/>
    </row>
    <row r="10" s="314" customFormat="1" ht="30" customHeight="1" spans="1:74 14505:16384">
      <c r="A10" s="314" t="s">
        <v>19</v>
      </c>
      <c r="B10" s="314" t="s">
        <v>20</v>
      </c>
      <c r="C10" s="333">
        <v>44571</v>
      </c>
      <c r="D10" s="333">
        <v>44572</v>
      </c>
      <c r="E10" s="333">
        <v>44573</v>
      </c>
      <c r="F10" s="333">
        <v>44574</v>
      </c>
      <c r="G10" s="333">
        <v>44575</v>
      </c>
      <c r="H10" s="333">
        <v>44576</v>
      </c>
      <c r="I10" s="334">
        <v>44577</v>
      </c>
      <c r="J10" s="333">
        <v>44578</v>
      </c>
      <c r="K10" s="333">
        <v>44579</v>
      </c>
      <c r="L10" s="333">
        <v>44580</v>
      </c>
      <c r="M10" s="333">
        <v>44581</v>
      </c>
      <c r="N10" s="333">
        <v>44582</v>
      </c>
      <c r="O10" s="335">
        <v>44583</v>
      </c>
      <c r="P10" s="335">
        <v>44584</v>
      </c>
      <c r="Q10" s="333">
        <v>44585</v>
      </c>
      <c r="R10" s="333">
        <v>44586</v>
      </c>
      <c r="S10" s="333">
        <v>44587</v>
      </c>
      <c r="T10" s="333">
        <v>44588</v>
      </c>
      <c r="U10" s="333">
        <v>44589</v>
      </c>
      <c r="V10" s="335">
        <v>44590</v>
      </c>
      <c r="W10" s="335">
        <v>44591</v>
      </c>
      <c r="X10" s="335">
        <v>44592</v>
      </c>
      <c r="Y10" s="335">
        <v>44593</v>
      </c>
      <c r="Z10" s="335">
        <v>44594</v>
      </c>
      <c r="AA10" s="335">
        <v>44595</v>
      </c>
      <c r="AB10" s="335">
        <v>44596</v>
      </c>
      <c r="AC10" s="335">
        <v>44597</v>
      </c>
      <c r="AD10" s="335">
        <v>44598</v>
      </c>
      <c r="AE10" s="333">
        <v>44599</v>
      </c>
      <c r="AF10" s="333">
        <v>44600</v>
      </c>
      <c r="AG10" s="333">
        <v>44601</v>
      </c>
      <c r="AH10" s="333">
        <v>44602</v>
      </c>
      <c r="AI10" s="333">
        <v>44603</v>
      </c>
      <c r="AJ10" s="333">
        <v>44604</v>
      </c>
      <c r="AK10" s="335">
        <v>44605</v>
      </c>
      <c r="AL10" s="333">
        <v>44606</v>
      </c>
      <c r="AM10" s="333">
        <v>44607</v>
      </c>
      <c r="AN10" s="333">
        <v>44608</v>
      </c>
      <c r="AO10" s="333">
        <v>44609</v>
      </c>
      <c r="AP10" s="333">
        <v>44610</v>
      </c>
      <c r="AQ10" s="335">
        <v>44611</v>
      </c>
      <c r="AR10" s="335">
        <v>44612</v>
      </c>
      <c r="AS10" s="333">
        <v>44613</v>
      </c>
      <c r="AT10" s="333">
        <v>44614</v>
      </c>
      <c r="AU10" s="333">
        <v>44615</v>
      </c>
      <c r="AV10" s="333">
        <v>44616</v>
      </c>
      <c r="AW10" s="333">
        <v>44617</v>
      </c>
      <c r="AX10" s="333">
        <v>44618</v>
      </c>
      <c r="AY10" s="335">
        <v>44619</v>
      </c>
      <c r="AZ10" s="333">
        <v>44620</v>
      </c>
      <c r="BA10" s="333">
        <v>44621</v>
      </c>
      <c r="BB10" s="333">
        <v>44622</v>
      </c>
      <c r="BC10" s="333">
        <v>44623</v>
      </c>
      <c r="BD10" s="333">
        <v>44624</v>
      </c>
      <c r="BE10" s="335">
        <v>44625</v>
      </c>
      <c r="BF10" s="335">
        <v>44626</v>
      </c>
      <c r="BG10" s="333">
        <v>44627</v>
      </c>
      <c r="BH10" s="333">
        <v>44628</v>
      </c>
      <c r="BI10" s="333">
        <v>44629</v>
      </c>
      <c r="BJ10" s="333">
        <v>44630</v>
      </c>
      <c r="BK10" s="333">
        <v>44631</v>
      </c>
      <c r="BL10" s="333">
        <v>44632</v>
      </c>
      <c r="BM10" s="335">
        <v>44633</v>
      </c>
      <c r="BN10" s="333">
        <v>44634</v>
      </c>
      <c r="BO10" s="333">
        <v>44635</v>
      </c>
      <c r="BP10" s="333">
        <v>44636</v>
      </c>
      <c r="BQ10" s="333">
        <v>44637</v>
      </c>
      <c r="BR10" s="333">
        <v>44638</v>
      </c>
      <c r="BS10" s="335">
        <v>44639</v>
      </c>
      <c r="BT10" s="335">
        <v>44640</v>
      </c>
      <c r="BU10" s="333">
        <v>44641</v>
      </c>
      <c r="BV10" s="333">
        <v>44642</v>
      </c>
      <c r="UKW10" s="317"/>
      <c r="UKX10" s="317"/>
      <c r="UKY10" s="317"/>
      <c r="UKZ10" s="317"/>
      <c r="ULA10" s="317"/>
      <c r="ULB10" s="317"/>
      <c r="ULC10" s="317"/>
      <c r="ULD10" s="317"/>
      <c r="ULE10" s="317"/>
      <c r="ULF10" s="317"/>
      <c r="ULG10" s="317"/>
      <c r="ULH10" s="317"/>
      <c r="ULI10" s="317"/>
      <c r="ULJ10" s="317"/>
      <c r="ULK10" s="317"/>
      <c r="ULL10" s="317"/>
      <c r="ULM10" s="317"/>
      <c r="ULN10" s="317"/>
      <c r="ULO10" s="317"/>
      <c r="ULP10" s="317"/>
      <c r="ULQ10" s="317"/>
      <c r="ULR10" s="317"/>
      <c r="ULS10" s="317"/>
      <c r="ULT10" s="317"/>
      <c r="ULU10" s="317"/>
      <c r="ULV10" s="317"/>
      <c r="ULW10" s="317"/>
      <c r="ULX10" s="317"/>
      <c r="ULY10" s="317"/>
      <c r="ULZ10" s="317"/>
      <c r="UMA10" s="317"/>
      <c r="UMB10" s="317"/>
      <c r="UMC10" s="317"/>
      <c r="UMD10" s="317"/>
      <c r="UME10" s="317"/>
      <c r="UMF10" s="317"/>
      <c r="UMG10" s="317"/>
      <c r="UMH10" s="317"/>
      <c r="UMI10" s="317"/>
      <c r="UMJ10" s="317"/>
      <c r="UMK10" s="317"/>
      <c r="UML10" s="317"/>
      <c r="UMM10" s="317"/>
      <c r="UMN10" s="317"/>
      <c r="UMO10" s="317"/>
      <c r="UMP10" s="317"/>
      <c r="UMQ10" s="317"/>
      <c r="UMR10" s="317"/>
      <c r="UMS10" s="317"/>
      <c r="UMT10" s="317"/>
      <c r="UMU10" s="317"/>
      <c r="UMV10" s="317"/>
      <c r="UMW10" s="317"/>
      <c r="UMX10" s="317"/>
      <c r="UMY10" s="317"/>
      <c r="UMZ10" s="317"/>
      <c r="UNA10" s="317"/>
      <c r="UNB10" s="317"/>
      <c r="UNC10" s="317"/>
      <c r="UND10" s="317"/>
      <c r="UNE10" s="317"/>
      <c r="UNF10" s="317"/>
      <c r="UNG10" s="317"/>
      <c r="UNH10" s="317"/>
      <c r="UNI10" s="317"/>
      <c r="UNJ10" s="317"/>
      <c r="UNK10" s="317"/>
      <c r="UNL10" s="317"/>
      <c r="UNM10" s="317"/>
      <c r="UNN10" s="317"/>
      <c r="UNO10" s="317"/>
      <c r="UNP10" s="317"/>
      <c r="UNQ10" s="317"/>
      <c r="UNR10" s="317"/>
      <c r="UNS10" s="317"/>
      <c r="UNT10" s="317"/>
      <c r="UNU10" s="317"/>
      <c r="UNV10" s="317"/>
      <c r="UNW10" s="317"/>
      <c r="UNX10" s="317"/>
      <c r="UNY10" s="317"/>
      <c r="UNZ10" s="317"/>
      <c r="UOA10" s="317"/>
      <c r="UOB10" s="317"/>
      <c r="UOC10" s="317"/>
      <c r="UOD10" s="317"/>
      <c r="UOE10" s="317"/>
      <c r="UOF10" s="317"/>
      <c r="UOG10" s="317"/>
      <c r="UOH10" s="317"/>
      <c r="UOI10" s="317"/>
      <c r="UOJ10" s="317"/>
      <c r="UOK10" s="317"/>
      <c r="UOL10" s="317"/>
      <c r="UOM10" s="317"/>
      <c r="UON10" s="317"/>
      <c r="UOO10" s="317"/>
      <c r="UOP10" s="317"/>
      <c r="UOQ10" s="317"/>
      <c r="UOR10" s="317"/>
      <c r="UOS10" s="317"/>
      <c r="UOT10" s="317"/>
      <c r="UOU10" s="317"/>
      <c r="UOV10" s="317"/>
      <c r="UOW10" s="317"/>
      <c r="UOX10" s="317"/>
      <c r="UOY10" s="317"/>
      <c r="UOZ10" s="317"/>
      <c r="UPA10" s="317"/>
      <c r="UPB10" s="317"/>
      <c r="UPC10" s="317"/>
      <c r="UPD10" s="317"/>
      <c r="UPE10" s="317"/>
      <c r="UPF10" s="317"/>
      <c r="UPG10" s="317"/>
      <c r="UPH10" s="317"/>
      <c r="UPI10" s="317"/>
      <c r="UPJ10" s="317"/>
      <c r="UPK10" s="317"/>
      <c r="UPL10" s="317"/>
      <c r="UPM10" s="317"/>
      <c r="UPN10" s="317"/>
      <c r="UPO10" s="317"/>
      <c r="UPP10" s="317"/>
      <c r="UPQ10" s="317"/>
      <c r="UPR10" s="317"/>
      <c r="UPS10" s="317"/>
      <c r="UPT10" s="317"/>
      <c r="UPU10" s="317"/>
      <c r="UPV10" s="317"/>
      <c r="UPW10" s="317"/>
      <c r="UPX10" s="317"/>
      <c r="UPY10" s="317"/>
      <c r="UPZ10" s="317"/>
      <c r="UQA10" s="317"/>
      <c r="UQB10" s="317"/>
      <c r="UQC10" s="317"/>
      <c r="UQD10" s="317"/>
      <c r="UQE10" s="317"/>
      <c r="UQF10" s="317"/>
      <c r="UQG10" s="317"/>
      <c r="UQH10" s="317"/>
      <c r="UQI10" s="317"/>
      <c r="UQJ10" s="317"/>
      <c r="UQK10" s="317"/>
      <c r="UQL10" s="317"/>
      <c r="UQM10" s="317"/>
      <c r="UQN10" s="317"/>
      <c r="UQO10" s="317"/>
      <c r="UQP10" s="317"/>
      <c r="UQQ10" s="317"/>
      <c r="UQR10" s="317"/>
      <c r="UQS10" s="317"/>
      <c r="UQT10" s="317"/>
      <c r="UQU10" s="317"/>
      <c r="UQV10" s="317"/>
      <c r="UQW10" s="317"/>
      <c r="UQX10" s="317"/>
      <c r="UQY10" s="317"/>
      <c r="UQZ10" s="317"/>
      <c r="URA10" s="317"/>
      <c r="URB10" s="317"/>
      <c r="URC10" s="317"/>
      <c r="URD10" s="317"/>
      <c r="URE10" s="317"/>
      <c r="URF10" s="317"/>
      <c r="URG10" s="317"/>
      <c r="URH10" s="317"/>
      <c r="URI10" s="317"/>
      <c r="URJ10" s="317"/>
      <c r="URK10" s="317"/>
      <c r="URL10" s="317"/>
      <c r="URM10" s="317"/>
      <c r="URN10" s="317"/>
      <c r="URO10" s="317"/>
      <c r="URP10" s="317"/>
      <c r="URQ10" s="317"/>
      <c r="URR10" s="317"/>
      <c r="URS10" s="317"/>
      <c r="URT10" s="317"/>
      <c r="URU10" s="317"/>
      <c r="URV10" s="317"/>
      <c r="URW10" s="317"/>
      <c r="URX10" s="317"/>
      <c r="URY10" s="317"/>
      <c r="URZ10" s="317"/>
      <c r="USA10" s="317"/>
      <c r="USB10" s="317"/>
      <c r="USC10" s="317"/>
      <c r="USD10" s="317"/>
      <c r="USE10" s="317"/>
      <c r="USF10" s="317"/>
      <c r="USG10" s="317"/>
      <c r="USH10" s="317"/>
      <c r="USI10" s="317"/>
      <c r="USJ10" s="317"/>
      <c r="USK10" s="317"/>
      <c r="USL10" s="317"/>
      <c r="USM10" s="317"/>
      <c r="USN10" s="317"/>
      <c r="USO10" s="317"/>
      <c r="USP10" s="317"/>
      <c r="USQ10" s="317"/>
      <c r="USR10" s="317"/>
      <c r="USS10" s="317"/>
      <c r="UST10" s="317"/>
      <c r="USU10" s="317"/>
      <c r="USV10" s="317"/>
      <c r="USW10" s="317"/>
      <c r="USX10" s="317"/>
      <c r="USY10" s="317"/>
      <c r="USZ10" s="317"/>
      <c r="UTA10" s="317"/>
      <c r="UTB10" s="317"/>
      <c r="UTC10" s="317"/>
      <c r="UTD10" s="317"/>
      <c r="UTE10" s="317"/>
      <c r="UTF10" s="317"/>
      <c r="UTG10" s="317"/>
      <c r="UTH10" s="317"/>
      <c r="UTI10" s="317"/>
      <c r="UTJ10" s="317"/>
      <c r="UTK10" s="317"/>
      <c r="UTL10" s="317"/>
      <c r="UTM10" s="317"/>
      <c r="UTN10" s="317"/>
      <c r="UTO10" s="317"/>
      <c r="UTP10" s="317"/>
      <c r="UTQ10" s="317"/>
      <c r="UTR10" s="317"/>
      <c r="UTS10" s="317"/>
      <c r="UTT10" s="317"/>
      <c r="UTU10" s="317"/>
      <c r="UTV10" s="317"/>
      <c r="UTW10" s="317"/>
      <c r="UTX10" s="317"/>
      <c r="UTY10" s="317"/>
      <c r="UTZ10" s="317"/>
      <c r="UUA10" s="317"/>
      <c r="UUB10" s="317"/>
      <c r="UUC10" s="317"/>
      <c r="UUD10" s="317"/>
      <c r="UUE10" s="317"/>
      <c r="UUF10" s="317"/>
      <c r="UUG10" s="317"/>
      <c r="UUH10" s="317"/>
      <c r="UUI10" s="317"/>
      <c r="UUJ10" s="317"/>
      <c r="UUK10" s="317"/>
      <c r="UUL10" s="317"/>
      <c r="UUM10" s="317"/>
      <c r="UUN10" s="317"/>
      <c r="UUO10" s="317"/>
      <c r="UUP10" s="317"/>
      <c r="UUQ10" s="317"/>
      <c r="UUR10" s="317"/>
      <c r="UUS10" s="317"/>
      <c r="UUT10" s="317"/>
      <c r="UUU10" s="317"/>
      <c r="UUV10" s="317"/>
      <c r="UUW10" s="317"/>
      <c r="UUX10" s="317"/>
      <c r="UUY10" s="317"/>
      <c r="UUZ10" s="317"/>
      <c r="UVA10" s="317"/>
      <c r="UVB10" s="317"/>
      <c r="UVC10" s="317"/>
      <c r="UVD10" s="317"/>
      <c r="UVE10" s="317"/>
      <c r="UVF10" s="317"/>
      <c r="UVG10" s="317"/>
      <c r="UVH10" s="317"/>
      <c r="UVI10" s="317"/>
      <c r="UVJ10" s="317"/>
      <c r="UVK10" s="317"/>
      <c r="UVL10" s="317"/>
      <c r="UVM10" s="317"/>
      <c r="UVN10" s="317"/>
      <c r="UVO10" s="317"/>
      <c r="UVP10" s="317"/>
      <c r="UVQ10" s="317"/>
      <c r="UVR10" s="317"/>
      <c r="UVS10" s="317"/>
      <c r="UVT10" s="317"/>
      <c r="UVU10" s="317"/>
      <c r="UVV10" s="317"/>
      <c r="UVW10" s="317"/>
      <c r="UVX10" s="317"/>
      <c r="UVY10" s="317"/>
      <c r="UVZ10" s="317"/>
      <c r="UWA10" s="317"/>
      <c r="UWB10" s="317"/>
      <c r="UWC10" s="317"/>
      <c r="UWD10" s="317"/>
      <c r="UWE10" s="317"/>
      <c r="UWF10" s="317"/>
      <c r="UWG10" s="317"/>
      <c r="UWH10" s="317"/>
      <c r="UWI10" s="317"/>
      <c r="UWJ10" s="317"/>
      <c r="UWK10" s="317"/>
      <c r="UWL10" s="317"/>
      <c r="UWM10" s="317"/>
      <c r="UWN10" s="317"/>
      <c r="UWO10" s="317"/>
      <c r="UWP10" s="317"/>
      <c r="UWQ10" s="317"/>
      <c r="UWR10" s="317"/>
      <c r="UWS10" s="317"/>
      <c r="UWT10" s="317"/>
      <c r="UWU10" s="317"/>
      <c r="UWV10" s="317"/>
      <c r="UWW10" s="317"/>
      <c r="UWX10" s="317"/>
      <c r="UWY10" s="317"/>
      <c r="UWZ10" s="317"/>
      <c r="UXA10" s="317"/>
      <c r="UXB10" s="317"/>
      <c r="UXC10" s="317"/>
      <c r="UXD10" s="317"/>
      <c r="UXE10" s="317"/>
      <c r="UXF10" s="317"/>
      <c r="UXG10" s="317"/>
      <c r="UXH10" s="317"/>
      <c r="UXI10" s="317"/>
      <c r="UXJ10" s="317"/>
      <c r="UXK10" s="317"/>
      <c r="UXL10" s="317"/>
      <c r="UXM10" s="317"/>
      <c r="UXN10" s="317"/>
      <c r="UXO10" s="317"/>
      <c r="UXP10" s="317"/>
      <c r="UXQ10" s="317"/>
      <c r="UXR10" s="317"/>
      <c r="UXS10" s="317"/>
      <c r="UXT10" s="317"/>
      <c r="UXU10" s="317"/>
      <c r="UXV10" s="317"/>
      <c r="UXW10" s="317"/>
      <c r="UXX10" s="317"/>
      <c r="UXY10" s="317"/>
      <c r="UXZ10" s="317"/>
      <c r="UYA10" s="317"/>
      <c r="UYB10" s="317"/>
      <c r="UYC10" s="317"/>
      <c r="UYD10" s="317"/>
      <c r="UYE10" s="317"/>
      <c r="UYF10" s="317"/>
      <c r="UYG10" s="317"/>
      <c r="UYH10" s="317"/>
      <c r="UYI10" s="317"/>
      <c r="UYJ10" s="317"/>
      <c r="UYK10" s="317"/>
      <c r="UYL10" s="317"/>
      <c r="UYM10" s="317"/>
      <c r="UYN10" s="317"/>
      <c r="UYO10" s="317"/>
      <c r="UYP10" s="317"/>
      <c r="UYQ10" s="317"/>
      <c r="UYR10" s="317"/>
      <c r="UYS10" s="317"/>
      <c r="UYT10" s="317"/>
      <c r="UYU10" s="317"/>
      <c r="UYV10" s="317"/>
      <c r="UYW10" s="317"/>
      <c r="UYX10" s="317"/>
      <c r="UYY10" s="317"/>
      <c r="UYZ10" s="317"/>
      <c r="UZA10" s="317"/>
      <c r="UZB10" s="317"/>
      <c r="UZC10" s="317"/>
      <c r="UZD10" s="317"/>
      <c r="UZE10" s="317"/>
      <c r="UZF10" s="317"/>
      <c r="UZG10" s="317"/>
      <c r="UZH10" s="317"/>
      <c r="UZI10" s="317"/>
      <c r="UZJ10" s="317"/>
      <c r="UZK10" s="317"/>
      <c r="UZL10" s="317"/>
      <c r="UZM10" s="317"/>
      <c r="UZN10" s="317"/>
      <c r="UZO10" s="317"/>
      <c r="UZP10" s="317"/>
      <c r="UZQ10" s="317"/>
      <c r="UZR10" s="317"/>
      <c r="UZS10" s="317"/>
      <c r="UZT10" s="317"/>
      <c r="UZU10" s="317"/>
      <c r="UZV10" s="317"/>
      <c r="UZW10" s="317"/>
      <c r="UZX10" s="317"/>
      <c r="UZY10" s="317"/>
      <c r="UZZ10" s="317"/>
      <c r="VAA10" s="317"/>
      <c r="VAB10" s="317"/>
      <c r="VAC10" s="317"/>
      <c r="VAD10" s="317"/>
      <c r="VAE10" s="317"/>
      <c r="VAF10" s="317"/>
      <c r="VAG10" s="317"/>
      <c r="VAH10" s="317"/>
      <c r="VAI10" s="317"/>
      <c r="VAJ10" s="317"/>
      <c r="VAK10" s="317"/>
      <c r="VAL10" s="317"/>
      <c r="VAM10" s="317"/>
      <c r="VAN10" s="317"/>
      <c r="VAO10" s="317"/>
      <c r="VAP10" s="317"/>
      <c r="VAQ10" s="317"/>
      <c r="VAR10" s="317"/>
      <c r="VAS10" s="317"/>
      <c r="VAT10" s="317"/>
      <c r="VAU10" s="317"/>
      <c r="VAV10" s="317"/>
      <c r="VAW10" s="317"/>
      <c r="VAX10" s="317"/>
      <c r="VAY10" s="317"/>
      <c r="VAZ10" s="317"/>
      <c r="VBA10" s="317"/>
      <c r="VBB10" s="317"/>
      <c r="VBC10" s="317"/>
      <c r="VBD10" s="317"/>
      <c r="VBE10" s="317"/>
      <c r="VBF10" s="317"/>
      <c r="VBG10" s="317"/>
      <c r="VBH10" s="317"/>
      <c r="VBI10" s="317"/>
      <c r="VBJ10" s="317"/>
      <c r="VBK10" s="317"/>
      <c r="VBL10" s="317"/>
      <c r="VBM10" s="317"/>
      <c r="VBN10" s="317"/>
      <c r="VBO10" s="317"/>
      <c r="VBP10" s="317"/>
      <c r="VBQ10" s="317"/>
      <c r="VBR10" s="317"/>
      <c r="VBS10" s="317"/>
      <c r="VBT10" s="317"/>
      <c r="VBU10" s="317"/>
      <c r="VBV10" s="317"/>
      <c r="VBW10" s="317"/>
      <c r="VBX10" s="317"/>
      <c r="VBY10" s="317"/>
      <c r="VBZ10" s="317"/>
      <c r="VCA10" s="317"/>
      <c r="VCB10" s="317"/>
      <c r="VCC10" s="317"/>
      <c r="VCD10" s="317"/>
      <c r="VCE10" s="317"/>
      <c r="VCF10" s="317"/>
      <c r="VCG10" s="317"/>
      <c r="VCH10" s="317"/>
      <c r="VCI10" s="317"/>
      <c r="VCJ10" s="317"/>
      <c r="VCK10" s="317"/>
      <c r="VCL10" s="317"/>
      <c r="VCM10" s="317"/>
      <c r="VCN10" s="317"/>
      <c r="VCO10" s="317"/>
      <c r="VCP10" s="317"/>
      <c r="VCQ10" s="317"/>
      <c r="VCR10" s="317"/>
      <c r="VCS10" s="317"/>
      <c r="VCT10" s="317"/>
      <c r="VCU10" s="317"/>
      <c r="VCV10" s="317"/>
      <c r="VCW10" s="317"/>
      <c r="VCX10" s="317"/>
      <c r="VCY10" s="317"/>
      <c r="VCZ10" s="317"/>
      <c r="VDA10" s="317"/>
      <c r="VDB10" s="317"/>
      <c r="VDC10" s="317"/>
      <c r="VDD10" s="317"/>
      <c r="VDE10" s="317"/>
      <c r="VDF10" s="317"/>
      <c r="VDG10" s="317"/>
      <c r="VDH10" s="317"/>
      <c r="VDI10" s="317"/>
      <c r="VDJ10" s="317"/>
      <c r="VDK10" s="317"/>
      <c r="VDL10" s="317"/>
      <c r="VDM10" s="317"/>
      <c r="VDN10" s="317"/>
      <c r="VDO10" s="317"/>
      <c r="VDP10" s="317"/>
      <c r="VDQ10" s="317"/>
      <c r="VDR10" s="317"/>
      <c r="VDS10" s="317"/>
      <c r="VDT10" s="317"/>
      <c r="VDU10" s="317"/>
      <c r="VDV10" s="317"/>
      <c r="VDW10" s="317"/>
      <c r="VDX10" s="317"/>
      <c r="VDY10" s="317"/>
      <c r="VDZ10" s="317"/>
      <c r="VEA10" s="317"/>
      <c r="VEB10" s="317"/>
      <c r="VEC10" s="317"/>
      <c r="VED10" s="317"/>
      <c r="VEE10" s="317"/>
      <c r="VEF10" s="317"/>
      <c r="VEG10" s="317"/>
      <c r="VEH10" s="317"/>
      <c r="VEI10" s="317"/>
      <c r="VEJ10" s="317"/>
      <c r="VEK10" s="317"/>
      <c r="VEL10" s="317"/>
      <c r="VEM10" s="317"/>
      <c r="VEN10" s="317"/>
      <c r="VEO10" s="317"/>
      <c r="VEP10" s="317"/>
      <c r="VEQ10" s="317"/>
      <c r="VER10" s="317"/>
      <c r="VES10" s="317"/>
      <c r="VET10" s="317"/>
      <c r="VEU10" s="317"/>
      <c r="VEV10" s="317"/>
      <c r="VEW10" s="317"/>
      <c r="VEX10" s="317"/>
      <c r="VEY10" s="317"/>
      <c r="VEZ10" s="317"/>
      <c r="VFA10" s="317"/>
      <c r="VFB10" s="317"/>
      <c r="VFC10" s="317"/>
      <c r="VFD10" s="317"/>
      <c r="VFE10" s="317"/>
      <c r="VFF10" s="317"/>
      <c r="VFG10" s="317"/>
      <c r="VFH10" s="317"/>
      <c r="VFI10" s="317"/>
      <c r="VFJ10" s="317"/>
      <c r="VFK10" s="317"/>
      <c r="VFL10" s="317"/>
      <c r="VFM10" s="317"/>
      <c r="VFN10" s="317"/>
      <c r="VFO10" s="317"/>
      <c r="VFP10" s="317"/>
      <c r="VFQ10" s="317"/>
      <c r="VFR10" s="317"/>
      <c r="VFS10" s="317"/>
      <c r="VFT10" s="317"/>
      <c r="VFU10" s="317"/>
      <c r="VFV10" s="317"/>
      <c r="VFW10" s="317"/>
      <c r="VFX10" s="317"/>
      <c r="VFY10" s="317"/>
      <c r="VFZ10" s="317"/>
      <c r="VGA10" s="317"/>
      <c r="VGB10" s="317"/>
      <c r="VGC10" s="317"/>
      <c r="VGD10" s="317"/>
      <c r="VGE10" s="317"/>
      <c r="VGF10" s="317"/>
      <c r="VGG10" s="317"/>
      <c r="VGH10" s="317"/>
      <c r="VGI10" s="317"/>
      <c r="VGJ10" s="317"/>
      <c r="VGK10" s="317"/>
      <c r="VGL10" s="317"/>
      <c r="VGM10" s="317"/>
      <c r="VGN10" s="317"/>
      <c r="VGO10" s="317"/>
      <c r="VGP10" s="317"/>
      <c r="VGQ10" s="317"/>
      <c r="VGR10" s="317"/>
      <c r="VGS10" s="317"/>
      <c r="VGT10" s="317"/>
      <c r="VGU10" s="317"/>
      <c r="VGV10" s="317"/>
      <c r="VGW10" s="317"/>
      <c r="VGX10" s="317"/>
      <c r="VGY10" s="317"/>
      <c r="VGZ10" s="317"/>
      <c r="VHA10" s="317"/>
      <c r="VHB10" s="317"/>
      <c r="VHC10" s="317"/>
      <c r="VHD10" s="317"/>
      <c r="VHE10" s="317"/>
      <c r="VHF10" s="317"/>
      <c r="VHG10" s="317"/>
      <c r="VHH10" s="317"/>
      <c r="VHI10" s="317"/>
      <c r="VHJ10" s="317"/>
      <c r="VHK10" s="317"/>
      <c r="VHL10" s="317"/>
      <c r="VHM10" s="317"/>
      <c r="VHN10" s="317"/>
      <c r="VHO10" s="317"/>
      <c r="VHP10" s="317"/>
      <c r="VHQ10" s="317"/>
      <c r="VHR10" s="317"/>
      <c r="VHS10" s="317"/>
      <c r="VHT10" s="317"/>
      <c r="VHU10" s="317"/>
      <c r="VHV10" s="317"/>
      <c r="VHW10" s="317"/>
      <c r="VHX10" s="317"/>
      <c r="VHY10" s="317"/>
      <c r="VHZ10" s="317"/>
      <c r="VIA10" s="317"/>
      <c r="VIB10" s="317"/>
      <c r="VIC10" s="317"/>
      <c r="VID10" s="317"/>
      <c r="VIE10" s="317"/>
      <c r="VIF10" s="317"/>
      <c r="VIG10" s="317"/>
      <c r="VIH10" s="317"/>
      <c r="VII10" s="317"/>
      <c r="VIJ10" s="317"/>
      <c r="VIK10" s="317"/>
      <c r="VIL10" s="317"/>
      <c r="VIM10" s="317"/>
      <c r="VIN10" s="317"/>
      <c r="VIO10" s="317"/>
      <c r="VIP10" s="317"/>
      <c r="VIQ10" s="317"/>
      <c r="VIR10" s="317"/>
      <c r="VIS10" s="317"/>
      <c r="VIT10" s="317"/>
      <c r="VIU10" s="317"/>
      <c r="VIV10" s="317"/>
      <c r="VIW10" s="317"/>
      <c r="VIX10" s="317"/>
      <c r="VIY10" s="317"/>
      <c r="VIZ10" s="317"/>
      <c r="VJA10" s="317"/>
      <c r="VJB10" s="317"/>
      <c r="VJC10" s="317"/>
      <c r="VJD10" s="317"/>
      <c r="VJE10" s="317"/>
      <c r="VJF10" s="317"/>
      <c r="VJG10" s="317"/>
      <c r="VJH10" s="317"/>
      <c r="VJI10" s="317"/>
      <c r="VJJ10" s="317"/>
      <c r="VJK10" s="317"/>
      <c r="VJL10" s="317"/>
      <c r="VJM10" s="317"/>
      <c r="VJN10" s="317"/>
      <c r="VJO10" s="317"/>
      <c r="VJP10" s="317"/>
      <c r="VJQ10" s="317"/>
      <c r="VJR10" s="317"/>
      <c r="VJS10" s="317"/>
      <c r="VJT10" s="317"/>
      <c r="VJU10" s="317"/>
      <c r="VJV10" s="317"/>
      <c r="VJW10" s="317"/>
      <c r="VJX10" s="317"/>
      <c r="VJY10" s="317"/>
      <c r="VJZ10" s="317"/>
      <c r="VKA10" s="317"/>
      <c r="VKB10" s="317"/>
      <c r="VKC10" s="317"/>
      <c r="VKD10" s="317"/>
      <c r="VKE10" s="317"/>
      <c r="VKF10" s="317"/>
      <c r="VKG10" s="317"/>
      <c r="VKH10" s="317"/>
      <c r="VKI10" s="317"/>
      <c r="VKJ10" s="317"/>
      <c r="VKK10" s="317"/>
      <c r="VKL10" s="317"/>
      <c r="VKM10" s="317"/>
      <c r="VKN10" s="317"/>
      <c r="VKO10" s="317"/>
      <c r="VKP10" s="317"/>
      <c r="VKQ10" s="317"/>
      <c r="VKR10" s="317"/>
      <c r="VKS10" s="317"/>
      <c r="VKT10" s="317"/>
      <c r="VKU10" s="317"/>
      <c r="VKV10" s="317"/>
      <c r="VKW10" s="317"/>
      <c r="VKX10" s="317"/>
      <c r="VKY10" s="317"/>
      <c r="VKZ10" s="317"/>
      <c r="VLA10" s="317"/>
      <c r="VLB10" s="317"/>
      <c r="VLC10" s="317"/>
      <c r="VLD10" s="317"/>
      <c r="VLE10" s="317"/>
      <c r="VLF10" s="317"/>
      <c r="VLG10" s="317"/>
      <c r="VLH10" s="317"/>
      <c r="VLI10" s="317"/>
      <c r="VLJ10" s="317"/>
      <c r="VLK10" s="317"/>
      <c r="VLL10" s="317"/>
      <c r="VLM10" s="317"/>
      <c r="VLN10" s="317"/>
      <c r="VLO10" s="317"/>
      <c r="VLP10" s="317"/>
      <c r="VLQ10" s="317"/>
      <c r="VLR10" s="317"/>
      <c r="VLS10" s="317"/>
      <c r="VLT10" s="317"/>
      <c r="VLU10" s="317"/>
      <c r="VLV10" s="317"/>
      <c r="VLW10" s="317"/>
      <c r="VLX10" s="317"/>
      <c r="VLY10" s="317"/>
      <c r="VLZ10" s="317"/>
      <c r="VMA10" s="317"/>
      <c r="VMB10" s="317"/>
      <c r="VMC10" s="317"/>
      <c r="VMD10" s="317"/>
      <c r="VME10" s="317"/>
      <c r="VMF10" s="317"/>
      <c r="VMG10" s="317"/>
      <c r="VMH10" s="317"/>
      <c r="VMI10" s="317"/>
      <c r="VMJ10" s="317"/>
      <c r="VMK10" s="317"/>
      <c r="VML10" s="317"/>
      <c r="VMM10" s="317"/>
      <c r="VMN10" s="317"/>
      <c r="VMO10" s="317"/>
      <c r="VMP10" s="317"/>
      <c r="VMQ10" s="317"/>
      <c r="VMR10" s="317"/>
      <c r="VMS10" s="317"/>
      <c r="VMT10" s="317"/>
      <c r="VMU10" s="317"/>
      <c r="VMV10" s="317"/>
      <c r="VMW10" s="317"/>
      <c r="VMX10" s="317"/>
      <c r="VMY10" s="317"/>
      <c r="VMZ10" s="317"/>
      <c r="VNA10" s="317"/>
      <c r="VNB10" s="317"/>
      <c r="VNC10" s="317"/>
      <c r="VND10" s="317"/>
      <c r="VNE10" s="317"/>
      <c r="VNF10" s="317"/>
      <c r="VNG10" s="317"/>
      <c r="VNH10" s="317"/>
      <c r="VNI10" s="317"/>
      <c r="VNJ10" s="317"/>
      <c r="VNK10" s="317"/>
      <c r="VNL10" s="317"/>
      <c r="VNM10" s="317"/>
      <c r="VNN10" s="317"/>
      <c r="VNO10" s="317"/>
      <c r="VNP10" s="317"/>
      <c r="VNQ10" s="317"/>
      <c r="VNR10" s="317"/>
      <c r="VNS10" s="317"/>
      <c r="VNT10" s="317"/>
      <c r="VNU10" s="317"/>
      <c r="VNV10" s="317"/>
      <c r="VNW10" s="317"/>
      <c r="VNX10" s="317"/>
      <c r="VNY10" s="317"/>
      <c r="VNZ10" s="317"/>
      <c r="VOA10" s="317"/>
      <c r="VOB10" s="317"/>
      <c r="VOC10" s="317"/>
      <c r="VOD10" s="317"/>
      <c r="VOE10" s="317"/>
      <c r="VOF10" s="317"/>
      <c r="VOG10" s="317"/>
      <c r="VOH10" s="317"/>
      <c r="VOI10" s="317"/>
      <c r="VOJ10" s="317"/>
      <c r="VOK10" s="317"/>
      <c r="VOL10" s="317"/>
      <c r="VOM10" s="317"/>
      <c r="VON10" s="317"/>
      <c r="VOO10" s="317"/>
      <c r="VOP10" s="317"/>
      <c r="VOQ10" s="317"/>
      <c r="VOR10" s="317"/>
      <c r="VOS10" s="317"/>
      <c r="VOT10" s="317"/>
      <c r="VOU10" s="317"/>
      <c r="VOV10" s="317"/>
      <c r="VOW10" s="317"/>
      <c r="VOX10" s="317"/>
      <c r="VOY10" s="317"/>
      <c r="VOZ10" s="317"/>
      <c r="VPA10" s="317"/>
      <c r="VPB10" s="317"/>
      <c r="VPC10" s="317"/>
      <c r="VPD10" s="317"/>
      <c r="VPE10" s="317"/>
      <c r="VPF10" s="317"/>
      <c r="VPG10" s="317"/>
      <c r="VPH10" s="317"/>
      <c r="VPI10" s="317"/>
      <c r="VPJ10" s="317"/>
      <c r="VPK10" s="317"/>
      <c r="VPL10" s="317"/>
      <c r="VPM10" s="317"/>
      <c r="VPN10" s="317"/>
      <c r="VPO10" s="317"/>
      <c r="VPP10" s="317"/>
      <c r="VPQ10" s="317"/>
      <c r="VPR10" s="317"/>
      <c r="VPS10" s="317"/>
      <c r="VPT10" s="317"/>
      <c r="VPU10" s="317"/>
      <c r="VPV10" s="317"/>
      <c r="VPW10" s="317"/>
      <c r="VPX10" s="317"/>
      <c r="VPY10" s="317"/>
      <c r="VPZ10" s="317"/>
      <c r="VQA10" s="317"/>
      <c r="VQB10" s="317"/>
      <c r="VQC10" s="317"/>
      <c r="VQD10" s="317"/>
      <c r="VQE10" s="317"/>
      <c r="VQF10" s="317"/>
      <c r="VQG10" s="317"/>
      <c r="VQH10" s="317"/>
      <c r="VQI10" s="317"/>
      <c r="VQJ10" s="317"/>
      <c r="VQK10" s="317"/>
      <c r="VQL10" s="317"/>
      <c r="VQM10" s="317"/>
      <c r="VQN10" s="317"/>
      <c r="VQO10" s="317"/>
      <c r="VQP10" s="317"/>
      <c r="VQQ10" s="317"/>
      <c r="VQR10" s="317"/>
      <c r="VQS10" s="317"/>
      <c r="VQT10" s="317"/>
      <c r="VQU10" s="317"/>
      <c r="VQV10" s="317"/>
      <c r="VQW10" s="317"/>
      <c r="VQX10" s="317"/>
      <c r="VQY10" s="317"/>
      <c r="VQZ10" s="317"/>
      <c r="VRA10" s="317"/>
      <c r="VRB10" s="317"/>
      <c r="VRC10" s="317"/>
      <c r="VRD10" s="317"/>
      <c r="VRE10" s="317"/>
      <c r="VRF10" s="317"/>
      <c r="VRG10" s="317"/>
      <c r="VRH10" s="317"/>
      <c r="VRI10" s="317"/>
      <c r="VRJ10" s="317"/>
      <c r="VRK10" s="317"/>
      <c r="VRL10" s="317"/>
      <c r="VRM10" s="317"/>
      <c r="VRN10" s="317"/>
      <c r="VRO10" s="317"/>
      <c r="VRP10" s="317"/>
      <c r="VRQ10" s="317"/>
      <c r="VRR10" s="317"/>
      <c r="VRS10" s="317"/>
      <c r="VRT10" s="317"/>
      <c r="VRU10" s="317"/>
      <c r="VRV10" s="317"/>
      <c r="VRW10" s="317"/>
      <c r="VRX10" s="317"/>
      <c r="VRY10" s="317"/>
      <c r="VRZ10" s="317"/>
      <c r="VSA10" s="317"/>
      <c r="VSB10" s="317"/>
      <c r="VSC10" s="317"/>
      <c r="VSD10" s="317"/>
      <c r="VSE10" s="317"/>
      <c r="VSF10" s="317"/>
      <c r="VSG10" s="317"/>
      <c r="VSH10" s="317"/>
      <c r="VSI10" s="317"/>
      <c r="VSJ10" s="317"/>
      <c r="VSK10" s="317"/>
      <c r="VSL10" s="317"/>
      <c r="VSM10" s="317"/>
      <c r="VSN10" s="317"/>
      <c r="VSO10" s="317"/>
      <c r="VSP10" s="317"/>
      <c r="VSQ10" s="317"/>
      <c r="VSR10" s="317"/>
      <c r="VSS10" s="317"/>
      <c r="VST10" s="317"/>
      <c r="VSU10" s="317"/>
      <c r="VSV10" s="317"/>
      <c r="VSW10" s="317"/>
      <c r="VSX10" s="317"/>
      <c r="VSY10" s="317"/>
      <c r="VSZ10" s="317"/>
      <c r="VTA10" s="317"/>
      <c r="VTB10" s="317"/>
      <c r="VTC10" s="317"/>
      <c r="VTD10" s="317"/>
      <c r="VTE10" s="317"/>
      <c r="VTF10" s="317"/>
      <c r="VTG10" s="317"/>
      <c r="VTH10" s="317"/>
      <c r="VTI10" s="317"/>
      <c r="VTJ10" s="317"/>
      <c r="VTK10" s="317"/>
      <c r="VTL10" s="317"/>
      <c r="VTM10" s="317"/>
      <c r="VTN10" s="317"/>
      <c r="VTO10" s="317"/>
      <c r="VTP10" s="317"/>
      <c r="VTQ10" s="317"/>
      <c r="VTR10" s="317"/>
      <c r="VTS10" s="317"/>
      <c r="VTT10" s="317"/>
      <c r="VTU10" s="317"/>
      <c r="VTV10" s="317"/>
      <c r="VTW10" s="317"/>
      <c r="VTX10" s="317"/>
      <c r="VTY10" s="317"/>
      <c r="VTZ10" s="317"/>
      <c r="VUA10" s="317"/>
      <c r="VUB10" s="317"/>
      <c r="VUC10" s="317"/>
      <c r="VUD10" s="317"/>
      <c r="VUE10" s="317"/>
      <c r="VUF10" s="317"/>
      <c r="VUG10" s="317"/>
      <c r="VUH10" s="317"/>
      <c r="VUI10" s="317"/>
      <c r="VUJ10" s="317"/>
      <c r="VUK10" s="317"/>
      <c r="VUL10" s="317"/>
      <c r="VUM10" s="317"/>
      <c r="VUN10" s="317"/>
      <c r="VUO10" s="317"/>
      <c r="VUP10" s="317"/>
      <c r="VUQ10" s="317"/>
      <c r="VUR10" s="317"/>
      <c r="VUS10" s="317"/>
      <c r="VUT10" s="317"/>
      <c r="VUU10" s="317"/>
      <c r="VUV10" s="317"/>
      <c r="VUW10" s="317"/>
      <c r="VUX10" s="317"/>
      <c r="VUY10" s="317"/>
      <c r="VUZ10" s="317"/>
      <c r="VVA10" s="317"/>
      <c r="VVB10" s="317"/>
      <c r="VVC10" s="317"/>
      <c r="VVD10" s="317"/>
      <c r="VVE10" s="317"/>
      <c r="VVF10" s="317"/>
      <c r="VVG10" s="317"/>
      <c r="VVH10" s="317"/>
      <c r="VVI10" s="317"/>
      <c r="VVJ10" s="317"/>
      <c r="VVK10" s="317"/>
      <c r="VVL10" s="317"/>
      <c r="VVM10" s="317"/>
      <c r="VVN10" s="317"/>
      <c r="VVO10" s="317"/>
      <c r="VVP10" s="317"/>
      <c r="VVQ10" s="317"/>
      <c r="VVR10" s="317"/>
      <c r="VVS10" s="317"/>
      <c r="VVT10" s="317"/>
      <c r="VVU10" s="317"/>
      <c r="VVV10" s="317"/>
      <c r="VVW10" s="317"/>
      <c r="VVX10" s="317"/>
      <c r="VVY10" s="317"/>
      <c r="VVZ10" s="317"/>
      <c r="VWA10" s="317"/>
      <c r="VWB10" s="317"/>
      <c r="VWC10" s="317"/>
      <c r="VWD10" s="317"/>
      <c r="VWE10" s="317"/>
      <c r="VWF10" s="317"/>
      <c r="VWG10" s="317"/>
      <c r="VWH10" s="317"/>
      <c r="VWI10" s="317"/>
      <c r="VWJ10" s="317"/>
      <c r="VWK10" s="317"/>
      <c r="VWL10" s="317"/>
      <c r="VWM10" s="317"/>
      <c r="VWN10" s="317"/>
      <c r="VWO10" s="317"/>
      <c r="VWP10" s="317"/>
      <c r="VWQ10" s="317"/>
      <c r="VWR10" s="317"/>
      <c r="VWS10" s="317"/>
      <c r="VWT10" s="317"/>
      <c r="VWU10" s="317"/>
      <c r="VWV10" s="317"/>
      <c r="VWW10" s="317"/>
      <c r="VWX10" s="317"/>
      <c r="VWY10" s="317"/>
      <c r="VWZ10" s="317"/>
      <c r="VXA10" s="317"/>
      <c r="VXB10" s="317"/>
      <c r="VXC10" s="317"/>
      <c r="VXD10" s="317"/>
      <c r="VXE10" s="317"/>
      <c r="VXF10" s="317"/>
      <c r="VXG10" s="317"/>
      <c r="VXH10" s="317"/>
      <c r="VXI10" s="317"/>
      <c r="VXJ10" s="317"/>
      <c r="VXK10" s="317"/>
      <c r="VXL10" s="317"/>
      <c r="VXM10" s="317"/>
      <c r="VXN10" s="317"/>
      <c r="VXO10" s="317"/>
      <c r="VXP10" s="317"/>
      <c r="VXQ10" s="317"/>
      <c r="VXR10" s="317"/>
      <c r="VXS10" s="317"/>
      <c r="VXT10" s="317"/>
      <c r="VXU10" s="317"/>
      <c r="VXV10" s="317"/>
      <c r="VXW10" s="317"/>
      <c r="VXX10" s="317"/>
      <c r="VXY10" s="317"/>
      <c r="VXZ10" s="317"/>
      <c r="VYA10" s="317"/>
      <c r="VYB10" s="317"/>
      <c r="VYC10" s="317"/>
      <c r="VYD10" s="317"/>
      <c r="VYE10" s="317"/>
      <c r="VYF10" s="317"/>
      <c r="VYG10" s="317"/>
      <c r="VYH10" s="317"/>
      <c r="VYI10" s="317"/>
      <c r="VYJ10" s="317"/>
      <c r="VYK10" s="317"/>
      <c r="VYL10" s="317"/>
      <c r="VYM10" s="317"/>
      <c r="VYN10" s="317"/>
      <c r="VYO10" s="317"/>
      <c r="VYP10" s="317"/>
      <c r="VYQ10" s="317"/>
      <c r="VYR10" s="317"/>
      <c r="VYS10" s="317"/>
      <c r="VYT10" s="317"/>
      <c r="VYU10" s="317"/>
      <c r="VYV10" s="317"/>
      <c r="VYW10" s="317"/>
      <c r="VYX10" s="317"/>
      <c r="VYY10" s="317"/>
      <c r="VYZ10" s="317"/>
      <c r="VZA10" s="317"/>
      <c r="VZB10" s="317"/>
      <c r="VZC10" s="317"/>
      <c r="VZD10" s="317"/>
      <c r="VZE10" s="317"/>
      <c r="VZF10" s="317"/>
      <c r="VZG10" s="317"/>
      <c r="VZH10" s="317"/>
      <c r="VZI10" s="317"/>
      <c r="VZJ10" s="317"/>
      <c r="VZK10" s="317"/>
      <c r="VZL10" s="317"/>
      <c r="VZM10" s="317"/>
      <c r="VZN10" s="317"/>
      <c r="VZO10" s="317"/>
      <c r="VZP10" s="317"/>
      <c r="VZQ10" s="317"/>
      <c r="VZR10" s="317"/>
      <c r="VZS10" s="317"/>
      <c r="VZT10" s="317"/>
      <c r="VZU10" s="317"/>
      <c r="VZV10" s="317"/>
      <c r="VZW10" s="317"/>
      <c r="VZX10" s="317"/>
      <c r="VZY10" s="317"/>
      <c r="VZZ10" s="317"/>
      <c r="WAA10" s="317"/>
      <c r="WAB10" s="317"/>
      <c r="WAC10" s="317"/>
      <c r="WAD10" s="317"/>
      <c r="WAE10" s="317"/>
      <c r="WAF10" s="317"/>
      <c r="WAG10" s="317"/>
      <c r="WAH10" s="317"/>
      <c r="WAI10" s="317"/>
      <c r="WAJ10" s="317"/>
      <c r="WAK10" s="317"/>
      <c r="WAL10" s="317"/>
      <c r="WAM10" s="317"/>
      <c r="WAN10" s="317"/>
      <c r="WAO10" s="317"/>
      <c r="WAP10" s="317"/>
      <c r="WAQ10" s="317"/>
      <c r="WAR10" s="317"/>
      <c r="WAS10" s="317"/>
      <c r="WAT10" s="317"/>
      <c r="WAU10" s="317"/>
      <c r="WAV10" s="317"/>
      <c r="WAW10" s="317"/>
      <c r="WAX10" s="317"/>
      <c r="WAY10" s="317"/>
      <c r="WAZ10" s="317"/>
      <c r="WBA10" s="317"/>
      <c r="WBB10" s="317"/>
      <c r="WBC10" s="317"/>
      <c r="WBD10" s="317"/>
      <c r="WBE10" s="317"/>
      <c r="WBF10" s="317"/>
      <c r="WBG10" s="317"/>
      <c r="WBH10" s="317"/>
      <c r="WBI10" s="317"/>
      <c r="WBJ10" s="317"/>
      <c r="WBK10" s="317"/>
      <c r="WBL10" s="317"/>
      <c r="WBM10" s="317"/>
      <c r="WBN10" s="317"/>
      <c r="WBO10" s="317"/>
      <c r="WBP10" s="317"/>
      <c r="WBQ10" s="317"/>
      <c r="WBR10" s="317"/>
      <c r="WBS10" s="317"/>
      <c r="WBT10" s="317"/>
      <c r="WBU10" s="317"/>
      <c r="WBV10" s="317"/>
      <c r="WBW10" s="317"/>
      <c r="WBX10" s="317"/>
      <c r="WBY10" s="317"/>
      <c r="WBZ10" s="317"/>
      <c r="WCA10" s="317"/>
      <c r="WCB10" s="317"/>
      <c r="WCC10" s="317"/>
      <c r="WCD10" s="317"/>
      <c r="WCE10" s="317"/>
      <c r="WCF10" s="317"/>
      <c r="WCG10" s="317"/>
      <c r="WCH10" s="317"/>
      <c r="WCI10" s="317"/>
      <c r="WCJ10" s="317"/>
      <c r="WCK10" s="317"/>
      <c r="WCL10" s="317"/>
      <c r="WCM10" s="317"/>
      <c r="WCN10" s="317"/>
      <c r="WCO10" s="317"/>
      <c r="WCP10" s="317"/>
      <c r="WCQ10" s="317"/>
      <c r="WCR10" s="317"/>
      <c r="WCS10" s="317"/>
      <c r="WCT10" s="317"/>
      <c r="WCU10" s="317"/>
      <c r="WCV10" s="317"/>
      <c r="WCW10" s="317"/>
      <c r="WCX10" s="317"/>
      <c r="WCY10" s="317"/>
      <c r="WCZ10" s="317"/>
      <c r="WDA10" s="317"/>
      <c r="WDB10" s="317"/>
      <c r="WDC10" s="317"/>
      <c r="WDD10" s="317"/>
      <c r="WDE10" s="317"/>
      <c r="WDF10" s="317"/>
      <c r="WDG10" s="317"/>
      <c r="WDH10" s="317"/>
      <c r="WDI10" s="317"/>
      <c r="WDJ10" s="317"/>
      <c r="WDK10" s="317"/>
      <c r="WDL10" s="317"/>
      <c r="WDM10" s="317"/>
      <c r="WDN10" s="317"/>
      <c r="WDO10" s="317"/>
      <c r="WDP10" s="317"/>
      <c r="WDQ10" s="317"/>
      <c r="WDR10" s="317"/>
      <c r="WDS10" s="317"/>
      <c r="WDT10" s="317"/>
      <c r="WDU10" s="317"/>
      <c r="WDV10" s="317"/>
      <c r="WDW10" s="317"/>
      <c r="WDX10" s="317"/>
      <c r="WDY10" s="317"/>
      <c r="WDZ10" s="317"/>
      <c r="WEA10" s="317"/>
      <c r="WEB10" s="317"/>
      <c r="WEC10" s="317"/>
      <c r="WED10" s="317"/>
      <c r="WEE10" s="317"/>
      <c r="WEF10" s="317"/>
      <c r="WEG10" s="317"/>
      <c r="WEH10" s="317"/>
      <c r="WEI10" s="317"/>
      <c r="WEJ10" s="317"/>
      <c r="WEK10" s="317"/>
      <c r="WEL10" s="317"/>
      <c r="WEM10" s="317"/>
      <c r="WEN10" s="317"/>
      <c r="WEO10" s="317"/>
      <c r="WEP10" s="317"/>
      <c r="WEQ10" s="317"/>
      <c r="WER10" s="317"/>
      <c r="WES10" s="317"/>
      <c r="WET10" s="317"/>
      <c r="WEU10" s="317"/>
      <c r="WEV10" s="317"/>
      <c r="WEW10" s="317"/>
      <c r="WEX10" s="317"/>
      <c r="WEY10" s="317"/>
      <c r="WEZ10" s="317"/>
      <c r="WFA10" s="317"/>
      <c r="WFB10" s="317"/>
      <c r="WFC10" s="317"/>
      <c r="WFD10" s="317"/>
      <c r="WFE10" s="317"/>
      <c r="WFF10" s="317"/>
      <c r="WFG10" s="317"/>
      <c r="WFH10" s="317"/>
      <c r="WFI10" s="317"/>
      <c r="WFJ10" s="317"/>
      <c r="WFK10" s="317"/>
      <c r="WFL10" s="317"/>
      <c r="WFM10" s="317"/>
      <c r="WFN10" s="317"/>
      <c r="WFO10" s="317"/>
      <c r="WFP10" s="317"/>
      <c r="WFQ10" s="317"/>
      <c r="WFR10" s="317"/>
      <c r="WFS10" s="317"/>
      <c r="WFT10" s="317"/>
      <c r="WFU10" s="317"/>
      <c r="WFV10" s="317"/>
      <c r="WFW10" s="317"/>
      <c r="WFX10" s="317"/>
      <c r="WFY10" s="317"/>
      <c r="WFZ10" s="317"/>
      <c r="WGA10" s="317"/>
      <c r="WGB10" s="317"/>
      <c r="WGC10" s="317"/>
      <c r="WGD10" s="317"/>
      <c r="WGE10" s="317"/>
      <c r="WGF10" s="317"/>
      <c r="WGG10" s="317"/>
      <c r="WGH10" s="317"/>
      <c r="WGI10" s="317"/>
      <c r="WGJ10" s="317"/>
      <c r="WGK10" s="317"/>
      <c r="WGL10" s="317"/>
      <c r="WGM10" s="317"/>
      <c r="WGN10" s="317"/>
      <c r="WGO10" s="317"/>
      <c r="WGP10" s="317"/>
      <c r="WGQ10" s="317"/>
      <c r="WGR10" s="317"/>
      <c r="WGS10" s="317"/>
      <c r="WGT10" s="317"/>
      <c r="WGU10" s="317"/>
      <c r="WGV10" s="317"/>
      <c r="WGW10" s="317"/>
      <c r="WGX10" s="317"/>
      <c r="WGY10" s="317"/>
      <c r="WGZ10" s="317"/>
      <c r="WHA10" s="317"/>
      <c r="WHB10" s="317"/>
      <c r="WHC10" s="317"/>
      <c r="WHD10" s="317"/>
      <c r="WHE10" s="317"/>
      <c r="WHF10" s="317"/>
      <c r="WHG10" s="317"/>
      <c r="WHH10" s="317"/>
      <c r="WHI10" s="317"/>
      <c r="WHJ10" s="317"/>
      <c r="WHK10" s="317"/>
      <c r="WHL10" s="317"/>
      <c r="WHM10" s="317"/>
      <c r="WHN10" s="317"/>
      <c r="WHO10" s="317"/>
      <c r="WHP10" s="317"/>
      <c r="WHQ10" s="317"/>
      <c r="WHR10" s="317"/>
      <c r="WHS10" s="317"/>
      <c r="WHT10" s="317"/>
      <c r="WHU10" s="317"/>
      <c r="WHV10" s="317"/>
      <c r="WHW10" s="317"/>
      <c r="WHX10" s="317"/>
      <c r="WHY10" s="317"/>
      <c r="WHZ10" s="317"/>
      <c r="WIA10" s="317"/>
      <c r="WIB10" s="317"/>
      <c r="WIC10" s="317"/>
      <c r="WID10" s="317"/>
      <c r="WIE10" s="317"/>
      <c r="WIF10" s="317"/>
      <c r="WIG10" s="317"/>
      <c r="WIH10" s="317"/>
      <c r="WII10" s="317"/>
      <c r="WIJ10" s="317"/>
      <c r="WIK10" s="317"/>
      <c r="WIL10" s="317"/>
      <c r="WIM10" s="317"/>
      <c r="WIN10" s="317"/>
      <c r="WIO10" s="317"/>
      <c r="WIP10" s="317"/>
      <c r="WIQ10" s="317"/>
      <c r="WIR10" s="317"/>
      <c r="WIS10" s="317"/>
      <c r="WIT10" s="317"/>
      <c r="WIU10" s="317"/>
      <c r="WIV10" s="317"/>
      <c r="WIW10" s="317"/>
      <c r="WIX10" s="317"/>
      <c r="WIY10" s="317"/>
      <c r="WIZ10" s="317"/>
      <c r="WJA10" s="317"/>
      <c r="WJB10" s="317"/>
      <c r="WJC10" s="317"/>
      <c r="WJD10" s="317"/>
      <c r="WJE10" s="317"/>
      <c r="WJF10" s="317"/>
      <c r="WJG10" s="317"/>
      <c r="WJH10" s="317"/>
      <c r="WJI10" s="317"/>
      <c r="WJJ10" s="317"/>
      <c r="WJK10" s="317"/>
      <c r="WJL10" s="317"/>
      <c r="WJM10" s="317"/>
      <c r="WJN10" s="317"/>
      <c r="WJO10" s="317"/>
      <c r="WJP10" s="317"/>
      <c r="WJQ10" s="317"/>
      <c r="WJR10" s="317"/>
      <c r="WJS10" s="317"/>
      <c r="WJT10" s="317"/>
      <c r="WJU10" s="317"/>
      <c r="WJV10" s="317"/>
      <c r="WJW10" s="317"/>
      <c r="WJX10" s="317"/>
      <c r="WJY10" s="317"/>
      <c r="WJZ10" s="317"/>
      <c r="WKA10" s="317"/>
      <c r="WKB10" s="317"/>
      <c r="WKC10" s="317"/>
      <c r="WKD10" s="317"/>
      <c r="WKE10" s="317"/>
      <c r="WKF10" s="317"/>
      <c r="WKG10" s="317"/>
      <c r="WKH10" s="317"/>
      <c r="WKI10" s="317"/>
      <c r="WKJ10" s="317"/>
      <c r="WKK10" s="317"/>
      <c r="WKL10" s="317"/>
      <c r="WKM10" s="317"/>
      <c r="WKN10" s="317"/>
      <c r="WKO10" s="317"/>
      <c r="WKP10" s="317"/>
      <c r="WKQ10" s="317"/>
      <c r="WKR10" s="317"/>
      <c r="WKS10" s="317"/>
      <c r="WKT10" s="317"/>
      <c r="WKU10" s="317"/>
      <c r="WKV10" s="317"/>
      <c r="WKW10" s="317"/>
      <c r="WKX10" s="317"/>
      <c r="WKY10" s="317"/>
      <c r="WKZ10" s="317"/>
      <c r="WLA10" s="317"/>
      <c r="WLB10" s="317"/>
      <c r="WLC10" s="317"/>
      <c r="WLD10" s="317"/>
      <c r="WLE10" s="317"/>
      <c r="WLF10" s="317"/>
      <c r="WLG10" s="317"/>
      <c r="WLH10" s="317"/>
      <c r="WLI10" s="317"/>
      <c r="WLJ10" s="317"/>
      <c r="WLK10" s="317"/>
      <c r="WLL10" s="317"/>
      <c r="WLM10" s="317"/>
      <c r="WLN10" s="317"/>
      <c r="WLO10" s="317"/>
      <c r="WLP10" s="317"/>
      <c r="WLQ10" s="317"/>
      <c r="WLR10" s="317"/>
      <c r="WLS10" s="317"/>
      <c r="WLT10" s="317"/>
      <c r="WLU10" s="317"/>
      <c r="WLV10" s="317"/>
      <c r="WLW10" s="317"/>
      <c r="WLX10" s="317"/>
      <c r="WLY10" s="317"/>
      <c r="WLZ10" s="317"/>
      <c r="WMA10" s="317"/>
      <c r="WMB10" s="317"/>
      <c r="WMC10" s="317"/>
      <c r="WMD10" s="317"/>
      <c r="WME10" s="317"/>
      <c r="WMF10" s="317"/>
      <c r="WMG10" s="317"/>
      <c r="WMH10" s="317"/>
      <c r="WMI10" s="317"/>
      <c r="WMJ10" s="317"/>
      <c r="WMK10" s="317"/>
      <c r="WML10" s="317"/>
      <c r="WMM10" s="317"/>
      <c r="WMN10" s="317"/>
      <c r="WMO10" s="317"/>
      <c r="WMP10" s="317"/>
      <c r="WMQ10" s="317"/>
      <c r="WMR10" s="317"/>
      <c r="WMS10" s="317"/>
      <c r="WMT10" s="317"/>
      <c r="WMU10" s="317"/>
      <c r="WMV10" s="317"/>
      <c r="WMW10" s="317"/>
      <c r="WMX10" s="317"/>
      <c r="WMY10" s="317"/>
      <c r="WMZ10" s="317"/>
      <c r="WNA10" s="317"/>
      <c r="WNB10" s="317"/>
      <c r="WNC10" s="317"/>
      <c r="WND10" s="317"/>
      <c r="WNE10" s="317"/>
      <c r="WNF10" s="317"/>
      <c r="WNG10" s="317"/>
      <c r="WNH10" s="317"/>
      <c r="WNI10" s="317"/>
      <c r="WNJ10" s="317"/>
      <c r="WNK10" s="317"/>
      <c r="WNL10" s="317"/>
      <c r="WNM10" s="317"/>
      <c r="WNN10" s="317"/>
      <c r="WNO10" s="317"/>
      <c r="WNP10" s="317"/>
      <c r="WNQ10" s="317"/>
      <c r="WNR10" s="317"/>
      <c r="WNS10" s="317"/>
      <c r="WNT10" s="317"/>
      <c r="WNU10" s="317"/>
      <c r="WNV10" s="317"/>
      <c r="WNW10" s="317"/>
      <c r="WNX10" s="317"/>
      <c r="WNY10" s="317"/>
      <c r="WNZ10" s="317"/>
      <c r="WOA10" s="317"/>
      <c r="WOB10" s="317"/>
      <c r="WOC10" s="317"/>
      <c r="WOD10" s="317"/>
      <c r="WOE10" s="317"/>
      <c r="WOF10" s="317"/>
      <c r="WOG10" s="317"/>
      <c r="WOH10" s="317"/>
      <c r="WOI10" s="317"/>
      <c r="WOJ10" s="317"/>
      <c r="WOK10" s="317"/>
      <c r="WOL10" s="317"/>
      <c r="WOM10" s="317"/>
      <c r="WON10" s="317"/>
      <c r="WOO10" s="317"/>
      <c r="WOP10" s="317"/>
      <c r="WOQ10" s="317"/>
      <c r="WOR10" s="317"/>
      <c r="WOS10" s="317"/>
      <c r="WOT10" s="317"/>
      <c r="WOU10" s="317"/>
      <c r="WOV10" s="317"/>
      <c r="WOW10" s="317"/>
      <c r="WOX10" s="317"/>
      <c r="WOY10" s="317"/>
      <c r="WOZ10" s="317"/>
      <c r="WPA10" s="317"/>
      <c r="WPB10" s="317"/>
      <c r="WPC10" s="317"/>
      <c r="WPD10" s="317"/>
      <c r="WPE10" s="317"/>
      <c r="WPF10" s="317"/>
      <c r="WPG10" s="317"/>
      <c r="WPH10" s="317"/>
      <c r="WPI10" s="317"/>
      <c r="WPJ10" s="317"/>
      <c r="WPK10" s="317"/>
      <c r="WPL10" s="317"/>
      <c r="WPM10" s="317"/>
      <c r="WPN10" s="317"/>
      <c r="WPO10" s="317"/>
      <c r="WPP10" s="317"/>
      <c r="WPQ10" s="317"/>
      <c r="WPR10" s="317"/>
      <c r="WPS10" s="317"/>
      <c r="WPT10" s="317"/>
      <c r="WPU10" s="317"/>
      <c r="WPV10" s="317"/>
      <c r="WPW10" s="317"/>
      <c r="WPX10" s="317"/>
      <c r="WPY10" s="317"/>
      <c r="WPZ10" s="317"/>
      <c r="WQA10" s="317"/>
      <c r="WQB10" s="317"/>
      <c r="WQC10" s="317"/>
      <c r="WQD10" s="317"/>
      <c r="WQE10" s="317"/>
      <c r="WQF10" s="317"/>
      <c r="WQG10" s="317"/>
      <c r="WQH10" s="317"/>
      <c r="WQI10" s="317"/>
      <c r="WQJ10" s="317"/>
      <c r="WQK10" s="317"/>
      <c r="WQL10" s="317"/>
      <c r="WQM10" s="317"/>
      <c r="WQN10" s="317"/>
      <c r="WQO10" s="317"/>
      <c r="WQP10" s="317"/>
      <c r="WQQ10" s="317"/>
      <c r="WQR10" s="317"/>
      <c r="WQS10" s="317"/>
      <c r="WQT10" s="317"/>
      <c r="WQU10" s="317"/>
      <c r="WQV10" s="317"/>
      <c r="WQW10" s="317"/>
      <c r="WQX10" s="317"/>
      <c r="WQY10" s="317"/>
      <c r="WQZ10" s="317"/>
      <c r="WRA10" s="317"/>
      <c r="WRB10" s="317"/>
      <c r="WRC10" s="317"/>
      <c r="WRD10" s="317"/>
      <c r="WRE10" s="317"/>
      <c r="WRF10" s="317"/>
      <c r="WRG10" s="317"/>
      <c r="WRH10" s="317"/>
      <c r="WRI10" s="317"/>
      <c r="WRJ10" s="317"/>
      <c r="WRK10" s="317"/>
      <c r="WRL10" s="317"/>
      <c r="WRM10" s="317"/>
      <c r="WRN10" s="317"/>
      <c r="WRO10" s="317"/>
      <c r="WRP10" s="317"/>
      <c r="WRQ10" s="317"/>
      <c r="WRR10" s="317"/>
      <c r="WRS10" s="317"/>
      <c r="WRT10" s="317"/>
      <c r="WRU10" s="317"/>
      <c r="WRV10" s="317"/>
      <c r="WRW10" s="317"/>
      <c r="WRX10" s="317"/>
      <c r="WRY10" s="317"/>
      <c r="WRZ10" s="317"/>
      <c r="WSA10" s="317"/>
      <c r="WSB10" s="317"/>
      <c r="WSC10" s="317"/>
      <c r="WSD10" s="317"/>
      <c r="WSE10" s="317"/>
      <c r="WSF10" s="317"/>
      <c r="WSG10" s="317"/>
      <c r="WSH10" s="317"/>
      <c r="WSI10" s="317"/>
      <c r="WSJ10" s="317"/>
      <c r="WSK10" s="317"/>
      <c r="WSL10" s="317"/>
      <c r="WSM10" s="317"/>
      <c r="WSN10" s="317"/>
      <c r="WSO10" s="317"/>
      <c r="WSP10" s="317"/>
      <c r="WSQ10" s="317"/>
      <c r="WSR10" s="317"/>
      <c r="WSS10" s="317"/>
      <c r="WST10" s="317"/>
      <c r="WSU10" s="317"/>
      <c r="WSV10" s="317"/>
      <c r="WSW10" s="317"/>
      <c r="WSX10" s="317"/>
      <c r="WSY10" s="317"/>
      <c r="WSZ10" s="317"/>
      <c r="WTA10" s="317"/>
      <c r="WTB10" s="317"/>
      <c r="WTC10" s="317"/>
      <c r="WTD10" s="317"/>
      <c r="WTE10" s="317"/>
      <c r="WTF10" s="317"/>
      <c r="WTG10" s="317"/>
      <c r="WTH10" s="317"/>
      <c r="WTI10" s="317"/>
      <c r="WTJ10" s="317"/>
      <c r="WTK10" s="317"/>
      <c r="WTL10" s="317"/>
      <c r="WTM10" s="317"/>
      <c r="WTN10" s="317"/>
      <c r="WTO10" s="317"/>
      <c r="WTP10" s="317"/>
      <c r="WTQ10" s="317"/>
      <c r="WTR10" s="317"/>
      <c r="WTS10" s="317"/>
      <c r="WTT10" s="317"/>
      <c r="WTU10" s="317"/>
      <c r="WTV10" s="317"/>
      <c r="WTW10" s="317"/>
      <c r="WTX10" s="317"/>
      <c r="WTY10" s="317"/>
      <c r="WTZ10" s="317"/>
      <c r="WUA10" s="317"/>
      <c r="WUB10" s="317"/>
      <c r="WUC10" s="317"/>
      <c r="WUD10" s="317"/>
      <c r="WUE10" s="317"/>
      <c r="WUF10" s="317"/>
      <c r="WUG10" s="317"/>
      <c r="WUH10" s="317"/>
      <c r="WUI10" s="317"/>
      <c r="WUJ10" s="317"/>
      <c r="WUK10" s="317"/>
      <c r="WUL10" s="317"/>
      <c r="WUM10" s="317"/>
      <c r="WUN10" s="317"/>
      <c r="WUO10" s="317"/>
      <c r="WUP10" s="317"/>
      <c r="WUQ10" s="317"/>
      <c r="WUR10" s="317"/>
      <c r="WUS10" s="317"/>
      <c r="WUT10" s="317"/>
      <c r="WUU10" s="317"/>
      <c r="WUV10" s="317"/>
      <c r="WUW10" s="317"/>
      <c r="WUX10" s="317"/>
      <c r="WUY10" s="317"/>
      <c r="WUZ10" s="317"/>
      <c r="WVA10" s="317"/>
      <c r="WVB10" s="317"/>
      <c r="WVC10" s="317"/>
      <c r="WVD10" s="317"/>
      <c r="WVE10" s="317"/>
      <c r="WVF10" s="317"/>
      <c r="WVG10" s="317"/>
      <c r="WVH10" s="317"/>
      <c r="WVI10" s="317"/>
      <c r="WVJ10" s="317"/>
      <c r="WVK10" s="317"/>
      <c r="WVL10" s="317"/>
      <c r="WVM10" s="317"/>
      <c r="WVN10" s="317"/>
      <c r="WVO10" s="317"/>
      <c r="WVP10" s="317"/>
      <c r="WVQ10" s="317"/>
      <c r="WVR10" s="317"/>
      <c r="WVS10" s="317"/>
      <c r="WVT10" s="317"/>
      <c r="WVU10" s="317"/>
      <c r="WVV10" s="317"/>
      <c r="WVW10" s="317"/>
      <c r="WVX10" s="317"/>
      <c r="WVY10" s="317"/>
      <c r="WVZ10" s="317"/>
      <c r="WWA10" s="317"/>
      <c r="WWB10" s="317"/>
      <c r="WWC10" s="317"/>
      <c r="WWD10" s="317"/>
      <c r="WWE10" s="317"/>
      <c r="WWF10" s="317"/>
      <c r="WWG10" s="317"/>
      <c r="WWH10" s="317"/>
      <c r="WWI10" s="317"/>
      <c r="WWJ10" s="317"/>
      <c r="WWK10" s="317"/>
      <c r="WWL10" s="317"/>
      <c r="WWM10" s="317"/>
      <c r="WWN10" s="317"/>
      <c r="WWO10" s="317"/>
      <c r="WWP10" s="317"/>
      <c r="WWQ10" s="317"/>
      <c r="WWR10" s="317"/>
      <c r="WWS10" s="317"/>
      <c r="WWT10" s="317"/>
      <c r="WWU10" s="317"/>
      <c r="WWV10" s="317"/>
      <c r="WWW10" s="317"/>
      <c r="WWX10" s="317"/>
      <c r="WWY10" s="317"/>
      <c r="WWZ10" s="317"/>
      <c r="WXA10" s="317"/>
      <c r="WXB10" s="317"/>
      <c r="WXC10" s="317"/>
      <c r="WXD10" s="317"/>
      <c r="WXE10" s="317"/>
      <c r="WXF10" s="317"/>
      <c r="WXG10" s="317"/>
      <c r="WXH10" s="317"/>
      <c r="WXI10" s="317"/>
      <c r="WXJ10" s="317"/>
      <c r="WXK10" s="317"/>
      <c r="WXL10" s="317"/>
      <c r="WXM10" s="317"/>
      <c r="WXN10" s="317"/>
      <c r="WXO10" s="317"/>
      <c r="WXP10" s="317"/>
      <c r="WXQ10" s="317"/>
      <c r="WXR10" s="317"/>
      <c r="WXS10" s="317"/>
      <c r="WXT10" s="317"/>
      <c r="WXU10" s="317"/>
      <c r="WXV10" s="317"/>
      <c r="WXW10" s="317"/>
      <c r="WXX10" s="317"/>
      <c r="WXY10" s="317"/>
      <c r="WXZ10" s="317"/>
      <c r="WYA10" s="317"/>
      <c r="WYB10" s="317"/>
      <c r="WYC10" s="317"/>
      <c r="WYD10" s="317"/>
      <c r="WYE10" s="317"/>
      <c r="WYF10" s="317"/>
      <c r="WYG10" s="317"/>
      <c r="WYH10" s="317"/>
      <c r="WYI10" s="317"/>
      <c r="WYJ10" s="317"/>
      <c r="WYK10" s="317"/>
      <c r="WYL10" s="317"/>
      <c r="WYM10" s="317"/>
      <c r="WYN10" s="317"/>
      <c r="WYO10" s="317"/>
      <c r="WYP10" s="317"/>
      <c r="WYQ10" s="317"/>
      <c r="WYR10" s="317"/>
      <c r="WYS10" s="317"/>
      <c r="WYT10" s="317"/>
      <c r="WYU10" s="317"/>
      <c r="WYV10" s="317"/>
      <c r="WYW10" s="317"/>
      <c r="WYX10" s="317"/>
      <c r="WYY10" s="317"/>
      <c r="WYZ10" s="317"/>
      <c r="WZA10" s="317"/>
      <c r="WZB10" s="317"/>
      <c r="WZC10" s="317"/>
      <c r="WZD10" s="317"/>
      <c r="WZE10" s="317"/>
      <c r="WZF10" s="317"/>
      <c r="WZG10" s="317"/>
      <c r="WZH10" s="317"/>
      <c r="WZI10" s="317"/>
      <c r="WZJ10" s="317"/>
      <c r="WZK10" s="317"/>
      <c r="WZL10" s="317"/>
      <c r="WZM10" s="317"/>
      <c r="WZN10" s="317"/>
      <c r="WZO10" s="317"/>
      <c r="WZP10" s="317"/>
      <c r="WZQ10" s="317"/>
      <c r="WZR10" s="317"/>
      <c r="WZS10" s="317"/>
      <c r="WZT10" s="317"/>
      <c r="WZU10" s="317"/>
      <c r="WZV10" s="317"/>
      <c r="WZW10" s="317"/>
      <c r="WZX10" s="317"/>
      <c r="WZY10" s="317"/>
      <c r="WZZ10" s="317"/>
      <c r="XAA10" s="317"/>
      <c r="XAB10" s="317"/>
      <c r="XAC10" s="317"/>
      <c r="XAD10" s="317"/>
      <c r="XAE10" s="317"/>
      <c r="XAF10" s="317"/>
      <c r="XAG10" s="317"/>
      <c r="XAH10" s="317"/>
      <c r="XAI10" s="317"/>
      <c r="XAJ10" s="317"/>
      <c r="XAK10" s="317"/>
      <c r="XAL10" s="317"/>
      <c r="XAM10" s="317"/>
      <c r="XAN10" s="317"/>
      <c r="XAO10" s="317"/>
      <c r="XAP10" s="317"/>
      <c r="XAQ10" s="317"/>
      <c r="XAR10" s="317"/>
      <c r="XAS10" s="317"/>
      <c r="XAT10" s="317"/>
      <c r="XAU10" s="317"/>
      <c r="XAV10" s="317"/>
      <c r="XAW10" s="317"/>
      <c r="XAX10" s="317"/>
      <c r="XAY10" s="317"/>
      <c r="XAZ10" s="317"/>
      <c r="XBA10" s="317"/>
      <c r="XBB10" s="317"/>
      <c r="XBC10" s="317"/>
      <c r="XBD10" s="317"/>
      <c r="XBE10" s="317"/>
      <c r="XBF10" s="317"/>
      <c r="XBG10" s="317"/>
      <c r="XBH10" s="317"/>
      <c r="XBI10" s="317"/>
      <c r="XBJ10" s="317"/>
      <c r="XBK10" s="317"/>
      <c r="XBL10" s="317"/>
      <c r="XBM10" s="317"/>
      <c r="XBN10" s="317"/>
      <c r="XBO10" s="317"/>
      <c r="XBP10" s="317"/>
      <c r="XBQ10" s="317"/>
      <c r="XBR10" s="317"/>
      <c r="XBS10" s="317"/>
      <c r="XBT10" s="317"/>
      <c r="XBU10" s="317"/>
      <c r="XBV10" s="317"/>
      <c r="XBW10" s="317"/>
      <c r="XBX10" s="317"/>
      <c r="XBY10" s="317"/>
      <c r="XBZ10" s="317"/>
      <c r="XCA10" s="317"/>
      <c r="XCB10" s="317"/>
      <c r="XCC10" s="317"/>
      <c r="XCD10" s="317"/>
      <c r="XCE10" s="317"/>
      <c r="XCF10" s="317"/>
      <c r="XCG10" s="317"/>
      <c r="XCH10" s="317"/>
      <c r="XCI10" s="317"/>
      <c r="XCJ10" s="317"/>
      <c r="XCK10" s="317"/>
      <c r="XCL10" s="317"/>
      <c r="XCM10" s="317"/>
      <c r="XCN10" s="317"/>
      <c r="XCO10" s="317"/>
      <c r="XCP10" s="317"/>
      <c r="XCQ10" s="317"/>
      <c r="XCR10" s="317"/>
      <c r="XCS10" s="317"/>
      <c r="XCT10" s="317"/>
      <c r="XCU10" s="317"/>
      <c r="XCV10" s="317"/>
      <c r="XCW10" s="317"/>
      <c r="XCX10" s="317"/>
      <c r="XCY10" s="317"/>
      <c r="XCZ10" s="317"/>
      <c r="XDA10" s="317"/>
      <c r="XDB10" s="317"/>
      <c r="XDC10" s="317"/>
      <c r="XDD10" s="317"/>
      <c r="XDE10" s="317"/>
      <c r="XDF10" s="317"/>
      <c r="XDG10" s="317"/>
      <c r="XDH10" s="317"/>
      <c r="XDI10" s="317"/>
      <c r="XDJ10" s="317"/>
      <c r="XDK10" s="317"/>
      <c r="XDL10" s="317"/>
      <c r="XDM10" s="317"/>
      <c r="XDN10" s="317"/>
      <c r="XDO10" s="317"/>
      <c r="XDP10" s="317"/>
      <c r="XDQ10" s="317"/>
      <c r="XDR10" s="317"/>
      <c r="XDS10" s="317"/>
      <c r="XDT10" s="317"/>
      <c r="XDU10" s="317"/>
      <c r="XDV10" s="317"/>
      <c r="XDW10" s="317"/>
      <c r="XDX10" s="317"/>
      <c r="XDY10" s="317"/>
      <c r="XDZ10" s="317"/>
      <c r="XEA10" s="317"/>
      <c r="XEB10" s="317"/>
      <c r="XEC10" s="317"/>
      <c r="XED10" s="317"/>
      <c r="XEE10" s="317"/>
      <c r="XEF10" s="317"/>
      <c r="XEG10" s="317"/>
      <c r="XEH10" s="317"/>
      <c r="XEI10" s="317"/>
      <c r="XEJ10" s="317"/>
      <c r="XEK10" s="317"/>
      <c r="XEL10" s="317"/>
      <c r="XEM10" s="317"/>
      <c r="XEN10" s="317"/>
      <c r="XEO10" s="317"/>
      <c r="XEP10" s="317"/>
      <c r="XEQ10" s="317"/>
      <c r="XER10" s="317"/>
      <c r="XES10" s="317"/>
      <c r="XET10" s="317"/>
      <c r="XEU10" s="317"/>
      <c r="XEV10" s="317"/>
      <c r="XEW10" s="317"/>
      <c r="XEX10" s="317"/>
      <c r="XEY10" s="317"/>
      <c r="XEZ10" s="317"/>
      <c r="XFA10" s="317"/>
      <c r="XFB10" s="317"/>
      <c r="XFC10" s="317"/>
      <c r="XFD10" s="317"/>
    </row>
    <row r="11" s="32" customFormat="1" ht="25" customHeight="1" spans="1:74 14505:16384">
      <c r="A11" s="336" t="s">
        <v>21</v>
      </c>
      <c r="B11" s="337" t="s">
        <v>22</v>
      </c>
      <c r="C11" s="333"/>
      <c r="D11" s="333"/>
      <c r="E11" s="333"/>
      <c r="F11" s="333"/>
      <c r="G11" s="333"/>
      <c r="H11" s="333"/>
      <c r="I11" s="334"/>
      <c r="J11" s="333"/>
      <c r="K11" s="333"/>
      <c r="L11" s="333"/>
      <c r="M11" s="333"/>
      <c r="N11" s="333"/>
      <c r="O11" s="335"/>
      <c r="P11" s="335"/>
      <c r="Q11" s="333"/>
      <c r="R11" s="333"/>
      <c r="S11" s="333"/>
      <c r="T11" s="333"/>
      <c r="U11" s="333"/>
      <c r="V11" s="335"/>
      <c r="W11" s="335"/>
      <c r="X11" s="335"/>
      <c r="Y11" s="335"/>
      <c r="Z11" s="335"/>
      <c r="AA11" s="335"/>
      <c r="AB11" s="335"/>
      <c r="AC11" s="335"/>
      <c r="AD11" s="335"/>
      <c r="AE11" s="333"/>
      <c r="AF11" s="333"/>
      <c r="AG11" s="333"/>
      <c r="AH11" s="333"/>
      <c r="AI11" s="333"/>
      <c r="AJ11" s="333"/>
      <c r="AK11" s="335"/>
      <c r="AL11" s="333"/>
      <c r="AM11" s="333"/>
      <c r="AN11" s="333"/>
      <c r="AO11" s="333"/>
      <c r="AP11" s="333"/>
      <c r="AQ11" s="335"/>
      <c r="AR11" s="335"/>
      <c r="AS11" s="333"/>
      <c r="AT11" s="333"/>
      <c r="AU11" s="333"/>
      <c r="AV11" s="333"/>
      <c r="AW11" s="333"/>
      <c r="AX11" s="333"/>
      <c r="AY11" s="335"/>
      <c r="AZ11" s="333"/>
      <c r="BA11" s="333"/>
      <c r="BB11" s="333"/>
      <c r="BC11" s="333"/>
      <c r="BD11" s="333"/>
      <c r="BE11" s="335"/>
      <c r="BF11" s="335"/>
      <c r="BG11" s="333"/>
      <c r="BH11" s="333"/>
      <c r="BI11" s="333"/>
      <c r="BJ11" s="333"/>
      <c r="BK11" s="333"/>
      <c r="BL11" s="333"/>
      <c r="BM11" s="335"/>
      <c r="BN11" s="333"/>
      <c r="BO11" s="333"/>
      <c r="BP11" s="333"/>
      <c r="BQ11" s="333"/>
      <c r="BR11" s="333"/>
      <c r="BS11" s="316"/>
      <c r="BT11" s="316"/>
      <c r="BU11" s="314"/>
      <c r="BV11" s="314"/>
    </row>
    <row r="12" s="32" customFormat="1" ht="25" customHeight="1" spans="1:74 14505:16384">
      <c r="A12" s="338"/>
      <c r="B12" s="337" t="s">
        <v>23</v>
      </c>
      <c r="C12" s="333"/>
      <c r="D12" s="333"/>
      <c r="E12" s="333"/>
      <c r="F12" s="333"/>
      <c r="G12" s="333"/>
      <c r="H12" s="333"/>
      <c r="I12" s="334"/>
      <c r="J12" s="333"/>
      <c r="K12" s="333"/>
      <c r="L12" s="333"/>
      <c r="M12" s="333"/>
      <c r="N12" s="333"/>
      <c r="O12" s="335"/>
      <c r="P12" s="335"/>
      <c r="Q12" s="333"/>
      <c r="R12" s="333"/>
      <c r="S12" s="333"/>
      <c r="T12" s="333"/>
      <c r="U12" s="333"/>
      <c r="V12" s="335"/>
      <c r="W12" s="335"/>
      <c r="X12" s="335"/>
      <c r="Y12" s="335"/>
      <c r="Z12" s="335"/>
      <c r="AA12" s="335"/>
      <c r="AB12" s="335"/>
      <c r="AC12" s="335"/>
      <c r="AD12" s="335"/>
      <c r="AE12" s="333"/>
      <c r="AF12" s="333"/>
      <c r="AG12" s="333"/>
      <c r="AH12" s="333"/>
      <c r="AI12" s="333"/>
      <c r="AJ12" s="333"/>
      <c r="AK12" s="335"/>
      <c r="AL12" s="333"/>
      <c r="AM12" s="333"/>
      <c r="AN12" s="333"/>
      <c r="AO12" s="333"/>
      <c r="AP12" s="333"/>
      <c r="AQ12" s="335"/>
      <c r="AR12" s="335"/>
      <c r="AS12" s="333"/>
      <c r="AT12" s="333"/>
      <c r="AU12" s="333"/>
      <c r="AV12" s="333"/>
      <c r="AW12" s="333"/>
      <c r="AX12" s="333"/>
      <c r="AY12" s="335"/>
      <c r="AZ12" s="333"/>
      <c r="BA12" s="333"/>
      <c r="BB12" s="333"/>
      <c r="BC12" s="333"/>
      <c r="BD12" s="333"/>
      <c r="BE12" s="335"/>
      <c r="BF12" s="335"/>
      <c r="BG12" s="333"/>
      <c r="BH12" s="333"/>
      <c r="BI12" s="333"/>
      <c r="BJ12" s="333"/>
      <c r="BK12" s="333"/>
      <c r="BL12" s="333"/>
      <c r="BM12" s="335"/>
      <c r="BN12" s="333"/>
      <c r="BO12" s="333"/>
      <c r="BP12" s="333"/>
      <c r="BQ12" s="333"/>
      <c r="BR12" s="333"/>
      <c r="BS12" s="316"/>
      <c r="BT12" s="316"/>
      <c r="BU12" s="314"/>
      <c r="BV12" s="314"/>
    </row>
    <row r="13" s="32" customFormat="1" ht="25" customHeight="1" spans="1:74 14505:16384">
      <c r="A13" s="338"/>
      <c r="B13" s="337" t="s">
        <v>24</v>
      </c>
      <c r="C13" s="333"/>
      <c r="D13" s="333"/>
      <c r="E13" s="333"/>
      <c r="F13" s="333"/>
      <c r="G13" s="333"/>
      <c r="H13" s="333"/>
      <c r="I13" s="334"/>
      <c r="J13" s="333"/>
      <c r="K13" s="333"/>
      <c r="L13" s="333"/>
      <c r="M13" s="333"/>
      <c r="N13" s="333"/>
      <c r="O13" s="335"/>
      <c r="P13" s="335"/>
      <c r="Q13" s="333"/>
      <c r="R13" s="333"/>
      <c r="S13" s="333"/>
      <c r="T13" s="333"/>
      <c r="U13" s="333"/>
      <c r="V13" s="335"/>
      <c r="W13" s="335"/>
      <c r="X13" s="335"/>
      <c r="Y13" s="335"/>
      <c r="Z13" s="335"/>
      <c r="AA13" s="335"/>
      <c r="AB13" s="335"/>
      <c r="AC13" s="335"/>
      <c r="AD13" s="335"/>
      <c r="AE13" s="333"/>
      <c r="AF13" s="333"/>
      <c r="AG13" s="333"/>
      <c r="AH13" s="333"/>
      <c r="AI13" s="333"/>
      <c r="AJ13" s="333"/>
      <c r="AK13" s="335"/>
      <c r="AL13" s="333"/>
      <c r="AM13" s="333"/>
      <c r="AN13" s="333"/>
      <c r="AO13" s="333"/>
      <c r="AP13" s="333"/>
      <c r="AQ13" s="335"/>
      <c r="AR13" s="335"/>
      <c r="AS13" s="333"/>
      <c r="AT13" s="333"/>
      <c r="AU13" s="333"/>
      <c r="AV13" s="333"/>
      <c r="AW13" s="333"/>
      <c r="AX13" s="333"/>
      <c r="AY13" s="335"/>
      <c r="AZ13" s="333"/>
      <c r="BA13" s="333"/>
      <c r="BB13" s="333"/>
      <c r="BC13" s="333"/>
      <c r="BD13" s="333"/>
      <c r="BE13" s="335"/>
      <c r="BF13" s="335"/>
      <c r="BG13" s="333"/>
      <c r="BH13" s="333"/>
      <c r="BI13" s="333"/>
      <c r="BJ13" s="333"/>
      <c r="BK13" s="333"/>
      <c r="BL13" s="333"/>
      <c r="BM13" s="335"/>
      <c r="BN13" s="333"/>
      <c r="BO13" s="333"/>
      <c r="BP13" s="333"/>
      <c r="BQ13" s="333"/>
      <c r="BR13" s="333"/>
      <c r="BS13" s="316"/>
      <c r="BT13" s="316"/>
      <c r="BU13" s="314"/>
      <c r="BV13" s="314"/>
    </row>
    <row r="14" s="32" customFormat="1" ht="25" customHeight="1" spans="1:74 14505:16384">
      <c r="A14" s="338"/>
      <c r="B14" s="337" t="s">
        <v>25</v>
      </c>
      <c r="C14" s="333"/>
      <c r="D14" s="333"/>
      <c r="E14" s="333"/>
      <c r="F14" s="333"/>
      <c r="G14" s="333"/>
      <c r="H14" s="333"/>
      <c r="I14" s="334"/>
      <c r="J14" s="333"/>
      <c r="K14" s="333"/>
      <c r="L14" s="333"/>
      <c r="M14" s="333"/>
      <c r="N14" s="333"/>
      <c r="O14" s="335"/>
      <c r="P14" s="335"/>
      <c r="Q14" s="333"/>
      <c r="R14" s="333"/>
      <c r="S14" s="333"/>
      <c r="T14" s="333"/>
      <c r="U14" s="333"/>
      <c r="V14" s="335"/>
      <c r="W14" s="335"/>
      <c r="X14" s="335"/>
      <c r="Y14" s="335"/>
      <c r="Z14" s="335"/>
      <c r="AA14" s="335"/>
      <c r="AB14" s="335"/>
      <c r="AC14" s="335"/>
      <c r="AD14" s="335"/>
      <c r="AE14" s="333"/>
      <c r="AF14" s="333"/>
      <c r="AG14" s="333"/>
      <c r="AH14" s="333"/>
      <c r="AI14" s="333"/>
      <c r="AJ14" s="333"/>
      <c r="AK14" s="335"/>
      <c r="AL14" s="333"/>
      <c r="AM14" s="333"/>
      <c r="AN14" s="333"/>
      <c r="AO14" s="333"/>
      <c r="AP14" s="333"/>
      <c r="AQ14" s="335"/>
      <c r="AR14" s="335"/>
      <c r="AS14" s="333"/>
      <c r="AT14" s="333"/>
      <c r="AU14" s="333"/>
      <c r="AV14" s="333"/>
      <c r="AW14" s="333"/>
      <c r="AX14" s="333"/>
      <c r="AY14" s="335"/>
      <c r="AZ14" s="333"/>
      <c r="BA14" s="333"/>
      <c r="BB14" s="333"/>
      <c r="BC14" s="333"/>
      <c r="BD14" s="333"/>
      <c r="BE14" s="335"/>
      <c r="BF14" s="335"/>
      <c r="BG14" s="333"/>
      <c r="BH14" s="333"/>
      <c r="BI14" s="333"/>
      <c r="BJ14" s="333"/>
      <c r="BK14" s="333"/>
      <c r="BL14" s="333"/>
      <c r="BM14" s="335"/>
      <c r="BN14" s="333"/>
      <c r="BO14" s="333"/>
      <c r="BP14" s="333"/>
      <c r="BQ14" s="333"/>
      <c r="BR14" s="333"/>
      <c r="BS14" s="316"/>
      <c r="BT14" s="316"/>
      <c r="BU14" s="314"/>
      <c r="BV14" s="314"/>
    </row>
    <row r="15" s="32" customFormat="1" ht="25" customHeight="1" spans="1:74 14505:16384">
      <c r="A15" s="338"/>
      <c r="B15" s="337" t="s">
        <v>24</v>
      </c>
      <c r="C15" s="333"/>
      <c r="D15" s="333"/>
      <c r="E15" s="333"/>
      <c r="F15" s="333"/>
      <c r="G15" s="333"/>
      <c r="H15" s="333"/>
      <c r="I15" s="334"/>
      <c r="J15" s="333"/>
      <c r="K15" s="333"/>
      <c r="L15" s="333"/>
      <c r="M15" s="333"/>
      <c r="N15" s="333"/>
      <c r="O15" s="335"/>
      <c r="P15" s="335"/>
      <c r="Q15" s="333"/>
      <c r="R15" s="333"/>
      <c r="S15" s="333"/>
      <c r="T15" s="333"/>
      <c r="U15" s="333"/>
      <c r="V15" s="335"/>
      <c r="W15" s="335"/>
      <c r="X15" s="335"/>
      <c r="Y15" s="335"/>
      <c r="Z15" s="335"/>
      <c r="AA15" s="335"/>
      <c r="AB15" s="335"/>
      <c r="AC15" s="335"/>
      <c r="AD15" s="335"/>
      <c r="AE15" s="333"/>
      <c r="AF15" s="333"/>
      <c r="AG15" s="333"/>
      <c r="AH15" s="333"/>
      <c r="AI15" s="333"/>
      <c r="AJ15" s="333"/>
      <c r="AK15" s="335"/>
      <c r="AL15" s="333"/>
      <c r="AM15" s="333"/>
      <c r="AN15" s="333"/>
      <c r="AO15" s="333"/>
      <c r="AP15" s="333"/>
      <c r="AQ15" s="335"/>
      <c r="AR15" s="335"/>
      <c r="AS15" s="333"/>
      <c r="AT15" s="333"/>
      <c r="AU15" s="333"/>
      <c r="AV15" s="333"/>
      <c r="AW15" s="333"/>
      <c r="AX15" s="333"/>
      <c r="AY15" s="335"/>
      <c r="AZ15" s="333"/>
      <c r="BA15" s="333"/>
      <c r="BB15" s="333"/>
      <c r="BC15" s="333"/>
      <c r="BD15" s="333"/>
      <c r="BE15" s="335"/>
      <c r="BF15" s="335"/>
      <c r="BG15" s="333"/>
      <c r="BH15" s="333"/>
      <c r="BI15" s="333"/>
      <c r="BJ15" s="333"/>
      <c r="BK15" s="333"/>
      <c r="BL15" s="333"/>
      <c r="BM15" s="335"/>
      <c r="BN15" s="333"/>
      <c r="BO15" s="333"/>
      <c r="BP15" s="333"/>
      <c r="BQ15" s="333"/>
      <c r="BR15" s="333"/>
      <c r="BS15" s="316"/>
      <c r="BT15" s="316"/>
      <c r="BU15" s="314"/>
      <c r="BV15" s="314"/>
    </row>
    <row r="16" s="32" customFormat="1" ht="25" customHeight="1" spans="1:74 14505:16384">
      <c r="A16" s="338"/>
      <c r="B16" s="337" t="s">
        <v>26</v>
      </c>
      <c r="C16" s="333"/>
      <c r="D16" s="333"/>
      <c r="E16" s="333"/>
      <c r="F16" s="333"/>
      <c r="G16" s="333"/>
      <c r="H16" s="339"/>
      <c r="I16" s="334"/>
      <c r="J16" s="333"/>
      <c r="K16" s="333"/>
      <c r="L16" s="333"/>
      <c r="M16" s="333"/>
      <c r="N16" s="333"/>
      <c r="O16" s="335"/>
      <c r="P16" s="335"/>
      <c r="Q16" s="333"/>
      <c r="R16" s="333"/>
      <c r="S16" s="333"/>
      <c r="T16" s="333"/>
      <c r="U16" s="333"/>
      <c r="V16" s="335"/>
      <c r="W16" s="335"/>
      <c r="X16" s="335"/>
      <c r="Y16" s="335"/>
      <c r="Z16" s="335"/>
      <c r="AA16" s="335"/>
      <c r="AB16" s="335"/>
      <c r="AC16" s="335"/>
      <c r="AD16" s="335"/>
      <c r="AE16" s="333"/>
      <c r="AF16" s="333"/>
      <c r="AG16" s="333"/>
      <c r="AH16" s="333"/>
      <c r="AI16" s="333"/>
      <c r="AJ16" s="333"/>
      <c r="AK16" s="335"/>
      <c r="AL16" s="333"/>
      <c r="AM16" s="333"/>
      <c r="AN16" s="333"/>
      <c r="AO16" s="333"/>
      <c r="AP16" s="333"/>
      <c r="AQ16" s="335"/>
      <c r="AR16" s="335"/>
      <c r="AS16" s="333"/>
      <c r="AT16" s="333"/>
      <c r="AU16" s="333"/>
      <c r="AV16" s="333"/>
      <c r="AW16" s="333"/>
      <c r="AX16" s="333"/>
      <c r="AY16" s="335"/>
      <c r="AZ16" s="333"/>
      <c r="BA16" s="333"/>
      <c r="BB16" s="333"/>
      <c r="BC16" s="333"/>
      <c r="BD16" s="333"/>
      <c r="BE16" s="335"/>
      <c r="BF16" s="335"/>
      <c r="BG16" s="333"/>
      <c r="BH16" s="333"/>
      <c r="BI16" s="333"/>
      <c r="BJ16" s="333"/>
      <c r="BK16" s="333"/>
      <c r="BL16" s="333"/>
      <c r="BM16" s="335"/>
      <c r="BN16" s="333"/>
      <c r="BO16" s="333"/>
      <c r="BP16" s="333"/>
      <c r="BQ16" s="333"/>
      <c r="BR16" s="333"/>
      <c r="BS16" s="316"/>
      <c r="BT16" s="316"/>
      <c r="BU16" s="314"/>
      <c r="BV16" s="314"/>
    </row>
    <row r="17" s="32" customFormat="1" ht="25" customHeight="1" spans="1:74">
      <c r="A17" s="338"/>
      <c r="B17" s="340" t="s">
        <v>27</v>
      </c>
      <c r="C17" s="333"/>
      <c r="D17" s="333"/>
      <c r="E17" s="333"/>
      <c r="F17" s="333"/>
      <c r="G17" s="333"/>
      <c r="H17" s="339"/>
      <c r="I17" s="334"/>
      <c r="J17" s="333"/>
      <c r="K17" s="333"/>
      <c r="L17" s="333"/>
      <c r="M17" s="333"/>
      <c r="N17" s="333"/>
      <c r="O17" s="335"/>
      <c r="P17" s="335"/>
      <c r="Q17" s="333"/>
      <c r="R17" s="333"/>
      <c r="S17" s="333"/>
      <c r="T17" s="333"/>
      <c r="U17" s="333"/>
      <c r="V17" s="335"/>
      <c r="W17" s="335"/>
      <c r="X17" s="335"/>
      <c r="Y17" s="335"/>
      <c r="Z17" s="335"/>
      <c r="AA17" s="335"/>
      <c r="AB17" s="335"/>
      <c r="AC17" s="335"/>
      <c r="AD17" s="335"/>
      <c r="AE17" s="333"/>
      <c r="AF17" s="333"/>
      <c r="AG17" s="333"/>
      <c r="AH17" s="333"/>
      <c r="AI17" s="333"/>
      <c r="AJ17" s="333"/>
      <c r="AK17" s="335"/>
      <c r="AL17" s="333"/>
      <c r="AM17" s="333"/>
      <c r="AN17" s="333"/>
      <c r="AO17" s="333"/>
      <c r="AP17" s="333"/>
      <c r="AQ17" s="335"/>
      <c r="AR17" s="335"/>
      <c r="AS17" s="333"/>
      <c r="AT17" s="333"/>
      <c r="AU17" s="333"/>
      <c r="AV17" s="333"/>
      <c r="AW17" s="333"/>
      <c r="AX17" s="333"/>
      <c r="AY17" s="335"/>
      <c r="AZ17" s="333"/>
      <c r="BA17" s="333"/>
      <c r="BB17" s="333"/>
      <c r="BC17" s="333"/>
      <c r="BD17" s="333"/>
      <c r="BE17" s="335"/>
      <c r="BF17" s="335"/>
      <c r="BG17" s="333"/>
      <c r="BH17" s="333"/>
      <c r="BI17" s="333"/>
      <c r="BJ17" s="333"/>
      <c r="BK17" s="333"/>
      <c r="BL17" s="333"/>
      <c r="BM17" s="335"/>
      <c r="BN17" s="333"/>
      <c r="BO17" s="333"/>
      <c r="BP17" s="333"/>
      <c r="BQ17" s="333"/>
      <c r="BR17" s="333"/>
      <c r="BS17" s="316"/>
      <c r="BT17" s="316"/>
      <c r="BU17" s="314"/>
      <c r="BV17" s="314"/>
    </row>
    <row r="18" s="32" customFormat="1" ht="25" customHeight="1" spans="1:74">
      <c r="A18" s="338"/>
      <c r="B18" s="337" t="s">
        <v>28</v>
      </c>
      <c r="C18" s="333"/>
      <c r="D18" s="333"/>
      <c r="E18" s="333"/>
      <c r="F18" s="333"/>
      <c r="G18" s="333"/>
      <c r="H18" s="341"/>
      <c r="I18" s="334"/>
      <c r="O18" s="334"/>
      <c r="P18" s="334"/>
      <c r="V18" s="334"/>
      <c r="W18" s="334"/>
      <c r="X18" s="334"/>
      <c r="Y18" s="334"/>
      <c r="Z18" s="334"/>
      <c r="AA18" s="334"/>
      <c r="AB18" s="334"/>
      <c r="AC18" s="342"/>
      <c r="AD18" s="342"/>
      <c r="AK18" s="334"/>
      <c r="AP18" s="333"/>
      <c r="AQ18" s="335"/>
      <c r="AR18" s="335"/>
      <c r="AS18" s="333"/>
      <c r="AT18" s="333"/>
      <c r="AU18" s="333"/>
      <c r="AV18" s="333"/>
      <c r="AW18" s="333"/>
      <c r="AX18" s="333"/>
      <c r="AY18" s="335"/>
      <c r="AZ18" s="333"/>
      <c r="BA18" s="333"/>
      <c r="BB18" s="333"/>
      <c r="BC18" s="333"/>
      <c r="BD18" s="333"/>
      <c r="BE18" s="335"/>
      <c r="BF18" s="335"/>
      <c r="BG18" s="333"/>
      <c r="BH18" s="333"/>
      <c r="BI18" s="333"/>
      <c r="BJ18" s="333"/>
      <c r="BK18" s="333"/>
      <c r="BL18" s="333"/>
      <c r="BM18" s="335"/>
      <c r="BN18" s="333"/>
      <c r="BO18" s="333"/>
      <c r="BP18" s="333"/>
      <c r="BQ18" s="333"/>
      <c r="BR18" s="333"/>
      <c r="BS18" s="316"/>
      <c r="BT18" s="316"/>
      <c r="BU18" s="314"/>
      <c r="BV18" s="314"/>
    </row>
    <row r="19" s="32" customFormat="1" ht="25" customHeight="1" spans="1:74">
      <c r="A19" s="338"/>
      <c r="B19" s="337" t="s">
        <v>29</v>
      </c>
      <c r="C19" s="333"/>
      <c r="D19" s="333"/>
      <c r="E19" s="333"/>
      <c r="F19" s="333"/>
      <c r="G19" s="333"/>
      <c r="H19" s="339"/>
      <c r="I19" s="334"/>
      <c r="J19" s="339"/>
      <c r="K19" s="339"/>
      <c r="L19" s="339"/>
      <c r="M19" s="339"/>
      <c r="N19" s="339"/>
      <c r="O19" s="335"/>
      <c r="P19" s="335"/>
      <c r="Q19" s="333"/>
      <c r="R19" s="333"/>
      <c r="S19" s="333"/>
      <c r="T19" s="333"/>
      <c r="U19" s="333"/>
      <c r="V19" s="335"/>
      <c r="W19" s="335"/>
      <c r="X19" s="335"/>
      <c r="Y19" s="335"/>
      <c r="Z19" s="335"/>
      <c r="AA19" s="335"/>
      <c r="AB19" s="335"/>
      <c r="AC19" s="335"/>
      <c r="AD19" s="335"/>
      <c r="AE19" s="333"/>
      <c r="AF19" s="333"/>
      <c r="AG19" s="333"/>
      <c r="AH19" s="333"/>
      <c r="AI19" s="339"/>
      <c r="AJ19" s="339"/>
      <c r="AK19" s="335"/>
      <c r="AL19" s="339"/>
      <c r="AM19" s="339"/>
      <c r="AN19" s="339"/>
      <c r="AO19" s="339"/>
      <c r="AP19" s="333"/>
      <c r="AQ19" s="335"/>
      <c r="AR19" s="335"/>
      <c r="AS19" s="333"/>
      <c r="AT19" s="333"/>
      <c r="AU19" s="333"/>
      <c r="AV19" s="333"/>
      <c r="AW19" s="333"/>
      <c r="AX19" s="333"/>
      <c r="AY19" s="335"/>
      <c r="AZ19" s="333"/>
      <c r="BA19" s="333"/>
      <c r="BB19" s="333"/>
      <c r="BC19" s="333"/>
      <c r="BD19" s="333"/>
      <c r="BE19" s="335"/>
      <c r="BF19" s="335"/>
      <c r="BG19" s="333"/>
      <c r="BH19" s="333"/>
      <c r="BI19" s="333"/>
      <c r="BJ19" s="333"/>
      <c r="BK19" s="333"/>
      <c r="BL19" s="333"/>
      <c r="BM19" s="335"/>
      <c r="BN19" s="333"/>
      <c r="BO19" s="333"/>
      <c r="BP19" s="333"/>
      <c r="BQ19" s="333"/>
      <c r="BR19" s="333"/>
      <c r="BS19" s="316"/>
      <c r="BT19" s="316"/>
      <c r="BU19" s="314"/>
      <c r="BV19" s="314"/>
    </row>
    <row r="20" s="32" customFormat="1" ht="25" customHeight="1" spans="1:74">
      <c r="A20" s="338"/>
      <c r="B20" s="340" t="s">
        <v>30</v>
      </c>
      <c r="C20" s="333"/>
      <c r="D20" s="333"/>
      <c r="E20" s="333"/>
      <c r="F20" s="333"/>
      <c r="G20" s="333"/>
      <c r="H20" s="343"/>
      <c r="I20" s="334"/>
      <c r="J20" s="333"/>
      <c r="K20" s="333"/>
      <c r="L20" s="333"/>
      <c r="M20" s="333"/>
      <c r="N20" s="333"/>
      <c r="O20" s="335"/>
      <c r="P20" s="335"/>
      <c r="Q20" s="333"/>
      <c r="R20" s="333"/>
      <c r="S20" s="333"/>
      <c r="T20" s="333"/>
      <c r="U20" s="333"/>
      <c r="V20" s="335"/>
      <c r="W20" s="335"/>
      <c r="X20" s="335"/>
      <c r="Y20" s="335"/>
      <c r="Z20" s="335"/>
      <c r="AA20" s="335"/>
      <c r="AB20" s="335"/>
      <c r="AC20" s="335"/>
      <c r="AD20" s="335"/>
      <c r="AE20" s="333"/>
      <c r="AF20" s="333"/>
      <c r="AG20" s="333"/>
      <c r="AH20" s="333"/>
      <c r="AI20" s="333"/>
      <c r="AJ20" s="333"/>
      <c r="AK20" s="335"/>
      <c r="AL20" s="333"/>
      <c r="AM20" s="333"/>
      <c r="AN20" s="333"/>
      <c r="AO20" s="333"/>
      <c r="AP20" s="333"/>
      <c r="AQ20" s="335"/>
      <c r="AR20" s="335"/>
      <c r="AS20" s="333"/>
      <c r="AT20" s="333"/>
      <c r="AU20" s="333"/>
      <c r="AV20" s="333"/>
      <c r="AW20" s="333"/>
      <c r="AX20" s="333"/>
      <c r="AY20" s="335"/>
      <c r="AZ20" s="333"/>
      <c r="BA20" s="333"/>
      <c r="BB20" s="333"/>
      <c r="BC20" s="333"/>
      <c r="BD20" s="333"/>
      <c r="BE20" s="335"/>
      <c r="BF20" s="335"/>
      <c r="BG20" s="333"/>
      <c r="BH20" s="333"/>
      <c r="BI20" s="333"/>
      <c r="BJ20" s="333"/>
      <c r="BK20" s="333"/>
      <c r="BL20" s="333"/>
      <c r="BM20" s="335"/>
      <c r="BN20" s="333"/>
      <c r="BO20" s="333"/>
      <c r="BP20" s="333"/>
      <c r="BQ20" s="333"/>
      <c r="BR20" s="333"/>
      <c r="BS20" s="316"/>
      <c r="BT20" s="316"/>
      <c r="BU20" s="314"/>
      <c r="BV20" s="314"/>
    </row>
    <row r="21" s="32" customFormat="1" ht="25" customHeight="1" spans="1:74">
      <c r="A21" s="338"/>
      <c r="B21" s="344" t="s">
        <v>31</v>
      </c>
      <c r="C21" s="333"/>
      <c r="D21" s="333"/>
      <c r="E21" s="333"/>
      <c r="F21" s="333"/>
      <c r="G21" s="333"/>
      <c r="H21" s="333"/>
      <c r="I21" s="334"/>
      <c r="J21" s="333"/>
      <c r="K21" s="343"/>
      <c r="L21" s="343"/>
      <c r="M21" s="333"/>
      <c r="N21" s="333"/>
      <c r="O21" s="335"/>
      <c r="P21" s="335"/>
      <c r="Q21" s="333"/>
      <c r="R21" s="333"/>
      <c r="S21" s="333"/>
      <c r="T21" s="333"/>
      <c r="U21" s="333"/>
      <c r="V21" s="335"/>
      <c r="W21" s="335"/>
      <c r="X21" s="335"/>
      <c r="Y21" s="335"/>
      <c r="Z21" s="335"/>
      <c r="AA21" s="335"/>
      <c r="AB21" s="335"/>
      <c r="AC21" s="335"/>
      <c r="AD21" s="335"/>
      <c r="AE21" s="333"/>
      <c r="AF21" s="333"/>
      <c r="AG21" s="333"/>
      <c r="AH21" s="333"/>
      <c r="AI21" s="333"/>
      <c r="AJ21" s="333"/>
      <c r="AK21" s="335"/>
      <c r="AL21" s="333"/>
      <c r="AM21" s="333"/>
      <c r="AN21" s="333"/>
      <c r="AO21" s="333"/>
      <c r="AP21" s="333"/>
      <c r="AQ21" s="335"/>
      <c r="AR21" s="335"/>
      <c r="AS21" s="333"/>
      <c r="AT21" s="333"/>
      <c r="AU21" s="333"/>
      <c r="AV21" s="333"/>
      <c r="AW21" s="333"/>
      <c r="AX21" s="333"/>
      <c r="AY21" s="335"/>
      <c r="AZ21" s="333"/>
      <c r="BA21" s="333"/>
      <c r="BB21" s="333"/>
      <c r="BC21" s="333"/>
      <c r="BD21" s="333"/>
      <c r="BE21" s="335"/>
      <c r="BF21" s="335"/>
      <c r="BG21" s="333"/>
      <c r="BH21" s="333"/>
      <c r="BI21" s="333"/>
      <c r="BJ21" s="333"/>
      <c r="BK21" s="333"/>
      <c r="BL21" s="333"/>
      <c r="BM21" s="335"/>
      <c r="BN21" s="333"/>
      <c r="BO21" s="333"/>
      <c r="BP21" s="333"/>
      <c r="BQ21" s="333"/>
      <c r="BR21" s="333"/>
      <c r="BS21" s="316"/>
      <c r="BT21" s="316"/>
      <c r="BU21" s="314"/>
      <c r="BV21" s="314"/>
    </row>
    <row r="22" s="32" customFormat="1" ht="25" customHeight="1" spans="1:74">
      <c r="A22" s="338"/>
      <c r="B22" s="340" t="s">
        <v>32</v>
      </c>
      <c r="C22" s="333"/>
      <c r="D22" s="333"/>
      <c r="E22" s="333"/>
      <c r="F22" s="333"/>
      <c r="G22" s="333"/>
      <c r="H22" s="333"/>
      <c r="I22" s="334"/>
      <c r="J22" s="333"/>
      <c r="K22" s="333"/>
      <c r="L22" s="333"/>
      <c r="M22" s="333"/>
      <c r="N22" s="333"/>
      <c r="O22" s="335"/>
      <c r="P22" s="335"/>
      <c r="Q22" s="333"/>
      <c r="R22" s="333"/>
      <c r="S22" s="333"/>
      <c r="T22" s="333"/>
      <c r="U22" s="333"/>
      <c r="V22" s="335"/>
      <c r="W22" s="335"/>
      <c r="X22" s="335"/>
      <c r="Y22" s="335"/>
      <c r="Z22" s="335"/>
      <c r="AA22" s="335"/>
      <c r="AB22" s="335"/>
      <c r="AC22" s="335"/>
      <c r="AD22" s="335"/>
      <c r="AE22" s="333"/>
      <c r="AF22" s="333"/>
      <c r="AG22" s="333"/>
      <c r="AH22" s="333"/>
      <c r="AI22" s="343"/>
      <c r="AJ22" s="333"/>
      <c r="AK22" s="335"/>
      <c r="AL22" s="333"/>
      <c r="AM22" s="333"/>
      <c r="AN22" s="333"/>
      <c r="AO22" s="333"/>
      <c r="AP22" s="333"/>
      <c r="AQ22" s="335"/>
      <c r="AR22" s="335"/>
      <c r="AS22" s="333"/>
      <c r="AT22" s="333"/>
      <c r="AU22" s="333"/>
      <c r="AV22" s="333"/>
      <c r="AW22" s="333"/>
      <c r="AX22" s="333"/>
      <c r="AY22" s="335"/>
      <c r="AZ22" s="333"/>
      <c r="BA22" s="333"/>
      <c r="BB22" s="333"/>
      <c r="BC22" s="333"/>
      <c r="BD22" s="333"/>
      <c r="BE22" s="335"/>
      <c r="BF22" s="335"/>
      <c r="BG22" s="333"/>
      <c r="BH22" s="333"/>
      <c r="BI22" s="333"/>
      <c r="BJ22" s="333"/>
      <c r="BK22" s="333"/>
      <c r="BL22" s="333"/>
      <c r="BM22" s="335"/>
      <c r="BN22" s="333"/>
      <c r="BO22" s="333"/>
      <c r="BP22" s="333"/>
      <c r="BQ22" s="333"/>
      <c r="BR22" s="333"/>
      <c r="BS22" s="316"/>
      <c r="BT22" s="316"/>
      <c r="BU22" s="314"/>
      <c r="BV22" s="314"/>
    </row>
    <row r="23" s="32" customFormat="1" ht="25" customHeight="1" spans="1:74">
      <c r="A23" s="338"/>
      <c r="B23" s="337" t="s">
        <v>33</v>
      </c>
      <c r="C23" s="333"/>
      <c r="D23" s="333"/>
      <c r="E23" s="333"/>
      <c r="F23" s="333"/>
      <c r="G23" s="333"/>
      <c r="H23" s="333"/>
      <c r="I23" s="334"/>
      <c r="J23" s="333"/>
      <c r="K23" s="333"/>
      <c r="L23" s="333"/>
      <c r="M23" s="333"/>
      <c r="N23" s="333"/>
      <c r="O23" s="335"/>
      <c r="P23" s="335"/>
      <c r="Q23" s="333"/>
      <c r="R23" s="333"/>
      <c r="S23" s="333"/>
      <c r="T23" s="333"/>
      <c r="U23" s="333"/>
      <c r="V23" s="335"/>
      <c r="W23" s="335"/>
      <c r="X23" s="335"/>
      <c r="Y23" s="335"/>
      <c r="Z23" s="335"/>
      <c r="AA23" s="335"/>
      <c r="AB23" s="335"/>
      <c r="AC23" s="335"/>
      <c r="AD23" s="335"/>
      <c r="AE23" s="333"/>
      <c r="AF23" s="333"/>
      <c r="AG23" s="333"/>
      <c r="AH23" s="333"/>
      <c r="AI23" s="333"/>
      <c r="AJ23" s="333"/>
      <c r="AK23" s="335"/>
      <c r="AL23" s="333"/>
      <c r="AM23" s="333"/>
      <c r="AN23" s="333"/>
      <c r="AO23" s="333"/>
      <c r="AP23" s="376" t="s">
        <v>34</v>
      </c>
      <c r="AQ23" s="377" t="s">
        <v>34</v>
      </c>
      <c r="AR23" s="377" t="s">
        <v>34</v>
      </c>
      <c r="AS23" s="376" t="s">
        <v>34</v>
      </c>
      <c r="AT23" s="376" t="s">
        <v>34</v>
      </c>
      <c r="AU23" s="376" t="s">
        <v>34</v>
      </c>
      <c r="AV23" s="333"/>
      <c r="AW23" s="333"/>
      <c r="AX23" s="333"/>
      <c r="AY23" s="335"/>
      <c r="AZ23" s="333"/>
      <c r="BA23" s="333"/>
      <c r="BB23" s="333"/>
      <c r="BC23" s="333"/>
      <c r="BD23" s="333"/>
      <c r="BE23" s="335"/>
      <c r="BF23" s="335"/>
      <c r="BG23" s="333"/>
      <c r="BH23" s="333"/>
      <c r="BI23" s="333"/>
      <c r="BJ23" s="333"/>
      <c r="BK23" s="333"/>
      <c r="BL23" s="333"/>
      <c r="BM23" s="335"/>
      <c r="BN23" s="333"/>
      <c r="BO23" s="333"/>
      <c r="BP23" s="333"/>
      <c r="BQ23" s="333"/>
      <c r="BR23" s="333"/>
      <c r="BS23" s="316"/>
      <c r="BT23" s="316"/>
      <c r="BU23" s="314"/>
      <c r="BV23" s="314"/>
    </row>
    <row r="24" s="32" customFormat="1" ht="25" customHeight="1" spans="1:74">
      <c r="A24" s="338"/>
      <c r="B24" s="337" t="s">
        <v>35</v>
      </c>
      <c r="C24" s="333"/>
      <c r="D24" s="333"/>
      <c r="E24" s="333"/>
      <c r="F24" s="333"/>
      <c r="G24" s="333"/>
      <c r="H24" s="333"/>
      <c r="I24" s="334"/>
      <c r="J24" s="333"/>
      <c r="K24" s="333"/>
      <c r="L24" s="333"/>
      <c r="M24" s="333"/>
      <c r="N24" s="333"/>
      <c r="O24" s="335"/>
      <c r="P24" s="335"/>
      <c r="Q24" s="333"/>
      <c r="R24" s="333"/>
      <c r="S24" s="333"/>
      <c r="T24" s="333"/>
      <c r="U24" s="333"/>
      <c r="V24" s="335"/>
      <c r="W24" s="335"/>
      <c r="X24" s="335"/>
      <c r="Y24" s="335"/>
      <c r="Z24" s="335"/>
      <c r="AA24" s="335"/>
      <c r="AB24" s="335"/>
      <c r="AC24" s="335"/>
      <c r="AD24" s="335"/>
      <c r="AE24" s="333"/>
      <c r="AF24" s="333"/>
      <c r="AG24" s="333"/>
      <c r="AH24" s="333"/>
      <c r="AI24" s="333"/>
      <c r="AJ24" s="333"/>
      <c r="AK24" s="335"/>
      <c r="AL24" s="333"/>
      <c r="AM24" s="333"/>
      <c r="AN24" s="333"/>
      <c r="AO24" s="333"/>
      <c r="AP24" s="333"/>
      <c r="AQ24" s="335"/>
      <c r="AR24" s="377" t="s">
        <v>36</v>
      </c>
      <c r="AS24" s="333"/>
      <c r="AT24" s="376" t="s">
        <v>36</v>
      </c>
      <c r="AU24" s="333"/>
      <c r="AV24" s="376" t="s">
        <v>36</v>
      </c>
      <c r="AW24" s="333"/>
      <c r="AX24" s="333"/>
      <c r="AY24" s="335"/>
      <c r="AZ24" s="333"/>
      <c r="BA24" s="333"/>
      <c r="BB24" s="333"/>
      <c r="BC24" s="333"/>
      <c r="BD24" s="333"/>
      <c r="BE24" s="335"/>
      <c r="BF24" s="335"/>
      <c r="BG24" s="333"/>
      <c r="BH24" s="333"/>
      <c r="BI24" s="333"/>
      <c r="BJ24" s="333"/>
      <c r="BK24" s="333"/>
      <c r="BL24" s="333"/>
      <c r="BM24" s="335"/>
      <c r="BN24" s="333"/>
      <c r="BO24" s="333"/>
      <c r="BP24" s="333"/>
      <c r="BQ24" s="333"/>
      <c r="BR24" s="333"/>
      <c r="BS24" s="316"/>
      <c r="BT24" s="316"/>
      <c r="BU24" s="314"/>
      <c r="BV24" s="314"/>
    </row>
    <row r="25" s="32" customFormat="1" ht="25" customHeight="1" spans="1:74">
      <c r="A25" s="338"/>
      <c r="B25" s="337" t="s">
        <v>37</v>
      </c>
      <c r="C25" s="333"/>
      <c r="D25" s="333"/>
      <c r="E25" s="333"/>
      <c r="F25" s="333"/>
      <c r="G25" s="333"/>
      <c r="H25" s="333"/>
      <c r="I25" s="334"/>
      <c r="J25" s="333"/>
      <c r="K25" s="333"/>
      <c r="L25" s="333"/>
      <c r="M25" s="333"/>
      <c r="N25" s="333"/>
      <c r="O25" s="335"/>
      <c r="P25" s="335"/>
      <c r="Q25" s="333"/>
      <c r="R25" s="333"/>
      <c r="S25" s="333"/>
      <c r="T25" s="333"/>
      <c r="U25" s="333"/>
      <c r="V25" s="335"/>
      <c r="W25" s="335"/>
      <c r="X25" s="335"/>
      <c r="Y25" s="335"/>
      <c r="Z25" s="335"/>
      <c r="AA25" s="335"/>
      <c r="AB25" s="335"/>
      <c r="AC25" s="335"/>
      <c r="AD25" s="335"/>
      <c r="AE25" s="333"/>
      <c r="AF25" s="333"/>
      <c r="AG25" s="333"/>
      <c r="AH25" s="333"/>
      <c r="AI25" s="333"/>
      <c r="AJ25" s="333"/>
      <c r="AK25" s="335"/>
      <c r="AL25" s="333"/>
      <c r="AM25" s="333"/>
      <c r="AN25" s="333"/>
      <c r="AO25" s="333"/>
      <c r="AP25" s="333"/>
      <c r="AQ25" s="335"/>
      <c r="AR25" s="335"/>
      <c r="AS25" s="333"/>
      <c r="AT25" s="333"/>
      <c r="AU25" s="333"/>
      <c r="AV25" s="333"/>
      <c r="AW25" s="333"/>
      <c r="AX25" s="333"/>
      <c r="AY25" s="335"/>
      <c r="AZ25" s="339" t="s">
        <v>38</v>
      </c>
      <c r="BA25" s="333"/>
      <c r="BB25" s="337" t="s">
        <v>39</v>
      </c>
      <c r="BC25" s="333"/>
      <c r="BD25" s="333"/>
      <c r="BE25" s="335"/>
      <c r="BF25" s="335"/>
      <c r="BG25" s="337" t="s">
        <v>40</v>
      </c>
      <c r="BH25" s="333"/>
      <c r="BI25" s="333"/>
      <c r="BJ25" s="333"/>
      <c r="BK25" s="337" t="s">
        <v>41</v>
      </c>
      <c r="BL25" s="333"/>
      <c r="BM25" s="335"/>
      <c r="BN25" s="333"/>
      <c r="BO25" s="333"/>
      <c r="BP25" s="333"/>
      <c r="BQ25" s="333"/>
      <c r="BR25" s="333"/>
      <c r="BS25" s="316"/>
      <c r="BT25" s="316"/>
      <c r="BU25" s="314"/>
      <c r="BV25" s="314"/>
    </row>
    <row r="26" s="32" customFormat="1" ht="25" customHeight="1" spans="1:74">
      <c r="A26" s="338"/>
      <c r="B26" s="337" t="s">
        <v>42</v>
      </c>
      <c r="C26" s="333"/>
      <c r="D26" s="333"/>
      <c r="E26" s="333"/>
      <c r="F26" s="333"/>
      <c r="G26" s="333"/>
      <c r="H26" s="333"/>
      <c r="I26" s="334"/>
      <c r="J26" s="333"/>
      <c r="K26" s="333"/>
      <c r="L26" s="333"/>
      <c r="M26" s="333"/>
      <c r="N26" s="333"/>
      <c r="O26" s="335"/>
      <c r="P26" s="335"/>
      <c r="Q26" s="333"/>
      <c r="R26" s="333"/>
      <c r="S26" s="333"/>
      <c r="T26" s="333"/>
      <c r="U26" s="333"/>
      <c r="V26" s="335"/>
      <c r="W26" s="335"/>
      <c r="X26" s="335"/>
      <c r="Y26" s="335"/>
      <c r="Z26" s="335"/>
      <c r="AA26" s="335"/>
      <c r="AB26" s="335"/>
      <c r="AC26" s="335"/>
      <c r="AD26" s="335"/>
      <c r="AE26" s="333"/>
      <c r="AF26" s="333"/>
      <c r="AG26" s="333"/>
      <c r="AH26" s="333"/>
      <c r="AI26" s="333"/>
      <c r="AJ26" s="333"/>
      <c r="AK26" s="335"/>
      <c r="AL26" s="333"/>
      <c r="AM26" s="333"/>
      <c r="AN26" s="333"/>
      <c r="AO26" s="333"/>
      <c r="AP26" s="333"/>
      <c r="AQ26" s="335"/>
      <c r="AR26" s="335"/>
      <c r="AS26" s="333"/>
      <c r="AT26" s="333"/>
      <c r="AU26" s="333"/>
      <c r="AV26" s="333"/>
      <c r="AW26" s="333"/>
      <c r="AX26" s="333"/>
      <c r="AY26" s="335"/>
      <c r="AZ26" s="333"/>
      <c r="BA26" s="333"/>
      <c r="BB26" s="333"/>
      <c r="BC26" s="333"/>
      <c r="BD26" s="333"/>
      <c r="BE26" s="335"/>
      <c r="BF26" s="335"/>
      <c r="BG26" s="333"/>
      <c r="BH26" s="333"/>
      <c r="BI26" s="333"/>
      <c r="BJ26" s="337" t="s">
        <v>38</v>
      </c>
      <c r="BK26" s="337" t="s">
        <v>40</v>
      </c>
      <c r="BL26" s="337" t="s">
        <v>39</v>
      </c>
      <c r="BM26" s="335"/>
      <c r="BN26" s="314"/>
      <c r="BO26" s="337" t="s">
        <v>40</v>
      </c>
      <c r="BP26" s="333"/>
      <c r="BQ26" s="333"/>
      <c r="BR26" s="333"/>
      <c r="BS26" s="316"/>
      <c r="BT26" s="316"/>
      <c r="BU26" s="314"/>
      <c r="BV26" s="314"/>
    </row>
    <row r="27" s="32" customFormat="1" ht="25" customHeight="1" spans="1:74">
      <c r="A27" s="345"/>
      <c r="B27" s="337" t="s">
        <v>43</v>
      </c>
      <c r="C27" s="333"/>
      <c r="D27" s="333"/>
      <c r="E27" s="333"/>
      <c r="F27" s="333"/>
      <c r="G27" s="333"/>
      <c r="H27" s="333"/>
      <c r="I27" s="334"/>
      <c r="J27" s="333"/>
      <c r="K27" s="333"/>
      <c r="L27" s="333"/>
      <c r="M27" s="333"/>
      <c r="N27" s="333"/>
      <c r="O27" s="335"/>
      <c r="P27" s="335"/>
      <c r="Q27" s="333"/>
      <c r="R27" s="333"/>
      <c r="S27" s="333"/>
      <c r="T27" s="333"/>
      <c r="U27" s="333"/>
      <c r="V27" s="335"/>
      <c r="W27" s="335"/>
      <c r="X27" s="335"/>
      <c r="Y27" s="335"/>
      <c r="Z27" s="335"/>
      <c r="AA27" s="335"/>
      <c r="AB27" s="335"/>
      <c r="AC27" s="335"/>
      <c r="AD27" s="335"/>
      <c r="AE27" s="333"/>
      <c r="AF27" s="333"/>
      <c r="AG27" s="333"/>
      <c r="AH27" s="333"/>
      <c r="AI27" s="333"/>
      <c r="AJ27" s="333"/>
      <c r="AK27" s="335"/>
      <c r="AL27" s="333"/>
      <c r="AM27" s="333"/>
      <c r="AN27" s="333"/>
      <c r="AO27" s="333"/>
      <c r="AP27" s="333"/>
      <c r="AQ27" s="335"/>
      <c r="AR27" s="335"/>
      <c r="AS27" s="333"/>
      <c r="AT27" s="333"/>
      <c r="AU27" s="333"/>
      <c r="AV27" s="333"/>
      <c r="AW27" s="333"/>
      <c r="AX27" s="333"/>
      <c r="AY27" s="335"/>
      <c r="AZ27" s="333"/>
      <c r="BA27" s="333"/>
      <c r="BB27" s="333"/>
      <c r="BC27" s="333"/>
      <c r="BD27" s="333"/>
      <c r="BE27" s="335"/>
      <c r="BF27" s="335"/>
      <c r="BG27" s="333"/>
      <c r="BH27" s="333"/>
      <c r="BI27" s="333"/>
      <c r="BJ27" s="314"/>
      <c r="BK27" s="314"/>
      <c r="BL27" s="337"/>
      <c r="BM27" s="335"/>
      <c r="BN27" s="314"/>
      <c r="BO27" s="314"/>
      <c r="BP27" s="333"/>
      <c r="BQ27" s="333"/>
      <c r="BR27" s="333"/>
      <c r="BS27" s="316"/>
      <c r="BT27" s="316"/>
      <c r="BU27" s="314"/>
      <c r="BV27" s="314"/>
    </row>
    <row r="28" s="32" customFormat="1" ht="25" customHeight="1" spans="1:74">
      <c r="A28" s="346" t="s">
        <v>44</v>
      </c>
      <c r="B28" s="346" t="s">
        <v>45</v>
      </c>
      <c r="C28" s="347"/>
      <c r="D28" s="347"/>
      <c r="E28" s="333"/>
      <c r="F28" s="333"/>
      <c r="G28" s="333"/>
      <c r="H28" s="333"/>
      <c r="I28" s="334"/>
      <c r="J28" s="333"/>
      <c r="K28" s="333"/>
      <c r="L28" s="333"/>
      <c r="M28" s="333"/>
      <c r="N28" s="333"/>
      <c r="O28" s="335"/>
      <c r="P28" s="335"/>
      <c r="Q28" s="333"/>
      <c r="R28" s="333"/>
      <c r="S28" s="333"/>
      <c r="T28" s="333"/>
      <c r="U28" s="333"/>
      <c r="V28" s="335"/>
      <c r="W28" s="335"/>
      <c r="X28" s="335"/>
      <c r="Y28" s="335"/>
      <c r="Z28" s="335"/>
      <c r="AA28" s="335"/>
      <c r="AB28" s="335"/>
      <c r="AC28" s="335"/>
      <c r="AD28" s="335"/>
      <c r="AE28" s="333"/>
      <c r="AF28" s="333"/>
      <c r="AG28" s="333"/>
      <c r="AH28" s="333"/>
      <c r="AI28" s="333"/>
      <c r="AJ28" s="333"/>
      <c r="AK28" s="335"/>
      <c r="AL28" s="333"/>
      <c r="AM28" s="333"/>
      <c r="AN28" s="333"/>
      <c r="AO28" s="333"/>
      <c r="AP28" s="333"/>
      <c r="AQ28" s="335"/>
      <c r="AR28" s="335"/>
      <c r="AS28" s="333"/>
      <c r="AT28" s="333"/>
      <c r="AU28" s="333"/>
      <c r="AV28" s="333"/>
      <c r="AW28" s="333"/>
      <c r="AX28" s="333"/>
      <c r="AY28" s="335"/>
      <c r="AZ28" s="333"/>
      <c r="BA28" s="333"/>
      <c r="BB28" s="333"/>
      <c r="BC28" s="333"/>
      <c r="BD28" s="333"/>
      <c r="BE28" s="335"/>
      <c r="BF28" s="335"/>
      <c r="BG28" s="333"/>
      <c r="BH28" s="333"/>
      <c r="BI28" s="333"/>
      <c r="BJ28" s="333"/>
      <c r="BK28" s="333"/>
      <c r="BL28" s="333"/>
      <c r="BM28" s="335"/>
      <c r="BN28" s="333"/>
      <c r="BO28" s="333"/>
      <c r="BP28" s="314"/>
      <c r="BQ28" s="314"/>
      <c r="BR28" s="314"/>
      <c r="BS28" s="316"/>
      <c r="BT28" s="316"/>
      <c r="BU28" s="314"/>
      <c r="BV28" s="314"/>
    </row>
    <row r="29" s="32" customFormat="1" ht="25" customHeight="1" spans="1:74">
      <c r="A29" s="346"/>
      <c r="B29" s="346" t="s">
        <v>46</v>
      </c>
      <c r="C29" s="333"/>
      <c r="D29" s="333"/>
      <c r="E29" s="347"/>
      <c r="F29" s="333"/>
      <c r="G29" s="333"/>
      <c r="H29" s="333"/>
      <c r="I29" s="334"/>
      <c r="J29" s="333"/>
      <c r="K29" s="333"/>
      <c r="L29" s="333"/>
      <c r="M29" s="333"/>
      <c r="N29" s="333"/>
      <c r="O29" s="335"/>
      <c r="P29" s="335"/>
      <c r="Q29" s="333"/>
      <c r="R29" s="333"/>
      <c r="S29" s="333"/>
      <c r="T29" s="333"/>
      <c r="U29" s="333"/>
      <c r="V29" s="335"/>
      <c r="W29" s="335"/>
      <c r="X29" s="335"/>
      <c r="Y29" s="335"/>
      <c r="Z29" s="335"/>
      <c r="AA29" s="335"/>
      <c r="AB29" s="335"/>
      <c r="AC29" s="335"/>
      <c r="AD29" s="335"/>
      <c r="AE29" s="333"/>
      <c r="AF29" s="333"/>
      <c r="AG29" s="333"/>
      <c r="AH29" s="333"/>
      <c r="AI29" s="333"/>
      <c r="AJ29" s="333"/>
      <c r="AK29" s="335"/>
      <c r="AL29" s="333"/>
      <c r="AM29" s="333"/>
      <c r="AN29" s="333"/>
      <c r="AO29" s="333"/>
      <c r="AP29" s="333"/>
      <c r="AQ29" s="335"/>
      <c r="AR29" s="335"/>
      <c r="AS29" s="333"/>
      <c r="AT29" s="333"/>
      <c r="AU29" s="333"/>
      <c r="AV29" s="333"/>
      <c r="AW29" s="333"/>
      <c r="AX29" s="333"/>
      <c r="AY29" s="335"/>
      <c r="AZ29" s="333"/>
      <c r="BA29" s="333"/>
      <c r="BB29" s="333"/>
      <c r="BC29" s="333"/>
      <c r="BD29" s="333"/>
      <c r="BE29" s="335"/>
      <c r="BF29" s="335"/>
      <c r="BG29" s="333"/>
      <c r="BH29" s="333"/>
      <c r="BI29" s="333"/>
      <c r="BJ29" s="333"/>
      <c r="BK29" s="333"/>
      <c r="BL29" s="333"/>
      <c r="BM29" s="335"/>
      <c r="BN29" s="333"/>
      <c r="BO29" s="333"/>
      <c r="BP29" s="314"/>
      <c r="BQ29" s="314"/>
      <c r="BR29" s="314"/>
      <c r="BS29" s="316"/>
      <c r="BT29" s="316"/>
      <c r="BU29" s="314"/>
      <c r="BV29" s="314"/>
    </row>
    <row r="30" s="32" customFormat="1" ht="25" customHeight="1" spans="1:74">
      <c r="A30" s="348" t="s">
        <v>47</v>
      </c>
      <c r="B30" s="349" t="s">
        <v>48</v>
      </c>
      <c r="C30" s="333"/>
      <c r="D30" s="350"/>
      <c r="E30" s="350"/>
      <c r="F30" s="350"/>
      <c r="G30" s="333"/>
      <c r="H30" s="333"/>
      <c r="I30" s="334"/>
      <c r="J30" s="333"/>
      <c r="K30" s="333"/>
      <c r="L30" s="333"/>
      <c r="M30" s="333"/>
      <c r="N30" s="333"/>
      <c r="O30" s="335"/>
      <c r="P30" s="335"/>
      <c r="Q30" s="333"/>
      <c r="R30" s="333"/>
      <c r="S30" s="333"/>
      <c r="T30" s="333"/>
      <c r="U30" s="333"/>
      <c r="V30" s="335"/>
      <c r="W30" s="335"/>
      <c r="X30" s="335"/>
      <c r="Y30" s="335"/>
      <c r="Z30" s="335"/>
      <c r="AA30" s="335"/>
      <c r="AB30" s="335"/>
      <c r="AC30" s="335"/>
      <c r="AD30" s="335"/>
      <c r="AE30" s="333"/>
      <c r="AF30" s="333"/>
      <c r="AG30" s="333"/>
      <c r="AH30" s="333"/>
      <c r="AI30" s="333"/>
      <c r="AJ30" s="333"/>
      <c r="AK30" s="335"/>
      <c r="AL30" s="333"/>
      <c r="AM30" s="333"/>
      <c r="AN30" s="333"/>
      <c r="AO30" s="333"/>
      <c r="AP30" s="333"/>
      <c r="AQ30" s="335"/>
      <c r="AR30" s="335"/>
      <c r="AS30" s="333"/>
      <c r="AT30" s="333"/>
      <c r="AU30" s="333"/>
      <c r="AV30" s="333"/>
      <c r="AW30" s="333"/>
      <c r="AX30" s="333"/>
      <c r="AY30" s="335"/>
      <c r="AZ30" s="333"/>
      <c r="BA30" s="333"/>
      <c r="BB30" s="333"/>
      <c r="BC30" s="333"/>
      <c r="BD30" s="333"/>
      <c r="BE30" s="335"/>
      <c r="BF30" s="335"/>
      <c r="BG30" s="333"/>
      <c r="BH30" s="333"/>
      <c r="BI30" s="333"/>
      <c r="BJ30" s="333"/>
      <c r="BK30" s="333"/>
      <c r="BL30" s="333"/>
      <c r="BM30" s="335"/>
      <c r="BN30" s="333"/>
      <c r="BO30" s="333"/>
      <c r="BP30" s="314"/>
      <c r="BQ30" s="314"/>
      <c r="BR30" s="314"/>
      <c r="BS30" s="316"/>
      <c r="BT30" s="316"/>
      <c r="BU30" s="314"/>
      <c r="BV30" s="314"/>
    </row>
    <row r="31" s="32" customFormat="1" ht="25" customHeight="1" spans="1:74">
      <c r="A31" s="351"/>
      <c r="B31" s="349" t="s">
        <v>49</v>
      </c>
      <c r="C31" s="333"/>
      <c r="D31" s="333"/>
      <c r="E31" s="333"/>
      <c r="F31" s="350"/>
      <c r="G31" s="350"/>
      <c r="H31" s="350"/>
      <c r="I31" s="334"/>
      <c r="J31" s="350"/>
      <c r="K31" s="350"/>
      <c r="L31" s="350"/>
      <c r="M31" s="333"/>
      <c r="N31" s="333"/>
      <c r="O31" s="335"/>
      <c r="P31" s="335"/>
      <c r="R31" s="352"/>
      <c r="S31" s="333"/>
      <c r="T31" s="333"/>
      <c r="U31" s="333"/>
      <c r="V31" s="335"/>
      <c r="W31" s="335"/>
      <c r="X31" s="335"/>
      <c r="Y31" s="335"/>
      <c r="Z31" s="335"/>
      <c r="AA31" s="335"/>
      <c r="AB31" s="335"/>
      <c r="AC31" s="335"/>
      <c r="AD31" s="335"/>
      <c r="AE31" s="333"/>
      <c r="AF31" s="333"/>
      <c r="AG31" s="333"/>
      <c r="AH31" s="333"/>
      <c r="AI31" s="333"/>
      <c r="AJ31" s="333"/>
      <c r="AK31" s="335"/>
      <c r="AL31" s="333"/>
      <c r="AM31" s="333"/>
      <c r="AN31" s="333"/>
      <c r="AO31" s="333"/>
      <c r="AP31" s="333"/>
      <c r="AQ31" s="335"/>
      <c r="AR31" s="335"/>
      <c r="AS31" s="333"/>
      <c r="AT31" s="333"/>
      <c r="AU31" s="333"/>
      <c r="AV31" s="333"/>
      <c r="AW31" s="333"/>
      <c r="AX31" s="333"/>
      <c r="AY31" s="335"/>
      <c r="AZ31" s="333"/>
      <c r="BA31" s="333"/>
      <c r="BB31" s="333"/>
      <c r="BC31" s="333"/>
      <c r="BD31" s="333"/>
      <c r="BE31" s="335"/>
      <c r="BF31" s="335"/>
      <c r="BG31" s="333"/>
      <c r="BH31" s="333"/>
      <c r="BI31" s="333"/>
      <c r="BJ31" s="333"/>
      <c r="BK31" s="333"/>
      <c r="BL31" s="333"/>
      <c r="BM31" s="335"/>
      <c r="BN31" s="333"/>
      <c r="BO31" s="333"/>
      <c r="BP31" s="314"/>
      <c r="BQ31" s="314"/>
      <c r="BR31" s="314"/>
      <c r="BS31" s="316"/>
      <c r="BT31" s="316"/>
      <c r="BU31" s="314"/>
      <c r="BV31" s="314"/>
    </row>
    <row r="32" s="32" customFormat="1" ht="25" customHeight="1" spans="1:74">
      <c r="A32" s="351"/>
      <c r="B32" s="349" t="s">
        <v>50</v>
      </c>
      <c r="C32" s="333"/>
      <c r="D32" s="333"/>
      <c r="E32" s="333"/>
      <c r="F32" s="333"/>
      <c r="G32" s="333"/>
      <c r="I32" s="334"/>
      <c r="M32" s="350"/>
      <c r="N32" s="333"/>
      <c r="O32" s="335"/>
      <c r="P32" s="335"/>
      <c r="Q32" s="333"/>
      <c r="R32" s="333"/>
      <c r="S32" s="333"/>
      <c r="T32" s="333"/>
      <c r="U32" s="333"/>
      <c r="V32" s="335"/>
      <c r="W32" s="335"/>
      <c r="X32" s="335"/>
      <c r="Y32" s="335"/>
      <c r="Z32" s="335"/>
      <c r="AA32" s="335"/>
      <c r="AB32" s="335"/>
      <c r="AC32" s="335"/>
      <c r="AD32" s="335"/>
      <c r="AE32" s="333"/>
      <c r="AF32" s="333"/>
      <c r="AG32" s="333"/>
      <c r="AH32" s="333"/>
      <c r="AI32" s="333"/>
      <c r="AJ32" s="333"/>
      <c r="AK32" s="335"/>
      <c r="AL32" s="333"/>
      <c r="AM32" s="333"/>
      <c r="AN32" s="333"/>
      <c r="AO32" s="333"/>
      <c r="AP32" s="333"/>
      <c r="AQ32" s="335"/>
      <c r="AR32" s="335"/>
      <c r="AS32" s="333"/>
      <c r="AT32" s="333"/>
      <c r="AU32" s="333"/>
      <c r="AV32" s="333"/>
      <c r="AW32" s="333"/>
      <c r="AX32" s="333"/>
      <c r="AY32" s="335"/>
      <c r="AZ32" s="333"/>
      <c r="BA32" s="333"/>
      <c r="BB32" s="333"/>
      <c r="BC32" s="333"/>
      <c r="BD32" s="333"/>
      <c r="BE32" s="335"/>
      <c r="BF32" s="335"/>
      <c r="BG32" s="333"/>
      <c r="BH32" s="333"/>
      <c r="BI32" s="333"/>
      <c r="BJ32" s="333"/>
      <c r="BK32" s="333"/>
      <c r="BL32" s="333"/>
      <c r="BM32" s="335"/>
      <c r="BN32" s="333"/>
      <c r="BO32" s="333"/>
      <c r="BP32" s="314"/>
      <c r="BQ32" s="314"/>
      <c r="BR32" s="314"/>
      <c r="BS32" s="316"/>
      <c r="BT32" s="316"/>
      <c r="BU32" s="314"/>
      <c r="BV32" s="314"/>
    </row>
    <row r="33" s="32" customFormat="1" ht="25" customHeight="1" spans="1:74">
      <c r="A33" s="351"/>
      <c r="B33" s="349" t="s">
        <v>51</v>
      </c>
      <c r="C33" s="333"/>
      <c r="D33" s="333"/>
      <c r="E33" s="333"/>
      <c r="F33" s="333"/>
      <c r="G33" s="333"/>
      <c r="H33" s="333"/>
      <c r="I33" s="334"/>
      <c r="J33" s="333"/>
      <c r="K33" s="333"/>
      <c r="N33" s="350"/>
      <c r="O33" s="335"/>
      <c r="P33" s="335"/>
      <c r="Q33" s="353"/>
      <c r="R33" s="353"/>
      <c r="S33" s="333"/>
      <c r="T33" s="333"/>
      <c r="U33" s="333"/>
      <c r="V33" s="335"/>
      <c r="W33" s="335"/>
      <c r="X33" s="335"/>
      <c r="Y33" s="335"/>
      <c r="Z33" s="335"/>
      <c r="AA33" s="335"/>
      <c r="AB33" s="335"/>
      <c r="AC33" s="335"/>
      <c r="AD33" s="335"/>
      <c r="AE33" s="333"/>
      <c r="AF33" s="333"/>
      <c r="AG33" s="333"/>
      <c r="AH33" s="333"/>
      <c r="AI33" s="333"/>
      <c r="AJ33" s="333"/>
      <c r="AK33" s="335"/>
      <c r="AL33" s="333"/>
      <c r="AM33" s="333"/>
      <c r="AN33" s="333"/>
      <c r="AO33" s="333"/>
      <c r="AP33" s="333"/>
      <c r="AQ33" s="335"/>
      <c r="AR33" s="335"/>
      <c r="AS33" s="333"/>
      <c r="AT33" s="333"/>
      <c r="AU33" s="333"/>
      <c r="AV33" s="333"/>
      <c r="AW33" s="333"/>
      <c r="AX33" s="333"/>
      <c r="AY33" s="335"/>
      <c r="AZ33" s="333"/>
      <c r="BA33" s="333"/>
      <c r="BB33" s="333"/>
      <c r="BC33" s="333"/>
      <c r="BD33" s="333"/>
      <c r="BE33" s="335"/>
      <c r="BF33" s="335"/>
      <c r="BG33" s="333"/>
      <c r="BH33" s="333"/>
      <c r="BI33" s="333"/>
      <c r="BJ33" s="333"/>
      <c r="BK33" s="333"/>
      <c r="BL33" s="333"/>
      <c r="BM33" s="335"/>
      <c r="BN33" s="333"/>
      <c r="BO33" s="333"/>
      <c r="BP33" s="314"/>
      <c r="BQ33" s="314"/>
      <c r="BR33" s="314"/>
      <c r="BS33" s="316"/>
      <c r="BT33" s="316"/>
      <c r="BU33" s="314"/>
      <c r="BV33" s="314"/>
    </row>
    <row r="34" s="32" customFormat="1" ht="25" customHeight="1" spans="1:74">
      <c r="A34" s="351"/>
      <c r="B34" s="349" t="s">
        <v>52</v>
      </c>
      <c r="C34" s="333"/>
      <c r="D34" s="333"/>
      <c r="E34" s="333"/>
      <c r="F34" s="333"/>
      <c r="G34" s="333"/>
      <c r="H34" s="333"/>
      <c r="I34" s="334"/>
      <c r="J34" s="333"/>
      <c r="K34" s="333"/>
      <c r="L34" s="333"/>
      <c r="M34" s="333"/>
      <c r="O34" s="335"/>
      <c r="P34" s="335"/>
      <c r="Q34" s="333"/>
      <c r="R34" s="333"/>
      <c r="S34" s="350"/>
      <c r="T34" s="333"/>
      <c r="U34" s="333"/>
      <c r="V34" s="335"/>
      <c r="W34" s="335"/>
      <c r="X34" s="335"/>
      <c r="Y34" s="335"/>
      <c r="Z34" s="335"/>
      <c r="AA34" s="335"/>
      <c r="AB34" s="335"/>
      <c r="AC34" s="335"/>
      <c r="AD34" s="335"/>
      <c r="AE34" s="333"/>
      <c r="AF34" s="333"/>
      <c r="AG34" s="333"/>
      <c r="AH34" s="333"/>
      <c r="AI34" s="333"/>
      <c r="AJ34" s="333"/>
      <c r="AK34" s="335"/>
      <c r="AL34" s="333"/>
      <c r="AM34" s="333"/>
      <c r="AN34" s="333"/>
      <c r="AO34" s="333"/>
      <c r="AP34" s="333"/>
      <c r="AQ34" s="335"/>
      <c r="AR34" s="335"/>
      <c r="AS34" s="333"/>
      <c r="AT34" s="333"/>
      <c r="AU34" s="333"/>
      <c r="AV34" s="333"/>
      <c r="AW34" s="333"/>
      <c r="AX34" s="333"/>
      <c r="AY34" s="335"/>
      <c r="AZ34" s="333"/>
      <c r="BA34" s="333"/>
      <c r="BB34" s="333"/>
      <c r="BC34" s="333"/>
      <c r="BD34" s="333"/>
      <c r="BE34" s="335"/>
      <c r="BF34" s="335"/>
      <c r="BG34" s="333"/>
      <c r="BH34" s="333"/>
      <c r="BI34" s="333"/>
      <c r="BJ34" s="333"/>
      <c r="BK34" s="333"/>
      <c r="BL34" s="333"/>
      <c r="BM34" s="335"/>
      <c r="BN34" s="333"/>
      <c r="BO34" s="333"/>
      <c r="BP34" s="314"/>
      <c r="BQ34" s="314"/>
      <c r="BR34" s="314"/>
      <c r="BS34" s="316"/>
      <c r="BT34" s="316"/>
      <c r="BU34" s="314"/>
      <c r="BV34" s="314"/>
    </row>
    <row r="35" s="32" customFormat="1" ht="25" customHeight="1" spans="1:74">
      <c r="A35" s="340" t="s">
        <v>53</v>
      </c>
      <c r="B35" s="340" t="s">
        <v>54</v>
      </c>
      <c r="C35" s="333"/>
      <c r="D35" s="333"/>
      <c r="E35" s="333"/>
      <c r="F35" s="343"/>
      <c r="G35" s="343"/>
      <c r="H35" s="333"/>
      <c r="I35" s="334"/>
      <c r="J35" s="333"/>
      <c r="K35" s="333"/>
      <c r="L35" s="333"/>
      <c r="M35" s="333"/>
      <c r="N35" s="333"/>
      <c r="O35" s="335"/>
      <c r="P35" s="335"/>
      <c r="Q35" s="333"/>
      <c r="R35" s="333"/>
      <c r="S35" s="333"/>
      <c r="T35" s="333"/>
      <c r="U35" s="333"/>
      <c r="V35" s="335"/>
      <c r="W35" s="335"/>
      <c r="X35" s="335"/>
      <c r="Y35" s="335"/>
      <c r="Z35" s="335"/>
      <c r="AA35" s="335"/>
      <c r="AB35" s="335"/>
      <c r="AC35" s="335"/>
      <c r="AD35" s="335"/>
      <c r="AE35" s="333"/>
      <c r="AF35" s="333"/>
      <c r="AG35" s="333"/>
      <c r="AH35" s="333"/>
      <c r="AI35" s="333"/>
      <c r="AJ35" s="333"/>
      <c r="AK35" s="335"/>
      <c r="AL35" s="333"/>
      <c r="AM35" s="333"/>
      <c r="AN35" s="333"/>
      <c r="AO35" s="333"/>
      <c r="AP35" s="333"/>
      <c r="AQ35" s="335"/>
      <c r="AR35" s="335"/>
      <c r="AS35" s="333"/>
      <c r="AT35" s="333"/>
      <c r="AU35" s="333"/>
      <c r="AV35" s="333"/>
      <c r="AW35" s="333"/>
      <c r="AX35" s="333"/>
      <c r="AY35" s="335"/>
      <c r="AZ35" s="333"/>
      <c r="BA35" s="333"/>
      <c r="BB35" s="333"/>
      <c r="BC35" s="333"/>
      <c r="BD35" s="333"/>
      <c r="BE35" s="335"/>
      <c r="BF35" s="335"/>
      <c r="BG35" s="333"/>
      <c r="BH35" s="333"/>
      <c r="BI35" s="333"/>
      <c r="BJ35" s="333"/>
      <c r="BK35" s="333"/>
      <c r="BL35" s="333"/>
      <c r="BM35" s="335"/>
      <c r="BN35" s="333"/>
      <c r="BO35" s="333"/>
      <c r="BP35" s="314"/>
      <c r="BQ35" s="314"/>
      <c r="BR35" s="314"/>
      <c r="BS35" s="316"/>
      <c r="BT35" s="316"/>
      <c r="BU35" s="314"/>
      <c r="BV35" s="314"/>
    </row>
    <row r="36" s="32" customFormat="1" ht="25" customHeight="1" spans="1:74">
      <c r="A36" s="314"/>
      <c r="B36" s="340" t="s">
        <v>55</v>
      </c>
      <c r="C36" s="333"/>
      <c r="D36" s="333"/>
      <c r="E36" s="333"/>
      <c r="F36" s="333"/>
      <c r="G36" s="333"/>
      <c r="H36" s="343"/>
      <c r="I36" s="334"/>
      <c r="J36" s="333"/>
      <c r="K36" s="333"/>
      <c r="L36" s="333"/>
      <c r="M36" s="333"/>
      <c r="N36" s="333"/>
      <c r="O36" s="335"/>
      <c r="P36" s="335"/>
      <c r="Q36" s="333"/>
      <c r="R36" s="333"/>
      <c r="S36" s="333"/>
      <c r="T36" s="333"/>
      <c r="U36" s="333"/>
      <c r="V36" s="335"/>
      <c r="W36" s="335"/>
      <c r="X36" s="335"/>
      <c r="Y36" s="335"/>
      <c r="Z36" s="335"/>
      <c r="AA36" s="335"/>
      <c r="AB36" s="335"/>
      <c r="AC36" s="335"/>
      <c r="AD36" s="335"/>
      <c r="AE36" s="333"/>
      <c r="AF36" s="333"/>
      <c r="AG36" s="333"/>
      <c r="AH36" s="333"/>
      <c r="AI36" s="333"/>
      <c r="AJ36" s="333"/>
      <c r="AK36" s="335"/>
      <c r="AL36" s="333"/>
      <c r="AM36" s="333"/>
      <c r="AN36" s="333"/>
      <c r="AO36" s="333"/>
      <c r="AP36" s="333"/>
      <c r="AQ36" s="335"/>
      <c r="AR36" s="335"/>
      <c r="AS36" s="333"/>
      <c r="AT36" s="333"/>
      <c r="AU36" s="333"/>
      <c r="AV36" s="333"/>
      <c r="AW36" s="333"/>
      <c r="AX36" s="333"/>
      <c r="AY36" s="335"/>
      <c r="AZ36" s="333"/>
      <c r="BA36" s="333"/>
      <c r="BB36" s="333"/>
      <c r="BC36" s="333"/>
      <c r="BD36" s="333"/>
      <c r="BE36" s="335"/>
      <c r="BF36" s="335"/>
      <c r="BG36" s="333"/>
      <c r="BH36" s="333"/>
      <c r="BI36" s="333"/>
      <c r="BJ36" s="333"/>
      <c r="BK36" s="333"/>
      <c r="BL36" s="333"/>
      <c r="BM36" s="335"/>
      <c r="BN36" s="333"/>
      <c r="BO36" s="333"/>
      <c r="BP36" s="314"/>
      <c r="BQ36" s="314"/>
      <c r="BR36" s="314"/>
      <c r="BS36" s="316"/>
      <c r="BT36" s="316"/>
      <c r="BU36" s="314"/>
      <c r="BV36" s="314"/>
    </row>
    <row r="37" s="32" customFormat="1" ht="25" customHeight="1" spans="1:74">
      <c r="A37" s="340"/>
      <c r="B37" s="340" t="s">
        <v>56</v>
      </c>
      <c r="C37" s="333"/>
      <c r="D37" s="333"/>
      <c r="E37" s="333"/>
      <c r="F37" s="333"/>
      <c r="G37" s="333"/>
      <c r="I37" s="334"/>
      <c r="J37" s="343"/>
      <c r="K37" s="333"/>
      <c r="L37" s="333"/>
      <c r="M37" s="333"/>
      <c r="N37" s="333"/>
      <c r="O37" s="335"/>
      <c r="P37" s="335"/>
      <c r="Q37" s="333"/>
      <c r="R37" s="333"/>
      <c r="S37" s="333"/>
      <c r="T37" s="333"/>
      <c r="U37" s="333"/>
      <c r="V37" s="335"/>
      <c r="W37" s="335"/>
      <c r="X37" s="335"/>
      <c r="Y37" s="335"/>
      <c r="Z37" s="335"/>
      <c r="AA37" s="335"/>
      <c r="AB37" s="335"/>
      <c r="AC37" s="335"/>
      <c r="AD37" s="335"/>
      <c r="AE37" s="333"/>
      <c r="AF37" s="333"/>
      <c r="AG37" s="333"/>
      <c r="AH37" s="333"/>
      <c r="AI37" s="333"/>
      <c r="AJ37" s="333"/>
      <c r="AK37" s="335"/>
      <c r="AL37" s="333"/>
      <c r="AM37" s="333"/>
      <c r="AN37" s="333"/>
      <c r="AO37" s="333"/>
      <c r="AP37" s="333"/>
      <c r="AQ37" s="335"/>
      <c r="AR37" s="335"/>
      <c r="AS37" s="333"/>
      <c r="AT37" s="333"/>
      <c r="AU37" s="333"/>
      <c r="AV37" s="333"/>
      <c r="AW37" s="333"/>
      <c r="AX37" s="333"/>
      <c r="AY37" s="335"/>
      <c r="AZ37" s="333"/>
      <c r="BA37" s="333"/>
      <c r="BB37" s="333"/>
      <c r="BC37" s="333"/>
      <c r="BD37" s="333"/>
      <c r="BE37" s="335"/>
      <c r="BF37" s="335"/>
      <c r="BG37" s="333"/>
      <c r="BH37" s="333"/>
      <c r="BI37" s="333"/>
      <c r="BJ37" s="333"/>
      <c r="BK37" s="333"/>
      <c r="BL37" s="333"/>
      <c r="BM37" s="335"/>
      <c r="BN37" s="333"/>
      <c r="BO37" s="333"/>
      <c r="BP37" s="314"/>
      <c r="BQ37" s="314"/>
      <c r="BR37" s="314"/>
      <c r="BS37" s="316"/>
      <c r="BT37" s="316"/>
      <c r="BU37" s="314"/>
      <c r="BV37" s="314"/>
    </row>
    <row r="38" s="32" customFormat="1" ht="25" customHeight="1" spans="1:74">
      <c r="A38" s="340"/>
      <c r="B38" s="340" t="s">
        <v>57</v>
      </c>
      <c r="C38" s="333"/>
      <c r="D38" s="333"/>
      <c r="E38" s="333"/>
      <c r="F38" s="333"/>
      <c r="G38" s="333"/>
      <c r="H38" s="333"/>
      <c r="I38" s="334"/>
      <c r="K38" s="333"/>
      <c r="L38" s="343"/>
      <c r="M38" s="343"/>
      <c r="N38" s="354"/>
      <c r="O38" s="335"/>
      <c r="P38" s="335"/>
      <c r="Q38" s="343"/>
      <c r="R38" s="343"/>
      <c r="S38" s="343"/>
      <c r="T38" s="333"/>
      <c r="U38" s="333"/>
      <c r="V38" s="335"/>
      <c r="W38" s="335"/>
      <c r="X38" s="335"/>
      <c r="Y38" s="335"/>
      <c r="Z38" s="335"/>
      <c r="AA38" s="335"/>
      <c r="AB38" s="335"/>
      <c r="AC38" s="335"/>
      <c r="AD38" s="335"/>
      <c r="AE38" s="333"/>
      <c r="AF38" s="333"/>
      <c r="AG38" s="333"/>
      <c r="AH38" s="333"/>
      <c r="AI38" s="333"/>
      <c r="AJ38" s="333"/>
      <c r="AK38" s="335"/>
      <c r="AL38" s="333"/>
      <c r="AM38" s="333"/>
      <c r="AN38" s="333"/>
      <c r="AO38" s="333"/>
      <c r="AP38" s="333"/>
      <c r="AQ38" s="335"/>
      <c r="AR38" s="335"/>
      <c r="AS38" s="333"/>
      <c r="AT38" s="333"/>
      <c r="AU38" s="333"/>
      <c r="AV38" s="333"/>
      <c r="AW38" s="333"/>
      <c r="AX38" s="333"/>
      <c r="AY38" s="335"/>
      <c r="AZ38" s="333"/>
      <c r="BA38" s="333"/>
      <c r="BB38" s="333"/>
      <c r="BC38" s="333"/>
      <c r="BD38" s="333"/>
      <c r="BE38" s="335"/>
      <c r="BF38" s="335"/>
      <c r="BG38" s="333"/>
      <c r="BH38" s="333"/>
      <c r="BI38" s="333"/>
      <c r="BJ38" s="333"/>
      <c r="BK38" s="333"/>
      <c r="BL38" s="333"/>
      <c r="BM38" s="335"/>
      <c r="BN38" s="333"/>
      <c r="BO38" s="333"/>
      <c r="BP38" s="314"/>
      <c r="BQ38" s="314"/>
      <c r="BR38" s="314"/>
      <c r="BS38" s="316"/>
      <c r="BT38" s="316"/>
      <c r="BU38" s="314"/>
      <c r="BV38" s="314"/>
    </row>
    <row r="39" s="32" customFormat="1" ht="25" customHeight="1" spans="1:74">
      <c r="A39" s="340"/>
      <c r="B39" s="340" t="s">
        <v>58</v>
      </c>
      <c r="C39" s="333"/>
      <c r="D39" s="333"/>
      <c r="E39" s="333"/>
      <c r="F39" s="333"/>
      <c r="G39" s="333"/>
      <c r="H39" s="333"/>
      <c r="I39" s="334"/>
      <c r="J39" s="333"/>
      <c r="K39" s="333"/>
      <c r="L39" s="333"/>
      <c r="M39" s="333"/>
      <c r="O39" s="335"/>
      <c r="P39" s="335"/>
      <c r="Q39" s="355"/>
      <c r="R39" s="333"/>
      <c r="S39" s="333"/>
      <c r="T39" s="343"/>
      <c r="U39" s="343"/>
      <c r="V39" s="335"/>
      <c r="W39" s="335"/>
      <c r="X39" s="335"/>
      <c r="Y39" s="335"/>
      <c r="Z39" s="335"/>
      <c r="AA39" s="335"/>
      <c r="AB39" s="335"/>
      <c r="AC39" s="335"/>
      <c r="AD39" s="335"/>
      <c r="AE39" s="333"/>
      <c r="AF39" s="333"/>
      <c r="AG39" s="333"/>
      <c r="AH39" s="333"/>
      <c r="AI39" s="333"/>
      <c r="AJ39" s="333"/>
      <c r="AK39" s="335"/>
      <c r="AL39" s="333"/>
      <c r="AM39" s="333"/>
      <c r="AN39" s="333"/>
      <c r="AO39" s="333"/>
      <c r="AP39" s="333"/>
      <c r="AQ39" s="335"/>
      <c r="AR39" s="335"/>
      <c r="AS39" s="333"/>
      <c r="AT39" s="333"/>
      <c r="AU39" s="333"/>
      <c r="AV39" s="333"/>
      <c r="AW39" s="333"/>
      <c r="AX39" s="333"/>
      <c r="AY39" s="335"/>
      <c r="AZ39" s="333"/>
      <c r="BA39" s="333"/>
      <c r="BB39" s="333"/>
      <c r="BC39" s="333"/>
      <c r="BD39" s="333"/>
      <c r="BE39" s="335"/>
      <c r="BF39" s="335"/>
      <c r="BG39" s="333"/>
      <c r="BH39" s="333"/>
      <c r="BI39" s="333"/>
      <c r="BJ39" s="333"/>
      <c r="BK39" s="333"/>
      <c r="BL39" s="333"/>
      <c r="BM39" s="335"/>
      <c r="BN39" s="333"/>
      <c r="BO39" s="333"/>
      <c r="BP39" s="314"/>
      <c r="BQ39" s="314"/>
      <c r="BR39" s="314"/>
      <c r="BS39" s="316"/>
      <c r="BT39" s="316"/>
      <c r="BU39" s="314"/>
      <c r="BV39" s="314"/>
    </row>
    <row r="40" s="32" customFormat="1" ht="25" customHeight="1" spans="1:74">
      <c r="A40" s="340"/>
      <c r="B40" s="340" t="s">
        <v>59</v>
      </c>
      <c r="C40" s="333"/>
      <c r="D40" s="333"/>
      <c r="E40" s="333"/>
      <c r="F40" s="333"/>
      <c r="G40" s="333"/>
      <c r="H40" s="333"/>
      <c r="I40" s="334"/>
      <c r="J40" s="333"/>
      <c r="K40" s="333"/>
      <c r="L40" s="333"/>
      <c r="M40" s="333"/>
      <c r="N40" s="333"/>
      <c r="O40" s="335"/>
      <c r="P40" s="335"/>
      <c r="S40" s="333"/>
      <c r="T40" s="333"/>
      <c r="U40" s="343"/>
      <c r="V40" s="335"/>
      <c r="W40" s="335"/>
      <c r="X40" s="335"/>
      <c r="Y40" s="335"/>
      <c r="Z40" s="335"/>
      <c r="AA40" s="335"/>
      <c r="AB40" s="335"/>
      <c r="AC40" s="335"/>
      <c r="AD40" s="335"/>
      <c r="AE40" s="333"/>
      <c r="AF40" s="333"/>
      <c r="AG40" s="333"/>
      <c r="AH40" s="333"/>
      <c r="AI40" s="333"/>
      <c r="AJ40" s="333"/>
      <c r="AK40" s="335"/>
      <c r="AL40" s="333"/>
      <c r="AM40" s="333"/>
      <c r="AN40" s="333"/>
      <c r="AO40" s="333"/>
      <c r="AP40" s="333"/>
      <c r="AQ40" s="335"/>
      <c r="AR40" s="335"/>
      <c r="AS40" s="333"/>
      <c r="AT40" s="333"/>
      <c r="AU40" s="333"/>
      <c r="AV40" s="333"/>
      <c r="AW40" s="333"/>
      <c r="AX40" s="333"/>
      <c r="AY40" s="335"/>
      <c r="AZ40" s="333"/>
      <c r="BA40" s="333"/>
      <c r="BB40" s="333"/>
      <c r="BC40" s="333"/>
      <c r="BD40" s="333"/>
      <c r="BE40" s="335"/>
      <c r="BF40" s="335"/>
      <c r="BG40" s="333"/>
      <c r="BH40" s="333"/>
      <c r="BI40" s="333"/>
      <c r="BJ40" s="333"/>
      <c r="BK40" s="333"/>
      <c r="BL40" s="333"/>
      <c r="BM40" s="335"/>
      <c r="BN40" s="333"/>
      <c r="BO40" s="333"/>
      <c r="BP40" s="314"/>
      <c r="BQ40" s="314"/>
      <c r="BR40" s="314"/>
      <c r="BS40" s="316"/>
      <c r="BT40" s="316"/>
      <c r="BU40" s="314"/>
      <c r="BV40" s="314"/>
    </row>
    <row r="41" s="32" customFormat="1" ht="25" customHeight="1" spans="1:74">
      <c r="A41" s="340"/>
      <c r="B41" s="337" t="s">
        <v>60</v>
      </c>
      <c r="C41" s="333"/>
      <c r="D41" s="333"/>
      <c r="E41" s="333"/>
      <c r="F41" s="333"/>
      <c r="G41" s="333"/>
      <c r="H41" s="333"/>
      <c r="I41" s="334"/>
      <c r="J41" s="333"/>
      <c r="K41" s="333"/>
      <c r="L41" s="333"/>
      <c r="M41" s="333"/>
      <c r="N41" s="333"/>
      <c r="O41" s="335"/>
      <c r="P41" s="335"/>
      <c r="Q41" s="333"/>
      <c r="S41" s="339"/>
      <c r="T41" s="339"/>
      <c r="U41" s="339"/>
      <c r="V41" s="335"/>
      <c r="W41" s="335"/>
      <c r="X41" s="335"/>
      <c r="Y41" s="335"/>
      <c r="Z41" s="335"/>
      <c r="AA41" s="335"/>
      <c r="AB41" s="335"/>
      <c r="AC41" s="335"/>
      <c r="AD41" s="335"/>
      <c r="AE41" s="333"/>
      <c r="AF41" s="333"/>
      <c r="AG41" s="333"/>
      <c r="AH41" s="333"/>
      <c r="AI41" s="333"/>
      <c r="AJ41" s="333"/>
      <c r="AK41" s="335"/>
      <c r="AL41" s="333"/>
      <c r="AM41" s="333"/>
      <c r="AN41" s="333"/>
      <c r="AO41" s="333"/>
      <c r="AP41" s="333"/>
      <c r="AQ41" s="335"/>
      <c r="AR41" s="335"/>
      <c r="AS41" s="333"/>
      <c r="AT41" s="333"/>
      <c r="AU41" s="333"/>
      <c r="AV41" s="333"/>
      <c r="AW41" s="333"/>
      <c r="AX41" s="333"/>
      <c r="AY41" s="335"/>
      <c r="AZ41" s="333"/>
      <c r="BA41" s="333"/>
      <c r="BB41" s="333"/>
      <c r="BC41" s="333"/>
      <c r="BD41" s="333"/>
      <c r="BE41" s="335"/>
      <c r="BF41" s="335"/>
      <c r="BG41" s="333"/>
      <c r="BH41" s="333"/>
      <c r="BI41" s="333"/>
      <c r="BJ41" s="333"/>
      <c r="BK41" s="333"/>
      <c r="BL41" s="333"/>
      <c r="BM41" s="335"/>
      <c r="BN41" s="333"/>
      <c r="BO41" s="333"/>
      <c r="BP41" s="314"/>
      <c r="BQ41" s="314"/>
      <c r="BR41" s="314"/>
      <c r="BS41" s="316"/>
      <c r="BT41" s="316"/>
      <c r="BU41" s="314"/>
      <c r="BV41" s="314"/>
    </row>
    <row r="42" s="32" customFormat="1" ht="25" customHeight="1" spans="1:74">
      <c r="A42" s="340"/>
      <c r="B42" s="337" t="s">
        <v>61</v>
      </c>
      <c r="C42" s="333"/>
      <c r="D42" s="333"/>
      <c r="E42" s="333"/>
      <c r="F42" s="333"/>
      <c r="G42" s="333"/>
      <c r="H42" s="333"/>
      <c r="I42" s="334"/>
      <c r="J42" s="333"/>
      <c r="K42" s="333"/>
      <c r="L42" s="333"/>
      <c r="M42" s="333"/>
      <c r="N42" s="333"/>
      <c r="O42" s="335"/>
      <c r="P42" s="335"/>
      <c r="Q42" s="333"/>
      <c r="R42" s="333"/>
      <c r="S42" s="333"/>
      <c r="T42" s="333"/>
      <c r="U42" s="339"/>
      <c r="V42" s="335"/>
      <c r="W42" s="335"/>
      <c r="X42" s="335"/>
      <c r="Y42" s="335"/>
      <c r="Z42" s="335"/>
      <c r="AA42" s="335"/>
      <c r="AB42" s="335"/>
      <c r="AC42" s="335"/>
      <c r="AD42" s="335"/>
      <c r="AE42" s="333"/>
      <c r="AF42" s="333"/>
      <c r="AG42" s="333"/>
      <c r="AH42" s="333"/>
      <c r="AI42" s="333"/>
      <c r="AJ42" s="333"/>
      <c r="AK42" s="335"/>
      <c r="AL42" s="333"/>
      <c r="AM42" s="333"/>
      <c r="AN42" s="333"/>
      <c r="AO42" s="333"/>
      <c r="AP42" s="333"/>
      <c r="AQ42" s="335"/>
      <c r="AR42" s="335"/>
      <c r="AS42" s="333"/>
      <c r="AT42" s="333"/>
      <c r="AU42" s="333"/>
      <c r="AV42" s="333"/>
      <c r="AW42" s="333"/>
      <c r="AX42" s="333"/>
      <c r="AY42" s="335"/>
      <c r="AZ42" s="333"/>
      <c r="BA42" s="333"/>
      <c r="BB42" s="333"/>
      <c r="BC42" s="333"/>
      <c r="BD42" s="333"/>
      <c r="BE42" s="335"/>
      <c r="BF42" s="335"/>
      <c r="BG42" s="333"/>
      <c r="BH42" s="333"/>
      <c r="BI42" s="333"/>
      <c r="BJ42" s="333"/>
      <c r="BK42" s="333"/>
      <c r="BL42" s="333"/>
      <c r="BM42" s="335"/>
      <c r="BN42" s="333"/>
      <c r="BO42" s="333"/>
      <c r="BP42" s="314"/>
      <c r="BQ42" s="314"/>
      <c r="BR42" s="314"/>
      <c r="BS42" s="316"/>
      <c r="BT42" s="316"/>
      <c r="BU42" s="314"/>
      <c r="BV42" s="314"/>
    </row>
    <row r="43" s="32" customFormat="1" ht="25" customHeight="1" spans="1:74">
      <c r="A43" s="340"/>
      <c r="B43" s="337" t="s">
        <v>62</v>
      </c>
      <c r="C43" s="333"/>
      <c r="D43" s="333"/>
      <c r="E43" s="333"/>
      <c r="F43" s="333"/>
      <c r="G43" s="333"/>
      <c r="H43" s="333"/>
      <c r="I43" s="334"/>
      <c r="J43" s="333"/>
      <c r="K43" s="333"/>
      <c r="L43" s="333"/>
      <c r="M43" s="333"/>
      <c r="N43" s="333"/>
      <c r="O43" s="335"/>
      <c r="P43" s="335"/>
      <c r="Q43" s="333"/>
      <c r="R43" s="333"/>
      <c r="S43" s="333"/>
      <c r="T43" s="333"/>
      <c r="U43" s="339"/>
      <c r="V43" s="335"/>
      <c r="W43" s="335"/>
      <c r="X43" s="335"/>
      <c r="Y43" s="335"/>
      <c r="Z43" s="335"/>
      <c r="AA43" s="335"/>
      <c r="AB43" s="335"/>
      <c r="AC43" s="335"/>
      <c r="AD43" s="335"/>
      <c r="AE43" s="333"/>
      <c r="AF43" s="333"/>
      <c r="AG43" s="333"/>
      <c r="AH43" s="333"/>
      <c r="AI43" s="333"/>
      <c r="AJ43" s="333"/>
      <c r="AK43" s="335"/>
      <c r="AL43" s="333"/>
      <c r="AM43" s="333"/>
      <c r="AN43" s="333"/>
      <c r="AO43" s="333"/>
      <c r="AP43" s="333"/>
      <c r="AQ43" s="335"/>
      <c r="AR43" s="335"/>
      <c r="AS43" s="333"/>
      <c r="AT43" s="333"/>
      <c r="AU43" s="333"/>
      <c r="AV43" s="333"/>
      <c r="AW43" s="333"/>
      <c r="AX43" s="333"/>
      <c r="AY43" s="335"/>
      <c r="AZ43" s="333"/>
      <c r="BA43" s="333"/>
      <c r="BB43" s="333"/>
      <c r="BC43" s="333"/>
      <c r="BD43" s="333"/>
      <c r="BE43" s="335"/>
      <c r="BF43" s="335"/>
      <c r="BG43" s="333"/>
      <c r="BH43" s="333"/>
      <c r="BI43" s="333"/>
      <c r="BJ43" s="333"/>
      <c r="BK43" s="333"/>
      <c r="BL43" s="333"/>
      <c r="BM43" s="335"/>
      <c r="BN43" s="333"/>
      <c r="BO43" s="333"/>
      <c r="BP43" s="314"/>
      <c r="BQ43" s="314"/>
      <c r="BR43" s="314"/>
      <c r="BS43" s="316"/>
      <c r="BT43" s="316"/>
      <c r="BU43" s="314"/>
      <c r="BV43" s="314"/>
    </row>
    <row r="44" s="32" customFormat="1" ht="25" customHeight="1" spans="1:74">
      <c r="A44" s="340"/>
      <c r="B44" s="337" t="s">
        <v>63</v>
      </c>
      <c r="C44" s="333"/>
      <c r="D44" s="333"/>
      <c r="E44" s="333"/>
      <c r="F44" s="333"/>
      <c r="G44" s="333"/>
      <c r="H44" s="333"/>
      <c r="I44" s="334"/>
      <c r="J44" s="333"/>
      <c r="K44" s="333"/>
      <c r="L44" s="333"/>
      <c r="M44" s="333"/>
      <c r="N44" s="333"/>
      <c r="O44" s="335"/>
      <c r="P44" s="335"/>
      <c r="Q44" s="333"/>
      <c r="R44" s="333"/>
      <c r="S44" s="339"/>
      <c r="T44" s="339"/>
      <c r="U44" s="339"/>
      <c r="V44" s="335"/>
      <c r="W44" s="335"/>
      <c r="X44" s="335"/>
      <c r="Y44" s="335"/>
      <c r="Z44" s="335"/>
      <c r="AA44" s="335"/>
      <c r="AB44" s="335"/>
      <c r="AC44" s="335"/>
      <c r="AD44" s="335"/>
      <c r="AE44" s="339"/>
      <c r="AF44" s="339"/>
      <c r="AG44" s="339"/>
      <c r="AH44" s="339"/>
      <c r="AI44" s="339"/>
      <c r="AJ44" s="339"/>
      <c r="AK44" s="335"/>
      <c r="AL44" s="339"/>
      <c r="AM44" s="339"/>
      <c r="AN44" s="339"/>
      <c r="AO44" s="339"/>
      <c r="AP44" s="339"/>
      <c r="AQ44" s="335"/>
      <c r="AR44" s="335"/>
      <c r="AS44" s="333"/>
      <c r="AT44" s="333"/>
      <c r="AU44" s="333"/>
      <c r="AV44" s="333"/>
      <c r="AW44" s="333"/>
      <c r="AX44" s="333"/>
      <c r="AY44" s="335"/>
      <c r="AZ44" s="333"/>
      <c r="BA44" s="333"/>
      <c r="BB44" s="333"/>
      <c r="BC44" s="333"/>
      <c r="BD44" s="333"/>
      <c r="BE44" s="335"/>
      <c r="BF44" s="335"/>
      <c r="BG44" s="333"/>
      <c r="BH44" s="333"/>
      <c r="BI44" s="333"/>
      <c r="BJ44" s="333"/>
      <c r="BK44" s="333"/>
      <c r="BL44" s="333"/>
      <c r="BM44" s="335"/>
      <c r="BN44" s="333"/>
      <c r="BO44" s="333"/>
      <c r="BP44" s="314"/>
      <c r="BQ44" s="314"/>
      <c r="BR44" s="314"/>
      <c r="BS44" s="316"/>
      <c r="BT44" s="316"/>
      <c r="BU44" s="314"/>
      <c r="BV44" s="314"/>
    </row>
    <row r="45" s="32" customFormat="1" ht="25" customHeight="1" spans="1:74">
      <c r="A45" s="340"/>
      <c r="B45" s="337" t="s">
        <v>64</v>
      </c>
      <c r="C45" s="333"/>
      <c r="D45" s="333"/>
      <c r="E45" s="333"/>
      <c r="F45" s="333"/>
      <c r="G45" s="333"/>
      <c r="H45" s="333"/>
      <c r="I45" s="334"/>
      <c r="J45" s="333"/>
      <c r="K45" s="333"/>
      <c r="L45" s="333"/>
      <c r="M45" s="333"/>
      <c r="N45" s="333"/>
      <c r="O45" s="335"/>
      <c r="P45" s="335"/>
      <c r="Q45" s="333"/>
      <c r="R45" s="333"/>
      <c r="S45" s="333"/>
      <c r="T45" s="333"/>
      <c r="U45" s="333"/>
      <c r="V45" s="335"/>
      <c r="W45" s="335"/>
      <c r="X45" s="335"/>
      <c r="Y45" s="335"/>
      <c r="Z45" s="335"/>
      <c r="AA45" s="335"/>
      <c r="AB45" s="335"/>
      <c r="AC45" s="335"/>
      <c r="AD45" s="335"/>
      <c r="AE45" s="339"/>
      <c r="AF45" s="339"/>
      <c r="AG45" s="339"/>
      <c r="AH45" s="339"/>
      <c r="AI45" s="339"/>
      <c r="AJ45" s="339"/>
      <c r="AK45" s="335"/>
      <c r="AL45" s="339"/>
      <c r="AM45" s="339"/>
      <c r="AN45" s="339"/>
      <c r="AO45" s="339"/>
      <c r="AP45" s="339"/>
      <c r="AQ45" s="335"/>
      <c r="AR45" s="335"/>
      <c r="AS45" s="341"/>
      <c r="AT45" s="339"/>
      <c r="AU45" s="333"/>
      <c r="AV45" s="333"/>
      <c r="AW45" s="333"/>
      <c r="AX45" s="333"/>
      <c r="AY45" s="335"/>
      <c r="AZ45" s="333"/>
      <c r="BA45" s="333"/>
      <c r="BB45" s="333"/>
      <c r="BC45" s="333"/>
      <c r="BD45" s="333"/>
      <c r="BE45" s="335"/>
      <c r="BF45" s="335"/>
      <c r="BG45" s="333"/>
      <c r="BH45" s="333"/>
      <c r="BI45" s="333"/>
      <c r="BJ45" s="333"/>
      <c r="BK45" s="333"/>
      <c r="BL45" s="333"/>
      <c r="BM45" s="335"/>
      <c r="BN45" s="333"/>
      <c r="BO45" s="333"/>
      <c r="BP45" s="314"/>
      <c r="BQ45" s="314"/>
      <c r="BR45" s="314"/>
      <c r="BS45" s="316"/>
      <c r="BT45" s="316"/>
      <c r="BU45" s="314"/>
      <c r="BV45" s="314"/>
    </row>
    <row r="46" s="32" customFormat="1" ht="25" customHeight="1" spans="1:74">
      <c r="A46" s="340"/>
      <c r="B46" s="337" t="s">
        <v>65</v>
      </c>
      <c r="C46" s="333"/>
      <c r="D46" s="333"/>
      <c r="E46" s="333"/>
      <c r="F46" s="333"/>
      <c r="G46" s="333"/>
      <c r="H46" s="333"/>
      <c r="I46" s="334"/>
      <c r="J46" s="333"/>
      <c r="K46" s="333"/>
      <c r="L46" s="333"/>
      <c r="M46" s="333"/>
      <c r="N46" s="333"/>
      <c r="O46" s="335"/>
      <c r="P46" s="335"/>
      <c r="Q46" s="333"/>
      <c r="R46" s="333"/>
      <c r="S46" s="333"/>
      <c r="T46" s="333"/>
      <c r="U46" s="333"/>
      <c r="V46" s="335"/>
      <c r="W46" s="335"/>
      <c r="X46" s="335"/>
      <c r="Y46" s="335"/>
      <c r="Z46" s="335"/>
      <c r="AA46" s="335"/>
      <c r="AB46" s="335"/>
      <c r="AC46" s="335"/>
      <c r="AD46" s="335"/>
      <c r="AE46" s="333"/>
      <c r="AF46" s="333"/>
      <c r="AG46" s="333"/>
      <c r="AH46" s="333"/>
      <c r="AI46" s="333"/>
      <c r="AJ46" s="333"/>
      <c r="AK46" s="335"/>
      <c r="AL46" s="333"/>
      <c r="AM46" s="333"/>
      <c r="AN46" s="333"/>
      <c r="AO46" s="333"/>
      <c r="AP46" s="333"/>
      <c r="AQ46" s="335"/>
      <c r="AR46" s="335"/>
      <c r="AS46" s="333"/>
      <c r="AT46" s="341"/>
      <c r="AU46" s="341"/>
      <c r="AV46" s="333"/>
      <c r="AW46" s="333"/>
      <c r="AX46" s="333"/>
      <c r="AY46" s="335"/>
      <c r="AZ46" s="333"/>
      <c r="BA46" s="333"/>
      <c r="BB46" s="333"/>
      <c r="BC46" s="333"/>
      <c r="BD46" s="333"/>
      <c r="BE46" s="335"/>
      <c r="BF46" s="335"/>
      <c r="BG46" s="333"/>
      <c r="BH46" s="333"/>
      <c r="BI46" s="333"/>
      <c r="BJ46" s="333"/>
      <c r="BK46" s="333"/>
      <c r="BL46" s="333"/>
      <c r="BM46" s="335"/>
      <c r="BN46" s="333"/>
      <c r="BO46" s="333"/>
      <c r="BP46" s="314"/>
      <c r="BQ46" s="314"/>
      <c r="BR46" s="314"/>
      <c r="BS46" s="316"/>
      <c r="BT46" s="316"/>
      <c r="BU46" s="314"/>
      <c r="BV46" s="314"/>
    </row>
    <row r="47" s="32" customFormat="1" ht="25" customHeight="1" spans="1:74">
      <c r="A47" s="314"/>
      <c r="B47" s="337" t="s">
        <v>66</v>
      </c>
      <c r="C47" s="333"/>
      <c r="D47" s="333"/>
      <c r="E47" s="333"/>
      <c r="F47" s="333"/>
      <c r="G47" s="333"/>
      <c r="H47" s="333"/>
      <c r="I47" s="334"/>
      <c r="J47" s="333"/>
      <c r="K47" s="333"/>
      <c r="L47" s="333"/>
      <c r="M47" s="333"/>
      <c r="N47" s="333"/>
      <c r="O47" s="335"/>
      <c r="P47" s="335"/>
      <c r="Q47" s="333"/>
      <c r="R47" s="333"/>
      <c r="S47" s="333"/>
      <c r="T47" s="333"/>
      <c r="U47" s="333"/>
      <c r="V47" s="335"/>
      <c r="W47" s="335"/>
      <c r="X47" s="335"/>
      <c r="Y47" s="335"/>
      <c r="Z47" s="335"/>
      <c r="AA47" s="335"/>
      <c r="AB47" s="335"/>
      <c r="AC47" s="335"/>
      <c r="AD47" s="335"/>
      <c r="AE47" s="333"/>
      <c r="AF47" s="333"/>
      <c r="AG47" s="333"/>
      <c r="AH47" s="333"/>
      <c r="AI47" s="333"/>
      <c r="AJ47" s="333"/>
      <c r="AK47" s="335"/>
      <c r="AL47" s="333"/>
      <c r="AM47" s="333"/>
      <c r="AN47" s="333"/>
      <c r="AO47" s="333"/>
      <c r="AP47" s="333"/>
      <c r="AQ47" s="335"/>
      <c r="AR47" s="335"/>
      <c r="AU47" s="341"/>
      <c r="AV47" s="339"/>
      <c r="AW47" s="333"/>
      <c r="AX47" s="333"/>
      <c r="AY47" s="335"/>
      <c r="AZ47" s="333"/>
      <c r="BA47" s="333"/>
      <c r="BB47" s="333"/>
      <c r="BC47" s="333"/>
      <c r="BD47" s="333"/>
      <c r="BE47" s="335"/>
      <c r="BF47" s="335"/>
      <c r="BG47" s="333"/>
      <c r="BH47" s="333"/>
      <c r="BI47" s="333"/>
      <c r="BJ47" s="333"/>
      <c r="BK47" s="333"/>
      <c r="BL47" s="333"/>
      <c r="BM47" s="335"/>
      <c r="BN47" s="333"/>
      <c r="BO47" s="333"/>
      <c r="BP47" s="314"/>
      <c r="BQ47" s="314"/>
      <c r="BR47" s="314"/>
      <c r="BS47" s="316"/>
      <c r="BT47" s="316"/>
      <c r="BU47" s="314"/>
      <c r="BV47" s="314"/>
    </row>
    <row r="48" s="32" customFormat="1" ht="25" customHeight="1" spans="1:74">
      <c r="A48" s="314"/>
      <c r="B48" s="337" t="s">
        <v>67</v>
      </c>
      <c r="C48" s="333"/>
      <c r="D48" s="333"/>
      <c r="E48" s="333"/>
      <c r="F48" s="333"/>
      <c r="G48" s="333"/>
      <c r="H48" s="333"/>
      <c r="I48" s="334"/>
      <c r="J48" s="333"/>
      <c r="K48" s="333"/>
      <c r="L48" s="333"/>
      <c r="M48" s="333"/>
      <c r="N48" s="333"/>
      <c r="O48" s="335"/>
      <c r="P48" s="335"/>
      <c r="Q48" s="333"/>
      <c r="R48" s="333"/>
      <c r="S48" s="333"/>
      <c r="T48" s="333"/>
      <c r="U48" s="333"/>
      <c r="V48" s="335"/>
      <c r="W48" s="335"/>
      <c r="X48" s="335"/>
      <c r="Y48" s="335"/>
      <c r="Z48" s="335"/>
      <c r="AA48" s="335"/>
      <c r="AB48" s="335"/>
      <c r="AC48" s="335"/>
      <c r="AD48" s="335"/>
      <c r="AE48" s="333"/>
      <c r="AF48" s="333"/>
      <c r="AG48" s="333"/>
      <c r="AH48" s="333"/>
      <c r="AI48" s="333"/>
      <c r="AJ48" s="333"/>
      <c r="AK48" s="335"/>
      <c r="AL48" s="333"/>
      <c r="AM48" s="333"/>
      <c r="AN48" s="333"/>
      <c r="AO48" s="333"/>
      <c r="AP48" s="333"/>
      <c r="AQ48" s="335"/>
      <c r="AR48" s="335"/>
      <c r="AS48" s="314"/>
      <c r="AT48" s="314"/>
      <c r="AV48" s="339"/>
      <c r="AW48" s="339"/>
      <c r="AX48" s="339"/>
      <c r="AY48" s="335"/>
      <c r="AZ48" s="333"/>
      <c r="BA48" s="333"/>
      <c r="BB48" s="333"/>
      <c r="BC48" s="333"/>
      <c r="BD48" s="333"/>
      <c r="BE48" s="335"/>
      <c r="BF48" s="335"/>
      <c r="BG48" s="333"/>
      <c r="BH48" s="333"/>
      <c r="BI48" s="333"/>
      <c r="BJ48" s="333"/>
      <c r="BK48" s="333"/>
      <c r="BL48" s="333"/>
      <c r="BM48" s="335"/>
      <c r="BN48" s="333"/>
      <c r="BO48" s="333"/>
      <c r="BP48" s="314"/>
      <c r="BQ48" s="314"/>
      <c r="BR48" s="314"/>
      <c r="BS48" s="316"/>
      <c r="BT48" s="316"/>
      <c r="BU48" s="314"/>
      <c r="BV48" s="314"/>
    </row>
    <row r="49" s="32" customFormat="1" ht="25" customHeight="1" spans="1:74">
      <c r="A49" s="314"/>
      <c r="B49" s="337" t="s">
        <v>68</v>
      </c>
      <c r="C49" s="333"/>
      <c r="D49" s="333"/>
      <c r="E49" s="333"/>
      <c r="F49" s="333"/>
      <c r="G49" s="333"/>
      <c r="H49" s="333"/>
      <c r="I49" s="334"/>
      <c r="J49" s="333"/>
      <c r="K49" s="333"/>
      <c r="L49" s="333"/>
      <c r="M49" s="333"/>
      <c r="N49" s="333"/>
      <c r="O49" s="335"/>
      <c r="P49" s="335"/>
      <c r="Q49" s="333"/>
      <c r="R49" s="333"/>
      <c r="S49" s="333"/>
      <c r="T49" s="333"/>
      <c r="U49" s="333"/>
      <c r="V49" s="335"/>
      <c r="W49" s="335"/>
      <c r="X49" s="335"/>
      <c r="Y49" s="335"/>
      <c r="Z49" s="335"/>
      <c r="AA49" s="335"/>
      <c r="AB49" s="335"/>
      <c r="AC49" s="335"/>
      <c r="AD49" s="335"/>
      <c r="AE49" s="333"/>
      <c r="AF49" s="333"/>
      <c r="AG49" s="333"/>
      <c r="AH49" s="333"/>
      <c r="AI49" s="333"/>
      <c r="AJ49" s="333"/>
      <c r="AK49" s="335"/>
      <c r="AL49" s="333"/>
      <c r="AM49" s="333"/>
      <c r="AN49" s="333"/>
      <c r="AO49" s="333"/>
      <c r="AP49" s="333"/>
      <c r="AQ49" s="335"/>
      <c r="AR49" s="335"/>
      <c r="AS49" s="314"/>
      <c r="AU49" s="333"/>
      <c r="AW49" s="333"/>
      <c r="AX49" s="341"/>
      <c r="AY49" s="342"/>
      <c r="AZ49" s="333"/>
      <c r="BA49" s="333"/>
      <c r="BB49" s="333"/>
      <c r="BC49" s="333"/>
      <c r="BD49" s="333"/>
      <c r="BE49" s="335"/>
      <c r="BF49" s="335"/>
      <c r="BG49" s="333"/>
      <c r="BH49" s="333"/>
      <c r="BI49" s="333"/>
      <c r="BJ49" s="333"/>
      <c r="BK49" s="333"/>
      <c r="BL49" s="333"/>
      <c r="BM49" s="335"/>
      <c r="BN49" s="333"/>
      <c r="BO49" s="333"/>
      <c r="BP49" s="314"/>
      <c r="BQ49" s="314"/>
      <c r="BR49" s="314"/>
      <c r="BS49" s="316"/>
      <c r="BT49" s="316"/>
      <c r="BU49" s="314"/>
      <c r="BV49" s="314"/>
    </row>
    <row r="50" s="32" customFormat="1" ht="25" customHeight="1" spans="1:74">
      <c r="A50" s="340"/>
      <c r="B50" s="337" t="s">
        <v>69</v>
      </c>
      <c r="C50" s="333"/>
      <c r="D50" s="333"/>
      <c r="E50" s="333"/>
      <c r="F50" s="333"/>
      <c r="G50" s="333"/>
      <c r="H50" s="333"/>
      <c r="I50" s="334"/>
      <c r="J50" s="333"/>
      <c r="K50" s="333"/>
      <c r="L50" s="333"/>
      <c r="M50" s="333"/>
      <c r="N50" s="333"/>
      <c r="O50" s="335"/>
      <c r="P50" s="335"/>
      <c r="Q50" s="333"/>
      <c r="R50" s="333"/>
      <c r="S50" s="333"/>
      <c r="T50" s="333"/>
      <c r="U50" s="333"/>
      <c r="V50" s="335"/>
      <c r="W50" s="335"/>
      <c r="X50" s="335"/>
      <c r="Y50" s="335"/>
      <c r="Z50" s="335"/>
      <c r="AA50" s="335"/>
      <c r="AB50" s="335"/>
      <c r="AC50" s="335"/>
      <c r="AD50" s="335"/>
      <c r="AE50" s="333"/>
      <c r="AF50" s="333"/>
      <c r="AG50" s="333"/>
      <c r="AH50" s="333"/>
      <c r="AI50" s="333"/>
      <c r="AJ50" s="333"/>
      <c r="AK50" s="335"/>
      <c r="AL50" s="333"/>
      <c r="AM50" s="333"/>
      <c r="AN50" s="333"/>
      <c r="AO50" s="333"/>
      <c r="AP50" s="333"/>
      <c r="AQ50" s="335"/>
      <c r="AR50" s="335"/>
      <c r="AS50" s="333"/>
      <c r="AT50" s="333"/>
      <c r="AV50" s="333"/>
      <c r="AY50" s="335"/>
      <c r="AZ50" s="341"/>
      <c r="BA50" s="333"/>
      <c r="BB50" s="333"/>
      <c r="BC50" s="333"/>
      <c r="BD50" s="333"/>
      <c r="BE50" s="335"/>
      <c r="BF50" s="335"/>
      <c r="BG50" s="333"/>
      <c r="BH50" s="333"/>
      <c r="BI50" s="333"/>
      <c r="BJ50" s="333"/>
      <c r="BK50" s="333"/>
      <c r="BL50" s="333"/>
      <c r="BM50" s="335"/>
      <c r="BN50" s="333"/>
      <c r="BO50" s="333"/>
      <c r="BP50" s="314"/>
      <c r="BQ50" s="314"/>
      <c r="BR50" s="314"/>
      <c r="BS50" s="316"/>
      <c r="BT50" s="316"/>
      <c r="BU50" s="314"/>
      <c r="BV50" s="314"/>
    </row>
    <row r="51" s="32" customFormat="1" ht="25" customHeight="1" spans="1:74">
      <c r="A51" s="349" t="s">
        <v>70</v>
      </c>
      <c r="B51" s="349" t="s">
        <v>71</v>
      </c>
      <c r="C51" s="350"/>
      <c r="D51" s="350"/>
      <c r="E51" s="333"/>
      <c r="F51" s="333"/>
      <c r="G51" s="333"/>
      <c r="H51" s="333"/>
      <c r="I51" s="334"/>
      <c r="J51" s="333"/>
      <c r="K51" s="333"/>
      <c r="L51" s="333"/>
      <c r="M51" s="333"/>
      <c r="N51" s="333"/>
      <c r="O51" s="335"/>
      <c r="P51" s="335"/>
      <c r="Q51" s="333"/>
      <c r="R51" s="333"/>
      <c r="S51" s="333"/>
      <c r="T51" s="333"/>
      <c r="U51" s="333"/>
      <c r="V51" s="335"/>
      <c r="W51" s="335"/>
      <c r="X51" s="335"/>
      <c r="Y51" s="335"/>
      <c r="Z51" s="335"/>
      <c r="AA51" s="335"/>
      <c r="AB51" s="335"/>
      <c r="AC51" s="335"/>
      <c r="AD51" s="335"/>
      <c r="AE51" s="333"/>
      <c r="AF51" s="333"/>
      <c r="AG51" s="333"/>
      <c r="AH51" s="333"/>
      <c r="AI51" s="333"/>
      <c r="AJ51" s="333"/>
      <c r="AK51" s="335"/>
      <c r="AL51" s="333"/>
      <c r="AM51" s="333"/>
      <c r="AN51" s="333"/>
      <c r="AO51" s="333"/>
      <c r="AP51" s="333"/>
      <c r="AQ51" s="335"/>
      <c r="AR51" s="335"/>
      <c r="AS51" s="333"/>
      <c r="AT51" s="333"/>
      <c r="AU51" s="333"/>
      <c r="AV51" s="333"/>
      <c r="AW51" s="333"/>
      <c r="AX51" s="333"/>
      <c r="AY51" s="335"/>
      <c r="AZ51" s="333"/>
      <c r="BA51" s="333"/>
      <c r="BB51" s="333"/>
      <c r="BC51" s="333"/>
      <c r="BD51" s="333"/>
      <c r="BE51" s="335"/>
      <c r="BF51" s="335"/>
      <c r="BG51" s="333"/>
      <c r="BH51" s="333"/>
      <c r="BI51" s="333"/>
      <c r="BJ51" s="333"/>
      <c r="BK51" s="333"/>
      <c r="BL51" s="333"/>
      <c r="BM51" s="335"/>
      <c r="BN51" s="333"/>
      <c r="BO51" s="333"/>
      <c r="BP51" s="314"/>
      <c r="BQ51" s="314"/>
      <c r="BR51" s="314"/>
      <c r="BS51" s="316"/>
      <c r="BT51" s="316"/>
      <c r="BU51" s="314"/>
      <c r="BV51" s="314"/>
    </row>
    <row r="52" s="32" customFormat="1" ht="25" customHeight="1" spans="1:74">
      <c r="A52" s="349"/>
      <c r="B52" s="349" t="s">
        <v>72</v>
      </c>
      <c r="C52" s="333"/>
      <c r="D52" s="333"/>
      <c r="E52" s="350"/>
      <c r="F52" s="350"/>
      <c r="G52" s="350"/>
      <c r="H52" s="333"/>
      <c r="I52" s="334"/>
      <c r="J52" s="333"/>
      <c r="K52" s="333"/>
      <c r="L52" s="333"/>
      <c r="M52" s="333"/>
      <c r="N52" s="333"/>
      <c r="O52" s="335"/>
      <c r="P52" s="335"/>
      <c r="Q52" s="333"/>
      <c r="R52" s="333"/>
      <c r="S52" s="333"/>
      <c r="T52" s="333"/>
      <c r="U52" s="333"/>
      <c r="V52" s="335"/>
      <c r="W52" s="335"/>
      <c r="X52" s="335"/>
      <c r="Y52" s="335"/>
      <c r="Z52" s="335"/>
      <c r="AA52" s="335"/>
      <c r="AB52" s="335"/>
      <c r="AC52" s="335"/>
      <c r="AD52" s="335"/>
      <c r="AE52" s="333"/>
      <c r="AF52" s="333"/>
      <c r="AG52" s="333"/>
      <c r="AH52" s="333"/>
      <c r="AI52" s="333"/>
      <c r="AJ52" s="333"/>
      <c r="AK52" s="335"/>
      <c r="AL52" s="333"/>
      <c r="AM52" s="333"/>
      <c r="AN52" s="333"/>
      <c r="AO52" s="333"/>
      <c r="AP52" s="333"/>
      <c r="AQ52" s="335"/>
      <c r="AR52" s="335"/>
      <c r="AS52" s="333"/>
      <c r="AT52" s="333"/>
      <c r="AU52" s="333"/>
      <c r="AV52" s="333"/>
      <c r="AW52" s="333"/>
      <c r="AX52" s="333"/>
      <c r="AY52" s="335"/>
      <c r="AZ52" s="333"/>
      <c r="BA52" s="333"/>
      <c r="BB52" s="333"/>
      <c r="BC52" s="333"/>
      <c r="BD52" s="333"/>
      <c r="BE52" s="335"/>
      <c r="BF52" s="335"/>
      <c r="BG52" s="333"/>
      <c r="BH52" s="333"/>
      <c r="BI52" s="333"/>
      <c r="BJ52" s="333"/>
      <c r="BK52" s="333"/>
      <c r="BL52" s="333"/>
      <c r="BM52" s="335"/>
      <c r="BN52" s="333"/>
      <c r="BO52" s="333"/>
      <c r="BP52" s="314"/>
      <c r="BQ52" s="314"/>
      <c r="BR52" s="314"/>
      <c r="BS52" s="316"/>
      <c r="BT52" s="316"/>
      <c r="BU52" s="314"/>
      <c r="BV52" s="314"/>
    </row>
    <row r="53" s="32" customFormat="1" ht="25" customHeight="1" spans="1:74">
      <c r="A53" s="349"/>
      <c r="B53" s="349" t="s">
        <v>73</v>
      </c>
      <c r="C53" s="333"/>
      <c r="D53" s="333"/>
      <c r="E53" s="333"/>
      <c r="F53" s="333"/>
      <c r="G53" s="333"/>
      <c r="H53" s="350"/>
      <c r="I53" s="334"/>
      <c r="J53" s="333"/>
      <c r="K53" s="333"/>
      <c r="L53" s="333"/>
      <c r="M53" s="333"/>
      <c r="N53" s="333"/>
      <c r="O53" s="335"/>
      <c r="P53" s="335"/>
      <c r="Q53" s="333"/>
      <c r="R53" s="333"/>
      <c r="S53" s="333"/>
      <c r="T53" s="333"/>
      <c r="U53" s="333"/>
      <c r="V53" s="335"/>
      <c r="W53" s="335"/>
      <c r="X53" s="335"/>
      <c r="Y53" s="335"/>
      <c r="Z53" s="335"/>
      <c r="AA53" s="335"/>
      <c r="AB53" s="335"/>
      <c r="AC53" s="335"/>
      <c r="AD53" s="335"/>
      <c r="AE53" s="333"/>
      <c r="AF53" s="333"/>
      <c r="AG53" s="333"/>
      <c r="AH53" s="333"/>
      <c r="AI53" s="333"/>
      <c r="AJ53" s="333"/>
      <c r="AK53" s="335"/>
      <c r="AL53" s="333"/>
      <c r="AM53" s="333"/>
      <c r="AN53" s="333"/>
      <c r="AO53" s="333"/>
      <c r="AP53" s="333"/>
      <c r="AQ53" s="335"/>
      <c r="AR53" s="335"/>
      <c r="AS53" s="333"/>
      <c r="AT53" s="333"/>
      <c r="AU53" s="333"/>
      <c r="AV53" s="333"/>
      <c r="AW53" s="333"/>
      <c r="AX53" s="333"/>
      <c r="AY53" s="335"/>
      <c r="AZ53" s="333"/>
      <c r="BA53" s="333"/>
      <c r="BB53" s="333"/>
      <c r="BC53" s="333"/>
      <c r="BD53" s="333"/>
      <c r="BE53" s="335"/>
      <c r="BF53" s="335"/>
      <c r="BG53" s="333"/>
      <c r="BH53" s="333"/>
      <c r="BI53" s="333"/>
      <c r="BJ53" s="333"/>
      <c r="BK53" s="333"/>
      <c r="BL53" s="333"/>
      <c r="BM53" s="335"/>
      <c r="BN53" s="333"/>
      <c r="BO53" s="333"/>
      <c r="BP53" s="314"/>
      <c r="BQ53" s="314"/>
      <c r="BR53" s="314"/>
      <c r="BS53" s="316"/>
      <c r="BT53" s="316"/>
      <c r="BU53" s="314"/>
      <c r="BV53" s="314"/>
    </row>
    <row r="54" s="32" customFormat="1" ht="25" customHeight="1" spans="1:74">
      <c r="A54" s="314"/>
      <c r="B54" s="349" t="s">
        <v>74</v>
      </c>
      <c r="C54" s="333"/>
      <c r="D54" s="333"/>
      <c r="E54" s="333"/>
      <c r="F54" s="333"/>
      <c r="G54" s="333"/>
      <c r="H54" s="333"/>
      <c r="I54" s="334"/>
      <c r="J54" s="333"/>
      <c r="K54" s="333"/>
      <c r="L54" s="350"/>
      <c r="M54" s="333"/>
      <c r="N54" s="333"/>
      <c r="O54" s="335"/>
      <c r="P54" s="335"/>
      <c r="Q54" s="333"/>
      <c r="R54" s="333"/>
      <c r="S54" s="333"/>
      <c r="T54" s="333"/>
      <c r="U54" s="333"/>
      <c r="V54" s="335"/>
      <c r="W54" s="335"/>
      <c r="X54" s="335"/>
      <c r="Y54" s="335"/>
      <c r="Z54" s="335"/>
      <c r="AA54" s="335"/>
      <c r="AB54" s="335"/>
      <c r="AC54" s="335"/>
      <c r="AD54" s="335"/>
      <c r="AE54" s="333"/>
      <c r="AF54" s="333"/>
      <c r="AG54" s="333"/>
      <c r="AH54" s="333"/>
      <c r="AI54" s="333"/>
      <c r="AJ54" s="333"/>
      <c r="AK54" s="335"/>
      <c r="AL54" s="333"/>
      <c r="AM54" s="333"/>
      <c r="AN54" s="333"/>
      <c r="AO54" s="333"/>
      <c r="AP54" s="333"/>
      <c r="AQ54" s="335"/>
      <c r="AR54" s="335"/>
      <c r="AS54" s="333"/>
      <c r="AT54" s="333"/>
      <c r="AU54" s="333"/>
      <c r="AV54" s="333"/>
      <c r="AW54" s="333"/>
      <c r="AX54" s="333"/>
      <c r="AY54" s="335"/>
      <c r="AZ54" s="333"/>
      <c r="BA54" s="333"/>
      <c r="BB54" s="333"/>
      <c r="BC54" s="333"/>
      <c r="BD54" s="333"/>
      <c r="BE54" s="335"/>
      <c r="BF54" s="335"/>
      <c r="BG54" s="333"/>
      <c r="BH54" s="333"/>
      <c r="BI54" s="333"/>
      <c r="BJ54" s="333"/>
      <c r="BK54" s="333"/>
      <c r="BL54" s="333"/>
      <c r="BM54" s="335"/>
      <c r="BN54" s="333"/>
      <c r="BO54" s="333"/>
      <c r="BP54" s="314"/>
      <c r="BQ54" s="314"/>
      <c r="BR54" s="314"/>
      <c r="BS54" s="316"/>
      <c r="BT54" s="316"/>
      <c r="BU54" s="314"/>
      <c r="BV54" s="314"/>
    </row>
    <row r="55" s="32" customFormat="1" ht="25" customHeight="1" spans="1:74">
      <c r="A55" s="349"/>
      <c r="B55" s="349" t="s">
        <v>75</v>
      </c>
      <c r="C55" s="333"/>
      <c r="D55" s="333"/>
      <c r="E55" s="333"/>
      <c r="F55" s="333"/>
      <c r="G55" s="333"/>
      <c r="H55" s="333"/>
      <c r="I55" s="334"/>
      <c r="J55" s="333"/>
      <c r="K55" s="333"/>
      <c r="L55" s="333"/>
      <c r="M55" s="350"/>
      <c r="N55" s="350"/>
      <c r="O55" s="335"/>
      <c r="P55" s="335"/>
      <c r="Q55" s="350"/>
      <c r="S55" s="333"/>
      <c r="T55" s="333"/>
      <c r="U55" s="333"/>
      <c r="V55" s="335"/>
      <c r="W55" s="335"/>
      <c r="X55" s="335"/>
      <c r="Y55" s="335"/>
      <c r="Z55" s="335"/>
      <c r="AA55" s="335"/>
      <c r="AB55" s="335"/>
      <c r="AC55" s="335"/>
      <c r="AD55" s="335"/>
      <c r="AE55" s="333"/>
      <c r="AF55" s="333"/>
      <c r="AG55" s="333"/>
      <c r="AH55" s="333"/>
      <c r="AI55" s="333"/>
      <c r="AJ55" s="333"/>
      <c r="AK55" s="335"/>
      <c r="AL55" s="333"/>
      <c r="AM55" s="333"/>
      <c r="AN55" s="333"/>
      <c r="AO55" s="333"/>
      <c r="AP55" s="333"/>
      <c r="AQ55" s="335"/>
      <c r="AR55" s="335"/>
      <c r="AS55" s="333"/>
      <c r="AT55" s="333"/>
      <c r="AU55" s="333"/>
      <c r="AV55" s="333"/>
      <c r="AW55" s="333"/>
      <c r="AX55" s="333"/>
      <c r="AY55" s="335"/>
      <c r="AZ55" s="333"/>
      <c r="BA55" s="333"/>
      <c r="BB55" s="333"/>
      <c r="BC55" s="333"/>
      <c r="BD55" s="333"/>
      <c r="BE55" s="335"/>
      <c r="BF55" s="335"/>
      <c r="BG55" s="333"/>
      <c r="BH55" s="333"/>
      <c r="BI55" s="333"/>
      <c r="BJ55" s="333"/>
      <c r="BK55" s="333"/>
      <c r="BL55" s="333"/>
      <c r="BM55" s="335"/>
      <c r="BN55" s="333"/>
      <c r="BO55" s="333"/>
      <c r="BP55" s="314"/>
      <c r="BQ55" s="314"/>
      <c r="BR55" s="314"/>
      <c r="BS55" s="316"/>
      <c r="BT55" s="316"/>
      <c r="BU55" s="314"/>
      <c r="BV55" s="314"/>
    </row>
    <row r="56" s="32" customFormat="1" ht="25" customHeight="1" spans="1:74">
      <c r="A56" s="349"/>
      <c r="B56" s="349" t="s">
        <v>76</v>
      </c>
      <c r="C56" s="333"/>
      <c r="D56" s="333"/>
      <c r="E56" s="333"/>
      <c r="F56" s="333"/>
      <c r="G56" s="333"/>
      <c r="H56" s="333"/>
      <c r="I56" s="334"/>
      <c r="J56" s="333"/>
      <c r="K56" s="333"/>
      <c r="M56" s="333"/>
      <c r="N56" s="333"/>
      <c r="O56" s="335"/>
      <c r="P56" s="335"/>
      <c r="Q56" s="333"/>
      <c r="R56" s="350"/>
      <c r="S56" s="333"/>
      <c r="T56" s="333"/>
      <c r="U56" s="333"/>
      <c r="V56" s="335"/>
      <c r="W56" s="335"/>
      <c r="X56" s="335"/>
      <c r="Y56" s="335"/>
      <c r="Z56" s="335"/>
      <c r="AA56" s="335"/>
      <c r="AB56" s="335"/>
      <c r="AC56" s="335"/>
      <c r="AD56" s="335"/>
      <c r="AE56" s="333"/>
      <c r="AF56" s="333"/>
      <c r="AG56" s="333"/>
      <c r="AH56" s="333"/>
      <c r="AI56" s="333"/>
      <c r="AJ56" s="333"/>
      <c r="AK56" s="335"/>
      <c r="AL56" s="333"/>
      <c r="AM56" s="333"/>
      <c r="AN56" s="333"/>
      <c r="AO56" s="333"/>
      <c r="AP56" s="333"/>
      <c r="AQ56" s="335"/>
      <c r="AR56" s="335"/>
      <c r="AS56" s="333"/>
      <c r="AT56" s="333"/>
      <c r="AU56" s="333"/>
      <c r="AV56" s="333"/>
      <c r="AW56" s="333"/>
      <c r="AX56" s="333"/>
      <c r="AY56" s="335"/>
      <c r="AZ56" s="333"/>
      <c r="BA56" s="333"/>
      <c r="BB56" s="333"/>
      <c r="BC56" s="333"/>
      <c r="BD56" s="333"/>
      <c r="BE56" s="335"/>
      <c r="BF56" s="335"/>
      <c r="BG56" s="333"/>
      <c r="BH56" s="333"/>
      <c r="BI56" s="333"/>
      <c r="BJ56" s="333"/>
      <c r="BK56" s="333"/>
      <c r="BL56" s="333"/>
      <c r="BM56" s="335"/>
      <c r="BN56" s="333"/>
      <c r="BO56" s="333"/>
      <c r="BP56" s="314"/>
      <c r="BQ56" s="314"/>
      <c r="BR56" s="314"/>
      <c r="BS56" s="316"/>
      <c r="BT56" s="316"/>
      <c r="BU56" s="314"/>
      <c r="BV56" s="314"/>
    </row>
    <row r="57" s="32" customFormat="1" ht="25" customHeight="1" spans="1:74">
      <c r="A57" s="349"/>
      <c r="B57" s="349" t="s">
        <v>77</v>
      </c>
      <c r="C57" s="333"/>
      <c r="D57" s="333"/>
      <c r="E57" s="333"/>
      <c r="F57" s="333"/>
      <c r="G57" s="333"/>
      <c r="H57" s="333"/>
      <c r="I57" s="334"/>
      <c r="J57" s="333"/>
      <c r="K57" s="333"/>
      <c r="L57" s="333"/>
      <c r="M57" s="333"/>
      <c r="N57" s="333"/>
      <c r="O57" s="335"/>
      <c r="P57" s="335"/>
      <c r="R57" s="333"/>
      <c r="S57" s="350"/>
      <c r="T57" s="350"/>
      <c r="U57" s="350"/>
      <c r="V57" s="335"/>
      <c r="W57" s="335"/>
      <c r="X57" s="335"/>
      <c r="Y57" s="335"/>
      <c r="Z57" s="335"/>
      <c r="AA57" s="335"/>
      <c r="AB57" s="335"/>
      <c r="AC57" s="335"/>
      <c r="AD57" s="335"/>
      <c r="AE57" s="333"/>
      <c r="AF57" s="333"/>
      <c r="AG57" s="333"/>
      <c r="AH57" s="333"/>
      <c r="AI57" s="333"/>
      <c r="AJ57" s="333"/>
      <c r="AK57" s="335"/>
      <c r="AL57" s="333"/>
      <c r="AM57" s="333"/>
      <c r="AN57" s="333"/>
      <c r="AO57" s="333"/>
      <c r="AP57" s="333"/>
      <c r="AQ57" s="335"/>
      <c r="AR57" s="335"/>
      <c r="AS57" s="333"/>
      <c r="AT57" s="333"/>
      <c r="AU57" s="333"/>
      <c r="AV57" s="333"/>
      <c r="AW57" s="333"/>
      <c r="AX57" s="333"/>
      <c r="AY57" s="335"/>
      <c r="AZ57" s="333"/>
      <c r="BA57" s="333"/>
      <c r="BB57" s="333"/>
      <c r="BC57" s="333"/>
      <c r="BD57" s="333"/>
      <c r="BE57" s="335"/>
      <c r="BF57" s="335"/>
      <c r="BG57" s="333"/>
      <c r="BH57" s="333"/>
      <c r="BI57" s="333"/>
      <c r="BJ57" s="333"/>
      <c r="BK57" s="333"/>
      <c r="BL57" s="333"/>
      <c r="BM57" s="335"/>
      <c r="BN57" s="333"/>
      <c r="BO57" s="333"/>
      <c r="BP57" s="314"/>
      <c r="BQ57" s="314"/>
      <c r="BR57" s="314"/>
      <c r="BS57" s="316"/>
      <c r="BT57" s="316"/>
      <c r="BU57" s="314"/>
      <c r="BV57" s="314"/>
    </row>
    <row r="58" s="32" customFormat="1" ht="25" customHeight="1" spans="1:74">
      <c r="A58" s="349"/>
      <c r="B58" s="349" t="s">
        <v>78</v>
      </c>
      <c r="C58" s="333"/>
      <c r="D58" s="333"/>
      <c r="E58" s="333"/>
      <c r="F58" s="333"/>
      <c r="G58" s="333"/>
      <c r="H58" s="333"/>
      <c r="I58" s="334"/>
      <c r="J58" s="333"/>
      <c r="K58" s="333"/>
      <c r="L58" s="333"/>
      <c r="M58" s="333"/>
      <c r="N58" s="333"/>
      <c r="O58" s="335"/>
      <c r="P58" s="335"/>
      <c r="Q58" s="333"/>
      <c r="R58" s="333"/>
      <c r="S58" s="333"/>
      <c r="T58" s="333"/>
      <c r="U58" s="350"/>
      <c r="V58" s="335"/>
      <c r="W58" s="335"/>
      <c r="X58" s="335"/>
      <c r="Y58" s="335"/>
      <c r="Z58" s="335"/>
      <c r="AA58" s="335"/>
      <c r="AB58" s="335"/>
      <c r="AC58" s="335"/>
      <c r="AD58" s="335"/>
      <c r="AE58" s="350"/>
      <c r="AF58" s="333"/>
      <c r="AG58" s="333"/>
      <c r="AH58" s="333"/>
      <c r="AI58" s="333"/>
      <c r="AJ58" s="333"/>
      <c r="AK58" s="335"/>
      <c r="AL58" s="333"/>
      <c r="AM58" s="333"/>
      <c r="AN58" s="333"/>
      <c r="AO58" s="333"/>
      <c r="AP58" s="333"/>
      <c r="AQ58" s="335"/>
      <c r="AR58" s="335"/>
      <c r="AS58" s="333"/>
      <c r="AT58" s="333"/>
      <c r="AU58" s="333"/>
      <c r="AV58" s="333"/>
      <c r="AW58" s="333"/>
      <c r="AX58" s="333"/>
      <c r="AY58" s="335"/>
      <c r="AZ58" s="333"/>
      <c r="BA58" s="333"/>
      <c r="BB58" s="333"/>
      <c r="BC58" s="333"/>
      <c r="BD58" s="333"/>
      <c r="BE58" s="335"/>
      <c r="BF58" s="335"/>
      <c r="BG58" s="333"/>
      <c r="BH58" s="333"/>
      <c r="BI58" s="333"/>
      <c r="BJ58" s="333"/>
      <c r="BK58" s="333"/>
      <c r="BL58" s="333"/>
      <c r="BM58" s="335"/>
      <c r="BN58" s="333"/>
      <c r="BO58" s="333"/>
      <c r="BP58" s="314"/>
      <c r="BQ58" s="314"/>
      <c r="BR58" s="314"/>
      <c r="BS58" s="316"/>
      <c r="BT58" s="316"/>
      <c r="BU58" s="314"/>
      <c r="BV58" s="314"/>
    </row>
    <row r="59" s="32" customFormat="1" ht="25" customHeight="1" spans="1:74">
      <c r="A59" s="349"/>
      <c r="B59" s="349" t="s">
        <v>79</v>
      </c>
      <c r="C59" s="333"/>
      <c r="D59" s="333"/>
      <c r="E59" s="333"/>
      <c r="F59" s="333"/>
      <c r="G59" s="333"/>
      <c r="H59" s="333"/>
      <c r="I59" s="334"/>
      <c r="J59" s="333"/>
      <c r="K59" s="333"/>
      <c r="L59" s="333"/>
      <c r="M59" s="333"/>
      <c r="N59" s="333"/>
      <c r="O59" s="335"/>
      <c r="P59" s="335"/>
      <c r="Q59" s="333"/>
      <c r="R59" s="333"/>
      <c r="S59" s="333"/>
      <c r="T59" s="333"/>
      <c r="U59" s="333"/>
      <c r="V59" s="335"/>
      <c r="W59" s="335"/>
      <c r="X59" s="335"/>
      <c r="Y59" s="335"/>
      <c r="Z59" s="335"/>
      <c r="AA59" s="335"/>
      <c r="AB59" s="335"/>
      <c r="AC59" s="335"/>
      <c r="AD59" s="335"/>
      <c r="AF59" s="350"/>
      <c r="AG59" s="333"/>
      <c r="AH59" s="333"/>
      <c r="AI59" s="333"/>
      <c r="AJ59" s="333"/>
      <c r="AK59" s="335"/>
      <c r="AL59" s="333"/>
      <c r="AM59" s="333"/>
      <c r="AN59" s="333"/>
      <c r="AO59" s="333"/>
      <c r="AP59" s="333"/>
      <c r="AQ59" s="335"/>
      <c r="AR59" s="335"/>
      <c r="AS59" s="333"/>
      <c r="AT59" s="333"/>
      <c r="AU59" s="333"/>
      <c r="AV59" s="333"/>
      <c r="AW59" s="333"/>
      <c r="AX59" s="333"/>
      <c r="AY59" s="335"/>
      <c r="AZ59" s="333"/>
      <c r="BA59" s="333"/>
      <c r="BB59" s="333"/>
      <c r="BC59" s="333"/>
      <c r="BD59" s="333"/>
      <c r="BE59" s="335"/>
      <c r="BF59" s="335"/>
      <c r="BG59" s="333"/>
      <c r="BH59" s="333"/>
      <c r="BI59" s="333"/>
      <c r="BJ59" s="333"/>
      <c r="BK59" s="333"/>
      <c r="BL59" s="333"/>
      <c r="BM59" s="335"/>
      <c r="BN59" s="333"/>
      <c r="BO59" s="333"/>
      <c r="BP59" s="314"/>
      <c r="BQ59" s="314"/>
      <c r="BR59" s="314"/>
      <c r="BS59" s="316"/>
      <c r="BT59" s="316"/>
      <c r="BU59" s="314"/>
      <c r="BV59" s="314"/>
    </row>
    <row r="60" s="32" customFormat="1" ht="25" customHeight="1" spans="1:74">
      <c r="A60" s="314"/>
      <c r="B60" s="349" t="s">
        <v>80</v>
      </c>
      <c r="C60" s="333"/>
      <c r="D60" s="333"/>
      <c r="E60" s="333"/>
      <c r="F60" s="333"/>
      <c r="G60" s="333"/>
      <c r="H60" s="333"/>
      <c r="I60" s="334"/>
      <c r="J60" s="333"/>
      <c r="K60" s="333"/>
      <c r="L60" s="333"/>
      <c r="M60" s="333"/>
      <c r="N60" s="333"/>
      <c r="O60" s="334"/>
      <c r="P60" s="334"/>
      <c r="Q60" s="333"/>
      <c r="R60" s="333"/>
      <c r="S60" s="333"/>
      <c r="T60" s="333"/>
      <c r="U60" s="333"/>
      <c r="V60" s="334"/>
      <c r="W60" s="334"/>
      <c r="X60" s="334"/>
      <c r="Y60" s="334"/>
      <c r="Z60" s="334"/>
      <c r="AA60" s="334"/>
      <c r="AB60" s="334"/>
      <c r="AC60" s="335"/>
      <c r="AD60" s="335"/>
      <c r="AE60" s="333"/>
      <c r="AG60" s="353"/>
      <c r="AH60" s="350"/>
      <c r="AI60" s="333"/>
      <c r="AJ60" s="333"/>
      <c r="AK60" s="334"/>
      <c r="AL60" s="333"/>
      <c r="AM60" s="333"/>
      <c r="AN60" s="333"/>
      <c r="AO60" s="333"/>
      <c r="AP60" s="333"/>
      <c r="AQ60" s="334"/>
      <c r="AR60" s="334"/>
      <c r="AS60" s="333"/>
      <c r="AT60" s="333"/>
      <c r="AU60" s="333"/>
      <c r="AV60" s="333"/>
      <c r="AW60" s="333"/>
      <c r="AX60" s="333"/>
      <c r="AY60" s="334"/>
      <c r="AZ60" s="333"/>
      <c r="BA60" s="333"/>
      <c r="BB60" s="333"/>
      <c r="BC60" s="333"/>
      <c r="BD60" s="333"/>
      <c r="BE60" s="334"/>
      <c r="BF60" s="334"/>
      <c r="BG60" s="333"/>
      <c r="BH60" s="333"/>
      <c r="BI60" s="333"/>
      <c r="BJ60" s="333"/>
      <c r="BK60" s="333"/>
      <c r="BL60" s="333"/>
      <c r="BM60" s="334"/>
      <c r="BN60" s="333"/>
      <c r="BO60" s="333"/>
      <c r="BP60" s="314"/>
      <c r="BQ60" s="314"/>
      <c r="BR60" s="314"/>
      <c r="BS60" s="316"/>
      <c r="BT60" s="316"/>
      <c r="BU60" s="314"/>
      <c r="BV60" s="314"/>
    </row>
    <row r="61" s="32" customFormat="1" ht="25" customHeight="1" spans="1:74">
      <c r="A61" s="349"/>
      <c r="B61" s="349" t="s">
        <v>81</v>
      </c>
      <c r="C61" s="333"/>
      <c r="D61" s="333"/>
      <c r="E61" s="333"/>
      <c r="F61" s="333"/>
      <c r="G61" s="333"/>
      <c r="H61" s="333"/>
      <c r="I61" s="334"/>
      <c r="J61" s="333"/>
      <c r="K61" s="333"/>
      <c r="L61" s="333"/>
      <c r="M61" s="333"/>
      <c r="N61" s="333"/>
      <c r="O61" s="335"/>
      <c r="P61" s="335"/>
      <c r="Q61" s="333"/>
      <c r="R61" s="333"/>
      <c r="S61" s="333"/>
      <c r="T61" s="333"/>
      <c r="U61" s="333"/>
      <c r="V61" s="335"/>
      <c r="W61" s="335"/>
      <c r="X61" s="335"/>
      <c r="Y61" s="335"/>
      <c r="Z61" s="335"/>
      <c r="AA61" s="335"/>
      <c r="AB61" s="335"/>
      <c r="AC61" s="335"/>
      <c r="AD61" s="335"/>
      <c r="AE61" s="333"/>
      <c r="AF61" s="333"/>
      <c r="AG61" s="333"/>
      <c r="AH61" s="333"/>
      <c r="AI61" s="350"/>
      <c r="AJ61" s="350"/>
      <c r="AK61" s="335"/>
      <c r="AL61" s="333"/>
      <c r="AM61" s="333"/>
      <c r="AN61" s="333"/>
      <c r="AO61" s="333"/>
      <c r="AP61" s="333"/>
      <c r="AQ61" s="335"/>
      <c r="AR61" s="335"/>
      <c r="AS61" s="333"/>
      <c r="AT61" s="333"/>
      <c r="AU61" s="333"/>
      <c r="AV61" s="333"/>
      <c r="AW61" s="333"/>
      <c r="AX61" s="333"/>
      <c r="AY61" s="335"/>
      <c r="AZ61" s="333"/>
      <c r="BA61" s="333"/>
      <c r="BB61" s="333"/>
      <c r="BC61" s="333"/>
      <c r="BD61" s="333"/>
      <c r="BE61" s="335"/>
      <c r="BF61" s="335"/>
      <c r="BG61" s="333"/>
      <c r="BH61" s="333"/>
      <c r="BI61" s="333"/>
      <c r="BJ61" s="333"/>
      <c r="BK61" s="333"/>
      <c r="BL61" s="333"/>
      <c r="BM61" s="335"/>
      <c r="BN61" s="333"/>
      <c r="BO61" s="333"/>
      <c r="BP61" s="314"/>
      <c r="BQ61" s="314"/>
      <c r="BR61" s="314"/>
      <c r="BS61" s="316"/>
      <c r="BT61" s="316"/>
      <c r="BU61" s="314"/>
      <c r="BV61" s="314"/>
    </row>
    <row r="62" s="32" customFormat="1" ht="25" customHeight="1" spans="1:74">
      <c r="A62" s="349"/>
      <c r="B62" s="349" t="s">
        <v>82</v>
      </c>
      <c r="C62" s="333"/>
      <c r="D62" s="333"/>
      <c r="E62" s="333"/>
      <c r="F62" s="333"/>
      <c r="G62" s="333"/>
      <c r="H62" s="333"/>
      <c r="I62" s="334"/>
      <c r="J62" s="333"/>
      <c r="K62" s="333"/>
      <c r="L62" s="333"/>
      <c r="M62" s="333"/>
      <c r="N62" s="333"/>
      <c r="O62" s="335"/>
      <c r="P62" s="335"/>
      <c r="Q62" s="333"/>
      <c r="R62" s="333"/>
      <c r="S62" s="333"/>
      <c r="T62" s="333"/>
      <c r="U62" s="333"/>
      <c r="V62" s="335"/>
      <c r="W62" s="335"/>
      <c r="X62" s="335"/>
      <c r="Y62" s="335"/>
      <c r="Z62" s="335"/>
      <c r="AA62" s="335"/>
      <c r="AB62" s="335"/>
      <c r="AC62" s="335"/>
      <c r="AD62" s="335"/>
      <c r="AE62" s="333"/>
      <c r="AF62" s="333"/>
      <c r="AG62" s="333"/>
      <c r="AH62" s="333"/>
      <c r="AI62" s="333"/>
      <c r="AJ62" s="333"/>
      <c r="AK62" s="335"/>
      <c r="AL62" s="350"/>
      <c r="AM62" s="333"/>
      <c r="AN62" s="333"/>
      <c r="AO62" s="333"/>
      <c r="AP62" s="333"/>
      <c r="AQ62" s="335"/>
      <c r="AR62" s="335"/>
      <c r="AS62" s="333"/>
      <c r="AT62" s="333"/>
      <c r="AU62" s="333"/>
      <c r="AV62" s="333"/>
      <c r="AW62" s="333"/>
      <c r="AX62" s="333"/>
      <c r="AY62" s="335"/>
      <c r="AZ62" s="333"/>
      <c r="BA62" s="333"/>
      <c r="BB62" s="333"/>
      <c r="BC62" s="333"/>
      <c r="BD62" s="333"/>
      <c r="BE62" s="335"/>
      <c r="BF62" s="335"/>
      <c r="BG62" s="333"/>
      <c r="BH62" s="333"/>
      <c r="BI62" s="333"/>
      <c r="BJ62" s="333"/>
      <c r="BK62" s="333"/>
      <c r="BL62" s="333"/>
      <c r="BM62" s="335"/>
      <c r="BN62" s="333"/>
      <c r="BO62" s="333"/>
      <c r="BP62" s="314"/>
      <c r="BQ62" s="314"/>
      <c r="BR62" s="314"/>
      <c r="BS62" s="316"/>
      <c r="BT62" s="316"/>
      <c r="BU62" s="314"/>
      <c r="BV62" s="314"/>
    </row>
    <row r="63" s="32" customFormat="1" ht="25" customHeight="1" spans="1:74">
      <c r="A63" s="349"/>
      <c r="B63" s="349" t="s">
        <v>83</v>
      </c>
      <c r="C63" s="333"/>
      <c r="D63" s="333"/>
      <c r="E63" s="333"/>
      <c r="F63" s="333"/>
      <c r="G63" s="333"/>
      <c r="H63" s="333"/>
      <c r="I63" s="334"/>
      <c r="J63" s="333"/>
      <c r="K63" s="333"/>
      <c r="L63" s="333"/>
      <c r="M63" s="333"/>
      <c r="N63" s="333"/>
      <c r="O63" s="335"/>
      <c r="P63" s="335"/>
      <c r="Q63" s="333"/>
      <c r="R63" s="333"/>
      <c r="S63" s="333"/>
      <c r="T63" s="333"/>
      <c r="U63" s="333"/>
      <c r="V63" s="335"/>
      <c r="W63" s="335"/>
      <c r="X63" s="335"/>
      <c r="Y63" s="335"/>
      <c r="Z63" s="335"/>
      <c r="AA63" s="335"/>
      <c r="AB63" s="335"/>
      <c r="AC63" s="335"/>
      <c r="AD63" s="335"/>
      <c r="AE63" s="333"/>
      <c r="AF63" s="333"/>
      <c r="AG63" s="333"/>
      <c r="AH63" s="333"/>
      <c r="AI63" s="333"/>
      <c r="AJ63" s="333"/>
      <c r="AK63" s="335"/>
      <c r="AL63" s="333"/>
      <c r="AM63" s="350"/>
      <c r="AN63" s="333"/>
      <c r="AO63" s="333"/>
      <c r="AP63" s="333"/>
      <c r="AQ63" s="335"/>
      <c r="AR63" s="335"/>
      <c r="AS63" s="333"/>
      <c r="AT63" s="333"/>
      <c r="AU63" s="333"/>
      <c r="AV63" s="333"/>
      <c r="AW63" s="333"/>
      <c r="AX63" s="333"/>
      <c r="AY63" s="335"/>
      <c r="AZ63" s="333"/>
      <c r="BA63" s="333"/>
      <c r="BB63" s="333"/>
      <c r="BC63" s="333"/>
      <c r="BD63" s="333"/>
      <c r="BE63" s="335"/>
      <c r="BF63" s="335"/>
      <c r="BG63" s="333"/>
      <c r="BH63" s="333"/>
      <c r="BI63" s="333"/>
      <c r="BJ63" s="333"/>
      <c r="BK63" s="333"/>
      <c r="BL63" s="333"/>
      <c r="BM63" s="335"/>
      <c r="BN63" s="333"/>
      <c r="BO63" s="333"/>
      <c r="BP63" s="314"/>
      <c r="BQ63" s="314"/>
      <c r="BR63" s="314"/>
      <c r="BS63" s="316"/>
      <c r="BT63" s="316"/>
      <c r="BU63" s="314"/>
      <c r="BV63" s="314"/>
    </row>
    <row r="64" s="32" customFormat="1" ht="25" customHeight="1" spans="1:74">
      <c r="A64" s="340" t="s">
        <v>84</v>
      </c>
      <c r="B64" s="340" t="s">
        <v>85</v>
      </c>
      <c r="C64" s="333"/>
      <c r="D64" s="333"/>
      <c r="E64" s="333"/>
      <c r="F64" s="333"/>
      <c r="G64" s="333"/>
      <c r="H64" s="333"/>
      <c r="I64" s="334"/>
      <c r="J64" s="333"/>
      <c r="K64" s="333"/>
      <c r="L64" s="333"/>
      <c r="M64" s="333"/>
      <c r="N64" s="333"/>
      <c r="O64" s="335"/>
      <c r="P64" s="335"/>
      <c r="Q64" s="333"/>
      <c r="R64" s="333"/>
      <c r="S64" s="333"/>
      <c r="T64" s="333"/>
      <c r="U64" s="333"/>
      <c r="V64" s="335"/>
      <c r="W64" s="335"/>
      <c r="X64" s="335"/>
      <c r="Y64" s="335"/>
      <c r="Z64" s="335"/>
      <c r="AA64" s="335"/>
      <c r="AB64" s="335"/>
      <c r="AC64" s="335"/>
      <c r="AD64" s="335"/>
      <c r="AE64" s="343"/>
      <c r="AF64" s="343"/>
      <c r="AG64" s="333"/>
      <c r="AH64" s="333"/>
      <c r="AI64" s="333"/>
      <c r="AJ64" s="333"/>
      <c r="AK64" s="335"/>
      <c r="AL64" s="333"/>
      <c r="AM64" s="333"/>
      <c r="AN64" s="333"/>
      <c r="AO64" s="333"/>
      <c r="AP64" s="333"/>
      <c r="AQ64" s="335"/>
      <c r="AR64" s="335"/>
      <c r="AS64" s="333"/>
      <c r="AT64" s="333"/>
      <c r="AU64" s="333"/>
      <c r="AV64" s="333"/>
      <c r="AW64" s="333"/>
      <c r="AX64" s="333"/>
      <c r="AY64" s="335"/>
      <c r="AZ64" s="333"/>
      <c r="BA64" s="333"/>
      <c r="BB64" s="333"/>
      <c r="BC64" s="333"/>
      <c r="BD64" s="333"/>
      <c r="BE64" s="335"/>
      <c r="BF64" s="335"/>
      <c r="BG64" s="333"/>
      <c r="BH64" s="333"/>
      <c r="BI64" s="333"/>
      <c r="BJ64" s="333"/>
      <c r="BK64" s="333"/>
      <c r="BL64" s="333"/>
      <c r="BM64" s="335"/>
      <c r="BN64" s="333"/>
      <c r="BO64" s="333"/>
      <c r="BP64" s="314"/>
      <c r="BQ64" s="314"/>
      <c r="BR64" s="314"/>
      <c r="BS64" s="316"/>
      <c r="BT64" s="316"/>
      <c r="BU64" s="314"/>
      <c r="BV64" s="314"/>
    </row>
    <row r="65" s="32" customFormat="1" ht="25" customHeight="1" spans="1:74 14505:16384">
      <c r="A65" s="340"/>
      <c r="B65" s="340" t="s">
        <v>86</v>
      </c>
      <c r="C65" s="333"/>
      <c r="D65" s="333"/>
      <c r="E65" s="333"/>
      <c r="F65" s="333"/>
      <c r="G65" s="333"/>
      <c r="H65" s="333"/>
      <c r="I65" s="334"/>
      <c r="J65" s="333"/>
      <c r="K65" s="333"/>
      <c r="L65" s="333"/>
      <c r="M65" s="333"/>
      <c r="N65" s="333"/>
      <c r="O65" s="335"/>
      <c r="P65" s="335"/>
      <c r="Q65" s="333"/>
      <c r="R65" s="333"/>
      <c r="S65" s="333"/>
      <c r="T65" s="333"/>
      <c r="U65" s="333"/>
      <c r="V65" s="335"/>
      <c r="W65" s="335"/>
      <c r="X65" s="335"/>
      <c r="Y65" s="335"/>
      <c r="Z65" s="335"/>
      <c r="AA65" s="335"/>
      <c r="AB65" s="335"/>
      <c r="AC65" s="335"/>
      <c r="AD65" s="335"/>
      <c r="AE65" s="333"/>
      <c r="AF65" s="333"/>
      <c r="AG65" s="343"/>
      <c r="AH65" s="333"/>
      <c r="AI65" s="333"/>
      <c r="AJ65" s="333"/>
      <c r="AK65" s="335"/>
      <c r="AL65" s="333"/>
      <c r="AM65" s="333"/>
      <c r="AN65" s="333"/>
      <c r="AO65" s="333"/>
      <c r="AP65" s="333"/>
      <c r="AQ65" s="335"/>
      <c r="AR65" s="335"/>
      <c r="AS65" s="333"/>
      <c r="AT65" s="333"/>
      <c r="AU65" s="333"/>
      <c r="AV65" s="333"/>
      <c r="AW65" s="333"/>
      <c r="AX65" s="333"/>
      <c r="AY65" s="335"/>
      <c r="AZ65" s="333"/>
      <c r="BA65" s="333"/>
      <c r="BB65" s="333"/>
      <c r="BC65" s="333"/>
      <c r="BD65" s="333"/>
      <c r="BE65" s="335"/>
      <c r="BF65" s="335"/>
      <c r="BG65" s="333"/>
      <c r="BH65" s="333"/>
      <c r="BI65" s="333"/>
      <c r="BJ65" s="333"/>
      <c r="BK65" s="333"/>
      <c r="BL65" s="333"/>
      <c r="BM65" s="335"/>
      <c r="BN65" s="333"/>
      <c r="BO65" s="333"/>
      <c r="BP65" s="314"/>
      <c r="BQ65" s="314"/>
      <c r="BR65" s="314"/>
      <c r="BS65" s="316"/>
      <c r="BT65" s="316"/>
      <c r="BU65" s="314"/>
      <c r="BV65" s="314"/>
    </row>
    <row r="66" s="32" customFormat="1" ht="25" customHeight="1" spans="1:74 14505:16384">
      <c r="A66" s="340"/>
      <c r="B66" s="340" t="s">
        <v>87</v>
      </c>
      <c r="C66" s="333"/>
      <c r="D66" s="333"/>
      <c r="E66" s="333"/>
      <c r="F66" s="333"/>
      <c r="G66" s="333"/>
      <c r="H66" s="333"/>
      <c r="I66" s="334"/>
      <c r="J66" s="333"/>
      <c r="K66" s="333"/>
      <c r="L66" s="333"/>
      <c r="M66" s="333"/>
      <c r="N66" s="333"/>
      <c r="O66" s="335"/>
      <c r="P66" s="335"/>
      <c r="Q66" s="333"/>
      <c r="R66" s="333"/>
      <c r="S66" s="333"/>
      <c r="T66" s="333"/>
      <c r="U66" s="333"/>
      <c r="V66" s="335"/>
      <c r="W66" s="335"/>
      <c r="X66" s="335"/>
      <c r="Y66" s="335"/>
      <c r="Z66" s="335"/>
      <c r="AA66" s="335"/>
      <c r="AB66" s="335"/>
      <c r="AC66" s="335"/>
      <c r="AD66" s="335"/>
      <c r="AE66" s="333"/>
      <c r="AF66" s="333"/>
      <c r="AG66" s="333"/>
      <c r="AH66" s="343"/>
      <c r="AI66" s="343"/>
      <c r="AJ66" s="343"/>
      <c r="AK66" s="335"/>
      <c r="AL66" s="343"/>
      <c r="AM66" s="343"/>
      <c r="AN66" s="343"/>
      <c r="AO66" s="333"/>
      <c r="AP66" s="333"/>
      <c r="AQ66" s="335"/>
      <c r="AR66" s="335"/>
      <c r="AS66" s="333"/>
      <c r="AT66" s="333"/>
      <c r="AU66" s="333"/>
      <c r="AV66" s="333"/>
      <c r="AW66" s="333"/>
      <c r="AX66" s="333"/>
      <c r="AY66" s="335"/>
      <c r="AZ66" s="333"/>
      <c r="BA66" s="333"/>
      <c r="BB66" s="333"/>
      <c r="BC66" s="333"/>
      <c r="BD66" s="333"/>
      <c r="BE66" s="335"/>
      <c r="BF66" s="335"/>
      <c r="BG66" s="333"/>
      <c r="BH66" s="333"/>
      <c r="BI66" s="333"/>
      <c r="BJ66" s="333"/>
      <c r="BK66" s="333"/>
      <c r="BL66" s="333"/>
      <c r="BM66" s="335"/>
      <c r="BN66" s="333"/>
      <c r="BO66" s="333"/>
      <c r="BP66" s="314"/>
      <c r="BQ66" s="314"/>
      <c r="BR66" s="314"/>
      <c r="BS66" s="316"/>
      <c r="BT66" s="316"/>
      <c r="BU66" s="314"/>
      <c r="BV66" s="314"/>
    </row>
    <row r="67" s="32" customFormat="1" ht="25" customHeight="1" spans="1:74 14505:16384">
      <c r="A67" s="340"/>
      <c r="B67" s="340" t="s">
        <v>88</v>
      </c>
      <c r="C67" s="333"/>
      <c r="D67" s="333"/>
      <c r="E67" s="333"/>
      <c r="F67" s="333"/>
      <c r="G67" s="333"/>
      <c r="H67" s="333"/>
      <c r="I67" s="334"/>
      <c r="J67" s="333"/>
      <c r="K67" s="333"/>
      <c r="L67" s="333"/>
      <c r="M67" s="333"/>
      <c r="N67" s="333"/>
      <c r="O67" s="335"/>
      <c r="P67" s="335"/>
      <c r="Q67" s="333"/>
      <c r="R67" s="333"/>
      <c r="S67" s="333"/>
      <c r="T67" s="333"/>
      <c r="U67" s="333"/>
      <c r="V67" s="335"/>
      <c r="W67" s="335"/>
      <c r="X67" s="335"/>
      <c r="Y67" s="335"/>
      <c r="Z67" s="335"/>
      <c r="AA67" s="335"/>
      <c r="AB67" s="335"/>
      <c r="AC67" s="335"/>
      <c r="AD67" s="335"/>
      <c r="AE67" s="333"/>
      <c r="AF67" s="333"/>
      <c r="AG67" s="333"/>
      <c r="AH67" s="333"/>
      <c r="AI67" s="333"/>
      <c r="AJ67" s="333"/>
      <c r="AK67" s="335"/>
      <c r="AL67" s="333"/>
      <c r="AN67" s="333"/>
      <c r="AO67" s="343"/>
      <c r="AP67" s="333"/>
      <c r="AQ67" s="335"/>
      <c r="AR67" s="335"/>
      <c r="AS67" s="333"/>
      <c r="AT67" s="333"/>
      <c r="AU67" s="333"/>
      <c r="AV67" s="333"/>
      <c r="AW67" s="333"/>
      <c r="AX67" s="333"/>
      <c r="AY67" s="335"/>
      <c r="AZ67" s="333"/>
      <c r="BA67" s="333"/>
      <c r="BB67" s="333"/>
      <c r="BC67" s="333"/>
      <c r="BD67" s="333"/>
      <c r="BE67" s="335"/>
      <c r="BF67" s="335"/>
      <c r="BG67" s="333"/>
      <c r="BH67" s="333"/>
      <c r="BI67" s="333"/>
      <c r="BJ67" s="333"/>
      <c r="BK67" s="333"/>
      <c r="BL67" s="333"/>
      <c r="BM67" s="335"/>
      <c r="BN67" s="333"/>
      <c r="BO67" s="333"/>
      <c r="BP67" s="314"/>
      <c r="BQ67" s="314"/>
      <c r="BR67" s="314"/>
      <c r="BS67" s="316"/>
      <c r="BT67" s="316"/>
      <c r="BU67" s="314"/>
      <c r="BV67" s="314"/>
    </row>
    <row r="68" s="32" customFormat="1" ht="33" customHeight="1" spans="1:74 14505:16384">
      <c r="A68" s="340"/>
      <c r="B68" s="340" t="s">
        <v>89</v>
      </c>
      <c r="C68" s="333"/>
      <c r="D68" s="333"/>
      <c r="E68" s="333"/>
      <c r="F68" s="333"/>
      <c r="G68" s="333"/>
      <c r="H68" s="333"/>
      <c r="I68" s="334"/>
      <c r="J68" s="333"/>
      <c r="K68" s="333"/>
      <c r="L68" s="333"/>
      <c r="M68" s="333"/>
      <c r="N68" s="333"/>
      <c r="O68" s="335"/>
      <c r="P68" s="335"/>
      <c r="Q68" s="333"/>
      <c r="R68" s="333"/>
      <c r="S68" s="333"/>
      <c r="T68" s="333"/>
      <c r="U68" s="333"/>
      <c r="V68" s="335"/>
      <c r="W68" s="335"/>
      <c r="X68" s="335"/>
      <c r="Y68" s="335"/>
      <c r="Z68" s="335"/>
      <c r="AA68" s="335"/>
      <c r="AB68" s="335"/>
      <c r="AC68" s="335"/>
      <c r="AD68" s="335"/>
      <c r="AE68" s="333"/>
      <c r="AF68" s="333"/>
      <c r="AG68" s="333"/>
      <c r="AH68" s="333"/>
      <c r="AI68" s="333"/>
      <c r="AJ68" s="333"/>
      <c r="AK68" s="335"/>
      <c r="AL68" s="333"/>
      <c r="AM68" s="333"/>
      <c r="AO68" s="333"/>
      <c r="AP68" s="343"/>
      <c r="AQ68" s="335"/>
      <c r="AR68" s="335"/>
      <c r="AS68" s="333"/>
      <c r="AT68" s="333"/>
      <c r="AU68" s="333"/>
      <c r="AV68" s="333"/>
      <c r="AW68" s="333"/>
      <c r="AX68" s="333"/>
      <c r="AY68" s="335"/>
      <c r="AZ68" s="333"/>
      <c r="BA68" s="333"/>
      <c r="BB68" s="333"/>
      <c r="BC68" s="333"/>
      <c r="BD68" s="333"/>
      <c r="BE68" s="335"/>
      <c r="BF68" s="335"/>
      <c r="BG68" s="333"/>
      <c r="BH68" s="333"/>
      <c r="BI68" s="333"/>
      <c r="BJ68" s="333"/>
      <c r="BK68" s="333"/>
      <c r="BL68" s="333"/>
      <c r="BM68" s="335"/>
      <c r="BN68" s="333"/>
      <c r="BO68" s="333"/>
      <c r="BP68" s="314"/>
      <c r="BQ68" s="314"/>
      <c r="BR68" s="314"/>
      <c r="BS68" s="316"/>
      <c r="BT68" s="316"/>
      <c r="BU68" s="314"/>
      <c r="BV68" s="314"/>
    </row>
    <row r="69" s="32" customFormat="1" ht="25" customHeight="1" spans="1:74 14505:16384">
      <c r="A69" s="314"/>
      <c r="B69" s="340" t="s">
        <v>90</v>
      </c>
      <c r="C69" s="333"/>
      <c r="D69" s="333"/>
      <c r="E69" s="333"/>
      <c r="F69" s="333"/>
      <c r="G69" s="333"/>
      <c r="H69" s="333"/>
      <c r="I69" s="334"/>
      <c r="J69" s="333"/>
      <c r="K69" s="333"/>
      <c r="L69" s="333"/>
      <c r="M69" s="333"/>
      <c r="N69" s="333"/>
      <c r="O69" s="335"/>
      <c r="P69" s="335"/>
      <c r="Q69" s="333"/>
      <c r="R69" s="333"/>
      <c r="S69" s="333"/>
      <c r="T69" s="333"/>
      <c r="U69" s="333"/>
      <c r="V69" s="335"/>
      <c r="W69" s="335"/>
      <c r="X69" s="335"/>
      <c r="Y69" s="335"/>
      <c r="Z69" s="335"/>
      <c r="AA69" s="335"/>
      <c r="AB69" s="335"/>
      <c r="AC69" s="335"/>
      <c r="AD69" s="335"/>
      <c r="AE69" s="333"/>
      <c r="AF69" s="333"/>
      <c r="AG69" s="333"/>
      <c r="AH69" s="333"/>
      <c r="AI69" s="333"/>
      <c r="AJ69" s="333"/>
      <c r="AK69" s="335"/>
      <c r="AL69" s="333"/>
      <c r="AM69" s="333"/>
      <c r="AN69" s="333"/>
      <c r="AO69" s="333"/>
      <c r="AP69" s="333"/>
      <c r="AQ69" s="335"/>
      <c r="AR69" s="335"/>
      <c r="AS69" s="343"/>
      <c r="AT69" s="343"/>
      <c r="AU69" s="333"/>
      <c r="AV69" s="333"/>
      <c r="AW69" s="333"/>
      <c r="AX69" s="333"/>
      <c r="AY69" s="335"/>
      <c r="AZ69" s="333"/>
      <c r="BA69" s="333"/>
      <c r="BB69" s="333"/>
      <c r="BC69" s="333"/>
      <c r="BD69" s="333"/>
      <c r="BE69" s="335"/>
      <c r="BF69" s="335"/>
      <c r="BG69" s="333"/>
      <c r="BH69" s="333"/>
      <c r="BI69" s="333"/>
      <c r="BJ69" s="333"/>
      <c r="BK69" s="333"/>
      <c r="BL69" s="333"/>
      <c r="BM69" s="335"/>
      <c r="BN69" s="333"/>
      <c r="BO69" s="333"/>
      <c r="BP69" s="314"/>
      <c r="BQ69" s="314"/>
      <c r="BR69" s="314"/>
      <c r="BS69" s="316"/>
      <c r="BT69" s="316"/>
      <c r="BU69" s="314"/>
      <c r="BV69" s="314"/>
    </row>
    <row r="70" s="314" customFormat="1" ht="25" customHeight="1" spans="1:74 14505:16384">
      <c r="A70" s="340"/>
      <c r="B70" s="337" t="s">
        <v>91</v>
      </c>
      <c r="I70" s="315"/>
      <c r="O70" s="316"/>
      <c r="P70" s="316"/>
      <c r="V70" s="316"/>
      <c r="W70" s="316"/>
      <c r="X70" s="316"/>
      <c r="Y70" s="316"/>
      <c r="Z70" s="316"/>
      <c r="AA70" s="316"/>
      <c r="AB70" s="316"/>
      <c r="AC70" s="316"/>
      <c r="AD70" s="316"/>
      <c r="AK70" s="316"/>
      <c r="AQ70" s="316"/>
      <c r="AR70" s="316"/>
      <c r="AU70" s="337"/>
      <c r="AV70" s="337"/>
      <c r="AW70" s="337"/>
      <c r="AX70" s="337"/>
      <c r="AY70" s="316"/>
      <c r="BE70" s="316"/>
      <c r="BF70" s="316"/>
      <c r="BM70" s="316"/>
      <c r="BS70" s="316"/>
      <c r="BT70" s="316"/>
      <c r="UKW70" s="317"/>
      <c r="UKX70" s="317"/>
      <c r="UKY70" s="317"/>
      <c r="UKZ70" s="317"/>
      <c r="ULA70" s="317"/>
      <c r="ULB70" s="317"/>
      <c r="ULC70" s="317"/>
      <c r="ULD70" s="317"/>
      <c r="ULE70" s="317"/>
      <c r="ULF70" s="317"/>
      <c r="ULG70" s="317"/>
      <c r="ULH70" s="317"/>
      <c r="ULI70" s="317"/>
      <c r="ULJ70" s="317"/>
      <c r="ULK70" s="317"/>
      <c r="ULL70" s="317"/>
      <c r="ULM70" s="317"/>
      <c r="ULN70" s="317"/>
      <c r="ULO70" s="317"/>
      <c r="ULP70" s="317"/>
      <c r="ULQ70" s="317"/>
      <c r="ULR70" s="317"/>
      <c r="ULS70" s="317"/>
      <c r="ULT70" s="317"/>
      <c r="ULU70" s="317"/>
      <c r="ULV70" s="317"/>
      <c r="ULW70" s="317"/>
      <c r="ULX70" s="317"/>
      <c r="ULY70" s="317"/>
      <c r="ULZ70" s="317"/>
      <c r="UMA70" s="317"/>
      <c r="UMB70" s="317"/>
      <c r="UMC70" s="317"/>
      <c r="UMD70" s="317"/>
      <c r="UME70" s="317"/>
      <c r="UMF70" s="317"/>
      <c r="UMG70" s="317"/>
      <c r="UMH70" s="317"/>
      <c r="UMI70" s="317"/>
      <c r="UMJ70" s="317"/>
      <c r="UMK70" s="317"/>
      <c r="UML70" s="317"/>
      <c r="UMM70" s="317"/>
      <c r="UMN70" s="317"/>
      <c r="UMO70" s="317"/>
      <c r="UMP70" s="317"/>
      <c r="UMQ70" s="317"/>
      <c r="UMR70" s="317"/>
      <c r="UMS70" s="317"/>
      <c r="UMT70" s="317"/>
      <c r="UMU70" s="317"/>
      <c r="UMV70" s="317"/>
      <c r="UMW70" s="317"/>
      <c r="UMX70" s="317"/>
      <c r="UMY70" s="317"/>
      <c r="UMZ70" s="317"/>
      <c r="UNA70" s="317"/>
      <c r="UNB70" s="317"/>
      <c r="UNC70" s="317"/>
      <c r="UND70" s="317"/>
      <c r="UNE70" s="317"/>
      <c r="UNF70" s="317"/>
      <c r="UNG70" s="317"/>
      <c r="UNH70" s="317"/>
      <c r="UNI70" s="317"/>
      <c r="UNJ70" s="317"/>
      <c r="UNK70" s="317"/>
      <c r="UNL70" s="317"/>
      <c r="UNM70" s="317"/>
      <c r="UNN70" s="317"/>
      <c r="UNO70" s="317"/>
      <c r="UNP70" s="317"/>
      <c r="UNQ70" s="317"/>
      <c r="UNR70" s="317"/>
      <c r="UNS70" s="317"/>
      <c r="UNT70" s="317"/>
      <c r="UNU70" s="317"/>
      <c r="UNV70" s="317"/>
      <c r="UNW70" s="317"/>
      <c r="UNX70" s="317"/>
      <c r="UNY70" s="317"/>
      <c r="UNZ70" s="317"/>
      <c r="UOA70" s="317"/>
      <c r="UOB70" s="317"/>
      <c r="UOC70" s="317"/>
      <c r="UOD70" s="317"/>
      <c r="UOE70" s="317"/>
      <c r="UOF70" s="317"/>
      <c r="UOG70" s="317"/>
      <c r="UOH70" s="317"/>
      <c r="UOI70" s="317"/>
      <c r="UOJ70" s="317"/>
      <c r="UOK70" s="317"/>
      <c r="UOL70" s="317"/>
      <c r="UOM70" s="317"/>
      <c r="UON70" s="317"/>
      <c r="UOO70" s="317"/>
      <c r="UOP70" s="317"/>
      <c r="UOQ70" s="317"/>
      <c r="UOR70" s="317"/>
      <c r="UOS70" s="317"/>
      <c r="UOT70" s="317"/>
      <c r="UOU70" s="317"/>
      <c r="UOV70" s="317"/>
      <c r="UOW70" s="317"/>
      <c r="UOX70" s="317"/>
      <c r="UOY70" s="317"/>
      <c r="UOZ70" s="317"/>
      <c r="UPA70" s="317"/>
      <c r="UPB70" s="317"/>
      <c r="UPC70" s="317"/>
      <c r="UPD70" s="317"/>
      <c r="UPE70" s="317"/>
      <c r="UPF70" s="317"/>
      <c r="UPG70" s="317"/>
      <c r="UPH70" s="317"/>
      <c r="UPI70" s="317"/>
      <c r="UPJ70" s="317"/>
      <c r="UPK70" s="317"/>
      <c r="UPL70" s="317"/>
      <c r="UPM70" s="317"/>
      <c r="UPN70" s="317"/>
      <c r="UPO70" s="317"/>
      <c r="UPP70" s="317"/>
      <c r="UPQ70" s="317"/>
      <c r="UPR70" s="317"/>
      <c r="UPS70" s="317"/>
      <c r="UPT70" s="317"/>
      <c r="UPU70" s="317"/>
      <c r="UPV70" s="317"/>
      <c r="UPW70" s="317"/>
      <c r="UPX70" s="317"/>
      <c r="UPY70" s="317"/>
      <c r="UPZ70" s="317"/>
      <c r="UQA70" s="317"/>
      <c r="UQB70" s="317"/>
      <c r="UQC70" s="317"/>
      <c r="UQD70" s="317"/>
      <c r="UQE70" s="317"/>
      <c r="UQF70" s="317"/>
      <c r="UQG70" s="317"/>
      <c r="UQH70" s="317"/>
      <c r="UQI70" s="317"/>
      <c r="UQJ70" s="317"/>
      <c r="UQK70" s="317"/>
      <c r="UQL70" s="317"/>
      <c r="UQM70" s="317"/>
      <c r="UQN70" s="317"/>
      <c r="UQO70" s="317"/>
      <c r="UQP70" s="317"/>
      <c r="UQQ70" s="317"/>
      <c r="UQR70" s="317"/>
      <c r="UQS70" s="317"/>
      <c r="UQT70" s="317"/>
      <c r="UQU70" s="317"/>
      <c r="UQV70" s="317"/>
      <c r="UQW70" s="317"/>
      <c r="UQX70" s="317"/>
      <c r="UQY70" s="317"/>
      <c r="UQZ70" s="317"/>
      <c r="URA70" s="317"/>
      <c r="URB70" s="317"/>
      <c r="URC70" s="317"/>
      <c r="URD70" s="317"/>
      <c r="URE70" s="317"/>
      <c r="URF70" s="317"/>
      <c r="URG70" s="317"/>
      <c r="URH70" s="317"/>
      <c r="URI70" s="317"/>
      <c r="URJ70" s="317"/>
      <c r="URK70" s="317"/>
      <c r="URL70" s="317"/>
      <c r="URM70" s="317"/>
      <c r="URN70" s="317"/>
      <c r="URO70" s="317"/>
      <c r="URP70" s="317"/>
      <c r="URQ70" s="317"/>
      <c r="URR70" s="317"/>
      <c r="URS70" s="317"/>
      <c r="URT70" s="317"/>
      <c r="URU70" s="317"/>
      <c r="URV70" s="317"/>
      <c r="URW70" s="317"/>
      <c r="URX70" s="317"/>
      <c r="URY70" s="317"/>
      <c r="URZ70" s="317"/>
      <c r="USA70" s="317"/>
      <c r="USB70" s="317"/>
      <c r="USC70" s="317"/>
      <c r="USD70" s="317"/>
      <c r="USE70" s="317"/>
      <c r="USF70" s="317"/>
      <c r="USG70" s="317"/>
      <c r="USH70" s="317"/>
      <c r="USI70" s="317"/>
      <c r="USJ70" s="317"/>
      <c r="USK70" s="317"/>
      <c r="USL70" s="317"/>
      <c r="USM70" s="317"/>
      <c r="USN70" s="317"/>
      <c r="USO70" s="317"/>
      <c r="USP70" s="317"/>
      <c r="USQ70" s="317"/>
      <c r="USR70" s="317"/>
      <c r="USS70" s="317"/>
      <c r="UST70" s="317"/>
      <c r="USU70" s="317"/>
      <c r="USV70" s="317"/>
      <c r="USW70" s="317"/>
      <c r="USX70" s="317"/>
      <c r="USY70" s="317"/>
      <c r="USZ70" s="317"/>
      <c r="UTA70" s="317"/>
      <c r="UTB70" s="317"/>
      <c r="UTC70" s="317"/>
      <c r="UTD70" s="317"/>
      <c r="UTE70" s="317"/>
      <c r="UTF70" s="317"/>
      <c r="UTG70" s="317"/>
      <c r="UTH70" s="317"/>
      <c r="UTI70" s="317"/>
      <c r="UTJ70" s="317"/>
      <c r="UTK70" s="317"/>
      <c r="UTL70" s="317"/>
      <c r="UTM70" s="317"/>
      <c r="UTN70" s="317"/>
      <c r="UTO70" s="317"/>
      <c r="UTP70" s="317"/>
      <c r="UTQ70" s="317"/>
      <c r="UTR70" s="317"/>
      <c r="UTS70" s="317"/>
      <c r="UTT70" s="317"/>
      <c r="UTU70" s="317"/>
      <c r="UTV70" s="317"/>
      <c r="UTW70" s="317"/>
      <c r="UTX70" s="317"/>
      <c r="UTY70" s="317"/>
      <c r="UTZ70" s="317"/>
      <c r="UUA70" s="317"/>
      <c r="UUB70" s="317"/>
      <c r="UUC70" s="317"/>
      <c r="UUD70" s="317"/>
      <c r="UUE70" s="317"/>
      <c r="UUF70" s="317"/>
      <c r="UUG70" s="317"/>
      <c r="UUH70" s="317"/>
      <c r="UUI70" s="317"/>
      <c r="UUJ70" s="317"/>
      <c r="UUK70" s="317"/>
      <c r="UUL70" s="317"/>
      <c r="UUM70" s="317"/>
      <c r="UUN70" s="317"/>
      <c r="UUO70" s="317"/>
      <c r="UUP70" s="317"/>
      <c r="UUQ70" s="317"/>
      <c r="UUR70" s="317"/>
      <c r="UUS70" s="317"/>
      <c r="UUT70" s="317"/>
      <c r="UUU70" s="317"/>
      <c r="UUV70" s="317"/>
      <c r="UUW70" s="317"/>
      <c r="UUX70" s="317"/>
      <c r="UUY70" s="317"/>
      <c r="UUZ70" s="317"/>
      <c r="UVA70" s="317"/>
      <c r="UVB70" s="317"/>
      <c r="UVC70" s="317"/>
      <c r="UVD70" s="317"/>
      <c r="UVE70" s="317"/>
      <c r="UVF70" s="317"/>
      <c r="UVG70" s="317"/>
      <c r="UVH70" s="317"/>
      <c r="UVI70" s="317"/>
      <c r="UVJ70" s="317"/>
      <c r="UVK70" s="317"/>
      <c r="UVL70" s="317"/>
      <c r="UVM70" s="317"/>
      <c r="UVN70" s="317"/>
      <c r="UVO70" s="317"/>
      <c r="UVP70" s="317"/>
      <c r="UVQ70" s="317"/>
      <c r="UVR70" s="317"/>
      <c r="UVS70" s="317"/>
      <c r="UVT70" s="317"/>
      <c r="UVU70" s="317"/>
      <c r="UVV70" s="317"/>
      <c r="UVW70" s="317"/>
      <c r="UVX70" s="317"/>
      <c r="UVY70" s="317"/>
      <c r="UVZ70" s="317"/>
      <c r="UWA70" s="317"/>
      <c r="UWB70" s="317"/>
      <c r="UWC70" s="317"/>
      <c r="UWD70" s="317"/>
      <c r="UWE70" s="317"/>
      <c r="UWF70" s="317"/>
      <c r="UWG70" s="317"/>
      <c r="UWH70" s="317"/>
      <c r="UWI70" s="317"/>
      <c r="UWJ70" s="317"/>
      <c r="UWK70" s="317"/>
      <c r="UWL70" s="317"/>
      <c r="UWM70" s="317"/>
      <c r="UWN70" s="317"/>
      <c r="UWO70" s="317"/>
      <c r="UWP70" s="317"/>
      <c r="UWQ70" s="317"/>
      <c r="UWR70" s="317"/>
      <c r="UWS70" s="317"/>
      <c r="UWT70" s="317"/>
      <c r="UWU70" s="317"/>
      <c r="UWV70" s="317"/>
      <c r="UWW70" s="317"/>
      <c r="UWX70" s="317"/>
      <c r="UWY70" s="317"/>
      <c r="UWZ70" s="317"/>
      <c r="UXA70" s="317"/>
      <c r="UXB70" s="317"/>
      <c r="UXC70" s="317"/>
      <c r="UXD70" s="317"/>
      <c r="UXE70" s="317"/>
      <c r="UXF70" s="317"/>
      <c r="UXG70" s="317"/>
      <c r="UXH70" s="317"/>
      <c r="UXI70" s="317"/>
      <c r="UXJ70" s="317"/>
      <c r="UXK70" s="317"/>
      <c r="UXL70" s="317"/>
      <c r="UXM70" s="317"/>
      <c r="UXN70" s="317"/>
      <c r="UXO70" s="317"/>
      <c r="UXP70" s="317"/>
      <c r="UXQ70" s="317"/>
      <c r="UXR70" s="317"/>
      <c r="UXS70" s="317"/>
      <c r="UXT70" s="317"/>
      <c r="UXU70" s="317"/>
      <c r="UXV70" s="317"/>
      <c r="UXW70" s="317"/>
      <c r="UXX70" s="317"/>
      <c r="UXY70" s="317"/>
      <c r="UXZ70" s="317"/>
      <c r="UYA70" s="317"/>
      <c r="UYB70" s="317"/>
      <c r="UYC70" s="317"/>
      <c r="UYD70" s="317"/>
      <c r="UYE70" s="317"/>
      <c r="UYF70" s="317"/>
      <c r="UYG70" s="317"/>
      <c r="UYH70" s="317"/>
      <c r="UYI70" s="317"/>
      <c r="UYJ70" s="317"/>
      <c r="UYK70" s="317"/>
      <c r="UYL70" s="317"/>
      <c r="UYM70" s="317"/>
      <c r="UYN70" s="317"/>
      <c r="UYO70" s="317"/>
      <c r="UYP70" s="317"/>
      <c r="UYQ70" s="317"/>
      <c r="UYR70" s="317"/>
      <c r="UYS70" s="317"/>
      <c r="UYT70" s="317"/>
      <c r="UYU70" s="317"/>
      <c r="UYV70" s="317"/>
      <c r="UYW70" s="317"/>
      <c r="UYX70" s="317"/>
      <c r="UYY70" s="317"/>
      <c r="UYZ70" s="317"/>
      <c r="UZA70" s="317"/>
      <c r="UZB70" s="317"/>
      <c r="UZC70" s="317"/>
      <c r="UZD70" s="317"/>
      <c r="UZE70" s="317"/>
      <c r="UZF70" s="317"/>
      <c r="UZG70" s="317"/>
      <c r="UZH70" s="317"/>
      <c r="UZI70" s="317"/>
      <c r="UZJ70" s="317"/>
      <c r="UZK70" s="317"/>
      <c r="UZL70" s="317"/>
      <c r="UZM70" s="317"/>
      <c r="UZN70" s="317"/>
      <c r="UZO70" s="317"/>
      <c r="UZP70" s="317"/>
      <c r="UZQ70" s="317"/>
      <c r="UZR70" s="317"/>
      <c r="UZS70" s="317"/>
      <c r="UZT70" s="317"/>
      <c r="UZU70" s="317"/>
      <c r="UZV70" s="317"/>
      <c r="UZW70" s="317"/>
      <c r="UZX70" s="317"/>
      <c r="UZY70" s="317"/>
      <c r="UZZ70" s="317"/>
      <c r="VAA70" s="317"/>
      <c r="VAB70" s="317"/>
      <c r="VAC70" s="317"/>
      <c r="VAD70" s="317"/>
      <c r="VAE70" s="317"/>
      <c r="VAF70" s="317"/>
      <c r="VAG70" s="317"/>
      <c r="VAH70" s="317"/>
      <c r="VAI70" s="317"/>
      <c r="VAJ70" s="317"/>
      <c r="VAK70" s="317"/>
      <c r="VAL70" s="317"/>
      <c r="VAM70" s="317"/>
      <c r="VAN70" s="317"/>
      <c r="VAO70" s="317"/>
      <c r="VAP70" s="317"/>
      <c r="VAQ70" s="317"/>
      <c r="VAR70" s="317"/>
      <c r="VAS70" s="317"/>
      <c r="VAT70" s="317"/>
      <c r="VAU70" s="317"/>
      <c r="VAV70" s="317"/>
      <c r="VAW70" s="317"/>
      <c r="VAX70" s="317"/>
      <c r="VAY70" s="317"/>
      <c r="VAZ70" s="317"/>
      <c r="VBA70" s="317"/>
      <c r="VBB70" s="317"/>
      <c r="VBC70" s="317"/>
      <c r="VBD70" s="317"/>
      <c r="VBE70" s="317"/>
      <c r="VBF70" s="317"/>
      <c r="VBG70" s="317"/>
      <c r="VBH70" s="317"/>
      <c r="VBI70" s="317"/>
      <c r="VBJ70" s="317"/>
      <c r="VBK70" s="317"/>
      <c r="VBL70" s="317"/>
      <c r="VBM70" s="317"/>
      <c r="VBN70" s="317"/>
      <c r="VBO70" s="317"/>
      <c r="VBP70" s="317"/>
      <c r="VBQ70" s="317"/>
      <c r="VBR70" s="317"/>
      <c r="VBS70" s="317"/>
      <c r="VBT70" s="317"/>
      <c r="VBU70" s="317"/>
      <c r="VBV70" s="317"/>
      <c r="VBW70" s="317"/>
      <c r="VBX70" s="317"/>
      <c r="VBY70" s="317"/>
      <c r="VBZ70" s="317"/>
      <c r="VCA70" s="317"/>
      <c r="VCB70" s="317"/>
      <c r="VCC70" s="317"/>
      <c r="VCD70" s="317"/>
      <c r="VCE70" s="317"/>
      <c r="VCF70" s="317"/>
      <c r="VCG70" s="317"/>
      <c r="VCH70" s="317"/>
      <c r="VCI70" s="317"/>
      <c r="VCJ70" s="317"/>
      <c r="VCK70" s="317"/>
      <c r="VCL70" s="317"/>
      <c r="VCM70" s="317"/>
      <c r="VCN70" s="317"/>
      <c r="VCO70" s="317"/>
      <c r="VCP70" s="317"/>
      <c r="VCQ70" s="317"/>
      <c r="VCR70" s="317"/>
      <c r="VCS70" s="317"/>
      <c r="VCT70" s="317"/>
      <c r="VCU70" s="317"/>
      <c r="VCV70" s="317"/>
      <c r="VCW70" s="317"/>
      <c r="VCX70" s="317"/>
      <c r="VCY70" s="317"/>
      <c r="VCZ70" s="317"/>
      <c r="VDA70" s="317"/>
      <c r="VDB70" s="317"/>
      <c r="VDC70" s="317"/>
      <c r="VDD70" s="317"/>
      <c r="VDE70" s="317"/>
      <c r="VDF70" s="317"/>
      <c r="VDG70" s="317"/>
      <c r="VDH70" s="317"/>
      <c r="VDI70" s="317"/>
      <c r="VDJ70" s="317"/>
      <c r="VDK70" s="317"/>
      <c r="VDL70" s="317"/>
      <c r="VDM70" s="317"/>
      <c r="VDN70" s="317"/>
      <c r="VDO70" s="317"/>
      <c r="VDP70" s="317"/>
      <c r="VDQ70" s="317"/>
      <c r="VDR70" s="317"/>
      <c r="VDS70" s="317"/>
      <c r="VDT70" s="317"/>
      <c r="VDU70" s="317"/>
      <c r="VDV70" s="317"/>
      <c r="VDW70" s="317"/>
      <c r="VDX70" s="317"/>
      <c r="VDY70" s="317"/>
      <c r="VDZ70" s="317"/>
      <c r="VEA70" s="317"/>
      <c r="VEB70" s="317"/>
      <c r="VEC70" s="317"/>
      <c r="VED70" s="317"/>
      <c r="VEE70" s="317"/>
      <c r="VEF70" s="317"/>
      <c r="VEG70" s="317"/>
      <c r="VEH70" s="317"/>
      <c r="VEI70" s="317"/>
      <c r="VEJ70" s="317"/>
      <c r="VEK70" s="317"/>
      <c r="VEL70" s="317"/>
      <c r="VEM70" s="317"/>
      <c r="VEN70" s="317"/>
      <c r="VEO70" s="317"/>
      <c r="VEP70" s="317"/>
      <c r="VEQ70" s="317"/>
      <c r="VER70" s="317"/>
      <c r="VES70" s="317"/>
      <c r="VET70" s="317"/>
      <c r="VEU70" s="317"/>
      <c r="VEV70" s="317"/>
      <c r="VEW70" s="317"/>
      <c r="VEX70" s="317"/>
      <c r="VEY70" s="317"/>
      <c r="VEZ70" s="317"/>
      <c r="VFA70" s="317"/>
      <c r="VFB70" s="317"/>
      <c r="VFC70" s="317"/>
      <c r="VFD70" s="317"/>
      <c r="VFE70" s="317"/>
      <c r="VFF70" s="317"/>
      <c r="VFG70" s="317"/>
      <c r="VFH70" s="317"/>
      <c r="VFI70" s="317"/>
      <c r="VFJ70" s="317"/>
      <c r="VFK70" s="317"/>
      <c r="VFL70" s="317"/>
      <c r="VFM70" s="317"/>
      <c r="VFN70" s="317"/>
      <c r="VFO70" s="317"/>
      <c r="VFP70" s="317"/>
      <c r="VFQ70" s="317"/>
      <c r="VFR70" s="317"/>
      <c r="VFS70" s="317"/>
      <c r="VFT70" s="317"/>
      <c r="VFU70" s="317"/>
      <c r="VFV70" s="317"/>
      <c r="VFW70" s="317"/>
      <c r="VFX70" s="317"/>
      <c r="VFY70" s="317"/>
      <c r="VFZ70" s="317"/>
      <c r="VGA70" s="317"/>
      <c r="VGB70" s="317"/>
      <c r="VGC70" s="317"/>
      <c r="VGD70" s="317"/>
      <c r="VGE70" s="317"/>
      <c r="VGF70" s="317"/>
      <c r="VGG70" s="317"/>
      <c r="VGH70" s="317"/>
      <c r="VGI70" s="317"/>
      <c r="VGJ70" s="317"/>
      <c r="VGK70" s="317"/>
      <c r="VGL70" s="317"/>
      <c r="VGM70" s="317"/>
      <c r="VGN70" s="317"/>
      <c r="VGO70" s="317"/>
      <c r="VGP70" s="317"/>
      <c r="VGQ70" s="317"/>
      <c r="VGR70" s="317"/>
      <c r="VGS70" s="317"/>
      <c r="VGT70" s="317"/>
      <c r="VGU70" s="317"/>
      <c r="VGV70" s="317"/>
      <c r="VGW70" s="317"/>
      <c r="VGX70" s="317"/>
      <c r="VGY70" s="317"/>
      <c r="VGZ70" s="317"/>
      <c r="VHA70" s="317"/>
      <c r="VHB70" s="317"/>
      <c r="VHC70" s="317"/>
      <c r="VHD70" s="317"/>
      <c r="VHE70" s="317"/>
      <c r="VHF70" s="317"/>
      <c r="VHG70" s="317"/>
      <c r="VHH70" s="317"/>
      <c r="VHI70" s="317"/>
      <c r="VHJ70" s="317"/>
      <c r="VHK70" s="317"/>
      <c r="VHL70" s="317"/>
      <c r="VHM70" s="317"/>
      <c r="VHN70" s="317"/>
      <c r="VHO70" s="317"/>
      <c r="VHP70" s="317"/>
      <c r="VHQ70" s="317"/>
      <c r="VHR70" s="317"/>
      <c r="VHS70" s="317"/>
      <c r="VHT70" s="317"/>
      <c r="VHU70" s="317"/>
      <c r="VHV70" s="317"/>
      <c r="VHW70" s="317"/>
      <c r="VHX70" s="317"/>
      <c r="VHY70" s="317"/>
      <c r="VHZ70" s="317"/>
      <c r="VIA70" s="317"/>
      <c r="VIB70" s="317"/>
      <c r="VIC70" s="317"/>
      <c r="VID70" s="317"/>
      <c r="VIE70" s="317"/>
      <c r="VIF70" s="317"/>
      <c r="VIG70" s="317"/>
      <c r="VIH70" s="317"/>
      <c r="VII70" s="317"/>
      <c r="VIJ70" s="317"/>
      <c r="VIK70" s="317"/>
      <c r="VIL70" s="317"/>
      <c r="VIM70" s="317"/>
      <c r="VIN70" s="317"/>
      <c r="VIO70" s="317"/>
      <c r="VIP70" s="317"/>
      <c r="VIQ70" s="317"/>
      <c r="VIR70" s="317"/>
      <c r="VIS70" s="317"/>
      <c r="VIT70" s="317"/>
      <c r="VIU70" s="317"/>
      <c r="VIV70" s="317"/>
      <c r="VIW70" s="317"/>
      <c r="VIX70" s="317"/>
      <c r="VIY70" s="317"/>
      <c r="VIZ70" s="317"/>
      <c r="VJA70" s="317"/>
      <c r="VJB70" s="317"/>
      <c r="VJC70" s="317"/>
      <c r="VJD70" s="317"/>
      <c r="VJE70" s="317"/>
      <c r="VJF70" s="317"/>
      <c r="VJG70" s="317"/>
      <c r="VJH70" s="317"/>
      <c r="VJI70" s="317"/>
      <c r="VJJ70" s="317"/>
      <c r="VJK70" s="317"/>
      <c r="VJL70" s="317"/>
      <c r="VJM70" s="317"/>
      <c r="VJN70" s="317"/>
      <c r="VJO70" s="317"/>
      <c r="VJP70" s="317"/>
      <c r="VJQ70" s="317"/>
      <c r="VJR70" s="317"/>
      <c r="VJS70" s="317"/>
      <c r="VJT70" s="317"/>
      <c r="VJU70" s="317"/>
      <c r="VJV70" s="317"/>
      <c r="VJW70" s="317"/>
      <c r="VJX70" s="317"/>
      <c r="VJY70" s="317"/>
      <c r="VJZ70" s="317"/>
      <c r="VKA70" s="317"/>
      <c r="VKB70" s="317"/>
      <c r="VKC70" s="317"/>
      <c r="VKD70" s="317"/>
      <c r="VKE70" s="317"/>
      <c r="VKF70" s="317"/>
      <c r="VKG70" s="317"/>
      <c r="VKH70" s="317"/>
      <c r="VKI70" s="317"/>
      <c r="VKJ70" s="317"/>
      <c r="VKK70" s="317"/>
      <c r="VKL70" s="317"/>
      <c r="VKM70" s="317"/>
      <c r="VKN70" s="317"/>
      <c r="VKO70" s="317"/>
      <c r="VKP70" s="317"/>
      <c r="VKQ70" s="317"/>
      <c r="VKR70" s="317"/>
      <c r="VKS70" s="317"/>
      <c r="VKT70" s="317"/>
      <c r="VKU70" s="317"/>
      <c r="VKV70" s="317"/>
      <c r="VKW70" s="317"/>
      <c r="VKX70" s="317"/>
      <c r="VKY70" s="317"/>
      <c r="VKZ70" s="317"/>
      <c r="VLA70" s="317"/>
      <c r="VLB70" s="317"/>
      <c r="VLC70" s="317"/>
      <c r="VLD70" s="317"/>
      <c r="VLE70" s="317"/>
      <c r="VLF70" s="317"/>
      <c r="VLG70" s="317"/>
      <c r="VLH70" s="317"/>
      <c r="VLI70" s="317"/>
      <c r="VLJ70" s="317"/>
      <c r="VLK70" s="317"/>
      <c r="VLL70" s="317"/>
      <c r="VLM70" s="317"/>
      <c r="VLN70" s="317"/>
      <c r="VLO70" s="317"/>
      <c r="VLP70" s="317"/>
      <c r="VLQ70" s="317"/>
      <c r="VLR70" s="317"/>
      <c r="VLS70" s="317"/>
      <c r="VLT70" s="317"/>
      <c r="VLU70" s="317"/>
      <c r="VLV70" s="317"/>
      <c r="VLW70" s="317"/>
      <c r="VLX70" s="317"/>
      <c r="VLY70" s="317"/>
      <c r="VLZ70" s="317"/>
      <c r="VMA70" s="317"/>
      <c r="VMB70" s="317"/>
      <c r="VMC70" s="317"/>
      <c r="VMD70" s="317"/>
      <c r="VME70" s="317"/>
      <c r="VMF70" s="317"/>
      <c r="VMG70" s="317"/>
      <c r="VMH70" s="317"/>
      <c r="VMI70" s="317"/>
      <c r="VMJ70" s="317"/>
      <c r="VMK70" s="317"/>
      <c r="VML70" s="317"/>
      <c r="VMM70" s="317"/>
      <c r="VMN70" s="317"/>
      <c r="VMO70" s="317"/>
      <c r="VMP70" s="317"/>
      <c r="VMQ70" s="317"/>
      <c r="VMR70" s="317"/>
      <c r="VMS70" s="317"/>
      <c r="VMT70" s="317"/>
      <c r="VMU70" s="317"/>
      <c r="VMV70" s="317"/>
      <c r="VMW70" s="317"/>
      <c r="VMX70" s="317"/>
      <c r="VMY70" s="317"/>
      <c r="VMZ70" s="317"/>
      <c r="VNA70" s="317"/>
      <c r="VNB70" s="317"/>
      <c r="VNC70" s="317"/>
      <c r="VND70" s="317"/>
      <c r="VNE70" s="317"/>
      <c r="VNF70" s="317"/>
      <c r="VNG70" s="317"/>
      <c r="VNH70" s="317"/>
      <c r="VNI70" s="317"/>
      <c r="VNJ70" s="317"/>
      <c r="VNK70" s="317"/>
      <c r="VNL70" s="317"/>
      <c r="VNM70" s="317"/>
      <c r="VNN70" s="317"/>
      <c r="VNO70" s="317"/>
      <c r="VNP70" s="317"/>
      <c r="VNQ70" s="317"/>
      <c r="VNR70" s="317"/>
      <c r="VNS70" s="317"/>
      <c r="VNT70" s="317"/>
      <c r="VNU70" s="317"/>
      <c r="VNV70" s="317"/>
      <c r="VNW70" s="317"/>
      <c r="VNX70" s="317"/>
      <c r="VNY70" s="317"/>
      <c r="VNZ70" s="317"/>
      <c r="VOA70" s="317"/>
      <c r="VOB70" s="317"/>
      <c r="VOC70" s="317"/>
      <c r="VOD70" s="317"/>
      <c r="VOE70" s="317"/>
      <c r="VOF70" s="317"/>
      <c r="VOG70" s="317"/>
      <c r="VOH70" s="317"/>
      <c r="VOI70" s="317"/>
      <c r="VOJ70" s="317"/>
      <c r="VOK70" s="317"/>
      <c r="VOL70" s="317"/>
      <c r="VOM70" s="317"/>
      <c r="VON70" s="317"/>
      <c r="VOO70" s="317"/>
      <c r="VOP70" s="317"/>
      <c r="VOQ70" s="317"/>
      <c r="VOR70" s="317"/>
      <c r="VOS70" s="317"/>
      <c r="VOT70" s="317"/>
      <c r="VOU70" s="317"/>
      <c r="VOV70" s="317"/>
      <c r="VOW70" s="317"/>
      <c r="VOX70" s="317"/>
      <c r="VOY70" s="317"/>
      <c r="VOZ70" s="317"/>
      <c r="VPA70" s="317"/>
      <c r="VPB70" s="317"/>
      <c r="VPC70" s="317"/>
      <c r="VPD70" s="317"/>
      <c r="VPE70" s="317"/>
      <c r="VPF70" s="317"/>
      <c r="VPG70" s="317"/>
      <c r="VPH70" s="317"/>
      <c r="VPI70" s="317"/>
      <c r="VPJ70" s="317"/>
      <c r="VPK70" s="317"/>
      <c r="VPL70" s="317"/>
      <c r="VPM70" s="317"/>
      <c r="VPN70" s="317"/>
      <c r="VPO70" s="317"/>
      <c r="VPP70" s="317"/>
      <c r="VPQ70" s="317"/>
      <c r="VPR70" s="317"/>
      <c r="VPS70" s="317"/>
      <c r="VPT70" s="317"/>
      <c r="VPU70" s="317"/>
      <c r="VPV70" s="317"/>
      <c r="VPW70" s="317"/>
      <c r="VPX70" s="317"/>
      <c r="VPY70" s="317"/>
      <c r="VPZ70" s="317"/>
      <c r="VQA70" s="317"/>
      <c r="VQB70" s="317"/>
      <c r="VQC70" s="317"/>
      <c r="VQD70" s="317"/>
      <c r="VQE70" s="317"/>
      <c r="VQF70" s="317"/>
      <c r="VQG70" s="317"/>
      <c r="VQH70" s="317"/>
      <c r="VQI70" s="317"/>
      <c r="VQJ70" s="317"/>
      <c r="VQK70" s="317"/>
      <c r="VQL70" s="317"/>
      <c r="VQM70" s="317"/>
      <c r="VQN70" s="317"/>
      <c r="VQO70" s="317"/>
      <c r="VQP70" s="317"/>
      <c r="VQQ70" s="317"/>
      <c r="VQR70" s="317"/>
      <c r="VQS70" s="317"/>
      <c r="VQT70" s="317"/>
      <c r="VQU70" s="317"/>
      <c r="VQV70" s="317"/>
      <c r="VQW70" s="317"/>
      <c r="VQX70" s="317"/>
      <c r="VQY70" s="317"/>
      <c r="VQZ70" s="317"/>
      <c r="VRA70" s="317"/>
      <c r="VRB70" s="317"/>
      <c r="VRC70" s="317"/>
      <c r="VRD70" s="317"/>
      <c r="VRE70" s="317"/>
      <c r="VRF70" s="317"/>
      <c r="VRG70" s="317"/>
      <c r="VRH70" s="317"/>
      <c r="VRI70" s="317"/>
      <c r="VRJ70" s="317"/>
      <c r="VRK70" s="317"/>
      <c r="VRL70" s="317"/>
      <c r="VRM70" s="317"/>
      <c r="VRN70" s="317"/>
      <c r="VRO70" s="317"/>
      <c r="VRP70" s="317"/>
      <c r="VRQ70" s="317"/>
      <c r="VRR70" s="317"/>
      <c r="VRS70" s="317"/>
      <c r="VRT70" s="317"/>
      <c r="VRU70" s="317"/>
      <c r="VRV70" s="317"/>
      <c r="VRW70" s="317"/>
      <c r="VRX70" s="317"/>
      <c r="VRY70" s="317"/>
      <c r="VRZ70" s="317"/>
      <c r="VSA70" s="317"/>
      <c r="VSB70" s="317"/>
      <c r="VSC70" s="317"/>
      <c r="VSD70" s="317"/>
      <c r="VSE70" s="317"/>
      <c r="VSF70" s="317"/>
      <c r="VSG70" s="317"/>
      <c r="VSH70" s="317"/>
      <c r="VSI70" s="317"/>
      <c r="VSJ70" s="317"/>
      <c r="VSK70" s="317"/>
      <c r="VSL70" s="317"/>
      <c r="VSM70" s="317"/>
      <c r="VSN70" s="317"/>
      <c r="VSO70" s="317"/>
      <c r="VSP70" s="317"/>
      <c r="VSQ70" s="317"/>
      <c r="VSR70" s="317"/>
      <c r="VSS70" s="317"/>
      <c r="VST70" s="317"/>
      <c r="VSU70" s="317"/>
      <c r="VSV70" s="317"/>
      <c r="VSW70" s="317"/>
      <c r="VSX70" s="317"/>
      <c r="VSY70" s="317"/>
      <c r="VSZ70" s="317"/>
      <c r="VTA70" s="317"/>
      <c r="VTB70" s="317"/>
      <c r="VTC70" s="317"/>
      <c r="VTD70" s="317"/>
      <c r="VTE70" s="317"/>
      <c r="VTF70" s="317"/>
      <c r="VTG70" s="317"/>
      <c r="VTH70" s="317"/>
      <c r="VTI70" s="317"/>
      <c r="VTJ70" s="317"/>
      <c r="VTK70" s="317"/>
      <c r="VTL70" s="317"/>
      <c r="VTM70" s="317"/>
      <c r="VTN70" s="317"/>
      <c r="VTO70" s="317"/>
      <c r="VTP70" s="317"/>
      <c r="VTQ70" s="317"/>
      <c r="VTR70" s="317"/>
      <c r="VTS70" s="317"/>
      <c r="VTT70" s="317"/>
      <c r="VTU70" s="317"/>
      <c r="VTV70" s="317"/>
      <c r="VTW70" s="317"/>
      <c r="VTX70" s="317"/>
      <c r="VTY70" s="317"/>
      <c r="VTZ70" s="317"/>
      <c r="VUA70" s="317"/>
      <c r="VUB70" s="317"/>
      <c r="VUC70" s="317"/>
      <c r="VUD70" s="317"/>
      <c r="VUE70" s="317"/>
      <c r="VUF70" s="317"/>
      <c r="VUG70" s="317"/>
      <c r="VUH70" s="317"/>
      <c r="VUI70" s="317"/>
      <c r="VUJ70" s="317"/>
      <c r="VUK70" s="317"/>
      <c r="VUL70" s="317"/>
      <c r="VUM70" s="317"/>
      <c r="VUN70" s="317"/>
      <c r="VUO70" s="317"/>
      <c r="VUP70" s="317"/>
      <c r="VUQ70" s="317"/>
      <c r="VUR70" s="317"/>
      <c r="VUS70" s="317"/>
      <c r="VUT70" s="317"/>
      <c r="VUU70" s="317"/>
      <c r="VUV70" s="317"/>
      <c r="VUW70" s="317"/>
      <c r="VUX70" s="317"/>
      <c r="VUY70" s="317"/>
      <c r="VUZ70" s="317"/>
      <c r="VVA70" s="317"/>
      <c r="VVB70" s="317"/>
      <c r="VVC70" s="317"/>
      <c r="VVD70" s="317"/>
      <c r="VVE70" s="317"/>
      <c r="VVF70" s="317"/>
      <c r="VVG70" s="317"/>
      <c r="VVH70" s="317"/>
      <c r="VVI70" s="317"/>
      <c r="VVJ70" s="317"/>
      <c r="VVK70" s="317"/>
      <c r="VVL70" s="317"/>
      <c r="VVM70" s="317"/>
      <c r="VVN70" s="317"/>
      <c r="VVO70" s="317"/>
      <c r="VVP70" s="317"/>
      <c r="VVQ70" s="317"/>
      <c r="VVR70" s="317"/>
      <c r="VVS70" s="317"/>
      <c r="VVT70" s="317"/>
      <c r="VVU70" s="317"/>
      <c r="VVV70" s="317"/>
      <c r="VVW70" s="317"/>
      <c r="VVX70" s="317"/>
      <c r="VVY70" s="317"/>
      <c r="VVZ70" s="317"/>
      <c r="VWA70" s="317"/>
      <c r="VWB70" s="317"/>
      <c r="VWC70" s="317"/>
      <c r="VWD70" s="317"/>
      <c r="VWE70" s="317"/>
      <c r="VWF70" s="317"/>
      <c r="VWG70" s="317"/>
      <c r="VWH70" s="317"/>
      <c r="VWI70" s="317"/>
      <c r="VWJ70" s="317"/>
      <c r="VWK70" s="317"/>
      <c r="VWL70" s="317"/>
      <c r="VWM70" s="317"/>
      <c r="VWN70" s="317"/>
      <c r="VWO70" s="317"/>
      <c r="VWP70" s="317"/>
      <c r="VWQ70" s="317"/>
      <c r="VWR70" s="317"/>
      <c r="VWS70" s="317"/>
      <c r="VWT70" s="317"/>
      <c r="VWU70" s="317"/>
      <c r="VWV70" s="317"/>
      <c r="VWW70" s="317"/>
      <c r="VWX70" s="317"/>
      <c r="VWY70" s="317"/>
      <c r="VWZ70" s="317"/>
      <c r="VXA70" s="317"/>
      <c r="VXB70" s="317"/>
      <c r="VXC70" s="317"/>
      <c r="VXD70" s="317"/>
      <c r="VXE70" s="317"/>
      <c r="VXF70" s="317"/>
      <c r="VXG70" s="317"/>
      <c r="VXH70" s="317"/>
      <c r="VXI70" s="317"/>
      <c r="VXJ70" s="317"/>
      <c r="VXK70" s="317"/>
      <c r="VXL70" s="317"/>
      <c r="VXM70" s="317"/>
      <c r="VXN70" s="317"/>
      <c r="VXO70" s="317"/>
      <c r="VXP70" s="317"/>
      <c r="VXQ70" s="317"/>
      <c r="VXR70" s="317"/>
      <c r="VXS70" s="317"/>
      <c r="VXT70" s="317"/>
      <c r="VXU70" s="317"/>
      <c r="VXV70" s="317"/>
      <c r="VXW70" s="317"/>
      <c r="VXX70" s="317"/>
      <c r="VXY70" s="317"/>
      <c r="VXZ70" s="317"/>
      <c r="VYA70" s="317"/>
      <c r="VYB70" s="317"/>
      <c r="VYC70" s="317"/>
      <c r="VYD70" s="317"/>
      <c r="VYE70" s="317"/>
      <c r="VYF70" s="317"/>
      <c r="VYG70" s="317"/>
      <c r="VYH70" s="317"/>
      <c r="VYI70" s="317"/>
      <c r="VYJ70" s="317"/>
      <c r="VYK70" s="317"/>
      <c r="VYL70" s="317"/>
      <c r="VYM70" s="317"/>
      <c r="VYN70" s="317"/>
      <c r="VYO70" s="317"/>
      <c r="VYP70" s="317"/>
      <c r="VYQ70" s="317"/>
      <c r="VYR70" s="317"/>
      <c r="VYS70" s="317"/>
      <c r="VYT70" s="317"/>
      <c r="VYU70" s="317"/>
      <c r="VYV70" s="317"/>
      <c r="VYW70" s="317"/>
      <c r="VYX70" s="317"/>
      <c r="VYY70" s="317"/>
      <c r="VYZ70" s="317"/>
      <c r="VZA70" s="317"/>
      <c r="VZB70" s="317"/>
      <c r="VZC70" s="317"/>
      <c r="VZD70" s="317"/>
      <c r="VZE70" s="317"/>
      <c r="VZF70" s="317"/>
      <c r="VZG70" s="317"/>
      <c r="VZH70" s="317"/>
      <c r="VZI70" s="317"/>
      <c r="VZJ70" s="317"/>
      <c r="VZK70" s="317"/>
      <c r="VZL70" s="317"/>
      <c r="VZM70" s="317"/>
      <c r="VZN70" s="317"/>
      <c r="VZO70" s="317"/>
      <c r="VZP70" s="317"/>
      <c r="VZQ70" s="317"/>
      <c r="VZR70" s="317"/>
      <c r="VZS70" s="317"/>
      <c r="VZT70" s="317"/>
      <c r="VZU70" s="317"/>
      <c r="VZV70" s="317"/>
      <c r="VZW70" s="317"/>
      <c r="VZX70" s="317"/>
      <c r="VZY70" s="317"/>
      <c r="VZZ70" s="317"/>
      <c r="WAA70" s="317"/>
      <c r="WAB70" s="317"/>
      <c r="WAC70" s="317"/>
      <c r="WAD70" s="317"/>
      <c r="WAE70" s="317"/>
      <c r="WAF70" s="317"/>
      <c r="WAG70" s="317"/>
      <c r="WAH70" s="317"/>
      <c r="WAI70" s="317"/>
      <c r="WAJ70" s="317"/>
      <c r="WAK70" s="317"/>
      <c r="WAL70" s="317"/>
      <c r="WAM70" s="317"/>
      <c r="WAN70" s="317"/>
      <c r="WAO70" s="317"/>
      <c r="WAP70" s="317"/>
      <c r="WAQ70" s="317"/>
      <c r="WAR70" s="317"/>
      <c r="WAS70" s="317"/>
      <c r="WAT70" s="317"/>
      <c r="WAU70" s="317"/>
      <c r="WAV70" s="317"/>
      <c r="WAW70" s="317"/>
      <c r="WAX70" s="317"/>
      <c r="WAY70" s="317"/>
      <c r="WAZ70" s="317"/>
      <c r="WBA70" s="317"/>
      <c r="WBB70" s="317"/>
      <c r="WBC70" s="317"/>
      <c r="WBD70" s="317"/>
      <c r="WBE70" s="317"/>
      <c r="WBF70" s="317"/>
      <c r="WBG70" s="317"/>
      <c r="WBH70" s="317"/>
      <c r="WBI70" s="317"/>
      <c r="WBJ70" s="317"/>
      <c r="WBK70" s="317"/>
      <c r="WBL70" s="317"/>
      <c r="WBM70" s="317"/>
      <c r="WBN70" s="317"/>
      <c r="WBO70" s="317"/>
      <c r="WBP70" s="317"/>
      <c r="WBQ70" s="317"/>
      <c r="WBR70" s="317"/>
      <c r="WBS70" s="317"/>
      <c r="WBT70" s="317"/>
      <c r="WBU70" s="317"/>
      <c r="WBV70" s="317"/>
      <c r="WBW70" s="317"/>
      <c r="WBX70" s="317"/>
      <c r="WBY70" s="317"/>
      <c r="WBZ70" s="317"/>
      <c r="WCA70" s="317"/>
      <c r="WCB70" s="317"/>
      <c r="WCC70" s="317"/>
      <c r="WCD70" s="317"/>
      <c r="WCE70" s="317"/>
      <c r="WCF70" s="317"/>
      <c r="WCG70" s="317"/>
      <c r="WCH70" s="317"/>
      <c r="WCI70" s="317"/>
      <c r="WCJ70" s="317"/>
      <c r="WCK70" s="317"/>
      <c r="WCL70" s="317"/>
      <c r="WCM70" s="317"/>
      <c r="WCN70" s="317"/>
      <c r="WCO70" s="317"/>
      <c r="WCP70" s="317"/>
      <c r="WCQ70" s="317"/>
      <c r="WCR70" s="317"/>
      <c r="WCS70" s="317"/>
      <c r="WCT70" s="317"/>
      <c r="WCU70" s="317"/>
      <c r="WCV70" s="317"/>
      <c r="WCW70" s="317"/>
      <c r="WCX70" s="317"/>
      <c r="WCY70" s="317"/>
      <c r="WCZ70" s="317"/>
      <c r="WDA70" s="317"/>
      <c r="WDB70" s="317"/>
      <c r="WDC70" s="317"/>
      <c r="WDD70" s="317"/>
      <c r="WDE70" s="317"/>
      <c r="WDF70" s="317"/>
      <c r="WDG70" s="317"/>
      <c r="WDH70" s="317"/>
      <c r="WDI70" s="317"/>
      <c r="WDJ70" s="317"/>
      <c r="WDK70" s="317"/>
      <c r="WDL70" s="317"/>
      <c r="WDM70" s="317"/>
      <c r="WDN70" s="317"/>
      <c r="WDO70" s="317"/>
      <c r="WDP70" s="317"/>
      <c r="WDQ70" s="317"/>
      <c r="WDR70" s="317"/>
      <c r="WDS70" s="317"/>
      <c r="WDT70" s="317"/>
      <c r="WDU70" s="317"/>
      <c r="WDV70" s="317"/>
      <c r="WDW70" s="317"/>
      <c r="WDX70" s="317"/>
      <c r="WDY70" s="317"/>
      <c r="WDZ70" s="317"/>
      <c r="WEA70" s="317"/>
      <c r="WEB70" s="317"/>
      <c r="WEC70" s="317"/>
      <c r="WED70" s="317"/>
      <c r="WEE70" s="317"/>
      <c r="WEF70" s="317"/>
      <c r="WEG70" s="317"/>
      <c r="WEH70" s="317"/>
      <c r="WEI70" s="317"/>
      <c r="WEJ70" s="317"/>
      <c r="WEK70" s="317"/>
      <c r="WEL70" s="317"/>
      <c r="WEM70" s="317"/>
      <c r="WEN70" s="317"/>
      <c r="WEO70" s="317"/>
      <c r="WEP70" s="317"/>
      <c r="WEQ70" s="317"/>
      <c r="WER70" s="317"/>
      <c r="WES70" s="317"/>
      <c r="WET70" s="317"/>
      <c r="WEU70" s="317"/>
      <c r="WEV70" s="317"/>
      <c r="WEW70" s="317"/>
      <c r="WEX70" s="317"/>
      <c r="WEY70" s="317"/>
      <c r="WEZ70" s="317"/>
      <c r="WFA70" s="317"/>
      <c r="WFB70" s="317"/>
      <c r="WFC70" s="317"/>
      <c r="WFD70" s="317"/>
      <c r="WFE70" s="317"/>
      <c r="WFF70" s="317"/>
      <c r="WFG70" s="317"/>
      <c r="WFH70" s="317"/>
      <c r="WFI70" s="317"/>
      <c r="WFJ70" s="317"/>
      <c r="WFK70" s="317"/>
      <c r="WFL70" s="317"/>
      <c r="WFM70" s="317"/>
      <c r="WFN70" s="317"/>
      <c r="WFO70" s="317"/>
      <c r="WFP70" s="317"/>
      <c r="WFQ70" s="317"/>
      <c r="WFR70" s="317"/>
      <c r="WFS70" s="317"/>
      <c r="WFT70" s="317"/>
      <c r="WFU70" s="317"/>
      <c r="WFV70" s="317"/>
      <c r="WFW70" s="317"/>
      <c r="WFX70" s="317"/>
      <c r="WFY70" s="317"/>
      <c r="WFZ70" s="317"/>
      <c r="WGA70" s="317"/>
      <c r="WGB70" s="317"/>
      <c r="WGC70" s="317"/>
      <c r="WGD70" s="317"/>
      <c r="WGE70" s="317"/>
      <c r="WGF70" s="317"/>
      <c r="WGG70" s="317"/>
      <c r="WGH70" s="317"/>
      <c r="WGI70" s="317"/>
      <c r="WGJ70" s="317"/>
      <c r="WGK70" s="317"/>
      <c r="WGL70" s="317"/>
      <c r="WGM70" s="317"/>
      <c r="WGN70" s="317"/>
      <c r="WGO70" s="317"/>
      <c r="WGP70" s="317"/>
      <c r="WGQ70" s="317"/>
      <c r="WGR70" s="317"/>
      <c r="WGS70" s="317"/>
      <c r="WGT70" s="317"/>
      <c r="WGU70" s="317"/>
      <c r="WGV70" s="317"/>
      <c r="WGW70" s="317"/>
      <c r="WGX70" s="317"/>
      <c r="WGY70" s="317"/>
      <c r="WGZ70" s="317"/>
      <c r="WHA70" s="317"/>
      <c r="WHB70" s="317"/>
      <c r="WHC70" s="317"/>
      <c r="WHD70" s="317"/>
      <c r="WHE70" s="317"/>
      <c r="WHF70" s="317"/>
      <c r="WHG70" s="317"/>
      <c r="WHH70" s="317"/>
      <c r="WHI70" s="317"/>
      <c r="WHJ70" s="317"/>
      <c r="WHK70" s="317"/>
      <c r="WHL70" s="317"/>
      <c r="WHM70" s="317"/>
      <c r="WHN70" s="317"/>
      <c r="WHO70" s="317"/>
      <c r="WHP70" s="317"/>
      <c r="WHQ70" s="317"/>
      <c r="WHR70" s="317"/>
      <c r="WHS70" s="317"/>
      <c r="WHT70" s="317"/>
      <c r="WHU70" s="317"/>
      <c r="WHV70" s="317"/>
      <c r="WHW70" s="317"/>
      <c r="WHX70" s="317"/>
      <c r="WHY70" s="317"/>
      <c r="WHZ70" s="317"/>
      <c r="WIA70" s="317"/>
      <c r="WIB70" s="317"/>
      <c r="WIC70" s="317"/>
      <c r="WID70" s="317"/>
      <c r="WIE70" s="317"/>
      <c r="WIF70" s="317"/>
      <c r="WIG70" s="317"/>
      <c r="WIH70" s="317"/>
      <c r="WII70" s="317"/>
      <c r="WIJ70" s="317"/>
      <c r="WIK70" s="317"/>
      <c r="WIL70" s="317"/>
      <c r="WIM70" s="317"/>
      <c r="WIN70" s="317"/>
      <c r="WIO70" s="317"/>
      <c r="WIP70" s="317"/>
      <c r="WIQ70" s="317"/>
      <c r="WIR70" s="317"/>
      <c r="WIS70" s="317"/>
      <c r="WIT70" s="317"/>
      <c r="WIU70" s="317"/>
      <c r="WIV70" s="317"/>
      <c r="WIW70" s="317"/>
      <c r="WIX70" s="317"/>
      <c r="WIY70" s="317"/>
      <c r="WIZ70" s="317"/>
      <c r="WJA70" s="317"/>
      <c r="WJB70" s="317"/>
      <c r="WJC70" s="317"/>
      <c r="WJD70" s="317"/>
      <c r="WJE70" s="317"/>
      <c r="WJF70" s="317"/>
      <c r="WJG70" s="317"/>
      <c r="WJH70" s="317"/>
      <c r="WJI70" s="317"/>
      <c r="WJJ70" s="317"/>
      <c r="WJK70" s="317"/>
      <c r="WJL70" s="317"/>
      <c r="WJM70" s="317"/>
      <c r="WJN70" s="317"/>
      <c r="WJO70" s="317"/>
      <c r="WJP70" s="317"/>
      <c r="WJQ70" s="317"/>
      <c r="WJR70" s="317"/>
      <c r="WJS70" s="317"/>
      <c r="WJT70" s="317"/>
      <c r="WJU70" s="317"/>
      <c r="WJV70" s="317"/>
      <c r="WJW70" s="317"/>
      <c r="WJX70" s="317"/>
      <c r="WJY70" s="317"/>
      <c r="WJZ70" s="317"/>
      <c r="WKA70" s="317"/>
      <c r="WKB70" s="317"/>
      <c r="WKC70" s="317"/>
      <c r="WKD70" s="317"/>
      <c r="WKE70" s="317"/>
      <c r="WKF70" s="317"/>
      <c r="WKG70" s="317"/>
      <c r="WKH70" s="317"/>
      <c r="WKI70" s="317"/>
      <c r="WKJ70" s="317"/>
      <c r="WKK70" s="317"/>
      <c r="WKL70" s="317"/>
      <c r="WKM70" s="317"/>
      <c r="WKN70" s="317"/>
      <c r="WKO70" s="317"/>
      <c r="WKP70" s="317"/>
      <c r="WKQ70" s="317"/>
      <c r="WKR70" s="317"/>
      <c r="WKS70" s="317"/>
      <c r="WKT70" s="317"/>
      <c r="WKU70" s="317"/>
      <c r="WKV70" s="317"/>
      <c r="WKW70" s="317"/>
      <c r="WKX70" s="317"/>
      <c r="WKY70" s="317"/>
      <c r="WKZ70" s="317"/>
      <c r="WLA70" s="317"/>
      <c r="WLB70" s="317"/>
      <c r="WLC70" s="317"/>
      <c r="WLD70" s="317"/>
      <c r="WLE70" s="317"/>
      <c r="WLF70" s="317"/>
      <c r="WLG70" s="317"/>
      <c r="WLH70" s="317"/>
      <c r="WLI70" s="317"/>
      <c r="WLJ70" s="317"/>
      <c r="WLK70" s="317"/>
      <c r="WLL70" s="317"/>
      <c r="WLM70" s="317"/>
      <c r="WLN70" s="317"/>
      <c r="WLO70" s="317"/>
      <c r="WLP70" s="317"/>
      <c r="WLQ70" s="317"/>
      <c r="WLR70" s="317"/>
      <c r="WLS70" s="317"/>
      <c r="WLT70" s="317"/>
      <c r="WLU70" s="317"/>
      <c r="WLV70" s="317"/>
      <c r="WLW70" s="317"/>
      <c r="WLX70" s="317"/>
      <c r="WLY70" s="317"/>
      <c r="WLZ70" s="317"/>
      <c r="WMA70" s="317"/>
      <c r="WMB70" s="317"/>
      <c r="WMC70" s="317"/>
      <c r="WMD70" s="317"/>
      <c r="WME70" s="317"/>
      <c r="WMF70" s="317"/>
      <c r="WMG70" s="317"/>
      <c r="WMH70" s="317"/>
      <c r="WMI70" s="317"/>
      <c r="WMJ70" s="317"/>
      <c r="WMK70" s="317"/>
      <c r="WML70" s="317"/>
      <c r="WMM70" s="317"/>
      <c r="WMN70" s="317"/>
      <c r="WMO70" s="317"/>
      <c r="WMP70" s="317"/>
      <c r="WMQ70" s="317"/>
      <c r="WMR70" s="317"/>
      <c r="WMS70" s="317"/>
      <c r="WMT70" s="317"/>
      <c r="WMU70" s="317"/>
      <c r="WMV70" s="317"/>
      <c r="WMW70" s="317"/>
      <c r="WMX70" s="317"/>
      <c r="WMY70" s="317"/>
      <c r="WMZ70" s="317"/>
      <c r="WNA70" s="317"/>
      <c r="WNB70" s="317"/>
      <c r="WNC70" s="317"/>
      <c r="WND70" s="317"/>
      <c r="WNE70" s="317"/>
      <c r="WNF70" s="317"/>
      <c r="WNG70" s="317"/>
      <c r="WNH70" s="317"/>
      <c r="WNI70" s="317"/>
      <c r="WNJ70" s="317"/>
      <c r="WNK70" s="317"/>
      <c r="WNL70" s="317"/>
      <c r="WNM70" s="317"/>
      <c r="WNN70" s="317"/>
      <c r="WNO70" s="317"/>
      <c r="WNP70" s="317"/>
      <c r="WNQ70" s="317"/>
      <c r="WNR70" s="317"/>
      <c r="WNS70" s="317"/>
      <c r="WNT70" s="317"/>
      <c r="WNU70" s="317"/>
      <c r="WNV70" s="317"/>
      <c r="WNW70" s="317"/>
      <c r="WNX70" s="317"/>
      <c r="WNY70" s="317"/>
      <c r="WNZ70" s="317"/>
      <c r="WOA70" s="317"/>
      <c r="WOB70" s="317"/>
      <c r="WOC70" s="317"/>
      <c r="WOD70" s="317"/>
      <c r="WOE70" s="317"/>
      <c r="WOF70" s="317"/>
      <c r="WOG70" s="317"/>
      <c r="WOH70" s="317"/>
      <c r="WOI70" s="317"/>
      <c r="WOJ70" s="317"/>
      <c r="WOK70" s="317"/>
      <c r="WOL70" s="317"/>
      <c r="WOM70" s="317"/>
      <c r="WON70" s="317"/>
      <c r="WOO70" s="317"/>
      <c r="WOP70" s="317"/>
      <c r="WOQ70" s="317"/>
      <c r="WOR70" s="317"/>
      <c r="WOS70" s="317"/>
      <c r="WOT70" s="317"/>
      <c r="WOU70" s="317"/>
      <c r="WOV70" s="317"/>
      <c r="WOW70" s="317"/>
      <c r="WOX70" s="317"/>
      <c r="WOY70" s="317"/>
      <c r="WOZ70" s="317"/>
      <c r="WPA70" s="317"/>
      <c r="WPB70" s="317"/>
      <c r="WPC70" s="317"/>
      <c r="WPD70" s="317"/>
      <c r="WPE70" s="317"/>
      <c r="WPF70" s="317"/>
      <c r="WPG70" s="317"/>
      <c r="WPH70" s="317"/>
      <c r="WPI70" s="317"/>
      <c r="WPJ70" s="317"/>
      <c r="WPK70" s="317"/>
      <c r="WPL70" s="317"/>
      <c r="WPM70" s="317"/>
      <c r="WPN70" s="317"/>
      <c r="WPO70" s="317"/>
      <c r="WPP70" s="317"/>
      <c r="WPQ70" s="317"/>
      <c r="WPR70" s="317"/>
      <c r="WPS70" s="317"/>
      <c r="WPT70" s="317"/>
      <c r="WPU70" s="317"/>
      <c r="WPV70" s="317"/>
      <c r="WPW70" s="317"/>
      <c r="WPX70" s="317"/>
      <c r="WPY70" s="317"/>
      <c r="WPZ70" s="317"/>
      <c r="WQA70" s="317"/>
      <c r="WQB70" s="317"/>
      <c r="WQC70" s="317"/>
      <c r="WQD70" s="317"/>
      <c r="WQE70" s="317"/>
      <c r="WQF70" s="317"/>
      <c r="WQG70" s="317"/>
      <c r="WQH70" s="317"/>
      <c r="WQI70" s="317"/>
      <c r="WQJ70" s="317"/>
      <c r="WQK70" s="317"/>
      <c r="WQL70" s="317"/>
      <c r="WQM70" s="317"/>
      <c r="WQN70" s="317"/>
      <c r="WQO70" s="317"/>
      <c r="WQP70" s="317"/>
      <c r="WQQ70" s="317"/>
      <c r="WQR70" s="317"/>
      <c r="WQS70" s="317"/>
      <c r="WQT70" s="317"/>
      <c r="WQU70" s="317"/>
      <c r="WQV70" s="317"/>
      <c r="WQW70" s="317"/>
      <c r="WQX70" s="317"/>
      <c r="WQY70" s="317"/>
      <c r="WQZ70" s="317"/>
      <c r="WRA70" s="317"/>
      <c r="WRB70" s="317"/>
      <c r="WRC70" s="317"/>
      <c r="WRD70" s="317"/>
      <c r="WRE70" s="317"/>
      <c r="WRF70" s="317"/>
      <c r="WRG70" s="317"/>
      <c r="WRH70" s="317"/>
      <c r="WRI70" s="317"/>
      <c r="WRJ70" s="317"/>
      <c r="WRK70" s="317"/>
      <c r="WRL70" s="317"/>
      <c r="WRM70" s="317"/>
      <c r="WRN70" s="317"/>
      <c r="WRO70" s="317"/>
      <c r="WRP70" s="317"/>
      <c r="WRQ70" s="317"/>
      <c r="WRR70" s="317"/>
      <c r="WRS70" s="317"/>
      <c r="WRT70" s="317"/>
      <c r="WRU70" s="317"/>
      <c r="WRV70" s="317"/>
      <c r="WRW70" s="317"/>
      <c r="WRX70" s="317"/>
      <c r="WRY70" s="317"/>
      <c r="WRZ70" s="317"/>
      <c r="WSA70" s="317"/>
      <c r="WSB70" s="317"/>
      <c r="WSC70" s="317"/>
      <c r="WSD70" s="317"/>
      <c r="WSE70" s="317"/>
      <c r="WSF70" s="317"/>
      <c r="WSG70" s="317"/>
      <c r="WSH70" s="317"/>
      <c r="WSI70" s="317"/>
      <c r="WSJ70" s="317"/>
      <c r="WSK70" s="317"/>
      <c r="WSL70" s="317"/>
      <c r="WSM70" s="317"/>
      <c r="WSN70" s="317"/>
      <c r="WSO70" s="317"/>
      <c r="WSP70" s="317"/>
      <c r="WSQ70" s="317"/>
      <c r="WSR70" s="317"/>
      <c r="WSS70" s="317"/>
      <c r="WST70" s="317"/>
      <c r="WSU70" s="317"/>
      <c r="WSV70" s="317"/>
      <c r="WSW70" s="317"/>
      <c r="WSX70" s="317"/>
      <c r="WSY70" s="317"/>
      <c r="WSZ70" s="317"/>
      <c r="WTA70" s="317"/>
      <c r="WTB70" s="317"/>
      <c r="WTC70" s="317"/>
      <c r="WTD70" s="317"/>
      <c r="WTE70" s="317"/>
      <c r="WTF70" s="317"/>
      <c r="WTG70" s="317"/>
      <c r="WTH70" s="317"/>
      <c r="WTI70" s="317"/>
      <c r="WTJ70" s="317"/>
      <c r="WTK70" s="317"/>
      <c r="WTL70" s="317"/>
      <c r="WTM70" s="317"/>
      <c r="WTN70" s="317"/>
      <c r="WTO70" s="317"/>
      <c r="WTP70" s="317"/>
      <c r="WTQ70" s="317"/>
      <c r="WTR70" s="317"/>
      <c r="WTS70" s="317"/>
      <c r="WTT70" s="317"/>
      <c r="WTU70" s="317"/>
      <c r="WTV70" s="317"/>
      <c r="WTW70" s="317"/>
      <c r="WTX70" s="317"/>
      <c r="WTY70" s="317"/>
      <c r="WTZ70" s="317"/>
      <c r="WUA70" s="317"/>
      <c r="WUB70" s="317"/>
      <c r="WUC70" s="317"/>
      <c r="WUD70" s="317"/>
      <c r="WUE70" s="317"/>
      <c r="WUF70" s="317"/>
      <c r="WUG70" s="317"/>
      <c r="WUH70" s="317"/>
      <c r="WUI70" s="317"/>
      <c r="WUJ70" s="317"/>
      <c r="WUK70" s="317"/>
      <c r="WUL70" s="317"/>
      <c r="WUM70" s="317"/>
      <c r="WUN70" s="317"/>
      <c r="WUO70" s="317"/>
      <c r="WUP70" s="317"/>
      <c r="WUQ70" s="317"/>
      <c r="WUR70" s="317"/>
      <c r="WUS70" s="317"/>
      <c r="WUT70" s="317"/>
      <c r="WUU70" s="317"/>
      <c r="WUV70" s="317"/>
      <c r="WUW70" s="317"/>
      <c r="WUX70" s="317"/>
      <c r="WUY70" s="317"/>
      <c r="WUZ70" s="317"/>
      <c r="WVA70" s="317"/>
      <c r="WVB70" s="317"/>
      <c r="WVC70" s="317"/>
      <c r="WVD70" s="317"/>
      <c r="WVE70" s="317"/>
      <c r="WVF70" s="317"/>
      <c r="WVG70" s="317"/>
      <c r="WVH70" s="317"/>
      <c r="WVI70" s="317"/>
      <c r="WVJ70" s="317"/>
      <c r="WVK70" s="317"/>
      <c r="WVL70" s="317"/>
      <c r="WVM70" s="317"/>
      <c r="WVN70" s="317"/>
      <c r="WVO70" s="317"/>
      <c r="WVP70" s="317"/>
      <c r="WVQ70" s="317"/>
      <c r="WVR70" s="317"/>
      <c r="WVS70" s="317"/>
      <c r="WVT70" s="317"/>
      <c r="WVU70" s="317"/>
      <c r="WVV70" s="317"/>
      <c r="WVW70" s="317"/>
      <c r="WVX70" s="317"/>
      <c r="WVY70" s="317"/>
      <c r="WVZ70" s="317"/>
      <c r="WWA70" s="317"/>
      <c r="WWB70" s="317"/>
      <c r="WWC70" s="317"/>
      <c r="WWD70" s="317"/>
      <c r="WWE70" s="317"/>
      <c r="WWF70" s="317"/>
      <c r="WWG70" s="317"/>
      <c r="WWH70" s="317"/>
      <c r="WWI70" s="317"/>
      <c r="WWJ70" s="317"/>
      <c r="WWK70" s="317"/>
      <c r="WWL70" s="317"/>
      <c r="WWM70" s="317"/>
      <c r="WWN70" s="317"/>
      <c r="WWO70" s="317"/>
      <c r="WWP70" s="317"/>
      <c r="WWQ70" s="317"/>
      <c r="WWR70" s="317"/>
      <c r="WWS70" s="317"/>
      <c r="WWT70" s="317"/>
      <c r="WWU70" s="317"/>
      <c r="WWV70" s="317"/>
      <c r="WWW70" s="317"/>
      <c r="WWX70" s="317"/>
      <c r="WWY70" s="317"/>
      <c r="WWZ70" s="317"/>
      <c r="WXA70" s="317"/>
      <c r="WXB70" s="317"/>
      <c r="WXC70" s="317"/>
      <c r="WXD70" s="317"/>
      <c r="WXE70" s="317"/>
      <c r="WXF70" s="317"/>
      <c r="WXG70" s="317"/>
      <c r="WXH70" s="317"/>
      <c r="WXI70" s="317"/>
      <c r="WXJ70" s="317"/>
      <c r="WXK70" s="317"/>
      <c r="WXL70" s="317"/>
      <c r="WXM70" s="317"/>
      <c r="WXN70" s="317"/>
      <c r="WXO70" s="317"/>
      <c r="WXP70" s="317"/>
      <c r="WXQ70" s="317"/>
      <c r="WXR70" s="317"/>
      <c r="WXS70" s="317"/>
      <c r="WXT70" s="317"/>
      <c r="WXU70" s="317"/>
      <c r="WXV70" s="317"/>
      <c r="WXW70" s="317"/>
      <c r="WXX70" s="317"/>
      <c r="WXY70" s="317"/>
      <c r="WXZ70" s="317"/>
      <c r="WYA70" s="317"/>
      <c r="WYB70" s="317"/>
      <c r="WYC70" s="317"/>
      <c r="WYD70" s="317"/>
      <c r="WYE70" s="317"/>
      <c r="WYF70" s="317"/>
      <c r="WYG70" s="317"/>
      <c r="WYH70" s="317"/>
      <c r="WYI70" s="317"/>
      <c r="WYJ70" s="317"/>
      <c r="WYK70" s="317"/>
      <c r="WYL70" s="317"/>
      <c r="WYM70" s="317"/>
      <c r="WYN70" s="317"/>
      <c r="WYO70" s="317"/>
      <c r="WYP70" s="317"/>
      <c r="WYQ70" s="317"/>
      <c r="WYR70" s="317"/>
      <c r="WYS70" s="317"/>
      <c r="WYT70" s="317"/>
      <c r="WYU70" s="317"/>
      <c r="WYV70" s="317"/>
      <c r="WYW70" s="317"/>
      <c r="WYX70" s="317"/>
      <c r="WYY70" s="317"/>
      <c r="WYZ70" s="317"/>
      <c r="WZA70" s="317"/>
      <c r="WZB70" s="317"/>
      <c r="WZC70" s="317"/>
      <c r="WZD70" s="317"/>
      <c r="WZE70" s="317"/>
      <c r="WZF70" s="317"/>
      <c r="WZG70" s="317"/>
      <c r="WZH70" s="317"/>
      <c r="WZI70" s="317"/>
      <c r="WZJ70" s="317"/>
      <c r="WZK70" s="317"/>
      <c r="WZL70" s="317"/>
      <c r="WZM70" s="317"/>
      <c r="WZN70" s="317"/>
      <c r="WZO70" s="317"/>
      <c r="WZP70" s="317"/>
      <c r="WZQ70" s="317"/>
      <c r="WZR70" s="317"/>
      <c r="WZS70" s="317"/>
      <c r="WZT70" s="317"/>
      <c r="WZU70" s="317"/>
      <c r="WZV70" s="317"/>
      <c r="WZW70" s="317"/>
      <c r="WZX70" s="317"/>
      <c r="WZY70" s="317"/>
      <c r="WZZ70" s="317"/>
      <c r="XAA70" s="317"/>
      <c r="XAB70" s="317"/>
      <c r="XAC70" s="317"/>
      <c r="XAD70" s="317"/>
      <c r="XAE70" s="317"/>
      <c r="XAF70" s="317"/>
      <c r="XAG70" s="317"/>
      <c r="XAH70" s="317"/>
      <c r="XAI70" s="317"/>
      <c r="XAJ70" s="317"/>
      <c r="XAK70" s="317"/>
      <c r="XAL70" s="317"/>
      <c r="XAM70" s="317"/>
      <c r="XAN70" s="317"/>
      <c r="XAO70" s="317"/>
      <c r="XAP70" s="317"/>
      <c r="XAQ70" s="317"/>
      <c r="XAR70" s="317"/>
      <c r="XAS70" s="317"/>
      <c r="XAT70" s="317"/>
      <c r="XAU70" s="317"/>
      <c r="XAV70" s="317"/>
      <c r="XAW70" s="317"/>
      <c r="XAX70" s="317"/>
      <c r="XAY70" s="317"/>
      <c r="XAZ70" s="317"/>
      <c r="XBA70" s="317"/>
      <c r="XBB70" s="317"/>
      <c r="XBC70" s="317"/>
      <c r="XBD70" s="317"/>
      <c r="XBE70" s="317"/>
      <c r="XBF70" s="317"/>
      <c r="XBG70" s="317"/>
      <c r="XBH70" s="317"/>
      <c r="XBI70" s="317"/>
      <c r="XBJ70" s="317"/>
      <c r="XBK70" s="317"/>
      <c r="XBL70" s="317"/>
      <c r="XBM70" s="317"/>
      <c r="XBN70" s="317"/>
      <c r="XBO70" s="317"/>
      <c r="XBP70" s="317"/>
      <c r="XBQ70" s="317"/>
      <c r="XBR70" s="317"/>
      <c r="XBS70" s="317"/>
      <c r="XBT70" s="317"/>
      <c r="XBU70" s="317"/>
      <c r="XBV70" s="317"/>
      <c r="XBW70" s="317"/>
      <c r="XBX70" s="317"/>
      <c r="XBY70" s="317"/>
      <c r="XBZ70" s="317"/>
      <c r="XCA70" s="317"/>
      <c r="XCB70" s="317"/>
      <c r="XCC70" s="317"/>
      <c r="XCD70" s="317"/>
      <c r="XCE70" s="317"/>
      <c r="XCF70" s="317"/>
      <c r="XCG70" s="317"/>
      <c r="XCH70" s="317"/>
      <c r="XCI70" s="317"/>
      <c r="XCJ70" s="317"/>
      <c r="XCK70" s="317"/>
      <c r="XCL70" s="317"/>
      <c r="XCM70" s="317"/>
      <c r="XCN70" s="317"/>
      <c r="XCO70" s="317"/>
      <c r="XCP70" s="317"/>
      <c r="XCQ70" s="317"/>
      <c r="XCR70" s="317"/>
      <c r="XCS70" s="317"/>
      <c r="XCT70" s="317"/>
      <c r="XCU70" s="317"/>
      <c r="XCV70" s="317"/>
      <c r="XCW70" s="317"/>
      <c r="XCX70" s="317"/>
      <c r="XCY70" s="317"/>
      <c r="XCZ70" s="317"/>
      <c r="XDA70" s="317"/>
      <c r="XDB70" s="317"/>
      <c r="XDC70" s="317"/>
      <c r="XDD70" s="317"/>
      <c r="XDE70" s="317"/>
      <c r="XDF70" s="317"/>
      <c r="XDG70" s="317"/>
      <c r="XDH70" s="317"/>
      <c r="XDI70" s="317"/>
      <c r="XDJ70" s="317"/>
      <c r="XDK70" s="317"/>
      <c r="XDL70" s="317"/>
      <c r="XDM70" s="317"/>
      <c r="XDN70" s="317"/>
      <c r="XDO70" s="317"/>
      <c r="XDP70" s="317"/>
      <c r="XDQ70" s="317"/>
      <c r="XDR70" s="317"/>
      <c r="XDS70" s="317"/>
      <c r="XDT70" s="317"/>
      <c r="XDU70" s="317"/>
      <c r="XDV70" s="317"/>
      <c r="XDW70" s="317"/>
      <c r="XDX70" s="317"/>
      <c r="XDY70" s="317"/>
      <c r="XDZ70" s="317"/>
      <c r="XEA70" s="317"/>
      <c r="XEB70" s="317"/>
      <c r="XEC70" s="317"/>
      <c r="XED70" s="317"/>
      <c r="XEE70" s="317"/>
      <c r="XEF70" s="317"/>
      <c r="XEG70" s="317"/>
      <c r="XEH70" s="317"/>
      <c r="XEI70" s="317"/>
      <c r="XEJ70" s="317"/>
      <c r="XEK70" s="317"/>
      <c r="XEL70" s="317"/>
      <c r="XEM70" s="317"/>
      <c r="XEN70" s="317"/>
      <c r="XEO70" s="317"/>
      <c r="XEP70" s="317"/>
      <c r="XEQ70" s="317"/>
      <c r="XER70" s="317"/>
      <c r="XES70" s="317"/>
      <c r="XET70" s="317"/>
      <c r="XEU70" s="317"/>
      <c r="XEV70" s="317"/>
      <c r="XEW70" s="317"/>
      <c r="XEX70" s="317"/>
      <c r="XEY70" s="317"/>
      <c r="XEZ70" s="317"/>
      <c r="XFA70" s="317"/>
      <c r="XFB70" s="317"/>
      <c r="XFC70" s="317"/>
      <c r="XFD70" s="317"/>
    </row>
    <row r="71" s="314" customFormat="1" ht="25" customHeight="1" spans="1:74 14505:16384">
      <c r="A71" s="340"/>
      <c r="B71" s="337" t="s">
        <v>92</v>
      </c>
      <c r="I71" s="315"/>
      <c r="O71" s="316"/>
      <c r="P71" s="316"/>
      <c r="V71" s="316"/>
      <c r="W71" s="316"/>
      <c r="X71" s="316"/>
      <c r="Y71" s="316"/>
      <c r="Z71" s="316"/>
      <c r="AA71" s="316"/>
      <c r="AB71" s="316"/>
      <c r="AC71" s="316"/>
      <c r="AD71" s="316"/>
      <c r="AK71" s="316"/>
      <c r="AQ71" s="316"/>
      <c r="AR71" s="316"/>
      <c r="AY71" s="316"/>
      <c r="AZ71" s="337"/>
      <c r="BA71" s="337"/>
      <c r="BE71" s="316"/>
      <c r="BF71" s="316"/>
      <c r="BM71" s="316"/>
      <c r="BS71" s="316"/>
      <c r="BT71" s="316"/>
      <c r="UKW71" s="317"/>
      <c r="UKX71" s="317"/>
      <c r="UKY71" s="317"/>
      <c r="UKZ71" s="317"/>
      <c r="ULA71" s="317"/>
      <c r="ULB71" s="317"/>
      <c r="ULC71" s="317"/>
      <c r="ULD71" s="317"/>
      <c r="ULE71" s="317"/>
      <c r="ULF71" s="317"/>
      <c r="ULG71" s="317"/>
      <c r="ULH71" s="317"/>
      <c r="ULI71" s="317"/>
      <c r="ULJ71" s="317"/>
      <c r="ULK71" s="317"/>
      <c r="ULL71" s="317"/>
      <c r="ULM71" s="317"/>
      <c r="ULN71" s="317"/>
      <c r="ULO71" s="317"/>
      <c r="ULP71" s="317"/>
      <c r="ULQ71" s="317"/>
      <c r="ULR71" s="317"/>
      <c r="ULS71" s="317"/>
      <c r="ULT71" s="317"/>
      <c r="ULU71" s="317"/>
      <c r="ULV71" s="317"/>
      <c r="ULW71" s="317"/>
      <c r="ULX71" s="317"/>
      <c r="ULY71" s="317"/>
      <c r="ULZ71" s="317"/>
      <c r="UMA71" s="317"/>
      <c r="UMB71" s="317"/>
      <c r="UMC71" s="317"/>
      <c r="UMD71" s="317"/>
      <c r="UME71" s="317"/>
      <c r="UMF71" s="317"/>
      <c r="UMG71" s="317"/>
      <c r="UMH71" s="317"/>
      <c r="UMI71" s="317"/>
      <c r="UMJ71" s="317"/>
      <c r="UMK71" s="317"/>
      <c r="UML71" s="317"/>
      <c r="UMM71" s="317"/>
      <c r="UMN71" s="317"/>
      <c r="UMO71" s="317"/>
      <c r="UMP71" s="317"/>
      <c r="UMQ71" s="317"/>
      <c r="UMR71" s="317"/>
      <c r="UMS71" s="317"/>
      <c r="UMT71" s="317"/>
      <c r="UMU71" s="317"/>
      <c r="UMV71" s="317"/>
      <c r="UMW71" s="317"/>
      <c r="UMX71" s="317"/>
      <c r="UMY71" s="317"/>
      <c r="UMZ71" s="317"/>
      <c r="UNA71" s="317"/>
      <c r="UNB71" s="317"/>
      <c r="UNC71" s="317"/>
      <c r="UND71" s="317"/>
      <c r="UNE71" s="317"/>
      <c r="UNF71" s="317"/>
      <c r="UNG71" s="317"/>
      <c r="UNH71" s="317"/>
      <c r="UNI71" s="317"/>
      <c r="UNJ71" s="317"/>
      <c r="UNK71" s="317"/>
      <c r="UNL71" s="317"/>
      <c r="UNM71" s="317"/>
      <c r="UNN71" s="317"/>
      <c r="UNO71" s="317"/>
      <c r="UNP71" s="317"/>
      <c r="UNQ71" s="317"/>
      <c r="UNR71" s="317"/>
      <c r="UNS71" s="317"/>
      <c r="UNT71" s="317"/>
      <c r="UNU71" s="317"/>
      <c r="UNV71" s="317"/>
      <c r="UNW71" s="317"/>
      <c r="UNX71" s="317"/>
      <c r="UNY71" s="317"/>
      <c r="UNZ71" s="317"/>
      <c r="UOA71" s="317"/>
      <c r="UOB71" s="317"/>
      <c r="UOC71" s="317"/>
      <c r="UOD71" s="317"/>
      <c r="UOE71" s="317"/>
      <c r="UOF71" s="317"/>
      <c r="UOG71" s="317"/>
      <c r="UOH71" s="317"/>
      <c r="UOI71" s="317"/>
      <c r="UOJ71" s="317"/>
      <c r="UOK71" s="317"/>
      <c r="UOL71" s="317"/>
      <c r="UOM71" s="317"/>
      <c r="UON71" s="317"/>
      <c r="UOO71" s="317"/>
      <c r="UOP71" s="317"/>
      <c r="UOQ71" s="317"/>
      <c r="UOR71" s="317"/>
      <c r="UOS71" s="317"/>
      <c r="UOT71" s="317"/>
      <c r="UOU71" s="317"/>
      <c r="UOV71" s="317"/>
      <c r="UOW71" s="317"/>
      <c r="UOX71" s="317"/>
      <c r="UOY71" s="317"/>
      <c r="UOZ71" s="317"/>
      <c r="UPA71" s="317"/>
      <c r="UPB71" s="317"/>
      <c r="UPC71" s="317"/>
      <c r="UPD71" s="317"/>
      <c r="UPE71" s="317"/>
      <c r="UPF71" s="317"/>
      <c r="UPG71" s="317"/>
      <c r="UPH71" s="317"/>
      <c r="UPI71" s="317"/>
      <c r="UPJ71" s="317"/>
      <c r="UPK71" s="317"/>
      <c r="UPL71" s="317"/>
      <c r="UPM71" s="317"/>
      <c r="UPN71" s="317"/>
      <c r="UPO71" s="317"/>
      <c r="UPP71" s="317"/>
      <c r="UPQ71" s="317"/>
      <c r="UPR71" s="317"/>
      <c r="UPS71" s="317"/>
      <c r="UPT71" s="317"/>
      <c r="UPU71" s="317"/>
      <c r="UPV71" s="317"/>
      <c r="UPW71" s="317"/>
      <c r="UPX71" s="317"/>
      <c r="UPY71" s="317"/>
      <c r="UPZ71" s="317"/>
      <c r="UQA71" s="317"/>
      <c r="UQB71" s="317"/>
      <c r="UQC71" s="317"/>
      <c r="UQD71" s="317"/>
      <c r="UQE71" s="317"/>
      <c r="UQF71" s="317"/>
      <c r="UQG71" s="317"/>
      <c r="UQH71" s="317"/>
      <c r="UQI71" s="317"/>
      <c r="UQJ71" s="317"/>
      <c r="UQK71" s="317"/>
      <c r="UQL71" s="317"/>
      <c r="UQM71" s="317"/>
      <c r="UQN71" s="317"/>
      <c r="UQO71" s="317"/>
      <c r="UQP71" s="317"/>
      <c r="UQQ71" s="317"/>
      <c r="UQR71" s="317"/>
      <c r="UQS71" s="317"/>
      <c r="UQT71" s="317"/>
      <c r="UQU71" s="317"/>
      <c r="UQV71" s="317"/>
      <c r="UQW71" s="317"/>
      <c r="UQX71" s="317"/>
      <c r="UQY71" s="317"/>
      <c r="UQZ71" s="317"/>
      <c r="URA71" s="317"/>
      <c r="URB71" s="317"/>
      <c r="URC71" s="317"/>
      <c r="URD71" s="317"/>
      <c r="URE71" s="317"/>
      <c r="URF71" s="317"/>
      <c r="URG71" s="317"/>
      <c r="URH71" s="317"/>
      <c r="URI71" s="317"/>
      <c r="URJ71" s="317"/>
      <c r="URK71" s="317"/>
      <c r="URL71" s="317"/>
      <c r="URM71" s="317"/>
      <c r="URN71" s="317"/>
      <c r="URO71" s="317"/>
      <c r="URP71" s="317"/>
      <c r="URQ71" s="317"/>
      <c r="URR71" s="317"/>
      <c r="URS71" s="317"/>
      <c r="URT71" s="317"/>
      <c r="URU71" s="317"/>
      <c r="URV71" s="317"/>
      <c r="URW71" s="317"/>
      <c r="URX71" s="317"/>
      <c r="URY71" s="317"/>
      <c r="URZ71" s="317"/>
      <c r="USA71" s="317"/>
      <c r="USB71" s="317"/>
      <c r="USC71" s="317"/>
      <c r="USD71" s="317"/>
      <c r="USE71" s="317"/>
      <c r="USF71" s="317"/>
      <c r="USG71" s="317"/>
      <c r="USH71" s="317"/>
      <c r="USI71" s="317"/>
      <c r="USJ71" s="317"/>
      <c r="USK71" s="317"/>
      <c r="USL71" s="317"/>
      <c r="USM71" s="317"/>
      <c r="USN71" s="317"/>
      <c r="USO71" s="317"/>
      <c r="USP71" s="317"/>
      <c r="USQ71" s="317"/>
      <c r="USR71" s="317"/>
      <c r="USS71" s="317"/>
      <c r="UST71" s="317"/>
      <c r="USU71" s="317"/>
      <c r="USV71" s="317"/>
      <c r="USW71" s="317"/>
      <c r="USX71" s="317"/>
      <c r="USY71" s="317"/>
      <c r="USZ71" s="317"/>
      <c r="UTA71" s="317"/>
      <c r="UTB71" s="317"/>
      <c r="UTC71" s="317"/>
      <c r="UTD71" s="317"/>
      <c r="UTE71" s="317"/>
      <c r="UTF71" s="317"/>
      <c r="UTG71" s="317"/>
      <c r="UTH71" s="317"/>
      <c r="UTI71" s="317"/>
      <c r="UTJ71" s="317"/>
      <c r="UTK71" s="317"/>
      <c r="UTL71" s="317"/>
      <c r="UTM71" s="317"/>
      <c r="UTN71" s="317"/>
      <c r="UTO71" s="317"/>
      <c r="UTP71" s="317"/>
      <c r="UTQ71" s="317"/>
      <c r="UTR71" s="317"/>
      <c r="UTS71" s="317"/>
      <c r="UTT71" s="317"/>
      <c r="UTU71" s="317"/>
      <c r="UTV71" s="317"/>
      <c r="UTW71" s="317"/>
      <c r="UTX71" s="317"/>
      <c r="UTY71" s="317"/>
      <c r="UTZ71" s="317"/>
      <c r="UUA71" s="317"/>
      <c r="UUB71" s="317"/>
      <c r="UUC71" s="317"/>
      <c r="UUD71" s="317"/>
      <c r="UUE71" s="317"/>
      <c r="UUF71" s="317"/>
      <c r="UUG71" s="317"/>
      <c r="UUH71" s="317"/>
      <c r="UUI71" s="317"/>
      <c r="UUJ71" s="317"/>
      <c r="UUK71" s="317"/>
      <c r="UUL71" s="317"/>
      <c r="UUM71" s="317"/>
      <c r="UUN71" s="317"/>
      <c r="UUO71" s="317"/>
      <c r="UUP71" s="317"/>
      <c r="UUQ71" s="317"/>
      <c r="UUR71" s="317"/>
      <c r="UUS71" s="317"/>
      <c r="UUT71" s="317"/>
      <c r="UUU71" s="317"/>
      <c r="UUV71" s="317"/>
      <c r="UUW71" s="317"/>
      <c r="UUX71" s="317"/>
      <c r="UUY71" s="317"/>
      <c r="UUZ71" s="317"/>
      <c r="UVA71" s="317"/>
      <c r="UVB71" s="317"/>
      <c r="UVC71" s="317"/>
      <c r="UVD71" s="317"/>
      <c r="UVE71" s="317"/>
      <c r="UVF71" s="317"/>
      <c r="UVG71" s="317"/>
      <c r="UVH71" s="317"/>
      <c r="UVI71" s="317"/>
      <c r="UVJ71" s="317"/>
      <c r="UVK71" s="317"/>
      <c r="UVL71" s="317"/>
      <c r="UVM71" s="317"/>
      <c r="UVN71" s="317"/>
      <c r="UVO71" s="317"/>
      <c r="UVP71" s="317"/>
      <c r="UVQ71" s="317"/>
      <c r="UVR71" s="317"/>
      <c r="UVS71" s="317"/>
      <c r="UVT71" s="317"/>
      <c r="UVU71" s="317"/>
      <c r="UVV71" s="317"/>
      <c r="UVW71" s="317"/>
      <c r="UVX71" s="317"/>
      <c r="UVY71" s="317"/>
      <c r="UVZ71" s="317"/>
      <c r="UWA71" s="317"/>
      <c r="UWB71" s="317"/>
      <c r="UWC71" s="317"/>
      <c r="UWD71" s="317"/>
      <c r="UWE71" s="317"/>
      <c r="UWF71" s="317"/>
      <c r="UWG71" s="317"/>
      <c r="UWH71" s="317"/>
      <c r="UWI71" s="317"/>
      <c r="UWJ71" s="317"/>
      <c r="UWK71" s="317"/>
      <c r="UWL71" s="317"/>
      <c r="UWM71" s="317"/>
      <c r="UWN71" s="317"/>
      <c r="UWO71" s="317"/>
      <c r="UWP71" s="317"/>
      <c r="UWQ71" s="317"/>
      <c r="UWR71" s="317"/>
      <c r="UWS71" s="317"/>
      <c r="UWT71" s="317"/>
      <c r="UWU71" s="317"/>
      <c r="UWV71" s="317"/>
      <c r="UWW71" s="317"/>
      <c r="UWX71" s="317"/>
      <c r="UWY71" s="317"/>
      <c r="UWZ71" s="317"/>
      <c r="UXA71" s="317"/>
      <c r="UXB71" s="317"/>
      <c r="UXC71" s="317"/>
      <c r="UXD71" s="317"/>
      <c r="UXE71" s="317"/>
      <c r="UXF71" s="317"/>
      <c r="UXG71" s="317"/>
      <c r="UXH71" s="317"/>
      <c r="UXI71" s="317"/>
      <c r="UXJ71" s="317"/>
      <c r="UXK71" s="317"/>
      <c r="UXL71" s="317"/>
      <c r="UXM71" s="317"/>
      <c r="UXN71" s="317"/>
      <c r="UXO71" s="317"/>
      <c r="UXP71" s="317"/>
      <c r="UXQ71" s="317"/>
      <c r="UXR71" s="317"/>
      <c r="UXS71" s="317"/>
      <c r="UXT71" s="317"/>
      <c r="UXU71" s="317"/>
      <c r="UXV71" s="317"/>
      <c r="UXW71" s="317"/>
      <c r="UXX71" s="317"/>
      <c r="UXY71" s="317"/>
      <c r="UXZ71" s="317"/>
      <c r="UYA71" s="317"/>
      <c r="UYB71" s="317"/>
      <c r="UYC71" s="317"/>
      <c r="UYD71" s="317"/>
      <c r="UYE71" s="317"/>
      <c r="UYF71" s="317"/>
      <c r="UYG71" s="317"/>
      <c r="UYH71" s="317"/>
      <c r="UYI71" s="317"/>
      <c r="UYJ71" s="317"/>
      <c r="UYK71" s="317"/>
      <c r="UYL71" s="317"/>
      <c r="UYM71" s="317"/>
      <c r="UYN71" s="317"/>
      <c r="UYO71" s="317"/>
      <c r="UYP71" s="317"/>
      <c r="UYQ71" s="317"/>
      <c r="UYR71" s="317"/>
      <c r="UYS71" s="317"/>
      <c r="UYT71" s="317"/>
      <c r="UYU71" s="317"/>
      <c r="UYV71" s="317"/>
      <c r="UYW71" s="317"/>
      <c r="UYX71" s="317"/>
      <c r="UYY71" s="317"/>
      <c r="UYZ71" s="317"/>
      <c r="UZA71" s="317"/>
      <c r="UZB71" s="317"/>
      <c r="UZC71" s="317"/>
      <c r="UZD71" s="317"/>
      <c r="UZE71" s="317"/>
      <c r="UZF71" s="317"/>
      <c r="UZG71" s="317"/>
      <c r="UZH71" s="317"/>
      <c r="UZI71" s="317"/>
      <c r="UZJ71" s="317"/>
      <c r="UZK71" s="317"/>
      <c r="UZL71" s="317"/>
      <c r="UZM71" s="317"/>
      <c r="UZN71" s="317"/>
      <c r="UZO71" s="317"/>
      <c r="UZP71" s="317"/>
      <c r="UZQ71" s="317"/>
      <c r="UZR71" s="317"/>
      <c r="UZS71" s="317"/>
      <c r="UZT71" s="317"/>
      <c r="UZU71" s="317"/>
      <c r="UZV71" s="317"/>
      <c r="UZW71" s="317"/>
      <c r="UZX71" s="317"/>
      <c r="UZY71" s="317"/>
      <c r="UZZ71" s="317"/>
      <c r="VAA71" s="317"/>
      <c r="VAB71" s="317"/>
      <c r="VAC71" s="317"/>
      <c r="VAD71" s="317"/>
      <c r="VAE71" s="317"/>
      <c r="VAF71" s="317"/>
      <c r="VAG71" s="317"/>
      <c r="VAH71" s="317"/>
      <c r="VAI71" s="317"/>
      <c r="VAJ71" s="317"/>
      <c r="VAK71" s="317"/>
      <c r="VAL71" s="317"/>
      <c r="VAM71" s="317"/>
      <c r="VAN71" s="317"/>
      <c r="VAO71" s="317"/>
      <c r="VAP71" s="317"/>
      <c r="VAQ71" s="317"/>
      <c r="VAR71" s="317"/>
      <c r="VAS71" s="317"/>
      <c r="VAT71" s="317"/>
      <c r="VAU71" s="317"/>
      <c r="VAV71" s="317"/>
      <c r="VAW71" s="317"/>
      <c r="VAX71" s="317"/>
      <c r="VAY71" s="317"/>
      <c r="VAZ71" s="317"/>
      <c r="VBA71" s="317"/>
      <c r="VBB71" s="317"/>
      <c r="VBC71" s="317"/>
      <c r="VBD71" s="317"/>
      <c r="VBE71" s="317"/>
      <c r="VBF71" s="317"/>
      <c r="VBG71" s="317"/>
      <c r="VBH71" s="317"/>
      <c r="VBI71" s="317"/>
      <c r="VBJ71" s="317"/>
      <c r="VBK71" s="317"/>
      <c r="VBL71" s="317"/>
      <c r="VBM71" s="317"/>
      <c r="VBN71" s="317"/>
      <c r="VBO71" s="317"/>
      <c r="VBP71" s="317"/>
      <c r="VBQ71" s="317"/>
      <c r="VBR71" s="317"/>
      <c r="VBS71" s="317"/>
      <c r="VBT71" s="317"/>
      <c r="VBU71" s="317"/>
      <c r="VBV71" s="317"/>
      <c r="VBW71" s="317"/>
      <c r="VBX71" s="317"/>
      <c r="VBY71" s="317"/>
      <c r="VBZ71" s="317"/>
      <c r="VCA71" s="317"/>
      <c r="VCB71" s="317"/>
      <c r="VCC71" s="317"/>
      <c r="VCD71" s="317"/>
      <c r="VCE71" s="317"/>
      <c r="VCF71" s="317"/>
      <c r="VCG71" s="317"/>
      <c r="VCH71" s="317"/>
      <c r="VCI71" s="317"/>
      <c r="VCJ71" s="317"/>
      <c r="VCK71" s="317"/>
      <c r="VCL71" s="317"/>
      <c r="VCM71" s="317"/>
      <c r="VCN71" s="317"/>
      <c r="VCO71" s="317"/>
      <c r="VCP71" s="317"/>
      <c r="VCQ71" s="317"/>
      <c r="VCR71" s="317"/>
      <c r="VCS71" s="317"/>
      <c r="VCT71" s="317"/>
      <c r="VCU71" s="317"/>
      <c r="VCV71" s="317"/>
      <c r="VCW71" s="317"/>
      <c r="VCX71" s="317"/>
      <c r="VCY71" s="317"/>
      <c r="VCZ71" s="317"/>
      <c r="VDA71" s="317"/>
      <c r="VDB71" s="317"/>
      <c r="VDC71" s="317"/>
      <c r="VDD71" s="317"/>
      <c r="VDE71" s="317"/>
      <c r="VDF71" s="317"/>
      <c r="VDG71" s="317"/>
      <c r="VDH71" s="317"/>
      <c r="VDI71" s="317"/>
      <c r="VDJ71" s="317"/>
      <c r="VDK71" s="317"/>
      <c r="VDL71" s="317"/>
      <c r="VDM71" s="317"/>
      <c r="VDN71" s="317"/>
      <c r="VDO71" s="317"/>
      <c r="VDP71" s="317"/>
      <c r="VDQ71" s="317"/>
      <c r="VDR71" s="317"/>
      <c r="VDS71" s="317"/>
      <c r="VDT71" s="317"/>
      <c r="VDU71" s="317"/>
      <c r="VDV71" s="317"/>
      <c r="VDW71" s="317"/>
      <c r="VDX71" s="317"/>
      <c r="VDY71" s="317"/>
      <c r="VDZ71" s="317"/>
      <c r="VEA71" s="317"/>
      <c r="VEB71" s="317"/>
      <c r="VEC71" s="317"/>
      <c r="VED71" s="317"/>
      <c r="VEE71" s="317"/>
      <c r="VEF71" s="317"/>
      <c r="VEG71" s="317"/>
      <c r="VEH71" s="317"/>
      <c r="VEI71" s="317"/>
      <c r="VEJ71" s="317"/>
      <c r="VEK71" s="317"/>
      <c r="VEL71" s="317"/>
      <c r="VEM71" s="317"/>
      <c r="VEN71" s="317"/>
      <c r="VEO71" s="317"/>
      <c r="VEP71" s="317"/>
      <c r="VEQ71" s="317"/>
      <c r="VER71" s="317"/>
      <c r="VES71" s="317"/>
      <c r="VET71" s="317"/>
      <c r="VEU71" s="317"/>
      <c r="VEV71" s="317"/>
      <c r="VEW71" s="317"/>
      <c r="VEX71" s="317"/>
      <c r="VEY71" s="317"/>
      <c r="VEZ71" s="317"/>
      <c r="VFA71" s="317"/>
      <c r="VFB71" s="317"/>
      <c r="VFC71" s="317"/>
      <c r="VFD71" s="317"/>
      <c r="VFE71" s="317"/>
      <c r="VFF71" s="317"/>
      <c r="VFG71" s="317"/>
      <c r="VFH71" s="317"/>
      <c r="VFI71" s="317"/>
      <c r="VFJ71" s="317"/>
      <c r="VFK71" s="317"/>
      <c r="VFL71" s="317"/>
      <c r="VFM71" s="317"/>
      <c r="VFN71" s="317"/>
      <c r="VFO71" s="317"/>
      <c r="VFP71" s="317"/>
      <c r="VFQ71" s="317"/>
      <c r="VFR71" s="317"/>
      <c r="VFS71" s="317"/>
      <c r="VFT71" s="317"/>
      <c r="VFU71" s="317"/>
      <c r="VFV71" s="317"/>
      <c r="VFW71" s="317"/>
      <c r="VFX71" s="317"/>
      <c r="VFY71" s="317"/>
      <c r="VFZ71" s="317"/>
      <c r="VGA71" s="317"/>
      <c r="VGB71" s="317"/>
      <c r="VGC71" s="317"/>
      <c r="VGD71" s="317"/>
      <c r="VGE71" s="317"/>
      <c r="VGF71" s="317"/>
      <c r="VGG71" s="317"/>
      <c r="VGH71" s="317"/>
      <c r="VGI71" s="317"/>
      <c r="VGJ71" s="317"/>
      <c r="VGK71" s="317"/>
      <c r="VGL71" s="317"/>
      <c r="VGM71" s="317"/>
      <c r="VGN71" s="317"/>
      <c r="VGO71" s="317"/>
      <c r="VGP71" s="317"/>
      <c r="VGQ71" s="317"/>
      <c r="VGR71" s="317"/>
      <c r="VGS71" s="317"/>
      <c r="VGT71" s="317"/>
      <c r="VGU71" s="317"/>
      <c r="VGV71" s="317"/>
      <c r="VGW71" s="317"/>
      <c r="VGX71" s="317"/>
      <c r="VGY71" s="317"/>
      <c r="VGZ71" s="317"/>
      <c r="VHA71" s="317"/>
      <c r="VHB71" s="317"/>
      <c r="VHC71" s="317"/>
      <c r="VHD71" s="317"/>
      <c r="VHE71" s="317"/>
      <c r="VHF71" s="317"/>
      <c r="VHG71" s="317"/>
      <c r="VHH71" s="317"/>
      <c r="VHI71" s="317"/>
      <c r="VHJ71" s="317"/>
      <c r="VHK71" s="317"/>
      <c r="VHL71" s="317"/>
      <c r="VHM71" s="317"/>
      <c r="VHN71" s="317"/>
      <c r="VHO71" s="317"/>
      <c r="VHP71" s="317"/>
      <c r="VHQ71" s="317"/>
      <c r="VHR71" s="317"/>
      <c r="VHS71" s="317"/>
      <c r="VHT71" s="317"/>
      <c r="VHU71" s="317"/>
      <c r="VHV71" s="317"/>
      <c r="VHW71" s="317"/>
      <c r="VHX71" s="317"/>
      <c r="VHY71" s="317"/>
      <c r="VHZ71" s="317"/>
      <c r="VIA71" s="317"/>
      <c r="VIB71" s="317"/>
      <c r="VIC71" s="317"/>
      <c r="VID71" s="317"/>
      <c r="VIE71" s="317"/>
      <c r="VIF71" s="317"/>
      <c r="VIG71" s="317"/>
      <c r="VIH71" s="317"/>
      <c r="VII71" s="317"/>
      <c r="VIJ71" s="317"/>
      <c r="VIK71" s="317"/>
      <c r="VIL71" s="317"/>
      <c r="VIM71" s="317"/>
      <c r="VIN71" s="317"/>
      <c r="VIO71" s="317"/>
      <c r="VIP71" s="317"/>
      <c r="VIQ71" s="317"/>
      <c r="VIR71" s="317"/>
      <c r="VIS71" s="317"/>
      <c r="VIT71" s="317"/>
      <c r="VIU71" s="317"/>
      <c r="VIV71" s="317"/>
      <c r="VIW71" s="317"/>
      <c r="VIX71" s="317"/>
      <c r="VIY71" s="317"/>
      <c r="VIZ71" s="317"/>
      <c r="VJA71" s="317"/>
      <c r="VJB71" s="317"/>
      <c r="VJC71" s="317"/>
      <c r="VJD71" s="317"/>
      <c r="VJE71" s="317"/>
      <c r="VJF71" s="317"/>
      <c r="VJG71" s="317"/>
      <c r="VJH71" s="317"/>
      <c r="VJI71" s="317"/>
      <c r="VJJ71" s="317"/>
      <c r="VJK71" s="317"/>
      <c r="VJL71" s="317"/>
      <c r="VJM71" s="317"/>
      <c r="VJN71" s="317"/>
      <c r="VJO71" s="317"/>
      <c r="VJP71" s="317"/>
      <c r="VJQ71" s="317"/>
      <c r="VJR71" s="317"/>
      <c r="VJS71" s="317"/>
      <c r="VJT71" s="317"/>
      <c r="VJU71" s="317"/>
      <c r="VJV71" s="317"/>
      <c r="VJW71" s="317"/>
      <c r="VJX71" s="317"/>
      <c r="VJY71" s="317"/>
      <c r="VJZ71" s="317"/>
      <c r="VKA71" s="317"/>
      <c r="VKB71" s="317"/>
      <c r="VKC71" s="317"/>
      <c r="VKD71" s="317"/>
      <c r="VKE71" s="317"/>
      <c r="VKF71" s="317"/>
      <c r="VKG71" s="317"/>
      <c r="VKH71" s="317"/>
      <c r="VKI71" s="317"/>
      <c r="VKJ71" s="317"/>
      <c r="VKK71" s="317"/>
      <c r="VKL71" s="317"/>
      <c r="VKM71" s="317"/>
      <c r="VKN71" s="317"/>
      <c r="VKO71" s="317"/>
      <c r="VKP71" s="317"/>
      <c r="VKQ71" s="317"/>
      <c r="VKR71" s="317"/>
      <c r="VKS71" s="317"/>
      <c r="VKT71" s="317"/>
      <c r="VKU71" s="317"/>
      <c r="VKV71" s="317"/>
      <c r="VKW71" s="317"/>
      <c r="VKX71" s="317"/>
      <c r="VKY71" s="317"/>
      <c r="VKZ71" s="317"/>
      <c r="VLA71" s="317"/>
      <c r="VLB71" s="317"/>
      <c r="VLC71" s="317"/>
      <c r="VLD71" s="317"/>
      <c r="VLE71" s="317"/>
      <c r="VLF71" s="317"/>
      <c r="VLG71" s="317"/>
      <c r="VLH71" s="317"/>
      <c r="VLI71" s="317"/>
      <c r="VLJ71" s="317"/>
      <c r="VLK71" s="317"/>
      <c r="VLL71" s="317"/>
      <c r="VLM71" s="317"/>
      <c r="VLN71" s="317"/>
      <c r="VLO71" s="317"/>
      <c r="VLP71" s="317"/>
      <c r="VLQ71" s="317"/>
      <c r="VLR71" s="317"/>
      <c r="VLS71" s="317"/>
      <c r="VLT71" s="317"/>
      <c r="VLU71" s="317"/>
      <c r="VLV71" s="317"/>
      <c r="VLW71" s="317"/>
      <c r="VLX71" s="317"/>
      <c r="VLY71" s="317"/>
      <c r="VLZ71" s="317"/>
      <c r="VMA71" s="317"/>
      <c r="VMB71" s="317"/>
      <c r="VMC71" s="317"/>
      <c r="VMD71" s="317"/>
      <c r="VME71" s="317"/>
      <c r="VMF71" s="317"/>
      <c r="VMG71" s="317"/>
      <c r="VMH71" s="317"/>
      <c r="VMI71" s="317"/>
      <c r="VMJ71" s="317"/>
      <c r="VMK71" s="317"/>
      <c r="VML71" s="317"/>
      <c r="VMM71" s="317"/>
      <c r="VMN71" s="317"/>
      <c r="VMO71" s="317"/>
      <c r="VMP71" s="317"/>
      <c r="VMQ71" s="317"/>
      <c r="VMR71" s="317"/>
      <c r="VMS71" s="317"/>
      <c r="VMT71" s="317"/>
      <c r="VMU71" s="317"/>
      <c r="VMV71" s="317"/>
      <c r="VMW71" s="317"/>
      <c r="VMX71" s="317"/>
      <c r="VMY71" s="317"/>
      <c r="VMZ71" s="317"/>
      <c r="VNA71" s="317"/>
      <c r="VNB71" s="317"/>
      <c r="VNC71" s="317"/>
      <c r="VND71" s="317"/>
      <c r="VNE71" s="317"/>
      <c r="VNF71" s="317"/>
      <c r="VNG71" s="317"/>
      <c r="VNH71" s="317"/>
      <c r="VNI71" s="317"/>
      <c r="VNJ71" s="317"/>
      <c r="VNK71" s="317"/>
      <c r="VNL71" s="317"/>
      <c r="VNM71" s="317"/>
      <c r="VNN71" s="317"/>
      <c r="VNO71" s="317"/>
      <c r="VNP71" s="317"/>
      <c r="VNQ71" s="317"/>
      <c r="VNR71" s="317"/>
      <c r="VNS71" s="317"/>
      <c r="VNT71" s="317"/>
      <c r="VNU71" s="317"/>
      <c r="VNV71" s="317"/>
      <c r="VNW71" s="317"/>
      <c r="VNX71" s="317"/>
      <c r="VNY71" s="317"/>
      <c r="VNZ71" s="317"/>
      <c r="VOA71" s="317"/>
      <c r="VOB71" s="317"/>
      <c r="VOC71" s="317"/>
      <c r="VOD71" s="317"/>
      <c r="VOE71" s="317"/>
      <c r="VOF71" s="317"/>
      <c r="VOG71" s="317"/>
      <c r="VOH71" s="317"/>
      <c r="VOI71" s="317"/>
      <c r="VOJ71" s="317"/>
      <c r="VOK71" s="317"/>
      <c r="VOL71" s="317"/>
      <c r="VOM71" s="317"/>
      <c r="VON71" s="317"/>
      <c r="VOO71" s="317"/>
      <c r="VOP71" s="317"/>
      <c r="VOQ71" s="317"/>
      <c r="VOR71" s="317"/>
      <c r="VOS71" s="317"/>
      <c r="VOT71" s="317"/>
      <c r="VOU71" s="317"/>
      <c r="VOV71" s="317"/>
      <c r="VOW71" s="317"/>
      <c r="VOX71" s="317"/>
      <c r="VOY71" s="317"/>
      <c r="VOZ71" s="317"/>
      <c r="VPA71" s="317"/>
      <c r="VPB71" s="317"/>
      <c r="VPC71" s="317"/>
      <c r="VPD71" s="317"/>
      <c r="VPE71" s="317"/>
      <c r="VPF71" s="317"/>
      <c r="VPG71" s="317"/>
      <c r="VPH71" s="317"/>
      <c r="VPI71" s="317"/>
      <c r="VPJ71" s="317"/>
      <c r="VPK71" s="317"/>
      <c r="VPL71" s="317"/>
      <c r="VPM71" s="317"/>
      <c r="VPN71" s="317"/>
      <c r="VPO71" s="317"/>
      <c r="VPP71" s="317"/>
      <c r="VPQ71" s="317"/>
      <c r="VPR71" s="317"/>
      <c r="VPS71" s="317"/>
      <c r="VPT71" s="317"/>
      <c r="VPU71" s="317"/>
      <c r="VPV71" s="317"/>
      <c r="VPW71" s="317"/>
      <c r="VPX71" s="317"/>
      <c r="VPY71" s="317"/>
      <c r="VPZ71" s="317"/>
      <c r="VQA71" s="317"/>
      <c r="VQB71" s="317"/>
      <c r="VQC71" s="317"/>
      <c r="VQD71" s="317"/>
      <c r="VQE71" s="317"/>
      <c r="VQF71" s="317"/>
      <c r="VQG71" s="317"/>
      <c r="VQH71" s="317"/>
      <c r="VQI71" s="317"/>
      <c r="VQJ71" s="317"/>
      <c r="VQK71" s="317"/>
      <c r="VQL71" s="317"/>
      <c r="VQM71" s="317"/>
      <c r="VQN71" s="317"/>
      <c r="VQO71" s="317"/>
      <c r="VQP71" s="317"/>
      <c r="VQQ71" s="317"/>
      <c r="VQR71" s="317"/>
      <c r="VQS71" s="317"/>
      <c r="VQT71" s="317"/>
      <c r="VQU71" s="317"/>
      <c r="VQV71" s="317"/>
      <c r="VQW71" s="317"/>
      <c r="VQX71" s="317"/>
      <c r="VQY71" s="317"/>
      <c r="VQZ71" s="317"/>
      <c r="VRA71" s="317"/>
      <c r="VRB71" s="317"/>
      <c r="VRC71" s="317"/>
      <c r="VRD71" s="317"/>
      <c r="VRE71" s="317"/>
      <c r="VRF71" s="317"/>
      <c r="VRG71" s="317"/>
      <c r="VRH71" s="317"/>
      <c r="VRI71" s="317"/>
      <c r="VRJ71" s="317"/>
      <c r="VRK71" s="317"/>
      <c r="VRL71" s="317"/>
      <c r="VRM71" s="317"/>
      <c r="VRN71" s="317"/>
      <c r="VRO71" s="317"/>
      <c r="VRP71" s="317"/>
      <c r="VRQ71" s="317"/>
      <c r="VRR71" s="317"/>
      <c r="VRS71" s="317"/>
      <c r="VRT71" s="317"/>
      <c r="VRU71" s="317"/>
      <c r="VRV71" s="317"/>
      <c r="VRW71" s="317"/>
      <c r="VRX71" s="317"/>
      <c r="VRY71" s="317"/>
      <c r="VRZ71" s="317"/>
      <c r="VSA71" s="317"/>
      <c r="VSB71" s="317"/>
      <c r="VSC71" s="317"/>
      <c r="VSD71" s="317"/>
      <c r="VSE71" s="317"/>
      <c r="VSF71" s="317"/>
      <c r="VSG71" s="317"/>
      <c r="VSH71" s="317"/>
      <c r="VSI71" s="317"/>
      <c r="VSJ71" s="317"/>
      <c r="VSK71" s="317"/>
      <c r="VSL71" s="317"/>
      <c r="VSM71" s="317"/>
      <c r="VSN71" s="317"/>
      <c r="VSO71" s="317"/>
      <c r="VSP71" s="317"/>
      <c r="VSQ71" s="317"/>
      <c r="VSR71" s="317"/>
      <c r="VSS71" s="317"/>
      <c r="VST71" s="317"/>
      <c r="VSU71" s="317"/>
      <c r="VSV71" s="317"/>
      <c r="VSW71" s="317"/>
      <c r="VSX71" s="317"/>
      <c r="VSY71" s="317"/>
      <c r="VSZ71" s="317"/>
      <c r="VTA71" s="317"/>
      <c r="VTB71" s="317"/>
      <c r="VTC71" s="317"/>
      <c r="VTD71" s="317"/>
      <c r="VTE71" s="317"/>
      <c r="VTF71" s="317"/>
      <c r="VTG71" s="317"/>
      <c r="VTH71" s="317"/>
      <c r="VTI71" s="317"/>
      <c r="VTJ71" s="317"/>
      <c r="VTK71" s="317"/>
      <c r="VTL71" s="317"/>
      <c r="VTM71" s="317"/>
      <c r="VTN71" s="317"/>
      <c r="VTO71" s="317"/>
      <c r="VTP71" s="317"/>
      <c r="VTQ71" s="317"/>
      <c r="VTR71" s="317"/>
      <c r="VTS71" s="317"/>
      <c r="VTT71" s="317"/>
      <c r="VTU71" s="317"/>
      <c r="VTV71" s="317"/>
      <c r="VTW71" s="317"/>
      <c r="VTX71" s="317"/>
      <c r="VTY71" s="317"/>
      <c r="VTZ71" s="317"/>
      <c r="VUA71" s="317"/>
      <c r="VUB71" s="317"/>
      <c r="VUC71" s="317"/>
      <c r="VUD71" s="317"/>
      <c r="VUE71" s="317"/>
      <c r="VUF71" s="317"/>
      <c r="VUG71" s="317"/>
      <c r="VUH71" s="317"/>
      <c r="VUI71" s="317"/>
      <c r="VUJ71" s="317"/>
      <c r="VUK71" s="317"/>
      <c r="VUL71" s="317"/>
      <c r="VUM71" s="317"/>
      <c r="VUN71" s="317"/>
      <c r="VUO71" s="317"/>
      <c r="VUP71" s="317"/>
      <c r="VUQ71" s="317"/>
      <c r="VUR71" s="317"/>
      <c r="VUS71" s="317"/>
      <c r="VUT71" s="317"/>
      <c r="VUU71" s="317"/>
      <c r="VUV71" s="317"/>
      <c r="VUW71" s="317"/>
      <c r="VUX71" s="317"/>
      <c r="VUY71" s="317"/>
      <c r="VUZ71" s="317"/>
      <c r="VVA71" s="317"/>
      <c r="VVB71" s="317"/>
      <c r="VVC71" s="317"/>
      <c r="VVD71" s="317"/>
      <c r="VVE71" s="317"/>
      <c r="VVF71" s="317"/>
      <c r="VVG71" s="317"/>
      <c r="VVH71" s="317"/>
      <c r="VVI71" s="317"/>
      <c r="VVJ71" s="317"/>
      <c r="VVK71" s="317"/>
      <c r="VVL71" s="317"/>
      <c r="VVM71" s="317"/>
      <c r="VVN71" s="317"/>
      <c r="VVO71" s="317"/>
      <c r="VVP71" s="317"/>
      <c r="VVQ71" s="317"/>
      <c r="VVR71" s="317"/>
      <c r="VVS71" s="317"/>
      <c r="VVT71" s="317"/>
      <c r="VVU71" s="317"/>
      <c r="VVV71" s="317"/>
      <c r="VVW71" s="317"/>
      <c r="VVX71" s="317"/>
      <c r="VVY71" s="317"/>
      <c r="VVZ71" s="317"/>
      <c r="VWA71" s="317"/>
      <c r="VWB71" s="317"/>
      <c r="VWC71" s="317"/>
      <c r="VWD71" s="317"/>
      <c r="VWE71" s="317"/>
      <c r="VWF71" s="317"/>
      <c r="VWG71" s="317"/>
      <c r="VWH71" s="317"/>
      <c r="VWI71" s="317"/>
      <c r="VWJ71" s="317"/>
      <c r="VWK71" s="317"/>
      <c r="VWL71" s="317"/>
      <c r="VWM71" s="317"/>
      <c r="VWN71" s="317"/>
      <c r="VWO71" s="317"/>
      <c r="VWP71" s="317"/>
      <c r="VWQ71" s="317"/>
      <c r="VWR71" s="317"/>
      <c r="VWS71" s="317"/>
      <c r="VWT71" s="317"/>
      <c r="VWU71" s="317"/>
      <c r="VWV71" s="317"/>
      <c r="VWW71" s="317"/>
      <c r="VWX71" s="317"/>
      <c r="VWY71" s="317"/>
      <c r="VWZ71" s="317"/>
      <c r="VXA71" s="317"/>
      <c r="VXB71" s="317"/>
      <c r="VXC71" s="317"/>
      <c r="VXD71" s="317"/>
      <c r="VXE71" s="317"/>
      <c r="VXF71" s="317"/>
      <c r="VXG71" s="317"/>
      <c r="VXH71" s="317"/>
      <c r="VXI71" s="317"/>
      <c r="VXJ71" s="317"/>
      <c r="VXK71" s="317"/>
      <c r="VXL71" s="317"/>
      <c r="VXM71" s="317"/>
      <c r="VXN71" s="317"/>
      <c r="VXO71" s="317"/>
      <c r="VXP71" s="317"/>
      <c r="VXQ71" s="317"/>
      <c r="VXR71" s="317"/>
      <c r="VXS71" s="317"/>
      <c r="VXT71" s="317"/>
      <c r="VXU71" s="317"/>
      <c r="VXV71" s="317"/>
      <c r="VXW71" s="317"/>
      <c r="VXX71" s="317"/>
      <c r="VXY71" s="317"/>
      <c r="VXZ71" s="317"/>
      <c r="VYA71" s="317"/>
      <c r="VYB71" s="317"/>
      <c r="VYC71" s="317"/>
      <c r="VYD71" s="317"/>
      <c r="VYE71" s="317"/>
      <c r="VYF71" s="317"/>
      <c r="VYG71" s="317"/>
      <c r="VYH71" s="317"/>
      <c r="VYI71" s="317"/>
      <c r="VYJ71" s="317"/>
      <c r="VYK71" s="317"/>
      <c r="VYL71" s="317"/>
      <c r="VYM71" s="317"/>
      <c r="VYN71" s="317"/>
      <c r="VYO71" s="317"/>
      <c r="VYP71" s="317"/>
      <c r="VYQ71" s="317"/>
      <c r="VYR71" s="317"/>
      <c r="VYS71" s="317"/>
      <c r="VYT71" s="317"/>
      <c r="VYU71" s="317"/>
      <c r="VYV71" s="317"/>
      <c r="VYW71" s="317"/>
      <c r="VYX71" s="317"/>
      <c r="VYY71" s="317"/>
      <c r="VYZ71" s="317"/>
      <c r="VZA71" s="317"/>
      <c r="VZB71" s="317"/>
      <c r="VZC71" s="317"/>
      <c r="VZD71" s="317"/>
      <c r="VZE71" s="317"/>
      <c r="VZF71" s="317"/>
      <c r="VZG71" s="317"/>
      <c r="VZH71" s="317"/>
      <c r="VZI71" s="317"/>
      <c r="VZJ71" s="317"/>
      <c r="VZK71" s="317"/>
      <c r="VZL71" s="317"/>
      <c r="VZM71" s="317"/>
      <c r="VZN71" s="317"/>
      <c r="VZO71" s="317"/>
      <c r="VZP71" s="317"/>
      <c r="VZQ71" s="317"/>
      <c r="VZR71" s="317"/>
      <c r="VZS71" s="317"/>
      <c r="VZT71" s="317"/>
      <c r="VZU71" s="317"/>
      <c r="VZV71" s="317"/>
      <c r="VZW71" s="317"/>
      <c r="VZX71" s="317"/>
      <c r="VZY71" s="317"/>
      <c r="VZZ71" s="317"/>
      <c r="WAA71" s="317"/>
      <c r="WAB71" s="317"/>
      <c r="WAC71" s="317"/>
      <c r="WAD71" s="317"/>
      <c r="WAE71" s="317"/>
      <c r="WAF71" s="317"/>
      <c r="WAG71" s="317"/>
      <c r="WAH71" s="317"/>
      <c r="WAI71" s="317"/>
      <c r="WAJ71" s="317"/>
      <c r="WAK71" s="317"/>
      <c r="WAL71" s="317"/>
      <c r="WAM71" s="317"/>
      <c r="WAN71" s="317"/>
      <c r="WAO71" s="317"/>
      <c r="WAP71" s="317"/>
      <c r="WAQ71" s="317"/>
      <c r="WAR71" s="317"/>
      <c r="WAS71" s="317"/>
      <c r="WAT71" s="317"/>
      <c r="WAU71" s="317"/>
      <c r="WAV71" s="317"/>
      <c r="WAW71" s="317"/>
      <c r="WAX71" s="317"/>
      <c r="WAY71" s="317"/>
      <c r="WAZ71" s="317"/>
      <c r="WBA71" s="317"/>
      <c r="WBB71" s="317"/>
      <c r="WBC71" s="317"/>
      <c r="WBD71" s="317"/>
      <c r="WBE71" s="317"/>
      <c r="WBF71" s="317"/>
      <c r="WBG71" s="317"/>
      <c r="WBH71" s="317"/>
      <c r="WBI71" s="317"/>
      <c r="WBJ71" s="317"/>
      <c r="WBK71" s="317"/>
      <c r="WBL71" s="317"/>
      <c r="WBM71" s="317"/>
      <c r="WBN71" s="317"/>
      <c r="WBO71" s="317"/>
      <c r="WBP71" s="317"/>
      <c r="WBQ71" s="317"/>
      <c r="WBR71" s="317"/>
      <c r="WBS71" s="317"/>
      <c r="WBT71" s="317"/>
      <c r="WBU71" s="317"/>
      <c r="WBV71" s="317"/>
      <c r="WBW71" s="317"/>
      <c r="WBX71" s="317"/>
      <c r="WBY71" s="317"/>
      <c r="WBZ71" s="317"/>
      <c r="WCA71" s="317"/>
      <c r="WCB71" s="317"/>
      <c r="WCC71" s="317"/>
      <c r="WCD71" s="317"/>
      <c r="WCE71" s="317"/>
      <c r="WCF71" s="317"/>
      <c r="WCG71" s="317"/>
      <c r="WCH71" s="317"/>
      <c r="WCI71" s="317"/>
      <c r="WCJ71" s="317"/>
      <c r="WCK71" s="317"/>
      <c r="WCL71" s="317"/>
      <c r="WCM71" s="317"/>
      <c r="WCN71" s="317"/>
      <c r="WCO71" s="317"/>
      <c r="WCP71" s="317"/>
      <c r="WCQ71" s="317"/>
      <c r="WCR71" s="317"/>
      <c r="WCS71" s="317"/>
      <c r="WCT71" s="317"/>
      <c r="WCU71" s="317"/>
      <c r="WCV71" s="317"/>
      <c r="WCW71" s="317"/>
      <c r="WCX71" s="317"/>
      <c r="WCY71" s="317"/>
      <c r="WCZ71" s="317"/>
      <c r="WDA71" s="317"/>
      <c r="WDB71" s="317"/>
      <c r="WDC71" s="317"/>
      <c r="WDD71" s="317"/>
      <c r="WDE71" s="317"/>
      <c r="WDF71" s="317"/>
      <c r="WDG71" s="317"/>
      <c r="WDH71" s="317"/>
      <c r="WDI71" s="317"/>
      <c r="WDJ71" s="317"/>
      <c r="WDK71" s="317"/>
      <c r="WDL71" s="317"/>
      <c r="WDM71" s="317"/>
      <c r="WDN71" s="317"/>
      <c r="WDO71" s="317"/>
      <c r="WDP71" s="317"/>
      <c r="WDQ71" s="317"/>
      <c r="WDR71" s="317"/>
      <c r="WDS71" s="317"/>
      <c r="WDT71" s="317"/>
      <c r="WDU71" s="317"/>
      <c r="WDV71" s="317"/>
      <c r="WDW71" s="317"/>
      <c r="WDX71" s="317"/>
      <c r="WDY71" s="317"/>
      <c r="WDZ71" s="317"/>
      <c r="WEA71" s="317"/>
      <c r="WEB71" s="317"/>
      <c r="WEC71" s="317"/>
      <c r="WED71" s="317"/>
      <c r="WEE71" s="317"/>
      <c r="WEF71" s="317"/>
      <c r="WEG71" s="317"/>
      <c r="WEH71" s="317"/>
      <c r="WEI71" s="317"/>
      <c r="WEJ71" s="317"/>
      <c r="WEK71" s="317"/>
      <c r="WEL71" s="317"/>
      <c r="WEM71" s="317"/>
      <c r="WEN71" s="317"/>
      <c r="WEO71" s="317"/>
      <c r="WEP71" s="317"/>
      <c r="WEQ71" s="317"/>
      <c r="WER71" s="317"/>
      <c r="WES71" s="317"/>
      <c r="WET71" s="317"/>
      <c r="WEU71" s="317"/>
      <c r="WEV71" s="317"/>
      <c r="WEW71" s="317"/>
      <c r="WEX71" s="317"/>
      <c r="WEY71" s="317"/>
      <c r="WEZ71" s="317"/>
      <c r="WFA71" s="317"/>
      <c r="WFB71" s="317"/>
      <c r="WFC71" s="317"/>
      <c r="WFD71" s="317"/>
      <c r="WFE71" s="317"/>
      <c r="WFF71" s="317"/>
      <c r="WFG71" s="317"/>
      <c r="WFH71" s="317"/>
      <c r="WFI71" s="317"/>
      <c r="WFJ71" s="317"/>
      <c r="WFK71" s="317"/>
      <c r="WFL71" s="317"/>
      <c r="WFM71" s="317"/>
      <c r="WFN71" s="317"/>
      <c r="WFO71" s="317"/>
      <c r="WFP71" s="317"/>
      <c r="WFQ71" s="317"/>
      <c r="WFR71" s="317"/>
      <c r="WFS71" s="317"/>
      <c r="WFT71" s="317"/>
      <c r="WFU71" s="317"/>
      <c r="WFV71" s="317"/>
      <c r="WFW71" s="317"/>
      <c r="WFX71" s="317"/>
      <c r="WFY71" s="317"/>
      <c r="WFZ71" s="317"/>
      <c r="WGA71" s="317"/>
      <c r="WGB71" s="317"/>
      <c r="WGC71" s="317"/>
      <c r="WGD71" s="317"/>
      <c r="WGE71" s="317"/>
      <c r="WGF71" s="317"/>
      <c r="WGG71" s="317"/>
      <c r="WGH71" s="317"/>
      <c r="WGI71" s="317"/>
      <c r="WGJ71" s="317"/>
      <c r="WGK71" s="317"/>
      <c r="WGL71" s="317"/>
      <c r="WGM71" s="317"/>
      <c r="WGN71" s="317"/>
      <c r="WGO71" s="317"/>
      <c r="WGP71" s="317"/>
      <c r="WGQ71" s="317"/>
      <c r="WGR71" s="317"/>
      <c r="WGS71" s="317"/>
      <c r="WGT71" s="317"/>
      <c r="WGU71" s="317"/>
      <c r="WGV71" s="317"/>
      <c r="WGW71" s="317"/>
      <c r="WGX71" s="317"/>
      <c r="WGY71" s="317"/>
      <c r="WGZ71" s="317"/>
      <c r="WHA71" s="317"/>
      <c r="WHB71" s="317"/>
      <c r="WHC71" s="317"/>
      <c r="WHD71" s="317"/>
      <c r="WHE71" s="317"/>
      <c r="WHF71" s="317"/>
      <c r="WHG71" s="317"/>
      <c r="WHH71" s="317"/>
      <c r="WHI71" s="317"/>
      <c r="WHJ71" s="317"/>
      <c r="WHK71" s="317"/>
      <c r="WHL71" s="317"/>
      <c r="WHM71" s="317"/>
      <c r="WHN71" s="317"/>
      <c r="WHO71" s="317"/>
      <c r="WHP71" s="317"/>
      <c r="WHQ71" s="317"/>
      <c r="WHR71" s="317"/>
      <c r="WHS71" s="317"/>
      <c r="WHT71" s="317"/>
      <c r="WHU71" s="317"/>
      <c r="WHV71" s="317"/>
      <c r="WHW71" s="317"/>
      <c r="WHX71" s="317"/>
      <c r="WHY71" s="317"/>
      <c r="WHZ71" s="317"/>
      <c r="WIA71" s="317"/>
      <c r="WIB71" s="317"/>
      <c r="WIC71" s="317"/>
      <c r="WID71" s="317"/>
      <c r="WIE71" s="317"/>
      <c r="WIF71" s="317"/>
      <c r="WIG71" s="317"/>
      <c r="WIH71" s="317"/>
      <c r="WII71" s="317"/>
      <c r="WIJ71" s="317"/>
      <c r="WIK71" s="317"/>
      <c r="WIL71" s="317"/>
      <c r="WIM71" s="317"/>
      <c r="WIN71" s="317"/>
      <c r="WIO71" s="317"/>
      <c r="WIP71" s="317"/>
      <c r="WIQ71" s="317"/>
      <c r="WIR71" s="317"/>
      <c r="WIS71" s="317"/>
      <c r="WIT71" s="317"/>
      <c r="WIU71" s="317"/>
      <c r="WIV71" s="317"/>
      <c r="WIW71" s="317"/>
      <c r="WIX71" s="317"/>
      <c r="WIY71" s="317"/>
      <c r="WIZ71" s="317"/>
      <c r="WJA71" s="317"/>
      <c r="WJB71" s="317"/>
      <c r="WJC71" s="317"/>
      <c r="WJD71" s="317"/>
      <c r="WJE71" s="317"/>
      <c r="WJF71" s="317"/>
      <c r="WJG71" s="317"/>
      <c r="WJH71" s="317"/>
      <c r="WJI71" s="317"/>
      <c r="WJJ71" s="317"/>
      <c r="WJK71" s="317"/>
      <c r="WJL71" s="317"/>
      <c r="WJM71" s="317"/>
      <c r="WJN71" s="317"/>
      <c r="WJO71" s="317"/>
      <c r="WJP71" s="317"/>
      <c r="WJQ71" s="317"/>
      <c r="WJR71" s="317"/>
      <c r="WJS71" s="317"/>
      <c r="WJT71" s="317"/>
      <c r="WJU71" s="317"/>
      <c r="WJV71" s="317"/>
      <c r="WJW71" s="317"/>
      <c r="WJX71" s="317"/>
      <c r="WJY71" s="317"/>
      <c r="WJZ71" s="317"/>
      <c r="WKA71" s="317"/>
      <c r="WKB71" s="317"/>
      <c r="WKC71" s="317"/>
      <c r="WKD71" s="317"/>
      <c r="WKE71" s="317"/>
      <c r="WKF71" s="317"/>
      <c r="WKG71" s="317"/>
      <c r="WKH71" s="317"/>
      <c r="WKI71" s="317"/>
      <c r="WKJ71" s="317"/>
      <c r="WKK71" s="317"/>
      <c r="WKL71" s="317"/>
      <c r="WKM71" s="317"/>
      <c r="WKN71" s="317"/>
      <c r="WKO71" s="317"/>
      <c r="WKP71" s="317"/>
      <c r="WKQ71" s="317"/>
      <c r="WKR71" s="317"/>
      <c r="WKS71" s="317"/>
      <c r="WKT71" s="317"/>
      <c r="WKU71" s="317"/>
      <c r="WKV71" s="317"/>
      <c r="WKW71" s="317"/>
      <c r="WKX71" s="317"/>
      <c r="WKY71" s="317"/>
      <c r="WKZ71" s="317"/>
      <c r="WLA71" s="317"/>
      <c r="WLB71" s="317"/>
      <c r="WLC71" s="317"/>
      <c r="WLD71" s="317"/>
      <c r="WLE71" s="317"/>
      <c r="WLF71" s="317"/>
      <c r="WLG71" s="317"/>
      <c r="WLH71" s="317"/>
      <c r="WLI71" s="317"/>
      <c r="WLJ71" s="317"/>
      <c r="WLK71" s="317"/>
      <c r="WLL71" s="317"/>
      <c r="WLM71" s="317"/>
      <c r="WLN71" s="317"/>
      <c r="WLO71" s="317"/>
      <c r="WLP71" s="317"/>
      <c r="WLQ71" s="317"/>
      <c r="WLR71" s="317"/>
      <c r="WLS71" s="317"/>
      <c r="WLT71" s="317"/>
      <c r="WLU71" s="317"/>
      <c r="WLV71" s="317"/>
      <c r="WLW71" s="317"/>
      <c r="WLX71" s="317"/>
      <c r="WLY71" s="317"/>
      <c r="WLZ71" s="317"/>
      <c r="WMA71" s="317"/>
      <c r="WMB71" s="317"/>
      <c r="WMC71" s="317"/>
      <c r="WMD71" s="317"/>
      <c r="WME71" s="317"/>
      <c r="WMF71" s="317"/>
      <c r="WMG71" s="317"/>
      <c r="WMH71" s="317"/>
      <c r="WMI71" s="317"/>
      <c r="WMJ71" s="317"/>
      <c r="WMK71" s="317"/>
      <c r="WML71" s="317"/>
      <c r="WMM71" s="317"/>
      <c r="WMN71" s="317"/>
      <c r="WMO71" s="317"/>
      <c r="WMP71" s="317"/>
      <c r="WMQ71" s="317"/>
      <c r="WMR71" s="317"/>
      <c r="WMS71" s="317"/>
      <c r="WMT71" s="317"/>
      <c r="WMU71" s="317"/>
      <c r="WMV71" s="317"/>
      <c r="WMW71" s="317"/>
      <c r="WMX71" s="317"/>
      <c r="WMY71" s="317"/>
      <c r="WMZ71" s="317"/>
      <c r="WNA71" s="317"/>
      <c r="WNB71" s="317"/>
      <c r="WNC71" s="317"/>
      <c r="WND71" s="317"/>
      <c r="WNE71" s="317"/>
      <c r="WNF71" s="317"/>
      <c r="WNG71" s="317"/>
      <c r="WNH71" s="317"/>
      <c r="WNI71" s="317"/>
      <c r="WNJ71" s="317"/>
      <c r="WNK71" s="317"/>
      <c r="WNL71" s="317"/>
      <c r="WNM71" s="317"/>
      <c r="WNN71" s="317"/>
      <c r="WNO71" s="317"/>
      <c r="WNP71" s="317"/>
      <c r="WNQ71" s="317"/>
      <c r="WNR71" s="317"/>
      <c r="WNS71" s="317"/>
      <c r="WNT71" s="317"/>
      <c r="WNU71" s="317"/>
      <c r="WNV71" s="317"/>
      <c r="WNW71" s="317"/>
      <c r="WNX71" s="317"/>
      <c r="WNY71" s="317"/>
      <c r="WNZ71" s="317"/>
      <c r="WOA71" s="317"/>
      <c r="WOB71" s="317"/>
      <c r="WOC71" s="317"/>
      <c r="WOD71" s="317"/>
      <c r="WOE71" s="317"/>
      <c r="WOF71" s="317"/>
      <c r="WOG71" s="317"/>
      <c r="WOH71" s="317"/>
      <c r="WOI71" s="317"/>
      <c r="WOJ71" s="317"/>
      <c r="WOK71" s="317"/>
      <c r="WOL71" s="317"/>
      <c r="WOM71" s="317"/>
      <c r="WON71" s="317"/>
      <c r="WOO71" s="317"/>
      <c r="WOP71" s="317"/>
      <c r="WOQ71" s="317"/>
      <c r="WOR71" s="317"/>
      <c r="WOS71" s="317"/>
      <c r="WOT71" s="317"/>
      <c r="WOU71" s="317"/>
      <c r="WOV71" s="317"/>
      <c r="WOW71" s="317"/>
      <c r="WOX71" s="317"/>
      <c r="WOY71" s="317"/>
      <c r="WOZ71" s="317"/>
      <c r="WPA71" s="317"/>
      <c r="WPB71" s="317"/>
      <c r="WPC71" s="317"/>
      <c r="WPD71" s="317"/>
      <c r="WPE71" s="317"/>
      <c r="WPF71" s="317"/>
      <c r="WPG71" s="317"/>
      <c r="WPH71" s="317"/>
      <c r="WPI71" s="317"/>
      <c r="WPJ71" s="317"/>
      <c r="WPK71" s="317"/>
      <c r="WPL71" s="317"/>
      <c r="WPM71" s="317"/>
      <c r="WPN71" s="317"/>
      <c r="WPO71" s="317"/>
      <c r="WPP71" s="317"/>
      <c r="WPQ71" s="317"/>
      <c r="WPR71" s="317"/>
      <c r="WPS71" s="317"/>
      <c r="WPT71" s="317"/>
      <c r="WPU71" s="317"/>
      <c r="WPV71" s="317"/>
      <c r="WPW71" s="317"/>
      <c r="WPX71" s="317"/>
      <c r="WPY71" s="317"/>
      <c r="WPZ71" s="317"/>
      <c r="WQA71" s="317"/>
      <c r="WQB71" s="317"/>
      <c r="WQC71" s="317"/>
      <c r="WQD71" s="317"/>
      <c r="WQE71" s="317"/>
      <c r="WQF71" s="317"/>
      <c r="WQG71" s="317"/>
      <c r="WQH71" s="317"/>
      <c r="WQI71" s="317"/>
      <c r="WQJ71" s="317"/>
      <c r="WQK71" s="317"/>
      <c r="WQL71" s="317"/>
      <c r="WQM71" s="317"/>
      <c r="WQN71" s="317"/>
      <c r="WQO71" s="317"/>
      <c r="WQP71" s="317"/>
      <c r="WQQ71" s="317"/>
      <c r="WQR71" s="317"/>
      <c r="WQS71" s="317"/>
      <c r="WQT71" s="317"/>
      <c r="WQU71" s="317"/>
      <c r="WQV71" s="317"/>
      <c r="WQW71" s="317"/>
      <c r="WQX71" s="317"/>
      <c r="WQY71" s="317"/>
      <c r="WQZ71" s="317"/>
      <c r="WRA71" s="317"/>
      <c r="WRB71" s="317"/>
      <c r="WRC71" s="317"/>
      <c r="WRD71" s="317"/>
      <c r="WRE71" s="317"/>
      <c r="WRF71" s="317"/>
      <c r="WRG71" s="317"/>
      <c r="WRH71" s="317"/>
      <c r="WRI71" s="317"/>
      <c r="WRJ71" s="317"/>
      <c r="WRK71" s="317"/>
      <c r="WRL71" s="317"/>
      <c r="WRM71" s="317"/>
      <c r="WRN71" s="317"/>
      <c r="WRO71" s="317"/>
      <c r="WRP71" s="317"/>
      <c r="WRQ71" s="317"/>
      <c r="WRR71" s="317"/>
      <c r="WRS71" s="317"/>
      <c r="WRT71" s="317"/>
      <c r="WRU71" s="317"/>
      <c r="WRV71" s="317"/>
      <c r="WRW71" s="317"/>
      <c r="WRX71" s="317"/>
      <c r="WRY71" s="317"/>
      <c r="WRZ71" s="317"/>
      <c r="WSA71" s="317"/>
      <c r="WSB71" s="317"/>
      <c r="WSC71" s="317"/>
      <c r="WSD71" s="317"/>
      <c r="WSE71" s="317"/>
      <c r="WSF71" s="317"/>
      <c r="WSG71" s="317"/>
      <c r="WSH71" s="317"/>
      <c r="WSI71" s="317"/>
      <c r="WSJ71" s="317"/>
      <c r="WSK71" s="317"/>
      <c r="WSL71" s="317"/>
      <c r="WSM71" s="317"/>
      <c r="WSN71" s="317"/>
      <c r="WSO71" s="317"/>
      <c r="WSP71" s="317"/>
      <c r="WSQ71" s="317"/>
      <c r="WSR71" s="317"/>
      <c r="WSS71" s="317"/>
      <c r="WST71" s="317"/>
      <c r="WSU71" s="317"/>
      <c r="WSV71" s="317"/>
      <c r="WSW71" s="317"/>
      <c r="WSX71" s="317"/>
      <c r="WSY71" s="317"/>
      <c r="WSZ71" s="317"/>
      <c r="WTA71" s="317"/>
      <c r="WTB71" s="317"/>
      <c r="WTC71" s="317"/>
      <c r="WTD71" s="317"/>
      <c r="WTE71" s="317"/>
      <c r="WTF71" s="317"/>
      <c r="WTG71" s="317"/>
      <c r="WTH71" s="317"/>
      <c r="WTI71" s="317"/>
      <c r="WTJ71" s="317"/>
      <c r="WTK71" s="317"/>
      <c r="WTL71" s="317"/>
      <c r="WTM71" s="317"/>
      <c r="WTN71" s="317"/>
      <c r="WTO71" s="317"/>
      <c r="WTP71" s="317"/>
      <c r="WTQ71" s="317"/>
      <c r="WTR71" s="317"/>
      <c r="WTS71" s="317"/>
      <c r="WTT71" s="317"/>
      <c r="WTU71" s="317"/>
      <c r="WTV71" s="317"/>
      <c r="WTW71" s="317"/>
      <c r="WTX71" s="317"/>
      <c r="WTY71" s="317"/>
      <c r="WTZ71" s="317"/>
      <c r="WUA71" s="317"/>
      <c r="WUB71" s="317"/>
      <c r="WUC71" s="317"/>
      <c r="WUD71" s="317"/>
      <c r="WUE71" s="317"/>
      <c r="WUF71" s="317"/>
      <c r="WUG71" s="317"/>
      <c r="WUH71" s="317"/>
      <c r="WUI71" s="317"/>
      <c r="WUJ71" s="317"/>
      <c r="WUK71" s="317"/>
      <c r="WUL71" s="317"/>
      <c r="WUM71" s="317"/>
      <c r="WUN71" s="317"/>
      <c r="WUO71" s="317"/>
      <c r="WUP71" s="317"/>
      <c r="WUQ71" s="317"/>
      <c r="WUR71" s="317"/>
      <c r="WUS71" s="317"/>
      <c r="WUT71" s="317"/>
      <c r="WUU71" s="317"/>
      <c r="WUV71" s="317"/>
      <c r="WUW71" s="317"/>
      <c r="WUX71" s="317"/>
      <c r="WUY71" s="317"/>
      <c r="WUZ71" s="317"/>
      <c r="WVA71" s="317"/>
      <c r="WVB71" s="317"/>
      <c r="WVC71" s="317"/>
      <c r="WVD71" s="317"/>
      <c r="WVE71" s="317"/>
      <c r="WVF71" s="317"/>
      <c r="WVG71" s="317"/>
      <c r="WVH71" s="317"/>
      <c r="WVI71" s="317"/>
      <c r="WVJ71" s="317"/>
      <c r="WVK71" s="317"/>
      <c r="WVL71" s="317"/>
      <c r="WVM71" s="317"/>
      <c r="WVN71" s="317"/>
      <c r="WVO71" s="317"/>
      <c r="WVP71" s="317"/>
      <c r="WVQ71" s="317"/>
      <c r="WVR71" s="317"/>
      <c r="WVS71" s="317"/>
      <c r="WVT71" s="317"/>
      <c r="WVU71" s="317"/>
      <c r="WVV71" s="317"/>
      <c r="WVW71" s="317"/>
      <c r="WVX71" s="317"/>
      <c r="WVY71" s="317"/>
      <c r="WVZ71" s="317"/>
      <c r="WWA71" s="317"/>
      <c r="WWB71" s="317"/>
      <c r="WWC71" s="317"/>
      <c r="WWD71" s="317"/>
      <c r="WWE71" s="317"/>
      <c r="WWF71" s="317"/>
      <c r="WWG71" s="317"/>
      <c r="WWH71" s="317"/>
      <c r="WWI71" s="317"/>
      <c r="WWJ71" s="317"/>
      <c r="WWK71" s="317"/>
      <c r="WWL71" s="317"/>
      <c r="WWM71" s="317"/>
      <c r="WWN71" s="317"/>
      <c r="WWO71" s="317"/>
      <c r="WWP71" s="317"/>
      <c r="WWQ71" s="317"/>
      <c r="WWR71" s="317"/>
      <c r="WWS71" s="317"/>
      <c r="WWT71" s="317"/>
      <c r="WWU71" s="317"/>
      <c r="WWV71" s="317"/>
      <c r="WWW71" s="317"/>
      <c r="WWX71" s="317"/>
      <c r="WWY71" s="317"/>
      <c r="WWZ71" s="317"/>
      <c r="WXA71" s="317"/>
      <c r="WXB71" s="317"/>
      <c r="WXC71" s="317"/>
      <c r="WXD71" s="317"/>
      <c r="WXE71" s="317"/>
      <c r="WXF71" s="317"/>
      <c r="WXG71" s="317"/>
      <c r="WXH71" s="317"/>
      <c r="WXI71" s="317"/>
      <c r="WXJ71" s="317"/>
      <c r="WXK71" s="317"/>
      <c r="WXL71" s="317"/>
      <c r="WXM71" s="317"/>
      <c r="WXN71" s="317"/>
      <c r="WXO71" s="317"/>
      <c r="WXP71" s="317"/>
      <c r="WXQ71" s="317"/>
      <c r="WXR71" s="317"/>
      <c r="WXS71" s="317"/>
      <c r="WXT71" s="317"/>
      <c r="WXU71" s="317"/>
      <c r="WXV71" s="317"/>
      <c r="WXW71" s="317"/>
      <c r="WXX71" s="317"/>
      <c r="WXY71" s="317"/>
      <c r="WXZ71" s="317"/>
      <c r="WYA71" s="317"/>
      <c r="WYB71" s="317"/>
      <c r="WYC71" s="317"/>
      <c r="WYD71" s="317"/>
      <c r="WYE71" s="317"/>
      <c r="WYF71" s="317"/>
      <c r="WYG71" s="317"/>
      <c r="WYH71" s="317"/>
      <c r="WYI71" s="317"/>
      <c r="WYJ71" s="317"/>
      <c r="WYK71" s="317"/>
      <c r="WYL71" s="317"/>
      <c r="WYM71" s="317"/>
      <c r="WYN71" s="317"/>
      <c r="WYO71" s="317"/>
      <c r="WYP71" s="317"/>
      <c r="WYQ71" s="317"/>
      <c r="WYR71" s="317"/>
      <c r="WYS71" s="317"/>
      <c r="WYT71" s="317"/>
      <c r="WYU71" s="317"/>
      <c r="WYV71" s="317"/>
      <c r="WYW71" s="317"/>
      <c r="WYX71" s="317"/>
      <c r="WYY71" s="317"/>
      <c r="WYZ71" s="317"/>
      <c r="WZA71" s="317"/>
      <c r="WZB71" s="317"/>
      <c r="WZC71" s="317"/>
      <c r="WZD71" s="317"/>
      <c r="WZE71" s="317"/>
      <c r="WZF71" s="317"/>
      <c r="WZG71" s="317"/>
      <c r="WZH71" s="317"/>
      <c r="WZI71" s="317"/>
      <c r="WZJ71" s="317"/>
      <c r="WZK71" s="317"/>
      <c r="WZL71" s="317"/>
      <c r="WZM71" s="317"/>
      <c r="WZN71" s="317"/>
      <c r="WZO71" s="317"/>
      <c r="WZP71" s="317"/>
      <c r="WZQ71" s="317"/>
      <c r="WZR71" s="317"/>
      <c r="WZS71" s="317"/>
      <c r="WZT71" s="317"/>
      <c r="WZU71" s="317"/>
      <c r="WZV71" s="317"/>
      <c r="WZW71" s="317"/>
      <c r="WZX71" s="317"/>
      <c r="WZY71" s="317"/>
      <c r="WZZ71" s="317"/>
      <c r="XAA71" s="317"/>
      <c r="XAB71" s="317"/>
      <c r="XAC71" s="317"/>
      <c r="XAD71" s="317"/>
      <c r="XAE71" s="317"/>
      <c r="XAF71" s="317"/>
      <c r="XAG71" s="317"/>
      <c r="XAH71" s="317"/>
      <c r="XAI71" s="317"/>
      <c r="XAJ71" s="317"/>
      <c r="XAK71" s="317"/>
      <c r="XAL71" s="317"/>
      <c r="XAM71" s="317"/>
      <c r="XAN71" s="317"/>
      <c r="XAO71" s="317"/>
      <c r="XAP71" s="317"/>
      <c r="XAQ71" s="317"/>
      <c r="XAR71" s="317"/>
      <c r="XAS71" s="317"/>
      <c r="XAT71" s="317"/>
      <c r="XAU71" s="317"/>
      <c r="XAV71" s="317"/>
      <c r="XAW71" s="317"/>
      <c r="XAX71" s="317"/>
      <c r="XAY71" s="317"/>
      <c r="XAZ71" s="317"/>
      <c r="XBA71" s="317"/>
      <c r="XBB71" s="317"/>
      <c r="XBC71" s="317"/>
      <c r="XBD71" s="317"/>
      <c r="XBE71" s="317"/>
      <c r="XBF71" s="317"/>
      <c r="XBG71" s="317"/>
      <c r="XBH71" s="317"/>
      <c r="XBI71" s="317"/>
      <c r="XBJ71" s="317"/>
      <c r="XBK71" s="317"/>
      <c r="XBL71" s="317"/>
      <c r="XBM71" s="317"/>
      <c r="XBN71" s="317"/>
      <c r="XBO71" s="317"/>
      <c r="XBP71" s="317"/>
      <c r="XBQ71" s="317"/>
      <c r="XBR71" s="317"/>
      <c r="XBS71" s="317"/>
      <c r="XBT71" s="317"/>
      <c r="XBU71" s="317"/>
      <c r="XBV71" s="317"/>
      <c r="XBW71" s="317"/>
      <c r="XBX71" s="317"/>
      <c r="XBY71" s="317"/>
      <c r="XBZ71" s="317"/>
      <c r="XCA71" s="317"/>
      <c r="XCB71" s="317"/>
      <c r="XCC71" s="317"/>
      <c r="XCD71" s="317"/>
      <c r="XCE71" s="317"/>
      <c r="XCF71" s="317"/>
      <c r="XCG71" s="317"/>
      <c r="XCH71" s="317"/>
      <c r="XCI71" s="317"/>
      <c r="XCJ71" s="317"/>
      <c r="XCK71" s="317"/>
      <c r="XCL71" s="317"/>
      <c r="XCM71" s="317"/>
      <c r="XCN71" s="317"/>
      <c r="XCO71" s="317"/>
      <c r="XCP71" s="317"/>
      <c r="XCQ71" s="317"/>
      <c r="XCR71" s="317"/>
      <c r="XCS71" s="317"/>
      <c r="XCT71" s="317"/>
      <c r="XCU71" s="317"/>
      <c r="XCV71" s="317"/>
      <c r="XCW71" s="317"/>
      <c r="XCX71" s="317"/>
      <c r="XCY71" s="317"/>
      <c r="XCZ71" s="317"/>
      <c r="XDA71" s="317"/>
      <c r="XDB71" s="317"/>
      <c r="XDC71" s="317"/>
      <c r="XDD71" s="317"/>
      <c r="XDE71" s="317"/>
      <c r="XDF71" s="317"/>
      <c r="XDG71" s="317"/>
      <c r="XDH71" s="317"/>
      <c r="XDI71" s="317"/>
      <c r="XDJ71" s="317"/>
      <c r="XDK71" s="317"/>
      <c r="XDL71" s="317"/>
      <c r="XDM71" s="317"/>
      <c r="XDN71" s="317"/>
      <c r="XDO71" s="317"/>
      <c r="XDP71" s="317"/>
      <c r="XDQ71" s="317"/>
      <c r="XDR71" s="317"/>
      <c r="XDS71" s="317"/>
      <c r="XDT71" s="317"/>
      <c r="XDU71" s="317"/>
      <c r="XDV71" s="317"/>
      <c r="XDW71" s="317"/>
      <c r="XDX71" s="317"/>
      <c r="XDY71" s="317"/>
      <c r="XDZ71" s="317"/>
      <c r="XEA71" s="317"/>
      <c r="XEB71" s="317"/>
      <c r="XEC71" s="317"/>
      <c r="XED71" s="317"/>
      <c r="XEE71" s="317"/>
      <c r="XEF71" s="317"/>
      <c r="XEG71" s="317"/>
      <c r="XEH71" s="317"/>
      <c r="XEI71" s="317"/>
      <c r="XEJ71" s="317"/>
      <c r="XEK71" s="317"/>
      <c r="XEL71" s="317"/>
      <c r="XEM71" s="317"/>
      <c r="XEN71" s="317"/>
      <c r="XEO71" s="317"/>
      <c r="XEP71" s="317"/>
      <c r="XEQ71" s="317"/>
      <c r="XER71" s="317"/>
      <c r="XES71" s="317"/>
      <c r="XET71" s="317"/>
      <c r="XEU71" s="317"/>
      <c r="XEV71" s="317"/>
      <c r="XEW71" s="317"/>
      <c r="XEX71" s="317"/>
      <c r="XEY71" s="317"/>
      <c r="XEZ71" s="317"/>
      <c r="XFA71" s="317"/>
      <c r="XFB71" s="317"/>
      <c r="XFC71" s="317"/>
      <c r="XFD71" s="317"/>
    </row>
    <row r="72" s="314" customFormat="1" ht="25" customHeight="1" spans="1:74 14505:16384">
      <c r="A72" s="340"/>
      <c r="B72" s="337" t="s">
        <v>93</v>
      </c>
      <c r="I72" s="315"/>
      <c r="O72" s="316"/>
      <c r="P72" s="316"/>
      <c r="V72" s="316"/>
      <c r="W72" s="316"/>
      <c r="X72" s="316"/>
      <c r="Y72" s="316"/>
      <c r="Z72" s="316"/>
      <c r="AA72" s="316"/>
      <c r="AB72" s="316"/>
      <c r="AC72" s="316"/>
      <c r="AD72" s="316"/>
      <c r="AK72" s="316"/>
      <c r="AQ72" s="316"/>
      <c r="AR72" s="316"/>
      <c r="AY72" s="316"/>
      <c r="BB72" s="337"/>
      <c r="BE72" s="316"/>
      <c r="BF72" s="316"/>
      <c r="BM72" s="316"/>
      <c r="BS72" s="316"/>
      <c r="BT72" s="316"/>
      <c r="UKW72" s="317"/>
      <c r="UKX72" s="317"/>
      <c r="UKY72" s="317"/>
      <c r="UKZ72" s="317"/>
      <c r="ULA72" s="317"/>
      <c r="ULB72" s="317"/>
      <c r="ULC72" s="317"/>
      <c r="ULD72" s="317"/>
      <c r="ULE72" s="317"/>
      <c r="ULF72" s="317"/>
      <c r="ULG72" s="317"/>
      <c r="ULH72" s="317"/>
      <c r="ULI72" s="317"/>
      <c r="ULJ72" s="317"/>
      <c r="ULK72" s="317"/>
      <c r="ULL72" s="317"/>
      <c r="ULM72" s="317"/>
      <c r="ULN72" s="317"/>
      <c r="ULO72" s="317"/>
      <c r="ULP72" s="317"/>
      <c r="ULQ72" s="317"/>
      <c r="ULR72" s="317"/>
      <c r="ULS72" s="317"/>
      <c r="ULT72" s="317"/>
      <c r="ULU72" s="317"/>
      <c r="ULV72" s="317"/>
      <c r="ULW72" s="317"/>
      <c r="ULX72" s="317"/>
      <c r="ULY72" s="317"/>
      <c r="ULZ72" s="317"/>
      <c r="UMA72" s="317"/>
      <c r="UMB72" s="317"/>
      <c r="UMC72" s="317"/>
      <c r="UMD72" s="317"/>
      <c r="UME72" s="317"/>
      <c r="UMF72" s="317"/>
      <c r="UMG72" s="317"/>
      <c r="UMH72" s="317"/>
      <c r="UMI72" s="317"/>
      <c r="UMJ72" s="317"/>
      <c r="UMK72" s="317"/>
      <c r="UML72" s="317"/>
      <c r="UMM72" s="317"/>
      <c r="UMN72" s="317"/>
      <c r="UMO72" s="317"/>
      <c r="UMP72" s="317"/>
      <c r="UMQ72" s="317"/>
      <c r="UMR72" s="317"/>
      <c r="UMS72" s="317"/>
      <c r="UMT72" s="317"/>
      <c r="UMU72" s="317"/>
      <c r="UMV72" s="317"/>
      <c r="UMW72" s="317"/>
      <c r="UMX72" s="317"/>
      <c r="UMY72" s="317"/>
      <c r="UMZ72" s="317"/>
      <c r="UNA72" s="317"/>
      <c r="UNB72" s="317"/>
      <c r="UNC72" s="317"/>
      <c r="UND72" s="317"/>
      <c r="UNE72" s="317"/>
      <c r="UNF72" s="317"/>
      <c r="UNG72" s="317"/>
      <c r="UNH72" s="317"/>
      <c r="UNI72" s="317"/>
      <c r="UNJ72" s="317"/>
      <c r="UNK72" s="317"/>
      <c r="UNL72" s="317"/>
      <c r="UNM72" s="317"/>
      <c r="UNN72" s="317"/>
      <c r="UNO72" s="317"/>
      <c r="UNP72" s="317"/>
      <c r="UNQ72" s="317"/>
      <c r="UNR72" s="317"/>
      <c r="UNS72" s="317"/>
      <c r="UNT72" s="317"/>
      <c r="UNU72" s="317"/>
      <c r="UNV72" s="317"/>
      <c r="UNW72" s="317"/>
      <c r="UNX72" s="317"/>
      <c r="UNY72" s="317"/>
      <c r="UNZ72" s="317"/>
      <c r="UOA72" s="317"/>
      <c r="UOB72" s="317"/>
      <c r="UOC72" s="317"/>
      <c r="UOD72" s="317"/>
      <c r="UOE72" s="317"/>
      <c r="UOF72" s="317"/>
      <c r="UOG72" s="317"/>
      <c r="UOH72" s="317"/>
      <c r="UOI72" s="317"/>
      <c r="UOJ72" s="317"/>
      <c r="UOK72" s="317"/>
      <c r="UOL72" s="317"/>
      <c r="UOM72" s="317"/>
      <c r="UON72" s="317"/>
      <c r="UOO72" s="317"/>
      <c r="UOP72" s="317"/>
      <c r="UOQ72" s="317"/>
      <c r="UOR72" s="317"/>
      <c r="UOS72" s="317"/>
      <c r="UOT72" s="317"/>
      <c r="UOU72" s="317"/>
      <c r="UOV72" s="317"/>
      <c r="UOW72" s="317"/>
      <c r="UOX72" s="317"/>
      <c r="UOY72" s="317"/>
      <c r="UOZ72" s="317"/>
      <c r="UPA72" s="317"/>
      <c r="UPB72" s="317"/>
      <c r="UPC72" s="317"/>
      <c r="UPD72" s="317"/>
      <c r="UPE72" s="317"/>
      <c r="UPF72" s="317"/>
      <c r="UPG72" s="317"/>
      <c r="UPH72" s="317"/>
      <c r="UPI72" s="317"/>
      <c r="UPJ72" s="317"/>
      <c r="UPK72" s="317"/>
      <c r="UPL72" s="317"/>
      <c r="UPM72" s="317"/>
      <c r="UPN72" s="317"/>
      <c r="UPO72" s="317"/>
      <c r="UPP72" s="317"/>
      <c r="UPQ72" s="317"/>
      <c r="UPR72" s="317"/>
      <c r="UPS72" s="317"/>
      <c r="UPT72" s="317"/>
      <c r="UPU72" s="317"/>
      <c r="UPV72" s="317"/>
      <c r="UPW72" s="317"/>
      <c r="UPX72" s="317"/>
      <c r="UPY72" s="317"/>
      <c r="UPZ72" s="317"/>
      <c r="UQA72" s="317"/>
      <c r="UQB72" s="317"/>
      <c r="UQC72" s="317"/>
      <c r="UQD72" s="317"/>
      <c r="UQE72" s="317"/>
      <c r="UQF72" s="317"/>
      <c r="UQG72" s="317"/>
      <c r="UQH72" s="317"/>
      <c r="UQI72" s="317"/>
      <c r="UQJ72" s="317"/>
      <c r="UQK72" s="317"/>
      <c r="UQL72" s="317"/>
      <c r="UQM72" s="317"/>
      <c r="UQN72" s="317"/>
      <c r="UQO72" s="317"/>
      <c r="UQP72" s="317"/>
      <c r="UQQ72" s="317"/>
      <c r="UQR72" s="317"/>
      <c r="UQS72" s="317"/>
      <c r="UQT72" s="317"/>
      <c r="UQU72" s="317"/>
      <c r="UQV72" s="317"/>
      <c r="UQW72" s="317"/>
      <c r="UQX72" s="317"/>
      <c r="UQY72" s="317"/>
      <c r="UQZ72" s="317"/>
      <c r="URA72" s="317"/>
      <c r="URB72" s="317"/>
      <c r="URC72" s="317"/>
      <c r="URD72" s="317"/>
      <c r="URE72" s="317"/>
      <c r="URF72" s="317"/>
      <c r="URG72" s="317"/>
      <c r="URH72" s="317"/>
      <c r="URI72" s="317"/>
      <c r="URJ72" s="317"/>
      <c r="URK72" s="317"/>
      <c r="URL72" s="317"/>
      <c r="URM72" s="317"/>
      <c r="URN72" s="317"/>
      <c r="URO72" s="317"/>
      <c r="URP72" s="317"/>
      <c r="URQ72" s="317"/>
      <c r="URR72" s="317"/>
      <c r="URS72" s="317"/>
      <c r="URT72" s="317"/>
      <c r="URU72" s="317"/>
      <c r="URV72" s="317"/>
      <c r="URW72" s="317"/>
      <c r="URX72" s="317"/>
      <c r="URY72" s="317"/>
      <c r="URZ72" s="317"/>
      <c r="USA72" s="317"/>
      <c r="USB72" s="317"/>
      <c r="USC72" s="317"/>
      <c r="USD72" s="317"/>
      <c r="USE72" s="317"/>
      <c r="USF72" s="317"/>
      <c r="USG72" s="317"/>
      <c r="USH72" s="317"/>
      <c r="USI72" s="317"/>
      <c r="USJ72" s="317"/>
      <c r="USK72" s="317"/>
      <c r="USL72" s="317"/>
      <c r="USM72" s="317"/>
      <c r="USN72" s="317"/>
      <c r="USO72" s="317"/>
      <c r="USP72" s="317"/>
      <c r="USQ72" s="317"/>
      <c r="USR72" s="317"/>
      <c r="USS72" s="317"/>
      <c r="UST72" s="317"/>
      <c r="USU72" s="317"/>
      <c r="USV72" s="317"/>
      <c r="USW72" s="317"/>
      <c r="USX72" s="317"/>
      <c r="USY72" s="317"/>
      <c r="USZ72" s="317"/>
      <c r="UTA72" s="317"/>
      <c r="UTB72" s="317"/>
      <c r="UTC72" s="317"/>
      <c r="UTD72" s="317"/>
      <c r="UTE72" s="317"/>
      <c r="UTF72" s="317"/>
      <c r="UTG72" s="317"/>
      <c r="UTH72" s="317"/>
      <c r="UTI72" s="317"/>
      <c r="UTJ72" s="317"/>
      <c r="UTK72" s="317"/>
      <c r="UTL72" s="317"/>
      <c r="UTM72" s="317"/>
      <c r="UTN72" s="317"/>
      <c r="UTO72" s="317"/>
      <c r="UTP72" s="317"/>
      <c r="UTQ72" s="317"/>
      <c r="UTR72" s="317"/>
      <c r="UTS72" s="317"/>
      <c r="UTT72" s="317"/>
      <c r="UTU72" s="317"/>
      <c r="UTV72" s="317"/>
      <c r="UTW72" s="317"/>
      <c r="UTX72" s="317"/>
      <c r="UTY72" s="317"/>
      <c r="UTZ72" s="317"/>
      <c r="UUA72" s="317"/>
      <c r="UUB72" s="317"/>
      <c r="UUC72" s="317"/>
      <c r="UUD72" s="317"/>
      <c r="UUE72" s="317"/>
      <c r="UUF72" s="317"/>
      <c r="UUG72" s="317"/>
      <c r="UUH72" s="317"/>
      <c r="UUI72" s="317"/>
      <c r="UUJ72" s="317"/>
      <c r="UUK72" s="317"/>
      <c r="UUL72" s="317"/>
      <c r="UUM72" s="317"/>
      <c r="UUN72" s="317"/>
      <c r="UUO72" s="317"/>
      <c r="UUP72" s="317"/>
      <c r="UUQ72" s="317"/>
      <c r="UUR72" s="317"/>
      <c r="UUS72" s="317"/>
      <c r="UUT72" s="317"/>
      <c r="UUU72" s="317"/>
      <c r="UUV72" s="317"/>
      <c r="UUW72" s="317"/>
      <c r="UUX72" s="317"/>
      <c r="UUY72" s="317"/>
      <c r="UUZ72" s="317"/>
      <c r="UVA72" s="317"/>
      <c r="UVB72" s="317"/>
      <c r="UVC72" s="317"/>
      <c r="UVD72" s="317"/>
      <c r="UVE72" s="317"/>
      <c r="UVF72" s="317"/>
      <c r="UVG72" s="317"/>
      <c r="UVH72" s="317"/>
      <c r="UVI72" s="317"/>
      <c r="UVJ72" s="317"/>
      <c r="UVK72" s="317"/>
      <c r="UVL72" s="317"/>
      <c r="UVM72" s="317"/>
      <c r="UVN72" s="317"/>
      <c r="UVO72" s="317"/>
      <c r="UVP72" s="317"/>
      <c r="UVQ72" s="317"/>
      <c r="UVR72" s="317"/>
      <c r="UVS72" s="317"/>
      <c r="UVT72" s="317"/>
      <c r="UVU72" s="317"/>
      <c r="UVV72" s="317"/>
      <c r="UVW72" s="317"/>
      <c r="UVX72" s="317"/>
      <c r="UVY72" s="317"/>
      <c r="UVZ72" s="317"/>
      <c r="UWA72" s="317"/>
      <c r="UWB72" s="317"/>
      <c r="UWC72" s="317"/>
      <c r="UWD72" s="317"/>
      <c r="UWE72" s="317"/>
      <c r="UWF72" s="317"/>
      <c r="UWG72" s="317"/>
      <c r="UWH72" s="317"/>
      <c r="UWI72" s="317"/>
      <c r="UWJ72" s="317"/>
      <c r="UWK72" s="317"/>
      <c r="UWL72" s="317"/>
      <c r="UWM72" s="317"/>
      <c r="UWN72" s="317"/>
      <c r="UWO72" s="317"/>
      <c r="UWP72" s="317"/>
      <c r="UWQ72" s="317"/>
      <c r="UWR72" s="317"/>
      <c r="UWS72" s="317"/>
      <c r="UWT72" s="317"/>
      <c r="UWU72" s="317"/>
      <c r="UWV72" s="317"/>
      <c r="UWW72" s="317"/>
      <c r="UWX72" s="317"/>
      <c r="UWY72" s="317"/>
      <c r="UWZ72" s="317"/>
      <c r="UXA72" s="317"/>
      <c r="UXB72" s="317"/>
      <c r="UXC72" s="317"/>
      <c r="UXD72" s="317"/>
      <c r="UXE72" s="317"/>
      <c r="UXF72" s="317"/>
      <c r="UXG72" s="317"/>
      <c r="UXH72" s="317"/>
      <c r="UXI72" s="317"/>
      <c r="UXJ72" s="317"/>
      <c r="UXK72" s="317"/>
      <c r="UXL72" s="317"/>
      <c r="UXM72" s="317"/>
      <c r="UXN72" s="317"/>
      <c r="UXO72" s="317"/>
      <c r="UXP72" s="317"/>
      <c r="UXQ72" s="317"/>
      <c r="UXR72" s="317"/>
      <c r="UXS72" s="317"/>
      <c r="UXT72" s="317"/>
      <c r="UXU72" s="317"/>
      <c r="UXV72" s="317"/>
      <c r="UXW72" s="317"/>
      <c r="UXX72" s="317"/>
      <c r="UXY72" s="317"/>
      <c r="UXZ72" s="317"/>
      <c r="UYA72" s="317"/>
      <c r="UYB72" s="317"/>
      <c r="UYC72" s="317"/>
      <c r="UYD72" s="317"/>
      <c r="UYE72" s="317"/>
      <c r="UYF72" s="317"/>
      <c r="UYG72" s="317"/>
      <c r="UYH72" s="317"/>
      <c r="UYI72" s="317"/>
      <c r="UYJ72" s="317"/>
      <c r="UYK72" s="317"/>
      <c r="UYL72" s="317"/>
      <c r="UYM72" s="317"/>
      <c r="UYN72" s="317"/>
      <c r="UYO72" s="317"/>
      <c r="UYP72" s="317"/>
      <c r="UYQ72" s="317"/>
      <c r="UYR72" s="317"/>
      <c r="UYS72" s="317"/>
      <c r="UYT72" s="317"/>
      <c r="UYU72" s="317"/>
      <c r="UYV72" s="317"/>
      <c r="UYW72" s="317"/>
      <c r="UYX72" s="317"/>
      <c r="UYY72" s="317"/>
      <c r="UYZ72" s="317"/>
      <c r="UZA72" s="317"/>
      <c r="UZB72" s="317"/>
      <c r="UZC72" s="317"/>
      <c r="UZD72" s="317"/>
      <c r="UZE72" s="317"/>
      <c r="UZF72" s="317"/>
      <c r="UZG72" s="317"/>
      <c r="UZH72" s="317"/>
      <c r="UZI72" s="317"/>
      <c r="UZJ72" s="317"/>
      <c r="UZK72" s="317"/>
      <c r="UZL72" s="317"/>
      <c r="UZM72" s="317"/>
      <c r="UZN72" s="317"/>
      <c r="UZO72" s="317"/>
      <c r="UZP72" s="317"/>
      <c r="UZQ72" s="317"/>
      <c r="UZR72" s="317"/>
      <c r="UZS72" s="317"/>
      <c r="UZT72" s="317"/>
      <c r="UZU72" s="317"/>
      <c r="UZV72" s="317"/>
      <c r="UZW72" s="317"/>
      <c r="UZX72" s="317"/>
      <c r="UZY72" s="317"/>
      <c r="UZZ72" s="317"/>
      <c r="VAA72" s="317"/>
      <c r="VAB72" s="317"/>
      <c r="VAC72" s="317"/>
      <c r="VAD72" s="317"/>
      <c r="VAE72" s="317"/>
      <c r="VAF72" s="317"/>
      <c r="VAG72" s="317"/>
      <c r="VAH72" s="317"/>
      <c r="VAI72" s="317"/>
      <c r="VAJ72" s="317"/>
      <c r="VAK72" s="317"/>
      <c r="VAL72" s="317"/>
      <c r="VAM72" s="317"/>
      <c r="VAN72" s="317"/>
      <c r="VAO72" s="317"/>
      <c r="VAP72" s="317"/>
      <c r="VAQ72" s="317"/>
      <c r="VAR72" s="317"/>
      <c r="VAS72" s="317"/>
      <c r="VAT72" s="317"/>
      <c r="VAU72" s="317"/>
      <c r="VAV72" s="317"/>
      <c r="VAW72" s="317"/>
      <c r="VAX72" s="317"/>
      <c r="VAY72" s="317"/>
      <c r="VAZ72" s="317"/>
      <c r="VBA72" s="317"/>
      <c r="VBB72" s="317"/>
      <c r="VBC72" s="317"/>
      <c r="VBD72" s="317"/>
      <c r="VBE72" s="317"/>
      <c r="VBF72" s="317"/>
      <c r="VBG72" s="317"/>
      <c r="VBH72" s="317"/>
      <c r="VBI72" s="317"/>
      <c r="VBJ72" s="317"/>
      <c r="VBK72" s="317"/>
      <c r="VBL72" s="317"/>
      <c r="VBM72" s="317"/>
      <c r="VBN72" s="317"/>
      <c r="VBO72" s="317"/>
      <c r="VBP72" s="317"/>
      <c r="VBQ72" s="317"/>
      <c r="VBR72" s="317"/>
      <c r="VBS72" s="317"/>
      <c r="VBT72" s="317"/>
      <c r="VBU72" s="317"/>
      <c r="VBV72" s="317"/>
      <c r="VBW72" s="317"/>
      <c r="VBX72" s="317"/>
      <c r="VBY72" s="317"/>
      <c r="VBZ72" s="317"/>
      <c r="VCA72" s="317"/>
      <c r="VCB72" s="317"/>
      <c r="VCC72" s="317"/>
      <c r="VCD72" s="317"/>
      <c r="VCE72" s="317"/>
      <c r="VCF72" s="317"/>
      <c r="VCG72" s="317"/>
      <c r="VCH72" s="317"/>
      <c r="VCI72" s="317"/>
      <c r="VCJ72" s="317"/>
      <c r="VCK72" s="317"/>
      <c r="VCL72" s="317"/>
      <c r="VCM72" s="317"/>
      <c r="VCN72" s="317"/>
      <c r="VCO72" s="317"/>
      <c r="VCP72" s="317"/>
      <c r="VCQ72" s="317"/>
      <c r="VCR72" s="317"/>
      <c r="VCS72" s="317"/>
      <c r="VCT72" s="317"/>
      <c r="VCU72" s="317"/>
      <c r="VCV72" s="317"/>
      <c r="VCW72" s="317"/>
      <c r="VCX72" s="317"/>
      <c r="VCY72" s="317"/>
      <c r="VCZ72" s="317"/>
      <c r="VDA72" s="317"/>
      <c r="VDB72" s="317"/>
      <c r="VDC72" s="317"/>
      <c r="VDD72" s="317"/>
      <c r="VDE72" s="317"/>
      <c r="VDF72" s="317"/>
      <c r="VDG72" s="317"/>
      <c r="VDH72" s="317"/>
      <c r="VDI72" s="317"/>
      <c r="VDJ72" s="317"/>
      <c r="VDK72" s="317"/>
      <c r="VDL72" s="317"/>
      <c r="VDM72" s="317"/>
      <c r="VDN72" s="317"/>
      <c r="VDO72" s="317"/>
      <c r="VDP72" s="317"/>
      <c r="VDQ72" s="317"/>
      <c r="VDR72" s="317"/>
      <c r="VDS72" s="317"/>
      <c r="VDT72" s="317"/>
      <c r="VDU72" s="317"/>
      <c r="VDV72" s="317"/>
      <c r="VDW72" s="317"/>
      <c r="VDX72" s="317"/>
      <c r="VDY72" s="317"/>
      <c r="VDZ72" s="317"/>
      <c r="VEA72" s="317"/>
      <c r="VEB72" s="317"/>
      <c r="VEC72" s="317"/>
      <c r="VED72" s="317"/>
      <c r="VEE72" s="317"/>
      <c r="VEF72" s="317"/>
      <c r="VEG72" s="317"/>
      <c r="VEH72" s="317"/>
      <c r="VEI72" s="317"/>
      <c r="VEJ72" s="317"/>
      <c r="VEK72" s="317"/>
      <c r="VEL72" s="317"/>
      <c r="VEM72" s="317"/>
      <c r="VEN72" s="317"/>
      <c r="VEO72" s="317"/>
      <c r="VEP72" s="317"/>
      <c r="VEQ72" s="317"/>
      <c r="VER72" s="317"/>
      <c r="VES72" s="317"/>
      <c r="VET72" s="317"/>
      <c r="VEU72" s="317"/>
      <c r="VEV72" s="317"/>
      <c r="VEW72" s="317"/>
      <c r="VEX72" s="317"/>
      <c r="VEY72" s="317"/>
      <c r="VEZ72" s="317"/>
      <c r="VFA72" s="317"/>
      <c r="VFB72" s="317"/>
      <c r="VFC72" s="317"/>
      <c r="VFD72" s="317"/>
      <c r="VFE72" s="317"/>
      <c r="VFF72" s="317"/>
      <c r="VFG72" s="317"/>
      <c r="VFH72" s="317"/>
      <c r="VFI72" s="317"/>
      <c r="VFJ72" s="317"/>
      <c r="VFK72" s="317"/>
      <c r="VFL72" s="317"/>
      <c r="VFM72" s="317"/>
      <c r="VFN72" s="317"/>
      <c r="VFO72" s="317"/>
      <c r="VFP72" s="317"/>
      <c r="VFQ72" s="317"/>
      <c r="VFR72" s="317"/>
      <c r="VFS72" s="317"/>
      <c r="VFT72" s="317"/>
      <c r="VFU72" s="317"/>
      <c r="VFV72" s="317"/>
      <c r="VFW72" s="317"/>
      <c r="VFX72" s="317"/>
      <c r="VFY72" s="317"/>
      <c r="VFZ72" s="317"/>
      <c r="VGA72" s="317"/>
      <c r="VGB72" s="317"/>
      <c r="VGC72" s="317"/>
      <c r="VGD72" s="317"/>
      <c r="VGE72" s="317"/>
      <c r="VGF72" s="317"/>
      <c r="VGG72" s="317"/>
      <c r="VGH72" s="317"/>
      <c r="VGI72" s="317"/>
      <c r="VGJ72" s="317"/>
      <c r="VGK72" s="317"/>
      <c r="VGL72" s="317"/>
      <c r="VGM72" s="317"/>
      <c r="VGN72" s="317"/>
      <c r="VGO72" s="317"/>
      <c r="VGP72" s="317"/>
      <c r="VGQ72" s="317"/>
      <c r="VGR72" s="317"/>
      <c r="VGS72" s="317"/>
      <c r="VGT72" s="317"/>
      <c r="VGU72" s="317"/>
      <c r="VGV72" s="317"/>
      <c r="VGW72" s="317"/>
      <c r="VGX72" s="317"/>
      <c r="VGY72" s="317"/>
      <c r="VGZ72" s="317"/>
      <c r="VHA72" s="317"/>
      <c r="VHB72" s="317"/>
      <c r="VHC72" s="317"/>
      <c r="VHD72" s="317"/>
      <c r="VHE72" s="317"/>
      <c r="VHF72" s="317"/>
      <c r="VHG72" s="317"/>
      <c r="VHH72" s="317"/>
      <c r="VHI72" s="317"/>
      <c r="VHJ72" s="317"/>
      <c r="VHK72" s="317"/>
      <c r="VHL72" s="317"/>
      <c r="VHM72" s="317"/>
      <c r="VHN72" s="317"/>
      <c r="VHO72" s="317"/>
      <c r="VHP72" s="317"/>
      <c r="VHQ72" s="317"/>
      <c r="VHR72" s="317"/>
      <c r="VHS72" s="317"/>
      <c r="VHT72" s="317"/>
      <c r="VHU72" s="317"/>
      <c r="VHV72" s="317"/>
      <c r="VHW72" s="317"/>
      <c r="VHX72" s="317"/>
      <c r="VHY72" s="317"/>
      <c r="VHZ72" s="317"/>
      <c r="VIA72" s="317"/>
      <c r="VIB72" s="317"/>
      <c r="VIC72" s="317"/>
      <c r="VID72" s="317"/>
      <c r="VIE72" s="317"/>
      <c r="VIF72" s="317"/>
      <c r="VIG72" s="317"/>
      <c r="VIH72" s="317"/>
      <c r="VII72" s="317"/>
      <c r="VIJ72" s="317"/>
      <c r="VIK72" s="317"/>
      <c r="VIL72" s="317"/>
      <c r="VIM72" s="317"/>
      <c r="VIN72" s="317"/>
      <c r="VIO72" s="317"/>
      <c r="VIP72" s="317"/>
      <c r="VIQ72" s="317"/>
      <c r="VIR72" s="317"/>
      <c r="VIS72" s="317"/>
      <c r="VIT72" s="317"/>
      <c r="VIU72" s="317"/>
      <c r="VIV72" s="317"/>
      <c r="VIW72" s="317"/>
      <c r="VIX72" s="317"/>
      <c r="VIY72" s="317"/>
      <c r="VIZ72" s="317"/>
      <c r="VJA72" s="317"/>
      <c r="VJB72" s="317"/>
      <c r="VJC72" s="317"/>
      <c r="VJD72" s="317"/>
      <c r="VJE72" s="317"/>
      <c r="VJF72" s="317"/>
      <c r="VJG72" s="317"/>
      <c r="VJH72" s="317"/>
      <c r="VJI72" s="317"/>
      <c r="VJJ72" s="317"/>
      <c r="VJK72" s="317"/>
      <c r="VJL72" s="317"/>
      <c r="VJM72" s="317"/>
      <c r="VJN72" s="317"/>
      <c r="VJO72" s="317"/>
      <c r="VJP72" s="317"/>
      <c r="VJQ72" s="317"/>
      <c r="VJR72" s="317"/>
      <c r="VJS72" s="317"/>
      <c r="VJT72" s="317"/>
      <c r="VJU72" s="317"/>
      <c r="VJV72" s="317"/>
      <c r="VJW72" s="317"/>
      <c r="VJX72" s="317"/>
      <c r="VJY72" s="317"/>
      <c r="VJZ72" s="317"/>
      <c r="VKA72" s="317"/>
      <c r="VKB72" s="317"/>
      <c r="VKC72" s="317"/>
      <c r="VKD72" s="317"/>
      <c r="VKE72" s="317"/>
      <c r="VKF72" s="317"/>
      <c r="VKG72" s="317"/>
      <c r="VKH72" s="317"/>
      <c r="VKI72" s="317"/>
      <c r="VKJ72" s="317"/>
      <c r="VKK72" s="317"/>
      <c r="VKL72" s="317"/>
      <c r="VKM72" s="317"/>
      <c r="VKN72" s="317"/>
      <c r="VKO72" s="317"/>
      <c r="VKP72" s="317"/>
      <c r="VKQ72" s="317"/>
      <c r="VKR72" s="317"/>
      <c r="VKS72" s="317"/>
      <c r="VKT72" s="317"/>
      <c r="VKU72" s="317"/>
      <c r="VKV72" s="317"/>
      <c r="VKW72" s="317"/>
      <c r="VKX72" s="317"/>
      <c r="VKY72" s="317"/>
      <c r="VKZ72" s="317"/>
      <c r="VLA72" s="317"/>
      <c r="VLB72" s="317"/>
      <c r="VLC72" s="317"/>
      <c r="VLD72" s="317"/>
      <c r="VLE72" s="317"/>
      <c r="VLF72" s="317"/>
      <c r="VLG72" s="317"/>
      <c r="VLH72" s="317"/>
      <c r="VLI72" s="317"/>
      <c r="VLJ72" s="317"/>
      <c r="VLK72" s="317"/>
      <c r="VLL72" s="317"/>
      <c r="VLM72" s="317"/>
      <c r="VLN72" s="317"/>
      <c r="VLO72" s="317"/>
      <c r="VLP72" s="317"/>
      <c r="VLQ72" s="317"/>
      <c r="VLR72" s="317"/>
      <c r="VLS72" s="317"/>
      <c r="VLT72" s="317"/>
      <c r="VLU72" s="317"/>
      <c r="VLV72" s="317"/>
      <c r="VLW72" s="317"/>
      <c r="VLX72" s="317"/>
      <c r="VLY72" s="317"/>
      <c r="VLZ72" s="317"/>
      <c r="VMA72" s="317"/>
      <c r="VMB72" s="317"/>
      <c r="VMC72" s="317"/>
      <c r="VMD72" s="317"/>
      <c r="VME72" s="317"/>
      <c r="VMF72" s="317"/>
      <c r="VMG72" s="317"/>
      <c r="VMH72" s="317"/>
      <c r="VMI72" s="317"/>
      <c r="VMJ72" s="317"/>
      <c r="VMK72" s="317"/>
      <c r="VML72" s="317"/>
      <c r="VMM72" s="317"/>
      <c r="VMN72" s="317"/>
      <c r="VMO72" s="317"/>
      <c r="VMP72" s="317"/>
      <c r="VMQ72" s="317"/>
      <c r="VMR72" s="317"/>
      <c r="VMS72" s="317"/>
      <c r="VMT72" s="317"/>
      <c r="VMU72" s="317"/>
      <c r="VMV72" s="317"/>
      <c r="VMW72" s="317"/>
      <c r="VMX72" s="317"/>
      <c r="VMY72" s="317"/>
      <c r="VMZ72" s="317"/>
      <c r="VNA72" s="317"/>
      <c r="VNB72" s="317"/>
      <c r="VNC72" s="317"/>
      <c r="VND72" s="317"/>
      <c r="VNE72" s="317"/>
      <c r="VNF72" s="317"/>
      <c r="VNG72" s="317"/>
      <c r="VNH72" s="317"/>
      <c r="VNI72" s="317"/>
      <c r="VNJ72" s="317"/>
      <c r="VNK72" s="317"/>
      <c r="VNL72" s="317"/>
      <c r="VNM72" s="317"/>
      <c r="VNN72" s="317"/>
      <c r="VNO72" s="317"/>
      <c r="VNP72" s="317"/>
      <c r="VNQ72" s="317"/>
      <c r="VNR72" s="317"/>
      <c r="VNS72" s="317"/>
      <c r="VNT72" s="317"/>
      <c r="VNU72" s="317"/>
      <c r="VNV72" s="317"/>
      <c r="VNW72" s="317"/>
      <c r="VNX72" s="317"/>
      <c r="VNY72" s="317"/>
      <c r="VNZ72" s="317"/>
      <c r="VOA72" s="317"/>
      <c r="VOB72" s="317"/>
      <c r="VOC72" s="317"/>
      <c r="VOD72" s="317"/>
      <c r="VOE72" s="317"/>
      <c r="VOF72" s="317"/>
      <c r="VOG72" s="317"/>
      <c r="VOH72" s="317"/>
      <c r="VOI72" s="317"/>
      <c r="VOJ72" s="317"/>
      <c r="VOK72" s="317"/>
      <c r="VOL72" s="317"/>
      <c r="VOM72" s="317"/>
      <c r="VON72" s="317"/>
      <c r="VOO72" s="317"/>
      <c r="VOP72" s="317"/>
      <c r="VOQ72" s="317"/>
      <c r="VOR72" s="317"/>
      <c r="VOS72" s="317"/>
      <c r="VOT72" s="317"/>
      <c r="VOU72" s="317"/>
      <c r="VOV72" s="317"/>
      <c r="VOW72" s="317"/>
      <c r="VOX72" s="317"/>
      <c r="VOY72" s="317"/>
      <c r="VOZ72" s="317"/>
      <c r="VPA72" s="317"/>
      <c r="VPB72" s="317"/>
      <c r="VPC72" s="317"/>
      <c r="VPD72" s="317"/>
      <c r="VPE72" s="317"/>
      <c r="VPF72" s="317"/>
      <c r="VPG72" s="317"/>
      <c r="VPH72" s="317"/>
      <c r="VPI72" s="317"/>
      <c r="VPJ72" s="317"/>
      <c r="VPK72" s="317"/>
      <c r="VPL72" s="317"/>
      <c r="VPM72" s="317"/>
      <c r="VPN72" s="317"/>
      <c r="VPO72" s="317"/>
      <c r="VPP72" s="317"/>
      <c r="VPQ72" s="317"/>
      <c r="VPR72" s="317"/>
      <c r="VPS72" s="317"/>
      <c r="VPT72" s="317"/>
      <c r="VPU72" s="317"/>
      <c r="VPV72" s="317"/>
      <c r="VPW72" s="317"/>
      <c r="VPX72" s="317"/>
      <c r="VPY72" s="317"/>
      <c r="VPZ72" s="317"/>
      <c r="VQA72" s="317"/>
      <c r="VQB72" s="317"/>
      <c r="VQC72" s="317"/>
      <c r="VQD72" s="317"/>
      <c r="VQE72" s="317"/>
      <c r="VQF72" s="317"/>
      <c r="VQG72" s="317"/>
      <c r="VQH72" s="317"/>
      <c r="VQI72" s="317"/>
      <c r="VQJ72" s="317"/>
      <c r="VQK72" s="317"/>
      <c r="VQL72" s="317"/>
      <c r="VQM72" s="317"/>
      <c r="VQN72" s="317"/>
      <c r="VQO72" s="317"/>
      <c r="VQP72" s="317"/>
      <c r="VQQ72" s="317"/>
      <c r="VQR72" s="317"/>
      <c r="VQS72" s="317"/>
      <c r="VQT72" s="317"/>
      <c r="VQU72" s="317"/>
      <c r="VQV72" s="317"/>
      <c r="VQW72" s="317"/>
      <c r="VQX72" s="317"/>
      <c r="VQY72" s="317"/>
      <c r="VQZ72" s="317"/>
      <c r="VRA72" s="317"/>
      <c r="VRB72" s="317"/>
      <c r="VRC72" s="317"/>
      <c r="VRD72" s="317"/>
      <c r="VRE72" s="317"/>
      <c r="VRF72" s="317"/>
      <c r="VRG72" s="317"/>
      <c r="VRH72" s="317"/>
      <c r="VRI72" s="317"/>
      <c r="VRJ72" s="317"/>
      <c r="VRK72" s="317"/>
      <c r="VRL72" s="317"/>
      <c r="VRM72" s="317"/>
      <c r="VRN72" s="317"/>
      <c r="VRO72" s="317"/>
      <c r="VRP72" s="317"/>
      <c r="VRQ72" s="317"/>
      <c r="VRR72" s="317"/>
      <c r="VRS72" s="317"/>
      <c r="VRT72" s="317"/>
      <c r="VRU72" s="317"/>
      <c r="VRV72" s="317"/>
      <c r="VRW72" s="317"/>
      <c r="VRX72" s="317"/>
      <c r="VRY72" s="317"/>
      <c r="VRZ72" s="317"/>
      <c r="VSA72" s="317"/>
      <c r="VSB72" s="317"/>
      <c r="VSC72" s="317"/>
      <c r="VSD72" s="317"/>
      <c r="VSE72" s="317"/>
      <c r="VSF72" s="317"/>
      <c r="VSG72" s="317"/>
      <c r="VSH72" s="317"/>
      <c r="VSI72" s="317"/>
      <c r="VSJ72" s="317"/>
      <c r="VSK72" s="317"/>
      <c r="VSL72" s="317"/>
      <c r="VSM72" s="317"/>
      <c r="VSN72" s="317"/>
      <c r="VSO72" s="317"/>
      <c r="VSP72" s="317"/>
      <c r="VSQ72" s="317"/>
      <c r="VSR72" s="317"/>
      <c r="VSS72" s="317"/>
      <c r="VST72" s="317"/>
      <c r="VSU72" s="317"/>
      <c r="VSV72" s="317"/>
      <c r="VSW72" s="317"/>
      <c r="VSX72" s="317"/>
      <c r="VSY72" s="317"/>
      <c r="VSZ72" s="317"/>
      <c r="VTA72" s="317"/>
      <c r="VTB72" s="317"/>
      <c r="VTC72" s="317"/>
      <c r="VTD72" s="317"/>
      <c r="VTE72" s="317"/>
      <c r="VTF72" s="317"/>
      <c r="VTG72" s="317"/>
      <c r="VTH72" s="317"/>
      <c r="VTI72" s="317"/>
      <c r="VTJ72" s="317"/>
      <c r="VTK72" s="317"/>
      <c r="VTL72" s="317"/>
      <c r="VTM72" s="317"/>
      <c r="VTN72" s="317"/>
      <c r="VTO72" s="317"/>
      <c r="VTP72" s="317"/>
      <c r="VTQ72" s="317"/>
      <c r="VTR72" s="317"/>
      <c r="VTS72" s="317"/>
      <c r="VTT72" s="317"/>
      <c r="VTU72" s="317"/>
      <c r="VTV72" s="317"/>
      <c r="VTW72" s="317"/>
      <c r="VTX72" s="317"/>
      <c r="VTY72" s="317"/>
      <c r="VTZ72" s="317"/>
      <c r="VUA72" s="317"/>
      <c r="VUB72" s="317"/>
      <c r="VUC72" s="317"/>
      <c r="VUD72" s="317"/>
      <c r="VUE72" s="317"/>
      <c r="VUF72" s="317"/>
      <c r="VUG72" s="317"/>
      <c r="VUH72" s="317"/>
      <c r="VUI72" s="317"/>
      <c r="VUJ72" s="317"/>
      <c r="VUK72" s="317"/>
      <c r="VUL72" s="317"/>
      <c r="VUM72" s="317"/>
      <c r="VUN72" s="317"/>
      <c r="VUO72" s="317"/>
      <c r="VUP72" s="317"/>
      <c r="VUQ72" s="317"/>
      <c r="VUR72" s="317"/>
      <c r="VUS72" s="317"/>
      <c r="VUT72" s="317"/>
      <c r="VUU72" s="317"/>
      <c r="VUV72" s="317"/>
      <c r="VUW72" s="317"/>
      <c r="VUX72" s="317"/>
      <c r="VUY72" s="317"/>
      <c r="VUZ72" s="317"/>
      <c r="VVA72" s="317"/>
      <c r="VVB72" s="317"/>
      <c r="VVC72" s="317"/>
      <c r="VVD72" s="317"/>
      <c r="VVE72" s="317"/>
      <c r="VVF72" s="317"/>
      <c r="VVG72" s="317"/>
      <c r="VVH72" s="317"/>
      <c r="VVI72" s="317"/>
      <c r="VVJ72" s="317"/>
      <c r="VVK72" s="317"/>
      <c r="VVL72" s="317"/>
      <c r="VVM72" s="317"/>
      <c r="VVN72" s="317"/>
      <c r="VVO72" s="317"/>
      <c r="VVP72" s="317"/>
      <c r="VVQ72" s="317"/>
      <c r="VVR72" s="317"/>
      <c r="VVS72" s="317"/>
      <c r="VVT72" s="317"/>
      <c r="VVU72" s="317"/>
      <c r="VVV72" s="317"/>
      <c r="VVW72" s="317"/>
      <c r="VVX72" s="317"/>
      <c r="VVY72" s="317"/>
      <c r="VVZ72" s="317"/>
      <c r="VWA72" s="317"/>
      <c r="VWB72" s="317"/>
      <c r="VWC72" s="317"/>
      <c r="VWD72" s="317"/>
      <c r="VWE72" s="317"/>
      <c r="VWF72" s="317"/>
      <c r="VWG72" s="317"/>
      <c r="VWH72" s="317"/>
      <c r="VWI72" s="317"/>
      <c r="VWJ72" s="317"/>
      <c r="VWK72" s="317"/>
      <c r="VWL72" s="317"/>
      <c r="VWM72" s="317"/>
      <c r="VWN72" s="317"/>
      <c r="VWO72" s="317"/>
      <c r="VWP72" s="317"/>
      <c r="VWQ72" s="317"/>
      <c r="VWR72" s="317"/>
      <c r="VWS72" s="317"/>
      <c r="VWT72" s="317"/>
      <c r="VWU72" s="317"/>
      <c r="VWV72" s="317"/>
      <c r="VWW72" s="317"/>
      <c r="VWX72" s="317"/>
      <c r="VWY72" s="317"/>
      <c r="VWZ72" s="317"/>
      <c r="VXA72" s="317"/>
      <c r="VXB72" s="317"/>
      <c r="VXC72" s="317"/>
      <c r="VXD72" s="317"/>
      <c r="VXE72" s="317"/>
      <c r="VXF72" s="317"/>
      <c r="VXG72" s="317"/>
      <c r="VXH72" s="317"/>
      <c r="VXI72" s="317"/>
      <c r="VXJ72" s="317"/>
      <c r="VXK72" s="317"/>
      <c r="VXL72" s="317"/>
      <c r="VXM72" s="317"/>
      <c r="VXN72" s="317"/>
      <c r="VXO72" s="317"/>
      <c r="VXP72" s="317"/>
      <c r="VXQ72" s="317"/>
      <c r="VXR72" s="317"/>
      <c r="VXS72" s="317"/>
      <c r="VXT72" s="317"/>
      <c r="VXU72" s="317"/>
      <c r="VXV72" s="317"/>
      <c r="VXW72" s="317"/>
      <c r="VXX72" s="317"/>
      <c r="VXY72" s="317"/>
      <c r="VXZ72" s="317"/>
      <c r="VYA72" s="317"/>
      <c r="VYB72" s="317"/>
      <c r="VYC72" s="317"/>
      <c r="VYD72" s="317"/>
      <c r="VYE72" s="317"/>
      <c r="VYF72" s="317"/>
      <c r="VYG72" s="317"/>
      <c r="VYH72" s="317"/>
      <c r="VYI72" s="317"/>
      <c r="VYJ72" s="317"/>
      <c r="VYK72" s="317"/>
      <c r="VYL72" s="317"/>
      <c r="VYM72" s="317"/>
      <c r="VYN72" s="317"/>
      <c r="VYO72" s="317"/>
      <c r="VYP72" s="317"/>
      <c r="VYQ72" s="317"/>
      <c r="VYR72" s="317"/>
      <c r="VYS72" s="317"/>
      <c r="VYT72" s="317"/>
      <c r="VYU72" s="317"/>
      <c r="VYV72" s="317"/>
      <c r="VYW72" s="317"/>
      <c r="VYX72" s="317"/>
      <c r="VYY72" s="317"/>
      <c r="VYZ72" s="317"/>
      <c r="VZA72" s="317"/>
      <c r="VZB72" s="317"/>
      <c r="VZC72" s="317"/>
      <c r="VZD72" s="317"/>
      <c r="VZE72" s="317"/>
      <c r="VZF72" s="317"/>
      <c r="VZG72" s="317"/>
      <c r="VZH72" s="317"/>
      <c r="VZI72" s="317"/>
      <c r="VZJ72" s="317"/>
      <c r="VZK72" s="317"/>
      <c r="VZL72" s="317"/>
      <c r="VZM72" s="317"/>
      <c r="VZN72" s="317"/>
      <c r="VZO72" s="317"/>
      <c r="VZP72" s="317"/>
      <c r="VZQ72" s="317"/>
      <c r="VZR72" s="317"/>
      <c r="VZS72" s="317"/>
      <c r="VZT72" s="317"/>
      <c r="VZU72" s="317"/>
      <c r="VZV72" s="317"/>
      <c r="VZW72" s="317"/>
      <c r="VZX72" s="317"/>
      <c r="VZY72" s="317"/>
      <c r="VZZ72" s="317"/>
      <c r="WAA72" s="317"/>
      <c r="WAB72" s="317"/>
      <c r="WAC72" s="317"/>
      <c r="WAD72" s="317"/>
      <c r="WAE72" s="317"/>
      <c r="WAF72" s="317"/>
      <c r="WAG72" s="317"/>
      <c r="WAH72" s="317"/>
      <c r="WAI72" s="317"/>
      <c r="WAJ72" s="317"/>
      <c r="WAK72" s="317"/>
      <c r="WAL72" s="317"/>
      <c r="WAM72" s="317"/>
      <c r="WAN72" s="317"/>
      <c r="WAO72" s="317"/>
      <c r="WAP72" s="317"/>
      <c r="WAQ72" s="317"/>
      <c r="WAR72" s="317"/>
      <c r="WAS72" s="317"/>
      <c r="WAT72" s="317"/>
      <c r="WAU72" s="317"/>
      <c r="WAV72" s="317"/>
      <c r="WAW72" s="317"/>
      <c r="WAX72" s="317"/>
      <c r="WAY72" s="317"/>
      <c r="WAZ72" s="317"/>
      <c r="WBA72" s="317"/>
      <c r="WBB72" s="317"/>
      <c r="WBC72" s="317"/>
      <c r="WBD72" s="317"/>
      <c r="WBE72" s="317"/>
      <c r="WBF72" s="317"/>
      <c r="WBG72" s="317"/>
      <c r="WBH72" s="317"/>
      <c r="WBI72" s="317"/>
      <c r="WBJ72" s="317"/>
      <c r="WBK72" s="317"/>
      <c r="WBL72" s="317"/>
      <c r="WBM72" s="317"/>
      <c r="WBN72" s="317"/>
      <c r="WBO72" s="317"/>
      <c r="WBP72" s="317"/>
      <c r="WBQ72" s="317"/>
      <c r="WBR72" s="317"/>
      <c r="WBS72" s="317"/>
      <c r="WBT72" s="317"/>
      <c r="WBU72" s="317"/>
      <c r="WBV72" s="317"/>
      <c r="WBW72" s="317"/>
      <c r="WBX72" s="317"/>
      <c r="WBY72" s="317"/>
      <c r="WBZ72" s="317"/>
      <c r="WCA72" s="317"/>
      <c r="WCB72" s="317"/>
      <c r="WCC72" s="317"/>
      <c r="WCD72" s="317"/>
      <c r="WCE72" s="317"/>
      <c r="WCF72" s="317"/>
      <c r="WCG72" s="317"/>
      <c r="WCH72" s="317"/>
      <c r="WCI72" s="317"/>
      <c r="WCJ72" s="317"/>
      <c r="WCK72" s="317"/>
      <c r="WCL72" s="317"/>
      <c r="WCM72" s="317"/>
      <c r="WCN72" s="317"/>
      <c r="WCO72" s="317"/>
      <c r="WCP72" s="317"/>
      <c r="WCQ72" s="317"/>
      <c r="WCR72" s="317"/>
      <c r="WCS72" s="317"/>
      <c r="WCT72" s="317"/>
      <c r="WCU72" s="317"/>
      <c r="WCV72" s="317"/>
      <c r="WCW72" s="317"/>
      <c r="WCX72" s="317"/>
      <c r="WCY72" s="317"/>
      <c r="WCZ72" s="317"/>
      <c r="WDA72" s="317"/>
      <c r="WDB72" s="317"/>
      <c r="WDC72" s="317"/>
      <c r="WDD72" s="317"/>
      <c r="WDE72" s="317"/>
      <c r="WDF72" s="317"/>
      <c r="WDG72" s="317"/>
      <c r="WDH72" s="317"/>
      <c r="WDI72" s="317"/>
      <c r="WDJ72" s="317"/>
      <c r="WDK72" s="317"/>
      <c r="WDL72" s="317"/>
      <c r="WDM72" s="317"/>
      <c r="WDN72" s="317"/>
      <c r="WDO72" s="317"/>
      <c r="WDP72" s="317"/>
      <c r="WDQ72" s="317"/>
      <c r="WDR72" s="317"/>
      <c r="WDS72" s="317"/>
      <c r="WDT72" s="317"/>
      <c r="WDU72" s="317"/>
      <c r="WDV72" s="317"/>
      <c r="WDW72" s="317"/>
      <c r="WDX72" s="317"/>
      <c r="WDY72" s="317"/>
      <c r="WDZ72" s="317"/>
      <c r="WEA72" s="317"/>
      <c r="WEB72" s="317"/>
      <c r="WEC72" s="317"/>
      <c r="WED72" s="317"/>
      <c r="WEE72" s="317"/>
      <c r="WEF72" s="317"/>
      <c r="WEG72" s="317"/>
      <c r="WEH72" s="317"/>
      <c r="WEI72" s="317"/>
      <c r="WEJ72" s="317"/>
      <c r="WEK72" s="317"/>
      <c r="WEL72" s="317"/>
      <c r="WEM72" s="317"/>
      <c r="WEN72" s="317"/>
      <c r="WEO72" s="317"/>
      <c r="WEP72" s="317"/>
      <c r="WEQ72" s="317"/>
      <c r="WER72" s="317"/>
      <c r="WES72" s="317"/>
      <c r="WET72" s="317"/>
      <c r="WEU72" s="317"/>
      <c r="WEV72" s="317"/>
      <c r="WEW72" s="317"/>
      <c r="WEX72" s="317"/>
      <c r="WEY72" s="317"/>
      <c r="WEZ72" s="317"/>
      <c r="WFA72" s="317"/>
      <c r="WFB72" s="317"/>
      <c r="WFC72" s="317"/>
      <c r="WFD72" s="317"/>
      <c r="WFE72" s="317"/>
      <c r="WFF72" s="317"/>
      <c r="WFG72" s="317"/>
      <c r="WFH72" s="317"/>
      <c r="WFI72" s="317"/>
      <c r="WFJ72" s="317"/>
      <c r="WFK72" s="317"/>
      <c r="WFL72" s="317"/>
      <c r="WFM72" s="317"/>
      <c r="WFN72" s="317"/>
      <c r="WFO72" s="317"/>
      <c r="WFP72" s="317"/>
      <c r="WFQ72" s="317"/>
      <c r="WFR72" s="317"/>
      <c r="WFS72" s="317"/>
      <c r="WFT72" s="317"/>
      <c r="WFU72" s="317"/>
      <c r="WFV72" s="317"/>
      <c r="WFW72" s="317"/>
      <c r="WFX72" s="317"/>
      <c r="WFY72" s="317"/>
      <c r="WFZ72" s="317"/>
      <c r="WGA72" s="317"/>
      <c r="WGB72" s="317"/>
      <c r="WGC72" s="317"/>
      <c r="WGD72" s="317"/>
      <c r="WGE72" s="317"/>
      <c r="WGF72" s="317"/>
      <c r="WGG72" s="317"/>
      <c r="WGH72" s="317"/>
      <c r="WGI72" s="317"/>
      <c r="WGJ72" s="317"/>
      <c r="WGK72" s="317"/>
      <c r="WGL72" s="317"/>
      <c r="WGM72" s="317"/>
      <c r="WGN72" s="317"/>
      <c r="WGO72" s="317"/>
      <c r="WGP72" s="317"/>
      <c r="WGQ72" s="317"/>
      <c r="WGR72" s="317"/>
      <c r="WGS72" s="317"/>
      <c r="WGT72" s="317"/>
      <c r="WGU72" s="317"/>
      <c r="WGV72" s="317"/>
      <c r="WGW72" s="317"/>
      <c r="WGX72" s="317"/>
      <c r="WGY72" s="317"/>
      <c r="WGZ72" s="317"/>
      <c r="WHA72" s="317"/>
      <c r="WHB72" s="317"/>
      <c r="WHC72" s="317"/>
      <c r="WHD72" s="317"/>
      <c r="WHE72" s="317"/>
      <c r="WHF72" s="317"/>
      <c r="WHG72" s="317"/>
      <c r="WHH72" s="317"/>
      <c r="WHI72" s="317"/>
      <c r="WHJ72" s="317"/>
      <c r="WHK72" s="317"/>
      <c r="WHL72" s="317"/>
      <c r="WHM72" s="317"/>
      <c r="WHN72" s="317"/>
      <c r="WHO72" s="317"/>
      <c r="WHP72" s="317"/>
      <c r="WHQ72" s="317"/>
      <c r="WHR72" s="317"/>
      <c r="WHS72" s="317"/>
      <c r="WHT72" s="317"/>
      <c r="WHU72" s="317"/>
      <c r="WHV72" s="317"/>
      <c r="WHW72" s="317"/>
      <c r="WHX72" s="317"/>
      <c r="WHY72" s="317"/>
      <c r="WHZ72" s="317"/>
      <c r="WIA72" s="317"/>
      <c r="WIB72" s="317"/>
      <c r="WIC72" s="317"/>
      <c r="WID72" s="317"/>
      <c r="WIE72" s="317"/>
      <c r="WIF72" s="317"/>
      <c r="WIG72" s="317"/>
      <c r="WIH72" s="317"/>
      <c r="WII72" s="317"/>
      <c r="WIJ72" s="317"/>
      <c r="WIK72" s="317"/>
      <c r="WIL72" s="317"/>
      <c r="WIM72" s="317"/>
      <c r="WIN72" s="317"/>
      <c r="WIO72" s="317"/>
      <c r="WIP72" s="317"/>
      <c r="WIQ72" s="317"/>
      <c r="WIR72" s="317"/>
      <c r="WIS72" s="317"/>
      <c r="WIT72" s="317"/>
      <c r="WIU72" s="317"/>
      <c r="WIV72" s="317"/>
      <c r="WIW72" s="317"/>
      <c r="WIX72" s="317"/>
      <c r="WIY72" s="317"/>
      <c r="WIZ72" s="317"/>
      <c r="WJA72" s="317"/>
      <c r="WJB72" s="317"/>
      <c r="WJC72" s="317"/>
      <c r="WJD72" s="317"/>
      <c r="WJE72" s="317"/>
      <c r="WJF72" s="317"/>
      <c r="WJG72" s="317"/>
      <c r="WJH72" s="317"/>
      <c r="WJI72" s="317"/>
      <c r="WJJ72" s="317"/>
      <c r="WJK72" s="317"/>
      <c r="WJL72" s="317"/>
      <c r="WJM72" s="317"/>
      <c r="WJN72" s="317"/>
      <c r="WJO72" s="317"/>
      <c r="WJP72" s="317"/>
      <c r="WJQ72" s="317"/>
      <c r="WJR72" s="317"/>
      <c r="WJS72" s="317"/>
      <c r="WJT72" s="317"/>
      <c r="WJU72" s="317"/>
      <c r="WJV72" s="317"/>
      <c r="WJW72" s="317"/>
      <c r="WJX72" s="317"/>
      <c r="WJY72" s="317"/>
      <c r="WJZ72" s="317"/>
      <c r="WKA72" s="317"/>
      <c r="WKB72" s="317"/>
      <c r="WKC72" s="317"/>
      <c r="WKD72" s="317"/>
      <c r="WKE72" s="317"/>
      <c r="WKF72" s="317"/>
      <c r="WKG72" s="317"/>
      <c r="WKH72" s="317"/>
      <c r="WKI72" s="317"/>
      <c r="WKJ72" s="317"/>
      <c r="WKK72" s="317"/>
      <c r="WKL72" s="317"/>
      <c r="WKM72" s="317"/>
      <c r="WKN72" s="317"/>
      <c r="WKO72" s="317"/>
      <c r="WKP72" s="317"/>
      <c r="WKQ72" s="317"/>
      <c r="WKR72" s="317"/>
      <c r="WKS72" s="317"/>
      <c r="WKT72" s="317"/>
      <c r="WKU72" s="317"/>
      <c r="WKV72" s="317"/>
      <c r="WKW72" s="317"/>
      <c r="WKX72" s="317"/>
      <c r="WKY72" s="317"/>
      <c r="WKZ72" s="317"/>
      <c r="WLA72" s="317"/>
      <c r="WLB72" s="317"/>
      <c r="WLC72" s="317"/>
      <c r="WLD72" s="317"/>
      <c r="WLE72" s="317"/>
      <c r="WLF72" s="317"/>
      <c r="WLG72" s="317"/>
      <c r="WLH72" s="317"/>
      <c r="WLI72" s="317"/>
      <c r="WLJ72" s="317"/>
      <c r="WLK72" s="317"/>
      <c r="WLL72" s="317"/>
      <c r="WLM72" s="317"/>
      <c r="WLN72" s="317"/>
      <c r="WLO72" s="317"/>
      <c r="WLP72" s="317"/>
      <c r="WLQ72" s="317"/>
      <c r="WLR72" s="317"/>
      <c r="WLS72" s="317"/>
      <c r="WLT72" s="317"/>
      <c r="WLU72" s="317"/>
      <c r="WLV72" s="317"/>
      <c r="WLW72" s="317"/>
      <c r="WLX72" s="317"/>
      <c r="WLY72" s="317"/>
      <c r="WLZ72" s="317"/>
      <c r="WMA72" s="317"/>
      <c r="WMB72" s="317"/>
      <c r="WMC72" s="317"/>
      <c r="WMD72" s="317"/>
      <c r="WME72" s="317"/>
      <c r="WMF72" s="317"/>
      <c r="WMG72" s="317"/>
      <c r="WMH72" s="317"/>
      <c r="WMI72" s="317"/>
      <c r="WMJ72" s="317"/>
      <c r="WMK72" s="317"/>
      <c r="WML72" s="317"/>
      <c r="WMM72" s="317"/>
      <c r="WMN72" s="317"/>
      <c r="WMO72" s="317"/>
      <c r="WMP72" s="317"/>
      <c r="WMQ72" s="317"/>
      <c r="WMR72" s="317"/>
      <c r="WMS72" s="317"/>
      <c r="WMT72" s="317"/>
      <c r="WMU72" s="317"/>
      <c r="WMV72" s="317"/>
      <c r="WMW72" s="317"/>
      <c r="WMX72" s="317"/>
      <c r="WMY72" s="317"/>
      <c r="WMZ72" s="317"/>
      <c r="WNA72" s="317"/>
      <c r="WNB72" s="317"/>
      <c r="WNC72" s="317"/>
      <c r="WND72" s="317"/>
      <c r="WNE72" s="317"/>
      <c r="WNF72" s="317"/>
      <c r="WNG72" s="317"/>
      <c r="WNH72" s="317"/>
      <c r="WNI72" s="317"/>
      <c r="WNJ72" s="317"/>
      <c r="WNK72" s="317"/>
      <c r="WNL72" s="317"/>
      <c r="WNM72" s="317"/>
      <c r="WNN72" s="317"/>
      <c r="WNO72" s="317"/>
      <c r="WNP72" s="317"/>
      <c r="WNQ72" s="317"/>
      <c r="WNR72" s="317"/>
      <c r="WNS72" s="317"/>
      <c r="WNT72" s="317"/>
      <c r="WNU72" s="317"/>
      <c r="WNV72" s="317"/>
      <c r="WNW72" s="317"/>
      <c r="WNX72" s="317"/>
      <c r="WNY72" s="317"/>
      <c r="WNZ72" s="317"/>
      <c r="WOA72" s="317"/>
      <c r="WOB72" s="317"/>
      <c r="WOC72" s="317"/>
      <c r="WOD72" s="317"/>
      <c r="WOE72" s="317"/>
      <c r="WOF72" s="317"/>
      <c r="WOG72" s="317"/>
      <c r="WOH72" s="317"/>
      <c r="WOI72" s="317"/>
      <c r="WOJ72" s="317"/>
      <c r="WOK72" s="317"/>
      <c r="WOL72" s="317"/>
      <c r="WOM72" s="317"/>
      <c r="WON72" s="317"/>
      <c r="WOO72" s="317"/>
      <c r="WOP72" s="317"/>
      <c r="WOQ72" s="317"/>
      <c r="WOR72" s="317"/>
      <c r="WOS72" s="317"/>
      <c r="WOT72" s="317"/>
      <c r="WOU72" s="317"/>
      <c r="WOV72" s="317"/>
      <c r="WOW72" s="317"/>
      <c r="WOX72" s="317"/>
      <c r="WOY72" s="317"/>
      <c r="WOZ72" s="317"/>
      <c r="WPA72" s="317"/>
      <c r="WPB72" s="317"/>
      <c r="WPC72" s="317"/>
      <c r="WPD72" s="317"/>
      <c r="WPE72" s="317"/>
      <c r="WPF72" s="317"/>
      <c r="WPG72" s="317"/>
      <c r="WPH72" s="317"/>
      <c r="WPI72" s="317"/>
      <c r="WPJ72" s="317"/>
      <c r="WPK72" s="317"/>
      <c r="WPL72" s="317"/>
      <c r="WPM72" s="317"/>
      <c r="WPN72" s="317"/>
      <c r="WPO72" s="317"/>
      <c r="WPP72" s="317"/>
      <c r="WPQ72" s="317"/>
      <c r="WPR72" s="317"/>
      <c r="WPS72" s="317"/>
      <c r="WPT72" s="317"/>
      <c r="WPU72" s="317"/>
      <c r="WPV72" s="317"/>
      <c r="WPW72" s="317"/>
      <c r="WPX72" s="317"/>
      <c r="WPY72" s="317"/>
      <c r="WPZ72" s="317"/>
      <c r="WQA72" s="317"/>
      <c r="WQB72" s="317"/>
      <c r="WQC72" s="317"/>
      <c r="WQD72" s="317"/>
      <c r="WQE72" s="317"/>
      <c r="WQF72" s="317"/>
      <c r="WQG72" s="317"/>
      <c r="WQH72" s="317"/>
      <c r="WQI72" s="317"/>
      <c r="WQJ72" s="317"/>
      <c r="WQK72" s="317"/>
      <c r="WQL72" s="317"/>
      <c r="WQM72" s="317"/>
      <c r="WQN72" s="317"/>
      <c r="WQO72" s="317"/>
      <c r="WQP72" s="317"/>
      <c r="WQQ72" s="317"/>
      <c r="WQR72" s="317"/>
      <c r="WQS72" s="317"/>
      <c r="WQT72" s="317"/>
      <c r="WQU72" s="317"/>
      <c r="WQV72" s="317"/>
      <c r="WQW72" s="317"/>
      <c r="WQX72" s="317"/>
      <c r="WQY72" s="317"/>
      <c r="WQZ72" s="317"/>
      <c r="WRA72" s="317"/>
      <c r="WRB72" s="317"/>
      <c r="WRC72" s="317"/>
      <c r="WRD72" s="317"/>
      <c r="WRE72" s="317"/>
      <c r="WRF72" s="317"/>
      <c r="WRG72" s="317"/>
      <c r="WRH72" s="317"/>
      <c r="WRI72" s="317"/>
      <c r="WRJ72" s="317"/>
      <c r="WRK72" s="317"/>
      <c r="WRL72" s="317"/>
      <c r="WRM72" s="317"/>
      <c r="WRN72" s="317"/>
      <c r="WRO72" s="317"/>
      <c r="WRP72" s="317"/>
      <c r="WRQ72" s="317"/>
      <c r="WRR72" s="317"/>
      <c r="WRS72" s="317"/>
      <c r="WRT72" s="317"/>
      <c r="WRU72" s="317"/>
      <c r="WRV72" s="317"/>
      <c r="WRW72" s="317"/>
      <c r="WRX72" s="317"/>
      <c r="WRY72" s="317"/>
      <c r="WRZ72" s="317"/>
      <c r="WSA72" s="317"/>
      <c r="WSB72" s="317"/>
      <c r="WSC72" s="317"/>
      <c r="WSD72" s="317"/>
      <c r="WSE72" s="317"/>
      <c r="WSF72" s="317"/>
      <c r="WSG72" s="317"/>
      <c r="WSH72" s="317"/>
      <c r="WSI72" s="317"/>
      <c r="WSJ72" s="317"/>
      <c r="WSK72" s="317"/>
      <c r="WSL72" s="317"/>
      <c r="WSM72" s="317"/>
      <c r="WSN72" s="317"/>
      <c r="WSO72" s="317"/>
      <c r="WSP72" s="317"/>
      <c r="WSQ72" s="317"/>
      <c r="WSR72" s="317"/>
      <c r="WSS72" s="317"/>
      <c r="WST72" s="317"/>
      <c r="WSU72" s="317"/>
      <c r="WSV72" s="317"/>
      <c r="WSW72" s="317"/>
      <c r="WSX72" s="317"/>
      <c r="WSY72" s="317"/>
      <c r="WSZ72" s="317"/>
      <c r="WTA72" s="317"/>
      <c r="WTB72" s="317"/>
      <c r="WTC72" s="317"/>
      <c r="WTD72" s="317"/>
      <c r="WTE72" s="317"/>
      <c r="WTF72" s="317"/>
      <c r="WTG72" s="317"/>
      <c r="WTH72" s="317"/>
      <c r="WTI72" s="317"/>
      <c r="WTJ72" s="317"/>
      <c r="WTK72" s="317"/>
      <c r="WTL72" s="317"/>
      <c r="WTM72" s="317"/>
      <c r="WTN72" s="317"/>
      <c r="WTO72" s="317"/>
      <c r="WTP72" s="317"/>
      <c r="WTQ72" s="317"/>
      <c r="WTR72" s="317"/>
      <c r="WTS72" s="317"/>
      <c r="WTT72" s="317"/>
      <c r="WTU72" s="317"/>
      <c r="WTV72" s="317"/>
      <c r="WTW72" s="317"/>
      <c r="WTX72" s="317"/>
      <c r="WTY72" s="317"/>
      <c r="WTZ72" s="317"/>
      <c r="WUA72" s="317"/>
      <c r="WUB72" s="317"/>
      <c r="WUC72" s="317"/>
      <c r="WUD72" s="317"/>
      <c r="WUE72" s="317"/>
      <c r="WUF72" s="317"/>
      <c r="WUG72" s="317"/>
      <c r="WUH72" s="317"/>
      <c r="WUI72" s="317"/>
      <c r="WUJ72" s="317"/>
      <c r="WUK72" s="317"/>
      <c r="WUL72" s="317"/>
      <c r="WUM72" s="317"/>
      <c r="WUN72" s="317"/>
      <c r="WUO72" s="317"/>
      <c r="WUP72" s="317"/>
      <c r="WUQ72" s="317"/>
      <c r="WUR72" s="317"/>
      <c r="WUS72" s="317"/>
      <c r="WUT72" s="317"/>
      <c r="WUU72" s="317"/>
      <c r="WUV72" s="317"/>
      <c r="WUW72" s="317"/>
      <c r="WUX72" s="317"/>
      <c r="WUY72" s="317"/>
      <c r="WUZ72" s="317"/>
      <c r="WVA72" s="317"/>
      <c r="WVB72" s="317"/>
      <c r="WVC72" s="317"/>
      <c r="WVD72" s="317"/>
      <c r="WVE72" s="317"/>
      <c r="WVF72" s="317"/>
      <c r="WVG72" s="317"/>
      <c r="WVH72" s="317"/>
      <c r="WVI72" s="317"/>
      <c r="WVJ72" s="317"/>
      <c r="WVK72" s="317"/>
      <c r="WVL72" s="317"/>
      <c r="WVM72" s="317"/>
      <c r="WVN72" s="317"/>
      <c r="WVO72" s="317"/>
      <c r="WVP72" s="317"/>
      <c r="WVQ72" s="317"/>
      <c r="WVR72" s="317"/>
      <c r="WVS72" s="317"/>
      <c r="WVT72" s="317"/>
      <c r="WVU72" s="317"/>
      <c r="WVV72" s="317"/>
      <c r="WVW72" s="317"/>
      <c r="WVX72" s="317"/>
      <c r="WVY72" s="317"/>
      <c r="WVZ72" s="317"/>
      <c r="WWA72" s="317"/>
      <c r="WWB72" s="317"/>
      <c r="WWC72" s="317"/>
      <c r="WWD72" s="317"/>
      <c r="WWE72" s="317"/>
      <c r="WWF72" s="317"/>
      <c r="WWG72" s="317"/>
      <c r="WWH72" s="317"/>
      <c r="WWI72" s="317"/>
      <c r="WWJ72" s="317"/>
      <c r="WWK72" s="317"/>
      <c r="WWL72" s="317"/>
      <c r="WWM72" s="317"/>
      <c r="WWN72" s="317"/>
      <c r="WWO72" s="317"/>
      <c r="WWP72" s="317"/>
      <c r="WWQ72" s="317"/>
      <c r="WWR72" s="317"/>
      <c r="WWS72" s="317"/>
      <c r="WWT72" s="317"/>
      <c r="WWU72" s="317"/>
      <c r="WWV72" s="317"/>
      <c r="WWW72" s="317"/>
      <c r="WWX72" s="317"/>
      <c r="WWY72" s="317"/>
      <c r="WWZ72" s="317"/>
      <c r="WXA72" s="317"/>
      <c r="WXB72" s="317"/>
      <c r="WXC72" s="317"/>
      <c r="WXD72" s="317"/>
      <c r="WXE72" s="317"/>
      <c r="WXF72" s="317"/>
      <c r="WXG72" s="317"/>
      <c r="WXH72" s="317"/>
      <c r="WXI72" s="317"/>
      <c r="WXJ72" s="317"/>
      <c r="WXK72" s="317"/>
      <c r="WXL72" s="317"/>
      <c r="WXM72" s="317"/>
      <c r="WXN72" s="317"/>
      <c r="WXO72" s="317"/>
      <c r="WXP72" s="317"/>
      <c r="WXQ72" s="317"/>
      <c r="WXR72" s="317"/>
      <c r="WXS72" s="317"/>
      <c r="WXT72" s="317"/>
      <c r="WXU72" s="317"/>
      <c r="WXV72" s="317"/>
      <c r="WXW72" s="317"/>
      <c r="WXX72" s="317"/>
      <c r="WXY72" s="317"/>
      <c r="WXZ72" s="317"/>
      <c r="WYA72" s="317"/>
      <c r="WYB72" s="317"/>
      <c r="WYC72" s="317"/>
      <c r="WYD72" s="317"/>
      <c r="WYE72" s="317"/>
      <c r="WYF72" s="317"/>
      <c r="WYG72" s="317"/>
      <c r="WYH72" s="317"/>
      <c r="WYI72" s="317"/>
      <c r="WYJ72" s="317"/>
      <c r="WYK72" s="317"/>
      <c r="WYL72" s="317"/>
      <c r="WYM72" s="317"/>
      <c r="WYN72" s="317"/>
      <c r="WYO72" s="317"/>
      <c r="WYP72" s="317"/>
      <c r="WYQ72" s="317"/>
      <c r="WYR72" s="317"/>
      <c r="WYS72" s="317"/>
      <c r="WYT72" s="317"/>
      <c r="WYU72" s="317"/>
      <c r="WYV72" s="317"/>
      <c r="WYW72" s="317"/>
      <c r="WYX72" s="317"/>
      <c r="WYY72" s="317"/>
      <c r="WYZ72" s="317"/>
      <c r="WZA72" s="317"/>
      <c r="WZB72" s="317"/>
      <c r="WZC72" s="317"/>
      <c r="WZD72" s="317"/>
      <c r="WZE72" s="317"/>
      <c r="WZF72" s="317"/>
      <c r="WZG72" s="317"/>
      <c r="WZH72" s="317"/>
      <c r="WZI72" s="317"/>
      <c r="WZJ72" s="317"/>
      <c r="WZK72" s="317"/>
      <c r="WZL72" s="317"/>
      <c r="WZM72" s="317"/>
      <c r="WZN72" s="317"/>
      <c r="WZO72" s="317"/>
      <c r="WZP72" s="317"/>
      <c r="WZQ72" s="317"/>
      <c r="WZR72" s="317"/>
      <c r="WZS72" s="317"/>
      <c r="WZT72" s="317"/>
      <c r="WZU72" s="317"/>
      <c r="WZV72" s="317"/>
      <c r="WZW72" s="317"/>
      <c r="WZX72" s="317"/>
      <c r="WZY72" s="317"/>
      <c r="WZZ72" s="317"/>
      <c r="XAA72" s="317"/>
      <c r="XAB72" s="317"/>
      <c r="XAC72" s="317"/>
      <c r="XAD72" s="317"/>
      <c r="XAE72" s="317"/>
      <c r="XAF72" s="317"/>
      <c r="XAG72" s="317"/>
      <c r="XAH72" s="317"/>
      <c r="XAI72" s="317"/>
      <c r="XAJ72" s="317"/>
      <c r="XAK72" s="317"/>
      <c r="XAL72" s="317"/>
      <c r="XAM72" s="317"/>
      <c r="XAN72" s="317"/>
      <c r="XAO72" s="317"/>
      <c r="XAP72" s="317"/>
      <c r="XAQ72" s="317"/>
      <c r="XAR72" s="317"/>
      <c r="XAS72" s="317"/>
      <c r="XAT72" s="317"/>
      <c r="XAU72" s="317"/>
      <c r="XAV72" s="317"/>
      <c r="XAW72" s="317"/>
      <c r="XAX72" s="317"/>
      <c r="XAY72" s="317"/>
      <c r="XAZ72" s="317"/>
      <c r="XBA72" s="317"/>
      <c r="XBB72" s="317"/>
      <c r="XBC72" s="317"/>
      <c r="XBD72" s="317"/>
      <c r="XBE72" s="317"/>
      <c r="XBF72" s="317"/>
      <c r="XBG72" s="317"/>
      <c r="XBH72" s="317"/>
      <c r="XBI72" s="317"/>
      <c r="XBJ72" s="317"/>
      <c r="XBK72" s="317"/>
      <c r="XBL72" s="317"/>
      <c r="XBM72" s="317"/>
      <c r="XBN72" s="317"/>
      <c r="XBO72" s="317"/>
      <c r="XBP72" s="317"/>
      <c r="XBQ72" s="317"/>
      <c r="XBR72" s="317"/>
      <c r="XBS72" s="317"/>
      <c r="XBT72" s="317"/>
      <c r="XBU72" s="317"/>
      <c r="XBV72" s="317"/>
      <c r="XBW72" s="317"/>
      <c r="XBX72" s="317"/>
      <c r="XBY72" s="317"/>
      <c r="XBZ72" s="317"/>
      <c r="XCA72" s="317"/>
      <c r="XCB72" s="317"/>
      <c r="XCC72" s="317"/>
      <c r="XCD72" s="317"/>
      <c r="XCE72" s="317"/>
      <c r="XCF72" s="317"/>
      <c r="XCG72" s="317"/>
      <c r="XCH72" s="317"/>
      <c r="XCI72" s="317"/>
      <c r="XCJ72" s="317"/>
      <c r="XCK72" s="317"/>
      <c r="XCL72" s="317"/>
      <c r="XCM72" s="317"/>
      <c r="XCN72" s="317"/>
      <c r="XCO72" s="317"/>
      <c r="XCP72" s="317"/>
      <c r="XCQ72" s="317"/>
      <c r="XCR72" s="317"/>
      <c r="XCS72" s="317"/>
      <c r="XCT72" s="317"/>
      <c r="XCU72" s="317"/>
      <c r="XCV72" s="317"/>
      <c r="XCW72" s="317"/>
      <c r="XCX72" s="317"/>
      <c r="XCY72" s="317"/>
      <c r="XCZ72" s="317"/>
      <c r="XDA72" s="317"/>
      <c r="XDB72" s="317"/>
      <c r="XDC72" s="317"/>
      <c r="XDD72" s="317"/>
      <c r="XDE72" s="317"/>
      <c r="XDF72" s="317"/>
      <c r="XDG72" s="317"/>
      <c r="XDH72" s="317"/>
      <c r="XDI72" s="317"/>
      <c r="XDJ72" s="317"/>
      <c r="XDK72" s="317"/>
      <c r="XDL72" s="317"/>
      <c r="XDM72" s="317"/>
      <c r="XDN72" s="317"/>
      <c r="XDO72" s="317"/>
      <c r="XDP72" s="317"/>
      <c r="XDQ72" s="317"/>
      <c r="XDR72" s="317"/>
      <c r="XDS72" s="317"/>
      <c r="XDT72" s="317"/>
      <c r="XDU72" s="317"/>
      <c r="XDV72" s="317"/>
      <c r="XDW72" s="317"/>
      <c r="XDX72" s="317"/>
      <c r="XDY72" s="317"/>
      <c r="XDZ72" s="317"/>
      <c r="XEA72" s="317"/>
      <c r="XEB72" s="317"/>
      <c r="XEC72" s="317"/>
      <c r="XED72" s="317"/>
      <c r="XEE72" s="317"/>
      <c r="XEF72" s="317"/>
      <c r="XEG72" s="317"/>
      <c r="XEH72" s="317"/>
      <c r="XEI72" s="317"/>
      <c r="XEJ72" s="317"/>
      <c r="XEK72" s="317"/>
      <c r="XEL72" s="317"/>
      <c r="XEM72" s="317"/>
      <c r="XEN72" s="317"/>
      <c r="XEO72" s="317"/>
      <c r="XEP72" s="317"/>
      <c r="XEQ72" s="317"/>
      <c r="XER72" s="317"/>
      <c r="XES72" s="317"/>
      <c r="XET72" s="317"/>
      <c r="XEU72" s="317"/>
      <c r="XEV72" s="317"/>
      <c r="XEW72" s="317"/>
      <c r="XEX72" s="317"/>
      <c r="XEY72" s="317"/>
      <c r="XEZ72" s="317"/>
      <c r="XFA72" s="317"/>
      <c r="XFB72" s="317"/>
      <c r="XFC72" s="317"/>
      <c r="XFD72" s="317"/>
    </row>
    <row r="73" s="314" customFormat="1" ht="25" customHeight="1" spans="1:74 14505:16384">
      <c r="A73" s="340"/>
      <c r="B73" s="340" t="s">
        <v>94</v>
      </c>
      <c r="I73" s="315"/>
      <c r="O73" s="316"/>
      <c r="P73" s="316"/>
      <c r="V73" s="316"/>
      <c r="W73" s="316"/>
      <c r="X73" s="316"/>
      <c r="Y73" s="316"/>
      <c r="Z73" s="316"/>
      <c r="AA73" s="316"/>
      <c r="AB73" s="316"/>
      <c r="AC73" s="316"/>
      <c r="AD73" s="316"/>
      <c r="AK73" s="316"/>
      <c r="AQ73" s="316"/>
      <c r="AR73" s="316"/>
      <c r="AU73" s="356"/>
      <c r="AV73" s="356"/>
      <c r="AW73" s="356"/>
      <c r="AX73" s="356"/>
      <c r="AY73" s="316"/>
      <c r="BE73" s="316"/>
      <c r="BF73" s="316"/>
      <c r="BM73" s="316"/>
      <c r="BS73" s="316"/>
      <c r="BT73" s="316"/>
      <c r="UKW73" s="317"/>
      <c r="UKX73" s="317"/>
      <c r="UKY73" s="317"/>
      <c r="UKZ73" s="317"/>
      <c r="ULA73" s="317"/>
      <c r="ULB73" s="317"/>
      <c r="ULC73" s="317"/>
      <c r="ULD73" s="317"/>
      <c r="ULE73" s="317"/>
      <c r="ULF73" s="317"/>
      <c r="ULG73" s="317"/>
      <c r="ULH73" s="317"/>
      <c r="ULI73" s="317"/>
      <c r="ULJ73" s="317"/>
      <c r="ULK73" s="317"/>
      <c r="ULL73" s="317"/>
      <c r="ULM73" s="317"/>
      <c r="ULN73" s="317"/>
      <c r="ULO73" s="317"/>
      <c r="ULP73" s="317"/>
      <c r="ULQ73" s="317"/>
      <c r="ULR73" s="317"/>
      <c r="ULS73" s="317"/>
      <c r="ULT73" s="317"/>
      <c r="ULU73" s="317"/>
      <c r="ULV73" s="317"/>
      <c r="ULW73" s="317"/>
      <c r="ULX73" s="317"/>
      <c r="ULY73" s="317"/>
      <c r="ULZ73" s="317"/>
      <c r="UMA73" s="317"/>
      <c r="UMB73" s="317"/>
      <c r="UMC73" s="317"/>
      <c r="UMD73" s="317"/>
      <c r="UME73" s="317"/>
      <c r="UMF73" s="317"/>
      <c r="UMG73" s="317"/>
      <c r="UMH73" s="317"/>
      <c r="UMI73" s="317"/>
      <c r="UMJ73" s="317"/>
      <c r="UMK73" s="317"/>
      <c r="UML73" s="317"/>
      <c r="UMM73" s="317"/>
      <c r="UMN73" s="317"/>
      <c r="UMO73" s="317"/>
      <c r="UMP73" s="317"/>
      <c r="UMQ73" s="317"/>
      <c r="UMR73" s="317"/>
      <c r="UMS73" s="317"/>
      <c r="UMT73" s="317"/>
      <c r="UMU73" s="317"/>
      <c r="UMV73" s="317"/>
      <c r="UMW73" s="317"/>
      <c r="UMX73" s="317"/>
      <c r="UMY73" s="317"/>
      <c r="UMZ73" s="317"/>
      <c r="UNA73" s="317"/>
      <c r="UNB73" s="317"/>
      <c r="UNC73" s="317"/>
      <c r="UND73" s="317"/>
      <c r="UNE73" s="317"/>
      <c r="UNF73" s="317"/>
      <c r="UNG73" s="317"/>
      <c r="UNH73" s="317"/>
      <c r="UNI73" s="317"/>
      <c r="UNJ73" s="317"/>
      <c r="UNK73" s="317"/>
      <c r="UNL73" s="317"/>
      <c r="UNM73" s="317"/>
      <c r="UNN73" s="317"/>
      <c r="UNO73" s="317"/>
      <c r="UNP73" s="317"/>
      <c r="UNQ73" s="317"/>
      <c r="UNR73" s="317"/>
      <c r="UNS73" s="317"/>
      <c r="UNT73" s="317"/>
      <c r="UNU73" s="317"/>
      <c r="UNV73" s="317"/>
      <c r="UNW73" s="317"/>
      <c r="UNX73" s="317"/>
      <c r="UNY73" s="317"/>
      <c r="UNZ73" s="317"/>
      <c r="UOA73" s="317"/>
      <c r="UOB73" s="317"/>
      <c r="UOC73" s="317"/>
      <c r="UOD73" s="317"/>
      <c r="UOE73" s="317"/>
      <c r="UOF73" s="317"/>
      <c r="UOG73" s="317"/>
      <c r="UOH73" s="317"/>
      <c r="UOI73" s="317"/>
      <c r="UOJ73" s="317"/>
      <c r="UOK73" s="317"/>
      <c r="UOL73" s="317"/>
      <c r="UOM73" s="317"/>
      <c r="UON73" s="317"/>
      <c r="UOO73" s="317"/>
      <c r="UOP73" s="317"/>
      <c r="UOQ73" s="317"/>
      <c r="UOR73" s="317"/>
      <c r="UOS73" s="317"/>
      <c r="UOT73" s="317"/>
      <c r="UOU73" s="317"/>
      <c r="UOV73" s="317"/>
      <c r="UOW73" s="317"/>
      <c r="UOX73" s="317"/>
      <c r="UOY73" s="317"/>
      <c r="UOZ73" s="317"/>
      <c r="UPA73" s="317"/>
      <c r="UPB73" s="317"/>
      <c r="UPC73" s="317"/>
      <c r="UPD73" s="317"/>
      <c r="UPE73" s="317"/>
      <c r="UPF73" s="317"/>
      <c r="UPG73" s="317"/>
      <c r="UPH73" s="317"/>
      <c r="UPI73" s="317"/>
      <c r="UPJ73" s="317"/>
      <c r="UPK73" s="317"/>
      <c r="UPL73" s="317"/>
      <c r="UPM73" s="317"/>
      <c r="UPN73" s="317"/>
      <c r="UPO73" s="317"/>
      <c r="UPP73" s="317"/>
      <c r="UPQ73" s="317"/>
      <c r="UPR73" s="317"/>
      <c r="UPS73" s="317"/>
      <c r="UPT73" s="317"/>
      <c r="UPU73" s="317"/>
      <c r="UPV73" s="317"/>
      <c r="UPW73" s="317"/>
      <c r="UPX73" s="317"/>
      <c r="UPY73" s="317"/>
      <c r="UPZ73" s="317"/>
      <c r="UQA73" s="317"/>
      <c r="UQB73" s="317"/>
      <c r="UQC73" s="317"/>
      <c r="UQD73" s="317"/>
      <c r="UQE73" s="317"/>
      <c r="UQF73" s="317"/>
      <c r="UQG73" s="317"/>
      <c r="UQH73" s="317"/>
      <c r="UQI73" s="317"/>
      <c r="UQJ73" s="317"/>
      <c r="UQK73" s="317"/>
      <c r="UQL73" s="317"/>
      <c r="UQM73" s="317"/>
      <c r="UQN73" s="317"/>
      <c r="UQO73" s="317"/>
      <c r="UQP73" s="317"/>
      <c r="UQQ73" s="317"/>
      <c r="UQR73" s="317"/>
      <c r="UQS73" s="317"/>
      <c r="UQT73" s="317"/>
      <c r="UQU73" s="317"/>
      <c r="UQV73" s="317"/>
      <c r="UQW73" s="317"/>
      <c r="UQX73" s="317"/>
      <c r="UQY73" s="317"/>
      <c r="UQZ73" s="317"/>
      <c r="URA73" s="317"/>
      <c r="URB73" s="317"/>
      <c r="URC73" s="317"/>
      <c r="URD73" s="317"/>
      <c r="URE73" s="317"/>
      <c r="URF73" s="317"/>
      <c r="URG73" s="317"/>
      <c r="URH73" s="317"/>
      <c r="URI73" s="317"/>
      <c r="URJ73" s="317"/>
      <c r="URK73" s="317"/>
      <c r="URL73" s="317"/>
      <c r="URM73" s="317"/>
      <c r="URN73" s="317"/>
      <c r="URO73" s="317"/>
      <c r="URP73" s="317"/>
      <c r="URQ73" s="317"/>
      <c r="URR73" s="317"/>
      <c r="URS73" s="317"/>
      <c r="URT73" s="317"/>
      <c r="URU73" s="317"/>
      <c r="URV73" s="317"/>
      <c r="URW73" s="317"/>
      <c r="URX73" s="317"/>
      <c r="URY73" s="317"/>
      <c r="URZ73" s="317"/>
      <c r="USA73" s="317"/>
      <c r="USB73" s="317"/>
      <c r="USC73" s="317"/>
      <c r="USD73" s="317"/>
      <c r="USE73" s="317"/>
      <c r="USF73" s="317"/>
      <c r="USG73" s="317"/>
      <c r="USH73" s="317"/>
      <c r="USI73" s="317"/>
      <c r="USJ73" s="317"/>
      <c r="USK73" s="317"/>
      <c r="USL73" s="317"/>
      <c r="USM73" s="317"/>
      <c r="USN73" s="317"/>
      <c r="USO73" s="317"/>
      <c r="USP73" s="317"/>
      <c r="USQ73" s="317"/>
      <c r="USR73" s="317"/>
      <c r="USS73" s="317"/>
      <c r="UST73" s="317"/>
      <c r="USU73" s="317"/>
      <c r="USV73" s="317"/>
      <c r="USW73" s="317"/>
      <c r="USX73" s="317"/>
      <c r="USY73" s="317"/>
      <c r="USZ73" s="317"/>
      <c r="UTA73" s="317"/>
      <c r="UTB73" s="317"/>
      <c r="UTC73" s="317"/>
      <c r="UTD73" s="317"/>
      <c r="UTE73" s="317"/>
      <c r="UTF73" s="317"/>
      <c r="UTG73" s="317"/>
      <c r="UTH73" s="317"/>
      <c r="UTI73" s="317"/>
      <c r="UTJ73" s="317"/>
      <c r="UTK73" s="317"/>
      <c r="UTL73" s="317"/>
      <c r="UTM73" s="317"/>
      <c r="UTN73" s="317"/>
      <c r="UTO73" s="317"/>
      <c r="UTP73" s="317"/>
      <c r="UTQ73" s="317"/>
      <c r="UTR73" s="317"/>
      <c r="UTS73" s="317"/>
      <c r="UTT73" s="317"/>
      <c r="UTU73" s="317"/>
      <c r="UTV73" s="317"/>
      <c r="UTW73" s="317"/>
      <c r="UTX73" s="317"/>
      <c r="UTY73" s="317"/>
      <c r="UTZ73" s="317"/>
      <c r="UUA73" s="317"/>
      <c r="UUB73" s="317"/>
      <c r="UUC73" s="317"/>
      <c r="UUD73" s="317"/>
      <c r="UUE73" s="317"/>
      <c r="UUF73" s="317"/>
      <c r="UUG73" s="317"/>
      <c r="UUH73" s="317"/>
      <c r="UUI73" s="317"/>
      <c r="UUJ73" s="317"/>
      <c r="UUK73" s="317"/>
      <c r="UUL73" s="317"/>
      <c r="UUM73" s="317"/>
      <c r="UUN73" s="317"/>
      <c r="UUO73" s="317"/>
      <c r="UUP73" s="317"/>
      <c r="UUQ73" s="317"/>
      <c r="UUR73" s="317"/>
      <c r="UUS73" s="317"/>
      <c r="UUT73" s="317"/>
      <c r="UUU73" s="317"/>
      <c r="UUV73" s="317"/>
      <c r="UUW73" s="317"/>
      <c r="UUX73" s="317"/>
      <c r="UUY73" s="317"/>
      <c r="UUZ73" s="317"/>
      <c r="UVA73" s="317"/>
      <c r="UVB73" s="317"/>
      <c r="UVC73" s="317"/>
      <c r="UVD73" s="317"/>
      <c r="UVE73" s="317"/>
      <c r="UVF73" s="317"/>
      <c r="UVG73" s="317"/>
      <c r="UVH73" s="317"/>
      <c r="UVI73" s="317"/>
      <c r="UVJ73" s="317"/>
      <c r="UVK73" s="317"/>
      <c r="UVL73" s="317"/>
      <c r="UVM73" s="317"/>
      <c r="UVN73" s="317"/>
      <c r="UVO73" s="317"/>
      <c r="UVP73" s="317"/>
      <c r="UVQ73" s="317"/>
      <c r="UVR73" s="317"/>
      <c r="UVS73" s="317"/>
      <c r="UVT73" s="317"/>
      <c r="UVU73" s="317"/>
      <c r="UVV73" s="317"/>
      <c r="UVW73" s="317"/>
      <c r="UVX73" s="317"/>
      <c r="UVY73" s="317"/>
      <c r="UVZ73" s="317"/>
      <c r="UWA73" s="317"/>
      <c r="UWB73" s="317"/>
      <c r="UWC73" s="317"/>
      <c r="UWD73" s="317"/>
      <c r="UWE73" s="317"/>
      <c r="UWF73" s="317"/>
      <c r="UWG73" s="317"/>
      <c r="UWH73" s="317"/>
      <c r="UWI73" s="317"/>
      <c r="UWJ73" s="317"/>
      <c r="UWK73" s="317"/>
      <c r="UWL73" s="317"/>
      <c r="UWM73" s="317"/>
      <c r="UWN73" s="317"/>
      <c r="UWO73" s="317"/>
      <c r="UWP73" s="317"/>
      <c r="UWQ73" s="317"/>
      <c r="UWR73" s="317"/>
      <c r="UWS73" s="317"/>
      <c r="UWT73" s="317"/>
      <c r="UWU73" s="317"/>
      <c r="UWV73" s="317"/>
      <c r="UWW73" s="317"/>
      <c r="UWX73" s="317"/>
      <c r="UWY73" s="317"/>
      <c r="UWZ73" s="317"/>
      <c r="UXA73" s="317"/>
      <c r="UXB73" s="317"/>
      <c r="UXC73" s="317"/>
      <c r="UXD73" s="317"/>
      <c r="UXE73" s="317"/>
      <c r="UXF73" s="317"/>
      <c r="UXG73" s="317"/>
      <c r="UXH73" s="317"/>
      <c r="UXI73" s="317"/>
      <c r="UXJ73" s="317"/>
      <c r="UXK73" s="317"/>
      <c r="UXL73" s="317"/>
      <c r="UXM73" s="317"/>
      <c r="UXN73" s="317"/>
      <c r="UXO73" s="317"/>
      <c r="UXP73" s="317"/>
      <c r="UXQ73" s="317"/>
      <c r="UXR73" s="317"/>
      <c r="UXS73" s="317"/>
      <c r="UXT73" s="317"/>
      <c r="UXU73" s="317"/>
      <c r="UXV73" s="317"/>
      <c r="UXW73" s="317"/>
      <c r="UXX73" s="317"/>
      <c r="UXY73" s="317"/>
      <c r="UXZ73" s="317"/>
      <c r="UYA73" s="317"/>
      <c r="UYB73" s="317"/>
      <c r="UYC73" s="317"/>
      <c r="UYD73" s="317"/>
      <c r="UYE73" s="317"/>
      <c r="UYF73" s="317"/>
      <c r="UYG73" s="317"/>
      <c r="UYH73" s="317"/>
      <c r="UYI73" s="317"/>
      <c r="UYJ73" s="317"/>
      <c r="UYK73" s="317"/>
      <c r="UYL73" s="317"/>
      <c r="UYM73" s="317"/>
      <c r="UYN73" s="317"/>
      <c r="UYO73" s="317"/>
      <c r="UYP73" s="317"/>
      <c r="UYQ73" s="317"/>
      <c r="UYR73" s="317"/>
      <c r="UYS73" s="317"/>
      <c r="UYT73" s="317"/>
      <c r="UYU73" s="317"/>
      <c r="UYV73" s="317"/>
      <c r="UYW73" s="317"/>
      <c r="UYX73" s="317"/>
      <c r="UYY73" s="317"/>
      <c r="UYZ73" s="317"/>
      <c r="UZA73" s="317"/>
      <c r="UZB73" s="317"/>
      <c r="UZC73" s="317"/>
      <c r="UZD73" s="317"/>
      <c r="UZE73" s="317"/>
      <c r="UZF73" s="317"/>
      <c r="UZG73" s="317"/>
      <c r="UZH73" s="317"/>
      <c r="UZI73" s="317"/>
      <c r="UZJ73" s="317"/>
      <c r="UZK73" s="317"/>
      <c r="UZL73" s="317"/>
      <c r="UZM73" s="317"/>
      <c r="UZN73" s="317"/>
      <c r="UZO73" s="317"/>
      <c r="UZP73" s="317"/>
      <c r="UZQ73" s="317"/>
      <c r="UZR73" s="317"/>
      <c r="UZS73" s="317"/>
      <c r="UZT73" s="317"/>
      <c r="UZU73" s="317"/>
      <c r="UZV73" s="317"/>
      <c r="UZW73" s="317"/>
      <c r="UZX73" s="317"/>
      <c r="UZY73" s="317"/>
      <c r="UZZ73" s="317"/>
      <c r="VAA73" s="317"/>
      <c r="VAB73" s="317"/>
      <c r="VAC73" s="317"/>
      <c r="VAD73" s="317"/>
      <c r="VAE73" s="317"/>
      <c r="VAF73" s="317"/>
      <c r="VAG73" s="317"/>
      <c r="VAH73" s="317"/>
      <c r="VAI73" s="317"/>
      <c r="VAJ73" s="317"/>
      <c r="VAK73" s="317"/>
      <c r="VAL73" s="317"/>
      <c r="VAM73" s="317"/>
      <c r="VAN73" s="317"/>
      <c r="VAO73" s="317"/>
      <c r="VAP73" s="317"/>
      <c r="VAQ73" s="317"/>
      <c r="VAR73" s="317"/>
      <c r="VAS73" s="317"/>
      <c r="VAT73" s="317"/>
      <c r="VAU73" s="317"/>
      <c r="VAV73" s="317"/>
      <c r="VAW73" s="317"/>
      <c r="VAX73" s="317"/>
      <c r="VAY73" s="317"/>
      <c r="VAZ73" s="317"/>
      <c r="VBA73" s="317"/>
      <c r="VBB73" s="317"/>
      <c r="VBC73" s="317"/>
      <c r="VBD73" s="317"/>
      <c r="VBE73" s="317"/>
      <c r="VBF73" s="317"/>
      <c r="VBG73" s="317"/>
      <c r="VBH73" s="317"/>
      <c r="VBI73" s="317"/>
      <c r="VBJ73" s="317"/>
      <c r="VBK73" s="317"/>
      <c r="VBL73" s="317"/>
      <c r="VBM73" s="317"/>
      <c r="VBN73" s="317"/>
      <c r="VBO73" s="317"/>
      <c r="VBP73" s="317"/>
      <c r="VBQ73" s="317"/>
      <c r="VBR73" s="317"/>
      <c r="VBS73" s="317"/>
      <c r="VBT73" s="317"/>
      <c r="VBU73" s="317"/>
      <c r="VBV73" s="317"/>
      <c r="VBW73" s="317"/>
      <c r="VBX73" s="317"/>
      <c r="VBY73" s="317"/>
      <c r="VBZ73" s="317"/>
      <c r="VCA73" s="317"/>
      <c r="VCB73" s="317"/>
      <c r="VCC73" s="317"/>
      <c r="VCD73" s="317"/>
      <c r="VCE73" s="317"/>
      <c r="VCF73" s="317"/>
      <c r="VCG73" s="317"/>
      <c r="VCH73" s="317"/>
      <c r="VCI73" s="317"/>
      <c r="VCJ73" s="317"/>
      <c r="VCK73" s="317"/>
      <c r="VCL73" s="317"/>
      <c r="VCM73" s="317"/>
      <c r="VCN73" s="317"/>
      <c r="VCO73" s="317"/>
      <c r="VCP73" s="317"/>
      <c r="VCQ73" s="317"/>
      <c r="VCR73" s="317"/>
      <c r="VCS73" s="317"/>
      <c r="VCT73" s="317"/>
      <c r="VCU73" s="317"/>
      <c r="VCV73" s="317"/>
      <c r="VCW73" s="317"/>
      <c r="VCX73" s="317"/>
      <c r="VCY73" s="317"/>
      <c r="VCZ73" s="317"/>
      <c r="VDA73" s="317"/>
      <c r="VDB73" s="317"/>
      <c r="VDC73" s="317"/>
      <c r="VDD73" s="317"/>
      <c r="VDE73" s="317"/>
      <c r="VDF73" s="317"/>
      <c r="VDG73" s="317"/>
      <c r="VDH73" s="317"/>
      <c r="VDI73" s="317"/>
      <c r="VDJ73" s="317"/>
      <c r="VDK73" s="317"/>
      <c r="VDL73" s="317"/>
      <c r="VDM73" s="317"/>
      <c r="VDN73" s="317"/>
      <c r="VDO73" s="317"/>
      <c r="VDP73" s="317"/>
      <c r="VDQ73" s="317"/>
      <c r="VDR73" s="317"/>
      <c r="VDS73" s="317"/>
      <c r="VDT73" s="317"/>
      <c r="VDU73" s="317"/>
      <c r="VDV73" s="317"/>
      <c r="VDW73" s="317"/>
      <c r="VDX73" s="317"/>
      <c r="VDY73" s="317"/>
      <c r="VDZ73" s="317"/>
      <c r="VEA73" s="317"/>
      <c r="VEB73" s="317"/>
      <c r="VEC73" s="317"/>
      <c r="VED73" s="317"/>
      <c r="VEE73" s="317"/>
      <c r="VEF73" s="317"/>
      <c r="VEG73" s="317"/>
      <c r="VEH73" s="317"/>
      <c r="VEI73" s="317"/>
      <c r="VEJ73" s="317"/>
      <c r="VEK73" s="317"/>
      <c r="VEL73" s="317"/>
      <c r="VEM73" s="317"/>
      <c r="VEN73" s="317"/>
      <c r="VEO73" s="317"/>
      <c r="VEP73" s="317"/>
      <c r="VEQ73" s="317"/>
      <c r="VER73" s="317"/>
      <c r="VES73" s="317"/>
      <c r="VET73" s="317"/>
      <c r="VEU73" s="317"/>
      <c r="VEV73" s="317"/>
      <c r="VEW73" s="317"/>
      <c r="VEX73" s="317"/>
      <c r="VEY73" s="317"/>
      <c r="VEZ73" s="317"/>
      <c r="VFA73" s="317"/>
      <c r="VFB73" s="317"/>
      <c r="VFC73" s="317"/>
      <c r="VFD73" s="317"/>
      <c r="VFE73" s="317"/>
      <c r="VFF73" s="317"/>
      <c r="VFG73" s="317"/>
      <c r="VFH73" s="317"/>
      <c r="VFI73" s="317"/>
      <c r="VFJ73" s="317"/>
      <c r="VFK73" s="317"/>
      <c r="VFL73" s="317"/>
      <c r="VFM73" s="317"/>
      <c r="VFN73" s="317"/>
      <c r="VFO73" s="317"/>
      <c r="VFP73" s="317"/>
      <c r="VFQ73" s="317"/>
      <c r="VFR73" s="317"/>
      <c r="VFS73" s="317"/>
      <c r="VFT73" s="317"/>
      <c r="VFU73" s="317"/>
      <c r="VFV73" s="317"/>
      <c r="VFW73" s="317"/>
      <c r="VFX73" s="317"/>
      <c r="VFY73" s="317"/>
      <c r="VFZ73" s="317"/>
      <c r="VGA73" s="317"/>
      <c r="VGB73" s="317"/>
      <c r="VGC73" s="317"/>
      <c r="VGD73" s="317"/>
      <c r="VGE73" s="317"/>
      <c r="VGF73" s="317"/>
      <c r="VGG73" s="317"/>
      <c r="VGH73" s="317"/>
      <c r="VGI73" s="317"/>
      <c r="VGJ73" s="317"/>
      <c r="VGK73" s="317"/>
      <c r="VGL73" s="317"/>
      <c r="VGM73" s="317"/>
      <c r="VGN73" s="317"/>
      <c r="VGO73" s="317"/>
      <c r="VGP73" s="317"/>
      <c r="VGQ73" s="317"/>
      <c r="VGR73" s="317"/>
      <c r="VGS73" s="317"/>
      <c r="VGT73" s="317"/>
      <c r="VGU73" s="317"/>
      <c r="VGV73" s="317"/>
      <c r="VGW73" s="317"/>
      <c r="VGX73" s="317"/>
      <c r="VGY73" s="317"/>
      <c r="VGZ73" s="317"/>
      <c r="VHA73" s="317"/>
      <c r="VHB73" s="317"/>
      <c r="VHC73" s="317"/>
      <c r="VHD73" s="317"/>
      <c r="VHE73" s="317"/>
      <c r="VHF73" s="317"/>
      <c r="VHG73" s="317"/>
      <c r="VHH73" s="317"/>
      <c r="VHI73" s="317"/>
      <c r="VHJ73" s="317"/>
      <c r="VHK73" s="317"/>
      <c r="VHL73" s="317"/>
      <c r="VHM73" s="317"/>
      <c r="VHN73" s="317"/>
      <c r="VHO73" s="317"/>
      <c r="VHP73" s="317"/>
      <c r="VHQ73" s="317"/>
      <c r="VHR73" s="317"/>
      <c r="VHS73" s="317"/>
      <c r="VHT73" s="317"/>
      <c r="VHU73" s="317"/>
      <c r="VHV73" s="317"/>
      <c r="VHW73" s="317"/>
      <c r="VHX73" s="317"/>
      <c r="VHY73" s="317"/>
      <c r="VHZ73" s="317"/>
      <c r="VIA73" s="317"/>
      <c r="VIB73" s="317"/>
      <c r="VIC73" s="317"/>
      <c r="VID73" s="317"/>
      <c r="VIE73" s="317"/>
      <c r="VIF73" s="317"/>
      <c r="VIG73" s="317"/>
      <c r="VIH73" s="317"/>
      <c r="VII73" s="317"/>
      <c r="VIJ73" s="317"/>
      <c r="VIK73" s="317"/>
      <c r="VIL73" s="317"/>
      <c r="VIM73" s="317"/>
      <c r="VIN73" s="317"/>
      <c r="VIO73" s="317"/>
      <c r="VIP73" s="317"/>
      <c r="VIQ73" s="317"/>
      <c r="VIR73" s="317"/>
      <c r="VIS73" s="317"/>
      <c r="VIT73" s="317"/>
      <c r="VIU73" s="317"/>
      <c r="VIV73" s="317"/>
      <c r="VIW73" s="317"/>
      <c r="VIX73" s="317"/>
      <c r="VIY73" s="317"/>
      <c r="VIZ73" s="317"/>
      <c r="VJA73" s="317"/>
      <c r="VJB73" s="317"/>
      <c r="VJC73" s="317"/>
      <c r="VJD73" s="317"/>
      <c r="VJE73" s="317"/>
      <c r="VJF73" s="317"/>
      <c r="VJG73" s="317"/>
      <c r="VJH73" s="317"/>
      <c r="VJI73" s="317"/>
      <c r="VJJ73" s="317"/>
      <c r="VJK73" s="317"/>
      <c r="VJL73" s="317"/>
      <c r="VJM73" s="317"/>
      <c r="VJN73" s="317"/>
      <c r="VJO73" s="317"/>
      <c r="VJP73" s="317"/>
      <c r="VJQ73" s="317"/>
      <c r="VJR73" s="317"/>
      <c r="VJS73" s="317"/>
      <c r="VJT73" s="317"/>
      <c r="VJU73" s="317"/>
      <c r="VJV73" s="317"/>
      <c r="VJW73" s="317"/>
      <c r="VJX73" s="317"/>
      <c r="VJY73" s="317"/>
      <c r="VJZ73" s="317"/>
      <c r="VKA73" s="317"/>
      <c r="VKB73" s="317"/>
      <c r="VKC73" s="317"/>
      <c r="VKD73" s="317"/>
      <c r="VKE73" s="317"/>
      <c r="VKF73" s="317"/>
      <c r="VKG73" s="317"/>
      <c r="VKH73" s="317"/>
      <c r="VKI73" s="317"/>
      <c r="VKJ73" s="317"/>
      <c r="VKK73" s="317"/>
      <c r="VKL73" s="317"/>
      <c r="VKM73" s="317"/>
      <c r="VKN73" s="317"/>
      <c r="VKO73" s="317"/>
      <c r="VKP73" s="317"/>
      <c r="VKQ73" s="317"/>
      <c r="VKR73" s="317"/>
      <c r="VKS73" s="317"/>
      <c r="VKT73" s="317"/>
      <c r="VKU73" s="317"/>
      <c r="VKV73" s="317"/>
      <c r="VKW73" s="317"/>
      <c r="VKX73" s="317"/>
      <c r="VKY73" s="317"/>
      <c r="VKZ73" s="317"/>
      <c r="VLA73" s="317"/>
      <c r="VLB73" s="317"/>
      <c r="VLC73" s="317"/>
      <c r="VLD73" s="317"/>
      <c r="VLE73" s="317"/>
      <c r="VLF73" s="317"/>
      <c r="VLG73" s="317"/>
      <c r="VLH73" s="317"/>
      <c r="VLI73" s="317"/>
      <c r="VLJ73" s="317"/>
      <c r="VLK73" s="317"/>
      <c r="VLL73" s="317"/>
      <c r="VLM73" s="317"/>
      <c r="VLN73" s="317"/>
      <c r="VLO73" s="317"/>
      <c r="VLP73" s="317"/>
      <c r="VLQ73" s="317"/>
      <c r="VLR73" s="317"/>
      <c r="VLS73" s="317"/>
      <c r="VLT73" s="317"/>
      <c r="VLU73" s="317"/>
      <c r="VLV73" s="317"/>
      <c r="VLW73" s="317"/>
      <c r="VLX73" s="317"/>
      <c r="VLY73" s="317"/>
      <c r="VLZ73" s="317"/>
      <c r="VMA73" s="317"/>
      <c r="VMB73" s="317"/>
      <c r="VMC73" s="317"/>
      <c r="VMD73" s="317"/>
      <c r="VME73" s="317"/>
      <c r="VMF73" s="317"/>
      <c r="VMG73" s="317"/>
      <c r="VMH73" s="317"/>
      <c r="VMI73" s="317"/>
      <c r="VMJ73" s="317"/>
      <c r="VMK73" s="317"/>
      <c r="VML73" s="317"/>
      <c r="VMM73" s="317"/>
      <c r="VMN73" s="317"/>
      <c r="VMO73" s="317"/>
      <c r="VMP73" s="317"/>
      <c r="VMQ73" s="317"/>
      <c r="VMR73" s="317"/>
      <c r="VMS73" s="317"/>
      <c r="VMT73" s="317"/>
      <c r="VMU73" s="317"/>
      <c r="VMV73" s="317"/>
      <c r="VMW73" s="317"/>
      <c r="VMX73" s="317"/>
      <c r="VMY73" s="317"/>
      <c r="VMZ73" s="317"/>
      <c r="VNA73" s="317"/>
      <c r="VNB73" s="317"/>
      <c r="VNC73" s="317"/>
      <c r="VND73" s="317"/>
      <c r="VNE73" s="317"/>
      <c r="VNF73" s="317"/>
      <c r="VNG73" s="317"/>
      <c r="VNH73" s="317"/>
      <c r="VNI73" s="317"/>
      <c r="VNJ73" s="317"/>
      <c r="VNK73" s="317"/>
      <c r="VNL73" s="317"/>
      <c r="VNM73" s="317"/>
      <c r="VNN73" s="317"/>
      <c r="VNO73" s="317"/>
      <c r="VNP73" s="317"/>
      <c r="VNQ73" s="317"/>
      <c r="VNR73" s="317"/>
      <c r="VNS73" s="317"/>
      <c r="VNT73" s="317"/>
      <c r="VNU73" s="317"/>
      <c r="VNV73" s="317"/>
      <c r="VNW73" s="317"/>
      <c r="VNX73" s="317"/>
      <c r="VNY73" s="317"/>
      <c r="VNZ73" s="317"/>
      <c r="VOA73" s="317"/>
      <c r="VOB73" s="317"/>
      <c r="VOC73" s="317"/>
      <c r="VOD73" s="317"/>
      <c r="VOE73" s="317"/>
      <c r="VOF73" s="317"/>
      <c r="VOG73" s="317"/>
      <c r="VOH73" s="317"/>
      <c r="VOI73" s="317"/>
      <c r="VOJ73" s="317"/>
      <c r="VOK73" s="317"/>
      <c r="VOL73" s="317"/>
      <c r="VOM73" s="317"/>
      <c r="VON73" s="317"/>
      <c r="VOO73" s="317"/>
      <c r="VOP73" s="317"/>
      <c r="VOQ73" s="317"/>
      <c r="VOR73" s="317"/>
      <c r="VOS73" s="317"/>
      <c r="VOT73" s="317"/>
      <c r="VOU73" s="317"/>
      <c r="VOV73" s="317"/>
      <c r="VOW73" s="317"/>
      <c r="VOX73" s="317"/>
      <c r="VOY73" s="317"/>
      <c r="VOZ73" s="317"/>
      <c r="VPA73" s="317"/>
      <c r="VPB73" s="317"/>
      <c r="VPC73" s="317"/>
      <c r="VPD73" s="317"/>
      <c r="VPE73" s="317"/>
      <c r="VPF73" s="317"/>
      <c r="VPG73" s="317"/>
      <c r="VPH73" s="317"/>
      <c r="VPI73" s="317"/>
      <c r="VPJ73" s="317"/>
      <c r="VPK73" s="317"/>
      <c r="VPL73" s="317"/>
      <c r="VPM73" s="317"/>
      <c r="VPN73" s="317"/>
      <c r="VPO73" s="317"/>
      <c r="VPP73" s="317"/>
      <c r="VPQ73" s="317"/>
      <c r="VPR73" s="317"/>
      <c r="VPS73" s="317"/>
      <c r="VPT73" s="317"/>
      <c r="VPU73" s="317"/>
      <c r="VPV73" s="317"/>
      <c r="VPW73" s="317"/>
      <c r="VPX73" s="317"/>
      <c r="VPY73" s="317"/>
      <c r="VPZ73" s="317"/>
      <c r="VQA73" s="317"/>
      <c r="VQB73" s="317"/>
      <c r="VQC73" s="317"/>
      <c r="VQD73" s="317"/>
      <c r="VQE73" s="317"/>
      <c r="VQF73" s="317"/>
      <c r="VQG73" s="317"/>
      <c r="VQH73" s="317"/>
      <c r="VQI73" s="317"/>
      <c r="VQJ73" s="317"/>
      <c r="VQK73" s="317"/>
      <c r="VQL73" s="317"/>
      <c r="VQM73" s="317"/>
      <c r="VQN73" s="317"/>
      <c r="VQO73" s="317"/>
      <c r="VQP73" s="317"/>
      <c r="VQQ73" s="317"/>
      <c r="VQR73" s="317"/>
      <c r="VQS73" s="317"/>
      <c r="VQT73" s="317"/>
      <c r="VQU73" s="317"/>
      <c r="VQV73" s="317"/>
      <c r="VQW73" s="317"/>
      <c r="VQX73" s="317"/>
      <c r="VQY73" s="317"/>
      <c r="VQZ73" s="317"/>
      <c r="VRA73" s="317"/>
      <c r="VRB73" s="317"/>
      <c r="VRC73" s="317"/>
      <c r="VRD73" s="317"/>
      <c r="VRE73" s="317"/>
      <c r="VRF73" s="317"/>
      <c r="VRG73" s="317"/>
      <c r="VRH73" s="317"/>
      <c r="VRI73" s="317"/>
      <c r="VRJ73" s="317"/>
      <c r="VRK73" s="317"/>
      <c r="VRL73" s="317"/>
      <c r="VRM73" s="317"/>
      <c r="VRN73" s="317"/>
      <c r="VRO73" s="317"/>
      <c r="VRP73" s="317"/>
      <c r="VRQ73" s="317"/>
      <c r="VRR73" s="317"/>
      <c r="VRS73" s="317"/>
      <c r="VRT73" s="317"/>
      <c r="VRU73" s="317"/>
      <c r="VRV73" s="317"/>
      <c r="VRW73" s="317"/>
      <c r="VRX73" s="317"/>
      <c r="VRY73" s="317"/>
      <c r="VRZ73" s="317"/>
      <c r="VSA73" s="317"/>
      <c r="VSB73" s="317"/>
      <c r="VSC73" s="317"/>
      <c r="VSD73" s="317"/>
      <c r="VSE73" s="317"/>
      <c r="VSF73" s="317"/>
      <c r="VSG73" s="317"/>
      <c r="VSH73" s="317"/>
      <c r="VSI73" s="317"/>
      <c r="VSJ73" s="317"/>
      <c r="VSK73" s="317"/>
      <c r="VSL73" s="317"/>
      <c r="VSM73" s="317"/>
      <c r="VSN73" s="317"/>
      <c r="VSO73" s="317"/>
      <c r="VSP73" s="317"/>
      <c r="VSQ73" s="317"/>
      <c r="VSR73" s="317"/>
      <c r="VSS73" s="317"/>
      <c r="VST73" s="317"/>
      <c r="VSU73" s="317"/>
      <c r="VSV73" s="317"/>
      <c r="VSW73" s="317"/>
      <c r="VSX73" s="317"/>
      <c r="VSY73" s="317"/>
      <c r="VSZ73" s="317"/>
      <c r="VTA73" s="317"/>
      <c r="VTB73" s="317"/>
      <c r="VTC73" s="317"/>
      <c r="VTD73" s="317"/>
      <c r="VTE73" s="317"/>
      <c r="VTF73" s="317"/>
      <c r="VTG73" s="317"/>
      <c r="VTH73" s="317"/>
      <c r="VTI73" s="317"/>
      <c r="VTJ73" s="317"/>
      <c r="VTK73" s="317"/>
      <c r="VTL73" s="317"/>
      <c r="VTM73" s="317"/>
      <c r="VTN73" s="317"/>
      <c r="VTO73" s="317"/>
      <c r="VTP73" s="317"/>
      <c r="VTQ73" s="317"/>
      <c r="VTR73" s="317"/>
      <c r="VTS73" s="317"/>
      <c r="VTT73" s="317"/>
      <c r="VTU73" s="317"/>
      <c r="VTV73" s="317"/>
      <c r="VTW73" s="317"/>
      <c r="VTX73" s="317"/>
      <c r="VTY73" s="317"/>
      <c r="VTZ73" s="317"/>
      <c r="VUA73" s="317"/>
      <c r="VUB73" s="317"/>
      <c r="VUC73" s="317"/>
      <c r="VUD73" s="317"/>
      <c r="VUE73" s="317"/>
      <c r="VUF73" s="317"/>
      <c r="VUG73" s="317"/>
      <c r="VUH73" s="317"/>
      <c r="VUI73" s="317"/>
      <c r="VUJ73" s="317"/>
      <c r="VUK73" s="317"/>
      <c r="VUL73" s="317"/>
      <c r="VUM73" s="317"/>
      <c r="VUN73" s="317"/>
      <c r="VUO73" s="317"/>
      <c r="VUP73" s="317"/>
      <c r="VUQ73" s="317"/>
      <c r="VUR73" s="317"/>
      <c r="VUS73" s="317"/>
      <c r="VUT73" s="317"/>
      <c r="VUU73" s="317"/>
      <c r="VUV73" s="317"/>
      <c r="VUW73" s="317"/>
      <c r="VUX73" s="317"/>
      <c r="VUY73" s="317"/>
      <c r="VUZ73" s="317"/>
      <c r="VVA73" s="317"/>
      <c r="VVB73" s="317"/>
      <c r="VVC73" s="317"/>
      <c r="VVD73" s="317"/>
      <c r="VVE73" s="317"/>
      <c r="VVF73" s="317"/>
      <c r="VVG73" s="317"/>
      <c r="VVH73" s="317"/>
      <c r="VVI73" s="317"/>
      <c r="VVJ73" s="317"/>
      <c r="VVK73" s="317"/>
      <c r="VVL73" s="317"/>
      <c r="VVM73" s="317"/>
      <c r="VVN73" s="317"/>
      <c r="VVO73" s="317"/>
      <c r="VVP73" s="317"/>
      <c r="VVQ73" s="317"/>
      <c r="VVR73" s="317"/>
      <c r="VVS73" s="317"/>
      <c r="VVT73" s="317"/>
      <c r="VVU73" s="317"/>
      <c r="VVV73" s="317"/>
      <c r="VVW73" s="317"/>
      <c r="VVX73" s="317"/>
      <c r="VVY73" s="317"/>
      <c r="VVZ73" s="317"/>
      <c r="VWA73" s="317"/>
      <c r="VWB73" s="317"/>
      <c r="VWC73" s="317"/>
      <c r="VWD73" s="317"/>
      <c r="VWE73" s="317"/>
      <c r="VWF73" s="317"/>
      <c r="VWG73" s="317"/>
      <c r="VWH73" s="317"/>
      <c r="VWI73" s="317"/>
      <c r="VWJ73" s="317"/>
      <c r="VWK73" s="317"/>
      <c r="VWL73" s="317"/>
      <c r="VWM73" s="317"/>
      <c r="VWN73" s="317"/>
      <c r="VWO73" s="317"/>
      <c r="VWP73" s="317"/>
      <c r="VWQ73" s="317"/>
      <c r="VWR73" s="317"/>
      <c r="VWS73" s="317"/>
      <c r="VWT73" s="317"/>
      <c r="VWU73" s="317"/>
      <c r="VWV73" s="317"/>
      <c r="VWW73" s="317"/>
      <c r="VWX73" s="317"/>
      <c r="VWY73" s="317"/>
      <c r="VWZ73" s="317"/>
      <c r="VXA73" s="317"/>
      <c r="VXB73" s="317"/>
      <c r="VXC73" s="317"/>
      <c r="VXD73" s="317"/>
      <c r="VXE73" s="317"/>
      <c r="VXF73" s="317"/>
      <c r="VXG73" s="317"/>
      <c r="VXH73" s="317"/>
      <c r="VXI73" s="317"/>
      <c r="VXJ73" s="317"/>
      <c r="VXK73" s="317"/>
      <c r="VXL73" s="317"/>
      <c r="VXM73" s="317"/>
      <c r="VXN73" s="317"/>
      <c r="VXO73" s="317"/>
      <c r="VXP73" s="317"/>
      <c r="VXQ73" s="317"/>
      <c r="VXR73" s="317"/>
      <c r="VXS73" s="317"/>
      <c r="VXT73" s="317"/>
      <c r="VXU73" s="317"/>
      <c r="VXV73" s="317"/>
      <c r="VXW73" s="317"/>
      <c r="VXX73" s="317"/>
      <c r="VXY73" s="317"/>
      <c r="VXZ73" s="317"/>
      <c r="VYA73" s="317"/>
      <c r="VYB73" s="317"/>
      <c r="VYC73" s="317"/>
      <c r="VYD73" s="317"/>
      <c r="VYE73" s="317"/>
      <c r="VYF73" s="317"/>
      <c r="VYG73" s="317"/>
      <c r="VYH73" s="317"/>
      <c r="VYI73" s="317"/>
      <c r="VYJ73" s="317"/>
      <c r="VYK73" s="317"/>
      <c r="VYL73" s="317"/>
      <c r="VYM73" s="317"/>
      <c r="VYN73" s="317"/>
      <c r="VYO73" s="317"/>
      <c r="VYP73" s="317"/>
      <c r="VYQ73" s="317"/>
      <c r="VYR73" s="317"/>
      <c r="VYS73" s="317"/>
      <c r="VYT73" s="317"/>
      <c r="VYU73" s="317"/>
      <c r="VYV73" s="317"/>
      <c r="VYW73" s="317"/>
      <c r="VYX73" s="317"/>
      <c r="VYY73" s="317"/>
      <c r="VYZ73" s="317"/>
      <c r="VZA73" s="317"/>
      <c r="VZB73" s="317"/>
      <c r="VZC73" s="317"/>
      <c r="VZD73" s="317"/>
      <c r="VZE73" s="317"/>
      <c r="VZF73" s="317"/>
      <c r="VZG73" s="317"/>
      <c r="VZH73" s="317"/>
      <c r="VZI73" s="317"/>
      <c r="VZJ73" s="317"/>
      <c r="VZK73" s="317"/>
      <c r="VZL73" s="317"/>
      <c r="VZM73" s="317"/>
      <c r="VZN73" s="317"/>
      <c r="VZO73" s="317"/>
      <c r="VZP73" s="317"/>
      <c r="VZQ73" s="317"/>
      <c r="VZR73" s="317"/>
      <c r="VZS73" s="317"/>
      <c r="VZT73" s="317"/>
      <c r="VZU73" s="317"/>
      <c r="VZV73" s="317"/>
      <c r="VZW73" s="317"/>
      <c r="VZX73" s="317"/>
      <c r="VZY73" s="317"/>
      <c r="VZZ73" s="317"/>
      <c r="WAA73" s="317"/>
      <c r="WAB73" s="317"/>
      <c r="WAC73" s="317"/>
      <c r="WAD73" s="317"/>
      <c r="WAE73" s="317"/>
      <c r="WAF73" s="317"/>
      <c r="WAG73" s="317"/>
      <c r="WAH73" s="317"/>
      <c r="WAI73" s="317"/>
      <c r="WAJ73" s="317"/>
      <c r="WAK73" s="317"/>
      <c r="WAL73" s="317"/>
      <c r="WAM73" s="317"/>
      <c r="WAN73" s="317"/>
      <c r="WAO73" s="317"/>
      <c r="WAP73" s="317"/>
      <c r="WAQ73" s="317"/>
      <c r="WAR73" s="317"/>
      <c r="WAS73" s="317"/>
      <c r="WAT73" s="317"/>
      <c r="WAU73" s="317"/>
      <c r="WAV73" s="317"/>
      <c r="WAW73" s="317"/>
      <c r="WAX73" s="317"/>
      <c r="WAY73" s="317"/>
      <c r="WAZ73" s="317"/>
      <c r="WBA73" s="317"/>
      <c r="WBB73" s="317"/>
      <c r="WBC73" s="317"/>
      <c r="WBD73" s="317"/>
      <c r="WBE73" s="317"/>
      <c r="WBF73" s="317"/>
      <c r="WBG73" s="317"/>
      <c r="WBH73" s="317"/>
      <c r="WBI73" s="317"/>
      <c r="WBJ73" s="317"/>
      <c r="WBK73" s="317"/>
      <c r="WBL73" s="317"/>
      <c r="WBM73" s="317"/>
      <c r="WBN73" s="317"/>
      <c r="WBO73" s="317"/>
      <c r="WBP73" s="317"/>
      <c r="WBQ73" s="317"/>
      <c r="WBR73" s="317"/>
      <c r="WBS73" s="317"/>
      <c r="WBT73" s="317"/>
      <c r="WBU73" s="317"/>
      <c r="WBV73" s="317"/>
      <c r="WBW73" s="317"/>
      <c r="WBX73" s="317"/>
      <c r="WBY73" s="317"/>
      <c r="WBZ73" s="317"/>
      <c r="WCA73" s="317"/>
      <c r="WCB73" s="317"/>
      <c r="WCC73" s="317"/>
      <c r="WCD73" s="317"/>
      <c r="WCE73" s="317"/>
      <c r="WCF73" s="317"/>
      <c r="WCG73" s="317"/>
      <c r="WCH73" s="317"/>
      <c r="WCI73" s="317"/>
      <c r="WCJ73" s="317"/>
      <c r="WCK73" s="317"/>
      <c r="WCL73" s="317"/>
      <c r="WCM73" s="317"/>
      <c r="WCN73" s="317"/>
      <c r="WCO73" s="317"/>
      <c r="WCP73" s="317"/>
      <c r="WCQ73" s="317"/>
      <c r="WCR73" s="317"/>
      <c r="WCS73" s="317"/>
      <c r="WCT73" s="317"/>
      <c r="WCU73" s="317"/>
      <c r="WCV73" s="317"/>
      <c r="WCW73" s="317"/>
      <c r="WCX73" s="317"/>
      <c r="WCY73" s="317"/>
      <c r="WCZ73" s="317"/>
      <c r="WDA73" s="317"/>
      <c r="WDB73" s="317"/>
      <c r="WDC73" s="317"/>
      <c r="WDD73" s="317"/>
      <c r="WDE73" s="317"/>
      <c r="WDF73" s="317"/>
      <c r="WDG73" s="317"/>
      <c r="WDH73" s="317"/>
      <c r="WDI73" s="317"/>
      <c r="WDJ73" s="317"/>
      <c r="WDK73" s="317"/>
      <c r="WDL73" s="317"/>
      <c r="WDM73" s="317"/>
      <c r="WDN73" s="317"/>
      <c r="WDO73" s="317"/>
      <c r="WDP73" s="317"/>
      <c r="WDQ73" s="317"/>
      <c r="WDR73" s="317"/>
      <c r="WDS73" s="317"/>
      <c r="WDT73" s="317"/>
      <c r="WDU73" s="317"/>
      <c r="WDV73" s="317"/>
      <c r="WDW73" s="317"/>
      <c r="WDX73" s="317"/>
      <c r="WDY73" s="317"/>
      <c r="WDZ73" s="317"/>
      <c r="WEA73" s="317"/>
      <c r="WEB73" s="317"/>
      <c r="WEC73" s="317"/>
      <c r="WED73" s="317"/>
      <c r="WEE73" s="317"/>
      <c r="WEF73" s="317"/>
      <c r="WEG73" s="317"/>
      <c r="WEH73" s="317"/>
      <c r="WEI73" s="317"/>
      <c r="WEJ73" s="317"/>
      <c r="WEK73" s="317"/>
      <c r="WEL73" s="317"/>
      <c r="WEM73" s="317"/>
      <c r="WEN73" s="317"/>
      <c r="WEO73" s="317"/>
      <c r="WEP73" s="317"/>
      <c r="WEQ73" s="317"/>
      <c r="WER73" s="317"/>
      <c r="WES73" s="317"/>
      <c r="WET73" s="317"/>
      <c r="WEU73" s="317"/>
      <c r="WEV73" s="317"/>
      <c r="WEW73" s="317"/>
      <c r="WEX73" s="317"/>
      <c r="WEY73" s="317"/>
      <c r="WEZ73" s="317"/>
      <c r="WFA73" s="317"/>
      <c r="WFB73" s="317"/>
      <c r="WFC73" s="317"/>
      <c r="WFD73" s="317"/>
      <c r="WFE73" s="317"/>
      <c r="WFF73" s="317"/>
      <c r="WFG73" s="317"/>
      <c r="WFH73" s="317"/>
      <c r="WFI73" s="317"/>
      <c r="WFJ73" s="317"/>
      <c r="WFK73" s="317"/>
      <c r="WFL73" s="317"/>
      <c r="WFM73" s="317"/>
      <c r="WFN73" s="317"/>
      <c r="WFO73" s="317"/>
      <c r="WFP73" s="317"/>
      <c r="WFQ73" s="317"/>
      <c r="WFR73" s="317"/>
      <c r="WFS73" s="317"/>
      <c r="WFT73" s="317"/>
      <c r="WFU73" s="317"/>
      <c r="WFV73" s="317"/>
      <c r="WFW73" s="317"/>
      <c r="WFX73" s="317"/>
      <c r="WFY73" s="317"/>
      <c r="WFZ73" s="317"/>
      <c r="WGA73" s="317"/>
      <c r="WGB73" s="317"/>
      <c r="WGC73" s="317"/>
      <c r="WGD73" s="317"/>
      <c r="WGE73" s="317"/>
      <c r="WGF73" s="317"/>
      <c r="WGG73" s="317"/>
      <c r="WGH73" s="317"/>
      <c r="WGI73" s="317"/>
      <c r="WGJ73" s="317"/>
      <c r="WGK73" s="317"/>
      <c r="WGL73" s="317"/>
      <c r="WGM73" s="317"/>
      <c r="WGN73" s="317"/>
      <c r="WGO73" s="317"/>
      <c r="WGP73" s="317"/>
      <c r="WGQ73" s="317"/>
      <c r="WGR73" s="317"/>
      <c r="WGS73" s="317"/>
      <c r="WGT73" s="317"/>
      <c r="WGU73" s="317"/>
      <c r="WGV73" s="317"/>
      <c r="WGW73" s="317"/>
      <c r="WGX73" s="317"/>
      <c r="WGY73" s="317"/>
      <c r="WGZ73" s="317"/>
      <c r="WHA73" s="317"/>
      <c r="WHB73" s="317"/>
      <c r="WHC73" s="317"/>
      <c r="WHD73" s="317"/>
      <c r="WHE73" s="317"/>
      <c r="WHF73" s="317"/>
      <c r="WHG73" s="317"/>
      <c r="WHH73" s="317"/>
      <c r="WHI73" s="317"/>
      <c r="WHJ73" s="317"/>
      <c r="WHK73" s="317"/>
      <c r="WHL73" s="317"/>
      <c r="WHM73" s="317"/>
      <c r="WHN73" s="317"/>
      <c r="WHO73" s="317"/>
      <c r="WHP73" s="317"/>
      <c r="WHQ73" s="317"/>
      <c r="WHR73" s="317"/>
      <c r="WHS73" s="317"/>
      <c r="WHT73" s="317"/>
      <c r="WHU73" s="317"/>
      <c r="WHV73" s="317"/>
      <c r="WHW73" s="317"/>
      <c r="WHX73" s="317"/>
      <c r="WHY73" s="317"/>
      <c r="WHZ73" s="317"/>
      <c r="WIA73" s="317"/>
      <c r="WIB73" s="317"/>
      <c r="WIC73" s="317"/>
      <c r="WID73" s="317"/>
      <c r="WIE73" s="317"/>
      <c r="WIF73" s="317"/>
      <c r="WIG73" s="317"/>
      <c r="WIH73" s="317"/>
      <c r="WII73" s="317"/>
      <c r="WIJ73" s="317"/>
      <c r="WIK73" s="317"/>
      <c r="WIL73" s="317"/>
      <c r="WIM73" s="317"/>
      <c r="WIN73" s="317"/>
      <c r="WIO73" s="317"/>
      <c r="WIP73" s="317"/>
      <c r="WIQ73" s="317"/>
      <c r="WIR73" s="317"/>
      <c r="WIS73" s="317"/>
      <c r="WIT73" s="317"/>
      <c r="WIU73" s="317"/>
      <c r="WIV73" s="317"/>
      <c r="WIW73" s="317"/>
      <c r="WIX73" s="317"/>
      <c r="WIY73" s="317"/>
      <c r="WIZ73" s="317"/>
      <c r="WJA73" s="317"/>
      <c r="WJB73" s="317"/>
      <c r="WJC73" s="317"/>
      <c r="WJD73" s="317"/>
      <c r="WJE73" s="317"/>
      <c r="WJF73" s="317"/>
      <c r="WJG73" s="317"/>
      <c r="WJH73" s="317"/>
      <c r="WJI73" s="317"/>
      <c r="WJJ73" s="317"/>
      <c r="WJK73" s="317"/>
      <c r="WJL73" s="317"/>
      <c r="WJM73" s="317"/>
      <c r="WJN73" s="317"/>
      <c r="WJO73" s="317"/>
      <c r="WJP73" s="317"/>
      <c r="WJQ73" s="317"/>
      <c r="WJR73" s="317"/>
      <c r="WJS73" s="317"/>
      <c r="WJT73" s="317"/>
      <c r="WJU73" s="317"/>
      <c r="WJV73" s="317"/>
      <c r="WJW73" s="317"/>
      <c r="WJX73" s="317"/>
      <c r="WJY73" s="317"/>
      <c r="WJZ73" s="317"/>
      <c r="WKA73" s="317"/>
      <c r="WKB73" s="317"/>
      <c r="WKC73" s="317"/>
      <c r="WKD73" s="317"/>
      <c r="WKE73" s="317"/>
      <c r="WKF73" s="317"/>
      <c r="WKG73" s="317"/>
      <c r="WKH73" s="317"/>
      <c r="WKI73" s="317"/>
      <c r="WKJ73" s="317"/>
      <c r="WKK73" s="317"/>
      <c r="WKL73" s="317"/>
      <c r="WKM73" s="317"/>
      <c r="WKN73" s="317"/>
      <c r="WKO73" s="317"/>
      <c r="WKP73" s="317"/>
      <c r="WKQ73" s="317"/>
      <c r="WKR73" s="317"/>
      <c r="WKS73" s="317"/>
      <c r="WKT73" s="317"/>
      <c r="WKU73" s="317"/>
      <c r="WKV73" s="317"/>
      <c r="WKW73" s="317"/>
      <c r="WKX73" s="317"/>
      <c r="WKY73" s="317"/>
      <c r="WKZ73" s="317"/>
      <c r="WLA73" s="317"/>
      <c r="WLB73" s="317"/>
      <c r="WLC73" s="317"/>
      <c r="WLD73" s="317"/>
      <c r="WLE73" s="317"/>
      <c r="WLF73" s="317"/>
      <c r="WLG73" s="317"/>
      <c r="WLH73" s="317"/>
      <c r="WLI73" s="317"/>
      <c r="WLJ73" s="317"/>
      <c r="WLK73" s="317"/>
      <c r="WLL73" s="317"/>
      <c r="WLM73" s="317"/>
      <c r="WLN73" s="317"/>
      <c r="WLO73" s="317"/>
      <c r="WLP73" s="317"/>
      <c r="WLQ73" s="317"/>
      <c r="WLR73" s="317"/>
      <c r="WLS73" s="317"/>
      <c r="WLT73" s="317"/>
      <c r="WLU73" s="317"/>
      <c r="WLV73" s="317"/>
      <c r="WLW73" s="317"/>
      <c r="WLX73" s="317"/>
      <c r="WLY73" s="317"/>
      <c r="WLZ73" s="317"/>
      <c r="WMA73" s="317"/>
      <c r="WMB73" s="317"/>
      <c r="WMC73" s="317"/>
      <c r="WMD73" s="317"/>
      <c r="WME73" s="317"/>
      <c r="WMF73" s="317"/>
      <c r="WMG73" s="317"/>
      <c r="WMH73" s="317"/>
      <c r="WMI73" s="317"/>
      <c r="WMJ73" s="317"/>
      <c r="WMK73" s="317"/>
      <c r="WML73" s="317"/>
      <c r="WMM73" s="317"/>
      <c r="WMN73" s="317"/>
      <c r="WMO73" s="317"/>
      <c r="WMP73" s="317"/>
      <c r="WMQ73" s="317"/>
      <c r="WMR73" s="317"/>
      <c r="WMS73" s="317"/>
      <c r="WMT73" s="317"/>
      <c r="WMU73" s="317"/>
      <c r="WMV73" s="317"/>
      <c r="WMW73" s="317"/>
      <c r="WMX73" s="317"/>
      <c r="WMY73" s="317"/>
      <c r="WMZ73" s="317"/>
      <c r="WNA73" s="317"/>
      <c r="WNB73" s="317"/>
      <c r="WNC73" s="317"/>
      <c r="WND73" s="317"/>
      <c r="WNE73" s="317"/>
      <c r="WNF73" s="317"/>
      <c r="WNG73" s="317"/>
      <c r="WNH73" s="317"/>
      <c r="WNI73" s="317"/>
      <c r="WNJ73" s="317"/>
      <c r="WNK73" s="317"/>
      <c r="WNL73" s="317"/>
      <c r="WNM73" s="317"/>
      <c r="WNN73" s="317"/>
      <c r="WNO73" s="317"/>
      <c r="WNP73" s="317"/>
      <c r="WNQ73" s="317"/>
      <c r="WNR73" s="317"/>
      <c r="WNS73" s="317"/>
      <c r="WNT73" s="317"/>
      <c r="WNU73" s="317"/>
      <c r="WNV73" s="317"/>
      <c r="WNW73" s="317"/>
      <c r="WNX73" s="317"/>
      <c r="WNY73" s="317"/>
      <c r="WNZ73" s="317"/>
      <c r="WOA73" s="317"/>
      <c r="WOB73" s="317"/>
      <c r="WOC73" s="317"/>
      <c r="WOD73" s="317"/>
      <c r="WOE73" s="317"/>
      <c r="WOF73" s="317"/>
      <c r="WOG73" s="317"/>
      <c r="WOH73" s="317"/>
      <c r="WOI73" s="317"/>
      <c r="WOJ73" s="317"/>
      <c r="WOK73" s="317"/>
      <c r="WOL73" s="317"/>
      <c r="WOM73" s="317"/>
      <c r="WON73" s="317"/>
      <c r="WOO73" s="317"/>
      <c r="WOP73" s="317"/>
      <c r="WOQ73" s="317"/>
      <c r="WOR73" s="317"/>
      <c r="WOS73" s="317"/>
      <c r="WOT73" s="317"/>
      <c r="WOU73" s="317"/>
      <c r="WOV73" s="317"/>
      <c r="WOW73" s="317"/>
      <c r="WOX73" s="317"/>
      <c r="WOY73" s="317"/>
      <c r="WOZ73" s="317"/>
      <c r="WPA73" s="317"/>
      <c r="WPB73" s="317"/>
      <c r="WPC73" s="317"/>
      <c r="WPD73" s="317"/>
      <c r="WPE73" s="317"/>
      <c r="WPF73" s="317"/>
      <c r="WPG73" s="317"/>
      <c r="WPH73" s="317"/>
      <c r="WPI73" s="317"/>
      <c r="WPJ73" s="317"/>
      <c r="WPK73" s="317"/>
      <c r="WPL73" s="317"/>
      <c r="WPM73" s="317"/>
      <c r="WPN73" s="317"/>
      <c r="WPO73" s="317"/>
      <c r="WPP73" s="317"/>
      <c r="WPQ73" s="317"/>
      <c r="WPR73" s="317"/>
      <c r="WPS73" s="317"/>
      <c r="WPT73" s="317"/>
      <c r="WPU73" s="317"/>
      <c r="WPV73" s="317"/>
      <c r="WPW73" s="317"/>
      <c r="WPX73" s="317"/>
      <c r="WPY73" s="317"/>
      <c r="WPZ73" s="317"/>
      <c r="WQA73" s="317"/>
      <c r="WQB73" s="317"/>
      <c r="WQC73" s="317"/>
      <c r="WQD73" s="317"/>
      <c r="WQE73" s="317"/>
      <c r="WQF73" s="317"/>
      <c r="WQG73" s="317"/>
      <c r="WQH73" s="317"/>
      <c r="WQI73" s="317"/>
      <c r="WQJ73" s="317"/>
      <c r="WQK73" s="317"/>
      <c r="WQL73" s="317"/>
      <c r="WQM73" s="317"/>
      <c r="WQN73" s="317"/>
      <c r="WQO73" s="317"/>
      <c r="WQP73" s="317"/>
      <c r="WQQ73" s="317"/>
      <c r="WQR73" s="317"/>
      <c r="WQS73" s="317"/>
      <c r="WQT73" s="317"/>
      <c r="WQU73" s="317"/>
      <c r="WQV73" s="317"/>
      <c r="WQW73" s="317"/>
      <c r="WQX73" s="317"/>
      <c r="WQY73" s="317"/>
      <c r="WQZ73" s="317"/>
      <c r="WRA73" s="317"/>
      <c r="WRB73" s="317"/>
      <c r="WRC73" s="317"/>
      <c r="WRD73" s="317"/>
      <c r="WRE73" s="317"/>
      <c r="WRF73" s="317"/>
      <c r="WRG73" s="317"/>
      <c r="WRH73" s="317"/>
      <c r="WRI73" s="317"/>
      <c r="WRJ73" s="317"/>
      <c r="WRK73" s="317"/>
      <c r="WRL73" s="317"/>
      <c r="WRM73" s="317"/>
      <c r="WRN73" s="317"/>
      <c r="WRO73" s="317"/>
      <c r="WRP73" s="317"/>
      <c r="WRQ73" s="317"/>
      <c r="WRR73" s="317"/>
      <c r="WRS73" s="317"/>
      <c r="WRT73" s="317"/>
      <c r="WRU73" s="317"/>
      <c r="WRV73" s="317"/>
      <c r="WRW73" s="317"/>
      <c r="WRX73" s="317"/>
      <c r="WRY73" s="317"/>
      <c r="WRZ73" s="317"/>
      <c r="WSA73" s="317"/>
      <c r="WSB73" s="317"/>
      <c r="WSC73" s="317"/>
      <c r="WSD73" s="317"/>
      <c r="WSE73" s="317"/>
      <c r="WSF73" s="317"/>
      <c r="WSG73" s="317"/>
      <c r="WSH73" s="317"/>
      <c r="WSI73" s="317"/>
      <c r="WSJ73" s="317"/>
      <c r="WSK73" s="317"/>
      <c r="WSL73" s="317"/>
      <c r="WSM73" s="317"/>
      <c r="WSN73" s="317"/>
      <c r="WSO73" s="317"/>
      <c r="WSP73" s="317"/>
      <c r="WSQ73" s="317"/>
      <c r="WSR73" s="317"/>
      <c r="WSS73" s="317"/>
      <c r="WST73" s="317"/>
      <c r="WSU73" s="317"/>
      <c r="WSV73" s="317"/>
      <c r="WSW73" s="317"/>
      <c r="WSX73" s="317"/>
      <c r="WSY73" s="317"/>
      <c r="WSZ73" s="317"/>
      <c r="WTA73" s="317"/>
      <c r="WTB73" s="317"/>
      <c r="WTC73" s="317"/>
      <c r="WTD73" s="317"/>
      <c r="WTE73" s="317"/>
      <c r="WTF73" s="317"/>
      <c r="WTG73" s="317"/>
      <c r="WTH73" s="317"/>
      <c r="WTI73" s="317"/>
      <c r="WTJ73" s="317"/>
      <c r="WTK73" s="317"/>
      <c r="WTL73" s="317"/>
      <c r="WTM73" s="317"/>
      <c r="WTN73" s="317"/>
      <c r="WTO73" s="317"/>
      <c r="WTP73" s="317"/>
      <c r="WTQ73" s="317"/>
      <c r="WTR73" s="317"/>
      <c r="WTS73" s="317"/>
      <c r="WTT73" s="317"/>
      <c r="WTU73" s="317"/>
      <c r="WTV73" s="317"/>
      <c r="WTW73" s="317"/>
      <c r="WTX73" s="317"/>
      <c r="WTY73" s="317"/>
      <c r="WTZ73" s="317"/>
      <c r="WUA73" s="317"/>
      <c r="WUB73" s="317"/>
      <c r="WUC73" s="317"/>
      <c r="WUD73" s="317"/>
      <c r="WUE73" s="317"/>
      <c r="WUF73" s="317"/>
      <c r="WUG73" s="317"/>
      <c r="WUH73" s="317"/>
      <c r="WUI73" s="317"/>
      <c r="WUJ73" s="317"/>
      <c r="WUK73" s="317"/>
      <c r="WUL73" s="317"/>
      <c r="WUM73" s="317"/>
      <c r="WUN73" s="317"/>
      <c r="WUO73" s="317"/>
      <c r="WUP73" s="317"/>
      <c r="WUQ73" s="317"/>
      <c r="WUR73" s="317"/>
      <c r="WUS73" s="317"/>
      <c r="WUT73" s="317"/>
      <c r="WUU73" s="317"/>
      <c r="WUV73" s="317"/>
      <c r="WUW73" s="317"/>
      <c r="WUX73" s="317"/>
      <c r="WUY73" s="317"/>
      <c r="WUZ73" s="317"/>
      <c r="WVA73" s="317"/>
      <c r="WVB73" s="317"/>
      <c r="WVC73" s="317"/>
      <c r="WVD73" s="317"/>
      <c r="WVE73" s="317"/>
      <c r="WVF73" s="317"/>
      <c r="WVG73" s="317"/>
      <c r="WVH73" s="317"/>
      <c r="WVI73" s="317"/>
      <c r="WVJ73" s="317"/>
      <c r="WVK73" s="317"/>
      <c r="WVL73" s="317"/>
      <c r="WVM73" s="317"/>
      <c r="WVN73" s="317"/>
      <c r="WVO73" s="317"/>
      <c r="WVP73" s="317"/>
      <c r="WVQ73" s="317"/>
      <c r="WVR73" s="317"/>
      <c r="WVS73" s="317"/>
      <c r="WVT73" s="317"/>
      <c r="WVU73" s="317"/>
      <c r="WVV73" s="317"/>
      <c r="WVW73" s="317"/>
      <c r="WVX73" s="317"/>
      <c r="WVY73" s="317"/>
      <c r="WVZ73" s="317"/>
      <c r="WWA73" s="317"/>
      <c r="WWB73" s="317"/>
      <c r="WWC73" s="317"/>
      <c r="WWD73" s="317"/>
      <c r="WWE73" s="317"/>
      <c r="WWF73" s="317"/>
      <c r="WWG73" s="317"/>
      <c r="WWH73" s="317"/>
      <c r="WWI73" s="317"/>
      <c r="WWJ73" s="317"/>
      <c r="WWK73" s="317"/>
      <c r="WWL73" s="317"/>
      <c r="WWM73" s="317"/>
      <c r="WWN73" s="317"/>
      <c r="WWO73" s="317"/>
      <c r="WWP73" s="317"/>
      <c r="WWQ73" s="317"/>
      <c r="WWR73" s="317"/>
      <c r="WWS73" s="317"/>
      <c r="WWT73" s="317"/>
      <c r="WWU73" s="317"/>
      <c r="WWV73" s="317"/>
      <c r="WWW73" s="317"/>
      <c r="WWX73" s="317"/>
      <c r="WWY73" s="317"/>
      <c r="WWZ73" s="317"/>
      <c r="WXA73" s="317"/>
      <c r="WXB73" s="317"/>
      <c r="WXC73" s="317"/>
      <c r="WXD73" s="317"/>
      <c r="WXE73" s="317"/>
      <c r="WXF73" s="317"/>
      <c r="WXG73" s="317"/>
      <c r="WXH73" s="317"/>
      <c r="WXI73" s="317"/>
      <c r="WXJ73" s="317"/>
      <c r="WXK73" s="317"/>
      <c r="WXL73" s="317"/>
      <c r="WXM73" s="317"/>
      <c r="WXN73" s="317"/>
      <c r="WXO73" s="317"/>
      <c r="WXP73" s="317"/>
      <c r="WXQ73" s="317"/>
      <c r="WXR73" s="317"/>
      <c r="WXS73" s="317"/>
      <c r="WXT73" s="317"/>
      <c r="WXU73" s="317"/>
      <c r="WXV73" s="317"/>
      <c r="WXW73" s="317"/>
      <c r="WXX73" s="317"/>
      <c r="WXY73" s="317"/>
      <c r="WXZ73" s="317"/>
      <c r="WYA73" s="317"/>
      <c r="WYB73" s="317"/>
      <c r="WYC73" s="317"/>
      <c r="WYD73" s="317"/>
      <c r="WYE73" s="317"/>
      <c r="WYF73" s="317"/>
      <c r="WYG73" s="317"/>
      <c r="WYH73" s="317"/>
      <c r="WYI73" s="317"/>
      <c r="WYJ73" s="317"/>
      <c r="WYK73" s="317"/>
      <c r="WYL73" s="317"/>
      <c r="WYM73" s="317"/>
      <c r="WYN73" s="317"/>
      <c r="WYO73" s="317"/>
      <c r="WYP73" s="317"/>
      <c r="WYQ73" s="317"/>
      <c r="WYR73" s="317"/>
      <c r="WYS73" s="317"/>
      <c r="WYT73" s="317"/>
      <c r="WYU73" s="317"/>
      <c r="WYV73" s="317"/>
      <c r="WYW73" s="317"/>
      <c r="WYX73" s="317"/>
      <c r="WYY73" s="317"/>
      <c r="WYZ73" s="317"/>
      <c r="WZA73" s="317"/>
      <c r="WZB73" s="317"/>
      <c r="WZC73" s="317"/>
      <c r="WZD73" s="317"/>
      <c r="WZE73" s="317"/>
      <c r="WZF73" s="317"/>
      <c r="WZG73" s="317"/>
      <c r="WZH73" s="317"/>
      <c r="WZI73" s="317"/>
      <c r="WZJ73" s="317"/>
      <c r="WZK73" s="317"/>
      <c r="WZL73" s="317"/>
      <c r="WZM73" s="317"/>
      <c r="WZN73" s="317"/>
      <c r="WZO73" s="317"/>
      <c r="WZP73" s="317"/>
      <c r="WZQ73" s="317"/>
      <c r="WZR73" s="317"/>
      <c r="WZS73" s="317"/>
      <c r="WZT73" s="317"/>
      <c r="WZU73" s="317"/>
      <c r="WZV73" s="317"/>
      <c r="WZW73" s="317"/>
      <c r="WZX73" s="317"/>
      <c r="WZY73" s="317"/>
      <c r="WZZ73" s="317"/>
      <c r="XAA73" s="317"/>
      <c r="XAB73" s="317"/>
      <c r="XAC73" s="317"/>
      <c r="XAD73" s="317"/>
      <c r="XAE73" s="317"/>
      <c r="XAF73" s="317"/>
      <c r="XAG73" s="317"/>
      <c r="XAH73" s="317"/>
      <c r="XAI73" s="317"/>
      <c r="XAJ73" s="317"/>
      <c r="XAK73" s="317"/>
      <c r="XAL73" s="317"/>
      <c r="XAM73" s="317"/>
      <c r="XAN73" s="317"/>
      <c r="XAO73" s="317"/>
      <c r="XAP73" s="317"/>
      <c r="XAQ73" s="317"/>
      <c r="XAR73" s="317"/>
      <c r="XAS73" s="317"/>
      <c r="XAT73" s="317"/>
      <c r="XAU73" s="317"/>
      <c r="XAV73" s="317"/>
      <c r="XAW73" s="317"/>
      <c r="XAX73" s="317"/>
      <c r="XAY73" s="317"/>
      <c r="XAZ73" s="317"/>
      <c r="XBA73" s="317"/>
      <c r="XBB73" s="317"/>
      <c r="XBC73" s="317"/>
      <c r="XBD73" s="317"/>
      <c r="XBE73" s="317"/>
      <c r="XBF73" s="317"/>
      <c r="XBG73" s="317"/>
      <c r="XBH73" s="317"/>
      <c r="XBI73" s="317"/>
      <c r="XBJ73" s="317"/>
      <c r="XBK73" s="317"/>
      <c r="XBL73" s="317"/>
      <c r="XBM73" s="317"/>
      <c r="XBN73" s="317"/>
      <c r="XBO73" s="317"/>
      <c r="XBP73" s="317"/>
      <c r="XBQ73" s="317"/>
      <c r="XBR73" s="317"/>
      <c r="XBS73" s="317"/>
      <c r="XBT73" s="317"/>
      <c r="XBU73" s="317"/>
      <c r="XBV73" s="317"/>
      <c r="XBW73" s="317"/>
      <c r="XBX73" s="317"/>
      <c r="XBY73" s="317"/>
      <c r="XBZ73" s="317"/>
      <c r="XCA73" s="317"/>
      <c r="XCB73" s="317"/>
      <c r="XCC73" s="317"/>
      <c r="XCD73" s="317"/>
      <c r="XCE73" s="317"/>
      <c r="XCF73" s="317"/>
      <c r="XCG73" s="317"/>
      <c r="XCH73" s="317"/>
      <c r="XCI73" s="317"/>
      <c r="XCJ73" s="317"/>
      <c r="XCK73" s="317"/>
      <c r="XCL73" s="317"/>
      <c r="XCM73" s="317"/>
      <c r="XCN73" s="317"/>
      <c r="XCO73" s="317"/>
      <c r="XCP73" s="317"/>
      <c r="XCQ73" s="317"/>
      <c r="XCR73" s="317"/>
      <c r="XCS73" s="317"/>
      <c r="XCT73" s="317"/>
      <c r="XCU73" s="317"/>
      <c r="XCV73" s="317"/>
      <c r="XCW73" s="317"/>
      <c r="XCX73" s="317"/>
      <c r="XCY73" s="317"/>
      <c r="XCZ73" s="317"/>
      <c r="XDA73" s="317"/>
      <c r="XDB73" s="317"/>
      <c r="XDC73" s="317"/>
      <c r="XDD73" s="317"/>
      <c r="XDE73" s="317"/>
      <c r="XDF73" s="317"/>
      <c r="XDG73" s="317"/>
      <c r="XDH73" s="317"/>
      <c r="XDI73" s="317"/>
      <c r="XDJ73" s="317"/>
      <c r="XDK73" s="317"/>
      <c r="XDL73" s="317"/>
      <c r="XDM73" s="317"/>
      <c r="XDN73" s="317"/>
      <c r="XDO73" s="317"/>
      <c r="XDP73" s="317"/>
      <c r="XDQ73" s="317"/>
      <c r="XDR73" s="317"/>
      <c r="XDS73" s="317"/>
      <c r="XDT73" s="317"/>
      <c r="XDU73" s="317"/>
      <c r="XDV73" s="317"/>
      <c r="XDW73" s="317"/>
      <c r="XDX73" s="317"/>
      <c r="XDY73" s="317"/>
      <c r="XDZ73" s="317"/>
      <c r="XEA73" s="317"/>
      <c r="XEB73" s="317"/>
      <c r="XEC73" s="317"/>
      <c r="XED73" s="317"/>
      <c r="XEE73" s="317"/>
      <c r="XEF73" s="317"/>
      <c r="XEG73" s="317"/>
      <c r="XEH73" s="317"/>
      <c r="XEI73" s="317"/>
      <c r="XEJ73" s="317"/>
      <c r="XEK73" s="317"/>
      <c r="XEL73" s="317"/>
      <c r="XEM73" s="317"/>
      <c r="XEN73" s="317"/>
      <c r="XEO73" s="317"/>
      <c r="XEP73" s="317"/>
      <c r="XEQ73" s="317"/>
      <c r="XER73" s="317"/>
      <c r="XES73" s="317"/>
      <c r="XET73" s="317"/>
      <c r="XEU73" s="317"/>
      <c r="XEV73" s="317"/>
      <c r="XEW73" s="317"/>
      <c r="XEX73" s="317"/>
      <c r="XEY73" s="317"/>
      <c r="XEZ73" s="317"/>
      <c r="XFA73" s="317"/>
      <c r="XFB73" s="317"/>
      <c r="XFC73" s="317"/>
      <c r="XFD73" s="317"/>
    </row>
    <row r="74" s="314" customFormat="1" ht="25" customHeight="1" spans="1:74 14505:16384">
      <c r="A74" s="340"/>
      <c r="B74" s="340" t="s">
        <v>95</v>
      </c>
      <c r="I74" s="315"/>
      <c r="O74" s="316"/>
      <c r="P74" s="316"/>
      <c r="V74" s="316"/>
      <c r="W74" s="316"/>
      <c r="X74" s="316"/>
      <c r="Y74" s="316"/>
      <c r="Z74" s="316"/>
      <c r="AA74" s="316"/>
      <c r="AB74" s="316"/>
      <c r="AC74" s="316"/>
      <c r="AD74" s="316"/>
      <c r="AK74" s="316"/>
      <c r="AQ74" s="316"/>
      <c r="AR74" s="316"/>
      <c r="AY74" s="316"/>
      <c r="AZ74" s="356"/>
      <c r="BE74" s="316"/>
      <c r="BF74" s="316"/>
      <c r="BM74" s="316"/>
      <c r="BS74" s="316"/>
      <c r="BT74" s="316"/>
      <c r="UKW74" s="317"/>
      <c r="UKX74" s="317"/>
      <c r="UKY74" s="317"/>
      <c r="UKZ74" s="317"/>
      <c r="ULA74" s="317"/>
      <c r="ULB74" s="317"/>
      <c r="ULC74" s="317"/>
      <c r="ULD74" s="317"/>
      <c r="ULE74" s="317"/>
      <c r="ULF74" s="317"/>
      <c r="ULG74" s="317"/>
      <c r="ULH74" s="317"/>
      <c r="ULI74" s="317"/>
      <c r="ULJ74" s="317"/>
      <c r="ULK74" s="317"/>
      <c r="ULL74" s="317"/>
      <c r="ULM74" s="317"/>
      <c r="ULN74" s="317"/>
      <c r="ULO74" s="317"/>
      <c r="ULP74" s="317"/>
      <c r="ULQ74" s="317"/>
      <c r="ULR74" s="317"/>
      <c r="ULS74" s="317"/>
      <c r="ULT74" s="317"/>
      <c r="ULU74" s="317"/>
      <c r="ULV74" s="317"/>
      <c r="ULW74" s="317"/>
      <c r="ULX74" s="317"/>
      <c r="ULY74" s="317"/>
      <c r="ULZ74" s="317"/>
      <c r="UMA74" s="317"/>
      <c r="UMB74" s="317"/>
      <c r="UMC74" s="317"/>
      <c r="UMD74" s="317"/>
      <c r="UME74" s="317"/>
      <c r="UMF74" s="317"/>
      <c r="UMG74" s="317"/>
      <c r="UMH74" s="317"/>
      <c r="UMI74" s="317"/>
      <c r="UMJ74" s="317"/>
      <c r="UMK74" s="317"/>
      <c r="UML74" s="317"/>
      <c r="UMM74" s="317"/>
      <c r="UMN74" s="317"/>
      <c r="UMO74" s="317"/>
      <c r="UMP74" s="317"/>
      <c r="UMQ74" s="317"/>
      <c r="UMR74" s="317"/>
      <c r="UMS74" s="317"/>
      <c r="UMT74" s="317"/>
      <c r="UMU74" s="317"/>
      <c r="UMV74" s="317"/>
      <c r="UMW74" s="317"/>
      <c r="UMX74" s="317"/>
      <c r="UMY74" s="317"/>
      <c r="UMZ74" s="317"/>
      <c r="UNA74" s="317"/>
      <c r="UNB74" s="317"/>
      <c r="UNC74" s="317"/>
      <c r="UND74" s="317"/>
      <c r="UNE74" s="317"/>
      <c r="UNF74" s="317"/>
      <c r="UNG74" s="317"/>
      <c r="UNH74" s="317"/>
      <c r="UNI74" s="317"/>
      <c r="UNJ74" s="317"/>
      <c r="UNK74" s="317"/>
      <c r="UNL74" s="317"/>
      <c r="UNM74" s="317"/>
      <c r="UNN74" s="317"/>
      <c r="UNO74" s="317"/>
      <c r="UNP74" s="317"/>
      <c r="UNQ74" s="317"/>
      <c r="UNR74" s="317"/>
      <c r="UNS74" s="317"/>
      <c r="UNT74" s="317"/>
      <c r="UNU74" s="317"/>
      <c r="UNV74" s="317"/>
      <c r="UNW74" s="317"/>
      <c r="UNX74" s="317"/>
      <c r="UNY74" s="317"/>
      <c r="UNZ74" s="317"/>
      <c r="UOA74" s="317"/>
      <c r="UOB74" s="317"/>
      <c r="UOC74" s="317"/>
      <c r="UOD74" s="317"/>
      <c r="UOE74" s="317"/>
      <c r="UOF74" s="317"/>
      <c r="UOG74" s="317"/>
      <c r="UOH74" s="317"/>
      <c r="UOI74" s="317"/>
      <c r="UOJ74" s="317"/>
      <c r="UOK74" s="317"/>
      <c r="UOL74" s="317"/>
      <c r="UOM74" s="317"/>
      <c r="UON74" s="317"/>
      <c r="UOO74" s="317"/>
      <c r="UOP74" s="317"/>
      <c r="UOQ74" s="317"/>
      <c r="UOR74" s="317"/>
      <c r="UOS74" s="317"/>
      <c r="UOT74" s="317"/>
      <c r="UOU74" s="317"/>
      <c r="UOV74" s="317"/>
      <c r="UOW74" s="317"/>
      <c r="UOX74" s="317"/>
      <c r="UOY74" s="317"/>
      <c r="UOZ74" s="317"/>
      <c r="UPA74" s="317"/>
      <c r="UPB74" s="317"/>
      <c r="UPC74" s="317"/>
      <c r="UPD74" s="317"/>
      <c r="UPE74" s="317"/>
      <c r="UPF74" s="317"/>
      <c r="UPG74" s="317"/>
      <c r="UPH74" s="317"/>
      <c r="UPI74" s="317"/>
      <c r="UPJ74" s="317"/>
      <c r="UPK74" s="317"/>
      <c r="UPL74" s="317"/>
      <c r="UPM74" s="317"/>
      <c r="UPN74" s="317"/>
      <c r="UPO74" s="317"/>
      <c r="UPP74" s="317"/>
      <c r="UPQ74" s="317"/>
      <c r="UPR74" s="317"/>
      <c r="UPS74" s="317"/>
      <c r="UPT74" s="317"/>
      <c r="UPU74" s="317"/>
      <c r="UPV74" s="317"/>
      <c r="UPW74" s="317"/>
      <c r="UPX74" s="317"/>
      <c r="UPY74" s="317"/>
      <c r="UPZ74" s="317"/>
      <c r="UQA74" s="317"/>
      <c r="UQB74" s="317"/>
      <c r="UQC74" s="317"/>
      <c r="UQD74" s="317"/>
      <c r="UQE74" s="317"/>
      <c r="UQF74" s="317"/>
      <c r="UQG74" s="317"/>
      <c r="UQH74" s="317"/>
      <c r="UQI74" s="317"/>
      <c r="UQJ74" s="317"/>
      <c r="UQK74" s="317"/>
      <c r="UQL74" s="317"/>
      <c r="UQM74" s="317"/>
      <c r="UQN74" s="317"/>
      <c r="UQO74" s="317"/>
      <c r="UQP74" s="317"/>
      <c r="UQQ74" s="317"/>
      <c r="UQR74" s="317"/>
      <c r="UQS74" s="317"/>
      <c r="UQT74" s="317"/>
      <c r="UQU74" s="317"/>
      <c r="UQV74" s="317"/>
      <c r="UQW74" s="317"/>
      <c r="UQX74" s="317"/>
      <c r="UQY74" s="317"/>
      <c r="UQZ74" s="317"/>
      <c r="URA74" s="317"/>
      <c r="URB74" s="317"/>
      <c r="URC74" s="317"/>
      <c r="URD74" s="317"/>
      <c r="URE74" s="317"/>
      <c r="URF74" s="317"/>
      <c r="URG74" s="317"/>
      <c r="URH74" s="317"/>
      <c r="URI74" s="317"/>
      <c r="URJ74" s="317"/>
      <c r="URK74" s="317"/>
      <c r="URL74" s="317"/>
      <c r="URM74" s="317"/>
      <c r="URN74" s="317"/>
      <c r="URO74" s="317"/>
      <c r="URP74" s="317"/>
      <c r="URQ74" s="317"/>
      <c r="URR74" s="317"/>
      <c r="URS74" s="317"/>
      <c r="URT74" s="317"/>
      <c r="URU74" s="317"/>
      <c r="URV74" s="317"/>
      <c r="URW74" s="317"/>
      <c r="URX74" s="317"/>
      <c r="URY74" s="317"/>
      <c r="URZ74" s="317"/>
      <c r="USA74" s="317"/>
      <c r="USB74" s="317"/>
      <c r="USC74" s="317"/>
      <c r="USD74" s="317"/>
      <c r="USE74" s="317"/>
      <c r="USF74" s="317"/>
      <c r="USG74" s="317"/>
      <c r="USH74" s="317"/>
      <c r="USI74" s="317"/>
      <c r="USJ74" s="317"/>
      <c r="USK74" s="317"/>
      <c r="USL74" s="317"/>
      <c r="USM74" s="317"/>
      <c r="USN74" s="317"/>
      <c r="USO74" s="317"/>
      <c r="USP74" s="317"/>
      <c r="USQ74" s="317"/>
      <c r="USR74" s="317"/>
      <c r="USS74" s="317"/>
      <c r="UST74" s="317"/>
      <c r="USU74" s="317"/>
      <c r="USV74" s="317"/>
      <c r="USW74" s="317"/>
      <c r="USX74" s="317"/>
      <c r="USY74" s="317"/>
      <c r="USZ74" s="317"/>
      <c r="UTA74" s="317"/>
      <c r="UTB74" s="317"/>
      <c r="UTC74" s="317"/>
      <c r="UTD74" s="317"/>
      <c r="UTE74" s="317"/>
      <c r="UTF74" s="317"/>
      <c r="UTG74" s="317"/>
      <c r="UTH74" s="317"/>
      <c r="UTI74" s="317"/>
      <c r="UTJ74" s="317"/>
      <c r="UTK74" s="317"/>
      <c r="UTL74" s="317"/>
      <c r="UTM74" s="317"/>
      <c r="UTN74" s="317"/>
      <c r="UTO74" s="317"/>
      <c r="UTP74" s="317"/>
      <c r="UTQ74" s="317"/>
      <c r="UTR74" s="317"/>
      <c r="UTS74" s="317"/>
      <c r="UTT74" s="317"/>
      <c r="UTU74" s="317"/>
      <c r="UTV74" s="317"/>
      <c r="UTW74" s="317"/>
      <c r="UTX74" s="317"/>
      <c r="UTY74" s="317"/>
      <c r="UTZ74" s="317"/>
      <c r="UUA74" s="317"/>
      <c r="UUB74" s="317"/>
      <c r="UUC74" s="317"/>
      <c r="UUD74" s="317"/>
      <c r="UUE74" s="317"/>
      <c r="UUF74" s="317"/>
      <c r="UUG74" s="317"/>
      <c r="UUH74" s="317"/>
      <c r="UUI74" s="317"/>
      <c r="UUJ74" s="317"/>
      <c r="UUK74" s="317"/>
      <c r="UUL74" s="317"/>
      <c r="UUM74" s="317"/>
      <c r="UUN74" s="317"/>
      <c r="UUO74" s="317"/>
      <c r="UUP74" s="317"/>
      <c r="UUQ74" s="317"/>
      <c r="UUR74" s="317"/>
      <c r="UUS74" s="317"/>
      <c r="UUT74" s="317"/>
      <c r="UUU74" s="317"/>
      <c r="UUV74" s="317"/>
      <c r="UUW74" s="317"/>
      <c r="UUX74" s="317"/>
      <c r="UUY74" s="317"/>
      <c r="UUZ74" s="317"/>
      <c r="UVA74" s="317"/>
      <c r="UVB74" s="317"/>
      <c r="UVC74" s="317"/>
      <c r="UVD74" s="317"/>
      <c r="UVE74" s="317"/>
      <c r="UVF74" s="317"/>
      <c r="UVG74" s="317"/>
      <c r="UVH74" s="317"/>
      <c r="UVI74" s="317"/>
      <c r="UVJ74" s="317"/>
      <c r="UVK74" s="317"/>
      <c r="UVL74" s="317"/>
      <c r="UVM74" s="317"/>
      <c r="UVN74" s="317"/>
      <c r="UVO74" s="317"/>
      <c r="UVP74" s="317"/>
      <c r="UVQ74" s="317"/>
      <c r="UVR74" s="317"/>
      <c r="UVS74" s="317"/>
      <c r="UVT74" s="317"/>
      <c r="UVU74" s="317"/>
      <c r="UVV74" s="317"/>
      <c r="UVW74" s="317"/>
      <c r="UVX74" s="317"/>
      <c r="UVY74" s="317"/>
      <c r="UVZ74" s="317"/>
      <c r="UWA74" s="317"/>
      <c r="UWB74" s="317"/>
      <c r="UWC74" s="317"/>
      <c r="UWD74" s="317"/>
      <c r="UWE74" s="317"/>
      <c r="UWF74" s="317"/>
      <c r="UWG74" s="317"/>
      <c r="UWH74" s="317"/>
      <c r="UWI74" s="317"/>
      <c r="UWJ74" s="317"/>
      <c r="UWK74" s="317"/>
      <c r="UWL74" s="317"/>
      <c r="UWM74" s="317"/>
      <c r="UWN74" s="317"/>
      <c r="UWO74" s="317"/>
      <c r="UWP74" s="317"/>
      <c r="UWQ74" s="317"/>
      <c r="UWR74" s="317"/>
      <c r="UWS74" s="317"/>
      <c r="UWT74" s="317"/>
      <c r="UWU74" s="317"/>
      <c r="UWV74" s="317"/>
      <c r="UWW74" s="317"/>
      <c r="UWX74" s="317"/>
      <c r="UWY74" s="317"/>
      <c r="UWZ74" s="317"/>
      <c r="UXA74" s="317"/>
      <c r="UXB74" s="317"/>
      <c r="UXC74" s="317"/>
      <c r="UXD74" s="317"/>
      <c r="UXE74" s="317"/>
      <c r="UXF74" s="317"/>
      <c r="UXG74" s="317"/>
      <c r="UXH74" s="317"/>
      <c r="UXI74" s="317"/>
      <c r="UXJ74" s="317"/>
      <c r="UXK74" s="317"/>
      <c r="UXL74" s="317"/>
      <c r="UXM74" s="317"/>
      <c r="UXN74" s="317"/>
      <c r="UXO74" s="317"/>
      <c r="UXP74" s="317"/>
      <c r="UXQ74" s="317"/>
      <c r="UXR74" s="317"/>
      <c r="UXS74" s="317"/>
      <c r="UXT74" s="317"/>
      <c r="UXU74" s="317"/>
      <c r="UXV74" s="317"/>
      <c r="UXW74" s="317"/>
      <c r="UXX74" s="317"/>
      <c r="UXY74" s="317"/>
      <c r="UXZ74" s="317"/>
      <c r="UYA74" s="317"/>
      <c r="UYB74" s="317"/>
      <c r="UYC74" s="317"/>
      <c r="UYD74" s="317"/>
      <c r="UYE74" s="317"/>
      <c r="UYF74" s="317"/>
      <c r="UYG74" s="317"/>
      <c r="UYH74" s="317"/>
      <c r="UYI74" s="317"/>
      <c r="UYJ74" s="317"/>
      <c r="UYK74" s="317"/>
      <c r="UYL74" s="317"/>
      <c r="UYM74" s="317"/>
      <c r="UYN74" s="317"/>
      <c r="UYO74" s="317"/>
      <c r="UYP74" s="317"/>
      <c r="UYQ74" s="317"/>
      <c r="UYR74" s="317"/>
      <c r="UYS74" s="317"/>
      <c r="UYT74" s="317"/>
      <c r="UYU74" s="317"/>
      <c r="UYV74" s="317"/>
      <c r="UYW74" s="317"/>
      <c r="UYX74" s="317"/>
      <c r="UYY74" s="317"/>
      <c r="UYZ74" s="317"/>
      <c r="UZA74" s="317"/>
      <c r="UZB74" s="317"/>
      <c r="UZC74" s="317"/>
      <c r="UZD74" s="317"/>
      <c r="UZE74" s="317"/>
      <c r="UZF74" s="317"/>
      <c r="UZG74" s="317"/>
      <c r="UZH74" s="317"/>
      <c r="UZI74" s="317"/>
      <c r="UZJ74" s="317"/>
      <c r="UZK74" s="317"/>
      <c r="UZL74" s="317"/>
      <c r="UZM74" s="317"/>
      <c r="UZN74" s="317"/>
      <c r="UZO74" s="317"/>
      <c r="UZP74" s="317"/>
      <c r="UZQ74" s="317"/>
      <c r="UZR74" s="317"/>
      <c r="UZS74" s="317"/>
      <c r="UZT74" s="317"/>
      <c r="UZU74" s="317"/>
      <c r="UZV74" s="317"/>
      <c r="UZW74" s="317"/>
      <c r="UZX74" s="317"/>
      <c r="UZY74" s="317"/>
      <c r="UZZ74" s="317"/>
      <c r="VAA74" s="317"/>
      <c r="VAB74" s="317"/>
      <c r="VAC74" s="317"/>
      <c r="VAD74" s="317"/>
      <c r="VAE74" s="317"/>
      <c r="VAF74" s="317"/>
      <c r="VAG74" s="317"/>
      <c r="VAH74" s="317"/>
      <c r="VAI74" s="317"/>
      <c r="VAJ74" s="317"/>
      <c r="VAK74" s="317"/>
      <c r="VAL74" s="317"/>
      <c r="VAM74" s="317"/>
      <c r="VAN74" s="317"/>
      <c r="VAO74" s="317"/>
      <c r="VAP74" s="317"/>
      <c r="VAQ74" s="317"/>
      <c r="VAR74" s="317"/>
      <c r="VAS74" s="317"/>
      <c r="VAT74" s="317"/>
      <c r="VAU74" s="317"/>
      <c r="VAV74" s="317"/>
      <c r="VAW74" s="317"/>
      <c r="VAX74" s="317"/>
      <c r="VAY74" s="317"/>
      <c r="VAZ74" s="317"/>
      <c r="VBA74" s="317"/>
      <c r="VBB74" s="317"/>
      <c r="VBC74" s="317"/>
      <c r="VBD74" s="317"/>
      <c r="VBE74" s="317"/>
      <c r="VBF74" s="317"/>
      <c r="VBG74" s="317"/>
      <c r="VBH74" s="317"/>
      <c r="VBI74" s="317"/>
      <c r="VBJ74" s="317"/>
      <c r="VBK74" s="317"/>
      <c r="VBL74" s="317"/>
      <c r="VBM74" s="317"/>
      <c r="VBN74" s="317"/>
      <c r="VBO74" s="317"/>
      <c r="VBP74" s="317"/>
      <c r="VBQ74" s="317"/>
      <c r="VBR74" s="317"/>
      <c r="VBS74" s="317"/>
      <c r="VBT74" s="317"/>
      <c r="VBU74" s="317"/>
      <c r="VBV74" s="317"/>
      <c r="VBW74" s="317"/>
      <c r="VBX74" s="317"/>
      <c r="VBY74" s="317"/>
      <c r="VBZ74" s="317"/>
      <c r="VCA74" s="317"/>
      <c r="VCB74" s="317"/>
      <c r="VCC74" s="317"/>
      <c r="VCD74" s="317"/>
      <c r="VCE74" s="317"/>
      <c r="VCF74" s="317"/>
      <c r="VCG74" s="317"/>
      <c r="VCH74" s="317"/>
      <c r="VCI74" s="317"/>
      <c r="VCJ74" s="317"/>
      <c r="VCK74" s="317"/>
      <c r="VCL74" s="317"/>
      <c r="VCM74" s="317"/>
      <c r="VCN74" s="317"/>
      <c r="VCO74" s="317"/>
      <c r="VCP74" s="317"/>
      <c r="VCQ74" s="317"/>
      <c r="VCR74" s="317"/>
      <c r="VCS74" s="317"/>
      <c r="VCT74" s="317"/>
      <c r="VCU74" s="317"/>
      <c r="VCV74" s="317"/>
      <c r="VCW74" s="317"/>
      <c r="VCX74" s="317"/>
      <c r="VCY74" s="317"/>
      <c r="VCZ74" s="317"/>
      <c r="VDA74" s="317"/>
      <c r="VDB74" s="317"/>
      <c r="VDC74" s="317"/>
      <c r="VDD74" s="317"/>
      <c r="VDE74" s="317"/>
      <c r="VDF74" s="317"/>
      <c r="VDG74" s="317"/>
      <c r="VDH74" s="317"/>
      <c r="VDI74" s="317"/>
      <c r="VDJ74" s="317"/>
      <c r="VDK74" s="317"/>
      <c r="VDL74" s="317"/>
      <c r="VDM74" s="317"/>
      <c r="VDN74" s="317"/>
      <c r="VDO74" s="317"/>
      <c r="VDP74" s="317"/>
      <c r="VDQ74" s="317"/>
      <c r="VDR74" s="317"/>
      <c r="VDS74" s="317"/>
      <c r="VDT74" s="317"/>
      <c r="VDU74" s="317"/>
      <c r="VDV74" s="317"/>
      <c r="VDW74" s="317"/>
      <c r="VDX74" s="317"/>
      <c r="VDY74" s="317"/>
      <c r="VDZ74" s="317"/>
      <c r="VEA74" s="317"/>
      <c r="VEB74" s="317"/>
      <c r="VEC74" s="317"/>
      <c r="VED74" s="317"/>
      <c r="VEE74" s="317"/>
      <c r="VEF74" s="317"/>
      <c r="VEG74" s="317"/>
      <c r="VEH74" s="317"/>
      <c r="VEI74" s="317"/>
      <c r="VEJ74" s="317"/>
      <c r="VEK74" s="317"/>
      <c r="VEL74" s="317"/>
      <c r="VEM74" s="317"/>
      <c r="VEN74" s="317"/>
      <c r="VEO74" s="317"/>
      <c r="VEP74" s="317"/>
      <c r="VEQ74" s="317"/>
      <c r="VER74" s="317"/>
      <c r="VES74" s="317"/>
      <c r="VET74" s="317"/>
      <c r="VEU74" s="317"/>
      <c r="VEV74" s="317"/>
      <c r="VEW74" s="317"/>
      <c r="VEX74" s="317"/>
      <c r="VEY74" s="317"/>
      <c r="VEZ74" s="317"/>
      <c r="VFA74" s="317"/>
      <c r="VFB74" s="317"/>
      <c r="VFC74" s="317"/>
      <c r="VFD74" s="317"/>
      <c r="VFE74" s="317"/>
      <c r="VFF74" s="317"/>
      <c r="VFG74" s="317"/>
      <c r="VFH74" s="317"/>
      <c r="VFI74" s="317"/>
      <c r="VFJ74" s="317"/>
      <c r="VFK74" s="317"/>
      <c r="VFL74" s="317"/>
      <c r="VFM74" s="317"/>
      <c r="VFN74" s="317"/>
      <c r="VFO74" s="317"/>
      <c r="VFP74" s="317"/>
      <c r="VFQ74" s="317"/>
      <c r="VFR74" s="317"/>
      <c r="VFS74" s="317"/>
      <c r="VFT74" s="317"/>
      <c r="VFU74" s="317"/>
      <c r="VFV74" s="317"/>
      <c r="VFW74" s="317"/>
      <c r="VFX74" s="317"/>
      <c r="VFY74" s="317"/>
      <c r="VFZ74" s="317"/>
      <c r="VGA74" s="317"/>
      <c r="VGB74" s="317"/>
      <c r="VGC74" s="317"/>
      <c r="VGD74" s="317"/>
      <c r="VGE74" s="317"/>
      <c r="VGF74" s="317"/>
      <c r="VGG74" s="317"/>
      <c r="VGH74" s="317"/>
      <c r="VGI74" s="317"/>
      <c r="VGJ74" s="317"/>
      <c r="VGK74" s="317"/>
      <c r="VGL74" s="317"/>
      <c r="VGM74" s="317"/>
      <c r="VGN74" s="317"/>
      <c r="VGO74" s="317"/>
      <c r="VGP74" s="317"/>
      <c r="VGQ74" s="317"/>
      <c r="VGR74" s="317"/>
      <c r="VGS74" s="317"/>
      <c r="VGT74" s="317"/>
      <c r="VGU74" s="317"/>
      <c r="VGV74" s="317"/>
      <c r="VGW74" s="317"/>
      <c r="VGX74" s="317"/>
      <c r="VGY74" s="317"/>
      <c r="VGZ74" s="317"/>
      <c r="VHA74" s="317"/>
      <c r="VHB74" s="317"/>
      <c r="VHC74" s="317"/>
      <c r="VHD74" s="317"/>
      <c r="VHE74" s="317"/>
      <c r="VHF74" s="317"/>
      <c r="VHG74" s="317"/>
      <c r="VHH74" s="317"/>
      <c r="VHI74" s="317"/>
      <c r="VHJ74" s="317"/>
      <c r="VHK74" s="317"/>
      <c r="VHL74" s="317"/>
      <c r="VHM74" s="317"/>
      <c r="VHN74" s="317"/>
      <c r="VHO74" s="317"/>
      <c r="VHP74" s="317"/>
      <c r="VHQ74" s="317"/>
      <c r="VHR74" s="317"/>
      <c r="VHS74" s="317"/>
      <c r="VHT74" s="317"/>
      <c r="VHU74" s="317"/>
      <c r="VHV74" s="317"/>
      <c r="VHW74" s="317"/>
      <c r="VHX74" s="317"/>
      <c r="VHY74" s="317"/>
      <c r="VHZ74" s="317"/>
      <c r="VIA74" s="317"/>
      <c r="VIB74" s="317"/>
      <c r="VIC74" s="317"/>
      <c r="VID74" s="317"/>
      <c r="VIE74" s="317"/>
      <c r="VIF74" s="317"/>
      <c r="VIG74" s="317"/>
      <c r="VIH74" s="317"/>
      <c r="VII74" s="317"/>
      <c r="VIJ74" s="317"/>
      <c r="VIK74" s="317"/>
      <c r="VIL74" s="317"/>
      <c r="VIM74" s="317"/>
      <c r="VIN74" s="317"/>
      <c r="VIO74" s="317"/>
      <c r="VIP74" s="317"/>
      <c r="VIQ74" s="317"/>
      <c r="VIR74" s="317"/>
      <c r="VIS74" s="317"/>
      <c r="VIT74" s="317"/>
      <c r="VIU74" s="317"/>
      <c r="VIV74" s="317"/>
      <c r="VIW74" s="317"/>
      <c r="VIX74" s="317"/>
      <c r="VIY74" s="317"/>
      <c r="VIZ74" s="317"/>
      <c r="VJA74" s="317"/>
      <c r="VJB74" s="317"/>
      <c r="VJC74" s="317"/>
      <c r="VJD74" s="317"/>
      <c r="VJE74" s="317"/>
      <c r="VJF74" s="317"/>
      <c r="VJG74" s="317"/>
      <c r="VJH74" s="317"/>
      <c r="VJI74" s="317"/>
      <c r="VJJ74" s="317"/>
      <c r="VJK74" s="317"/>
      <c r="VJL74" s="317"/>
      <c r="VJM74" s="317"/>
      <c r="VJN74" s="317"/>
      <c r="VJO74" s="317"/>
      <c r="VJP74" s="317"/>
      <c r="VJQ74" s="317"/>
      <c r="VJR74" s="317"/>
      <c r="VJS74" s="317"/>
      <c r="VJT74" s="317"/>
      <c r="VJU74" s="317"/>
      <c r="VJV74" s="317"/>
      <c r="VJW74" s="317"/>
      <c r="VJX74" s="317"/>
      <c r="VJY74" s="317"/>
      <c r="VJZ74" s="317"/>
      <c r="VKA74" s="317"/>
      <c r="VKB74" s="317"/>
      <c r="VKC74" s="317"/>
      <c r="VKD74" s="317"/>
      <c r="VKE74" s="317"/>
      <c r="VKF74" s="317"/>
      <c r="VKG74" s="317"/>
      <c r="VKH74" s="317"/>
      <c r="VKI74" s="317"/>
      <c r="VKJ74" s="317"/>
      <c r="VKK74" s="317"/>
      <c r="VKL74" s="317"/>
      <c r="VKM74" s="317"/>
      <c r="VKN74" s="317"/>
      <c r="VKO74" s="317"/>
      <c r="VKP74" s="317"/>
      <c r="VKQ74" s="317"/>
      <c r="VKR74" s="317"/>
      <c r="VKS74" s="317"/>
      <c r="VKT74" s="317"/>
      <c r="VKU74" s="317"/>
      <c r="VKV74" s="317"/>
      <c r="VKW74" s="317"/>
      <c r="VKX74" s="317"/>
      <c r="VKY74" s="317"/>
      <c r="VKZ74" s="317"/>
      <c r="VLA74" s="317"/>
      <c r="VLB74" s="317"/>
      <c r="VLC74" s="317"/>
      <c r="VLD74" s="317"/>
      <c r="VLE74" s="317"/>
      <c r="VLF74" s="317"/>
      <c r="VLG74" s="317"/>
      <c r="VLH74" s="317"/>
      <c r="VLI74" s="317"/>
      <c r="VLJ74" s="317"/>
      <c r="VLK74" s="317"/>
      <c r="VLL74" s="317"/>
      <c r="VLM74" s="317"/>
      <c r="VLN74" s="317"/>
      <c r="VLO74" s="317"/>
      <c r="VLP74" s="317"/>
      <c r="VLQ74" s="317"/>
      <c r="VLR74" s="317"/>
      <c r="VLS74" s="317"/>
      <c r="VLT74" s="317"/>
      <c r="VLU74" s="317"/>
      <c r="VLV74" s="317"/>
      <c r="VLW74" s="317"/>
      <c r="VLX74" s="317"/>
      <c r="VLY74" s="317"/>
      <c r="VLZ74" s="317"/>
      <c r="VMA74" s="317"/>
      <c r="VMB74" s="317"/>
      <c r="VMC74" s="317"/>
      <c r="VMD74" s="317"/>
      <c r="VME74" s="317"/>
      <c r="VMF74" s="317"/>
      <c r="VMG74" s="317"/>
      <c r="VMH74" s="317"/>
      <c r="VMI74" s="317"/>
      <c r="VMJ74" s="317"/>
      <c r="VMK74" s="317"/>
      <c r="VML74" s="317"/>
      <c r="VMM74" s="317"/>
      <c r="VMN74" s="317"/>
      <c r="VMO74" s="317"/>
      <c r="VMP74" s="317"/>
      <c r="VMQ74" s="317"/>
      <c r="VMR74" s="317"/>
      <c r="VMS74" s="317"/>
      <c r="VMT74" s="317"/>
      <c r="VMU74" s="317"/>
      <c r="VMV74" s="317"/>
      <c r="VMW74" s="317"/>
      <c r="VMX74" s="317"/>
      <c r="VMY74" s="317"/>
      <c r="VMZ74" s="317"/>
      <c r="VNA74" s="317"/>
      <c r="VNB74" s="317"/>
      <c r="VNC74" s="317"/>
      <c r="VND74" s="317"/>
      <c r="VNE74" s="317"/>
      <c r="VNF74" s="317"/>
      <c r="VNG74" s="317"/>
      <c r="VNH74" s="317"/>
      <c r="VNI74" s="317"/>
      <c r="VNJ74" s="317"/>
      <c r="VNK74" s="317"/>
      <c r="VNL74" s="317"/>
      <c r="VNM74" s="317"/>
      <c r="VNN74" s="317"/>
      <c r="VNO74" s="317"/>
      <c r="VNP74" s="317"/>
      <c r="VNQ74" s="317"/>
      <c r="VNR74" s="317"/>
      <c r="VNS74" s="317"/>
      <c r="VNT74" s="317"/>
      <c r="VNU74" s="317"/>
      <c r="VNV74" s="317"/>
      <c r="VNW74" s="317"/>
      <c r="VNX74" s="317"/>
      <c r="VNY74" s="317"/>
      <c r="VNZ74" s="317"/>
      <c r="VOA74" s="317"/>
      <c r="VOB74" s="317"/>
      <c r="VOC74" s="317"/>
      <c r="VOD74" s="317"/>
      <c r="VOE74" s="317"/>
      <c r="VOF74" s="317"/>
      <c r="VOG74" s="317"/>
      <c r="VOH74" s="317"/>
      <c r="VOI74" s="317"/>
      <c r="VOJ74" s="317"/>
      <c r="VOK74" s="317"/>
      <c r="VOL74" s="317"/>
      <c r="VOM74" s="317"/>
      <c r="VON74" s="317"/>
      <c r="VOO74" s="317"/>
      <c r="VOP74" s="317"/>
      <c r="VOQ74" s="317"/>
      <c r="VOR74" s="317"/>
      <c r="VOS74" s="317"/>
      <c r="VOT74" s="317"/>
      <c r="VOU74" s="317"/>
      <c r="VOV74" s="317"/>
      <c r="VOW74" s="317"/>
      <c r="VOX74" s="317"/>
      <c r="VOY74" s="317"/>
      <c r="VOZ74" s="317"/>
      <c r="VPA74" s="317"/>
      <c r="VPB74" s="317"/>
      <c r="VPC74" s="317"/>
      <c r="VPD74" s="317"/>
      <c r="VPE74" s="317"/>
      <c r="VPF74" s="317"/>
      <c r="VPG74" s="317"/>
      <c r="VPH74" s="317"/>
      <c r="VPI74" s="317"/>
      <c r="VPJ74" s="317"/>
      <c r="VPK74" s="317"/>
      <c r="VPL74" s="317"/>
      <c r="VPM74" s="317"/>
      <c r="VPN74" s="317"/>
      <c r="VPO74" s="317"/>
      <c r="VPP74" s="317"/>
      <c r="VPQ74" s="317"/>
      <c r="VPR74" s="317"/>
      <c r="VPS74" s="317"/>
      <c r="VPT74" s="317"/>
      <c r="VPU74" s="317"/>
      <c r="VPV74" s="317"/>
      <c r="VPW74" s="317"/>
      <c r="VPX74" s="317"/>
      <c r="VPY74" s="317"/>
      <c r="VPZ74" s="317"/>
      <c r="VQA74" s="317"/>
      <c r="VQB74" s="317"/>
      <c r="VQC74" s="317"/>
      <c r="VQD74" s="317"/>
      <c r="VQE74" s="317"/>
      <c r="VQF74" s="317"/>
      <c r="VQG74" s="317"/>
      <c r="VQH74" s="317"/>
      <c r="VQI74" s="317"/>
      <c r="VQJ74" s="317"/>
      <c r="VQK74" s="317"/>
      <c r="VQL74" s="317"/>
      <c r="VQM74" s="317"/>
      <c r="VQN74" s="317"/>
      <c r="VQO74" s="317"/>
      <c r="VQP74" s="317"/>
      <c r="VQQ74" s="317"/>
      <c r="VQR74" s="317"/>
      <c r="VQS74" s="317"/>
      <c r="VQT74" s="317"/>
      <c r="VQU74" s="317"/>
      <c r="VQV74" s="317"/>
      <c r="VQW74" s="317"/>
      <c r="VQX74" s="317"/>
      <c r="VQY74" s="317"/>
      <c r="VQZ74" s="317"/>
      <c r="VRA74" s="317"/>
      <c r="VRB74" s="317"/>
      <c r="VRC74" s="317"/>
      <c r="VRD74" s="317"/>
      <c r="VRE74" s="317"/>
      <c r="VRF74" s="317"/>
      <c r="VRG74" s="317"/>
      <c r="VRH74" s="317"/>
      <c r="VRI74" s="317"/>
      <c r="VRJ74" s="317"/>
      <c r="VRK74" s="317"/>
      <c r="VRL74" s="317"/>
      <c r="VRM74" s="317"/>
      <c r="VRN74" s="317"/>
      <c r="VRO74" s="317"/>
      <c r="VRP74" s="317"/>
      <c r="VRQ74" s="317"/>
      <c r="VRR74" s="317"/>
      <c r="VRS74" s="317"/>
      <c r="VRT74" s="317"/>
      <c r="VRU74" s="317"/>
      <c r="VRV74" s="317"/>
      <c r="VRW74" s="317"/>
      <c r="VRX74" s="317"/>
      <c r="VRY74" s="317"/>
      <c r="VRZ74" s="317"/>
      <c r="VSA74" s="317"/>
      <c r="VSB74" s="317"/>
      <c r="VSC74" s="317"/>
      <c r="VSD74" s="317"/>
      <c r="VSE74" s="317"/>
      <c r="VSF74" s="317"/>
      <c r="VSG74" s="317"/>
      <c r="VSH74" s="317"/>
      <c r="VSI74" s="317"/>
      <c r="VSJ74" s="317"/>
      <c r="VSK74" s="317"/>
      <c r="VSL74" s="317"/>
      <c r="VSM74" s="317"/>
      <c r="VSN74" s="317"/>
      <c r="VSO74" s="317"/>
      <c r="VSP74" s="317"/>
      <c r="VSQ74" s="317"/>
      <c r="VSR74" s="317"/>
      <c r="VSS74" s="317"/>
      <c r="VST74" s="317"/>
      <c r="VSU74" s="317"/>
      <c r="VSV74" s="317"/>
      <c r="VSW74" s="317"/>
      <c r="VSX74" s="317"/>
      <c r="VSY74" s="317"/>
      <c r="VSZ74" s="317"/>
      <c r="VTA74" s="317"/>
      <c r="VTB74" s="317"/>
      <c r="VTC74" s="317"/>
      <c r="VTD74" s="317"/>
      <c r="VTE74" s="317"/>
      <c r="VTF74" s="317"/>
      <c r="VTG74" s="317"/>
      <c r="VTH74" s="317"/>
      <c r="VTI74" s="317"/>
      <c r="VTJ74" s="317"/>
      <c r="VTK74" s="317"/>
      <c r="VTL74" s="317"/>
      <c r="VTM74" s="317"/>
      <c r="VTN74" s="317"/>
      <c r="VTO74" s="317"/>
      <c r="VTP74" s="317"/>
      <c r="VTQ74" s="317"/>
      <c r="VTR74" s="317"/>
      <c r="VTS74" s="317"/>
      <c r="VTT74" s="317"/>
      <c r="VTU74" s="317"/>
      <c r="VTV74" s="317"/>
      <c r="VTW74" s="317"/>
      <c r="VTX74" s="317"/>
      <c r="VTY74" s="317"/>
      <c r="VTZ74" s="317"/>
      <c r="VUA74" s="317"/>
      <c r="VUB74" s="317"/>
      <c r="VUC74" s="317"/>
      <c r="VUD74" s="317"/>
      <c r="VUE74" s="317"/>
      <c r="VUF74" s="317"/>
      <c r="VUG74" s="317"/>
      <c r="VUH74" s="317"/>
      <c r="VUI74" s="317"/>
      <c r="VUJ74" s="317"/>
      <c r="VUK74" s="317"/>
      <c r="VUL74" s="317"/>
      <c r="VUM74" s="317"/>
      <c r="VUN74" s="317"/>
      <c r="VUO74" s="317"/>
      <c r="VUP74" s="317"/>
      <c r="VUQ74" s="317"/>
      <c r="VUR74" s="317"/>
      <c r="VUS74" s="317"/>
      <c r="VUT74" s="317"/>
      <c r="VUU74" s="317"/>
      <c r="VUV74" s="317"/>
      <c r="VUW74" s="317"/>
      <c r="VUX74" s="317"/>
      <c r="VUY74" s="317"/>
      <c r="VUZ74" s="317"/>
      <c r="VVA74" s="317"/>
      <c r="VVB74" s="317"/>
      <c r="VVC74" s="317"/>
      <c r="VVD74" s="317"/>
      <c r="VVE74" s="317"/>
      <c r="VVF74" s="317"/>
      <c r="VVG74" s="317"/>
      <c r="VVH74" s="317"/>
      <c r="VVI74" s="317"/>
      <c r="VVJ74" s="317"/>
      <c r="VVK74" s="317"/>
      <c r="VVL74" s="317"/>
      <c r="VVM74" s="317"/>
      <c r="VVN74" s="317"/>
      <c r="VVO74" s="317"/>
      <c r="VVP74" s="317"/>
      <c r="VVQ74" s="317"/>
      <c r="VVR74" s="317"/>
      <c r="VVS74" s="317"/>
      <c r="VVT74" s="317"/>
      <c r="VVU74" s="317"/>
      <c r="VVV74" s="317"/>
      <c r="VVW74" s="317"/>
      <c r="VVX74" s="317"/>
      <c r="VVY74" s="317"/>
      <c r="VVZ74" s="317"/>
      <c r="VWA74" s="317"/>
      <c r="VWB74" s="317"/>
      <c r="VWC74" s="317"/>
      <c r="VWD74" s="317"/>
      <c r="VWE74" s="317"/>
      <c r="VWF74" s="317"/>
      <c r="VWG74" s="317"/>
      <c r="VWH74" s="317"/>
      <c r="VWI74" s="317"/>
      <c r="VWJ74" s="317"/>
      <c r="VWK74" s="317"/>
      <c r="VWL74" s="317"/>
      <c r="VWM74" s="317"/>
      <c r="VWN74" s="317"/>
      <c r="VWO74" s="317"/>
      <c r="VWP74" s="317"/>
      <c r="VWQ74" s="317"/>
      <c r="VWR74" s="317"/>
      <c r="VWS74" s="317"/>
      <c r="VWT74" s="317"/>
      <c r="VWU74" s="317"/>
      <c r="VWV74" s="317"/>
      <c r="VWW74" s="317"/>
      <c r="VWX74" s="317"/>
      <c r="VWY74" s="317"/>
      <c r="VWZ74" s="317"/>
      <c r="VXA74" s="317"/>
      <c r="VXB74" s="317"/>
      <c r="VXC74" s="317"/>
      <c r="VXD74" s="317"/>
      <c r="VXE74" s="317"/>
      <c r="VXF74" s="317"/>
      <c r="VXG74" s="317"/>
      <c r="VXH74" s="317"/>
      <c r="VXI74" s="317"/>
      <c r="VXJ74" s="317"/>
      <c r="VXK74" s="317"/>
      <c r="VXL74" s="317"/>
      <c r="VXM74" s="317"/>
      <c r="VXN74" s="317"/>
      <c r="VXO74" s="317"/>
      <c r="VXP74" s="317"/>
      <c r="VXQ74" s="317"/>
      <c r="VXR74" s="317"/>
      <c r="VXS74" s="317"/>
      <c r="VXT74" s="317"/>
      <c r="VXU74" s="317"/>
      <c r="VXV74" s="317"/>
      <c r="VXW74" s="317"/>
      <c r="VXX74" s="317"/>
      <c r="VXY74" s="317"/>
      <c r="VXZ74" s="317"/>
      <c r="VYA74" s="317"/>
      <c r="VYB74" s="317"/>
      <c r="VYC74" s="317"/>
      <c r="VYD74" s="317"/>
      <c r="VYE74" s="317"/>
      <c r="VYF74" s="317"/>
      <c r="VYG74" s="317"/>
      <c r="VYH74" s="317"/>
      <c r="VYI74" s="317"/>
      <c r="VYJ74" s="317"/>
      <c r="VYK74" s="317"/>
      <c r="VYL74" s="317"/>
      <c r="VYM74" s="317"/>
      <c r="VYN74" s="317"/>
      <c r="VYO74" s="317"/>
      <c r="VYP74" s="317"/>
      <c r="VYQ74" s="317"/>
      <c r="VYR74" s="317"/>
      <c r="VYS74" s="317"/>
      <c r="VYT74" s="317"/>
      <c r="VYU74" s="317"/>
      <c r="VYV74" s="317"/>
      <c r="VYW74" s="317"/>
      <c r="VYX74" s="317"/>
      <c r="VYY74" s="317"/>
      <c r="VYZ74" s="317"/>
      <c r="VZA74" s="317"/>
      <c r="VZB74" s="317"/>
      <c r="VZC74" s="317"/>
      <c r="VZD74" s="317"/>
      <c r="VZE74" s="317"/>
      <c r="VZF74" s="317"/>
      <c r="VZG74" s="317"/>
      <c r="VZH74" s="317"/>
      <c r="VZI74" s="317"/>
      <c r="VZJ74" s="317"/>
      <c r="VZK74" s="317"/>
      <c r="VZL74" s="317"/>
      <c r="VZM74" s="317"/>
      <c r="VZN74" s="317"/>
      <c r="VZO74" s="317"/>
      <c r="VZP74" s="317"/>
      <c r="VZQ74" s="317"/>
      <c r="VZR74" s="317"/>
      <c r="VZS74" s="317"/>
      <c r="VZT74" s="317"/>
      <c r="VZU74" s="317"/>
      <c r="VZV74" s="317"/>
      <c r="VZW74" s="317"/>
      <c r="VZX74" s="317"/>
      <c r="VZY74" s="317"/>
      <c r="VZZ74" s="317"/>
      <c r="WAA74" s="317"/>
      <c r="WAB74" s="317"/>
      <c r="WAC74" s="317"/>
      <c r="WAD74" s="317"/>
      <c r="WAE74" s="317"/>
      <c r="WAF74" s="317"/>
      <c r="WAG74" s="317"/>
      <c r="WAH74" s="317"/>
      <c r="WAI74" s="317"/>
      <c r="WAJ74" s="317"/>
      <c r="WAK74" s="317"/>
      <c r="WAL74" s="317"/>
      <c r="WAM74" s="317"/>
      <c r="WAN74" s="317"/>
      <c r="WAO74" s="317"/>
      <c r="WAP74" s="317"/>
      <c r="WAQ74" s="317"/>
      <c r="WAR74" s="317"/>
      <c r="WAS74" s="317"/>
      <c r="WAT74" s="317"/>
      <c r="WAU74" s="317"/>
      <c r="WAV74" s="317"/>
      <c r="WAW74" s="317"/>
      <c r="WAX74" s="317"/>
      <c r="WAY74" s="317"/>
      <c r="WAZ74" s="317"/>
      <c r="WBA74" s="317"/>
      <c r="WBB74" s="317"/>
      <c r="WBC74" s="317"/>
      <c r="WBD74" s="317"/>
      <c r="WBE74" s="317"/>
      <c r="WBF74" s="317"/>
      <c r="WBG74" s="317"/>
      <c r="WBH74" s="317"/>
      <c r="WBI74" s="317"/>
      <c r="WBJ74" s="317"/>
      <c r="WBK74" s="317"/>
      <c r="WBL74" s="317"/>
      <c r="WBM74" s="317"/>
      <c r="WBN74" s="317"/>
      <c r="WBO74" s="317"/>
      <c r="WBP74" s="317"/>
      <c r="WBQ74" s="317"/>
      <c r="WBR74" s="317"/>
      <c r="WBS74" s="317"/>
      <c r="WBT74" s="317"/>
      <c r="WBU74" s="317"/>
      <c r="WBV74" s="317"/>
      <c r="WBW74" s="317"/>
      <c r="WBX74" s="317"/>
      <c r="WBY74" s="317"/>
      <c r="WBZ74" s="317"/>
      <c r="WCA74" s="317"/>
      <c r="WCB74" s="317"/>
      <c r="WCC74" s="317"/>
      <c r="WCD74" s="317"/>
      <c r="WCE74" s="317"/>
      <c r="WCF74" s="317"/>
      <c r="WCG74" s="317"/>
      <c r="WCH74" s="317"/>
      <c r="WCI74" s="317"/>
      <c r="WCJ74" s="317"/>
      <c r="WCK74" s="317"/>
      <c r="WCL74" s="317"/>
      <c r="WCM74" s="317"/>
      <c r="WCN74" s="317"/>
      <c r="WCO74" s="317"/>
      <c r="WCP74" s="317"/>
      <c r="WCQ74" s="317"/>
      <c r="WCR74" s="317"/>
      <c r="WCS74" s="317"/>
      <c r="WCT74" s="317"/>
      <c r="WCU74" s="317"/>
      <c r="WCV74" s="317"/>
      <c r="WCW74" s="317"/>
      <c r="WCX74" s="317"/>
      <c r="WCY74" s="317"/>
      <c r="WCZ74" s="317"/>
      <c r="WDA74" s="317"/>
      <c r="WDB74" s="317"/>
      <c r="WDC74" s="317"/>
      <c r="WDD74" s="317"/>
      <c r="WDE74" s="317"/>
      <c r="WDF74" s="317"/>
      <c r="WDG74" s="317"/>
      <c r="WDH74" s="317"/>
      <c r="WDI74" s="317"/>
      <c r="WDJ74" s="317"/>
      <c r="WDK74" s="317"/>
      <c r="WDL74" s="317"/>
      <c r="WDM74" s="317"/>
      <c r="WDN74" s="317"/>
      <c r="WDO74" s="317"/>
      <c r="WDP74" s="317"/>
      <c r="WDQ74" s="317"/>
      <c r="WDR74" s="317"/>
      <c r="WDS74" s="317"/>
      <c r="WDT74" s="317"/>
      <c r="WDU74" s="317"/>
      <c r="WDV74" s="317"/>
      <c r="WDW74" s="317"/>
      <c r="WDX74" s="317"/>
      <c r="WDY74" s="317"/>
      <c r="WDZ74" s="317"/>
      <c r="WEA74" s="317"/>
      <c r="WEB74" s="317"/>
      <c r="WEC74" s="317"/>
      <c r="WED74" s="317"/>
      <c r="WEE74" s="317"/>
      <c r="WEF74" s="317"/>
      <c r="WEG74" s="317"/>
      <c r="WEH74" s="317"/>
      <c r="WEI74" s="317"/>
      <c r="WEJ74" s="317"/>
      <c r="WEK74" s="317"/>
      <c r="WEL74" s="317"/>
      <c r="WEM74" s="317"/>
      <c r="WEN74" s="317"/>
      <c r="WEO74" s="317"/>
      <c r="WEP74" s="317"/>
      <c r="WEQ74" s="317"/>
      <c r="WER74" s="317"/>
      <c r="WES74" s="317"/>
      <c r="WET74" s="317"/>
      <c r="WEU74" s="317"/>
      <c r="WEV74" s="317"/>
      <c r="WEW74" s="317"/>
      <c r="WEX74" s="317"/>
      <c r="WEY74" s="317"/>
      <c r="WEZ74" s="317"/>
      <c r="WFA74" s="317"/>
      <c r="WFB74" s="317"/>
      <c r="WFC74" s="317"/>
      <c r="WFD74" s="317"/>
      <c r="WFE74" s="317"/>
      <c r="WFF74" s="317"/>
      <c r="WFG74" s="317"/>
      <c r="WFH74" s="317"/>
      <c r="WFI74" s="317"/>
      <c r="WFJ74" s="317"/>
      <c r="WFK74" s="317"/>
      <c r="WFL74" s="317"/>
      <c r="WFM74" s="317"/>
      <c r="WFN74" s="317"/>
      <c r="WFO74" s="317"/>
      <c r="WFP74" s="317"/>
      <c r="WFQ74" s="317"/>
      <c r="WFR74" s="317"/>
      <c r="WFS74" s="317"/>
      <c r="WFT74" s="317"/>
      <c r="WFU74" s="317"/>
      <c r="WFV74" s="317"/>
      <c r="WFW74" s="317"/>
      <c r="WFX74" s="317"/>
      <c r="WFY74" s="317"/>
      <c r="WFZ74" s="317"/>
      <c r="WGA74" s="317"/>
      <c r="WGB74" s="317"/>
      <c r="WGC74" s="317"/>
      <c r="WGD74" s="317"/>
      <c r="WGE74" s="317"/>
      <c r="WGF74" s="317"/>
      <c r="WGG74" s="317"/>
      <c r="WGH74" s="317"/>
      <c r="WGI74" s="317"/>
      <c r="WGJ74" s="317"/>
      <c r="WGK74" s="317"/>
      <c r="WGL74" s="317"/>
      <c r="WGM74" s="317"/>
      <c r="WGN74" s="317"/>
      <c r="WGO74" s="317"/>
      <c r="WGP74" s="317"/>
      <c r="WGQ74" s="317"/>
      <c r="WGR74" s="317"/>
      <c r="WGS74" s="317"/>
      <c r="WGT74" s="317"/>
      <c r="WGU74" s="317"/>
      <c r="WGV74" s="317"/>
      <c r="WGW74" s="317"/>
      <c r="WGX74" s="317"/>
      <c r="WGY74" s="317"/>
      <c r="WGZ74" s="317"/>
      <c r="WHA74" s="317"/>
      <c r="WHB74" s="317"/>
      <c r="WHC74" s="317"/>
      <c r="WHD74" s="317"/>
      <c r="WHE74" s="317"/>
      <c r="WHF74" s="317"/>
      <c r="WHG74" s="317"/>
      <c r="WHH74" s="317"/>
      <c r="WHI74" s="317"/>
      <c r="WHJ74" s="317"/>
      <c r="WHK74" s="317"/>
      <c r="WHL74" s="317"/>
      <c r="WHM74" s="317"/>
      <c r="WHN74" s="317"/>
      <c r="WHO74" s="317"/>
      <c r="WHP74" s="317"/>
      <c r="WHQ74" s="317"/>
      <c r="WHR74" s="317"/>
      <c r="WHS74" s="317"/>
      <c r="WHT74" s="317"/>
      <c r="WHU74" s="317"/>
      <c r="WHV74" s="317"/>
      <c r="WHW74" s="317"/>
      <c r="WHX74" s="317"/>
      <c r="WHY74" s="317"/>
      <c r="WHZ74" s="317"/>
      <c r="WIA74" s="317"/>
      <c r="WIB74" s="317"/>
      <c r="WIC74" s="317"/>
      <c r="WID74" s="317"/>
      <c r="WIE74" s="317"/>
      <c r="WIF74" s="317"/>
      <c r="WIG74" s="317"/>
      <c r="WIH74" s="317"/>
      <c r="WII74" s="317"/>
      <c r="WIJ74" s="317"/>
      <c r="WIK74" s="317"/>
      <c r="WIL74" s="317"/>
      <c r="WIM74" s="317"/>
      <c r="WIN74" s="317"/>
      <c r="WIO74" s="317"/>
      <c r="WIP74" s="317"/>
      <c r="WIQ74" s="317"/>
      <c r="WIR74" s="317"/>
      <c r="WIS74" s="317"/>
      <c r="WIT74" s="317"/>
      <c r="WIU74" s="317"/>
      <c r="WIV74" s="317"/>
      <c r="WIW74" s="317"/>
      <c r="WIX74" s="317"/>
      <c r="WIY74" s="317"/>
      <c r="WIZ74" s="317"/>
      <c r="WJA74" s="317"/>
      <c r="WJB74" s="317"/>
      <c r="WJC74" s="317"/>
      <c r="WJD74" s="317"/>
      <c r="WJE74" s="317"/>
      <c r="WJF74" s="317"/>
      <c r="WJG74" s="317"/>
      <c r="WJH74" s="317"/>
      <c r="WJI74" s="317"/>
      <c r="WJJ74" s="317"/>
      <c r="WJK74" s="317"/>
      <c r="WJL74" s="317"/>
      <c r="WJM74" s="317"/>
      <c r="WJN74" s="317"/>
      <c r="WJO74" s="317"/>
      <c r="WJP74" s="317"/>
      <c r="WJQ74" s="317"/>
      <c r="WJR74" s="317"/>
      <c r="WJS74" s="317"/>
      <c r="WJT74" s="317"/>
      <c r="WJU74" s="317"/>
      <c r="WJV74" s="317"/>
      <c r="WJW74" s="317"/>
      <c r="WJX74" s="317"/>
      <c r="WJY74" s="317"/>
      <c r="WJZ74" s="317"/>
      <c r="WKA74" s="317"/>
      <c r="WKB74" s="317"/>
      <c r="WKC74" s="317"/>
      <c r="WKD74" s="317"/>
      <c r="WKE74" s="317"/>
      <c r="WKF74" s="317"/>
      <c r="WKG74" s="317"/>
      <c r="WKH74" s="317"/>
      <c r="WKI74" s="317"/>
      <c r="WKJ74" s="317"/>
      <c r="WKK74" s="317"/>
      <c r="WKL74" s="317"/>
      <c r="WKM74" s="317"/>
      <c r="WKN74" s="317"/>
      <c r="WKO74" s="317"/>
      <c r="WKP74" s="317"/>
      <c r="WKQ74" s="317"/>
      <c r="WKR74" s="317"/>
      <c r="WKS74" s="317"/>
      <c r="WKT74" s="317"/>
      <c r="WKU74" s="317"/>
      <c r="WKV74" s="317"/>
      <c r="WKW74" s="317"/>
      <c r="WKX74" s="317"/>
      <c r="WKY74" s="317"/>
      <c r="WKZ74" s="317"/>
      <c r="WLA74" s="317"/>
      <c r="WLB74" s="317"/>
      <c r="WLC74" s="317"/>
      <c r="WLD74" s="317"/>
      <c r="WLE74" s="317"/>
      <c r="WLF74" s="317"/>
      <c r="WLG74" s="317"/>
      <c r="WLH74" s="317"/>
      <c r="WLI74" s="317"/>
      <c r="WLJ74" s="317"/>
      <c r="WLK74" s="317"/>
      <c r="WLL74" s="317"/>
      <c r="WLM74" s="317"/>
      <c r="WLN74" s="317"/>
      <c r="WLO74" s="317"/>
      <c r="WLP74" s="317"/>
      <c r="WLQ74" s="317"/>
      <c r="WLR74" s="317"/>
      <c r="WLS74" s="317"/>
      <c r="WLT74" s="317"/>
      <c r="WLU74" s="317"/>
      <c r="WLV74" s="317"/>
      <c r="WLW74" s="317"/>
      <c r="WLX74" s="317"/>
      <c r="WLY74" s="317"/>
      <c r="WLZ74" s="317"/>
      <c r="WMA74" s="317"/>
      <c r="WMB74" s="317"/>
      <c r="WMC74" s="317"/>
      <c r="WMD74" s="317"/>
      <c r="WME74" s="317"/>
      <c r="WMF74" s="317"/>
      <c r="WMG74" s="317"/>
      <c r="WMH74" s="317"/>
      <c r="WMI74" s="317"/>
      <c r="WMJ74" s="317"/>
      <c r="WMK74" s="317"/>
      <c r="WML74" s="317"/>
      <c r="WMM74" s="317"/>
      <c r="WMN74" s="317"/>
      <c r="WMO74" s="317"/>
      <c r="WMP74" s="317"/>
      <c r="WMQ74" s="317"/>
      <c r="WMR74" s="317"/>
      <c r="WMS74" s="317"/>
      <c r="WMT74" s="317"/>
      <c r="WMU74" s="317"/>
      <c r="WMV74" s="317"/>
      <c r="WMW74" s="317"/>
      <c r="WMX74" s="317"/>
      <c r="WMY74" s="317"/>
      <c r="WMZ74" s="317"/>
      <c r="WNA74" s="317"/>
      <c r="WNB74" s="317"/>
      <c r="WNC74" s="317"/>
      <c r="WND74" s="317"/>
      <c r="WNE74" s="317"/>
      <c r="WNF74" s="317"/>
      <c r="WNG74" s="317"/>
      <c r="WNH74" s="317"/>
      <c r="WNI74" s="317"/>
      <c r="WNJ74" s="317"/>
      <c r="WNK74" s="317"/>
      <c r="WNL74" s="317"/>
      <c r="WNM74" s="317"/>
      <c r="WNN74" s="317"/>
      <c r="WNO74" s="317"/>
      <c r="WNP74" s="317"/>
      <c r="WNQ74" s="317"/>
      <c r="WNR74" s="317"/>
      <c r="WNS74" s="317"/>
      <c r="WNT74" s="317"/>
      <c r="WNU74" s="317"/>
      <c r="WNV74" s="317"/>
      <c r="WNW74" s="317"/>
      <c r="WNX74" s="317"/>
      <c r="WNY74" s="317"/>
      <c r="WNZ74" s="317"/>
      <c r="WOA74" s="317"/>
      <c r="WOB74" s="317"/>
      <c r="WOC74" s="317"/>
      <c r="WOD74" s="317"/>
      <c r="WOE74" s="317"/>
      <c r="WOF74" s="317"/>
      <c r="WOG74" s="317"/>
      <c r="WOH74" s="317"/>
      <c r="WOI74" s="317"/>
      <c r="WOJ74" s="317"/>
      <c r="WOK74" s="317"/>
      <c r="WOL74" s="317"/>
      <c r="WOM74" s="317"/>
      <c r="WON74" s="317"/>
      <c r="WOO74" s="317"/>
      <c r="WOP74" s="317"/>
      <c r="WOQ74" s="317"/>
      <c r="WOR74" s="317"/>
      <c r="WOS74" s="317"/>
      <c r="WOT74" s="317"/>
      <c r="WOU74" s="317"/>
      <c r="WOV74" s="317"/>
      <c r="WOW74" s="317"/>
      <c r="WOX74" s="317"/>
      <c r="WOY74" s="317"/>
      <c r="WOZ74" s="317"/>
      <c r="WPA74" s="317"/>
      <c r="WPB74" s="317"/>
      <c r="WPC74" s="317"/>
      <c r="WPD74" s="317"/>
      <c r="WPE74" s="317"/>
      <c r="WPF74" s="317"/>
      <c r="WPG74" s="317"/>
      <c r="WPH74" s="317"/>
      <c r="WPI74" s="317"/>
      <c r="WPJ74" s="317"/>
      <c r="WPK74" s="317"/>
      <c r="WPL74" s="317"/>
      <c r="WPM74" s="317"/>
      <c r="WPN74" s="317"/>
      <c r="WPO74" s="317"/>
      <c r="WPP74" s="317"/>
      <c r="WPQ74" s="317"/>
      <c r="WPR74" s="317"/>
      <c r="WPS74" s="317"/>
      <c r="WPT74" s="317"/>
      <c r="WPU74" s="317"/>
      <c r="WPV74" s="317"/>
      <c r="WPW74" s="317"/>
      <c r="WPX74" s="317"/>
      <c r="WPY74" s="317"/>
      <c r="WPZ74" s="317"/>
      <c r="WQA74" s="317"/>
      <c r="WQB74" s="317"/>
      <c r="WQC74" s="317"/>
      <c r="WQD74" s="317"/>
      <c r="WQE74" s="317"/>
      <c r="WQF74" s="317"/>
      <c r="WQG74" s="317"/>
      <c r="WQH74" s="317"/>
      <c r="WQI74" s="317"/>
      <c r="WQJ74" s="317"/>
      <c r="WQK74" s="317"/>
      <c r="WQL74" s="317"/>
      <c r="WQM74" s="317"/>
      <c r="WQN74" s="317"/>
      <c r="WQO74" s="317"/>
      <c r="WQP74" s="317"/>
      <c r="WQQ74" s="317"/>
      <c r="WQR74" s="317"/>
      <c r="WQS74" s="317"/>
      <c r="WQT74" s="317"/>
      <c r="WQU74" s="317"/>
      <c r="WQV74" s="317"/>
      <c r="WQW74" s="317"/>
      <c r="WQX74" s="317"/>
      <c r="WQY74" s="317"/>
      <c r="WQZ74" s="317"/>
      <c r="WRA74" s="317"/>
      <c r="WRB74" s="317"/>
      <c r="WRC74" s="317"/>
      <c r="WRD74" s="317"/>
      <c r="WRE74" s="317"/>
      <c r="WRF74" s="317"/>
      <c r="WRG74" s="317"/>
      <c r="WRH74" s="317"/>
      <c r="WRI74" s="317"/>
      <c r="WRJ74" s="317"/>
      <c r="WRK74" s="317"/>
      <c r="WRL74" s="317"/>
      <c r="WRM74" s="317"/>
      <c r="WRN74" s="317"/>
      <c r="WRO74" s="317"/>
      <c r="WRP74" s="317"/>
      <c r="WRQ74" s="317"/>
      <c r="WRR74" s="317"/>
      <c r="WRS74" s="317"/>
      <c r="WRT74" s="317"/>
      <c r="WRU74" s="317"/>
      <c r="WRV74" s="317"/>
      <c r="WRW74" s="317"/>
      <c r="WRX74" s="317"/>
      <c r="WRY74" s="317"/>
      <c r="WRZ74" s="317"/>
      <c r="WSA74" s="317"/>
      <c r="WSB74" s="317"/>
      <c r="WSC74" s="317"/>
      <c r="WSD74" s="317"/>
      <c r="WSE74" s="317"/>
      <c r="WSF74" s="317"/>
      <c r="WSG74" s="317"/>
      <c r="WSH74" s="317"/>
      <c r="WSI74" s="317"/>
      <c r="WSJ74" s="317"/>
      <c r="WSK74" s="317"/>
      <c r="WSL74" s="317"/>
      <c r="WSM74" s="317"/>
      <c r="WSN74" s="317"/>
      <c r="WSO74" s="317"/>
      <c r="WSP74" s="317"/>
      <c r="WSQ74" s="317"/>
      <c r="WSR74" s="317"/>
      <c r="WSS74" s="317"/>
      <c r="WST74" s="317"/>
      <c r="WSU74" s="317"/>
      <c r="WSV74" s="317"/>
      <c r="WSW74" s="317"/>
      <c r="WSX74" s="317"/>
      <c r="WSY74" s="317"/>
      <c r="WSZ74" s="317"/>
      <c r="WTA74" s="317"/>
      <c r="WTB74" s="317"/>
      <c r="WTC74" s="317"/>
      <c r="WTD74" s="317"/>
      <c r="WTE74" s="317"/>
      <c r="WTF74" s="317"/>
      <c r="WTG74" s="317"/>
      <c r="WTH74" s="317"/>
      <c r="WTI74" s="317"/>
      <c r="WTJ74" s="317"/>
      <c r="WTK74" s="317"/>
      <c r="WTL74" s="317"/>
      <c r="WTM74" s="317"/>
      <c r="WTN74" s="317"/>
      <c r="WTO74" s="317"/>
      <c r="WTP74" s="317"/>
      <c r="WTQ74" s="317"/>
      <c r="WTR74" s="317"/>
      <c r="WTS74" s="317"/>
      <c r="WTT74" s="317"/>
      <c r="WTU74" s="317"/>
      <c r="WTV74" s="317"/>
      <c r="WTW74" s="317"/>
      <c r="WTX74" s="317"/>
      <c r="WTY74" s="317"/>
      <c r="WTZ74" s="317"/>
      <c r="WUA74" s="317"/>
      <c r="WUB74" s="317"/>
      <c r="WUC74" s="317"/>
      <c r="WUD74" s="317"/>
      <c r="WUE74" s="317"/>
      <c r="WUF74" s="317"/>
      <c r="WUG74" s="317"/>
      <c r="WUH74" s="317"/>
      <c r="WUI74" s="317"/>
      <c r="WUJ74" s="317"/>
      <c r="WUK74" s="317"/>
      <c r="WUL74" s="317"/>
      <c r="WUM74" s="317"/>
      <c r="WUN74" s="317"/>
      <c r="WUO74" s="317"/>
      <c r="WUP74" s="317"/>
      <c r="WUQ74" s="317"/>
      <c r="WUR74" s="317"/>
      <c r="WUS74" s="317"/>
      <c r="WUT74" s="317"/>
      <c r="WUU74" s="317"/>
      <c r="WUV74" s="317"/>
      <c r="WUW74" s="317"/>
      <c r="WUX74" s="317"/>
      <c r="WUY74" s="317"/>
      <c r="WUZ74" s="317"/>
      <c r="WVA74" s="317"/>
      <c r="WVB74" s="317"/>
      <c r="WVC74" s="317"/>
      <c r="WVD74" s="317"/>
      <c r="WVE74" s="317"/>
      <c r="WVF74" s="317"/>
      <c r="WVG74" s="317"/>
      <c r="WVH74" s="317"/>
      <c r="WVI74" s="317"/>
      <c r="WVJ74" s="317"/>
      <c r="WVK74" s="317"/>
      <c r="WVL74" s="317"/>
      <c r="WVM74" s="317"/>
      <c r="WVN74" s="317"/>
      <c r="WVO74" s="317"/>
      <c r="WVP74" s="317"/>
      <c r="WVQ74" s="317"/>
      <c r="WVR74" s="317"/>
      <c r="WVS74" s="317"/>
      <c r="WVT74" s="317"/>
      <c r="WVU74" s="317"/>
      <c r="WVV74" s="317"/>
      <c r="WVW74" s="317"/>
      <c r="WVX74" s="317"/>
      <c r="WVY74" s="317"/>
      <c r="WVZ74" s="317"/>
      <c r="WWA74" s="317"/>
      <c r="WWB74" s="317"/>
      <c r="WWC74" s="317"/>
      <c r="WWD74" s="317"/>
      <c r="WWE74" s="317"/>
      <c r="WWF74" s="317"/>
      <c r="WWG74" s="317"/>
      <c r="WWH74" s="317"/>
      <c r="WWI74" s="317"/>
      <c r="WWJ74" s="317"/>
      <c r="WWK74" s="317"/>
      <c r="WWL74" s="317"/>
      <c r="WWM74" s="317"/>
      <c r="WWN74" s="317"/>
      <c r="WWO74" s="317"/>
      <c r="WWP74" s="317"/>
      <c r="WWQ74" s="317"/>
      <c r="WWR74" s="317"/>
      <c r="WWS74" s="317"/>
      <c r="WWT74" s="317"/>
      <c r="WWU74" s="317"/>
      <c r="WWV74" s="317"/>
      <c r="WWW74" s="317"/>
      <c r="WWX74" s="317"/>
      <c r="WWY74" s="317"/>
      <c r="WWZ74" s="317"/>
      <c r="WXA74" s="317"/>
      <c r="WXB74" s="317"/>
      <c r="WXC74" s="317"/>
      <c r="WXD74" s="317"/>
      <c r="WXE74" s="317"/>
      <c r="WXF74" s="317"/>
      <c r="WXG74" s="317"/>
      <c r="WXH74" s="317"/>
      <c r="WXI74" s="317"/>
      <c r="WXJ74" s="317"/>
      <c r="WXK74" s="317"/>
      <c r="WXL74" s="317"/>
      <c r="WXM74" s="317"/>
      <c r="WXN74" s="317"/>
      <c r="WXO74" s="317"/>
      <c r="WXP74" s="317"/>
      <c r="WXQ74" s="317"/>
      <c r="WXR74" s="317"/>
      <c r="WXS74" s="317"/>
      <c r="WXT74" s="317"/>
      <c r="WXU74" s="317"/>
      <c r="WXV74" s="317"/>
      <c r="WXW74" s="317"/>
      <c r="WXX74" s="317"/>
      <c r="WXY74" s="317"/>
      <c r="WXZ74" s="317"/>
      <c r="WYA74" s="317"/>
      <c r="WYB74" s="317"/>
      <c r="WYC74" s="317"/>
      <c r="WYD74" s="317"/>
      <c r="WYE74" s="317"/>
      <c r="WYF74" s="317"/>
      <c r="WYG74" s="317"/>
      <c r="WYH74" s="317"/>
      <c r="WYI74" s="317"/>
      <c r="WYJ74" s="317"/>
      <c r="WYK74" s="317"/>
      <c r="WYL74" s="317"/>
      <c r="WYM74" s="317"/>
      <c r="WYN74" s="317"/>
      <c r="WYO74" s="317"/>
      <c r="WYP74" s="317"/>
      <c r="WYQ74" s="317"/>
      <c r="WYR74" s="317"/>
      <c r="WYS74" s="317"/>
      <c r="WYT74" s="317"/>
      <c r="WYU74" s="317"/>
      <c r="WYV74" s="317"/>
      <c r="WYW74" s="317"/>
      <c r="WYX74" s="317"/>
      <c r="WYY74" s="317"/>
      <c r="WYZ74" s="317"/>
      <c r="WZA74" s="317"/>
      <c r="WZB74" s="317"/>
      <c r="WZC74" s="317"/>
      <c r="WZD74" s="317"/>
      <c r="WZE74" s="317"/>
      <c r="WZF74" s="317"/>
      <c r="WZG74" s="317"/>
      <c r="WZH74" s="317"/>
      <c r="WZI74" s="317"/>
      <c r="WZJ74" s="317"/>
      <c r="WZK74" s="317"/>
      <c r="WZL74" s="317"/>
      <c r="WZM74" s="317"/>
      <c r="WZN74" s="317"/>
      <c r="WZO74" s="317"/>
      <c r="WZP74" s="317"/>
      <c r="WZQ74" s="317"/>
      <c r="WZR74" s="317"/>
      <c r="WZS74" s="317"/>
      <c r="WZT74" s="317"/>
      <c r="WZU74" s="317"/>
      <c r="WZV74" s="317"/>
      <c r="WZW74" s="317"/>
      <c r="WZX74" s="317"/>
      <c r="WZY74" s="317"/>
      <c r="WZZ74" s="317"/>
      <c r="XAA74" s="317"/>
      <c r="XAB74" s="317"/>
      <c r="XAC74" s="317"/>
      <c r="XAD74" s="317"/>
      <c r="XAE74" s="317"/>
      <c r="XAF74" s="317"/>
      <c r="XAG74" s="317"/>
      <c r="XAH74" s="317"/>
      <c r="XAI74" s="317"/>
      <c r="XAJ74" s="317"/>
      <c r="XAK74" s="317"/>
      <c r="XAL74" s="317"/>
      <c r="XAM74" s="317"/>
      <c r="XAN74" s="317"/>
      <c r="XAO74" s="317"/>
      <c r="XAP74" s="317"/>
      <c r="XAQ74" s="317"/>
      <c r="XAR74" s="317"/>
      <c r="XAS74" s="317"/>
      <c r="XAT74" s="317"/>
      <c r="XAU74" s="317"/>
      <c r="XAV74" s="317"/>
      <c r="XAW74" s="317"/>
      <c r="XAX74" s="317"/>
      <c r="XAY74" s="317"/>
      <c r="XAZ74" s="317"/>
      <c r="XBA74" s="317"/>
      <c r="XBB74" s="317"/>
      <c r="XBC74" s="317"/>
      <c r="XBD74" s="317"/>
      <c r="XBE74" s="317"/>
      <c r="XBF74" s="317"/>
      <c r="XBG74" s="317"/>
      <c r="XBH74" s="317"/>
      <c r="XBI74" s="317"/>
      <c r="XBJ74" s="317"/>
      <c r="XBK74" s="317"/>
      <c r="XBL74" s="317"/>
      <c r="XBM74" s="317"/>
      <c r="XBN74" s="317"/>
      <c r="XBO74" s="317"/>
      <c r="XBP74" s="317"/>
      <c r="XBQ74" s="317"/>
      <c r="XBR74" s="317"/>
      <c r="XBS74" s="317"/>
      <c r="XBT74" s="317"/>
      <c r="XBU74" s="317"/>
      <c r="XBV74" s="317"/>
      <c r="XBW74" s="317"/>
      <c r="XBX74" s="317"/>
      <c r="XBY74" s="317"/>
      <c r="XBZ74" s="317"/>
      <c r="XCA74" s="317"/>
      <c r="XCB74" s="317"/>
      <c r="XCC74" s="317"/>
      <c r="XCD74" s="317"/>
      <c r="XCE74" s="317"/>
      <c r="XCF74" s="317"/>
      <c r="XCG74" s="317"/>
      <c r="XCH74" s="317"/>
      <c r="XCI74" s="317"/>
      <c r="XCJ74" s="317"/>
      <c r="XCK74" s="317"/>
      <c r="XCL74" s="317"/>
      <c r="XCM74" s="317"/>
      <c r="XCN74" s="317"/>
      <c r="XCO74" s="317"/>
      <c r="XCP74" s="317"/>
      <c r="XCQ74" s="317"/>
      <c r="XCR74" s="317"/>
      <c r="XCS74" s="317"/>
      <c r="XCT74" s="317"/>
      <c r="XCU74" s="317"/>
      <c r="XCV74" s="317"/>
      <c r="XCW74" s="317"/>
      <c r="XCX74" s="317"/>
      <c r="XCY74" s="317"/>
      <c r="XCZ74" s="317"/>
      <c r="XDA74" s="317"/>
      <c r="XDB74" s="317"/>
      <c r="XDC74" s="317"/>
      <c r="XDD74" s="317"/>
      <c r="XDE74" s="317"/>
      <c r="XDF74" s="317"/>
      <c r="XDG74" s="317"/>
      <c r="XDH74" s="317"/>
      <c r="XDI74" s="317"/>
      <c r="XDJ74" s="317"/>
      <c r="XDK74" s="317"/>
      <c r="XDL74" s="317"/>
      <c r="XDM74" s="317"/>
      <c r="XDN74" s="317"/>
      <c r="XDO74" s="317"/>
      <c r="XDP74" s="317"/>
      <c r="XDQ74" s="317"/>
      <c r="XDR74" s="317"/>
      <c r="XDS74" s="317"/>
      <c r="XDT74" s="317"/>
      <c r="XDU74" s="317"/>
      <c r="XDV74" s="317"/>
      <c r="XDW74" s="317"/>
      <c r="XDX74" s="317"/>
      <c r="XDY74" s="317"/>
      <c r="XDZ74" s="317"/>
      <c r="XEA74" s="317"/>
      <c r="XEB74" s="317"/>
      <c r="XEC74" s="317"/>
      <c r="XED74" s="317"/>
      <c r="XEE74" s="317"/>
      <c r="XEF74" s="317"/>
      <c r="XEG74" s="317"/>
      <c r="XEH74" s="317"/>
      <c r="XEI74" s="317"/>
      <c r="XEJ74" s="317"/>
      <c r="XEK74" s="317"/>
      <c r="XEL74" s="317"/>
      <c r="XEM74" s="317"/>
      <c r="XEN74" s="317"/>
      <c r="XEO74" s="317"/>
      <c r="XEP74" s="317"/>
      <c r="XEQ74" s="317"/>
      <c r="XER74" s="317"/>
      <c r="XES74" s="317"/>
      <c r="XET74" s="317"/>
      <c r="XEU74" s="317"/>
      <c r="XEV74" s="317"/>
      <c r="XEW74" s="317"/>
      <c r="XEX74" s="317"/>
      <c r="XEY74" s="317"/>
      <c r="XEZ74" s="317"/>
      <c r="XFA74" s="317"/>
      <c r="XFB74" s="317"/>
      <c r="XFC74" s="317"/>
      <c r="XFD74" s="317"/>
    </row>
    <row r="75" s="314" customFormat="1" ht="25" customHeight="1" spans="1:74 14505:16384">
      <c r="A75" s="340"/>
      <c r="B75" s="340" t="s">
        <v>96</v>
      </c>
      <c r="I75" s="315"/>
      <c r="O75" s="316"/>
      <c r="P75" s="316"/>
      <c r="V75" s="316"/>
      <c r="W75" s="316"/>
      <c r="X75" s="316"/>
      <c r="Y75" s="316"/>
      <c r="Z75" s="316"/>
      <c r="AA75" s="316"/>
      <c r="AB75" s="316"/>
      <c r="AC75" s="316"/>
      <c r="AD75" s="316"/>
      <c r="AK75" s="316"/>
      <c r="AQ75" s="316"/>
      <c r="AR75" s="316"/>
      <c r="AY75" s="316"/>
      <c r="BA75" s="356"/>
      <c r="BB75" s="356"/>
      <c r="BE75" s="316"/>
      <c r="BF75" s="316"/>
      <c r="BM75" s="316"/>
      <c r="BS75" s="316"/>
      <c r="BT75" s="316"/>
      <c r="UKW75" s="317"/>
      <c r="UKX75" s="317"/>
      <c r="UKY75" s="317"/>
      <c r="UKZ75" s="317"/>
      <c r="ULA75" s="317"/>
      <c r="ULB75" s="317"/>
      <c r="ULC75" s="317"/>
      <c r="ULD75" s="317"/>
      <c r="ULE75" s="317"/>
      <c r="ULF75" s="317"/>
      <c r="ULG75" s="317"/>
      <c r="ULH75" s="317"/>
      <c r="ULI75" s="317"/>
      <c r="ULJ75" s="317"/>
      <c r="ULK75" s="317"/>
      <c r="ULL75" s="317"/>
      <c r="ULM75" s="317"/>
      <c r="ULN75" s="317"/>
      <c r="ULO75" s="317"/>
      <c r="ULP75" s="317"/>
      <c r="ULQ75" s="317"/>
      <c r="ULR75" s="317"/>
      <c r="ULS75" s="317"/>
      <c r="ULT75" s="317"/>
      <c r="ULU75" s="317"/>
      <c r="ULV75" s="317"/>
      <c r="ULW75" s="317"/>
      <c r="ULX75" s="317"/>
      <c r="ULY75" s="317"/>
      <c r="ULZ75" s="317"/>
      <c r="UMA75" s="317"/>
      <c r="UMB75" s="317"/>
      <c r="UMC75" s="317"/>
      <c r="UMD75" s="317"/>
      <c r="UME75" s="317"/>
      <c r="UMF75" s="317"/>
      <c r="UMG75" s="317"/>
      <c r="UMH75" s="317"/>
      <c r="UMI75" s="317"/>
      <c r="UMJ75" s="317"/>
      <c r="UMK75" s="317"/>
      <c r="UML75" s="317"/>
      <c r="UMM75" s="317"/>
      <c r="UMN75" s="317"/>
      <c r="UMO75" s="317"/>
      <c r="UMP75" s="317"/>
      <c r="UMQ75" s="317"/>
      <c r="UMR75" s="317"/>
      <c r="UMS75" s="317"/>
      <c r="UMT75" s="317"/>
      <c r="UMU75" s="317"/>
      <c r="UMV75" s="317"/>
      <c r="UMW75" s="317"/>
      <c r="UMX75" s="317"/>
      <c r="UMY75" s="317"/>
      <c r="UMZ75" s="317"/>
      <c r="UNA75" s="317"/>
      <c r="UNB75" s="317"/>
      <c r="UNC75" s="317"/>
      <c r="UND75" s="317"/>
      <c r="UNE75" s="317"/>
      <c r="UNF75" s="317"/>
      <c r="UNG75" s="317"/>
      <c r="UNH75" s="317"/>
      <c r="UNI75" s="317"/>
      <c r="UNJ75" s="317"/>
      <c r="UNK75" s="317"/>
      <c r="UNL75" s="317"/>
      <c r="UNM75" s="317"/>
      <c r="UNN75" s="317"/>
      <c r="UNO75" s="317"/>
      <c r="UNP75" s="317"/>
      <c r="UNQ75" s="317"/>
      <c r="UNR75" s="317"/>
      <c r="UNS75" s="317"/>
      <c r="UNT75" s="317"/>
      <c r="UNU75" s="317"/>
      <c r="UNV75" s="317"/>
      <c r="UNW75" s="317"/>
      <c r="UNX75" s="317"/>
      <c r="UNY75" s="317"/>
      <c r="UNZ75" s="317"/>
      <c r="UOA75" s="317"/>
      <c r="UOB75" s="317"/>
      <c r="UOC75" s="317"/>
      <c r="UOD75" s="317"/>
      <c r="UOE75" s="317"/>
      <c r="UOF75" s="317"/>
      <c r="UOG75" s="317"/>
      <c r="UOH75" s="317"/>
      <c r="UOI75" s="317"/>
      <c r="UOJ75" s="317"/>
      <c r="UOK75" s="317"/>
      <c r="UOL75" s="317"/>
      <c r="UOM75" s="317"/>
      <c r="UON75" s="317"/>
      <c r="UOO75" s="317"/>
      <c r="UOP75" s="317"/>
      <c r="UOQ75" s="317"/>
      <c r="UOR75" s="317"/>
      <c r="UOS75" s="317"/>
      <c r="UOT75" s="317"/>
      <c r="UOU75" s="317"/>
      <c r="UOV75" s="317"/>
      <c r="UOW75" s="317"/>
      <c r="UOX75" s="317"/>
      <c r="UOY75" s="317"/>
      <c r="UOZ75" s="317"/>
      <c r="UPA75" s="317"/>
      <c r="UPB75" s="317"/>
      <c r="UPC75" s="317"/>
      <c r="UPD75" s="317"/>
      <c r="UPE75" s="317"/>
      <c r="UPF75" s="317"/>
      <c r="UPG75" s="317"/>
      <c r="UPH75" s="317"/>
      <c r="UPI75" s="317"/>
      <c r="UPJ75" s="317"/>
      <c r="UPK75" s="317"/>
      <c r="UPL75" s="317"/>
      <c r="UPM75" s="317"/>
      <c r="UPN75" s="317"/>
      <c r="UPO75" s="317"/>
      <c r="UPP75" s="317"/>
      <c r="UPQ75" s="317"/>
      <c r="UPR75" s="317"/>
      <c r="UPS75" s="317"/>
      <c r="UPT75" s="317"/>
      <c r="UPU75" s="317"/>
      <c r="UPV75" s="317"/>
      <c r="UPW75" s="317"/>
      <c r="UPX75" s="317"/>
      <c r="UPY75" s="317"/>
      <c r="UPZ75" s="317"/>
      <c r="UQA75" s="317"/>
      <c r="UQB75" s="317"/>
      <c r="UQC75" s="317"/>
      <c r="UQD75" s="317"/>
      <c r="UQE75" s="317"/>
      <c r="UQF75" s="317"/>
      <c r="UQG75" s="317"/>
      <c r="UQH75" s="317"/>
      <c r="UQI75" s="317"/>
      <c r="UQJ75" s="317"/>
      <c r="UQK75" s="317"/>
      <c r="UQL75" s="317"/>
      <c r="UQM75" s="317"/>
      <c r="UQN75" s="317"/>
      <c r="UQO75" s="317"/>
      <c r="UQP75" s="317"/>
      <c r="UQQ75" s="317"/>
      <c r="UQR75" s="317"/>
      <c r="UQS75" s="317"/>
      <c r="UQT75" s="317"/>
      <c r="UQU75" s="317"/>
      <c r="UQV75" s="317"/>
      <c r="UQW75" s="317"/>
      <c r="UQX75" s="317"/>
      <c r="UQY75" s="317"/>
      <c r="UQZ75" s="317"/>
      <c r="URA75" s="317"/>
      <c r="URB75" s="317"/>
      <c r="URC75" s="317"/>
      <c r="URD75" s="317"/>
      <c r="URE75" s="317"/>
      <c r="URF75" s="317"/>
      <c r="URG75" s="317"/>
      <c r="URH75" s="317"/>
      <c r="URI75" s="317"/>
      <c r="URJ75" s="317"/>
      <c r="URK75" s="317"/>
      <c r="URL75" s="317"/>
      <c r="URM75" s="317"/>
      <c r="URN75" s="317"/>
      <c r="URO75" s="317"/>
      <c r="URP75" s="317"/>
      <c r="URQ75" s="317"/>
      <c r="URR75" s="317"/>
      <c r="URS75" s="317"/>
      <c r="URT75" s="317"/>
      <c r="URU75" s="317"/>
      <c r="URV75" s="317"/>
      <c r="URW75" s="317"/>
      <c r="URX75" s="317"/>
      <c r="URY75" s="317"/>
      <c r="URZ75" s="317"/>
      <c r="USA75" s="317"/>
      <c r="USB75" s="317"/>
      <c r="USC75" s="317"/>
      <c r="USD75" s="317"/>
      <c r="USE75" s="317"/>
      <c r="USF75" s="317"/>
      <c r="USG75" s="317"/>
      <c r="USH75" s="317"/>
      <c r="USI75" s="317"/>
      <c r="USJ75" s="317"/>
      <c r="USK75" s="317"/>
      <c r="USL75" s="317"/>
      <c r="USM75" s="317"/>
      <c r="USN75" s="317"/>
      <c r="USO75" s="317"/>
      <c r="USP75" s="317"/>
      <c r="USQ75" s="317"/>
      <c r="USR75" s="317"/>
      <c r="USS75" s="317"/>
      <c r="UST75" s="317"/>
      <c r="USU75" s="317"/>
      <c r="USV75" s="317"/>
      <c r="USW75" s="317"/>
      <c r="USX75" s="317"/>
      <c r="USY75" s="317"/>
      <c r="USZ75" s="317"/>
      <c r="UTA75" s="317"/>
      <c r="UTB75" s="317"/>
      <c r="UTC75" s="317"/>
      <c r="UTD75" s="317"/>
      <c r="UTE75" s="317"/>
      <c r="UTF75" s="317"/>
      <c r="UTG75" s="317"/>
      <c r="UTH75" s="317"/>
      <c r="UTI75" s="317"/>
      <c r="UTJ75" s="317"/>
      <c r="UTK75" s="317"/>
      <c r="UTL75" s="317"/>
      <c r="UTM75" s="317"/>
      <c r="UTN75" s="317"/>
      <c r="UTO75" s="317"/>
      <c r="UTP75" s="317"/>
      <c r="UTQ75" s="317"/>
      <c r="UTR75" s="317"/>
      <c r="UTS75" s="317"/>
      <c r="UTT75" s="317"/>
      <c r="UTU75" s="317"/>
      <c r="UTV75" s="317"/>
      <c r="UTW75" s="317"/>
      <c r="UTX75" s="317"/>
      <c r="UTY75" s="317"/>
      <c r="UTZ75" s="317"/>
      <c r="UUA75" s="317"/>
      <c r="UUB75" s="317"/>
      <c r="UUC75" s="317"/>
      <c r="UUD75" s="317"/>
      <c r="UUE75" s="317"/>
      <c r="UUF75" s="317"/>
      <c r="UUG75" s="317"/>
      <c r="UUH75" s="317"/>
      <c r="UUI75" s="317"/>
      <c r="UUJ75" s="317"/>
      <c r="UUK75" s="317"/>
      <c r="UUL75" s="317"/>
      <c r="UUM75" s="317"/>
      <c r="UUN75" s="317"/>
      <c r="UUO75" s="317"/>
      <c r="UUP75" s="317"/>
      <c r="UUQ75" s="317"/>
      <c r="UUR75" s="317"/>
      <c r="UUS75" s="317"/>
      <c r="UUT75" s="317"/>
      <c r="UUU75" s="317"/>
      <c r="UUV75" s="317"/>
      <c r="UUW75" s="317"/>
      <c r="UUX75" s="317"/>
      <c r="UUY75" s="317"/>
      <c r="UUZ75" s="317"/>
      <c r="UVA75" s="317"/>
      <c r="UVB75" s="317"/>
      <c r="UVC75" s="317"/>
      <c r="UVD75" s="317"/>
      <c r="UVE75" s="317"/>
      <c r="UVF75" s="317"/>
      <c r="UVG75" s="317"/>
      <c r="UVH75" s="317"/>
      <c r="UVI75" s="317"/>
      <c r="UVJ75" s="317"/>
      <c r="UVK75" s="317"/>
      <c r="UVL75" s="317"/>
      <c r="UVM75" s="317"/>
      <c r="UVN75" s="317"/>
      <c r="UVO75" s="317"/>
      <c r="UVP75" s="317"/>
      <c r="UVQ75" s="317"/>
      <c r="UVR75" s="317"/>
      <c r="UVS75" s="317"/>
      <c r="UVT75" s="317"/>
      <c r="UVU75" s="317"/>
      <c r="UVV75" s="317"/>
      <c r="UVW75" s="317"/>
      <c r="UVX75" s="317"/>
      <c r="UVY75" s="317"/>
      <c r="UVZ75" s="317"/>
      <c r="UWA75" s="317"/>
      <c r="UWB75" s="317"/>
      <c r="UWC75" s="317"/>
      <c r="UWD75" s="317"/>
      <c r="UWE75" s="317"/>
      <c r="UWF75" s="317"/>
      <c r="UWG75" s="317"/>
      <c r="UWH75" s="317"/>
      <c r="UWI75" s="317"/>
      <c r="UWJ75" s="317"/>
      <c r="UWK75" s="317"/>
      <c r="UWL75" s="317"/>
      <c r="UWM75" s="317"/>
      <c r="UWN75" s="317"/>
      <c r="UWO75" s="317"/>
      <c r="UWP75" s="317"/>
      <c r="UWQ75" s="317"/>
      <c r="UWR75" s="317"/>
      <c r="UWS75" s="317"/>
      <c r="UWT75" s="317"/>
      <c r="UWU75" s="317"/>
      <c r="UWV75" s="317"/>
      <c r="UWW75" s="317"/>
      <c r="UWX75" s="317"/>
      <c r="UWY75" s="317"/>
      <c r="UWZ75" s="317"/>
      <c r="UXA75" s="317"/>
      <c r="UXB75" s="317"/>
      <c r="UXC75" s="317"/>
      <c r="UXD75" s="317"/>
      <c r="UXE75" s="317"/>
      <c r="UXF75" s="317"/>
      <c r="UXG75" s="317"/>
      <c r="UXH75" s="317"/>
      <c r="UXI75" s="317"/>
      <c r="UXJ75" s="317"/>
      <c r="UXK75" s="317"/>
      <c r="UXL75" s="317"/>
      <c r="UXM75" s="317"/>
      <c r="UXN75" s="317"/>
      <c r="UXO75" s="317"/>
      <c r="UXP75" s="317"/>
      <c r="UXQ75" s="317"/>
      <c r="UXR75" s="317"/>
      <c r="UXS75" s="317"/>
      <c r="UXT75" s="317"/>
      <c r="UXU75" s="317"/>
      <c r="UXV75" s="317"/>
      <c r="UXW75" s="317"/>
      <c r="UXX75" s="317"/>
      <c r="UXY75" s="317"/>
      <c r="UXZ75" s="317"/>
      <c r="UYA75" s="317"/>
      <c r="UYB75" s="317"/>
      <c r="UYC75" s="317"/>
      <c r="UYD75" s="317"/>
      <c r="UYE75" s="317"/>
      <c r="UYF75" s="317"/>
      <c r="UYG75" s="317"/>
      <c r="UYH75" s="317"/>
      <c r="UYI75" s="317"/>
      <c r="UYJ75" s="317"/>
      <c r="UYK75" s="317"/>
      <c r="UYL75" s="317"/>
      <c r="UYM75" s="317"/>
      <c r="UYN75" s="317"/>
      <c r="UYO75" s="317"/>
      <c r="UYP75" s="317"/>
      <c r="UYQ75" s="317"/>
      <c r="UYR75" s="317"/>
      <c r="UYS75" s="317"/>
      <c r="UYT75" s="317"/>
      <c r="UYU75" s="317"/>
      <c r="UYV75" s="317"/>
      <c r="UYW75" s="317"/>
      <c r="UYX75" s="317"/>
      <c r="UYY75" s="317"/>
      <c r="UYZ75" s="317"/>
      <c r="UZA75" s="317"/>
      <c r="UZB75" s="317"/>
      <c r="UZC75" s="317"/>
      <c r="UZD75" s="317"/>
      <c r="UZE75" s="317"/>
      <c r="UZF75" s="317"/>
      <c r="UZG75" s="317"/>
      <c r="UZH75" s="317"/>
      <c r="UZI75" s="317"/>
      <c r="UZJ75" s="317"/>
      <c r="UZK75" s="317"/>
      <c r="UZL75" s="317"/>
      <c r="UZM75" s="317"/>
      <c r="UZN75" s="317"/>
      <c r="UZO75" s="317"/>
      <c r="UZP75" s="317"/>
      <c r="UZQ75" s="317"/>
      <c r="UZR75" s="317"/>
      <c r="UZS75" s="317"/>
      <c r="UZT75" s="317"/>
      <c r="UZU75" s="317"/>
      <c r="UZV75" s="317"/>
      <c r="UZW75" s="317"/>
      <c r="UZX75" s="317"/>
      <c r="UZY75" s="317"/>
      <c r="UZZ75" s="317"/>
      <c r="VAA75" s="317"/>
      <c r="VAB75" s="317"/>
      <c r="VAC75" s="317"/>
      <c r="VAD75" s="317"/>
      <c r="VAE75" s="317"/>
      <c r="VAF75" s="317"/>
      <c r="VAG75" s="317"/>
      <c r="VAH75" s="317"/>
      <c r="VAI75" s="317"/>
      <c r="VAJ75" s="317"/>
      <c r="VAK75" s="317"/>
      <c r="VAL75" s="317"/>
      <c r="VAM75" s="317"/>
      <c r="VAN75" s="317"/>
      <c r="VAO75" s="317"/>
      <c r="VAP75" s="317"/>
      <c r="VAQ75" s="317"/>
      <c r="VAR75" s="317"/>
      <c r="VAS75" s="317"/>
      <c r="VAT75" s="317"/>
      <c r="VAU75" s="317"/>
      <c r="VAV75" s="317"/>
      <c r="VAW75" s="317"/>
      <c r="VAX75" s="317"/>
      <c r="VAY75" s="317"/>
      <c r="VAZ75" s="317"/>
      <c r="VBA75" s="317"/>
      <c r="VBB75" s="317"/>
      <c r="VBC75" s="317"/>
      <c r="VBD75" s="317"/>
      <c r="VBE75" s="317"/>
      <c r="VBF75" s="317"/>
      <c r="VBG75" s="317"/>
      <c r="VBH75" s="317"/>
      <c r="VBI75" s="317"/>
      <c r="VBJ75" s="317"/>
      <c r="VBK75" s="317"/>
      <c r="VBL75" s="317"/>
      <c r="VBM75" s="317"/>
      <c r="VBN75" s="317"/>
      <c r="VBO75" s="317"/>
      <c r="VBP75" s="317"/>
      <c r="VBQ75" s="317"/>
      <c r="VBR75" s="317"/>
      <c r="VBS75" s="317"/>
      <c r="VBT75" s="317"/>
      <c r="VBU75" s="317"/>
      <c r="VBV75" s="317"/>
      <c r="VBW75" s="317"/>
      <c r="VBX75" s="317"/>
      <c r="VBY75" s="317"/>
      <c r="VBZ75" s="317"/>
      <c r="VCA75" s="317"/>
      <c r="VCB75" s="317"/>
      <c r="VCC75" s="317"/>
      <c r="VCD75" s="317"/>
      <c r="VCE75" s="317"/>
      <c r="VCF75" s="317"/>
      <c r="VCG75" s="317"/>
      <c r="VCH75" s="317"/>
      <c r="VCI75" s="317"/>
      <c r="VCJ75" s="317"/>
      <c r="VCK75" s="317"/>
      <c r="VCL75" s="317"/>
      <c r="VCM75" s="317"/>
      <c r="VCN75" s="317"/>
      <c r="VCO75" s="317"/>
      <c r="VCP75" s="317"/>
      <c r="VCQ75" s="317"/>
      <c r="VCR75" s="317"/>
      <c r="VCS75" s="317"/>
      <c r="VCT75" s="317"/>
      <c r="VCU75" s="317"/>
      <c r="VCV75" s="317"/>
      <c r="VCW75" s="317"/>
      <c r="VCX75" s="317"/>
      <c r="VCY75" s="317"/>
      <c r="VCZ75" s="317"/>
      <c r="VDA75" s="317"/>
      <c r="VDB75" s="317"/>
      <c r="VDC75" s="317"/>
      <c r="VDD75" s="317"/>
      <c r="VDE75" s="317"/>
      <c r="VDF75" s="317"/>
      <c r="VDG75" s="317"/>
      <c r="VDH75" s="317"/>
      <c r="VDI75" s="317"/>
      <c r="VDJ75" s="317"/>
      <c r="VDK75" s="317"/>
      <c r="VDL75" s="317"/>
      <c r="VDM75" s="317"/>
      <c r="VDN75" s="317"/>
      <c r="VDO75" s="317"/>
      <c r="VDP75" s="317"/>
      <c r="VDQ75" s="317"/>
      <c r="VDR75" s="317"/>
      <c r="VDS75" s="317"/>
      <c r="VDT75" s="317"/>
      <c r="VDU75" s="317"/>
      <c r="VDV75" s="317"/>
      <c r="VDW75" s="317"/>
      <c r="VDX75" s="317"/>
      <c r="VDY75" s="317"/>
      <c r="VDZ75" s="317"/>
      <c r="VEA75" s="317"/>
      <c r="VEB75" s="317"/>
      <c r="VEC75" s="317"/>
      <c r="VED75" s="317"/>
      <c r="VEE75" s="317"/>
      <c r="VEF75" s="317"/>
      <c r="VEG75" s="317"/>
      <c r="VEH75" s="317"/>
      <c r="VEI75" s="317"/>
      <c r="VEJ75" s="317"/>
      <c r="VEK75" s="317"/>
      <c r="VEL75" s="317"/>
      <c r="VEM75" s="317"/>
      <c r="VEN75" s="317"/>
      <c r="VEO75" s="317"/>
      <c r="VEP75" s="317"/>
      <c r="VEQ75" s="317"/>
      <c r="VER75" s="317"/>
      <c r="VES75" s="317"/>
      <c r="VET75" s="317"/>
      <c r="VEU75" s="317"/>
      <c r="VEV75" s="317"/>
      <c r="VEW75" s="317"/>
      <c r="VEX75" s="317"/>
      <c r="VEY75" s="317"/>
      <c r="VEZ75" s="317"/>
      <c r="VFA75" s="317"/>
      <c r="VFB75" s="317"/>
      <c r="VFC75" s="317"/>
      <c r="VFD75" s="317"/>
      <c r="VFE75" s="317"/>
      <c r="VFF75" s="317"/>
      <c r="VFG75" s="317"/>
      <c r="VFH75" s="317"/>
      <c r="VFI75" s="317"/>
      <c r="VFJ75" s="317"/>
      <c r="VFK75" s="317"/>
      <c r="VFL75" s="317"/>
      <c r="VFM75" s="317"/>
      <c r="VFN75" s="317"/>
      <c r="VFO75" s="317"/>
      <c r="VFP75" s="317"/>
      <c r="VFQ75" s="317"/>
      <c r="VFR75" s="317"/>
      <c r="VFS75" s="317"/>
      <c r="VFT75" s="317"/>
      <c r="VFU75" s="317"/>
      <c r="VFV75" s="317"/>
      <c r="VFW75" s="317"/>
      <c r="VFX75" s="317"/>
      <c r="VFY75" s="317"/>
      <c r="VFZ75" s="317"/>
      <c r="VGA75" s="317"/>
      <c r="VGB75" s="317"/>
      <c r="VGC75" s="317"/>
      <c r="VGD75" s="317"/>
      <c r="VGE75" s="317"/>
      <c r="VGF75" s="317"/>
      <c r="VGG75" s="317"/>
      <c r="VGH75" s="317"/>
      <c r="VGI75" s="317"/>
      <c r="VGJ75" s="317"/>
      <c r="VGK75" s="317"/>
      <c r="VGL75" s="317"/>
      <c r="VGM75" s="317"/>
      <c r="VGN75" s="317"/>
      <c r="VGO75" s="317"/>
      <c r="VGP75" s="317"/>
      <c r="VGQ75" s="317"/>
      <c r="VGR75" s="317"/>
      <c r="VGS75" s="317"/>
      <c r="VGT75" s="317"/>
      <c r="VGU75" s="317"/>
      <c r="VGV75" s="317"/>
      <c r="VGW75" s="317"/>
      <c r="VGX75" s="317"/>
      <c r="VGY75" s="317"/>
      <c r="VGZ75" s="317"/>
      <c r="VHA75" s="317"/>
      <c r="VHB75" s="317"/>
      <c r="VHC75" s="317"/>
      <c r="VHD75" s="317"/>
      <c r="VHE75" s="317"/>
      <c r="VHF75" s="317"/>
      <c r="VHG75" s="317"/>
      <c r="VHH75" s="317"/>
      <c r="VHI75" s="317"/>
      <c r="VHJ75" s="317"/>
      <c r="VHK75" s="317"/>
      <c r="VHL75" s="317"/>
      <c r="VHM75" s="317"/>
      <c r="VHN75" s="317"/>
      <c r="VHO75" s="317"/>
      <c r="VHP75" s="317"/>
      <c r="VHQ75" s="317"/>
      <c r="VHR75" s="317"/>
      <c r="VHS75" s="317"/>
      <c r="VHT75" s="317"/>
      <c r="VHU75" s="317"/>
      <c r="VHV75" s="317"/>
      <c r="VHW75" s="317"/>
      <c r="VHX75" s="317"/>
      <c r="VHY75" s="317"/>
      <c r="VHZ75" s="317"/>
      <c r="VIA75" s="317"/>
      <c r="VIB75" s="317"/>
      <c r="VIC75" s="317"/>
      <c r="VID75" s="317"/>
      <c r="VIE75" s="317"/>
      <c r="VIF75" s="317"/>
      <c r="VIG75" s="317"/>
      <c r="VIH75" s="317"/>
      <c r="VII75" s="317"/>
      <c r="VIJ75" s="317"/>
      <c r="VIK75" s="317"/>
      <c r="VIL75" s="317"/>
      <c r="VIM75" s="317"/>
      <c r="VIN75" s="317"/>
      <c r="VIO75" s="317"/>
      <c r="VIP75" s="317"/>
      <c r="VIQ75" s="317"/>
      <c r="VIR75" s="317"/>
      <c r="VIS75" s="317"/>
      <c r="VIT75" s="317"/>
      <c r="VIU75" s="317"/>
      <c r="VIV75" s="317"/>
      <c r="VIW75" s="317"/>
      <c r="VIX75" s="317"/>
      <c r="VIY75" s="317"/>
      <c r="VIZ75" s="317"/>
      <c r="VJA75" s="317"/>
      <c r="VJB75" s="317"/>
      <c r="VJC75" s="317"/>
      <c r="VJD75" s="317"/>
      <c r="VJE75" s="317"/>
      <c r="VJF75" s="317"/>
      <c r="VJG75" s="317"/>
      <c r="VJH75" s="317"/>
      <c r="VJI75" s="317"/>
      <c r="VJJ75" s="317"/>
      <c r="VJK75" s="317"/>
      <c r="VJL75" s="317"/>
      <c r="VJM75" s="317"/>
      <c r="VJN75" s="317"/>
      <c r="VJO75" s="317"/>
      <c r="VJP75" s="317"/>
      <c r="VJQ75" s="317"/>
      <c r="VJR75" s="317"/>
      <c r="VJS75" s="317"/>
      <c r="VJT75" s="317"/>
      <c r="VJU75" s="317"/>
      <c r="VJV75" s="317"/>
      <c r="VJW75" s="317"/>
      <c r="VJX75" s="317"/>
      <c r="VJY75" s="317"/>
      <c r="VJZ75" s="317"/>
      <c r="VKA75" s="317"/>
      <c r="VKB75" s="317"/>
      <c r="VKC75" s="317"/>
      <c r="VKD75" s="317"/>
      <c r="VKE75" s="317"/>
      <c r="VKF75" s="317"/>
      <c r="VKG75" s="317"/>
      <c r="VKH75" s="317"/>
      <c r="VKI75" s="317"/>
      <c r="VKJ75" s="317"/>
      <c r="VKK75" s="317"/>
      <c r="VKL75" s="317"/>
      <c r="VKM75" s="317"/>
      <c r="VKN75" s="317"/>
      <c r="VKO75" s="317"/>
      <c r="VKP75" s="317"/>
      <c r="VKQ75" s="317"/>
      <c r="VKR75" s="317"/>
      <c r="VKS75" s="317"/>
      <c r="VKT75" s="317"/>
      <c r="VKU75" s="317"/>
      <c r="VKV75" s="317"/>
      <c r="VKW75" s="317"/>
      <c r="VKX75" s="317"/>
      <c r="VKY75" s="317"/>
      <c r="VKZ75" s="317"/>
      <c r="VLA75" s="317"/>
      <c r="VLB75" s="317"/>
      <c r="VLC75" s="317"/>
      <c r="VLD75" s="317"/>
      <c r="VLE75" s="317"/>
      <c r="VLF75" s="317"/>
      <c r="VLG75" s="317"/>
      <c r="VLH75" s="317"/>
      <c r="VLI75" s="317"/>
      <c r="VLJ75" s="317"/>
      <c r="VLK75" s="317"/>
      <c r="VLL75" s="317"/>
      <c r="VLM75" s="317"/>
      <c r="VLN75" s="317"/>
      <c r="VLO75" s="317"/>
      <c r="VLP75" s="317"/>
      <c r="VLQ75" s="317"/>
      <c r="VLR75" s="317"/>
      <c r="VLS75" s="317"/>
      <c r="VLT75" s="317"/>
      <c r="VLU75" s="317"/>
      <c r="VLV75" s="317"/>
      <c r="VLW75" s="317"/>
      <c r="VLX75" s="317"/>
      <c r="VLY75" s="317"/>
      <c r="VLZ75" s="317"/>
      <c r="VMA75" s="317"/>
      <c r="VMB75" s="317"/>
      <c r="VMC75" s="317"/>
      <c r="VMD75" s="317"/>
      <c r="VME75" s="317"/>
      <c r="VMF75" s="317"/>
      <c r="VMG75" s="317"/>
      <c r="VMH75" s="317"/>
      <c r="VMI75" s="317"/>
      <c r="VMJ75" s="317"/>
      <c r="VMK75" s="317"/>
      <c r="VML75" s="317"/>
      <c r="VMM75" s="317"/>
      <c r="VMN75" s="317"/>
      <c r="VMO75" s="317"/>
      <c r="VMP75" s="317"/>
      <c r="VMQ75" s="317"/>
      <c r="VMR75" s="317"/>
      <c r="VMS75" s="317"/>
      <c r="VMT75" s="317"/>
      <c r="VMU75" s="317"/>
      <c r="VMV75" s="317"/>
      <c r="VMW75" s="317"/>
      <c r="VMX75" s="317"/>
      <c r="VMY75" s="317"/>
      <c r="VMZ75" s="317"/>
      <c r="VNA75" s="317"/>
      <c r="VNB75" s="317"/>
      <c r="VNC75" s="317"/>
      <c r="VND75" s="317"/>
      <c r="VNE75" s="317"/>
      <c r="VNF75" s="317"/>
      <c r="VNG75" s="317"/>
      <c r="VNH75" s="317"/>
      <c r="VNI75" s="317"/>
      <c r="VNJ75" s="317"/>
      <c r="VNK75" s="317"/>
      <c r="VNL75" s="317"/>
      <c r="VNM75" s="317"/>
      <c r="VNN75" s="317"/>
      <c r="VNO75" s="317"/>
      <c r="VNP75" s="317"/>
      <c r="VNQ75" s="317"/>
      <c r="VNR75" s="317"/>
      <c r="VNS75" s="317"/>
      <c r="VNT75" s="317"/>
      <c r="VNU75" s="317"/>
      <c r="VNV75" s="317"/>
      <c r="VNW75" s="317"/>
      <c r="VNX75" s="317"/>
      <c r="VNY75" s="317"/>
      <c r="VNZ75" s="317"/>
      <c r="VOA75" s="317"/>
      <c r="VOB75" s="317"/>
      <c r="VOC75" s="317"/>
      <c r="VOD75" s="317"/>
      <c r="VOE75" s="317"/>
      <c r="VOF75" s="317"/>
      <c r="VOG75" s="317"/>
      <c r="VOH75" s="317"/>
      <c r="VOI75" s="317"/>
      <c r="VOJ75" s="317"/>
      <c r="VOK75" s="317"/>
      <c r="VOL75" s="317"/>
      <c r="VOM75" s="317"/>
      <c r="VON75" s="317"/>
      <c r="VOO75" s="317"/>
      <c r="VOP75" s="317"/>
      <c r="VOQ75" s="317"/>
      <c r="VOR75" s="317"/>
      <c r="VOS75" s="317"/>
      <c r="VOT75" s="317"/>
      <c r="VOU75" s="317"/>
      <c r="VOV75" s="317"/>
      <c r="VOW75" s="317"/>
      <c r="VOX75" s="317"/>
      <c r="VOY75" s="317"/>
      <c r="VOZ75" s="317"/>
      <c r="VPA75" s="317"/>
      <c r="VPB75" s="317"/>
      <c r="VPC75" s="317"/>
      <c r="VPD75" s="317"/>
      <c r="VPE75" s="317"/>
      <c r="VPF75" s="317"/>
      <c r="VPG75" s="317"/>
      <c r="VPH75" s="317"/>
      <c r="VPI75" s="317"/>
      <c r="VPJ75" s="317"/>
      <c r="VPK75" s="317"/>
      <c r="VPL75" s="317"/>
      <c r="VPM75" s="317"/>
      <c r="VPN75" s="317"/>
      <c r="VPO75" s="317"/>
      <c r="VPP75" s="317"/>
      <c r="VPQ75" s="317"/>
      <c r="VPR75" s="317"/>
      <c r="VPS75" s="317"/>
      <c r="VPT75" s="317"/>
      <c r="VPU75" s="317"/>
      <c r="VPV75" s="317"/>
      <c r="VPW75" s="317"/>
      <c r="VPX75" s="317"/>
      <c r="VPY75" s="317"/>
      <c r="VPZ75" s="317"/>
      <c r="VQA75" s="317"/>
      <c r="VQB75" s="317"/>
      <c r="VQC75" s="317"/>
      <c r="VQD75" s="317"/>
      <c r="VQE75" s="317"/>
      <c r="VQF75" s="317"/>
      <c r="VQG75" s="317"/>
      <c r="VQH75" s="317"/>
      <c r="VQI75" s="317"/>
      <c r="VQJ75" s="317"/>
      <c r="VQK75" s="317"/>
      <c r="VQL75" s="317"/>
      <c r="VQM75" s="317"/>
      <c r="VQN75" s="317"/>
      <c r="VQO75" s="317"/>
      <c r="VQP75" s="317"/>
      <c r="VQQ75" s="317"/>
      <c r="VQR75" s="317"/>
      <c r="VQS75" s="317"/>
      <c r="VQT75" s="317"/>
      <c r="VQU75" s="317"/>
      <c r="VQV75" s="317"/>
      <c r="VQW75" s="317"/>
      <c r="VQX75" s="317"/>
      <c r="VQY75" s="317"/>
      <c r="VQZ75" s="317"/>
      <c r="VRA75" s="317"/>
      <c r="VRB75" s="317"/>
      <c r="VRC75" s="317"/>
      <c r="VRD75" s="317"/>
      <c r="VRE75" s="317"/>
      <c r="VRF75" s="317"/>
      <c r="VRG75" s="317"/>
      <c r="VRH75" s="317"/>
      <c r="VRI75" s="317"/>
      <c r="VRJ75" s="317"/>
      <c r="VRK75" s="317"/>
      <c r="VRL75" s="317"/>
      <c r="VRM75" s="317"/>
      <c r="VRN75" s="317"/>
      <c r="VRO75" s="317"/>
      <c r="VRP75" s="317"/>
      <c r="VRQ75" s="317"/>
      <c r="VRR75" s="317"/>
      <c r="VRS75" s="317"/>
      <c r="VRT75" s="317"/>
      <c r="VRU75" s="317"/>
      <c r="VRV75" s="317"/>
      <c r="VRW75" s="317"/>
      <c r="VRX75" s="317"/>
      <c r="VRY75" s="317"/>
      <c r="VRZ75" s="317"/>
      <c r="VSA75" s="317"/>
      <c r="VSB75" s="317"/>
      <c r="VSC75" s="317"/>
      <c r="VSD75" s="317"/>
      <c r="VSE75" s="317"/>
      <c r="VSF75" s="317"/>
      <c r="VSG75" s="317"/>
      <c r="VSH75" s="317"/>
      <c r="VSI75" s="317"/>
      <c r="VSJ75" s="317"/>
      <c r="VSK75" s="317"/>
      <c r="VSL75" s="317"/>
      <c r="VSM75" s="317"/>
      <c r="VSN75" s="317"/>
      <c r="VSO75" s="317"/>
      <c r="VSP75" s="317"/>
      <c r="VSQ75" s="317"/>
      <c r="VSR75" s="317"/>
      <c r="VSS75" s="317"/>
      <c r="VST75" s="317"/>
      <c r="VSU75" s="317"/>
      <c r="VSV75" s="317"/>
      <c r="VSW75" s="317"/>
      <c r="VSX75" s="317"/>
      <c r="VSY75" s="317"/>
      <c r="VSZ75" s="317"/>
      <c r="VTA75" s="317"/>
      <c r="VTB75" s="317"/>
      <c r="VTC75" s="317"/>
      <c r="VTD75" s="317"/>
      <c r="VTE75" s="317"/>
      <c r="VTF75" s="317"/>
      <c r="VTG75" s="317"/>
      <c r="VTH75" s="317"/>
      <c r="VTI75" s="317"/>
      <c r="VTJ75" s="317"/>
      <c r="VTK75" s="317"/>
      <c r="VTL75" s="317"/>
      <c r="VTM75" s="317"/>
      <c r="VTN75" s="317"/>
      <c r="VTO75" s="317"/>
      <c r="VTP75" s="317"/>
      <c r="VTQ75" s="317"/>
      <c r="VTR75" s="317"/>
      <c r="VTS75" s="317"/>
      <c r="VTT75" s="317"/>
      <c r="VTU75" s="317"/>
      <c r="VTV75" s="317"/>
      <c r="VTW75" s="317"/>
      <c r="VTX75" s="317"/>
      <c r="VTY75" s="317"/>
      <c r="VTZ75" s="317"/>
      <c r="VUA75" s="317"/>
      <c r="VUB75" s="317"/>
      <c r="VUC75" s="317"/>
      <c r="VUD75" s="317"/>
      <c r="VUE75" s="317"/>
      <c r="VUF75" s="317"/>
      <c r="VUG75" s="317"/>
      <c r="VUH75" s="317"/>
      <c r="VUI75" s="317"/>
      <c r="VUJ75" s="317"/>
      <c r="VUK75" s="317"/>
      <c r="VUL75" s="317"/>
      <c r="VUM75" s="317"/>
      <c r="VUN75" s="317"/>
      <c r="VUO75" s="317"/>
      <c r="VUP75" s="317"/>
      <c r="VUQ75" s="317"/>
      <c r="VUR75" s="317"/>
      <c r="VUS75" s="317"/>
      <c r="VUT75" s="317"/>
      <c r="VUU75" s="317"/>
      <c r="VUV75" s="317"/>
      <c r="VUW75" s="317"/>
      <c r="VUX75" s="317"/>
      <c r="VUY75" s="317"/>
      <c r="VUZ75" s="317"/>
      <c r="VVA75" s="317"/>
      <c r="VVB75" s="317"/>
      <c r="VVC75" s="317"/>
      <c r="VVD75" s="317"/>
      <c r="VVE75" s="317"/>
      <c r="VVF75" s="317"/>
      <c r="VVG75" s="317"/>
      <c r="VVH75" s="317"/>
      <c r="VVI75" s="317"/>
      <c r="VVJ75" s="317"/>
      <c r="VVK75" s="317"/>
      <c r="VVL75" s="317"/>
      <c r="VVM75" s="317"/>
      <c r="VVN75" s="317"/>
      <c r="VVO75" s="317"/>
      <c r="VVP75" s="317"/>
      <c r="VVQ75" s="317"/>
      <c r="VVR75" s="317"/>
      <c r="VVS75" s="317"/>
      <c r="VVT75" s="317"/>
      <c r="VVU75" s="317"/>
      <c r="VVV75" s="317"/>
      <c r="VVW75" s="317"/>
      <c r="VVX75" s="317"/>
      <c r="VVY75" s="317"/>
      <c r="VVZ75" s="317"/>
      <c r="VWA75" s="317"/>
      <c r="VWB75" s="317"/>
      <c r="VWC75" s="317"/>
      <c r="VWD75" s="317"/>
      <c r="VWE75" s="317"/>
      <c r="VWF75" s="317"/>
      <c r="VWG75" s="317"/>
      <c r="VWH75" s="317"/>
      <c r="VWI75" s="317"/>
      <c r="VWJ75" s="317"/>
      <c r="VWK75" s="317"/>
      <c r="VWL75" s="317"/>
      <c r="VWM75" s="317"/>
      <c r="VWN75" s="317"/>
      <c r="VWO75" s="317"/>
      <c r="VWP75" s="317"/>
      <c r="VWQ75" s="317"/>
      <c r="VWR75" s="317"/>
      <c r="VWS75" s="317"/>
      <c r="VWT75" s="317"/>
      <c r="VWU75" s="317"/>
      <c r="VWV75" s="317"/>
      <c r="VWW75" s="317"/>
      <c r="VWX75" s="317"/>
      <c r="VWY75" s="317"/>
      <c r="VWZ75" s="317"/>
      <c r="VXA75" s="317"/>
      <c r="VXB75" s="317"/>
      <c r="VXC75" s="317"/>
      <c r="VXD75" s="317"/>
      <c r="VXE75" s="317"/>
      <c r="VXF75" s="317"/>
      <c r="VXG75" s="317"/>
      <c r="VXH75" s="317"/>
      <c r="VXI75" s="317"/>
      <c r="VXJ75" s="317"/>
      <c r="VXK75" s="317"/>
      <c r="VXL75" s="317"/>
      <c r="VXM75" s="317"/>
      <c r="VXN75" s="317"/>
      <c r="VXO75" s="317"/>
      <c r="VXP75" s="317"/>
      <c r="VXQ75" s="317"/>
      <c r="VXR75" s="317"/>
      <c r="VXS75" s="317"/>
      <c r="VXT75" s="317"/>
      <c r="VXU75" s="317"/>
      <c r="VXV75" s="317"/>
      <c r="VXW75" s="317"/>
      <c r="VXX75" s="317"/>
      <c r="VXY75" s="317"/>
      <c r="VXZ75" s="317"/>
      <c r="VYA75" s="317"/>
      <c r="VYB75" s="317"/>
      <c r="VYC75" s="317"/>
      <c r="VYD75" s="317"/>
      <c r="VYE75" s="317"/>
      <c r="VYF75" s="317"/>
      <c r="VYG75" s="317"/>
      <c r="VYH75" s="317"/>
      <c r="VYI75" s="317"/>
      <c r="VYJ75" s="317"/>
      <c r="VYK75" s="317"/>
      <c r="VYL75" s="317"/>
      <c r="VYM75" s="317"/>
      <c r="VYN75" s="317"/>
      <c r="VYO75" s="317"/>
      <c r="VYP75" s="317"/>
      <c r="VYQ75" s="317"/>
      <c r="VYR75" s="317"/>
      <c r="VYS75" s="317"/>
      <c r="VYT75" s="317"/>
      <c r="VYU75" s="317"/>
      <c r="VYV75" s="317"/>
      <c r="VYW75" s="317"/>
      <c r="VYX75" s="317"/>
      <c r="VYY75" s="317"/>
      <c r="VYZ75" s="317"/>
      <c r="VZA75" s="317"/>
      <c r="VZB75" s="317"/>
      <c r="VZC75" s="317"/>
      <c r="VZD75" s="317"/>
      <c r="VZE75" s="317"/>
      <c r="VZF75" s="317"/>
      <c r="VZG75" s="317"/>
      <c r="VZH75" s="317"/>
      <c r="VZI75" s="317"/>
      <c r="VZJ75" s="317"/>
      <c r="VZK75" s="317"/>
      <c r="VZL75" s="317"/>
      <c r="VZM75" s="317"/>
      <c r="VZN75" s="317"/>
      <c r="VZO75" s="317"/>
      <c r="VZP75" s="317"/>
      <c r="VZQ75" s="317"/>
      <c r="VZR75" s="317"/>
      <c r="VZS75" s="317"/>
      <c r="VZT75" s="317"/>
      <c r="VZU75" s="317"/>
      <c r="VZV75" s="317"/>
      <c r="VZW75" s="317"/>
      <c r="VZX75" s="317"/>
      <c r="VZY75" s="317"/>
      <c r="VZZ75" s="317"/>
      <c r="WAA75" s="317"/>
      <c r="WAB75" s="317"/>
      <c r="WAC75" s="317"/>
      <c r="WAD75" s="317"/>
      <c r="WAE75" s="317"/>
      <c r="WAF75" s="317"/>
      <c r="WAG75" s="317"/>
      <c r="WAH75" s="317"/>
      <c r="WAI75" s="317"/>
      <c r="WAJ75" s="317"/>
      <c r="WAK75" s="317"/>
      <c r="WAL75" s="317"/>
      <c r="WAM75" s="317"/>
      <c r="WAN75" s="317"/>
      <c r="WAO75" s="317"/>
      <c r="WAP75" s="317"/>
      <c r="WAQ75" s="317"/>
      <c r="WAR75" s="317"/>
      <c r="WAS75" s="317"/>
      <c r="WAT75" s="317"/>
      <c r="WAU75" s="317"/>
      <c r="WAV75" s="317"/>
      <c r="WAW75" s="317"/>
      <c r="WAX75" s="317"/>
      <c r="WAY75" s="317"/>
      <c r="WAZ75" s="317"/>
      <c r="WBA75" s="317"/>
      <c r="WBB75" s="317"/>
      <c r="WBC75" s="317"/>
      <c r="WBD75" s="317"/>
      <c r="WBE75" s="317"/>
      <c r="WBF75" s="317"/>
      <c r="WBG75" s="317"/>
      <c r="WBH75" s="317"/>
      <c r="WBI75" s="317"/>
      <c r="WBJ75" s="317"/>
      <c r="WBK75" s="317"/>
      <c r="WBL75" s="317"/>
      <c r="WBM75" s="317"/>
      <c r="WBN75" s="317"/>
      <c r="WBO75" s="317"/>
      <c r="WBP75" s="317"/>
      <c r="WBQ75" s="317"/>
      <c r="WBR75" s="317"/>
      <c r="WBS75" s="317"/>
      <c r="WBT75" s="317"/>
      <c r="WBU75" s="317"/>
      <c r="WBV75" s="317"/>
      <c r="WBW75" s="317"/>
      <c r="WBX75" s="317"/>
      <c r="WBY75" s="317"/>
      <c r="WBZ75" s="317"/>
      <c r="WCA75" s="317"/>
      <c r="WCB75" s="317"/>
      <c r="WCC75" s="317"/>
      <c r="WCD75" s="317"/>
      <c r="WCE75" s="317"/>
      <c r="WCF75" s="317"/>
      <c r="WCG75" s="317"/>
      <c r="WCH75" s="317"/>
      <c r="WCI75" s="317"/>
      <c r="WCJ75" s="317"/>
      <c r="WCK75" s="317"/>
      <c r="WCL75" s="317"/>
      <c r="WCM75" s="317"/>
      <c r="WCN75" s="317"/>
      <c r="WCO75" s="317"/>
      <c r="WCP75" s="317"/>
      <c r="WCQ75" s="317"/>
      <c r="WCR75" s="317"/>
      <c r="WCS75" s="317"/>
      <c r="WCT75" s="317"/>
      <c r="WCU75" s="317"/>
      <c r="WCV75" s="317"/>
      <c r="WCW75" s="317"/>
      <c r="WCX75" s="317"/>
      <c r="WCY75" s="317"/>
      <c r="WCZ75" s="317"/>
      <c r="WDA75" s="317"/>
      <c r="WDB75" s="317"/>
      <c r="WDC75" s="317"/>
      <c r="WDD75" s="317"/>
      <c r="WDE75" s="317"/>
      <c r="WDF75" s="317"/>
      <c r="WDG75" s="317"/>
      <c r="WDH75" s="317"/>
      <c r="WDI75" s="317"/>
      <c r="WDJ75" s="317"/>
      <c r="WDK75" s="317"/>
      <c r="WDL75" s="317"/>
      <c r="WDM75" s="317"/>
      <c r="WDN75" s="317"/>
      <c r="WDO75" s="317"/>
      <c r="WDP75" s="317"/>
      <c r="WDQ75" s="317"/>
      <c r="WDR75" s="317"/>
      <c r="WDS75" s="317"/>
      <c r="WDT75" s="317"/>
      <c r="WDU75" s="317"/>
      <c r="WDV75" s="317"/>
      <c r="WDW75" s="317"/>
      <c r="WDX75" s="317"/>
      <c r="WDY75" s="317"/>
      <c r="WDZ75" s="317"/>
      <c r="WEA75" s="317"/>
      <c r="WEB75" s="317"/>
      <c r="WEC75" s="317"/>
      <c r="WED75" s="317"/>
      <c r="WEE75" s="317"/>
      <c r="WEF75" s="317"/>
      <c r="WEG75" s="317"/>
      <c r="WEH75" s="317"/>
      <c r="WEI75" s="317"/>
      <c r="WEJ75" s="317"/>
      <c r="WEK75" s="317"/>
      <c r="WEL75" s="317"/>
      <c r="WEM75" s="317"/>
      <c r="WEN75" s="317"/>
      <c r="WEO75" s="317"/>
      <c r="WEP75" s="317"/>
      <c r="WEQ75" s="317"/>
      <c r="WER75" s="317"/>
      <c r="WES75" s="317"/>
      <c r="WET75" s="317"/>
      <c r="WEU75" s="317"/>
      <c r="WEV75" s="317"/>
      <c r="WEW75" s="317"/>
      <c r="WEX75" s="317"/>
      <c r="WEY75" s="317"/>
      <c r="WEZ75" s="317"/>
      <c r="WFA75" s="317"/>
      <c r="WFB75" s="317"/>
      <c r="WFC75" s="317"/>
      <c r="WFD75" s="317"/>
      <c r="WFE75" s="317"/>
      <c r="WFF75" s="317"/>
      <c r="WFG75" s="317"/>
      <c r="WFH75" s="317"/>
      <c r="WFI75" s="317"/>
      <c r="WFJ75" s="317"/>
      <c r="WFK75" s="317"/>
      <c r="WFL75" s="317"/>
      <c r="WFM75" s="317"/>
      <c r="WFN75" s="317"/>
      <c r="WFO75" s="317"/>
      <c r="WFP75" s="317"/>
      <c r="WFQ75" s="317"/>
      <c r="WFR75" s="317"/>
      <c r="WFS75" s="317"/>
      <c r="WFT75" s="317"/>
      <c r="WFU75" s="317"/>
      <c r="WFV75" s="317"/>
      <c r="WFW75" s="317"/>
      <c r="WFX75" s="317"/>
      <c r="WFY75" s="317"/>
      <c r="WFZ75" s="317"/>
      <c r="WGA75" s="317"/>
      <c r="WGB75" s="317"/>
      <c r="WGC75" s="317"/>
      <c r="WGD75" s="317"/>
      <c r="WGE75" s="317"/>
      <c r="WGF75" s="317"/>
      <c r="WGG75" s="317"/>
      <c r="WGH75" s="317"/>
      <c r="WGI75" s="317"/>
      <c r="WGJ75" s="317"/>
      <c r="WGK75" s="317"/>
      <c r="WGL75" s="317"/>
      <c r="WGM75" s="317"/>
      <c r="WGN75" s="317"/>
      <c r="WGO75" s="317"/>
      <c r="WGP75" s="317"/>
      <c r="WGQ75" s="317"/>
      <c r="WGR75" s="317"/>
      <c r="WGS75" s="317"/>
      <c r="WGT75" s="317"/>
      <c r="WGU75" s="317"/>
      <c r="WGV75" s="317"/>
      <c r="WGW75" s="317"/>
      <c r="WGX75" s="317"/>
      <c r="WGY75" s="317"/>
      <c r="WGZ75" s="317"/>
      <c r="WHA75" s="317"/>
      <c r="WHB75" s="317"/>
      <c r="WHC75" s="317"/>
      <c r="WHD75" s="317"/>
      <c r="WHE75" s="317"/>
      <c r="WHF75" s="317"/>
      <c r="WHG75" s="317"/>
      <c r="WHH75" s="317"/>
      <c r="WHI75" s="317"/>
      <c r="WHJ75" s="317"/>
      <c r="WHK75" s="317"/>
      <c r="WHL75" s="317"/>
      <c r="WHM75" s="317"/>
      <c r="WHN75" s="317"/>
      <c r="WHO75" s="317"/>
      <c r="WHP75" s="317"/>
      <c r="WHQ75" s="317"/>
      <c r="WHR75" s="317"/>
      <c r="WHS75" s="317"/>
      <c r="WHT75" s="317"/>
      <c r="WHU75" s="317"/>
      <c r="WHV75" s="317"/>
      <c r="WHW75" s="317"/>
      <c r="WHX75" s="317"/>
      <c r="WHY75" s="317"/>
      <c r="WHZ75" s="317"/>
      <c r="WIA75" s="317"/>
      <c r="WIB75" s="317"/>
      <c r="WIC75" s="317"/>
      <c r="WID75" s="317"/>
      <c r="WIE75" s="317"/>
      <c r="WIF75" s="317"/>
      <c r="WIG75" s="317"/>
      <c r="WIH75" s="317"/>
      <c r="WII75" s="317"/>
      <c r="WIJ75" s="317"/>
      <c r="WIK75" s="317"/>
      <c r="WIL75" s="317"/>
      <c r="WIM75" s="317"/>
      <c r="WIN75" s="317"/>
      <c r="WIO75" s="317"/>
      <c r="WIP75" s="317"/>
      <c r="WIQ75" s="317"/>
      <c r="WIR75" s="317"/>
      <c r="WIS75" s="317"/>
      <c r="WIT75" s="317"/>
      <c r="WIU75" s="317"/>
      <c r="WIV75" s="317"/>
      <c r="WIW75" s="317"/>
      <c r="WIX75" s="317"/>
      <c r="WIY75" s="317"/>
      <c r="WIZ75" s="317"/>
      <c r="WJA75" s="317"/>
      <c r="WJB75" s="317"/>
      <c r="WJC75" s="317"/>
      <c r="WJD75" s="317"/>
      <c r="WJE75" s="317"/>
      <c r="WJF75" s="317"/>
      <c r="WJG75" s="317"/>
      <c r="WJH75" s="317"/>
      <c r="WJI75" s="317"/>
      <c r="WJJ75" s="317"/>
      <c r="WJK75" s="317"/>
      <c r="WJL75" s="317"/>
      <c r="WJM75" s="317"/>
      <c r="WJN75" s="317"/>
      <c r="WJO75" s="317"/>
      <c r="WJP75" s="317"/>
      <c r="WJQ75" s="317"/>
      <c r="WJR75" s="317"/>
      <c r="WJS75" s="317"/>
      <c r="WJT75" s="317"/>
      <c r="WJU75" s="317"/>
      <c r="WJV75" s="317"/>
      <c r="WJW75" s="317"/>
      <c r="WJX75" s="317"/>
      <c r="WJY75" s="317"/>
      <c r="WJZ75" s="317"/>
      <c r="WKA75" s="317"/>
      <c r="WKB75" s="317"/>
      <c r="WKC75" s="317"/>
      <c r="WKD75" s="317"/>
      <c r="WKE75" s="317"/>
      <c r="WKF75" s="317"/>
      <c r="WKG75" s="317"/>
      <c r="WKH75" s="317"/>
      <c r="WKI75" s="317"/>
      <c r="WKJ75" s="317"/>
      <c r="WKK75" s="317"/>
      <c r="WKL75" s="317"/>
      <c r="WKM75" s="317"/>
      <c r="WKN75" s="317"/>
      <c r="WKO75" s="317"/>
      <c r="WKP75" s="317"/>
      <c r="WKQ75" s="317"/>
      <c r="WKR75" s="317"/>
      <c r="WKS75" s="317"/>
      <c r="WKT75" s="317"/>
      <c r="WKU75" s="317"/>
      <c r="WKV75" s="317"/>
      <c r="WKW75" s="317"/>
      <c r="WKX75" s="317"/>
      <c r="WKY75" s="317"/>
      <c r="WKZ75" s="317"/>
      <c r="WLA75" s="317"/>
      <c r="WLB75" s="317"/>
      <c r="WLC75" s="317"/>
      <c r="WLD75" s="317"/>
      <c r="WLE75" s="317"/>
      <c r="WLF75" s="317"/>
      <c r="WLG75" s="317"/>
      <c r="WLH75" s="317"/>
      <c r="WLI75" s="317"/>
      <c r="WLJ75" s="317"/>
      <c r="WLK75" s="317"/>
      <c r="WLL75" s="317"/>
      <c r="WLM75" s="317"/>
      <c r="WLN75" s="317"/>
      <c r="WLO75" s="317"/>
      <c r="WLP75" s="317"/>
      <c r="WLQ75" s="317"/>
      <c r="WLR75" s="317"/>
      <c r="WLS75" s="317"/>
      <c r="WLT75" s="317"/>
      <c r="WLU75" s="317"/>
      <c r="WLV75" s="317"/>
      <c r="WLW75" s="317"/>
      <c r="WLX75" s="317"/>
      <c r="WLY75" s="317"/>
      <c r="WLZ75" s="317"/>
      <c r="WMA75" s="317"/>
      <c r="WMB75" s="317"/>
      <c r="WMC75" s="317"/>
      <c r="WMD75" s="317"/>
      <c r="WME75" s="317"/>
      <c r="WMF75" s="317"/>
      <c r="WMG75" s="317"/>
      <c r="WMH75" s="317"/>
      <c r="WMI75" s="317"/>
      <c r="WMJ75" s="317"/>
      <c r="WMK75" s="317"/>
      <c r="WML75" s="317"/>
      <c r="WMM75" s="317"/>
      <c r="WMN75" s="317"/>
      <c r="WMO75" s="317"/>
      <c r="WMP75" s="317"/>
      <c r="WMQ75" s="317"/>
      <c r="WMR75" s="317"/>
      <c r="WMS75" s="317"/>
      <c r="WMT75" s="317"/>
      <c r="WMU75" s="317"/>
      <c r="WMV75" s="317"/>
      <c r="WMW75" s="317"/>
      <c r="WMX75" s="317"/>
      <c r="WMY75" s="317"/>
      <c r="WMZ75" s="317"/>
      <c r="WNA75" s="317"/>
      <c r="WNB75" s="317"/>
      <c r="WNC75" s="317"/>
      <c r="WND75" s="317"/>
      <c r="WNE75" s="317"/>
      <c r="WNF75" s="317"/>
      <c r="WNG75" s="317"/>
      <c r="WNH75" s="317"/>
      <c r="WNI75" s="317"/>
      <c r="WNJ75" s="317"/>
      <c r="WNK75" s="317"/>
      <c r="WNL75" s="317"/>
      <c r="WNM75" s="317"/>
      <c r="WNN75" s="317"/>
      <c r="WNO75" s="317"/>
      <c r="WNP75" s="317"/>
      <c r="WNQ75" s="317"/>
      <c r="WNR75" s="317"/>
      <c r="WNS75" s="317"/>
      <c r="WNT75" s="317"/>
      <c r="WNU75" s="317"/>
      <c r="WNV75" s="317"/>
      <c r="WNW75" s="317"/>
      <c r="WNX75" s="317"/>
      <c r="WNY75" s="317"/>
      <c r="WNZ75" s="317"/>
      <c r="WOA75" s="317"/>
      <c r="WOB75" s="317"/>
      <c r="WOC75" s="317"/>
      <c r="WOD75" s="317"/>
      <c r="WOE75" s="317"/>
      <c r="WOF75" s="317"/>
      <c r="WOG75" s="317"/>
      <c r="WOH75" s="317"/>
      <c r="WOI75" s="317"/>
      <c r="WOJ75" s="317"/>
      <c r="WOK75" s="317"/>
      <c r="WOL75" s="317"/>
      <c r="WOM75" s="317"/>
      <c r="WON75" s="317"/>
      <c r="WOO75" s="317"/>
      <c r="WOP75" s="317"/>
      <c r="WOQ75" s="317"/>
      <c r="WOR75" s="317"/>
      <c r="WOS75" s="317"/>
      <c r="WOT75" s="317"/>
      <c r="WOU75" s="317"/>
      <c r="WOV75" s="317"/>
      <c r="WOW75" s="317"/>
      <c r="WOX75" s="317"/>
      <c r="WOY75" s="317"/>
      <c r="WOZ75" s="317"/>
      <c r="WPA75" s="317"/>
      <c r="WPB75" s="317"/>
      <c r="WPC75" s="317"/>
      <c r="WPD75" s="317"/>
      <c r="WPE75" s="317"/>
      <c r="WPF75" s="317"/>
      <c r="WPG75" s="317"/>
      <c r="WPH75" s="317"/>
      <c r="WPI75" s="317"/>
      <c r="WPJ75" s="317"/>
      <c r="WPK75" s="317"/>
      <c r="WPL75" s="317"/>
      <c r="WPM75" s="317"/>
      <c r="WPN75" s="317"/>
      <c r="WPO75" s="317"/>
      <c r="WPP75" s="317"/>
      <c r="WPQ75" s="317"/>
      <c r="WPR75" s="317"/>
      <c r="WPS75" s="317"/>
      <c r="WPT75" s="317"/>
      <c r="WPU75" s="317"/>
      <c r="WPV75" s="317"/>
      <c r="WPW75" s="317"/>
      <c r="WPX75" s="317"/>
      <c r="WPY75" s="317"/>
      <c r="WPZ75" s="317"/>
      <c r="WQA75" s="317"/>
      <c r="WQB75" s="317"/>
      <c r="WQC75" s="317"/>
      <c r="WQD75" s="317"/>
      <c r="WQE75" s="317"/>
      <c r="WQF75" s="317"/>
      <c r="WQG75" s="317"/>
      <c r="WQH75" s="317"/>
      <c r="WQI75" s="317"/>
      <c r="WQJ75" s="317"/>
      <c r="WQK75" s="317"/>
      <c r="WQL75" s="317"/>
      <c r="WQM75" s="317"/>
      <c r="WQN75" s="317"/>
      <c r="WQO75" s="317"/>
      <c r="WQP75" s="317"/>
      <c r="WQQ75" s="317"/>
      <c r="WQR75" s="317"/>
      <c r="WQS75" s="317"/>
      <c r="WQT75" s="317"/>
      <c r="WQU75" s="317"/>
      <c r="WQV75" s="317"/>
      <c r="WQW75" s="317"/>
      <c r="WQX75" s="317"/>
      <c r="WQY75" s="317"/>
      <c r="WQZ75" s="317"/>
      <c r="WRA75" s="317"/>
      <c r="WRB75" s="317"/>
      <c r="WRC75" s="317"/>
      <c r="WRD75" s="317"/>
      <c r="WRE75" s="317"/>
      <c r="WRF75" s="317"/>
      <c r="WRG75" s="317"/>
      <c r="WRH75" s="317"/>
      <c r="WRI75" s="317"/>
      <c r="WRJ75" s="317"/>
      <c r="WRK75" s="317"/>
      <c r="WRL75" s="317"/>
      <c r="WRM75" s="317"/>
      <c r="WRN75" s="317"/>
      <c r="WRO75" s="317"/>
      <c r="WRP75" s="317"/>
      <c r="WRQ75" s="317"/>
      <c r="WRR75" s="317"/>
      <c r="WRS75" s="317"/>
      <c r="WRT75" s="317"/>
      <c r="WRU75" s="317"/>
      <c r="WRV75" s="317"/>
      <c r="WRW75" s="317"/>
      <c r="WRX75" s="317"/>
      <c r="WRY75" s="317"/>
      <c r="WRZ75" s="317"/>
      <c r="WSA75" s="317"/>
      <c r="WSB75" s="317"/>
      <c r="WSC75" s="317"/>
      <c r="WSD75" s="317"/>
      <c r="WSE75" s="317"/>
      <c r="WSF75" s="317"/>
      <c r="WSG75" s="317"/>
      <c r="WSH75" s="317"/>
      <c r="WSI75" s="317"/>
      <c r="WSJ75" s="317"/>
      <c r="WSK75" s="317"/>
      <c r="WSL75" s="317"/>
      <c r="WSM75" s="317"/>
      <c r="WSN75" s="317"/>
      <c r="WSO75" s="317"/>
      <c r="WSP75" s="317"/>
      <c r="WSQ75" s="317"/>
      <c r="WSR75" s="317"/>
      <c r="WSS75" s="317"/>
      <c r="WST75" s="317"/>
      <c r="WSU75" s="317"/>
      <c r="WSV75" s="317"/>
      <c r="WSW75" s="317"/>
      <c r="WSX75" s="317"/>
      <c r="WSY75" s="317"/>
      <c r="WSZ75" s="317"/>
      <c r="WTA75" s="317"/>
      <c r="WTB75" s="317"/>
      <c r="WTC75" s="317"/>
      <c r="WTD75" s="317"/>
      <c r="WTE75" s="317"/>
      <c r="WTF75" s="317"/>
      <c r="WTG75" s="317"/>
      <c r="WTH75" s="317"/>
      <c r="WTI75" s="317"/>
      <c r="WTJ75" s="317"/>
      <c r="WTK75" s="317"/>
      <c r="WTL75" s="317"/>
      <c r="WTM75" s="317"/>
      <c r="WTN75" s="317"/>
      <c r="WTO75" s="317"/>
      <c r="WTP75" s="317"/>
      <c r="WTQ75" s="317"/>
      <c r="WTR75" s="317"/>
      <c r="WTS75" s="317"/>
      <c r="WTT75" s="317"/>
      <c r="WTU75" s="317"/>
      <c r="WTV75" s="317"/>
      <c r="WTW75" s="317"/>
      <c r="WTX75" s="317"/>
      <c r="WTY75" s="317"/>
      <c r="WTZ75" s="317"/>
      <c r="WUA75" s="317"/>
      <c r="WUB75" s="317"/>
      <c r="WUC75" s="317"/>
      <c r="WUD75" s="317"/>
      <c r="WUE75" s="317"/>
      <c r="WUF75" s="317"/>
      <c r="WUG75" s="317"/>
      <c r="WUH75" s="317"/>
      <c r="WUI75" s="317"/>
      <c r="WUJ75" s="317"/>
      <c r="WUK75" s="317"/>
      <c r="WUL75" s="317"/>
      <c r="WUM75" s="317"/>
      <c r="WUN75" s="317"/>
      <c r="WUO75" s="317"/>
      <c r="WUP75" s="317"/>
      <c r="WUQ75" s="317"/>
      <c r="WUR75" s="317"/>
      <c r="WUS75" s="317"/>
      <c r="WUT75" s="317"/>
      <c r="WUU75" s="317"/>
      <c r="WUV75" s="317"/>
      <c r="WUW75" s="317"/>
      <c r="WUX75" s="317"/>
      <c r="WUY75" s="317"/>
      <c r="WUZ75" s="317"/>
      <c r="WVA75" s="317"/>
      <c r="WVB75" s="317"/>
      <c r="WVC75" s="317"/>
      <c r="WVD75" s="317"/>
      <c r="WVE75" s="317"/>
      <c r="WVF75" s="317"/>
      <c r="WVG75" s="317"/>
      <c r="WVH75" s="317"/>
      <c r="WVI75" s="317"/>
      <c r="WVJ75" s="317"/>
      <c r="WVK75" s="317"/>
      <c r="WVL75" s="317"/>
      <c r="WVM75" s="317"/>
      <c r="WVN75" s="317"/>
      <c r="WVO75" s="317"/>
      <c r="WVP75" s="317"/>
      <c r="WVQ75" s="317"/>
      <c r="WVR75" s="317"/>
      <c r="WVS75" s="317"/>
      <c r="WVT75" s="317"/>
      <c r="WVU75" s="317"/>
      <c r="WVV75" s="317"/>
      <c r="WVW75" s="317"/>
      <c r="WVX75" s="317"/>
      <c r="WVY75" s="317"/>
      <c r="WVZ75" s="317"/>
      <c r="WWA75" s="317"/>
      <c r="WWB75" s="317"/>
      <c r="WWC75" s="317"/>
      <c r="WWD75" s="317"/>
      <c r="WWE75" s="317"/>
      <c r="WWF75" s="317"/>
      <c r="WWG75" s="317"/>
      <c r="WWH75" s="317"/>
      <c r="WWI75" s="317"/>
      <c r="WWJ75" s="317"/>
      <c r="WWK75" s="317"/>
      <c r="WWL75" s="317"/>
      <c r="WWM75" s="317"/>
      <c r="WWN75" s="317"/>
      <c r="WWO75" s="317"/>
      <c r="WWP75" s="317"/>
      <c r="WWQ75" s="317"/>
      <c r="WWR75" s="317"/>
      <c r="WWS75" s="317"/>
      <c r="WWT75" s="317"/>
      <c r="WWU75" s="317"/>
      <c r="WWV75" s="317"/>
      <c r="WWW75" s="317"/>
      <c r="WWX75" s="317"/>
      <c r="WWY75" s="317"/>
      <c r="WWZ75" s="317"/>
      <c r="WXA75" s="317"/>
      <c r="WXB75" s="317"/>
      <c r="WXC75" s="317"/>
      <c r="WXD75" s="317"/>
      <c r="WXE75" s="317"/>
      <c r="WXF75" s="317"/>
      <c r="WXG75" s="317"/>
      <c r="WXH75" s="317"/>
      <c r="WXI75" s="317"/>
      <c r="WXJ75" s="317"/>
      <c r="WXK75" s="317"/>
      <c r="WXL75" s="317"/>
      <c r="WXM75" s="317"/>
      <c r="WXN75" s="317"/>
      <c r="WXO75" s="317"/>
      <c r="WXP75" s="317"/>
      <c r="WXQ75" s="317"/>
      <c r="WXR75" s="317"/>
      <c r="WXS75" s="317"/>
      <c r="WXT75" s="317"/>
      <c r="WXU75" s="317"/>
      <c r="WXV75" s="317"/>
      <c r="WXW75" s="317"/>
      <c r="WXX75" s="317"/>
      <c r="WXY75" s="317"/>
      <c r="WXZ75" s="317"/>
      <c r="WYA75" s="317"/>
      <c r="WYB75" s="317"/>
      <c r="WYC75" s="317"/>
      <c r="WYD75" s="317"/>
      <c r="WYE75" s="317"/>
      <c r="WYF75" s="317"/>
      <c r="WYG75" s="317"/>
      <c r="WYH75" s="317"/>
      <c r="WYI75" s="317"/>
      <c r="WYJ75" s="317"/>
      <c r="WYK75" s="317"/>
      <c r="WYL75" s="317"/>
      <c r="WYM75" s="317"/>
      <c r="WYN75" s="317"/>
      <c r="WYO75" s="317"/>
      <c r="WYP75" s="317"/>
      <c r="WYQ75" s="317"/>
      <c r="WYR75" s="317"/>
      <c r="WYS75" s="317"/>
      <c r="WYT75" s="317"/>
      <c r="WYU75" s="317"/>
      <c r="WYV75" s="317"/>
      <c r="WYW75" s="317"/>
      <c r="WYX75" s="317"/>
      <c r="WYY75" s="317"/>
      <c r="WYZ75" s="317"/>
      <c r="WZA75" s="317"/>
      <c r="WZB75" s="317"/>
      <c r="WZC75" s="317"/>
      <c r="WZD75" s="317"/>
      <c r="WZE75" s="317"/>
      <c r="WZF75" s="317"/>
      <c r="WZG75" s="317"/>
      <c r="WZH75" s="317"/>
      <c r="WZI75" s="317"/>
      <c r="WZJ75" s="317"/>
      <c r="WZK75" s="317"/>
      <c r="WZL75" s="317"/>
      <c r="WZM75" s="317"/>
      <c r="WZN75" s="317"/>
      <c r="WZO75" s="317"/>
      <c r="WZP75" s="317"/>
      <c r="WZQ75" s="317"/>
      <c r="WZR75" s="317"/>
      <c r="WZS75" s="317"/>
      <c r="WZT75" s="317"/>
      <c r="WZU75" s="317"/>
      <c r="WZV75" s="317"/>
      <c r="WZW75" s="317"/>
      <c r="WZX75" s="317"/>
      <c r="WZY75" s="317"/>
      <c r="WZZ75" s="317"/>
      <c r="XAA75" s="317"/>
      <c r="XAB75" s="317"/>
      <c r="XAC75" s="317"/>
      <c r="XAD75" s="317"/>
      <c r="XAE75" s="317"/>
      <c r="XAF75" s="317"/>
      <c r="XAG75" s="317"/>
      <c r="XAH75" s="317"/>
      <c r="XAI75" s="317"/>
      <c r="XAJ75" s="317"/>
      <c r="XAK75" s="317"/>
      <c r="XAL75" s="317"/>
      <c r="XAM75" s="317"/>
      <c r="XAN75" s="317"/>
      <c r="XAO75" s="317"/>
      <c r="XAP75" s="317"/>
      <c r="XAQ75" s="317"/>
      <c r="XAR75" s="317"/>
      <c r="XAS75" s="317"/>
      <c r="XAT75" s="317"/>
      <c r="XAU75" s="317"/>
      <c r="XAV75" s="317"/>
      <c r="XAW75" s="317"/>
      <c r="XAX75" s="317"/>
      <c r="XAY75" s="317"/>
      <c r="XAZ75" s="317"/>
      <c r="XBA75" s="317"/>
      <c r="XBB75" s="317"/>
      <c r="XBC75" s="317"/>
      <c r="XBD75" s="317"/>
      <c r="XBE75" s="317"/>
      <c r="XBF75" s="317"/>
      <c r="XBG75" s="317"/>
      <c r="XBH75" s="317"/>
      <c r="XBI75" s="317"/>
      <c r="XBJ75" s="317"/>
      <c r="XBK75" s="317"/>
      <c r="XBL75" s="317"/>
      <c r="XBM75" s="317"/>
      <c r="XBN75" s="317"/>
      <c r="XBO75" s="317"/>
      <c r="XBP75" s="317"/>
      <c r="XBQ75" s="317"/>
      <c r="XBR75" s="317"/>
      <c r="XBS75" s="317"/>
      <c r="XBT75" s="317"/>
      <c r="XBU75" s="317"/>
      <c r="XBV75" s="317"/>
      <c r="XBW75" s="317"/>
      <c r="XBX75" s="317"/>
      <c r="XBY75" s="317"/>
      <c r="XBZ75" s="317"/>
      <c r="XCA75" s="317"/>
      <c r="XCB75" s="317"/>
      <c r="XCC75" s="317"/>
      <c r="XCD75" s="317"/>
      <c r="XCE75" s="317"/>
      <c r="XCF75" s="317"/>
      <c r="XCG75" s="317"/>
      <c r="XCH75" s="317"/>
      <c r="XCI75" s="317"/>
      <c r="XCJ75" s="317"/>
      <c r="XCK75" s="317"/>
      <c r="XCL75" s="317"/>
      <c r="XCM75" s="317"/>
      <c r="XCN75" s="317"/>
      <c r="XCO75" s="317"/>
      <c r="XCP75" s="317"/>
      <c r="XCQ75" s="317"/>
      <c r="XCR75" s="317"/>
      <c r="XCS75" s="317"/>
      <c r="XCT75" s="317"/>
      <c r="XCU75" s="317"/>
      <c r="XCV75" s="317"/>
      <c r="XCW75" s="317"/>
      <c r="XCX75" s="317"/>
      <c r="XCY75" s="317"/>
      <c r="XCZ75" s="317"/>
      <c r="XDA75" s="317"/>
      <c r="XDB75" s="317"/>
      <c r="XDC75" s="317"/>
      <c r="XDD75" s="317"/>
      <c r="XDE75" s="317"/>
      <c r="XDF75" s="317"/>
      <c r="XDG75" s="317"/>
      <c r="XDH75" s="317"/>
      <c r="XDI75" s="317"/>
      <c r="XDJ75" s="317"/>
      <c r="XDK75" s="317"/>
      <c r="XDL75" s="317"/>
      <c r="XDM75" s="317"/>
      <c r="XDN75" s="317"/>
      <c r="XDO75" s="317"/>
      <c r="XDP75" s="317"/>
      <c r="XDQ75" s="317"/>
      <c r="XDR75" s="317"/>
      <c r="XDS75" s="317"/>
      <c r="XDT75" s="317"/>
      <c r="XDU75" s="317"/>
      <c r="XDV75" s="317"/>
      <c r="XDW75" s="317"/>
      <c r="XDX75" s="317"/>
      <c r="XDY75" s="317"/>
      <c r="XDZ75" s="317"/>
      <c r="XEA75" s="317"/>
      <c r="XEB75" s="317"/>
      <c r="XEC75" s="317"/>
      <c r="XED75" s="317"/>
      <c r="XEE75" s="317"/>
      <c r="XEF75" s="317"/>
      <c r="XEG75" s="317"/>
      <c r="XEH75" s="317"/>
      <c r="XEI75" s="317"/>
      <c r="XEJ75" s="317"/>
      <c r="XEK75" s="317"/>
      <c r="XEL75" s="317"/>
      <c r="XEM75" s="317"/>
      <c r="XEN75" s="317"/>
      <c r="XEO75" s="317"/>
      <c r="XEP75" s="317"/>
      <c r="XEQ75" s="317"/>
      <c r="XER75" s="317"/>
      <c r="XES75" s="317"/>
      <c r="XET75" s="317"/>
      <c r="XEU75" s="317"/>
      <c r="XEV75" s="317"/>
      <c r="XEW75" s="317"/>
      <c r="XEX75" s="317"/>
      <c r="XEY75" s="317"/>
      <c r="XEZ75" s="317"/>
      <c r="XFA75" s="317"/>
      <c r="XFB75" s="317"/>
      <c r="XFC75" s="317"/>
      <c r="XFD75" s="317"/>
    </row>
    <row r="76" s="314" customFormat="1" ht="25" customHeight="1" spans="1:74 14505:16384">
      <c r="A76" s="357" t="s">
        <v>97</v>
      </c>
      <c r="B76" s="346" t="s">
        <v>98</v>
      </c>
      <c r="I76" s="315"/>
      <c r="J76" s="358"/>
      <c r="O76" s="316"/>
      <c r="P76" s="316"/>
      <c r="V76" s="316"/>
      <c r="W76" s="316"/>
      <c r="X76" s="316"/>
      <c r="Y76" s="316"/>
      <c r="Z76" s="316"/>
      <c r="AA76" s="316"/>
      <c r="AB76" s="316"/>
      <c r="AC76" s="316"/>
      <c r="AD76" s="316"/>
      <c r="AK76" s="316"/>
      <c r="AQ76" s="316"/>
      <c r="AR76" s="316"/>
      <c r="AY76" s="316"/>
      <c r="BE76" s="316"/>
      <c r="BF76" s="316"/>
      <c r="BM76" s="316"/>
      <c r="BS76" s="316"/>
      <c r="BT76" s="316"/>
      <c r="UKW76" s="317"/>
      <c r="UKX76" s="317"/>
      <c r="UKY76" s="317"/>
      <c r="UKZ76" s="317"/>
      <c r="ULA76" s="317"/>
      <c r="ULB76" s="317"/>
      <c r="ULC76" s="317"/>
      <c r="ULD76" s="317"/>
      <c r="ULE76" s="317"/>
      <c r="ULF76" s="317"/>
      <c r="ULG76" s="317"/>
      <c r="ULH76" s="317"/>
      <c r="ULI76" s="317"/>
      <c r="ULJ76" s="317"/>
      <c r="ULK76" s="317"/>
      <c r="ULL76" s="317"/>
      <c r="ULM76" s="317"/>
      <c r="ULN76" s="317"/>
      <c r="ULO76" s="317"/>
      <c r="ULP76" s="317"/>
      <c r="ULQ76" s="317"/>
      <c r="ULR76" s="317"/>
      <c r="ULS76" s="317"/>
      <c r="ULT76" s="317"/>
      <c r="ULU76" s="317"/>
      <c r="ULV76" s="317"/>
      <c r="ULW76" s="317"/>
      <c r="ULX76" s="317"/>
      <c r="ULY76" s="317"/>
      <c r="ULZ76" s="317"/>
      <c r="UMA76" s="317"/>
      <c r="UMB76" s="317"/>
      <c r="UMC76" s="317"/>
      <c r="UMD76" s="317"/>
      <c r="UME76" s="317"/>
      <c r="UMF76" s="317"/>
      <c r="UMG76" s="317"/>
      <c r="UMH76" s="317"/>
      <c r="UMI76" s="317"/>
      <c r="UMJ76" s="317"/>
      <c r="UMK76" s="317"/>
      <c r="UML76" s="317"/>
      <c r="UMM76" s="317"/>
      <c r="UMN76" s="317"/>
      <c r="UMO76" s="317"/>
      <c r="UMP76" s="317"/>
      <c r="UMQ76" s="317"/>
      <c r="UMR76" s="317"/>
      <c r="UMS76" s="317"/>
      <c r="UMT76" s="317"/>
      <c r="UMU76" s="317"/>
      <c r="UMV76" s="317"/>
      <c r="UMW76" s="317"/>
      <c r="UMX76" s="317"/>
      <c r="UMY76" s="317"/>
      <c r="UMZ76" s="317"/>
      <c r="UNA76" s="317"/>
      <c r="UNB76" s="317"/>
      <c r="UNC76" s="317"/>
      <c r="UND76" s="317"/>
      <c r="UNE76" s="317"/>
      <c r="UNF76" s="317"/>
      <c r="UNG76" s="317"/>
      <c r="UNH76" s="317"/>
      <c r="UNI76" s="317"/>
      <c r="UNJ76" s="317"/>
      <c r="UNK76" s="317"/>
      <c r="UNL76" s="317"/>
      <c r="UNM76" s="317"/>
      <c r="UNN76" s="317"/>
      <c r="UNO76" s="317"/>
      <c r="UNP76" s="317"/>
      <c r="UNQ76" s="317"/>
      <c r="UNR76" s="317"/>
      <c r="UNS76" s="317"/>
      <c r="UNT76" s="317"/>
      <c r="UNU76" s="317"/>
      <c r="UNV76" s="317"/>
      <c r="UNW76" s="317"/>
      <c r="UNX76" s="317"/>
      <c r="UNY76" s="317"/>
      <c r="UNZ76" s="317"/>
      <c r="UOA76" s="317"/>
      <c r="UOB76" s="317"/>
      <c r="UOC76" s="317"/>
      <c r="UOD76" s="317"/>
      <c r="UOE76" s="317"/>
      <c r="UOF76" s="317"/>
      <c r="UOG76" s="317"/>
      <c r="UOH76" s="317"/>
      <c r="UOI76" s="317"/>
      <c r="UOJ76" s="317"/>
      <c r="UOK76" s="317"/>
      <c r="UOL76" s="317"/>
      <c r="UOM76" s="317"/>
      <c r="UON76" s="317"/>
      <c r="UOO76" s="317"/>
      <c r="UOP76" s="317"/>
      <c r="UOQ76" s="317"/>
      <c r="UOR76" s="317"/>
      <c r="UOS76" s="317"/>
      <c r="UOT76" s="317"/>
      <c r="UOU76" s="317"/>
      <c r="UOV76" s="317"/>
      <c r="UOW76" s="317"/>
      <c r="UOX76" s="317"/>
      <c r="UOY76" s="317"/>
      <c r="UOZ76" s="317"/>
      <c r="UPA76" s="317"/>
      <c r="UPB76" s="317"/>
      <c r="UPC76" s="317"/>
      <c r="UPD76" s="317"/>
      <c r="UPE76" s="317"/>
      <c r="UPF76" s="317"/>
      <c r="UPG76" s="317"/>
      <c r="UPH76" s="317"/>
      <c r="UPI76" s="317"/>
      <c r="UPJ76" s="317"/>
      <c r="UPK76" s="317"/>
      <c r="UPL76" s="317"/>
      <c r="UPM76" s="317"/>
      <c r="UPN76" s="317"/>
      <c r="UPO76" s="317"/>
      <c r="UPP76" s="317"/>
      <c r="UPQ76" s="317"/>
      <c r="UPR76" s="317"/>
      <c r="UPS76" s="317"/>
      <c r="UPT76" s="317"/>
      <c r="UPU76" s="317"/>
      <c r="UPV76" s="317"/>
      <c r="UPW76" s="317"/>
      <c r="UPX76" s="317"/>
      <c r="UPY76" s="317"/>
      <c r="UPZ76" s="317"/>
      <c r="UQA76" s="317"/>
      <c r="UQB76" s="317"/>
      <c r="UQC76" s="317"/>
      <c r="UQD76" s="317"/>
      <c r="UQE76" s="317"/>
      <c r="UQF76" s="317"/>
      <c r="UQG76" s="317"/>
      <c r="UQH76" s="317"/>
      <c r="UQI76" s="317"/>
      <c r="UQJ76" s="317"/>
      <c r="UQK76" s="317"/>
      <c r="UQL76" s="317"/>
      <c r="UQM76" s="317"/>
      <c r="UQN76" s="317"/>
      <c r="UQO76" s="317"/>
      <c r="UQP76" s="317"/>
      <c r="UQQ76" s="317"/>
      <c r="UQR76" s="317"/>
      <c r="UQS76" s="317"/>
      <c r="UQT76" s="317"/>
      <c r="UQU76" s="317"/>
      <c r="UQV76" s="317"/>
      <c r="UQW76" s="317"/>
      <c r="UQX76" s="317"/>
      <c r="UQY76" s="317"/>
      <c r="UQZ76" s="317"/>
      <c r="URA76" s="317"/>
      <c r="URB76" s="317"/>
      <c r="URC76" s="317"/>
      <c r="URD76" s="317"/>
      <c r="URE76" s="317"/>
      <c r="URF76" s="317"/>
      <c r="URG76" s="317"/>
      <c r="URH76" s="317"/>
      <c r="URI76" s="317"/>
      <c r="URJ76" s="317"/>
      <c r="URK76" s="317"/>
      <c r="URL76" s="317"/>
      <c r="URM76" s="317"/>
      <c r="URN76" s="317"/>
      <c r="URO76" s="317"/>
      <c r="URP76" s="317"/>
      <c r="URQ76" s="317"/>
      <c r="URR76" s="317"/>
      <c r="URS76" s="317"/>
      <c r="URT76" s="317"/>
      <c r="URU76" s="317"/>
      <c r="URV76" s="317"/>
      <c r="URW76" s="317"/>
      <c r="URX76" s="317"/>
      <c r="URY76" s="317"/>
      <c r="URZ76" s="317"/>
      <c r="USA76" s="317"/>
      <c r="USB76" s="317"/>
      <c r="USC76" s="317"/>
      <c r="USD76" s="317"/>
      <c r="USE76" s="317"/>
      <c r="USF76" s="317"/>
      <c r="USG76" s="317"/>
      <c r="USH76" s="317"/>
      <c r="USI76" s="317"/>
      <c r="USJ76" s="317"/>
      <c r="USK76" s="317"/>
      <c r="USL76" s="317"/>
      <c r="USM76" s="317"/>
      <c r="USN76" s="317"/>
      <c r="USO76" s="317"/>
      <c r="USP76" s="317"/>
      <c r="USQ76" s="317"/>
      <c r="USR76" s="317"/>
      <c r="USS76" s="317"/>
      <c r="UST76" s="317"/>
      <c r="USU76" s="317"/>
      <c r="USV76" s="317"/>
      <c r="USW76" s="317"/>
      <c r="USX76" s="317"/>
      <c r="USY76" s="317"/>
      <c r="USZ76" s="317"/>
      <c r="UTA76" s="317"/>
      <c r="UTB76" s="317"/>
      <c r="UTC76" s="317"/>
      <c r="UTD76" s="317"/>
      <c r="UTE76" s="317"/>
      <c r="UTF76" s="317"/>
      <c r="UTG76" s="317"/>
      <c r="UTH76" s="317"/>
      <c r="UTI76" s="317"/>
      <c r="UTJ76" s="317"/>
      <c r="UTK76" s="317"/>
      <c r="UTL76" s="317"/>
      <c r="UTM76" s="317"/>
      <c r="UTN76" s="317"/>
      <c r="UTO76" s="317"/>
      <c r="UTP76" s="317"/>
      <c r="UTQ76" s="317"/>
      <c r="UTR76" s="317"/>
      <c r="UTS76" s="317"/>
      <c r="UTT76" s="317"/>
      <c r="UTU76" s="317"/>
      <c r="UTV76" s="317"/>
      <c r="UTW76" s="317"/>
      <c r="UTX76" s="317"/>
      <c r="UTY76" s="317"/>
      <c r="UTZ76" s="317"/>
      <c r="UUA76" s="317"/>
      <c r="UUB76" s="317"/>
      <c r="UUC76" s="317"/>
      <c r="UUD76" s="317"/>
      <c r="UUE76" s="317"/>
      <c r="UUF76" s="317"/>
      <c r="UUG76" s="317"/>
      <c r="UUH76" s="317"/>
      <c r="UUI76" s="317"/>
      <c r="UUJ76" s="317"/>
      <c r="UUK76" s="317"/>
      <c r="UUL76" s="317"/>
      <c r="UUM76" s="317"/>
      <c r="UUN76" s="317"/>
      <c r="UUO76" s="317"/>
      <c r="UUP76" s="317"/>
      <c r="UUQ76" s="317"/>
      <c r="UUR76" s="317"/>
      <c r="UUS76" s="317"/>
      <c r="UUT76" s="317"/>
      <c r="UUU76" s="317"/>
      <c r="UUV76" s="317"/>
      <c r="UUW76" s="317"/>
      <c r="UUX76" s="317"/>
      <c r="UUY76" s="317"/>
      <c r="UUZ76" s="317"/>
      <c r="UVA76" s="317"/>
      <c r="UVB76" s="317"/>
      <c r="UVC76" s="317"/>
      <c r="UVD76" s="317"/>
      <c r="UVE76" s="317"/>
      <c r="UVF76" s="317"/>
      <c r="UVG76" s="317"/>
      <c r="UVH76" s="317"/>
      <c r="UVI76" s="317"/>
      <c r="UVJ76" s="317"/>
      <c r="UVK76" s="317"/>
      <c r="UVL76" s="317"/>
      <c r="UVM76" s="317"/>
      <c r="UVN76" s="317"/>
      <c r="UVO76" s="317"/>
      <c r="UVP76" s="317"/>
      <c r="UVQ76" s="317"/>
      <c r="UVR76" s="317"/>
      <c r="UVS76" s="317"/>
      <c r="UVT76" s="317"/>
      <c r="UVU76" s="317"/>
      <c r="UVV76" s="317"/>
      <c r="UVW76" s="317"/>
      <c r="UVX76" s="317"/>
      <c r="UVY76" s="317"/>
      <c r="UVZ76" s="317"/>
      <c r="UWA76" s="317"/>
      <c r="UWB76" s="317"/>
      <c r="UWC76" s="317"/>
      <c r="UWD76" s="317"/>
      <c r="UWE76" s="317"/>
      <c r="UWF76" s="317"/>
      <c r="UWG76" s="317"/>
      <c r="UWH76" s="317"/>
      <c r="UWI76" s="317"/>
      <c r="UWJ76" s="317"/>
      <c r="UWK76" s="317"/>
      <c r="UWL76" s="317"/>
      <c r="UWM76" s="317"/>
      <c r="UWN76" s="317"/>
      <c r="UWO76" s="317"/>
      <c r="UWP76" s="317"/>
      <c r="UWQ76" s="317"/>
      <c r="UWR76" s="317"/>
      <c r="UWS76" s="317"/>
      <c r="UWT76" s="317"/>
      <c r="UWU76" s="317"/>
      <c r="UWV76" s="317"/>
      <c r="UWW76" s="317"/>
      <c r="UWX76" s="317"/>
      <c r="UWY76" s="317"/>
      <c r="UWZ76" s="317"/>
      <c r="UXA76" s="317"/>
      <c r="UXB76" s="317"/>
      <c r="UXC76" s="317"/>
      <c r="UXD76" s="317"/>
      <c r="UXE76" s="317"/>
      <c r="UXF76" s="317"/>
      <c r="UXG76" s="317"/>
      <c r="UXH76" s="317"/>
      <c r="UXI76" s="317"/>
      <c r="UXJ76" s="317"/>
      <c r="UXK76" s="317"/>
      <c r="UXL76" s="317"/>
      <c r="UXM76" s="317"/>
      <c r="UXN76" s="317"/>
      <c r="UXO76" s="317"/>
      <c r="UXP76" s="317"/>
      <c r="UXQ76" s="317"/>
      <c r="UXR76" s="317"/>
      <c r="UXS76" s="317"/>
      <c r="UXT76" s="317"/>
      <c r="UXU76" s="317"/>
      <c r="UXV76" s="317"/>
      <c r="UXW76" s="317"/>
      <c r="UXX76" s="317"/>
      <c r="UXY76" s="317"/>
      <c r="UXZ76" s="317"/>
      <c r="UYA76" s="317"/>
      <c r="UYB76" s="317"/>
      <c r="UYC76" s="317"/>
      <c r="UYD76" s="317"/>
      <c r="UYE76" s="317"/>
      <c r="UYF76" s="317"/>
      <c r="UYG76" s="317"/>
      <c r="UYH76" s="317"/>
      <c r="UYI76" s="317"/>
      <c r="UYJ76" s="317"/>
      <c r="UYK76" s="317"/>
      <c r="UYL76" s="317"/>
      <c r="UYM76" s="317"/>
      <c r="UYN76" s="317"/>
      <c r="UYO76" s="317"/>
      <c r="UYP76" s="317"/>
      <c r="UYQ76" s="317"/>
      <c r="UYR76" s="317"/>
      <c r="UYS76" s="317"/>
      <c r="UYT76" s="317"/>
      <c r="UYU76" s="317"/>
      <c r="UYV76" s="317"/>
      <c r="UYW76" s="317"/>
      <c r="UYX76" s="317"/>
      <c r="UYY76" s="317"/>
      <c r="UYZ76" s="317"/>
      <c r="UZA76" s="317"/>
      <c r="UZB76" s="317"/>
      <c r="UZC76" s="317"/>
      <c r="UZD76" s="317"/>
      <c r="UZE76" s="317"/>
      <c r="UZF76" s="317"/>
      <c r="UZG76" s="317"/>
      <c r="UZH76" s="317"/>
      <c r="UZI76" s="317"/>
      <c r="UZJ76" s="317"/>
      <c r="UZK76" s="317"/>
      <c r="UZL76" s="317"/>
      <c r="UZM76" s="317"/>
      <c r="UZN76" s="317"/>
      <c r="UZO76" s="317"/>
      <c r="UZP76" s="317"/>
      <c r="UZQ76" s="317"/>
      <c r="UZR76" s="317"/>
      <c r="UZS76" s="317"/>
      <c r="UZT76" s="317"/>
      <c r="UZU76" s="317"/>
      <c r="UZV76" s="317"/>
      <c r="UZW76" s="317"/>
      <c r="UZX76" s="317"/>
      <c r="UZY76" s="317"/>
      <c r="UZZ76" s="317"/>
      <c r="VAA76" s="317"/>
      <c r="VAB76" s="317"/>
      <c r="VAC76" s="317"/>
      <c r="VAD76" s="317"/>
      <c r="VAE76" s="317"/>
      <c r="VAF76" s="317"/>
      <c r="VAG76" s="317"/>
      <c r="VAH76" s="317"/>
      <c r="VAI76" s="317"/>
      <c r="VAJ76" s="317"/>
      <c r="VAK76" s="317"/>
      <c r="VAL76" s="317"/>
      <c r="VAM76" s="317"/>
      <c r="VAN76" s="317"/>
      <c r="VAO76" s="317"/>
      <c r="VAP76" s="317"/>
      <c r="VAQ76" s="317"/>
      <c r="VAR76" s="317"/>
      <c r="VAS76" s="317"/>
      <c r="VAT76" s="317"/>
      <c r="VAU76" s="317"/>
      <c r="VAV76" s="317"/>
      <c r="VAW76" s="317"/>
      <c r="VAX76" s="317"/>
      <c r="VAY76" s="317"/>
      <c r="VAZ76" s="317"/>
      <c r="VBA76" s="317"/>
      <c r="VBB76" s="317"/>
      <c r="VBC76" s="317"/>
      <c r="VBD76" s="317"/>
      <c r="VBE76" s="317"/>
      <c r="VBF76" s="317"/>
      <c r="VBG76" s="317"/>
      <c r="VBH76" s="317"/>
      <c r="VBI76" s="317"/>
      <c r="VBJ76" s="317"/>
      <c r="VBK76" s="317"/>
      <c r="VBL76" s="317"/>
      <c r="VBM76" s="317"/>
      <c r="VBN76" s="317"/>
      <c r="VBO76" s="317"/>
      <c r="VBP76" s="317"/>
      <c r="VBQ76" s="317"/>
      <c r="VBR76" s="317"/>
      <c r="VBS76" s="317"/>
      <c r="VBT76" s="317"/>
      <c r="VBU76" s="317"/>
      <c r="VBV76" s="317"/>
      <c r="VBW76" s="317"/>
      <c r="VBX76" s="317"/>
      <c r="VBY76" s="317"/>
      <c r="VBZ76" s="317"/>
      <c r="VCA76" s="317"/>
      <c r="VCB76" s="317"/>
      <c r="VCC76" s="317"/>
      <c r="VCD76" s="317"/>
      <c r="VCE76" s="317"/>
      <c r="VCF76" s="317"/>
      <c r="VCG76" s="317"/>
      <c r="VCH76" s="317"/>
      <c r="VCI76" s="317"/>
      <c r="VCJ76" s="317"/>
      <c r="VCK76" s="317"/>
      <c r="VCL76" s="317"/>
      <c r="VCM76" s="317"/>
      <c r="VCN76" s="317"/>
      <c r="VCO76" s="317"/>
      <c r="VCP76" s="317"/>
      <c r="VCQ76" s="317"/>
      <c r="VCR76" s="317"/>
      <c r="VCS76" s="317"/>
      <c r="VCT76" s="317"/>
      <c r="VCU76" s="317"/>
      <c r="VCV76" s="317"/>
      <c r="VCW76" s="317"/>
      <c r="VCX76" s="317"/>
      <c r="VCY76" s="317"/>
      <c r="VCZ76" s="317"/>
      <c r="VDA76" s="317"/>
      <c r="VDB76" s="317"/>
      <c r="VDC76" s="317"/>
      <c r="VDD76" s="317"/>
      <c r="VDE76" s="317"/>
      <c r="VDF76" s="317"/>
      <c r="VDG76" s="317"/>
      <c r="VDH76" s="317"/>
      <c r="VDI76" s="317"/>
      <c r="VDJ76" s="317"/>
      <c r="VDK76" s="317"/>
      <c r="VDL76" s="317"/>
      <c r="VDM76" s="317"/>
      <c r="VDN76" s="317"/>
      <c r="VDO76" s="317"/>
      <c r="VDP76" s="317"/>
      <c r="VDQ76" s="317"/>
      <c r="VDR76" s="317"/>
      <c r="VDS76" s="317"/>
      <c r="VDT76" s="317"/>
      <c r="VDU76" s="317"/>
      <c r="VDV76" s="317"/>
      <c r="VDW76" s="317"/>
      <c r="VDX76" s="317"/>
      <c r="VDY76" s="317"/>
      <c r="VDZ76" s="317"/>
      <c r="VEA76" s="317"/>
      <c r="VEB76" s="317"/>
      <c r="VEC76" s="317"/>
      <c r="VED76" s="317"/>
      <c r="VEE76" s="317"/>
      <c r="VEF76" s="317"/>
      <c r="VEG76" s="317"/>
      <c r="VEH76" s="317"/>
      <c r="VEI76" s="317"/>
      <c r="VEJ76" s="317"/>
      <c r="VEK76" s="317"/>
      <c r="VEL76" s="317"/>
      <c r="VEM76" s="317"/>
      <c r="VEN76" s="317"/>
      <c r="VEO76" s="317"/>
      <c r="VEP76" s="317"/>
      <c r="VEQ76" s="317"/>
      <c r="VER76" s="317"/>
      <c r="VES76" s="317"/>
      <c r="VET76" s="317"/>
      <c r="VEU76" s="317"/>
      <c r="VEV76" s="317"/>
      <c r="VEW76" s="317"/>
      <c r="VEX76" s="317"/>
      <c r="VEY76" s="317"/>
      <c r="VEZ76" s="317"/>
      <c r="VFA76" s="317"/>
      <c r="VFB76" s="317"/>
      <c r="VFC76" s="317"/>
      <c r="VFD76" s="317"/>
      <c r="VFE76" s="317"/>
      <c r="VFF76" s="317"/>
      <c r="VFG76" s="317"/>
      <c r="VFH76" s="317"/>
      <c r="VFI76" s="317"/>
      <c r="VFJ76" s="317"/>
      <c r="VFK76" s="317"/>
      <c r="VFL76" s="317"/>
      <c r="VFM76" s="317"/>
      <c r="VFN76" s="317"/>
      <c r="VFO76" s="317"/>
      <c r="VFP76" s="317"/>
      <c r="VFQ76" s="317"/>
      <c r="VFR76" s="317"/>
      <c r="VFS76" s="317"/>
      <c r="VFT76" s="317"/>
      <c r="VFU76" s="317"/>
      <c r="VFV76" s="317"/>
      <c r="VFW76" s="317"/>
      <c r="VFX76" s="317"/>
      <c r="VFY76" s="317"/>
      <c r="VFZ76" s="317"/>
      <c r="VGA76" s="317"/>
      <c r="VGB76" s="317"/>
      <c r="VGC76" s="317"/>
      <c r="VGD76" s="317"/>
      <c r="VGE76" s="317"/>
      <c r="VGF76" s="317"/>
      <c r="VGG76" s="317"/>
      <c r="VGH76" s="317"/>
      <c r="VGI76" s="317"/>
      <c r="VGJ76" s="317"/>
      <c r="VGK76" s="317"/>
      <c r="VGL76" s="317"/>
      <c r="VGM76" s="317"/>
      <c r="VGN76" s="317"/>
      <c r="VGO76" s="317"/>
      <c r="VGP76" s="317"/>
      <c r="VGQ76" s="317"/>
      <c r="VGR76" s="317"/>
      <c r="VGS76" s="317"/>
      <c r="VGT76" s="317"/>
      <c r="VGU76" s="317"/>
      <c r="VGV76" s="317"/>
      <c r="VGW76" s="317"/>
      <c r="VGX76" s="317"/>
      <c r="VGY76" s="317"/>
      <c r="VGZ76" s="317"/>
      <c r="VHA76" s="317"/>
      <c r="VHB76" s="317"/>
      <c r="VHC76" s="317"/>
      <c r="VHD76" s="317"/>
      <c r="VHE76" s="317"/>
      <c r="VHF76" s="317"/>
      <c r="VHG76" s="317"/>
      <c r="VHH76" s="317"/>
      <c r="VHI76" s="317"/>
      <c r="VHJ76" s="317"/>
      <c r="VHK76" s="317"/>
      <c r="VHL76" s="317"/>
      <c r="VHM76" s="317"/>
      <c r="VHN76" s="317"/>
      <c r="VHO76" s="317"/>
      <c r="VHP76" s="317"/>
      <c r="VHQ76" s="317"/>
      <c r="VHR76" s="317"/>
      <c r="VHS76" s="317"/>
      <c r="VHT76" s="317"/>
      <c r="VHU76" s="317"/>
      <c r="VHV76" s="317"/>
      <c r="VHW76" s="317"/>
      <c r="VHX76" s="317"/>
      <c r="VHY76" s="317"/>
      <c r="VHZ76" s="317"/>
      <c r="VIA76" s="317"/>
      <c r="VIB76" s="317"/>
      <c r="VIC76" s="317"/>
      <c r="VID76" s="317"/>
      <c r="VIE76" s="317"/>
      <c r="VIF76" s="317"/>
      <c r="VIG76" s="317"/>
      <c r="VIH76" s="317"/>
      <c r="VII76" s="317"/>
      <c r="VIJ76" s="317"/>
      <c r="VIK76" s="317"/>
      <c r="VIL76" s="317"/>
      <c r="VIM76" s="317"/>
      <c r="VIN76" s="317"/>
      <c r="VIO76" s="317"/>
      <c r="VIP76" s="317"/>
      <c r="VIQ76" s="317"/>
      <c r="VIR76" s="317"/>
      <c r="VIS76" s="317"/>
      <c r="VIT76" s="317"/>
      <c r="VIU76" s="317"/>
      <c r="VIV76" s="317"/>
      <c r="VIW76" s="317"/>
      <c r="VIX76" s="317"/>
      <c r="VIY76" s="317"/>
      <c r="VIZ76" s="317"/>
      <c r="VJA76" s="317"/>
      <c r="VJB76" s="317"/>
      <c r="VJC76" s="317"/>
      <c r="VJD76" s="317"/>
      <c r="VJE76" s="317"/>
      <c r="VJF76" s="317"/>
      <c r="VJG76" s="317"/>
      <c r="VJH76" s="317"/>
      <c r="VJI76" s="317"/>
      <c r="VJJ76" s="317"/>
      <c r="VJK76" s="317"/>
      <c r="VJL76" s="317"/>
      <c r="VJM76" s="317"/>
      <c r="VJN76" s="317"/>
      <c r="VJO76" s="317"/>
      <c r="VJP76" s="317"/>
      <c r="VJQ76" s="317"/>
      <c r="VJR76" s="317"/>
      <c r="VJS76" s="317"/>
      <c r="VJT76" s="317"/>
      <c r="VJU76" s="317"/>
      <c r="VJV76" s="317"/>
      <c r="VJW76" s="317"/>
      <c r="VJX76" s="317"/>
      <c r="VJY76" s="317"/>
      <c r="VJZ76" s="317"/>
      <c r="VKA76" s="317"/>
      <c r="VKB76" s="317"/>
      <c r="VKC76" s="317"/>
      <c r="VKD76" s="317"/>
      <c r="VKE76" s="317"/>
      <c r="VKF76" s="317"/>
      <c r="VKG76" s="317"/>
      <c r="VKH76" s="317"/>
      <c r="VKI76" s="317"/>
      <c r="VKJ76" s="317"/>
      <c r="VKK76" s="317"/>
      <c r="VKL76" s="317"/>
      <c r="VKM76" s="317"/>
      <c r="VKN76" s="317"/>
      <c r="VKO76" s="317"/>
      <c r="VKP76" s="317"/>
      <c r="VKQ76" s="317"/>
      <c r="VKR76" s="317"/>
      <c r="VKS76" s="317"/>
      <c r="VKT76" s="317"/>
      <c r="VKU76" s="317"/>
      <c r="VKV76" s="317"/>
      <c r="VKW76" s="317"/>
      <c r="VKX76" s="317"/>
      <c r="VKY76" s="317"/>
      <c r="VKZ76" s="317"/>
      <c r="VLA76" s="317"/>
      <c r="VLB76" s="317"/>
      <c r="VLC76" s="317"/>
      <c r="VLD76" s="317"/>
      <c r="VLE76" s="317"/>
      <c r="VLF76" s="317"/>
      <c r="VLG76" s="317"/>
      <c r="VLH76" s="317"/>
      <c r="VLI76" s="317"/>
      <c r="VLJ76" s="317"/>
      <c r="VLK76" s="317"/>
      <c r="VLL76" s="317"/>
      <c r="VLM76" s="317"/>
      <c r="VLN76" s="317"/>
      <c r="VLO76" s="317"/>
      <c r="VLP76" s="317"/>
      <c r="VLQ76" s="317"/>
      <c r="VLR76" s="317"/>
      <c r="VLS76" s="317"/>
      <c r="VLT76" s="317"/>
      <c r="VLU76" s="317"/>
      <c r="VLV76" s="317"/>
      <c r="VLW76" s="317"/>
      <c r="VLX76" s="317"/>
      <c r="VLY76" s="317"/>
      <c r="VLZ76" s="317"/>
      <c r="VMA76" s="317"/>
      <c r="VMB76" s="317"/>
      <c r="VMC76" s="317"/>
      <c r="VMD76" s="317"/>
      <c r="VME76" s="317"/>
      <c r="VMF76" s="317"/>
      <c r="VMG76" s="317"/>
      <c r="VMH76" s="317"/>
      <c r="VMI76" s="317"/>
      <c r="VMJ76" s="317"/>
      <c r="VMK76" s="317"/>
      <c r="VML76" s="317"/>
      <c r="VMM76" s="317"/>
      <c r="VMN76" s="317"/>
      <c r="VMO76" s="317"/>
      <c r="VMP76" s="317"/>
      <c r="VMQ76" s="317"/>
      <c r="VMR76" s="317"/>
      <c r="VMS76" s="317"/>
      <c r="VMT76" s="317"/>
      <c r="VMU76" s="317"/>
      <c r="VMV76" s="317"/>
      <c r="VMW76" s="317"/>
      <c r="VMX76" s="317"/>
      <c r="VMY76" s="317"/>
      <c r="VMZ76" s="317"/>
      <c r="VNA76" s="317"/>
      <c r="VNB76" s="317"/>
      <c r="VNC76" s="317"/>
      <c r="VND76" s="317"/>
      <c r="VNE76" s="317"/>
      <c r="VNF76" s="317"/>
      <c r="VNG76" s="317"/>
      <c r="VNH76" s="317"/>
      <c r="VNI76" s="317"/>
      <c r="VNJ76" s="317"/>
      <c r="VNK76" s="317"/>
      <c r="VNL76" s="317"/>
      <c r="VNM76" s="317"/>
      <c r="VNN76" s="317"/>
      <c r="VNO76" s="317"/>
      <c r="VNP76" s="317"/>
      <c r="VNQ76" s="317"/>
      <c r="VNR76" s="317"/>
      <c r="VNS76" s="317"/>
      <c r="VNT76" s="317"/>
      <c r="VNU76" s="317"/>
      <c r="VNV76" s="317"/>
      <c r="VNW76" s="317"/>
      <c r="VNX76" s="317"/>
      <c r="VNY76" s="317"/>
      <c r="VNZ76" s="317"/>
      <c r="VOA76" s="317"/>
      <c r="VOB76" s="317"/>
      <c r="VOC76" s="317"/>
      <c r="VOD76" s="317"/>
      <c r="VOE76" s="317"/>
      <c r="VOF76" s="317"/>
      <c r="VOG76" s="317"/>
      <c r="VOH76" s="317"/>
      <c r="VOI76" s="317"/>
      <c r="VOJ76" s="317"/>
      <c r="VOK76" s="317"/>
      <c r="VOL76" s="317"/>
      <c r="VOM76" s="317"/>
      <c r="VON76" s="317"/>
      <c r="VOO76" s="317"/>
      <c r="VOP76" s="317"/>
      <c r="VOQ76" s="317"/>
      <c r="VOR76" s="317"/>
      <c r="VOS76" s="317"/>
      <c r="VOT76" s="317"/>
      <c r="VOU76" s="317"/>
      <c r="VOV76" s="317"/>
      <c r="VOW76" s="317"/>
      <c r="VOX76" s="317"/>
      <c r="VOY76" s="317"/>
      <c r="VOZ76" s="317"/>
      <c r="VPA76" s="317"/>
      <c r="VPB76" s="317"/>
      <c r="VPC76" s="317"/>
      <c r="VPD76" s="317"/>
      <c r="VPE76" s="317"/>
      <c r="VPF76" s="317"/>
      <c r="VPG76" s="317"/>
      <c r="VPH76" s="317"/>
      <c r="VPI76" s="317"/>
      <c r="VPJ76" s="317"/>
      <c r="VPK76" s="317"/>
      <c r="VPL76" s="317"/>
      <c r="VPM76" s="317"/>
      <c r="VPN76" s="317"/>
      <c r="VPO76" s="317"/>
      <c r="VPP76" s="317"/>
      <c r="VPQ76" s="317"/>
      <c r="VPR76" s="317"/>
      <c r="VPS76" s="317"/>
      <c r="VPT76" s="317"/>
      <c r="VPU76" s="317"/>
      <c r="VPV76" s="317"/>
      <c r="VPW76" s="317"/>
      <c r="VPX76" s="317"/>
      <c r="VPY76" s="317"/>
      <c r="VPZ76" s="317"/>
      <c r="VQA76" s="317"/>
      <c r="VQB76" s="317"/>
      <c r="VQC76" s="317"/>
      <c r="VQD76" s="317"/>
      <c r="VQE76" s="317"/>
      <c r="VQF76" s="317"/>
      <c r="VQG76" s="317"/>
      <c r="VQH76" s="317"/>
      <c r="VQI76" s="317"/>
      <c r="VQJ76" s="317"/>
      <c r="VQK76" s="317"/>
      <c r="VQL76" s="317"/>
      <c r="VQM76" s="317"/>
      <c r="VQN76" s="317"/>
      <c r="VQO76" s="317"/>
      <c r="VQP76" s="317"/>
      <c r="VQQ76" s="317"/>
      <c r="VQR76" s="317"/>
      <c r="VQS76" s="317"/>
      <c r="VQT76" s="317"/>
      <c r="VQU76" s="317"/>
      <c r="VQV76" s="317"/>
      <c r="VQW76" s="317"/>
      <c r="VQX76" s="317"/>
      <c r="VQY76" s="317"/>
      <c r="VQZ76" s="317"/>
      <c r="VRA76" s="317"/>
      <c r="VRB76" s="317"/>
      <c r="VRC76" s="317"/>
      <c r="VRD76" s="317"/>
      <c r="VRE76" s="317"/>
      <c r="VRF76" s="317"/>
      <c r="VRG76" s="317"/>
      <c r="VRH76" s="317"/>
      <c r="VRI76" s="317"/>
      <c r="VRJ76" s="317"/>
      <c r="VRK76" s="317"/>
      <c r="VRL76" s="317"/>
      <c r="VRM76" s="317"/>
      <c r="VRN76" s="317"/>
      <c r="VRO76" s="317"/>
      <c r="VRP76" s="317"/>
      <c r="VRQ76" s="317"/>
      <c r="VRR76" s="317"/>
      <c r="VRS76" s="317"/>
      <c r="VRT76" s="317"/>
      <c r="VRU76" s="317"/>
      <c r="VRV76" s="317"/>
      <c r="VRW76" s="317"/>
      <c r="VRX76" s="317"/>
      <c r="VRY76" s="317"/>
      <c r="VRZ76" s="317"/>
      <c r="VSA76" s="317"/>
      <c r="VSB76" s="317"/>
      <c r="VSC76" s="317"/>
      <c r="VSD76" s="317"/>
      <c r="VSE76" s="317"/>
      <c r="VSF76" s="317"/>
      <c r="VSG76" s="317"/>
      <c r="VSH76" s="317"/>
      <c r="VSI76" s="317"/>
      <c r="VSJ76" s="317"/>
      <c r="VSK76" s="317"/>
      <c r="VSL76" s="317"/>
      <c r="VSM76" s="317"/>
      <c r="VSN76" s="317"/>
      <c r="VSO76" s="317"/>
      <c r="VSP76" s="317"/>
      <c r="VSQ76" s="317"/>
      <c r="VSR76" s="317"/>
      <c r="VSS76" s="317"/>
      <c r="VST76" s="317"/>
      <c r="VSU76" s="317"/>
      <c r="VSV76" s="317"/>
      <c r="VSW76" s="317"/>
      <c r="VSX76" s="317"/>
      <c r="VSY76" s="317"/>
      <c r="VSZ76" s="317"/>
      <c r="VTA76" s="317"/>
      <c r="VTB76" s="317"/>
      <c r="VTC76" s="317"/>
      <c r="VTD76" s="317"/>
      <c r="VTE76" s="317"/>
      <c r="VTF76" s="317"/>
      <c r="VTG76" s="317"/>
      <c r="VTH76" s="317"/>
      <c r="VTI76" s="317"/>
      <c r="VTJ76" s="317"/>
      <c r="VTK76" s="317"/>
      <c r="VTL76" s="317"/>
      <c r="VTM76" s="317"/>
      <c r="VTN76" s="317"/>
      <c r="VTO76" s="317"/>
      <c r="VTP76" s="317"/>
      <c r="VTQ76" s="317"/>
      <c r="VTR76" s="317"/>
      <c r="VTS76" s="317"/>
      <c r="VTT76" s="317"/>
      <c r="VTU76" s="317"/>
      <c r="VTV76" s="317"/>
      <c r="VTW76" s="317"/>
      <c r="VTX76" s="317"/>
      <c r="VTY76" s="317"/>
      <c r="VTZ76" s="317"/>
      <c r="VUA76" s="317"/>
      <c r="VUB76" s="317"/>
      <c r="VUC76" s="317"/>
      <c r="VUD76" s="317"/>
      <c r="VUE76" s="317"/>
      <c r="VUF76" s="317"/>
      <c r="VUG76" s="317"/>
      <c r="VUH76" s="317"/>
      <c r="VUI76" s="317"/>
      <c r="VUJ76" s="317"/>
      <c r="VUK76" s="317"/>
      <c r="VUL76" s="317"/>
      <c r="VUM76" s="317"/>
      <c r="VUN76" s="317"/>
      <c r="VUO76" s="317"/>
      <c r="VUP76" s="317"/>
      <c r="VUQ76" s="317"/>
      <c r="VUR76" s="317"/>
      <c r="VUS76" s="317"/>
      <c r="VUT76" s="317"/>
      <c r="VUU76" s="317"/>
      <c r="VUV76" s="317"/>
      <c r="VUW76" s="317"/>
      <c r="VUX76" s="317"/>
      <c r="VUY76" s="317"/>
      <c r="VUZ76" s="317"/>
      <c r="VVA76" s="317"/>
      <c r="VVB76" s="317"/>
      <c r="VVC76" s="317"/>
      <c r="VVD76" s="317"/>
      <c r="VVE76" s="317"/>
      <c r="VVF76" s="317"/>
      <c r="VVG76" s="317"/>
      <c r="VVH76" s="317"/>
      <c r="VVI76" s="317"/>
      <c r="VVJ76" s="317"/>
      <c r="VVK76" s="317"/>
      <c r="VVL76" s="317"/>
      <c r="VVM76" s="317"/>
      <c r="VVN76" s="317"/>
      <c r="VVO76" s="317"/>
      <c r="VVP76" s="317"/>
      <c r="VVQ76" s="317"/>
      <c r="VVR76" s="317"/>
      <c r="VVS76" s="317"/>
      <c r="VVT76" s="317"/>
      <c r="VVU76" s="317"/>
      <c r="VVV76" s="317"/>
      <c r="VVW76" s="317"/>
      <c r="VVX76" s="317"/>
      <c r="VVY76" s="317"/>
      <c r="VVZ76" s="317"/>
      <c r="VWA76" s="317"/>
      <c r="VWB76" s="317"/>
      <c r="VWC76" s="317"/>
      <c r="VWD76" s="317"/>
      <c r="VWE76" s="317"/>
      <c r="VWF76" s="317"/>
      <c r="VWG76" s="317"/>
      <c r="VWH76" s="317"/>
      <c r="VWI76" s="317"/>
      <c r="VWJ76" s="317"/>
      <c r="VWK76" s="317"/>
      <c r="VWL76" s="317"/>
      <c r="VWM76" s="317"/>
      <c r="VWN76" s="317"/>
      <c r="VWO76" s="317"/>
      <c r="VWP76" s="317"/>
      <c r="VWQ76" s="317"/>
      <c r="VWR76" s="317"/>
      <c r="VWS76" s="317"/>
      <c r="VWT76" s="317"/>
      <c r="VWU76" s="317"/>
      <c r="VWV76" s="317"/>
      <c r="VWW76" s="317"/>
      <c r="VWX76" s="317"/>
      <c r="VWY76" s="317"/>
      <c r="VWZ76" s="317"/>
      <c r="VXA76" s="317"/>
      <c r="VXB76" s="317"/>
      <c r="VXC76" s="317"/>
      <c r="VXD76" s="317"/>
      <c r="VXE76" s="317"/>
      <c r="VXF76" s="317"/>
      <c r="VXG76" s="317"/>
      <c r="VXH76" s="317"/>
      <c r="VXI76" s="317"/>
      <c r="VXJ76" s="317"/>
      <c r="VXK76" s="317"/>
      <c r="VXL76" s="317"/>
      <c r="VXM76" s="317"/>
      <c r="VXN76" s="317"/>
      <c r="VXO76" s="317"/>
      <c r="VXP76" s="317"/>
      <c r="VXQ76" s="317"/>
      <c r="VXR76" s="317"/>
      <c r="VXS76" s="317"/>
      <c r="VXT76" s="317"/>
      <c r="VXU76" s="317"/>
      <c r="VXV76" s="317"/>
      <c r="VXW76" s="317"/>
      <c r="VXX76" s="317"/>
      <c r="VXY76" s="317"/>
      <c r="VXZ76" s="317"/>
      <c r="VYA76" s="317"/>
      <c r="VYB76" s="317"/>
      <c r="VYC76" s="317"/>
      <c r="VYD76" s="317"/>
      <c r="VYE76" s="317"/>
      <c r="VYF76" s="317"/>
      <c r="VYG76" s="317"/>
      <c r="VYH76" s="317"/>
      <c r="VYI76" s="317"/>
      <c r="VYJ76" s="317"/>
      <c r="VYK76" s="317"/>
      <c r="VYL76" s="317"/>
      <c r="VYM76" s="317"/>
      <c r="VYN76" s="317"/>
      <c r="VYO76" s="317"/>
      <c r="VYP76" s="317"/>
      <c r="VYQ76" s="317"/>
      <c r="VYR76" s="317"/>
      <c r="VYS76" s="317"/>
      <c r="VYT76" s="317"/>
      <c r="VYU76" s="317"/>
      <c r="VYV76" s="317"/>
      <c r="VYW76" s="317"/>
      <c r="VYX76" s="317"/>
      <c r="VYY76" s="317"/>
      <c r="VYZ76" s="317"/>
      <c r="VZA76" s="317"/>
      <c r="VZB76" s="317"/>
      <c r="VZC76" s="317"/>
      <c r="VZD76" s="317"/>
      <c r="VZE76" s="317"/>
      <c r="VZF76" s="317"/>
      <c r="VZG76" s="317"/>
      <c r="VZH76" s="317"/>
      <c r="VZI76" s="317"/>
      <c r="VZJ76" s="317"/>
      <c r="VZK76" s="317"/>
      <c r="VZL76" s="317"/>
      <c r="VZM76" s="317"/>
      <c r="VZN76" s="317"/>
      <c r="VZO76" s="317"/>
      <c r="VZP76" s="317"/>
      <c r="VZQ76" s="317"/>
      <c r="VZR76" s="317"/>
      <c r="VZS76" s="317"/>
      <c r="VZT76" s="317"/>
      <c r="VZU76" s="317"/>
      <c r="VZV76" s="317"/>
      <c r="VZW76" s="317"/>
      <c r="VZX76" s="317"/>
      <c r="VZY76" s="317"/>
      <c r="VZZ76" s="317"/>
      <c r="WAA76" s="317"/>
      <c r="WAB76" s="317"/>
      <c r="WAC76" s="317"/>
      <c r="WAD76" s="317"/>
      <c r="WAE76" s="317"/>
      <c r="WAF76" s="317"/>
      <c r="WAG76" s="317"/>
      <c r="WAH76" s="317"/>
      <c r="WAI76" s="317"/>
      <c r="WAJ76" s="317"/>
      <c r="WAK76" s="317"/>
      <c r="WAL76" s="317"/>
      <c r="WAM76" s="317"/>
      <c r="WAN76" s="317"/>
      <c r="WAO76" s="317"/>
      <c r="WAP76" s="317"/>
      <c r="WAQ76" s="317"/>
      <c r="WAR76" s="317"/>
      <c r="WAS76" s="317"/>
      <c r="WAT76" s="317"/>
      <c r="WAU76" s="317"/>
      <c r="WAV76" s="317"/>
      <c r="WAW76" s="317"/>
      <c r="WAX76" s="317"/>
      <c r="WAY76" s="317"/>
      <c r="WAZ76" s="317"/>
      <c r="WBA76" s="317"/>
      <c r="WBB76" s="317"/>
      <c r="WBC76" s="317"/>
      <c r="WBD76" s="317"/>
      <c r="WBE76" s="317"/>
      <c r="WBF76" s="317"/>
      <c r="WBG76" s="317"/>
      <c r="WBH76" s="317"/>
      <c r="WBI76" s="317"/>
      <c r="WBJ76" s="317"/>
      <c r="WBK76" s="317"/>
      <c r="WBL76" s="317"/>
      <c r="WBM76" s="317"/>
      <c r="WBN76" s="317"/>
      <c r="WBO76" s="317"/>
      <c r="WBP76" s="317"/>
      <c r="WBQ76" s="317"/>
      <c r="WBR76" s="317"/>
      <c r="WBS76" s="317"/>
      <c r="WBT76" s="317"/>
      <c r="WBU76" s="317"/>
      <c r="WBV76" s="317"/>
      <c r="WBW76" s="317"/>
      <c r="WBX76" s="317"/>
      <c r="WBY76" s="317"/>
      <c r="WBZ76" s="317"/>
      <c r="WCA76" s="317"/>
      <c r="WCB76" s="317"/>
      <c r="WCC76" s="317"/>
      <c r="WCD76" s="317"/>
      <c r="WCE76" s="317"/>
      <c r="WCF76" s="317"/>
      <c r="WCG76" s="317"/>
      <c r="WCH76" s="317"/>
      <c r="WCI76" s="317"/>
      <c r="WCJ76" s="317"/>
      <c r="WCK76" s="317"/>
      <c r="WCL76" s="317"/>
      <c r="WCM76" s="317"/>
      <c r="WCN76" s="317"/>
      <c r="WCO76" s="317"/>
      <c r="WCP76" s="317"/>
      <c r="WCQ76" s="317"/>
      <c r="WCR76" s="317"/>
      <c r="WCS76" s="317"/>
      <c r="WCT76" s="317"/>
      <c r="WCU76" s="317"/>
      <c r="WCV76" s="317"/>
      <c r="WCW76" s="317"/>
      <c r="WCX76" s="317"/>
      <c r="WCY76" s="317"/>
      <c r="WCZ76" s="317"/>
      <c r="WDA76" s="317"/>
      <c r="WDB76" s="317"/>
      <c r="WDC76" s="317"/>
      <c r="WDD76" s="317"/>
      <c r="WDE76" s="317"/>
      <c r="WDF76" s="317"/>
      <c r="WDG76" s="317"/>
      <c r="WDH76" s="317"/>
      <c r="WDI76" s="317"/>
      <c r="WDJ76" s="317"/>
      <c r="WDK76" s="317"/>
      <c r="WDL76" s="317"/>
      <c r="WDM76" s="317"/>
      <c r="WDN76" s="317"/>
      <c r="WDO76" s="317"/>
      <c r="WDP76" s="317"/>
      <c r="WDQ76" s="317"/>
      <c r="WDR76" s="317"/>
      <c r="WDS76" s="317"/>
      <c r="WDT76" s="317"/>
      <c r="WDU76" s="317"/>
      <c r="WDV76" s="317"/>
      <c r="WDW76" s="317"/>
      <c r="WDX76" s="317"/>
      <c r="WDY76" s="317"/>
      <c r="WDZ76" s="317"/>
      <c r="WEA76" s="317"/>
      <c r="WEB76" s="317"/>
      <c r="WEC76" s="317"/>
      <c r="WED76" s="317"/>
      <c r="WEE76" s="317"/>
      <c r="WEF76" s="317"/>
      <c r="WEG76" s="317"/>
      <c r="WEH76" s="317"/>
      <c r="WEI76" s="317"/>
      <c r="WEJ76" s="317"/>
      <c r="WEK76" s="317"/>
      <c r="WEL76" s="317"/>
      <c r="WEM76" s="317"/>
      <c r="WEN76" s="317"/>
      <c r="WEO76" s="317"/>
      <c r="WEP76" s="317"/>
      <c r="WEQ76" s="317"/>
      <c r="WER76" s="317"/>
      <c r="WES76" s="317"/>
      <c r="WET76" s="317"/>
      <c r="WEU76" s="317"/>
      <c r="WEV76" s="317"/>
      <c r="WEW76" s="317"/>
      <c r="WEX76" s="317"/>
      <c r="WEY76" s="317"/>
      <c r="WEZ76" s="317"/>
      <c r="WFA76" s="317"/>
      <c r="WFB76" s="317"/>
      <c r="WFC76" s="317"/>
      <c r="WFD76" s="317"/>
      <c r="WFE76" s="317"/>
      <c r="WFF76" s="317"/>
      <c r="WFG76" s="317"/>
      <c r="WFH76" s="317"/>
      <c r="WFI76" s="317"/>
      <c r="WFJ76" s="317"/>
      <c r="WFK76" s="317"/>
      <c r="WFL76" s="317"/>
      <c r="WFM76" s="317"/>
      <c r="WFN76" s="317"/>
      <c r="WFO76" s="317"/>
      <c r="WFP76" s="317"/>
      <c r="WFQ76" s="317"/>
      <c r="WFR76" s="317"/>
      <c r="WFS76" s="317"/>
      <c r="WFT76" s="317"/>
      <c r="WFU76" s="317"/>
      <c r="WFV76" s="317"/>
      <c r="WFW76" s="317"/>
      <c r="WFX76" s="317"/>
      <c r="WFY76" s="317"/>
      <c r="WFZ76" s="317"/>
      <c r="WGA76" s="317"/>
      <c r="WGB76" s="317"/>
      <c r="WGC76" s="317"/>
      <c r="WGD76" s="317"/>
      <c r="WGE76" s="317"/>
      <c r="WGF76" s="317"/>
      <c r="WGG76" s="317"/>
      <c r="WGH76" s="317"/>
      <c r="WGI76" s="317"/>
      <c r="WGJ76" s="317"/>
      <c r="WGK76" s="317"/>
      <c r="WGL76" s="317"/>
      <c r="WGM76" s="317"/>
      <c r="WGN76" s="317"/>
      <c r="WGO76" s="317"/>
      <c r="WGP76" s="317"/>
      <c r="WGQ76" s="317"/>
      <c r="WGR76" s="317"/>
      <c r="WGS76" s="317"/>
      <c r="WGT76" s="317"/>
      <c r="WGU76" s="317"/>
      <c r="WGV76" s="317"/>
      <c r="WGW76" s="317"/>
      <c r="WGX76" s="317"/>
      <c r="WGY76" s="317"/>
      <c r="WGZ76" s="317"/>
      <c r="WHA76" s="317"/>
      <c r="WHB76" s="317"/>
      <c r="WHC76" s="317"/>
      <c r="WHD76" s="317"/>
      <c r="WHE76" s="317"/>
      <c r="WHF76" s="317"/>
      <c r="WHG76" s="317"/>
      <c r="WHH76" s="317"/>
      <c r="WHI76" s="317"/>
      <c r="WHJ76" s="317"/>
      <c r="WHK76" s="317"/>
      <c r="WHL76" s="317"/>
      <c r="WHM76" s="317"/>
      <c r="WHN76" s="317"/>
      <c r="WHO76" s="317"/>
      <c r="WHP76" s="317"/>
      <c r="WHQ76" s="317"/>
      <c r="WHR76" s="317"/>
      <c r="WHS76" s="317"/>
      <c r="WHT76" s="317"/>
      <c r="WHU76" s="317"/>
      <c r="WHV76" s="317"/>
      <c r="WHW76" s="317"/>
      <c r="WHX76" s="317"/>
      <c r="WHY76" s="317"/>
      <c r="WHZ76" s="317"/>
      <c r="WIA76" s="317"/>
      <c r="WIB76" s="317"/>
      <c r="WIC76" s="317"/>
      <c r="WID76" s="317"/>
      <c r="WIE76" s="317"/>
      <c r="WIF76" s="317"/>
      <c r="WIG76" s="317"/>
      <c r="WIH76" s="317"/>
      <c r="WII76" s="317"/>
      <c r="WIJ76" s="317"/>
      <c r="WIK76" s="317"/>
      <c r="WIL76" s="317"/>
      <c r="WIM76" s="317"/>
      <c r="WIN76" s="317"/>
      <c r="WIO76" s="317"/>
      <c r="WIP76" s="317"/>
      <c r="WIQ76" s="317"/>
      <c r="WIR76" s="317"/>
      <c r="WIS76" s="317"/>
      <c r="WIT76" s="317"/>
      <c r="WIU76" s="317"/>
      <c r="WIV76" s="317"/>
      <c r="WIW76" s="317"/>
      <c r="WIX76" s="317"/>
      <c r="WIY76" s="317"/>
      <c r="WIZ76" s="317"/>
      <c r="WJA76" s="317"/>
      <c r="WJB76" s="317"/>
      <c r="WJC76" s="317"/>
      <c r="WJD76" s="317"/>
      <c r="WJE76" s="317"/>
      <c r="WJF76" s="317"/>
      <c r="WJG76" s="317"/>
      <c r="WJH76" s="317"/>
      <c r="WJI76" s="317"/>
      <c r="WJJ76" s="317"/>
      <c r="WJK76" s="317"/>
      <c r="WJL76" s="317"/>
      <c r="WJM76" s="317"/>
      <c r="WJN76" s="317"/>
      <c r="WJO76" s="317"/>
      <c r="WJP76" s="317"/>
      <c r="WJQ76" s="317"/>
      <c r="WJR76" s="317"/>
      <c r="WJS76" s="317"/>
      <c r="WJT76" s="317"/>
      <c r="WJU76" s="317"/>
      <c r="WJV76" s="317"/>
      <c r="WJW76" s="317"/>
      <c r="WJX76" s="317"/>
      <c r="WJY76" s="317"/>
      <c r="WJZ76" s="317"/>
      <c r="WKA76" s="317"/>
      <c r="WKB76" s="317"/>
      <c r="WKC76" s="317"/>
      <c r="WKD76" s="317"/>
      <c r="WKE76" s="317"/>
      <c r="WKF76" s="317"/>
      <c r="WKG76" s="317"/>
      <c r="WKH76" s="317"/>
      <c r="WKI76" s="317"/>
      <c r="WKJ76" s="317"/>
      <c r="WKK76" s="317"/>
      <c r="WKL76" s="317"/>
      <c r="WKM76" s="317"/>
      <c r="WKN76" s="317"/>
      <c r="WKO76" s="317"/>
      <c r="WKP76" s="317"/>
      <c r="WKQ76" s="317"/>
      <c r="WKR76" s="317"/>
      <c r="WKS76" s="317"/>
      <c r="WKT76" s="317"/>
      <c r="WKU76" s="317"/>
      <c r="WKV76" s="317"/>
      <c r="WKW76" s="317"/>
      <c r="WKX76" s="317"/>
      <c r="WKY76" s="317"/>
      <c r="WKZ76" s="317"/>
      <c r="WLA76" s="317"/>
      <c r="WLB76" s="317"/>
      <c r="WLC76" s="317"/>
      <c r="WLD76" s="317"/>
      <c r="WLE76" s="317"/>
      <c r="WLF76" s="317"/>
      <c r="WLG76" s="317"/>
      <c r="WLH76" s="317"/>
      <c r="WLI76" s="317"/>
      <c r="WLJ76" s="317"/>
      <c r="WLK76" s="317"/>
      <c r="WLL76" s="317"/>
      <c r="WLM76" s="317"/>
      <c r="WLN76" s="317"/>
      <c r="WLO76" s="317"/>
      <c r="WLP76" s="317"/>
      <c r="WLQ76" s="317"/>
      <c r="WLR76" s="317"/>
      <c r="WLS76" s="317"/>
      <c r="WLT76" s="317"/>
      <c r="WLU76" s="317"/>
      <c r="WLV76" s="317"/>
      <c r="WLW76" s="317"/>
      <c r="WLX76" s="317"/>
      <c r="WLY76" s="317"/>
      <c r="WLZ76" s="317"/>
      <c r="WMA76" s="317"/>
      <c r="WMB76" s="317"/>
      <c r="WMC76" s="317"/>
      <c r="WMD76" s="317"/>
      <c r="WME76" s="317"/>
      <c r="WMF76" s="317"/>
      <c r="WMG76" s="317"/>
      <c r="WMH76" s="317"/>
      <c r="WMI76" s="317"/>
      <c r="WMJ76" s="317"/>
      <c r="WMK76" s="317"/>
      <c r="WML76" s="317"/>
      <c r="WMM76" s="317"/>
      <c r="WMN76" s="317"/>
      <c r="WMO76" s="317"/>
      <c r="WMP76" s="317"/>
      <c r="WMQ76" s="317"/>
      <c r="WMR76" s="317"/>
      <c r="WMS76" s="317"/>
      <c r="WMT76" s="317"/>
      <c r="WMU76" s="317"/>
      <c r="WMV76" s="317"/>
      <c r="WMW76" s="317"/>
      <c r="WMX76" s="317"/>
      <c r="WMY76" s="317"/>
      <c r="WMZ76" s="317"/>
      <c r="WNA76" s="317"/>
      <c r="WNB76" s="317"/>
      <c r="WNC76" s="317"/>
      <c r="WND76" s="317"/>
      <c r="WNE76" s="317"/>
      <c r="WNF76" s="317"/>
      <c r="WNG76" s="317"/>
      <c r="WNH76" s="317"/>
      <c r="WNI76" s="317"/>
      <c r="WNJ76" s="317"/>
      <c r="WNK76" s="317"/>
      <c r="WNL76" s="317"/>
      <c r="WNM76" s="317"/>
      <c r="WNN76" s="317"/>
      <c r="WNO76" s="317"/>
      <c r="WNP76" s="317"/>
      <c r="WNQ76" s="317"/>
      <c r="WNR76" s="317"/>
      <c r="WNS76" s="317"/>
      <c r="WNT76" s="317"/>
      <c r="WNU76" s="317"/>
      <c r="WNV76" s="317"/>
      <c r="WNW76" s="317"/>
      <c r="WNX76" s="317"/>
      <c r="WNY76" s="317"/>
      <c r="WNZ76" s="317"/>
      <c r="WOA76" s="317"/>
      <c r="WOB76" s="317"/>
      <c r="WOC76" s="317"/>
      <c r="WOD76" s="317"/>
      <c r="WOE76" s="317"/>
      <c r="WOF76" s="317"/>
      <c r="WOG76" s="317"/>
      <c r="WOH76" s="317"/>
      <c r="WOI76" s="317"/>
      <c r="WOJ76" s="317"/>
      <c r="WOK76" s="317"/>
      <c r="WOL76" s="317"/>
      <c r="WOM76" s="317"/>
      <c r="WON76" s="317"/>
      <c r="WOO76" s="317"/>
      <c r="WOP76" s="317"/>
      <c r="WOQ76" s="317"/>
      <c r="WOR76" s="317"/>
      <c r="WOS76" s="317"/>
      <c r="WOT76" s="317"/>
      <c r="WOU76" s="317"/>
      <c r="WOV76" s="317"/>
      <c r="WOW76" s="317"/>
      <c r="WOX76" s="317"/>
      <c r="WOY76" s="317"/>
      <c r="WOZ76" s="317"/>
      <c r="WPA76" s="317"/>
      <c r="WPB76" s="317"/>
      <c r="WPC76" s="317"/>
      <c r="WPD76" s="317"/>
      <c r="WPE76" s="317"/>
      <c r="WPF76" s="317"/>
      <c r="WPG76" s="317"/>
      <c r="WPH76" s="317"/>
      <c r="WPI76" s="317"/>
      <c r="WPJ76" s="317"/>
      <c r="WPK76" s="317"/>
      <c r="WPL76" s="317"/>
      <c r="WPM76" s="317"/>
      <c r="WPN76" s="317"/>
      <c r="WPO76" s="317"/>
      <c r="WPP76" s="317"/>
      <c r="WPQ76" s="317"/>
      <c r="WPR76" s="317"/>
      <c r="WPS76" s="317"/>
      <c r="WPT76" s="317"/>
      <c r="WPU76" s="317"/>
      <c r="WPV76" s="317"/>
      <c r="WPW76" s="317"/>
      <c r="WPX76" s="317"/>
      <c r="WPY76" s="317"/>
      <c r="WPZ76" s="317"/>
      <c r="WQA76" s="317"/>
      <c r="WQB76" s="317"/>
      <c r="WQC76" s="317"/>
      <c r="WQD76" s="317"/>
      <c r="WQE76" s="317"/>
      <c r="WQF76" s="317"/>
      <c r="WQG76" s="317"/>
      <c r="WQH76" s="317"/>
      <c r="WQI76" s="317"/>
      <c r="WQJ76" s="317"/>
      <c r="WQK76" s="317"/>
      <c r="WQL76" s="317"/>
      <c r="WQM76" s="317"/>
      <c r="WQN76" s="317"/>
      <c r="WQO76" s="317"/>
      <c r="WQP76" s="317"/>
      <c r="WQQ76" s="317"/>
      <c r="WQR76" s="317"/>
      <c r="WQS76" s="317"/>
      <c r="WQT76" s="317"/>
      <c r="WQU76" s="317"/>
      <c r="WQV76" s="317"/>
      <c r="WQW76" s="317"/>
      <c r="WQX76" s="317"/>
      <c r="WQY76" s="317"/>
      <c r="WQZ76" s="317"/>
      <c r="WRA76" s="317"/>
      <c r="WRB76" s="317"/>
      <c r="WRC76" s="317"/>
      <c r="WRD76" s="317"/>
      <c r="WRE76" s="317"/>
      <c r="WRF76" s="317"/>
      <c r="WRG76" s="317"/>
      <c r="WRH76" s="317"/>
      <c r="WRI76" s="317"/>
      <c r="WRJ76" s="317"/>
      <c r="WRK76" s="317"/>
      <c r="WRL76" s="317"/>
      <c r="WRM76" s="317"/>
      <c r="WRN76" s="317"/>
      <c r="WRO76" s="317"/>
      <c r="WRP76" s="317"/>
      <c r="WRQ76" s="317"/>
      <c r="WRR76" s="317"/>
      <c r="WRS76" s="317"/>
      <c r="WRT76" s="317"/>
      <c r="WRU76" s="317"/>
      <c r="WRV76" s="317"/>
      <c r="WRW76" s="317"/>
      <c r="WRX76" s="317"/>
      <c r="WRY76" s="317"/>
      <c r="WRZ76" s="317"/>
      <c r="WSA76" s="317"/>
      <c r="WSB76" s="317"/>
      <c r="WSC76" s="317"/>
      <c r="WSD76" s="317"/>
      <c r="WSE76" s="317"/>
      <c r="WSF76" s="317"/>
      <c r="WSG76" s="317"/>
      <c r="WSH76" s="317"/>
      <c r="WSI76" s="317"/>
      <c r="WSJ76" s="317"/>
      <c r="WSK76" s="317"/>
      <c r="WSL76" s="317"/>
      <c r="WSM76" s="317"/>
      <c r="WSN76" s="317"/>
      <c r="WSO76" s="317"/>
      <c r="WSP76" s="317"/>
      <c r="WSQ76" s="317"/>
      <c r="WSR76" s="317"/>
      <c r="WSS76" s="317"/>
      <c r="WST76" s="317"/>
      <c r="WSU76" s="317"/>
      <c r="WSV76" s="317"/>
      <c r="WSW76" s="317"/>
      <c r="WSX76" s="317"/>
      <c r="WSY76" s="317"/>
      <c r="WSZ76" s="317"/>
      <c r="WTA76" s="317"/>
      <c r="WTB76" s="317"/>
      <c r="WTC76" s="317"/>
      <c r="WTD76" s="317"/>
      <c r="WTE76" s="317"/>
      <c r="WTF76" s="317"/>
      <c r="WTG76" s="317"/>
      <c r="WTH76" s="317"/>
      <c r="WTI76" s="317"/>
      <c r="WTJ76" s="317"/>
      <c r="WTK76" s="317"/>
      <c r="WTL76" s="317"/>
      <c r="WTM76" s="317"/>
      <c r="WTN76" s="317"/>
      <c r="WTO76" s="317"/>
      <c r="WTP76" s="317"/>
      <c r="WTQ76" s="317"/>
      <c r="WTR76" s="317"/>
      <c r="WTS76" s="317"/>
      <c r="WTT76" s="317"/>
      <c r="WTU76" s="317"/>
      <c r="WTV76" s="317"/>
      <c r="WTW76" s="317"/>
      <c r="WTX76" s="317"/>
      <c r="WTY76" s="317"/>
      <c r="WTZ76" s="317"/>
      <c r="WUA76" s="317"/>
      <c r="WUB76" s="317"/>
      <c r="WUC76" s="317"/>
      <c r="WUD76" s="317"/>
      <c r="WUE76" s="317"/>
      <c r="WUF76" s="317"/>
      <c r="WUG76" s="317"/>
      <c r="WUH76" s="317"/>
      <c r="WUI76" s="317"/>
      <c r="WUJ76" s="317"/>
      <c r="WUK76" s="317"/>
      <c r="WUL76" s="317"/>
      <c r="WUM76" s="317"/>
      <c r="WUN76" s="317"/>
      <c r="WUO76" s="317"/>
      <c r="WUP76" s="317"/>
      <c r="WUQ76" s="317"/>
      <c r="WUR76" s="317"/>
      <c r="WUS76" s="317"/>
      <c r="WUT76" s="317"/>
      <c r="WUU76" s="317"/>
      <c r="WUV76" s="317"/>
      <c r="WUW76" s="317"/>
      <c r="WUX76" s="317"/>
      <c r="WUY76" s="317"/>
      <c r="WUZ76" s="317"/>
      <c r="WVA76" s="317"/>
      <c r="WVB76" s="317"/>
      <c r="WVC76" s="317"/>
      <c r="WVD76" s="317"/>
      <c r="WVE76" s="317"/>
      <c r="WVF76" s="317"/>
      <c r="WVG76" s="317"/>
      <c r="WVH76" s="317"/>
      <c r="WVI76" s="317"/>
      <c r="WVJ76" s="317"/>
      <c r="WVK76" s="317"/>
      <c r="WVL76" s="317"/>
      <c r="WVM76" s="317"/>
      <c r="WVN76" s="317"/>
      <c r="WVO76" s="317"/>
      <c r="WVP76" s="317"/>
      <c r="WVQ76" s="317"/>
      <c r="WVR76" s="317"/>
      <c r="WVS76" s="317"/>
      <c r="WVT76" s="317"/>
      <c r="WVU76" s="317"/>
      <c r="WVV76" s="317"/>
      <c r="WVW76" s="317"/>
      <c r="WVX76" s="317"/>
      <c r="WVY76" s="317"/>
      <c r="WVZ76" s="317"/>
      <c r="WWA76" s="317"/>
      <c r="WWB76" s="317"/>
      <c r="WWC76" s="317"/>
      <c r="WWD76" s="317"/>
      <c r="WWE76" s="317"/>
      <c r="WWF76" s="317"/>
      <c r="WWG76" s="317"/>
      <c r="WWH76" s="317"/>
      <c r="WWI76" s="317"/>
      <c r="WWJ76" s="317"/>
      <c r="WWK76" s="317"/>
      <c r="WWL76" s="317"/>
      <c r="WWM76" s="317"/>
      <c r="WWN76" s="317"/>
      <c r="WWO76" s="317"/>
      <c r="WWP76" s="317"/>
      <c r="WWQ76" s="317"/>
      <c r="WWR76" s="317"/>
      <c r="WWS76" s="317"/>
      <c r="WWT76" s="317"/>
      <c r="WWU76" s="317"/>
      <c r="WWV76" s="317"/>
      <c r="WWW76" s="317"/>
      <c r="WWX76" s="317"/>
      <c r="WWY76" s="317"/>
      <c r="WWZ76" s="317"/>
      <c r="WXA76" s="317"/>
      <c r="WXB76" s="317"/>
      <c r="WXC76" s="317"/>
      <c r="WXD76" s="317"/>
      <c r="WXE76" s="317"/>
      <c r="WXF76" s="317"/>
      <c r="WXG76" s="317"/>
      <c r="WXH76" s="317"/>
      <c r="WXI76" s="317"/>
      <c r="WXJ76" s="317"/>
      <c r="WXK76" s="317"/>
      <c r="WXL76" s="317"/>
      <c r="WXM76" s="317"/>
      <c r="WXN76" s="317"/>
      <c r="WXO76" s="317"/>
      <c r="WXP76" s="317"/>
      <c r="WXQ76" s="317"/>
      <c r="WXR76" s="317"/>
      <c r="WXS76" s="317"/>
      <c r="WXT76" s="317"/>
      <c r="WXU76" s="317"/>
      <c r="WXV76" s="317"/>
      <c r="WXW76" s="317"/>
      <c r="WXX76" s="317"/>
      <c r="WXY76" s="317"/>
      <c r="WXZ76" s="317"/>
      <c r="WYA76" s="317"/>
      <c r="WYB76" s="317"/>
      <c r="WYC76" s="317"/>
      <c r="WYD76" s="317"/>
      <c r="WYE76" s="317"/>
      <c r="WYF76" s="317"/>
      <c r="WYG76" s="317"/>
      <c r="WYH76" s="317"/>
      <c r="WYI76" s="317"/>
      <c r="WYJ76" s="317"/>
      <c r="WYK76" s="317"/>
      <c r="WYL76" s="317"/>
      <c r="WYM76" s="317"/>
      <c r="WYN76" s="317"/>
      <c r="WYO76" s="317"/>
      <c r="WYP76" s="317"/>
      <c r="WYQ76" s="317"/>
      <c r="WYR76" s="317"/>
      <c r="WYS76" s="317"/>
      <c r="WYT76" s="317"/>
      <c r="WYU76" s="317"/>
      <c r="WYV76" s="317"/>
      <c r="WYW76" s="317"/>
      <c r="WYX76" s="317"/>
      <c r="WYY76" s="317"/>
      <c r="WYZ76" s="317"/>
      <c r="WZA76" s="317"/>
      <c r="WZB76" s="317"/>
      <c r="WZC76" s="317"/>
      <c r="WZD76" s="317"/>
      <c r="WZE76" s="317"/>
      <c r="WZF76" s="317"/>
      <c r="WZG76" s="317"/>
      <c r="WZH76" s="317"/>
      <c r="WZI76" s="317"/>
      <c r="WZJ76" s="317"/>
      <c r="WZK76" s="317"/>
      <c r="WZL76" s="317"/>
      <c r="WZM76" s="317"/>
      <c r="WZN76" s="317"/>
      <c r="WZO76" s="317"/>
      <c r="WZP76" s="317"/>
      <c r="WZQ76" s="317"/>
      <c r="WZR76" s="317"/>
      <c r="WZS76" s="317"/>
      <c r="WZT76" s="317"/>
      <c r="WZU76" s="317"/>
      <c r="WZV76" s="317"/>
      <c r="WZW76" s="317"/>
      <c r="WZX76" s="317"/>
      <c r="WZY76" s="317"/>
      <c r="WZZ76" s="317"/>
      <c r="XAA76" s="317"/>
      <c r="XAB76" s="317"/>
      <c r="XAC76" s="317"/>
      <c r="XAD76" s="317"/>
      <c r="XAE76" s="317"/>
      <c r="XAF76" s="317"/>
      <c r="XAG76" s="317"/>
      <c r="XAH76" s="317"/>
      <c r="XAI76" s="317"/>
      <c r="XAJ76" s="317"/>
      <c r="XAK76" s="317"/>
      <c r="XAL76" s="317"/>
      <c r="XAM76" s="317"/>
      <c r="XAN76" s="317"/>
      <c r="XAO76" s="317"/>
      <c r="XAP76" s="317"/>
      <c r="XAQ76" s="317"/>
      <c r="XAR76" s="317"/>
      <c r="XAS76" s="317"/>
      <c r="XAT76" s="317"/>
      <c r="XAU76" s="317"/>
      <c r="XAV76" s="317"/>
      <c r="XAW76" s="317"/>
      <c r="XAX76" s="317"/>
      <c r="XAY76" s="317"/>
      <c r="XAZ76" s="317"/>
      <c r="XBA76" s="317"/>
      <c r="XBB76" s="317"/>
      <c r="XBC76" s="317"/>
      <c r="XBD76" s="317"/>
      <c r="XBE76" s="317"/>
      <c r="XBF76" s="317"/>
      <c r="XBG76" s="317"/>
      <c r="XBH76" s="317"/>
      <c r="XBI76" s="317"/>
      <c r="XBJ76" s="317"/>
      <c r="XBK76" s="317"/>
      <c r="XBL76" s="317"/>
      <c r="XBM76" s="317"/>
      <c r="XBN76" s="317"/>
      <c r="XBO76" s="317"/>
      <c r="XBP76" s="317"/>
      <c r="XBQ76" s="317"/>
      <c r="XBR76" s="317"/>
      <c r="XBS76" s="317"/>
      <c r="XBT76" s="317"/>
      <c r="XBU76" s="317"/>
      <c r="XBV76" s="317"/>
      <c r="XBW76" s="317"/>
      <c r="XBX76" s="317"/>
      <c r="XBY76" s="317"/>
      <c r="XBZ76" s="317"/>
      <c r="XCA76" s="317"/>
      <c r="XCB76" s="317"/>
      <c r="XCC76" s="317"/>
      <c r="XCD76" s="317"/>
      <c r="XCE76" s="317"/>
      <c r="XCF76" s="317"/>
      <c r="XCG76" s="317"/>
      <c r="XCH76" s="317"/>
      <c r="XCI76" s="317"/>
      <c r="XCJ76" s="317"/>
      <c r="XCK76" s="317"/>
      <c r="XCL76" s="317"/>
      <c r="XCM76" s="317"/>
      <c r="XCN76" s="317"/>
      <c r="XCO76" s="317"/>
      <c r="XCP76" s="317"/>
      <c r="XCQ76" s="317"/>
      <c r="XCR76" s="317"/>
      <c r="XCS76" s="317"/>
      <c r="XCT76" s="317"/>
      <c r="XCU76" s="317"/>
      <c r="XCV76" s="317"/>
      <c r="XCW76" s="317"/>
      <c r="XCX76" s="317"/>
      <c r="XCY76" s="317"/>
      <c r="XCZ76" s="317"/>
      <c r="XDA76" s="317"/>
      <c r="XDB76" s="317"/>
      <c r="XDC76" s="317"/>
      <c r="XDD76" s="317"/>
      <c r="XDE76" s="317"/>
      <c r="XDF76" s="317"/>
      <c r="XDG76" s="317"/>
      <c r="XDH76" s="317"/>
      <c r="XDI76" s="317"/>
      <c r="XDJ76" s="317"/>
      <c r="XDK76" s="317"/>
      <c r="XDL76" s="317"/>
      <c r="XDM76" s="317"/>
      <c r="XDN76" s="317"/>
      <c r="XDO76" s="317"/>
      <c r="XDP76" s="317"/>
      <c r="XDQ76" s="317"/>
      <c r="XDR76" s="317"/>
      <c r="XDS76" s="317"/>
      <c r="XDT76" s="317"/>
      <c r="XDU76" s="317"/>
      <c r="XDV76" s="317"/>
      <c r="XDW76" s="317"/>
      <c r="XDX76" s="317"/>
      <c r="XDY76" s="317"/>
      <c r="XDZ76" s="317"/>
      <c r="XEA76" s="317"/>
      <c r="XEB76" s="317"/>
      <c r="XEC76" s="317"/>
      <c r="XED76" s="317"/>
      <c r="XEE76" s="317"/>
      <c r="XEF76" s="317"/>
      <c r="XEG76" s="317"/>
      <c r="XEH76" s="317"/>
      <c r="XEI76" s="317"/>
      <c r="XEJ76" s="317"/>
      <c r="XEK76" s="317"/>
      <c r="XEL76" s="317"/>
      <c r="XEM76" s="317"/>
      <c r="XEN76" s="317"/>
      <c r="XEO76" s="317"/>
      <c r="XEP76" s="317"/>
      <c r="XEQ76" s="317"/>
      <c r="XER76" s="317"/>
      <c r="XES76" s="317"/>
      <c r="XET76" s="317"/>
      <c r="XEU76" s="317"/>
      <c r="XEV76" s="317"/>
      <c r="XEW76" s="317"/>
      <c r="XEX76" s="317"/>
      <c r="XEY76" s="317"/>
      <c r="XEZ76" s="317"/>
      <c r="XFA76" s="317"/>
      <c r="XFB76" s="317"/>
      <c r="XFC76" s="317"/>
      <c r="XFD76" s="317"/>
    </row>
    <row r="77" s="314" customFormat="1" ht="25" customHeight="1" spans="1:74 14505:16384">
      <c r="A77" s="359"/>
      <c r="B77" s="346" t="s">
        <v>99</v>
      </c>
      <c r="I77" s="315"/>
      <c r="J77" s="358"/>
      <c r="O77" s="316"/>
      <c r="P77" s="316"/>
      <c r="V77" s="316"/>
      <c r="W77" s="316"/>
      <c r="X77" s="316"/>
      <c r="Y77" s="316"/>
      <c r="Z77" s="316"/>
      <c r="AA77" s="316"/>
      <c r="AB77" s="316"/>
      <c r="AC77" s="316"/>
      <c r="AD77" s="316"/>
      <c r="AK77" s="316"/>
      <c r="AQ77" s="316"/>
      <c r="AR77" s="316"/>
      <c r="AY77" s="316"/>
      <c r="BE77" s="316"/>
      <c r="BF77" s="316"/>
      <c r="BM77" s="316"/>
      <c r="BS77" s="316"/>
      <c r="BT77" s="316"/>
      <c r="UKW77" s="317"/>
      <c r="UKX77" s="317"/>
      <c r="UKY77" s="317"/>
      <c r="UKZ77" s="317"/>
      <c r="ULA77" s="317"/>
      <c r="ULB77" s="317"/>
      <c r="ULC77" s="317"/>
      <c r="ULD77" s="317"/>
      <c r="ULE77" s="317"/>
      <c r="ULF77" s="317"/>
      <c r="ULG77" s="317"/>
      <c r="ULH77" s="317"/>
      <c r="ULI77" s="317"/>
      <c r="ULJ77" s="317"/>
      <c r="ULK77" s="317"/>
      <c r="ULL77" s="317"/>
      <c r="ULM77" s="317"/>
      <c r="ULN77" s="317"/>
      <c r="ULO77" s="317"/>
      <c r="ULP77" s="317"/>
      <c r="ULQ77" s="317"/>
      <c r="ULR77" s="317"/>
      <c r="ULS77" s="317"/>
      <c r="ULT77" s="317"/>
      <c r="ULU77" s="317"/>
      <c r="ULV77" s="317"/>
      <c r="ULW77" s="317"/>
      <c r="ULX77" s="317"/>
      <c r="ULY77" s="317"/>
      <c r="ULZ77" s="317"/>
      <c r="UMA77" s="317"/>
      <c r="UMB77" s="317"/>
      <c r="UMC77" s="317"/>
      <c r="UMD77" s="317"/>
      <c r="UME77" s="317"/>
      <c r="UMF77" s="317"/>
      <c r="UMG77" s="317"/>
      <c r="UMH77" s="317"/>
      <c r="UMI77" s="317"/>
      <c r="UMJ77" s="317"/>
      <c r="UMK77" s="317"/>
      <c r="UML77" s="317"/>
      <c r="UMM77" s="317"/>
      <c r="UMN77" s="317"/>
      <c r="UMO77" s="317"/>
      <c r="UMP77" s="317"/>
      <c r="UMQ77" s="317"/>
      <c r="UMR77" s="317"/>
      <c r="UMS77" s="317"/>
      <c r="UMT77" s="317"/>
      <c r="UMU77" s="317"/>
      <c r="UMV77" s="317"/>
      <c r="UMW77" s="317"/>
      <c r="UMX77" s="317"/>
      <c r="UMY77" s="317"/>
      <c r="UMZ77" s="317"/>
      <c r="UNA77" s="317"/>
      <c r="UNB77" s="317"/>
      <c r="UNC77" s="317"/>
      <c r="UND77" s="317"/>
      <c r="UNE77" s="317"/>
      <c r="UNF77" s="317"/>
      <c r="UNG77" s="317"/>
      <c r="UNH77" s="317"/>
      <c r="UNI77" s="317"/>
      <c r="UNJ77" s="317"/>
      <c r="UNK77" s="317"/>
      <c r="UNL77" s="317"/>
      <c r="UNM77" s="317"/>
      <c r="UNN77" s="317"/>
      <c r="UNO77" s="317"/>
      <c r="UNP77" s="317"/>
      <c r="UNQ77" s="317"/>
      <c r="UNR77" s="317"/>
      <c r="UNS77" s="317"/>
      <c r="UNT77" s="317"/>
      <c r="UNU77" s="317"/>
      <c r="UNV77" s="317"/>
      <c r="UNW77" s="317"/>
      <c r="UNX77" s="317"/>
      <c r="UNY77" s="317"/>
      <c r="UNZ77" s="317"/>
      <c r="UOA77" s="317"/>
      <c r="UOB77" s="317"/>
      <c r="UOC77" s="317"/>
      <c r="UOD77" s="317"/>
      <c r="UOE77" s="317"/>
      <c r="UOF77" s="317"/>
      <c r="UOG77" s="317"/>
      <c r="UOH77" s="317"/>
      <c r="UOI77" s="317"/>
      <c r="UOJ77" s="317"/>
      <c r="UOK77" s="317"/>
      <c r="UOL77" s="317"/>
      <c r="UOM77" s="317"/>
      <c r="UON77" s="317"/>
      <c r="UOO77" s="317"/>
      <c r="UOP77" s="317"/>
      <c r="UOQ77" s="317"/>
      <c r="UOR77" s="317"/>
      <c r="UOS77" s="317"/>
      <c r="UOT77" s="317"/>
      <c r="UOU77" s="317"/>
      <c r="UOV77" s="317"/>
      <c r="UOW77" s="317"/>
      <c r="UOX77" s="317"/>
      <c r="UOY77" s="317"/>
      <c r="UOZ77" s="317"/>
      <c r="UPA77" s="317"/>
      <c r="UPB77" s="317"/>
      <c r="UPC77" s="317"/>
      <c r="UPD77" s="317"/>
      <c r="UPE77" s="317"/>
      <c r="UPF77" s="317"/>
      <c r="UPG77" s="317"/>
      <c r="UPH77" s="317"/>
      <c r="UPI77" s="317"/>
      <c r="UPJ77" s="317"/>
      <c r="UPK77" s="317"/>
      <c r="UPL77" s="317"/>
      <c r="UPM77" s="317"/>
      <c r="UPN77" s="317"/>
      <c r="UPO77" s="317"/>
      <c r="UPP77" s="317"/>
      <c r="UPQ77" s="317"/>
      <c r="UPR77" s="317"/>
      <c r="UPS77" s="317"/>
      <c r="UPT77" s="317"/>
      <c r="UPU77" s="317"/>
      <c r="UPV77" s="317"/>
      <c r="UPW77" s="317"/>
      <c r="UPX77" s="317"/>
      <c r="UPY77" s="317"/>
      <c r="UPZ77" s="317"/>
      <c r="UQA77" s="317"/>
      <c r="UQB77" s="317"/>
      <c r="UQC77" s="317"/>
      <c r="UQD77" s="317"/>
      <c r="UQE77" s="317"/>
      <c r="UQF77" s="317"/>
      <c r="UQG77" s="317"/>
      <c r="UQH77" s="317"/>
      <c r="UQI77" s="317"/>
      <c r="UQJ77" s="317"/>
      <c r="UQK77" s="317"/>
      <c r="UQL77" s="317"/>
      <c r="UQM77" s="317"/>
      <c r="UQN77" s="317"/>
      <c r="UQO77" s="317"/>
      <c r="UQP77" s="317"/>
      <c r="UQQ77" s="317"/>
      <c r="UQR77" s="317"/>
      <c r="UQS77" s="317"/>
      <c r="UQT77" s="317"/>
      <c r="UQU77" s="317"/>
      <c r="UQV77" s="317"/>
      <c r="UQW77" s="317"/>
      <c r="UQX77" s="317"/>
      <c r="UQY77" s="317"/>
      <c r="UQZ77" s="317"/>
      <c r="URA77" s="317"/>
      <c r="URB77" s="317"/>
      <c r="URC77" s="317"/>
      <c r="URD77" s="317"/>
      <c r="URE77" s="317"/>
      <c r="URF77" s="317"/>
      <c r="URG77" s="317"/>
      <c r="URH77" s="317"/>
      <c r="URI77" s="317"/>
      <c r="URJ77" s="317"/>
      <c r="URK77" s="317"/>
      <c r="URL77" s="317"/>
      <c r="URM77" s="317"/>
      <c r="URN77" s="317"/>
      <c r="URO77" s="317"/>
      <c r="URP77" s="317"/>
      <c r="URQ77" s="317"/>
      <c r="URR77" s="317"/>
      <c r="URS77" s="317"/>
      <c r="URT77" s="317"/>
      <c r="URU77" s="317"/>
      <c r="URV77" s="317"/>
      <c r="URW77" s="317"/>
      <c r="URX77" s="317"/>
      <c r="URY77" s="317"/>
      <c r="URZ77" s="317"/>
      <c r="USA77" s="317"/>
      <c r="USB77" s="317"/>
      <c r="USC77" s="317"/>
      <c r="USD77" s="317"/>
      <c r="USE77" s="317"/>
      <c r="USF77" s="317"/>
      <c r="USG77" s="317"/>
      <c r="USH77" s="317"/>
      <c r="USI77" s="317"/>
      <c r="USJ77" s="317"/>
      <c r="USK77" s="317"/>
      <c r="USL77" s="317"/>
      <c r="USM77" s="317"/>
      <c r="USN77" s="317"/>
      <c r="USO77" s="317"/>
      <c r="USP77" s="317"/>
      <c r="USQ77" s="317"/>
      <c r="USR77" s="317"/>
      <c r="USS77" s="317"/>
      <c r="UST77" s="317"/>
      <c r="USU77" s="317"/>
      <c r="USV77" s="317"/>
      <c r="USW77" s="317"/>
      <c r="USX77" s="317"/>
      <c r="USY77" s="317"/>
      <c r="USZ77" s="317"/>
      <c r="UTA77" s="317"/>
      <c r="UTB77" s="317"/>
      <c r="UTC77" s="317"/>
      <c r="UTD77" s="317"/>
      <c r="UTE77" s="317"/>
      <c r="UTF77" s="317"/>
      <c r="UTG77" s="317"/>
      <c r="UTH77" s="317"/>
      <c r="UTI77" s="317"/>
      <c r="UTJ77" s="317"/>
      <c r="UTK77" s="317"/>
      <c r="UTL77" s="317"/>
      <c r="UTM77" s="317"/>
      <c r="UTN77" s="317"/>
      <c r="UTO77" s="317"/>
      <c r="UTP77" s="317"/>
      <c r="UTQ77" s="317"/>
      <c r="UTR77" s="317"/>
      <c r="UTS77" s="317"/>
      <c r="UTT77" s="317"/>
      <c r="UTU77" s="317"/>
      <c r="UTV77" s="317"/>
      <c r="UTW77" s="317"/>
      <c r="UTX77" s="317"/>
      <c r="UTY77" s="317"/>
      <c r="UTZ77" s="317"/>
      <c r="UUA77" s="317"/>
      <c r="UUB77" s="317"/>
      <c r="UUC77" s="317"/>
      <c r="UUD77" s="317"/>
      <c r="UUE77" s="317"/>
      <c r="UUF77" s="317"/>
      <c r="UUG77" s="317"/>
      <c r="UUH77" s="317"/>
      <c r="UUI77" s="317"/>
      <c r="UUJ77" s="317"/>
      <c r="UUK77" s="317"/>
      <c r="UUL77" s="317"/>
      <c r="UUM77" s="317"/>
      <c r="UUN77" s="317"/>
      <c r="UUO77" s="317"/>
      <c r="UUP77" s="317"/>
      <c r="UUQ77" s="317"/>
      <c r="UUR77" s="317"/>
      <c r="UUS77" s="317"/>
      <c r="UUT77" s="317"/>
      <c r="UUU77" s="317"/>
      <c r="UUV77" s="317"/>
      <c r="UUW77" s="317"/>
      <c r="UUX77" s="317"/>
      <c r="UUY77" s="317"/>
      <c r="UUZ77" s="317"/>
      <c r="UVA77" s="317"/>
      <c r="UVB77" s="317"/>
      <c r="UVC77" s="317"/>
      <c r="UVD77" s="317"/>
      <c r="UVE77" s="317"/>
      <c r="UVF77" s="317"/>
      <c r="UVG77" s="317"/>
      <c r="UVH77" s="317"/>
      <c r="UVI77" s="317"/>
      <c r="UVJ77" s="317"/>
      <c r="UVK77" s="317"/>
      <c r="UVL77" s="317"/>
      <c r="UVM77" s="317"/>
      <c r="UVN77" s="317"/>
      <c r="UVO77" s="317"/>
      <c r="UVP77" s="317"/>
      <c r="UVQ77" s="317"/>
      <c r="UVR77" s="317"/>
      <c r="UVS77" s="317"/>
      <c r="UVT77" s="317"/>
      <c r="UVU77" s="317"/>
      <c r="UVV77" s="317"/>
      <c r="UVW77" s="317"/>
      <c r="UVX77" s="317"/>
      <c r="UVY77" s="317"/>
      <c r="UVZ77" s="317"/>
      <c r="UWA77" s="317"/>
      <c r="UWB77" s="317"/>
      <c r="UWC77" s="317"/>
      <c r="UWD77" s="317"/>
      <c r="UWE77" s="317"/>
      <c r="UWF77" s="317"/>
      <c r="UWG77" s="317"/>
      <c r="UWH77" s="317"/>
      <c r="UWI77" s="317"/>
      <c r="UWJ77" s="317"/>
      <c r="UWK77" s="317"/>
      <c r="UWL77" s="317"/>
      <c r="UWM77" s="317"/>
      <c r="UWN77" s="317"/>
      <c r="UWO77" s="317"/>
      <c r="UWP77" s="317"/>
      <c r="UWQ77" s="317"/>
      <c r="UWR77" s="317"/>
      <c r="UWS77" s="317"/>
      <c r="UWT77" s="317"/>
      <c r="UWU77" s="317"/>
      <c r="UWV77" s="317"/>
      <c r="UWW77" s="317"/>
      <c r="UWX77" s="317"/>
      <c r="UWY77" s="317"/>
      <c r="UWZ77" s="317"/>
      <c r="UXA77" s="317"/>
      <c r="UXB77" s="317"/>
      <c r="UXC77" s="317"/>
      <c r="UXD77" s="317"/>
      <c r="UXE77" s="317"/>
      <c r="UXF77" s="317"/>
      <c r="UXG77" s="317"/>
      <c r="UXH77" s="317"/>
      <c r="UXI77" s="317"/>
      <c r="UXJ77" s="317"/>
      <c r="UXK77" s="317"/>
      <c r="UXL77" s="317"/>
      <c r="UXM77" s="317"/>
      <c r="UXN77" s="317"/>
      <c r="UXO77" s="317"/>
      <c r="UXP77" s="317"/>
      <c r="UXQ77" s="317"/>
      <c r="UXR77" s="317"/>
      <c r="UXS77" s="317"/>
      <c r="UXT77" s="317"/>
      <c r="UXU77" s="317"/>
      <c r="UXV77" s="317"/>
      <c r="UXW77" s="317"/>
      <c r="UXX77" s="317"/>
      <c r="UXY77" s="317"/>
      <c r="UXZ77" s="317"/>
      <c r="UYA77" s="317"/>
      <c r="UYB77" s="317"/>
      <c r="UYC77" s="317"/>
      <c r="UYD77" s="317"/>
      <c r="UYE77" s="317"/>
      <c r="UYF77" s="317"/>
      <c r="UYG77" s="317"/>
      <c r="UYH77" s="317"/>
      <c r="UYI77" s="317"/>
      <c r="UYJ77" s="317"/>
      <c r="UYK77" s="317"/>
      <c r="UYL77" s="317"/>
      <c r="UYM77" s="317"/>
      <c r="UYN77" s="317"/>
      <c r="UYO77" s="317"/>
      <c r="UYP77" s="317"/>
      <c r="UYQ77" s="317"/>
      <c r="UYR77" s="317"/>
      <c r="UYS77" s="317"/>
      <c r="UYT77" s="317"/>
      <c r="UYU77" s="317"/>
      <c r="UYV77" s="317"/>
      <c r="UYW77" s="317"/>
      <c r="UYX77" s="317"/>
      <c r="UYY77" s="317"/>
      <c r="UYZ77" s="317"/>
      <c r="UZA77" s="317"/>
      <c r="UZB77" s="317"/>
      <c r="UZC77" s="317"/>
      <c r="UZD77" s="317"/>
      <c r="UZE77" s="317"/>
      <c r="UZF77" s="317"/>
      <c r="UZG77" s="317"/>
      <c r="UZH77" s="317"/>
      <c r="UZI77" s="317"/>
      <c r="UZJ77" s="317"/>
      <c r="UZK77" s="317"/>
      <c r="UZL77" s="317"/>
      <c r="UZM77" s="317"/>
      <c r="UZN77" s="317"/>
      <c r="UZO77" s="317"/>
      <c r="UZP77" s="317"/>
      <c r="UZQ77" s="317"/>
      <c r="UZR77" s="317"/>
      <c r="UZS77" s="317"/>
      <c r="UZT77" s="317"/>
      <c r="UZU77" s="317"/>
      <c r="UZV77" s="317"/>
      <c r="UZW77" s="317"/>
      <c r="UZX77" s="317"/>
      <c r="UZY77" s="317"/>
      <c r="UZZ77" s="317"/>
      <c r="VAA77" s="317"/>
      <c r="VAB77" s="317"/>
      <c r="VAC77" s="317"/>
      <c r="VAD77" s="317"/>
      <c r="VAE77" s="317"/>
      <c r="VAF77" s="317"/>
      <c r="VAG77" s="317"/>
      <c r="VAH77" s="317"/>
      <c r="VAI77" s="317"/>
      <c r="VAJ77" s="317"/>
      <c r="VAK77" s="317"/>
      <c r="VAL77" s="317"/>
      <c r="VAM77" s="317"/>
      <c r="VAN77" s="317"/>
      <c r="VAO77" s="317"/>
      <c r="VAP77" s="317"/>
      <c r="VAQ77" s="317"/>
      <c r="VAR77" s="317"/>
      <c r="VAS77" s="317"/>
      <c r="VAT77" s="317"/>
      <c r="VAU77" s="317"/>
      <c r="VAV77" s="317"/>
      <c r="VAW77" s="317"/>
      <c r="VAX77" s="317"/>
      <c r="VAY77" s="317"/>
      <c r="VAZ77" s="317"/>
      <c r="VBA77" s="317"/>
      <c r="VBB77" s="317"/>
      <c r="VBC77" s="317"/>
      <c r="VBD77" s="317"/>
      <c r="VBE77" s="317"/>
      <c r="VBF77" s="317"/>
      <c r="VBG77" s="317"/>
      <c r="VBH77" s="317"/>
      <c r="VBI77" s="317"/>
      <c r="VBJ77" s="317"/>
      <c r="VBK77" s="317"/>
      <c r="VBL77" s="317"/>
      <c r="VBM77" s="317"/>
      <c r="VBN77" s="317"/>
      <c r="VBO77" s="317"/>
      <c r="VBP77" s="317"/>
      <c r="VBQ77" s="317"/>
      <c r="VBR77" s="317"/>
      <c r="VBS77" s="317"/>
      <c r="VBT77" s="317"/>
      <c r="VBU77" s="317"/>
      <c r="VBV77" s="317"/>
      <c r="VBW77" s="317"/>
      <c r="VBX77" s="317"/>
      <c r="VBY77" s="317"/>
      <c r="VBZ77" s="317"/>
      <c r="VCA77" s="317"/>
      <c r="VCB77" s="317"/>
      <c r="VCC77" s="317"/>
      <c r="VCD77" s="317"/>
      <c r="VCE77" s="317"/>
      <c r="VCF77" s="317"/>
      <c r="VCG77" s="317"/>
      <c r="VCH77" s="317"/>
      <c r="VCI77" s="317"/>
      <c r="VCJ77" s="317"/>
      <c r="VCK77" s="317"/>
      <c r="VCL77" s="317"/>
      <c r="VCM77" s="317"/>
      <c r="VCN77" s="317"/>
      <c r="VCO77" s="317"/>
      <c r="VCP77" s="317"/>
      <c r="VCQ77" s="317"/>
      <c r="VCR77" s="317"/>
      <c r="VCS77" s="317"/>
      <c r="VCT77" s="317"/>
      <c r="VCU77" s="317"/>
      <c r="VCV77" s="317"/>
      <c r="VCW77" s="317"/>
      <c r="VCX77" s="317"/>
      <c r="VCY77" s="317"/>
      <c r="VCZ77" s="317"/>
      <c r="VDA77" s="317"/>
      <c r="VDB77" s="317"/>
      <c r="VDC77" s="317"/>
      <c r="VDD77" s="317"/>
      <c r="VDE77" s="317"/>
      <c r="VDF77" s="317"/>
      <c r="VDG77" s="317"/>
      <c r="VDH77" s="317"/>
      <c r="VDI77" s="317"/>
      <c r="VDJ77" s="317"/>
      <c r="VDK77" s="317"/>
      <c r="VDL77" s="317"/>
      <c r="VDM77" s="317"/>
      <c r="VDN77" s="317"/>
      <c r="VDO77" s="317"/>
      <c r="VDP77" s="317"/>
      <c r="VDQ77" s="317"/>
      <c r="VDR77" s="317"/>
      <c r="VDS77" s="317"/>
      <c r="VDT77" s="317"/>
      <c r="VDU77" s="317"/>
      <c r="VDV77" s="317"/>
      <c r="VDW77" s="317"/>
      <c r="VDX77" s="317"/>
      <c r="VDY77" s="317"/>
      <c r="VDZ77" s="317"/>
      <c r="VEA77" s="317"/>
      <c r="VEB77" s="317"/>
      <c r="VEC77" s="317"/>
      <c r="VED77" s="317"/>
      <c r="VEE77" s="317"/>
      <c r="VEF77" s="317"/>
      <c r="VEG77" s="317"/>
      <c r="VEH77" s="317"/>
      <c r="VEI77" s="317"/>
      <c r="VEJ77" s="317"/>
      <c r="VEK77" s="317"/>
      <c r="VEL77" s="317"/>
      <c r="VEM77" s="317"/>
      <c r="VEN77" s="317"/>
      <c r="VEO77" s="317"/>
      <c r="VEP77" s="317"/>
      <c r="VEQ77" s="317"/>
      <c r="VER77" s="317"/>
      <c r="VES77" s="317"/>
      <c r="VET77" s="317"/>
      <c r="VEU77" s="317"/>
      <c r="VEV77" s="317"/>
      <c r="VEW77" s="317"/>
      <c r="VEX77" s="317"/>
      <c r="VEY77" s="317"/>
      <c r="VEZ77" s="317"/>
      <c r="VFA77" s="317"/>
      <c r="VFB77" s="317"/>
      <c r="VFC77" s="317"/>
      <c r="VFD77" s="317"/>
      <c r="VFE77" s="317"/>
      <c r="VFF77" s="317"/>
      <c r="VFG77" s="317"/>
      <c r="VFH77" s="317"/>
      <c r="VFI77" s="317"/>
      <c r="VFJ77" s="317"/>
      <c r="VFK77" s="317"/>
      <c r="VFL77" s="317"/>
      <c r="VFM77" s="317"/>
      <c r="VFN77" s="317"/>
      <c r="VFO77" s="317"/>
      <c r="VFP77" s="317"/>
      <c r="VFQ77" s="317"/>
      <c r="VFR77" s="317"/>
      <c r="VFS77" s="317"/>
      <c r="VFT77" s="317"/>
      <c r="VFU77" s="317"/>
      <c r="VFV77" s="317"/>
      <c r="VFW77" s="317"/>
      <c r="VFX77" s="317"/>
      <c r="VFY77" s="317"/>
      <c r="VFZ77" s="317"/>
      <c r="VGA77" s="317"/>
      <c r="VGB77" s="317"/>
      <c r="VGC77" s="317"/>
      <c r="VGD77" s="317"/>
      <c r="VGE77" s="317"/>
      <c r="VGF77" s="317"/>
      <c r="VGG77" s="317"/>
      <c r="VGH77" s="317"/>
      <c r="VGI77" s="317"/>
      <c r="VGJ77" s="317"/>
      <c r="VGK77" s="317"/>
      <c r="VGL77" s="317"/>
      <c r="VGM77" s="317"/>
      <c r="VGN77" s="317"/>
      <c r="VGO77" s="317"/>
      <c r="VGP77" s="317"/>
      <c r="VGQ77" s="317"/>
      <c r="VGR77" s="317"/>
      <c r="VGS77" s="317"/>
      <c r="VGT77" s="317"/>
      <c r="VGU77" s="317"/>
      <c r="VGV77" s="317"/>
      <c r="VGW77" s="317"/>
      <c r="VGX77" s="317"/>
      <c r="VGY77" s="317"/>
      <c r="VGZ77" s="317"/>
      <c r="VHA77" s="317"/>
      <c r="VHB77" s="317"/>
      <c r="VHC77" s="317"/>
      <c r="VHD77" s="317"/>
      <c r="VHE77" s="317"/>
      <c r="VHF77" s="317"/>
      <c r="VHG77" s="317"/>
      <c r="VHH77" s="317"/>
      <c r="VHI77" s="317"/>
      <c r="VHJ77" s="317"/>
      <c r="VHK77" s="317"/>
      <c r="VHL77" s="317"/>
      <c r="VHM77" s="317"/>
      <c r="VHN77" s="317"/>
      <c r="VHO77" s="317"/>
      <c r="VHP77" s="317"/>
      <c r="VHQ77" s="317"/>
      <c r="VHR77" s="317"/>
      <c r="VHS77" s="317"/>
      <c r="VHT77" s="317"/>
      <c r="VHU77" s="317"/>
      <c r="VHV77" s="317"/>
      <c r="VHW77" s="317"/>
      <c r="VHX77" s="317"/>
      <c r="VHY77" s="317"/>
      <c r="VHZ77" s="317"/>
      <c r="VIA77" s="317"/>
      <c r="VIB77" s="317"/>
      <c r="VIC77" s="317"/>
      <c r="VID77" s="317"/>
      <c r="VIE77" s="317"/>
      <c r="VIF77" s="317"/>
      <c r="VIG77" s="317"/>
      <c r="VIH77" s="317"/>
      <c r="VII77" s="317"/>
      <c r="VIJ77" s="317"/>
      <c r="VIK77" s="317"/>
      <c r="VIL77" s="317"/>
      <c r="VIM77" s="317"/>
      <c r="VIN77" s="317"/>
      <c r="VIO77" s="317"/>
      <c r="VIP77" s="317"/>
      <c r="VIQ77" s="317"/>
      <c r="VIR77" s="317"/>
      <c r="VIS77" s="317"/>
      <c r="VIT77" s="317"/>
      <c r="VIU77" s="317"/>
      <c r="VIV77" s="317"/>
      <c r="VIW77" s="317"/>
      <c r="VIX77" s="317"/>
      <c r="VIY77" s="317"/>
      <c r="VIZ77" s="317"/>
      <c r="VJA77" s="317"/>
      <c r="VJB77" s="317"/>
      <c r="VJC77" s="317"/>
      <c r="VJD77" s="317"/>
      <c r="VJE77" s="317"/>
      <c r="VJF77" s="317"/>
      <c r="VJG77" s="317"/>
      <c r="VJH77" s="317"/>
      <c r="VJI77" s="317"/>
      <c r="VJJ77" s="317"/>
      <c r="VJK77" s="317"/>
      <c r="VJL77" s="317"/>
      <c r="VJM77" s="317"/>
      <c r="VJN77" s="317"/>
      <c r="VJO77" s="317"/>
      <c r="VJP77" s="317"/>
      <c r="VJQ77" s="317"/>
      <c r="VJR77" s="317"/>
      <c r="VJS77" s="317"/>
      <c r="VJT77" s="317"/>
      <c r="VJU77" s="317"/>
      <c r="VJV77" s="317"/>
      <c r="VJW77" s="317"/>
      <c r="VJX77" s="317"/>
      <c r="VJY77" s="317"/>
      <c r="VJZ77" s="317"/>
      <c r="VKA77" s="317"/>
      <c r="VKB77" s="317"/>
      <c r="VKC77" s="317"/>
      <c r="VKD77" s="317"/>
      <c r="VKE77" s="317"/>
      <c r="VKF77" s="317"/>
      <c r="VKG77" s="317"/>
      <c r="VKH77" s="317"/>
      <c r="VKI77" s="317"/>
      <c r="VKJ77" s="317"/>
      <c r="VKK77" s="317"/>
      <c r="VKL77" s="317"/>
      <c r="VKM77" s="317"/>
      <c r="VKN77" s="317"/>
      <c r="VKO77" s="317"/>
      <c r="VKP77" s="317"/>
      <c r="VKQ77" s="317"/>
      <c r="VKR77" s="317"/>
      <c r="VKS77" s="317"/>
      <c r="VKT77" s="317"/>
      <c r="VKU77" s="317"/>
      <c r="VKV77" s="317"/>
      <c r="VKW77" s="317"/>
      <c r="VKX77" s="317"/>
      <c r="VKY77" s="317"/>
      <c r="VKZ77" s="317"/>
      <c r="VLA77" s="317"/>
      <c r="VLB77" s="317"/>
      <c r="VLC77" s="317"/>
      <c r="VLD77" s="317"/>
      <c r="VLE77" s="317"/>
      <c r="VLF77" s="317"/>
      <c r="VLG77" s="317"/>
      <c r="VLH77" s="317"/>
      <c r="VLI77" s="317"/>
      <c r="VLJ77" s="317"/>
      <c r="VLK77" s="317"/>
      <c r="VLL77" s="317"/>
      <c r="VLM77" s="317"/>
      <c r="VLN77" s="317"/>
      <c r="VLO77" s="317"/>
      <c r="VLP77" s="317"/>
      <c r="VLQ77" s="317"/>
      <c r="VLR77" s="317"/>
      <c r="VLS77" s="317"/>
      <c r="VLT77" s="317"/>
      <c r="VLU77" s="317"/>
      <c r="VLV77" s="317"/>
      <c r="VLW77" s="317"/>
      <c r="VLX77" s="317"/>
      <c r="VLY77" s="317"/>
      <c r="VLZ77" s="317"/>
      <c r="VMA77" s="317"/>
      <c r="VMB77" s="317"/>
      <c r="VMC77" s="317"/>
      <c r="VMD77" s="317"/>
      <c r="VME77" s="317"/>
      <c r="VMF77" s="317"/>
      <c r="VMG77" s="317"/>
      <c r="VMH77" s="317"/>
      <c r="VMI77" s="317"/>
      <c r="VMJ77" s="317"/>
      <c r="VMK77" s="317"/>
      <c r="VML77" s="317"/>
      <c r="VMM77" s="317"/>
      <c r="VMN77" s="317"/>
      <c r="VMO77" s="317"/>
      <c r="VMP77" s="317"/>
      <c r="VMQ77" s="317"/>
      <c r="VMR77" s="317"/>
      <c r="VMS77" s="317"/>
      <c r="VMT77" s="317"/>
      <c r="VMU77" s="317"/>
      <c r="VMV77" s="317"/>
      <c r="VMW77" s="317"/>
      <c r="VMX77" s="317"/>
      <c r="VMY77" s="317"/>
      <c r="VMZ77" s="317"/>
      <c r="VNA77" s="317"/>
      <c r="VNB77" s="317"/>
      <c r="VNC77" s="317"/>
      <c r="VND77" s="317"/>
      <c r="VNE77" s="317"/>
      <c r="VNF77" s="317"/>
      <c r="VNG77" s="317"/>
      <c r="VNH77" s="317"/>
      <c r="VNI77" s="317"/>
      <c r="VNJ77" s="317"/>
      <c r="VNK77" s="317"/>
      <c r="VNL77" s="317"/>
      <c r="VNM77" s="317"/>
      <c r="VNN77" s="317"/>
      <c r="VNO77" s="317"/>
      <c r="VNP77" s="317"/>
      <c r="VNQ77" s="317"/>
      <c r="VNR77" s="317"/>
      <c r="VNS77" s="317"/>
      <c r="VNT77" s="317"/>
      <c r="VNU77" s="317"/>
      <c r="VNV77" s="317"/>
      <c r="VNW77" s="317"/>
      <c r="VNX77" s="317"/>
      <c r="VNY77" s="317"/>
      <c r="VNZ77" s="317"/>
      <c r="VOA77" s="317"/>
      <c r="VOB77" s="317"/>
      <c r="VOC77" s="317"/>
      <c r="VOD77" s="317"/>
      <c r="VOE77" s="317"/>
      <c r="VOF77" s="317"/>
      <c r="VOG77" s="317"/>
      <c r="VOH77" s="317"/>
      <c r="VOI77" s="317"/>
      <c r="VOJ77" s="317"/>
      <c r="VOK77" s="317"/>
      <c r="VOL77" s="317"/>
      <c r="VOM77" s="317"/>
      <c r="VON77" s="317"/>
      <c r="VOO77" s="317"/>
      <c r="VOP77" s="317"/>
      <c r="VOQ77" s="317"/>
      <c r="VOR77" s="317"/>
      <c r="VOS77" s="317"/>
      <c r="VOT77" s="317"/>
      <c r="VOU77" s="317"/>
      <c r="VOV77" s="317"/>
      <c r="VOW77" s="317"/>
      <c r="VOX77" s="317"/>
      <c r="VOY77" s="317"/>
      <c r="VOZ77" s="317"/>
      <c r="VPA77" s="317"/>
      <c r="VPB77" s="317"/>
      <c r="VPC77" s="317"/>
      <c r="VPD77" s="317"/>
      <c r="VPE77" s="317"/>
      <c r="VPF77" s="317"/>
      <c r="VPG77" s="317"/>
      <c r="VPH77" s="317"/>
      <c r="VPI77" s="317"/>
      <c r="VPJ77" s="317"/>
      <c r="VPK77" s="317"/>
      <c r="VPL77" s="317"/>
      <c r="VPM77" s="317"/>
      <c r="VPN77" s="317"/>
      <c r="VPO77" s="317"/>
      <c r="VPP77" s="317"/>
      <c r="VPQ77" s="317"/>
      <c r="VPR77" s="317"/>
      <c r="VPS77" s="317"/>
      <c r="VPT77" s="317"/>
      <c r="VPU77" s="317"/>
      <c r="VPV77" s="317"/>
      <c r="VPW77" s="317"/>
      <c r="VPX77" s="317"/>
      <c r="VPY77" s="317"/>
      <c r="VPZ77" s="317"/>
      <c r="VQA77" s="317"/>
      <c r="VQB77" s="317"/>
      <c r="VQC77" s="317"/>
      <c r="VQD77" s="317"/>
      <c r="VQE77" s="317"/>
      <c r="VQF77" s="317"/>
      <c r="VQG77" s="317"/>
      <c r="VQH77" s="317"/>
      <c r="VQI77" s="317"/>
      <c r="VQJ77" s="317"/>
      <c r="VQK77" s="317"/>
      <c r="VQL77" s="317"/>
      <c r="VQM77" s="317"/>
      <c r="VQN77" s="317"/>
      <c r="VQO77" s="317"/>
      <c r="VQP77" s="317"/>
      <c r="VQQ77" s="317"/>
      <c r="VQR77" s="317"/>
      <c r="VQS77" s="317"/>
      <c r="VQT77" s="317"/>
      <c r="VQU77" s="317"/>
      <c r="VQV77" s="317"/>
      <c r="VQW77" s="317"/>
      <c r="VQX77" s="317"/>
      <c r="VQY77" s="317"/>
      <c r="VQZ77" s="317"/>
      <c r="VRA77" s="317"/>
      <c r="VRB77" s="317"/>
      <c r="VRC77" s="317"/>
      <c r="VRD77" s="317"/>
      <c r="VRE77" s="317"/>
      <c r="VRF77" s="317"/>
      <c r="VRG77" s="317"/>
      <c r="VRH77" s="317"/>
      <c r="VRI77" s="317"/>
      <c r="VRJ77" s="317"/>
      <c r="VRK77" s="317"/>
      <c r="VRL77" s="317"/>
      <c r="VRM77" s="317"/>
      <c r="VRN77" s="317"/>
      <c r="VRO77" s="317"/>
      <c r="VRP77" s="317"/>
      <c r="VRQ77" s="317"/>
      <c r="VRR77" s="317"/>
      <c r="VRS77" s="317"/>
      <c r="VRT77" s="317"/>
      <c r="VRU77" s="317"/>
      <c r="VRV77" s="317"/>
      <c r="VRW77" s="317"/>
      <c r="VRX77" s="317"/>
      <c r="VRY77" s="317"/>
      <c r="VRZ77" s="317"/>
      <c r="VSA77" s="317"/>
      <c r="VSB77" s="317"/>
      <c r="VSC77" s="317"/>
      <c r="VSD77" s="317"/>
      <c r="VSE77" s="317"/>
      <c r="VSF77" s="317"/>
      <c r="VSG77" s="317"/>
      <c r="VSH77" s="317"/>
      <c r="VSI77" s="317"/>
      <c r="VSJ77" s="317"/>
      <c r="VSK77" s="317"/>
      <c r="VSL77" s="317"/>
      <c r="VSM77" s="317"/>
      <c r="VSN77" s="317"/>
      <c r="VSO77" s="317"/>
      <c r="VSP77" s="317"/>
      <c r="VSQ77" s="317"/>
      <c r="VSR77" s="317"/>
      <c r="VSS77" s="317"/>
      <c r="VST77" s="317"/>
      <c r="VSU77" s="317"/>
      <c r="VSV77" s="317"/>
      <c r="VSW77" s="317"/>
      <c r="VSX77" s="317"/>
      <c r="VSY77" s="317"/>
      <c r="VSZ77" s="317"/>
      <c r="VTA77" s="317"/>
      <c r="VTB77" s="317"/>
      <c r="VTC77" s="317"/>
      <c r="VTD77" s="317"/>
      <c r="VTE77" s="317"/>
      <c r="VTF77" s="317"/>
      <c r="VTG77" s="317"/>
      <c r="VTH77" s="317"/>
      <c r="VTI77" s="317"/>
      <c r="VTJ77" s="317"/>
      <c r="VTK77" s="317"/>
      <c r="VTL77" s="317"/>
      <c r="VTM77" s="317"/>
      <c r="VTN77" s="317"/>
      <c r="VTO77" s="317"/>
      <c r="VTP77" s="317"/>
      <c r="VTQ77" s="317"/>
      <c r="VTR77" s="317"/>
      <c r="VTS77" s="317"/>
      <c r="VTT77" s="317"/>
      <c r="VTU77" s="317"/>
      <c r="VTV77" s="317"/>
      <c r="VTW77" s="317"/>
      <c r="VTX77" s="317"/>
      <c r="VTY77" s="317"/>
      <c r="VTZ77" s="317"/>
      <c r="VUA77" s="317"/>
      <c r="VUB77" s="317"/>
      <c r="VUC77" s="317"/>
      <c r="VUD77" s="317"/>
      <c r="VUE77" s="317"/>
      <c r="VUF77" s="317"/>
      <c r="VUG77" s="317"/>
      <c r="VUH77" s="317"/>
      <c r="VUI77" s="317"/>
      <c r="VUJ77" s="317"/>
      <c r="VUK77" s="317"/>
      <c r="VUL77" s="317"/>
      <c r="VUM77" s="317"/>
      <c r="VUN77" s="317"/>
      <c r="VUO77" s="317"/>
      <c r="VUP77" s="317"/>
      <c r="VUQ77" s="317"/>
      <c r="VUR77" s="317"/>
      <c r="VUS77" s="317"/>
      <c r="VUT77" s="317"/>
      <c r="VUU77" s="317"/>
      <c r="VUV77" s="317"/>
      <c r="VUW77" s="317"/>
      <c r="VUX77" s="317"/>
      <c r="VUY77" s="317"/>
      <c r="VUZ77" s="317"/>
      <c r="VVA77" s="317"/>
      <c r="VVB77" s="317"/>
      <c r="VVC77" s="317"/>
      <c r="VVD77" s="317"/>
      <c r="VVE77" s="317"/>
      <c r="VVF77" s="317"/>
      <c r="VVG77" s="317"/>
      <c r="VVH77" s="317"/>
      <c r="VVI77" s="317"/>
      <c r="VVJ77" s="317"/>
      <c r="VVK77" s="317"/>
      <c r="VVL77" s="317"/>
      <c r="VVM77" s="317"/>
      <c r="VVN77" s="317"/>
      <c r="VVO77" s="317"/>
      <c r="VVP77" s="317"/>
      <c r="VVQ77" s="317"/>
      <c r="VVR77" s="317"/>
      <c r="VVS77" s="317"/>
      <c r="VVT77" s="317"/>
      <c r="VVU77" s="317"/>
      <c r="VVV77" s="317"/>
      <c r="VVW77" s="317"/>
      <c r="VVX77" s="317"/>
      <c r="VVY77" s="317"/>
      <c r="VVZ77" s="317"/>
      <c r="VWA77" s="317"/>
      <c r="VWB77" s="317"/>
      <c r="VWC77" s="317"/>
      <c r="VWD77" s="317"/>
      <c r="VWE77" s="317"/>
      <c r="VWF77" s="317"/>
      <c r="VWG77" s="317"/>
      <c r="VWH77" s="317"/>
      <c r="VWI77" s="317"/>
      <c r="VWJ77" s="317"/>
      <c r="VWK77" s="317"/>
      <c r="VWL77" s="317"/>
      <c r="VWM77" s="317"/>
      <c r="VWN77" s="317"/>
      <c r="VWO77" s="317"/>
      <c r="VWP77" s="317"/>
      <c r="VWQ77" s="317"/>
      <c r="VWR77" s="317"/>
      <c r="VWS77" s="317"/>
      <c r="VWT77" s="317"/>
      <c r="VWU77" s="317"/>
      <c r="VWV77" s="317"/>
      <c r="VWW77" s="317"/>
      <c r="VWX77" s="317"/>
      <c r="VWY77" s="317"/>
      <c r="VWZ77" s="317"/>
      <c r="VXA77" s="317"/>
      <c r="VXB77" s="317"/>
      <c r="VXC77" s="317"/>
      <c r="VXD77" s="317"/>
      <c r="VXE77" s="317"/>
      <c r="VXF77" s="317"/>
      <c r="VXG77" s="317"/>
      <c r="VXH77" s="317"/>
      <c r="VXI77" s="317"/>
      <c r="VXJ77" s="317"/>
      <c r="VXK77" s="317"/>
      <c r="VXL77" s="317"/>
      <c r="VXM77" s="317"/>
      <c r="VXN77" s="317"/>
      <c r="VXO77" s="317"/>
      <c r="VXP77" s="317"/>
      <c r="VXQ77" s="317"/>
      <c r="VXR77" s="317"/>
      <c r="VXS77" s="317"/>
      <c r="VXT77" s="317"/>
      <c r="VXU77" s="317"/>
      <c r="VXV77" s="317"/>
      <c r="VXW77" s="317"/>
      <c r="VXX77" s="317"/>
      <c r="VXY77" s="317"/>
      <c r="VXZ77" s="317"/>
      <c r="VYA77" s="317"/>
      <c r="VYB77" s="317"/>
      <c r="VYC77" s="317"/>
      <c r="VYD77" s="317"/>
      <c r="VYE77" s="317"/>
      <c r="VYF77" s="317"/>
      <c r="VYG77" s="317"/>
      <c r="VYH77" s="317"/>
      <c r="VYI77" s="317"/>
      <c r="VYJ77" s="317"/>
      <c r="VYK77" s="317"/>
      <c r="VYL77" s="317"/>
      <c r="VYM77" s="317"/>
      <c r="VYN77" s="317"/>
      <c r="VYO77" s="317"/>
      <c r="VYP77" s="317"/>
      <c r="VYQ77" s="317"/>
      <c r="VYR77" s="317"/>
      <c r="VYS77" s="317"/>
      <c r="VYT77" s="317"/>
      <c r="VYU77" s="317"/>
      <c r="VYV77" s="317"/>
      <c r="VYW77" s="317"/>
      <c r="VYX77" s="317"/>
      <c r="VYY77" s="317"/>
      <c r="VYZ77" s="317"/>
      <c r="VZA77" s="317"/>
      <c r="VZB77" s="317"/>
      <c r="VZC77" s="317"/>
      <c r="VZD77" s="317"/>
      <c r="VZE77" s="317"/>
      <c r="VZF77" s="317"/>
      <c r="VZG77" s="317"/>
      <c r="VZH77" s="317"/>
      <c r="VZI77" s="317"/>
      <c r="VZJ77" s="317"/>
      <c r="VZK77" s="317"/>
      <c r="VZL77" s="317"/>
      <c r="VZM77" s="317"/>
      <c r="VZN77" s="317"/>
      <c r="VZO77" s="317"/>
      <c r="VZP77" s="317"/>
      <c r="VZQ77" s="317"/>
      <c r="VZR77" s="317"/>
      <c r="VZS77" s="317"/>
      <c r="VZT77" s="317"/>
      <c r="VZU77" s="317"/>
      <c r="VZV77" s="317"/>
      <c r="VZW77" s="317"/>
      <c r="VZX77" s="317"/>
      <c r="VZY77" s="317"/>
      <c r="VZZ77" s="317"/>
      <c r="WAA77" s="317"/>
      <c r="WAB77" s="317"/>
      <c r="WAC77" s="317"/>
      <c r="WAD77" s="317"/>
      <c r="WAE77" s="317"/>
      <c r="WAF77" s="317"/>
      <c r="WAG77" s="317"/>
      <c r="WAH77" s="317"/>
      <c r="WAI77" s="317"/>
      <c r="WAJ77" s="317"/>
      <c r="WAK77" s="317"/>
      <c r="WAL77" s="317"/>
      <c r="WAM77" s="317"/>
      <c r="WAN77" s="317"/>
      <c r="WAO77" s="317"/>
      <c r="WAP77" s="317"/>
      <c r="WAQ77" s="317"/>
      <c r="WAR77" s="317"/>
      <c r="WAS77" s="317"/>
      <c r="WAT77" s="317"/>
      <c r="WAU77" s="317"/>
      <c r="WAV77" s="317"/>
      <c r="WAW77" s="317"/>
      <c r="WAX77" s="317"/>
      <c r="WAY77" s="317"/>
      <c r="WAZ77" s="317"/>
      <c r="WBA77" s="317"/>
      <c r="WBB77" s="317"/>
      <c r="WBC77" s="317"/>
      <c r="WBD77" s="317"/>
      <c r="WBE77" s="317"/>
      <c r="WBF77" s="317"/>
      <c r="WBG77" s="317"/>
      <c r="WBH77" s="317"/>
      <c r="WBI77" s="317"/>
      <c r="WBJ77" s="317"/>
      <c r="WBK77" s="317"/>
      <c r="WBL77" s="317"/>
      <c r="WBM77" s="317"/>
      <c r="WBN77" s="317"/>
      <c r="WBO77" s="317"/>
      <c r="WBP77" s="317"/>
      <c r="WBQ77" s="317"/>
      <c r="WBR77" s="317"/>
      <c r="WBS77" s="317"/>
      <c r="WBT77" s="317"/>
      <c r="WBU77" s="317"/>
      <c r="WBV77" s="317"/>
      <c r="WBW77" s="317"/>
      <c r="WBX77" s="317"/>
      <c r="WBY77" s="317"/>
      <c r="WBZ77" s="317"/>
      <c r="WCA77" s="317"/>
      <c r="WCB77" s="317"/>
      <c r="WCC77" s="317"/>
      <c r="WCD77" s="317"/>
      <c r="WCE77" s="317"/>
      <c r="WCF77" s="317"/>
      <c r="WCG77" s="317"/>
      <c r="WCH77" s="317"/>
      <c r="WCI77" s="317"/>
      <c r="WCJ77" s="317"/>
      <c r="WCK77" s="317"/>
      <c r="WCL77" s="317"/>
      <c r="WCM77" s="317"/>
      <c r="WCN77" s="317"/>
      <c r="WCO77" s="317"/>
      <c r="WCP77" s="317"/>
      <c r="WCQ77" s="317"/>
      <c r="WCR77" s="317"/>
      <c r="WCS77" s="317"/>
      <c r="WCT77" s="317"/>
      <c r="WCU77" s="317"/>
      <c r="WCV77" s="317"/>
      <c r="WCW77" s="317"/>
      <c r="WCX77" s="317"/>
      <c r="WCY77" s="317"/>
      <c r="WCZ77" s="317"/>
      <c r="WDA77" s="317"/>
      <c r="WDB77" s="317"/>
      <c r="WDC77" s="317"/>
      <c r="WDD77" s="317"/>
      <c r="WDE77" s="317"/>
      <c r="WDF77" s="317"/>
      <c r="WDG77" s="317"/>
      <c r="WDH77" s="317"/>
      <c r="WDI77" s="317"/>
      <c r="WDJ77" s="317"/>
      <c r="WDK77" s="317"/>
      <c r="WDL77" s="317"/>
      <c r="WDM77" s="317"/>
      <c r="WDN77" s="317"/>
      <c r="WDO77" s="317"/>
      <c r="WDP77" s="317"/>
      <c r="WDQ77" s="317"/>
      <c r="WDR77" s="317"/>
      <c r="WDS77" s="317"/>
      <c r="WDT77" s="317"/>
      <c r="WDU77" s="317"/>
      <c r="WDV77" s="317"/>
      <c r="WDW77" s="317"/>
      <c r="WDX77" s="317"/>
      <c r="WDY77" s="317"/>
      <c r="WDZ77" s="317"/>
      <c r="WEA77" s="317"/>
      <c r="WEB77" s="317"/>
      <c r="WEC77" s="317"/>
      <c r="WED77" s="317"/>
      <c r="WEE77" s="317"/>
      <c r="WEF77" s="317"/>
      <c r="WEG77" s="317"/>
      <c r="WEH77" s="317"/>
      <c r="WEI77" s="317"/>
      <c r="WEJ77" s="317"/>
      <c r="WEK77" s="317"/>
      <c r="WEL77" s="317"/>
      <c r="WEM77" s="317"/>
      <c r="WEN77" s="317"/>
      <c r="WEO77" s="317"/>
      <c r="WEP77" s="317"/>
      <c r="WEQ77" s="317"/>
      <c r="WER77" s="317"/>
      <c r="WES77" s="317"/>
      <c r="WET77" s="317"/>
      <c r="WEU77" s="317"/>
      <c r="WEV77" s="317"/>
      <c r="WEW77" s="317"/>
      <c r="WEX77" s="317"/>
      <c r="WEY77" s="317"/>
      <c r="WEZ77" s="317"/>
      <c r="WFA77" s="317"/>
      <c r="WFB77" s="317"/>
      <c r="WFC77" s="317"/>
      <c r="WFD77" s="317"/>
      <c r="WFE77" s="317"/>
      <c r="WFF77" s="317"/>
      <c r="WFG77" s="317"/>
      <c r="WFH77" s="317"/>
      <c r="WFI77" s="317"/>
      <c r="WFJ77" s="317"/>
      <c r="WFK77" s="317"/>
      <c r="WFL77" s="317"/>
      <c r="WFM77" s="317"/>
      <c r="WFN77" s="317"/>
      <c r="WFO77" s="317"/>
      <c r="WFP77" s="317"/>
      <c r="WFQ77" s="317"/>
      <c r="WFR77" s="317"/>
      <c r="WFS77" s="317"/>
      <c r="WFT77" s="317"/>
      <c r="WFU77" s="317"/>
      <c r="WFV77" s="317"/>
      <c r="WFW77" s="317"/>
      <c r="WFX77" s="317"/>
      <c r="WFY77" s="317"/>
      <c r="WFZ77" s="317"/>
      <c r="WGA77" s="317"/>
      <c r="WGB77" s="317"/>
      <c r="WGC77" s="317"/>
      <c r="WGD77" s="317"/>
      <c r="WGE77" s="317"/>
      <c r="WGF77" s="317"/>
      <c r="WGG77" s="317"/>
      <c r="WGH77" s="317"/>
      <c r="WGI77" s="317"/>
      <c r="WGJ77" s="317"/>
      <c r="WGK77" s="317"/>
      <c r="WGL77" s="317"/>
      <c r="WGM77" s="317"/>
      <c r="WGN77" s="317"/>
      <c r="WGO77" s="317"/>
      <c r="WGP77" s="317"/>
      <c r="WGQ77" s="317"/>
      <c r="WGR77" s="317"/>
      <c r="WGS77" s="317"/>
      <c r="WGT77" s="317"/>
      <c r="WGU77" s="317"/>
      <c r="WGV77" s="317"/>
      <c r="WGW77" s="317"/>
      <c r="WGX77" s="317"/>
      <c r="WGY77" s="317"/>
      <c r="WGZ77" s="317"/>
      <c r="WHA77" s="317"/>
      <c r="WHB77" s="317"/>
      <c r="WHC77" s="317"/>
      <c r="WHD77" s="317"/>
      <c r="WHE77" s="317"/>
      <c r="WHF77" s="317"/>
      <c r="WHG77" s="317"/>
      <c r="WHH77" s="317"/>
      <c r="WHI77" s="317"/>
      <c r="WHJ77" s="317"/>
      <c r="WHK77" s="317"/>
      <c r="WHL77" s="317"/>
      <c r="WHM77" s="317"/>
      <c r="WHN77" s="317"/>
      <c r="WHO77" s="317"/>
      <c r="WHP77" s="317"/>
      <c r="WHQ77" s="317"/>
      <c r="WHR77" s="317"/>
      <c r="WHS77" s="317"/>
      <c r="WHT77" s="317"/>
      <c r="WHU77" s="317"/>
      <c r="WHV77" s="317"/>
      <c r="WHW77" s="317"/>
      <c r="WHX77" s="317"/>
      <c r="WHY77" s="317"/>
      <c r="WHZ77" s="317"/>
      <c r="WIA77" s="317"/>
      <c r="WIB77" s="317"/>
      <c r="WIC77" s="317"/>
      <c r="WID77" s="317"/>
      <c r="WIE77" s="317"/>
      <c r="WIF77" s="317"/>
      <c r="WIG77" s="317"/>
      <c r="WIH77" s="317"/>
      <c r="WII77" s="317"/>
      <c r="WIJ77" s="317"/>
      <c r="WIK77" s="317"/>
      <c r="WIL77" s="317"/>
      <c r="WIM77" s="317"/>
      <c r="WIN77" s="317"/>
      <c r="WIO77" s="317"/>
      <c r="WIP77" s="317"/>
      <c r="WIQ77" s="317"/>
      <c r="WIR77" s="317"/>
      <c r="WIS77" s="317"/>
      <c r="WIT77" s="317"/>
      <c r="WIU77" s="317"/>
      <c r="WIV77" s="317"/>
      <c r="WIW77" s="317"/>
      <c r="WIX77" s="317"/>
      <c r="WIY77" s="317"/>
      <c r="WIZ77" s="317"/>
      <c r="WJA77" s="317"/>
      <c r="WJB77" s="317"/>
      <c r="WJC77" s="317"/>
      <c r="WJD77" s="317"/>
      <c r="WJE77" s="317"/>
      <c r="WJF77" s="317"/>
      <c r="WJG77" s="317"/>
      <c r="WJH77" s="317"/>
      <c r="WJI77" s="317"/>
      <c r="WJJ77" s="317"/>
      <c r="WJK77" s="317"/>
      <c r="WJL77" s="317"/>
      <c r="WJM77" s="317"/>
      <c r="WJN77" s="317"/>
      <c r="WJO77" s="317"/>
      <c r="WJP77" s="317"/>
      <c r="WJQ77" s="317"/>
      <c r="WJR77" s="317"/>
      <c r="WJS77" s="317"/>
      <c r="WJT77" s="317"/>
      <c r="WJU77" s="317"/>
      <c r="WJV77" s="317"/>
      <c r="WJW77" s="317"/>
      <c r="WJX77" s="317"/>
      <c r="WJY77" s="317"/>
      <c r="WJZ77" s="317"/>
      <c r="WKA77" s="317"/>
      <c r="WKB77" s="317"/>
      <c r="WKC77" s="317"/>
      <c r="WKD77" s="317"/>
      <c r="WKE77" s="317"/>
      <c r="WKF77" s="317"/>
      <c r="WKG77" s="317"/>
      <c r="WKH77" s="317"/>
      <c r="WKI77" s="317"/>
      <c r="WKJ77" s="317"/>
      <c r="WKK77" s="317"/>
      <c r="WKL77" s="317"/>
      <c r="WKM77" s="317"/>
      <c r="WKN77" s="317"/>
      <c r="WKO77" s="317"/>
      <c r="WKP77" s="317"/>
      <c r="WKQ77" s="317"/>
      <c r="WKR77" s="317"/>
      <c r="WKS77" s="317"/>
      <c r="WKT77" s="317"/>
      <c r="WKU77" s="317"/>
      <c r="WKV77" s="317"/>
      <c r="WKW77" s="317"/>
      <c r="WKX77" s="317"/>
      <c r="WKY77" s="317"/>
      <c r="WKZ77" s="317"/>
      <c r="WLA77" s="317"/>
      <c r="WLB77" s="317"/>
      <c r="WLC77" s="317"/>
      <c r="WLD77" s="317"/>
      <c r="WLE77" s="317"/>
      <c r="WLF77" s="317"/>
      <c r="WLG77" s="317"/>
      <c r="WLH77" s="317"/>
      <c r="WLI77" s="317"/>
      <c r="WLJ77" s="317"/>
      <c r="WLK77" s="317"/>
      <c r="WLL77" s="317"/>
      <c r="WLM77" s="317"/>
      <c r="WLN77" s="317"/>
      <c r="WLO77" s="317"/>
      <c r="WLP77" s="317"/>
      <c r="WLQ77" s="317"/>
      <c r="WLR77" s="317"/>
      <c r="WLS77" s="317"/>
      <c r="WLT77" s="317"/>
      <c r="WLU77" s="317"/>
      <c r="WLV77" s="317"/>
      <c r="WLW77" s="317"/>
      <c r="WLX77" s="317"/>
      <c r="WLY77" s="317"/>
      <c r="WLZ77" s="317"/>
      <c r="WMA77" s="317"/>
      <c r="WMB77" s="317"/>
      <c r="WMC77" s="317"/>
      <c r="WMD77" s="317"/>
      <c r="WME77" s="317"/>
      <c r="WMF77" s="317"/>
      <c r="WMG77" s="317"/>
      <c r="WMH77" s="317"/>
      <c r="WMI77" s="317"/>
      <c r="WMJ77" s="317"/>
      <c r="WMK77" s="317"/>
      <c r="WML77" s="317"/>
      <c r="WMM77" s="317"/>
      <c r="WMN77" s="317"/>
      <c r="WMO77" s="317"/>
      <c r="WMP77" s="317"/>
      <c r="WMQ77" s="317"/>
      <c r="WMR77" s="317"/>
      <c r="WMS77" s="317"/>
      <c r="WMT77" s="317"/>
      <c r="WMU77" s="317"/>
      <c r="WMV77" s="317"/>
      <c r="WMW77" s="317"/>
      <c r="WMX77" s="317"/>
      <c r="WMY77" s="317"/>
      <c r="WMZ77" s="317"/>
      <c r="WNA77" s="317"/>
      <c r="WNB77" s="317"/>
      <c r="WNC77" s="317"/>
      <c r="WND77" s="317"/>
      <c r="WNE77" s="317"/>
      <c r="WNF77" s="317"/>
      <c r="WNG77" s="317"/>
      <c r="WNH77" s="317"/>
      <c r="WNI77" s="317"/>
      <c r="WNJ77" s="317"/>
      <c r="WNK77" s="317"/>
      <c r="WNL77" s="317"/>
      <c r="WNM77" s="317"/>
      <c r="WNN77" s="317"/>
      <c r="WNO77" s="317"/>
      <c r="WNP77" s="317"/>
      <c r="WNQ77" s="317"/>
      <c r="WNR77" s="317"/>
      <c r="WNS77" s="317"/>
      <c r="WNT77" s="317"/>
      <c r="WNU77" s="317"/>
      <c r="WNV77" s="317"/>
      <c r="WNW77" s="317"/>
      <c r="WNX77" s="317"/>
      <c r="WNY77" s="317"/>
      <c r="WNZ77" s="317"/>
      <c r="WOA77" s="317"/>
      <c r="WOB77" s="317"/>
      <c r="WOC77" s="317"/>
      <c r="WOD77" s="317"/>
      <c r="WOE77" s="317"/>
      <c r="WOF77" s="317"/>
      <c r="WOG77" s="317"/>
      <c r="WOH77" s="317"/>
      <c r="WOI77" s="317"/>
      <c r="WOJ77" s="317"/>
      <c r="WOK77" s="317"/>
      <c r="WOL77" s="317"/>
      <c r="WOM77" s="317"/>
      <c r="WON77" s="317"/>
      <c r="WOO77" s="317"/>
      <c r="WOP77" s="317"/>
      <c r="WOQ77" s="317"/>
      <c r="WOR77" s="317"/>
      <c r="WOS77" s="317"/>
      <c r="WOT77" s="317"/>
      <c r="WOU77" s="317"/>
      <c r="WOV77" s="317"/>
      <c r="WOW77" s="317"/>
      <c r="WOX77" s="317"/>
      <c r="WOY77" s="317"/>
      <c r="WOZ77" s="317"/>
      <c r="WPA77" s="317"/>
      <c r="WPB77" s="317"/>
      <c r="WPC77" s="317"/>
      <c r="WPD77" s="317"/>
      <c r="WPE77" s="317"/>
      <c r="WPF77" s="317"/>
      <c r="WPG77" s="317"/>
      <c r="WPH77" s="317"/>
      <c r="WPI77" s="317"/>
      <c r="WPJ77" s="317"/>
      <c r="WPK77" s="317"/>
      <c r="WPL77" s="317"/>
      <c r="WPM77" s="317"/>
      <c r="WPN77" s="317"/>
      <c r="WPO77" s="317"/>
      <c r="WPP77" s="317"/>
      <c r="WPQ77" s="317"/>
      <c r="WPR77" s="317"/>
      <c r="WPS77" s="317"/>
      <c r="WPT77" s="317"/>
      <c r="WPU77" s="317"/>
      <c r="WPV77" s="317"/>
      <c r="WPW77" s="317"/>
      <c r="WPX77" s="317"/>
      <c r="WPY77" s="317"/>
      <c r="WPZ77" s="317"/>
      <c r="WQA77" s="317"/>
      <c r="WQB77" s="317"/>
      <c r="WQC77" s="317"/>
      <c r="WQD77" s="317"/>
      <c r="WQE77" s="317"/>
      <c r="WQF77" s="317"/>
      <c r="WQG77" s="317"/>
      <c r="WQH77" s="317"/>
      <c r="WQI77" s="317"/>
      <c r="WQJ77" s="317"/>
      <c r="WQK77" s="317"/>
      <c r="WQL77" s="317"/>
      <c r="WQM77" s="317"/>
      <c r="WQN77" s="317"/>
      <c r="WQO77" s="317"/>
      <c r="WQP77" s="317"/>
      <c r="WQQ77" s="317"/>
      <c r="WQR77" s="317"/>
      <c r="WQS77" s="317"/>
      <c r="WQT77" s="317"/>
      <c r="WQU77" s="317"/>
      <c r="WQV77" s="317"/>
      <c r="WQW77" s="317"/>
      <c r="WQX77" s="317"/>
      <c r="WQY77" s="317"/>
      <c r="WQZ77" s="317"/>
      <c r="WRA77" s="317"/>
      <c r="WRB77" s="317"/>
      <c r="WRC77" s="317"/>
      <c r="WRD77" s="317"/>
      <c r="WRE77" s="317"/>
      <c r="WRF77" s="317"/>
      <c r="WRG77" s="317"/>
      <c r="WRH77" s="317"/>
      <c r="WRI77" s="317"/>
      <c r="WRJ77" s="317"/>
      <c r="WRK77" s="317"/>
      <c r="WRL77" s="317"/>
      <c r="WRM77" s="317"/>
      <c r="WRN77" s="317"/>
      <c r="WRO77" s="317"/>
      <c r="WRP77" s="317"/>
      <c r="WRQ77" s="317"/>
      <c r="WRR77" s="317"/>
      <c r="WRS77" s="317"/>
      <c r="WRT77" s="317"/>
      <c r="WRU77" s="317"/>
      <c r="WRV77" s="317"/>
      <c r="WRW77" s="317"/>
      <c r="WRX77" s="317"/>
      <c r="WRY77" s="317"/>
      <c r="WRZ77" s="317"/>
      <c r="WSA77" s="317"/>
      <c r="WSB77" s="317"/>
      <c r="WSC77" s="317"/>
      <c r="WSD77" s="317"/>
      <c r="WSE77" s="317"/>
      <c r="WSF77" s="317"/>
      <c r="WSG77" s="317"/>
      <c r="WSH77" s="317"/>
      <c r="WSI77" s="317"/>
      <c r="WSJ77" s="317"/>
      <c r="WSK77" s="317"/>
      <c r="WSL77" s="317"/>
      <c r="WSM77" s="317"/>
      <c r="WSN77" s="317"/>
      <c r="WSO77" s="317"/>
      <c r="WSP77" s="317"/>
      <c r="WSQ77" s="317"/>
      <c r="WSR77" s="317"/>
      <c r="WSS77" s="317"/>
      <c r="WST77" s="317"/>
      <c r="WSU77" s="317"/>
      <c r="WSV77" s="317"/>
      <c r="WSW77" s="317"/>
      <c r="WSX77" s="317"/>
      <c r="WSY77" s="317"/>
      <c r="WSZ77" s="317"/>
      <c r="WTA77" s="317"/>
      <c r="WTB77" s="317"/>
      <c r="WTC77" s="317"/>
      <c r="WTD77" s="317"/>
      <c r="WTE77" s="317"/>
      <c r="WTF77" s="317"/>
      <c r="WTG77" s="317"/>
      <c r="WTH77" s="317"/>
      <c r="WTI77" s="317"/>
      <c r="WTJ77" s="317"/>
      <c r="WTK77" s="317"/>
      <c r="WTL77" s="317"/>
      <c r="WTM77" s="317"/>
      <c r="WTN77" s="317"/>
      <c r="WTO77" s="317"/>
      <c r="WTP77" s="317"/>
      <c r="WTQ77" s="317"/>
      <c r="WTR77" s="317"/>
      <c r="WTS77" s="317"/>
      <c r="WTT77" s="317"/>
      <c r="WTU77" s="317"/>
      <c r="WTV77" s="317"/>
      <c r="WTW77" s="317"/>
      <c r="WTX77" s="317"/>
      <c r="WTY77" s="317"/>
      <c r="WTZ77" s="317"/>
      <c r="WUA77" s="317"/>
      <c r="WUB77" s="317"/>
      <c r="WUC77" s="317"/>
      <c r="WUD77" s="317"/>
      <c r="WUE77" s="317"/>
      <c r="WUF77" s="317"/>
      <c r="WUG77" s="317"/>
      <c r="WUH77" s="317"/>
      <c r="WUI77" s="317"/>
      <c r="WUJ77" s="317"/>
      <c r="WUK77" s="317"/>
      <c r="WUL77" s="317"/>
      <c r="WUM77" s="317"/>
      <c r="WUN77" s="317"/>
      <c r="WUO77" s="317"/>
      <c r="WUP77" s="317"/>
      <c r="WUQ77" s="317"/>
      <c r="WUR77" s="317"/>
      <c r="WUS77" s="317"/>
      <c r="WUT77" s="317"/>
      <c r="WUU77" s="317"/>
      <c r="WUV77" s="317"/>
      <c r="WUW77" s="317"/>
      <c r="WUX77" s="317"/>
      <c r="WUY77" s="317"/>
      <c r="WUZ77" s="317"/>
      <c r="WVA77" s="317"/>
      <c r="WVB77" s="317"/>
      <c r="WVC77" s="317"/>
      <c r="WVD77" s="317"/>
      <c r="WVE77" s="317"/>
      <c r="WVF77" s="317"/>
      <c r="WVG77" s="317"/>
      <c r="WVH77" s="317"/>
      <c r="WVI77" s="317"/>
      <c r="WVJ77" s="317"/>
      <c r="WVK77" s="317"/>
      <c r="WVL77" s="317"/>
      <c r="WVM77" s="317"/>
      <c r="WVN77" s="317"/>
      <c r="WVO77" s="317"/>
      <c r="WVP77" s="317"/>
      <c r="WVQ77" s="317"/>
      <c r="WVR77" s="317"/>
      <c r="WVS77" s="317"/>
      <c r="WVT77" s="317"/>
      <c r="WVU77" s="317"/>
      <c r="WVV77" s="317"/>
      <c r="WVW77" s="317"/>
      <c r="WVX77" s="317"/>
      <c r="WVY77" s="317"/>
      <c r="WVZ77" s="317"/>
      <c r="WWA77" s="317"/>
      <c r="WWB77" s="317"/>
      <c r="WWC77" s="317"/>
      <c r="WWD77" s="317"/>
      <c r="WWE77" s="317"/>
      <c r="WWF77" s="317"/>
      <c r="WWG77" s="317"/>
      <c r="WWH77" s="317"/>
      <c r="WWI77" s="317"/>
      <c r="WWJ77" s="317"/>
      <c r="WWK77" s="317"/>
      <c r="WWL77" s="317"/>
      <c r="WWM77" s="317"/>
      <c r="WWN77" s="317"/>
      <c r="WWO77" s="317"/>
      <c r="WWP77" s="317"/>
      <c r="WWQ77" s="317"/>
      <c r="WWR77" s="317"/>
      <c r="WWS77" s="317"/>
      <c r="WWT77" s="317"/>
      <c r="WWU77" s="317"/>
      <c r="WWV77" s="317"/>
      <c r="WWW77" s="317"/>
      <c r="WWX77" s="317"/>
      <c r="WWY77" s="317"/>
      <c r="WWZ77" s="317"/>
      <c r="WXA77" s="317"/>
      <c r="WXB77" s="317"/>
      <c r="WXC77" s="317"/>
      <c r="WXD77" s="317"/>
      <c r="WXE77" s="317"/>
      <c r="WXF77" s="317"/>
      <c r="WXG77" s="317"/>
      <c r="WXH77" s="317"/>
      <c r="WXI77" s="317"/>
      <c r="WXJ77" s="317"/>
      <c r="WXK77" s="317"/>
      <c r="WXL77" s="317"/>
      <c r="WXM77" s="317"/>
      <c r="WXN77" s="317"/>
      <c r="WXO77" s="317"/>
      <c r="WXP77" s="317"/>
      <c r="WXQ77" s="317"/>
      <c r="WXR77" s="317"/>
      <c r="WXS77" s="317"/>
      <c r="WXT77" s="317"/>
      <c r="WXU77" s="317"/>
      <c r="WXV77" s="317"/>
      <c r="WXW77" s="317"/>
      <c r="WXX77" s="317"/>
      <c r="WXY77" s="317"/>
      <c r="WXZ77" s="317"/>
      <c r="WYA77" s="317"/>
      <c r="WYB77" s="317"/>
      <c r="WYC77" s="317"/>
      <c r="WYD77" s="317"/>
      <c r="WYE77" s="317"/>
      <c r="WYF77" s="317"/>
      <c r="WYG77" s="317"/>
      <c r="WYH77" s="317"/>
      <c r="WYI77" s="317"/>
      <c r="WYJ77" s="317"/>
      <c r="WYK77" s="317"/>
      <c r="WYL77" s="317"/>
      <c r="WYM77" s="317"/>
      <c r="WYN77" s="317"/>
      <c r="WYO77" s="317"/>
      <c r="WYP77" s="317"/>
      <c r="WYQ77" s="317"/>
      <c r="WYR77" s="317"/>
      <c r="WYS77" s="317"/>
      <c r="WYT77" s="317"/>
      <c r="WYU77" s="317"/>
      <c r="WYV77" s="317"/>
      <c r="WYW77" s="317"/>
      <c r="WYX77" s="317"/>
      <c r="WYY77" s="317"/>
      <c r="WYZ77" s="317"/>
      <c r="WZA77" s="317"/>
      <c r="WZB77" s="317"/>
      <c r="WZC77" s="317"/>
      <c r="WZD77" s="317"/>
      <c r="WZE77" s="317"/>
      <c r="WZF77" s="317"/>
      <c r="WZG77" s="317"/>
      <c r="WZH77" s="317"/>
      <c r="WZI77" s="317"/>
      <c r="WZJ77" s="317"/>
      <c r="WZK77" s="317"/>
      <c r="WZL77" s="317"/>
      <c r="WZM77" s="317"/>
      <c r="WZN77" s="317"/>
      <c r="WZO77" s="317"/>
      <c r="WZP77" s="317"/>
      <c r="WZQ77" s="317"/>
      <c r="WZR77" s="317"/>
      <c r="WZS77" s="317"/>
      <c r="WZT77" s="317"/>
      <c r="WZU77" s="317"/>
      <c r="WZV77" s="317"/>
      <c r="WZW77" s="317"/>
      <c r="WZX77" s="317"/>
      <c r="WZY77" s="317"/>
      <c r="WZZ77" s="317"/>
      <c r="XAA77" s="317"/>
      <c r="XAB77" s="317"/>
      <c r="XAC77" s="317"/>
      <c r="XAD77" s="317"/>
      <c r="XAE77" s="317"/>
      <c r="XAF77" s="317"/>
      <c r="XAG77" s="317"/>
      <c r="XAH77" s="317"/>
      <c r="XAI77" s="317"/>
      <c r="XAJ77" s="317"/>
      <c r="XAK77" s="317"/>
      <c r="XAL77" s="317"/>
      <c r="XAM77" s="317"/>
      <c r="XAN77" s="317"/>
      <c r="XAO77" s="317"/>
      <c r="XAP77" s="317"/>
      <c r="XAQ77" s="317"/>
      <c r="XAR77" s="317"/>
      <c r="XAS77" s="317"/>
      <c r="XAT77" s="317"/>
      <c r="XAU77" s="317"/>
      <c r="XAV77" s="317"/>
      <c r="XAW77" s="317"/>
      <c r="XAX77" s="317"/>
      <c r="XAY77" s="317"/>
      <c r="XAZ77" s="317"/>
      <c r="XBA77" s="317"/>
      <c r="XBB77" s="317"/>
      <c r="XBC77" s="317"/>
      <c r="XBD77" s="317"/>
      <c r="XBE77" s="317"/>
      <c r="XBF77" s="317"/>
      <c r="XBG77" s="317"/>
      <c r="XBH77" s="317"/>
      <c r="XBI77" s="317"/>
      <c r="XBJ77" s="317"/>
      <c r="XBK77" s="317"/>
      <c r="XBL77" s="317"/>
      <c r="XBM77" s="317"/>
      <c r="XBN77" s="317"/>
      <c r="XBO77" s="317"/>
      <c r="XBP77" s="317"/>
      <c r="XBQ77" s="317"/>
      <c r="XBR77" s="317"/>
      <c r="XBS77" s="317"/>
      <c r="XBT77" s="317"/>
      <c r="XBU77" s="317"/>
      <c r="XBV77" s="317"/>
      <c r="XBW77" s="317"/>
      <c r="XBX77" s="317"/>
      <c r="XBY77" s="317"/>
      <c r="XBZ77" s="317"/>
      <c r="XCA77" s="317"/>
      <c r="XCB77" s="317"/>
      <c r="XCC77" s="317"/>
      <c r="XCD77" s="317"/>
      <c r="XCE77" s="317"/>
      <c r="XCF77" s="317"/>
      <c r="XCG77" s="317"/>
      <c r="XCH77" s="317"/>
      <c r="XCI77" s="317"/>
      <c r="XCJ77" s="317"/>
      <c r="XCK77" s="317"/>
      <c r="XCL77" s="317"/>
      <c r="XCM77" s="317"/>
      <c r="XCN77" s="317"/>
      <c r="XCO77" s="317"/>
      <c r="XCP77" s="317"/>
      <c r="XCQ77" s="317"/>
      <c r="XCR77" s="317"/>
      <c r="XCS77" s="317"/>
      <c r="XCT77" s="317"/>
      <c r="XCU77" s="317"/>
      <c r="XCV77" s="317"/>
      <c r="XCW77" s="317"/>
      <c r="XCX77" s="317"/>
      <c r="XCY77" s="317"/>
      <c r="XCZ77" s="317"/>
      <c r="XDA77" s="317"/>
      <c r="XDB77" s="317"/>
      <c r="XDC77" s="317"/>
      <c r="XDD77" s="317"/>
      <c r="XDE77" s="317"/>
      <c r="XDF77" s="317"/>
      <c r="XDG77" s="317"/>
      <c r="XDH77" s="317"/>
      <c r="XDI77" s="317"/>
      <c r="XDJ77" s="317"/>
      <c r="XDK77" s="317"/>
      <c r="XDL77" s="317"/>
      <c r="XDM77" s="317"/>
      <c r="XDN77" s="317"/>
      <c r="XDO77" s="317"/>
      <c r="XDP77" s="317"/>
      <c r="XDQ77" s="317"/>
      <c r="XDR77" s="317"/>
      <c r="XDS77" s="317"/>
      <c r="XDT77" s="317"/>
      <c r="XDU77" s="317"/>
      <c r="XDV77" s="317"/>
      <c r="XDW77" s="317"/>
      <c r="XDX77" s="317"/>
      <c r="XDY77" s="317"/>
      <c r="XDZ77" s="317"/>
      <c r="XEA77" s="317"/>
      <c r="XEB77" s="317"/>
      <c r="XEC77" s="317"/>
      <c r="XED77" s="317"/>
      <c r="XEE77" s="317"/>
      <c r="XEF77" s="317"/>
      <c r="XEG77" s="317"/>
      <c r="XEH77" s="317"/>
      <c r="XEI77" s="317"/>
      <c r="XEJ77" s="317"/>
      <c r="XEK77" s="317"/>
      <c r="XEL77" s="317"/>
      <c r="XEM77" s="317"/>
      <c r="XEN77" s="317"/>
      <c r="XEO77" s="317"/>
      <c r="XEP77" s="317"/>
      <c r="XEQ77" s="317"/>
      <c r="XER77" s="317"/>
      <c r="XES77" s="317"/>
      <c r="XET77" s="317"/>
      <c r="XEU77" s="317"/>
      <c r="XEV77" s="317"/>
      <c r="XEW77" s="317"/>
      <c r="XEX77" s="317"/>
      <c r="XEY77" s="317"/>
      <c r="XEZ77" s="317"/>
      <c r="XFA77" s="317"/>
      <c r="XFB77" s="317"/>
      <c r="XFC77" s="317"/>
      <c r="XFD77" s="317"/>
    </row>
    <row r="78" s="314" customFormat="1" ht="25" customHeight="1" spans="1:74 14505:16384">
      <c r="A78" s="359"/>
      <c r="B78" s="360" t="s">
        <v>100</v>
      </c>
      <c r="I78" s="315"/>
      <c r="K78" s="360"/>
      <c r="L78" s="360"/>
      <c r="M78" s="360"/>
      <c r="O78" s="316"/>
      <c r="P78" s="316"/>
      <c r="V78" s="316"/>
      <c r="W78" s="316"/>
      <c r="X78" s="316"/>
      <c r="Y78" s="316"/>
      <c r="Z78" s="316"/>
      <c r="AA78" s="316"/>
      <c r="AB78" s="316"/>
      <c r="AC78" s="316"/>
      <c r="AD78" s="316"/>
      <c r="AK78" s="316"/>
      <c r="AQ78" s="316"/>
      <c r="AR78" s="316"/>
      <c r="AY78" s="316"/>
      <c r="BE78" s="316"/>
      <c r="BF78" s="316"/>
      <c r="BM78" s="316"/>
      <c r="BS78" s="316"/>
      <c r="BT78" s="316"/>
      <c r="UKW78" s="317"/>
      <c r="UKX78" s="317"/>
      <c r="UKY78" s="317"/>
      <c r="UKZ78" s="317"/>
      <c r="ULA78" s="317"/>
      <c r="ULB78" s="317"/>
      <c r="ULC78" s="317"/>
      <c r="ULD78" s="317"/>
      <c r="ULE78" s="317"/>
      <c r="ULF78" s="317"/>
      <c r="ULG78" s="317"/>
      <c r="ULH78" s="317"/>
      <c r="ULI78" s="317"/>
      <c r="ULJ78" s="317"/>
      <c r="ULK78" s="317"/>
      <c r="ULL78" s="317"/>
      <c r="ULM78" s="317"/>
      <c r="ULN78" s="317"/>
      <c r="ULO78" s="317"/>
      <c r="ULP78" s="317"/>
      <c r="ULQ78" s="317"/>
      <c r="ULR78" s="317"/>
      <c r="ULS78" s="317"/>
      <c r="ULT78" s="317"/>
      <c r="ULU78" s="317"/>
      <c r="ULV78" s="317"/>
      <c r="ULW78" s="317"/>
      <c r="ULX78" s="317"/>
      <c r="ULY78" s="317"/>
      <c r="ULZ78" s="317"/>
      <c r="UMA78" s="317"/>
      <c r="UMB78" s="317"/>
      <c r="UMC78" s="317"/>
      <c r="UMD78" s="317"/>
      <c r="UME78" s="317"/>
      <c r="UMF78" s="317"/>
      <c r="UMG78" s="317"/>
      <c r="UMH78" s="317"/>
      <c r="UMI78" s="317"/>
      <c r="UMJ78" s="317"/>
      <c r="UMK78" s="317"/>
      <c r="UML78" s="317"/>
      <c r="UMM78" s="317"/>
      <c r="UMN78" s="317"/>
      <c r="UMO78" s="317"/>
      <c r="UMP78" s="317"/>
      <c r="UMQ78" s="317"/>
      <c r="UMR78" s="317"/>
      <c r="UMS78" s="317"/>
      <c r="UMT78" s="317"/>
      <c r="UMU78" s="317"/>
      <c r="UMV78" s="317"/>
      <c r="UMW78" s="317"/>
      <c r="UMX78" s="317"/>
      <c r="UMY78" s="317"/>
      <c r="UMZ78" s="317"/>
      <c r="UNA78" s="317"/>
      <c r="UNB78" s="317"/>
      <c r="UNC78" s="317"/>
      <c r="UND78" s="317"/>
      <c r="UNE78" s="317"/>
      <c r="UNF78" s="317"/>
      <c r="UNG78" s="317"/>
      <c r="UNH78" s="317"/>
      <c r="UNI78" s="317"/>
      <c r="UNJ78" s="317"/>
      <c r="UNK78" s="317"/>
      <c r="UNL78" s="317"/>
      <c r="UNM78" s="317"/>
      <c r="UNN78" s="317"/>
      <c r="UNO78" s="317"/>
      <c r="UNP78" s="317"/>
      <c r="UNQ78" s="317"/>
      <c r="UNR78" s="317"/>
      <c r="UNS78" s="317"/>
      <c r="UNT78" s="317"/>
      <c r="UNU78" s="317"/>
      <c r="UNV78" s="317"/>
      <c r="UNW78" s="317"/>
      <c r="UNX78" s="317"/>
      <c r="UNY78" s="317"/>
      <c r="UNZ78" s="317"/>
      <c r="UOA78" s="317"/>
      <c r="UOB78" s="317"/>
      <c r="UOC78" s="317"/>
      <c r="UOD78" s="317"/>
      <c r="UOE78" s="317"/>
      <c r="UOF78" s="317"/>
      <c r="UOG78" s="317"/>
      <c r="UOH78" s="317"/>
      <c r="UOI78" s="317"/>
      <c r="UOJ78" s="317"/>
      <c r="UOK78" s="317"/>
      <c r="UOL78" s="317"/>
      <c r="UOM78" s="317"/>
      <c r="UON78" s="317"/>
      <c r="UOO78" s="317"/>
      <c r="UOP78" s="317"/>
      <c r="UOQ78" s="317"/>
      <c r="UOR78" s="317"/>
      <c r="UOS78" s="317"/>
      <c r="UOT78" s="317"/>
      <c r="UOU78" s="317"/>
      <c r="UOV78" s="317"/>
      <c r="UOW78" s="317"/>
      <c r="UOX78" s="317"/>
      <c r="UOY78" s="317"/>
      <c r="UOZ78" s="317"/>
      <c r="UPA78" s="317"/>
      <c r="UPB78" s="317"/>
      <c r="UPC78" s="317"/>
      <c r="UPD78" s="317"/>
      <c r="UPE78" s="317"/>
      <c r="UPF78" s="317"/>
      <c r="UPG78" s="317"/>
      <c r="UPH78" s="317"/>
      <c r="UPI78" s="317"/>
      <c r="UPJ78" s="317"/>
      <c r="UPK78" s="317"/>
      <c r="UPL78" s="317"/>
      <c r="UPM78" s="317"/>
      <c r="UPN78" s="317"/>
      <c r="UPO78" s="317"/>
      <c r="UPP78" s="317"/>
      <c r="UPQ78" s="317"/>
      <c r="UPR78" s="317"/>
      <c r="UPS78" s="317"/>
      <c r="UPT78" s="317"/>
      <c r="UPU78" s="317"/>
      <c r="UPV78" s="317"/>
      <c r="UPW78" s="317"/>
      <c r="UPX78" s="317"/>
      <c r="UPY78" s="317"/>
      <c r="UPZ78" s="317"/>
      <c r="UQA78" s="317"/>
      <c r="UQB78" s="317"/>
      <c r="UQC78" s="317"/>
      <c r="UQD78" s="317"/>
      <c r="UQE78" s="317"/>
      <c r="UQF78" s="317"/>
      <c r="UQG78" s="317"/>
      <c r="UQH78" s="317"/>
      <c r="UQI78" s="317"/>
      <c r="UQJ78" s="317"/>
      <c r="UQK78" s="317"/>
      <c r="UQL78" s="317"/>
      <c r="UQM78" s="317"/>
      <c r="UQN78" s="317"/>
      <c r="UQO78" s="317"/>
      <c r="UQP78" s="317"/>
      <c r="UQQ78" s="317"/>
      <c r="UQR78" s="317"/>
      <c r="UQS78" s="317"/>
      <c r="UQT78" s="317"/>
      <c r="UQU78" s="317"/>
      <c r="UQV78" s="317"/>
      <c r="UQW78" s="317"/>
      <c r="UQX78" s="317"/>
      <c r="UQY78" s="317"/>
      <c r="UQZ78" s="317"/>
      <c r="URA78" s="317"/>
      <c r="URB78" s="317"/>
      <c r="URC78" s="317"/>
      <c r="URD78" s="317"/>
      <c r="URE78" s="317"/>
      <c r="URF78" s="317"/>
      <c r="URG78" s="317"/>
      <c r="URH78" s="317"/>
      <c r="URI78" s="317"/>
      <c r="URJ78" s="317"/>
      <c r="URK78" s="317"/>
      <c r="URL78" s="317"/>
      <c r="URM78" s="317"/>
      <c r="URN78" s="317"/>
      <c r="URO78" s="317"/>
      <c r="URP78" s="317"/>
      <c r="URQ78" s="317"/>
      <c r="URR78" s="317"/>
      <c r="URS78" s="317"/>
      <c r="URT78" s="317"/>
      <c r="URU78" s="317"/>
      <c r="URV78" s="317"/>
      <c r="URW78" s="317"/>
      <c r="URX78" s="317"/>
      <c r="URY78" s="317"/>
      <c r="URZ78" s="317"/>
      <c r="USA78" s="317"/>
      <c r="USB78" s="317"/>
      <c r="USC78" s="317"/>
      <c r="USD78" s="317"/>
      <c r="USE78" s="317"/>
      <c r="USF78" s="317"/>
      <c r="USG78" s="317"/>
      <c r="USH78" s="317"/>
      <c r="USI78" s="317"/>
      <c r="USJ78" s="317"/>
      <c r="USK78" s="317"/>
      <c r="USL78" s="317"/>
      <c r="USM78" s="317"/>
      <c r="USN78" s="317"/>
      <c r="USO78" s="317"/>
      <c r="USP78" s="317"/>
      <c r="USQ78" s="317"/>
      <c r="USR78" s="317"/>
      <c r="USS78" s="317"/>
      <c r="UST78" s="317"/>
      <c r="USU78" s="317"/>
      <c r="USV78" s="317"/>
      <c r="USW78" s="317"/>
      <c r="USX78" s="317"/>
      <c r="USY78" s="317"/>
      <c r="USZ78" s="317"/>
      <c r="UTA78" s="317"/>
      <c r="UTB78" s="317"/>
      <c r="UTC78" s="317"/>
      <c r="UTD78" s="317"/>
      <c r="UTE78" s="317"/>
      <c r="UTF78" s="317"/>
      <c r="UTG78" s="317"/>
      <c r="UTH78" s="317"/>
      <c r="UTI78" s="317"/>
      <c r="UTJ78" s="317"/>
      <c r="UTK78" s="317"/>
      <c r="UTL78" s="317"/>
      <c r="UTM78" s="317"/>
      <c r="UTN78" s="317"/>
      <c r="UTO78" s="317"/>
      <c r="UTP78" s="317"/>
      <c r="UTQ78" s="317"/>
      <c r="UTR78" s="317"/>
      <c r="UTS78" s="317"/>
      <c r="UTT78" s="317"/>
      <c r="UTU78" s="317"/>
      <c r="UTV78" s="317"/>
      <c r="UTW78" s="317"/>
      <c r="UTX78" s="317"/>
      <c r="UTY78" s="317"/>
      <c r="UTZ78" s="317"/>
      <c r="UUA78" s="317"/>
      <c r="UUB78" s="317"/>
      <c r="UUC78" s="317"/>
      <c r="UUD78" s="317"/>
      <c r="UUE78" s="317"/>
      <c r="UUF78" s="317"/>
      <c r="UUG78" s="317"/>
      <c r="UUH78" s="317"/>
      <c r="UUI78" s="317"/>
      <c r="UUJ78" s="317"/>
      <c r="UUK78" s="317"/>
      <c r="UUL78" s="317"/>
      <c r="UUM78" s="317"/>
      <c r="UUN78" s="317"/>
      <c r="UUO78" s="317"/>
      <c r="UUP78" s="317"/>
      <c r="UUQ78" s="317"/>
      <c r="UUR78" s="317"/>
      <c r="UUS78" s="317"/>
      <c r="UUT78" s="317"/>
      <c r="UUU78" s="317"/>
      <c r="UUV78" s="317"/>
      <c r="UUW78" s="317"/>
      <c r="UUX78" s="317"/>
      <c r="UUY78" s="317"/>
      <c r="UUZ78" s="317"/>
      <c r="UVA78" s="317"/>
      <c r="UVB78" s="317"/>
      <c r="UVC78" s="317"/>
      <c r="UVD78" s="317"/>
      <c r="UVE78" s="317"/>
      <c r="UVF78" s="317"/>
      <c r="UVG78" s="317"/>
      <c r="UVH78" s="317"/>
      <c r="UVI78" s="317"/>
      <c r="UVJ78" s="317"/>
      <c r="UVK78" s="317"/>
      <c r="UVL78" s="317"/>
      <c r="UVM78" s="317"/>
      <c r="UVN78" s="317"/>
      <c r="UVO78" s="317"/>
      <c r="UVP78" s="317"/>
      <c r="UVQ78" s="317"/>
      <c r="UVR78" s="317"/>
      <c r="UVS78" s="317"/>
      <c r="UVT78" s="317"/>
      <c r="UVU78" s="317"/>
      <c r="UVV78" s="317"/>
      <c r="UVW78" s="317"/>
      <c r="UVX78" s="317"/>
      <c r="UVY78" s="317"/>
      <c r="UVZ78" s="317"/>
      <c r="UWA78" s="317"/>
      <c r="UWB78" s="317"/>
      <c r="UWC78" s="317"/>
      <c r="UWD78" s="317"/>
      <c r="UWE78" s="317"/>
      <c r="UWF78" s="317"/>
      <c r="UWG78" s="317"/>
      <c r="UWH78" s="317"/>
      <c r="UWI78" s="317"/>
      <c r="UWJ78" s="317"/>
      <c r="UWK78" s="317"/>
      <c r="UWL78" s="317"/>
      <c r="UWM78" s="317"/>
      <c r="UWN78" s="317"/>
      <c r="UWO78" s="317"/>
      <c r="UWP78" s="317"/>
      <c r="UWQ78" s="317"/>
      <c r="UWR78" s="317"/>
      <c r="UWS78" s="317"/>
      <c r="UWT78" s="317"/>
      <c r="UWU78" s="317"/>
      <c r="UWV78" s="317"/>
      <c r="UWW78" s="317"/>
      <c r="UWX78" s="317"/>
      <c r="UWY78" s="317"/>
      <c r="UWZ78" s="317"/>
      <c r="UXA78" s="317"/>
      <c r="UXB78" s="317"/>
      <c r="UXC78" s="317"/>
      <c r="UXD78" s="317"/>
      <c r="UXE78" s="317"/>
      <c r="UXF78" s="317"/>
      <c r="UXG78" s="317"/>
      <c r="UXH78" s="317"/>
      <c r="UXI78" s="317"/>
      <c r="UXJ78" s="317"/>
      <c r="UXK78" s="317"/>
      <c r="UXL78" s="317"/>
      <c r="UXM78" s="317"/>
      <c r="UXN78" s="317"/>
      <c r="UXO78" s="317"/>
      <c r="UXP78" s="317"/>
      <c r="UXQ78" s="317"/>
      <c r="UXR78" s="317"/>
      <c r="UXS78" s="317"/>
      <c r="UXT78" s="317"/>
      <c r="UXU78" s="317"/>
      <c r="UXV78" s="317"/>
      <c r="UXW78" s="317"/>
      <c r="UXX78" s="317"/>
      <c r="UXY78" s="317"/>
      <c r="UXZ78" s="317"/>
      <c r="UYA78" s="317"/>
      <c r="UYB78" s="317"/>
      <c r="UYC78" s="317"/>
      <c r="UYD78" s="317"/>
      <c r="UYE78" s="317"/>
      <c r="UYF78" s="317"/>
      <c r="UYG78" s="317"/>
      <c r="UYH78" s="317"/>
      <c r="UYI78" s="317"/>
      <c r="UYJ78" s="317"/>
      <c r="UYK78" s="317"/>
      <c r="UYL78" s="317"/>
      <c r="UYM78" s="317"/>
      <c r="UYN78" s="317"/>
      <c r="UYO78" s="317"/>
      <c r="UYP78" s="317"/>
      <c r="UYQ78" s="317"/>
      <c r="UYR78" s="317"/>
      <c r="UYS78" s="317"/>
      <c r="UYT78" s="317"/>
      <c r="UYU78" s="317"/>
      <c r="UYV78" s="317"/>
      <c r="UYW78" s="317"/>
      <c r="UYX78" s="317"/>
      <c r="UYY78" s="317"/>
      <c r="UYZ78" s="317"/>
      <c r="UZA78" s="317"/>
      <c r="UZB78" s="317"/>
      <c r="UZC78" s="317"/>
      <c r="UZD78" s="317"/>
      <c r="UZE78" s="317"/>
      <c r="UZF78" s="317"/>
      <c r="UZG78" s="317"/>
      <c r="UZH78" s="317"/>
      <c r="UZI78" s="317"/>
      <c r="UZJ78" s="317"/>
      <c r="UZK78" s="317"/>
      <c r="UZL78" s="317"/>
      <c r="UZM78" s="317"/>
      <c r="UZN78" s="317"/>
      <c r="UZO78" s="317"/>
      <c r="UZP78" s="317"/>
      <c r="UZQ78" s="317"/>
      <c r="UZR78" s="317"/>
      <c r="UZS78" s="317"/>
      <c r="UZT78" s="317"/>
      <c r="UZU78" s="317"/>
      <c r="UZV78" s="317"/>
      <c r="UZW78" s="317"/>
      <c r="UZX78" s="317"/>
      <c r="UZY78" s="317"/>
      <c r="UZZ78" s="317"/>
      <c r="VAA78" s="317"/>
      <c r="VAB78" s="317"/>
      <c r="VAC78" s="317"/>
      <c r="VAD78" s="317"/>
      <c r="VAE78" s="317"/>
      <c r="VAF78" s="317"/>
      <c r="VAG78" s="317"/>
      <c r="VAH78" s="317"/>
      <c r="VAI78" s="317"/>
      <c r="VAJ78" s="317"/>
      <c r="VAK78" s="317"/>
      <c r="VAL78" s="317"/>
      <c r="VAM78" s="317"/>
      <c r="VAN78" s="317"/>
      <c r="VAO78" s="317"/>
      <c r="VAP78" s="317"/>
      <c r="VAQ78" s="317"/>
      <c r="VAR78" s="317"/>
      <c r="VAS78" s="317"/>
      <c r="VAT78" s="317"/>
      <c r="VAU78" s="317"/>
      <c r="VAV78" s="317"/>
      <c r="VAW78" s="317"/>
      <c r="VAX78" s="317"/>
      <c r="VAY78" s="317"/>
      <c r="VAZ78" s="317"/>
      <c r="VBA78" s="317"/>
      <c r="VBB78" s="317"/>
      <c r="VBC78" s="317"/>
      <c r="VBD78" s="317"/>
      <c r="VBE78" s="317"/>
      <c r="VBF78" s="317"/>
      <c r="VBG78" s="317"/>
      <c r="VBH78" s="317"/>
      <c r="VBI78" s="317"/>
      <c r="VBJ78" s="317"/>
      <c r="VBK78" s="317"/>
      <c r="VBL78" s="317"/>
      <c r="VBM78" s="317"/>
      <c r="VBN78" s="317"/>
      <c r="VBO78" s="317"/>
      <c r="VBP78" s="317"/>
      <c r="VBQ78" s="317"/>
      <c r="VBR78" s="317"/>
      <c r="VBS78" s="317"/>
      <c r="VBT78" s="317"/>
      <c r="VBU78" s="317"/>
      <c r="VBV78" s="317"/>
      <c r="VBW78" s="317"/>
      <c r="VBX78" s="317"/>
      <c r="VBY78" s="317"/>
      <c r="VBZ78" s="317"/>
      <c r="VCA78" s="317"/>
      <c r="VCB78" s="317"/>
      <c r="VCC78" s="317"/>
      <c r="VCD78" s="317"/>
      <c r="VCE78" s="317"/>
      <c r="VCF78" s="317"/>
      <c r="VCG78" s="317"/>
      <c r="VCH78" s="317"/>
      <c r="VCI78" s="317"/>
      <c r="VCJ78" s="317"/>
      <c r="VCK78" s="317"/>
      <c r="VCL78" s="317"/>
      <c r="VCM78" s="317"/>
      <c r="VCN78" s="317"/>
      <c r="VCO78" s="317"/>
      <c r="VCP78" s="317"/>
      <c r="VCQ78" s="317"/>
      <c r="VCR78" s="317"/>
      <c r="VCS78" s="317"/>
      <c r="VCT78" s="317"/>
      <c r="VCU78" s="317"/>
      <c r="VCV78" s="317"/>
      <c r="VCW78" s="317"/>
      <c r="VCX78" s="317"/>
      <c r="VCY78" s="317"/>
      <c r="VCZ78" s="317"/>
      <c r="VDA78" s="317"/>
      <c r="VDB78" s="317"/>
      <c r="VDC78" s="317"/>
      <c r="VDD78" s="317"/>
      <c r="VDE78" s="317"/>
      <c r="VDF78" s="317"/>
      <c r="VDG78" s="317"/>
      <c r="VDH78" s="317"/>
      <c r="VDI78" s="317"/>
      <c r="VDJ78" s="317"/>
      <c r="VDK78" s="317"/>
      <c r="VDL78" s="317"/>
      <c r="VDM78" s="317"/>
      <c r="VDN78" s="317"/>
      <c r="VDO78" s="317"/>
      <c r="VDP78" s="317"/>
      <c r="VDQ78" s="317"/>
      <c r="VDR78" s="317"/>
      <c r="VDS78" s="317"/>
      <c r="VDT78" s="317"/>
      <c r="VDU78" s="317"/>
      <c r="VDV78" s="317"/>
      <c r="VDW78" s="317"/>
      <c r="VDX78" s="317"/>
      <c r="VDY78" s="317"/>
      <c r="VDZ78" s="317"/>
      <c r="VEA78" s="317"/>
      <c r="VEB78" s="317"/>
      <c r="VEC78" s="317"/>
      <c r="VED78" s="317"/>
      <c r="VEE78" s="317"/>
      <c r="VEF78" s="317"/>
      <c r="VEG78" s="317"/>
      <c r="VEH78" s="317"/>
      <c r="VEI78" s="317"/>
      <c r="VEJ78" s="317"/>
      <c r="VEK78" s="317"/>
      <c r="VEL78" s="317"/>
      <c r="VEM78" s="317"/>
      <c r="VEN78" s="317"/>
      <c r="VEO78" s="317"/>
      <c r="VEP78" s="317"/>
      <c r="VEQ78" s="317"/>
      <c r="VER78" s="317"/>
      <c r="VES78" s="317"/>
      <c r="VET78" s="317"/>
      <c r="VEU78" s="317"/>
      <c r="VEV78" s="317"/>
      <c r="VEW78" s="317"/>
      <c r="VEX78" s="317"/>
      <c r="VEY78" s="317"/>
      <c r="VEZ78" s="317"/>
      <c r="VFA78" s="317"/>
      <c r="VFB78" s="317"/>
      <c r="VFC78" s="317"/>
      <c r="VFD78" s="317"/>
      <c r="VFE78" s="317"/>
      <c r="VFF78" s="317"/>
      <c r="VFG78" s="317"/>
      <c r="VFH78" s="317"/>
      <c r="VFI78" s="317"/>
      <c r="VFJ78" s="317"/>
      <c r="VFK78" s="317"/>
      <c r="VFL78" s="317"/>
      <c r="VFM78" s="317"/>
      <c r="VFN78" s="317"/>
      <c r="VFO78" s="317"/>
      <c r="VFP78" s="317"/>
      <c r="VFQ78" s="317"/>
      <c r="VFR78" s="317"/>
      <c r="VFS78" s="317"/>
      <c r="VFT78" s="317"/>
      <c r="VFU78" s="317"/>
      <c r="VFV78" s="317"/>
      <c r="VFW78" s="317"/>
      <c r="VFX78" s="317"/>
      <c r="VFY78" s="317"/>
      <c r="VFZ78" s="317"/>
      <c r="VGA78" s="317"/>
      <c r="VGB78" s="317"/>
      <c r="VGC78" s="317"/>
      <c r="VGD78" s="317"/>
      <c r="VGE78" s="317"/>
      <c r="VGF78" s="317"/>
      <c r="VGG78" s="317"/>
      <c r="VGH78" s="317"/>
      <c r="VGI78" s="317"/>
      <c r="VGJ78" s="317"/>
      <c r="VGK78" s="317"/>
      <c r="VGL78" s="317"/>
      <c r="VGM78" s="317"/>
      <c r="VGN78" s="317"/>
      <c r="VGO78" s="317"/>
      <c r="VGP78" s="317"/>
      <c r="VGQ78" s="317"/>
      <c r="VGR78" s="317"/>
      <c r="VGS78" s="317"/>
      <c r="VGT78" s="317"/>
      <c r="VGU78" s="317"/>
      <c r="VGV78" s="317"/>
      <c r="VGW78" s="317"/>
      <c r="VGX78" s="317"/>
      <c r="VGY78" s="317"/>
      <c r="VGZ78" s="317"/>
      <c r="VHA78" s="317"/>
      <c r="VHB78" s="317"/>
      <c r="VHC78" s="317"/>
      <c r="VHD78" s="317"/>
      <c r="VHE78" s="317"/>
      <c r="VHF78" s="317"/>
      <c r="VHG78" s="317"/>
      <c r="VHH78" s="317"/>
      <c r="VHI78" s="317"/>
      <c r="VHJ78" s="317"/>
      <c r="VHK78" s="317"/>
      <c r="VHL78" s="317"/>
      <c r="VHM78" s="317"/>
      <c r="VHN78" s="317"/>
      <c r="VHO78" s="317"/>
      <c r="VHP78" s="317"/>
      <c r="VHQ78" s="317"/>
      <c r="VHR78" s="317"/>
      <c r="VHS78" s="317"/>
      <c r="VHT78" s="317"/>
      <c r="VHU78" s="317"/>
      <c r="VHV78" s="317"/>
      <c r="VHW78" s="317"/>
      <c r="VHX78" s="317"/>
      <c r="VHY78" s="317"/>
      <c r="VHZ78" s="317"/>
      <c r="VIA78" s="317"/>
      <c r="VIB78" s="317"/>
      <c r="VIC78" s="317"/>
      <c r="VID78" s="317"/>
      <c r="VIE78" s="317"/>
      <c r="VIF78" s="317"/>
      <c r="VIG78" s="317"/>
      <c r="VIH78" s="317"/>
      <c r="VII78" s="317"/>
      <c r="VIJ78" s="317"/>
      <c r="VIK78" s="317"/>
      <c r="VIL78" s="317"/>
      <c r="VIM78" s="317"/>
      <c r="VIN78" s="317"/>
      <c r="VIO78" s="317"/>
      <c r="VIP78" s="317"/>
      <c r="VIQ78" s="317"/>
      <c r="VIR78" s="317"/>
      <c r="VIS78" s="317"/>
      <c r="VIT78" s="317"/>
      <c r="VIU78" s="317"/>
      <c r="VIV78" s="317"/>
      <c r="VIW78" s="317"/>
      <c r="VIX78" s="317"/>
      <c r="VIY78" s="317"/>
      <c r="VIZ78" s="317"/>
      <c r="VJA78" s="317"/>
      <c r="VJB78" s="317"/>
      <c r="VJC78" s="317"/>
      <c r="VJD78" s="317"/>
      <c r="VJE78" s="317"/>
      <c r="VJF78" s="317"/>
      <c r="VJG78" s="317"/>
      <c r="VJH78" s="317"/>
      <c r="VJI78" s="317"/>
      <c r="VJJ78" s="317"/>
      <c r="VJK78" s="317"/>
      <c r="VJL78" s="317"/>
      <c r="VJM78" s="317"/>
      <c r="VJN78" s="317"/>
      <c r="VJO78" s="317"/>
      <c r="VJP78" s="317"/>
      <c r="VJQ78" s="317"/>
      <c r="VJR78" s="317"/>
      <c r="VJS78" s="317"/>
      <c r="VJT78" s="317"/>
      <c r="VJU78" s="317"/>
      <c r="VJV78" s="317"/>
      <c r="VJW78" s="317"/>
      <c r="VJX78" s="317"/>
      <c r="VJY78" s="317"/>
      <c r="VJZ78" s="317"/>
      <c r="VKA78" s="317"/>
      <c r="VKB78" s="317"/>
      <c r="VKC78" s="317"/>
      <c r="VKD78" s="317"/>
      <c r="VKE78" s="317"/>
      <c r="VKF78" s="317"/>
      <c r="VKG78" s="317"/>
      <c r="VKH78" s="317"/>
      <c r="VKI78" s="317"/>
      <c r="VKJ78" s="317"/>
      <c r="VKK78" s="317"/>
      <c r="VKL78" s="317"/>
      <c r="VKM78" s="317"/>
      <c r="VKN78" s="317"/>
      <c r="VKO78" s="317"/>
      <c r="VKP78" s="317"/>
      <c r="VKQ78" s="317"/>
      <c r="VKR78" s="317"/>
      <c r="VKS78" s="317"/>
      <c r="VKT78" s="317"/>
      <c r="VKU78" s="317"/>
      <c r="VKV78" s="317"/>
      <c r="VKW78" s="317"/>
      <c r="VKX78" s="317"/>
      <c r="VKY78" s="317"/>
      <c r="VKZ78" s="317"/>
      <c r="VLA78" s="317"/>
      <c r="VLB78" s="317"/>
      <c r="VLC78" s="317"/>
      <c r="VLD78" s="317"/>
      <c r="VLE78" s="317"/>
      <c r="VLF78" s="317"/>
      <c r="VLG78" s="317"/>
      <c r="VLH78" s="317"/>
      <c r="VLI78" s="317"/>
      <c r="VLJ78" s="317"/>
      <c r="VLK78" s="317"/>
      <c r="VLL78" s="317"/>
      <c r="VLM78" s="317"/>
      <c r="VLN78" s="317"/>
      <c r="VLO78" s="317"/>
      <c r="VLP78" s="317"/>
      <c r="VLQ78" s="317"/>
      <c r="VLR78" s="317"/>
      <c r="VLS78" s="317"/>
      <c r="VLT78" s="317"/>
      <c r="VLU78" s="317"/>
      <c r="VLV78" s="317"/>
      <c r="VLW78" s="317"/>
      <c r="VLX78" s="317"/>
      <c r="VLY78" s="317"/>
      <c r="VLZ78" s="317"/>
      <c r="VMA78" s="317"/>
      <c r="VMB78" s="317"/>
      <c r="VMC78" s="317"/>
      <c r="VMD78" s="317"/>
      <c r="VME78" s="317"/>
      <c r="VMF78" s="317"/>
      <c r="VMG78" s="317"/>
      <c r="VMH78" s="317"/>
      <c r="VMI78" s="317"/>
      <c r="VMJ78" s="317"/>
      <c r="VMK78" s="317"/>
      <c r="VML78" s="317"/>
      <c r="VMM78" s="317"/>
      <c r="VMN78" s="317"/>
      <c r="VMO78" s="317"/>
      <c r="VMP78" s="317"/>
      <c r="VMQ78" s="317"/>
      <c r="VMR78" s="317"/>
      <c r="VMS78" s="317"/>
      <c r="VMT78" s="317"/>
      <c r="VMU78" s="317"/>
      <c r="VMV78" s="317"/>
      <c r="VMW78" s="317"/>
      <c r="VMX78" s="317"/>
      <c r="VMY78" s="317"/>
      <c r="VMZ78" s="317"/>
      <c r="VNA78" s="317"/>
      <c r="VNB78" s="317"/>
      <c r="VNC78" s="317"/>
      <c r="VND78" s="317"/>
      <c r="VNE78" s="317"/>
      <c r="VNF78" s="317"/>
      <c r="VNG78" s="317"/>
      <c r="VNH78" s="317"/>
      <c r="VNI78" s="317"/>
      <c r="VNJ78" s="317"/>
      <c r="VNK78" s="317"/>
      <c r="VNL78" s="317"/>
      <c r="VNM78" s="317"/>
      <c r="VNN78" s="317"/>
      <c r="VNO78" s="317"/>
      <c r="VNP78" s="317"/>
      <c r="VNQ78" s="317"/>
      <c r="VNR78" s="317"/>
      <c r="VNS78" s="317"/>
      <c r="VNT78" s="317"/>
      <c r="VNU78" s="317"/>
      <c r="VNV78" s="317"/>
      <c r="VNW78" s="317"/>
      <c r="VNX78" s="317"/>
      <c r="VNY78" s="317"/>
      <c r="VNZ78" s="317"/>
      <c r="VOA78" s="317"/>
      <c r="VOB78" s="317"/>
      <c r="VOC78" s="317"/>
      <c r="VOD78" s="317"/>
      <c r="VOE78" s="317"/>
      <c r="VOF78" s="317"/>
      <c r="VOG78" s="317"/>
      <c r="VOH78" s="317"/>
      <c r="VOI78" s="317"/>
      <c r="VOJ78" s="317"/>
      <c r="VOK78" s="317"/>
      <c r="VOL78" s="317"/>
      <c r="VOM78" s="317"/>
      <c r="VON78" s="317"/>
      <c r="VOO78" s="317"/>
      <c r="VOP78" s="317"/>
      <c r="VOQ78" s="317"/>
      <c r="VOR78" s="317"/>
      <c r="VOS78" s="317"/>
      <c r="VOT78" s="317"/>
      <c r="VOU78" s="317"/>
      <c r="VOV78" s="317"/>
      <c r="VOW78" s="317"/>
      <c r="VOX78" s="317"/>
      <c r="VOY78" s="317"/>
      <c r="VOZ78" s="317"/>
      <c r="VPA78" s="317"/>
      <c r="VPB78" s="317"/>
      <c r="VPC78" s="317"/>
      <c r="VPD78" s="317"/>
      <c r="VPE78" s="317"/>
      <c r="VPF78" s="317"/>
      <c r="VPG78" s="317"/>
      <c r="VPH78" s="317"/>
      <c r="VPI78" s="317"/>
      <c r="VPJ78" s="317"/>
      <c r="VPK78" s="317"/>
      <c r="VPL78" s="317"/>
      <c r="VPM78" s="317"/>
      <c r="VPN78" s="317"/>
      <c r="VPO78" s="317"/>
      <c r="VPP78" s="317"/>
      <c r="VPQ78" s="317"/>
      <c r="VPR78" s="317"/>
      <c r="VPS78" s="317"/>
      <c r="VPT78" s="317"/>
      <c r="VPU78" s="317"/>
      <c r="VPV78" s="317"/>
      <c r="VPW78" s="317"/>
      <c r="VPX78" s="317"/>
      <c r="VPY78" s="317"/>
      <c r="VPZ78" s="317"/>
      <c r="VQA78" s="317"/>
      <c r="VQB78" s="317"/>
      <c r="VQC78" s="317"/>
      <c r="VQD78" s="317"/>
      <c r="VQE78" s="317"/>
      <c r="VQF78" s="317"/>
      <c r="VQG78" s="317"/>
      <c r="VQH78" s="317"/>
      <c r="VQI78" s="317"/>
      <c r="VQJ78" s="317"/>
      <c r="VQK78" s="317"/>
      <c r="VQL78" s="317"/>
      <c r="VQM78" s="317"/>
      <c r="VQN78" s="317"/>
      <c r="VQO78" s="317"/>
      <c r="VQP78" s="317"/>
      <c r="VQQ78" s="317"/>
      <c r="VQR78" s="317"/>
      <c r="VQS78" s="317"/>
      <c r="VQT78" s="317"/>
      <c r="VQU78" s="317"/>
      <c r="VQV78" s="317"/>
      <c r="VQW78" s="317"/>
      <c r="VQX78" s="317"/>
      <c r="VQY78" s="317"/>
      <c r="VQZ78" s="317"/>
      <c r="VRA78" s="317"/>
      <c r="VRB78" s="317"/>
      <c r="VRC78" s="317"/>
      <c r="VRD78" s="317"/>
      <c r="VRE78" s="317"/>
      <c r="VRF78" s="317"/>
      <c r="VRG78" s="317"/>
      <c r="VRH78" s="317"/>
      <c r="VRI78" s="317"/>
      <c r="VRJ78" s="317"/>
      <c r="VRK78" s="317"/>
      <c r="VRL78" s="317"/>
      <c r="VRM78" s="317"/>
      <c r="VRN78" s="317"/>
      <c r="VRO78" s="317"/>
      <c r="VRP78" s="317"/>
      <c r="VRQ78" s="317"/>
      <c r="VRR78" s="317"/>
      <c r="VRS78" s="317"/>
      <c r="VRT78" s="317"/>
      <c r="VRU78" s="317"/>
      <c r="VRV78" s="317"/>
      <c r="VRW78" s="317"/>
      <c r="VRX78" s="317"/>
      <c r="VRY78" s="317"/>
      <c r="VRZ78" s="317"/>
      <c r="VSA78" s="317"/>
      <c r="VSB78" s="317"/>
      <c r="VSC78" s="317"/>
      <c r="VSD78" s="317"/>
      <c r="VSE78" s="317"/>
      <c r="VSF78" s="317"/>
      <c r="VSG78" s="317"/>
      <c r="VSH78" s="317"/>
      <c r="VSI78" s="317"/>
      <c r="VSJ78" s="317"/>
      <c r="VSK78" s="317"/>
      <c r="VSL78" s="317"/>
      <c r="VSM78" s="317"/>
      <c r="VSN78" s="317"/>
      <c r="VSO78" s="317"/>
      <c r="VSP78" s="317"/>
      <c r="VSQ78" s="317"/>
      <c r="VSR78" s="317"/>
      <c r="VSS78" s="317"/>
      <c r="VST78" s="317"/>
      <c r="VSU78" s="317"/>
      <c r="VSV78" s="317"/>
      <c r="VSW78" s="317"/>
      <c r="VSX78" s="317"/>
      <c r="VSY78" s="317"/>
      <c r="VSZ78" s="317"/>
      <c r="VTA78" s="317"/>
      <c r="VTB78" s="317"/>
      <c r="VTC78" s="317"/>
      <c r="VTD78" s="317"/>
      <c r="VTE78" s="317"/>
      <c r="VTF78" s="317"/>
      <c r="VTG78" s="317"/>
      <c r="VTH78" s="317"/>
      <c r="VTI78" s="317"/>
      <c r="VTJ78" s="317"/>
      <c r="VTK78" s="317"/>
      <c r="VTL78" s="317"/>
      <c r="VTM78" s="317"/>
      <c r="VTN78" s="317"/>
      <c r="VTO78" s="317"/>
      <c r="VTP78" s="317"/>
      <c r="VTQ78" s="317"/>
      <c r="VTR78" s="317"/>
      <c r="VTS78" s="317"/>
      <c r="VTT78" s="317"/>
      <c r="VTU78" s="317"/>
      <c r="VTV78" s="317"/>
      <c r="VTW78" s="317"/>
      <c r="VTX78" s="317"/>
      <c r="VTY78" s="317"/>
      <c r="VTZ78" s="317"/>
      <c r="VUA78" s="317"/>
      <c r="VUB78" s="317"/>
      <c r="VUC78" s="317"/>
      <c r="VUD78" s="317"/>
      <c r="VUE78" s="317"/>
      <c r="VUF78" s="317"/>
      <c r="VUG78" s="317"/>
      <c r="VUH78" s="317"/>
      <c r="VUI78" s="317"/>
      <c r="VUJ78" s="317"/>
      <c r="VUK78" s="317"/>
      <c r="VUL78" s="317"/>
      <c r="VUM78" s="317"/>
      <c r="VUN78" s="317"/>
      <c r="VUO78" s="317"/>
      <c r="VUP78" s="317"/>
      <c r="VUQ78" s="317"/>
      <c r="VUR78" s="317"/>
      <c r="VUS78" s="317"/>
      <c r="VUT78" s="317"/>
      <c r="VUU78" s="317"/>
      <c r="VUV78" s="317"/>
      <c r="VUW78" s="317"/>
      <c r="VUX78" s="317"/>
      <c r="VUY78" s="317"/>
      <c r="VUZ78" s="317"/>
      <c r="VVA78" s="317"/>
      <c r="VVB78" s="317"/>
      <c r="VVC78" s="317"/>
      <c r="VVD78" s="317"/>
      <c r="VVE78" s="317"/>
      <c r="VVF78" s="317"/>
      <c r="VVG78" s="317"/>
      <c r="VVH78" s="317"/>
      <c r="VVI78" s="317"/>
      <c r="VVJ78" s="317"/>
      <c r="VVK78" s="317"/>
      <c r="VVL78" s="317"/>
      <c r="VVM78" s="317"/>
      <c r="VVN78" s="317"/>
      <c r="VVO78" s="317"/>
      <c r="VVP78" s="317"/>
      <c r="VVQ78" s="317"/>
      <c r="VVR78" s="317"/>
      <c r="VVS78" s="317"/>
      <c r="VVT78" s="317"/>
      <c r="VVU78" s="317"/>
      <c r="VVV78" s="317"/>
      <c r="VVW78" s="317"/>
      <c r="VVX78" s="317"/>
      <c r="VVY78" s="317"/>
      <c r="VVZ78" s="317"/>
      <c r="VWA78" s="317"/>
      <c r="VWB78" s="317"/>
      <c r="VWC78" s="317"/>
      <c r="VWD78" s="317"/>
      <c r="VWE78" s="317"/>
      <c r="VWF78" s="317"/>
      <c r="VWG78" s="317"/>
      <c r="VWH78" s="317"/>
      <c r="VWI78" s="317"/>
      <c r="VWJ78" s="317"/>
      <c r="VWK78" s="317"/>
      <c r="VWL78" s="317"/>
      <c r="VWM78" s="317"/>
      <c r="VWN78" s="317"/>
      <c r="VWO78" s="317"/>
      <c r="VWP78" s="317"/>
      <c r="VWQ78" s="317"/>
      <c r="VWR78" s="317"/>
      <c r="VWS78" s="317"/>
      <c r="VWT78" s="317"/>
      <c r="VWU78" s="317"/>
      <c r="VWV78" s="317"/>
      <c r="VWW78" s="317"/>
      <c r="VWX78" s="317"/>
      <c r="VWY78" s="317"/>
      <c r="VWZ78" s="317"/>
      <c r="VXA78" s="317"/>
      <c r="VXB78" s="317"/>
      <c r="VXC78" s="317"/>
      <c r="VXD78" s="317"/>
      <c r="VXE78" s="317"/>
      <c r="VXF78" s="317"/>
      <c r="VXG78" s="317"/>
      <c r="VXH78" s="317"/>
      <c r="VXI78" s="317"/>
      <c r="VXJ78" s="317"/>
      <c r="VXK78" s="317"/>
      <c r="VXL78" s="317"/>
      <c r="VXM78" s="317"/>
      <c r="VXN78" s="317"/>
      <c r="VXO78" s="317"/>
      <c r="VXP78" s="317"/>
      <c r="VXQ78" s="317"/>
      <c r="VXR78" s="317"/>
      <c r="VXS78" s="317"/>
      <c r="VXT78" s="317"/>
      <c r="VXU78" s="317"/>
      <c r="VXV78" s="317"/>
      <c r="VXW78" s="317"/>
      <c r="VXX78" s="317"/>
      <c r="VXY78" s="317"/>
      <c r="VXZ78" s="317"/>
      <c r="VYA78" s="317"/>
      <c r="VYB78" s="317"/>
      <c r="VYC78" s="317"/>
      <c r="VYD78" s="317"/>
      <c r="VYE78" s="317"/>
      <c r="VYF78" s="317"/>
      <c r="VYG78" s="317"/>
      <c r="VYH78" s="317"/>
      <c r="VYI78" s="317"/>
      <c r="VYJ78" s="317"/>
      <c r="VYK78" s="317"/>
      <c r="VYL78" s="317"/>
      <c r="VYM78" s="317"/>
      <c r="VYN78" s="317"/>
      <c r="VYO78" s="317"/>
      <c r="VYP78" s="317"/>
      <c r="VYQ78" s="317"/>
      <c r="VYR78" s="317"/>
      <c r="VYS78" s="317"/>
      <c r="VYT78" s="317"/>
      <c r="VYU78" s="317"/>
      <c r="VYV78" s="317"/>
      <c r="VYW78" s="317"/>
      <c r="VYX78" s="317"/>
      <c r="VYY78" s="317"/>
      <c r="VYZ78" s="317"/>
      <c r="VZA78" s="317"/>
      <c r="VZB78" s="317"/>
      <c r="VZC78" s="317"/>
      <c r="VZD78" s="317"/>
      <c r="VZE78" s="317"/>
      <c r="VZF78" s="317"/>
      <c r="VZG78" s="317"/>
      <c r="VZH78" s="317"/>
      <c r="VZI78" s="317"/>
      <c r="VZJ78" s="317"/>
      <c r="VZK78" s="317"/>
      <c r="VZL78" s="317"/>
      <c r="VZM78" s="317"/>
      <c r="VZN78" s="317"/>
      <c r="VZO78" s="317"/>
      <c r="VZP78" s="317"/>
      <c r="VZQ78" s="317"/>
      <c r="VZR78" s="317"/>
      <c r="VZS78" s="317"/>
      <c r="VZT78" s="317"/>
      <c r="VZU78" s="317"/>
      <c r="VZV78" s="317"/>
      <c r="VZW78" s="317"/>
      <c r="VZX78" s="317"/>
      <c r="VZY78" s="317"/>
      <c r="VZZ78" s="317"/>
      <c r="WAA78" s="317"/>
      <c r="WAB78" s="317"/>
      <c r="WAC78" s="317"/>
      <c r="WAD78" s="317"/>
      <c r="WAE78" s="317"/>
      <c r="WAF78" s="317"/>
      <c r="WAG78" s="317"/>
      <c r="WAH78" s="317"/>
      <c r="WAI78" s="317"/>
      <c r="WAJ78" s="317"/>
      <c r="WAK78" s="317"/>
      <c r="WAL78" s="317"/>
      <c r="WAM78" s="317"/>
      <c r="WAN78" s="317"/>
      <c r="WAO78" s="317"/>
      <c r="WAP78" s="317"/>
      <c r="WAQ78" s="317"/>
      <c r="WAR78" s="317"/>
      <c r="WAS78" s="317"/>
      <c r="WAT78" s="317"/>
      <c r="WAU78" s="317"/>
      <c r="WAV78" s="317"/>
      <c r="WAW78" s="317"/>
      <c r="WAX78" s="317"/>
      <c r="WAY78" s="317"/>
      <c r="WAZ78" s="317"/>
      <c r="WBA78" s="317"/>
      <c r="WBB78" s="317"/>
      <c r="WBC78" s="317"/>
      <c r="WBD78" s="317"/>
      <c r="WBE78" s="317"/>
      <c r="WBF78" s="317"/>
      <c r="WBG78" s="317"/>
      <c r="WBH78" s="317"/>
      <c r="WBI78" s="317"/>
      <c r="WBJ78" s="317"/>
      <c r="WBK78" s="317"/>
      <c r="WBL78" s="317"/>
      <c r="WBM78" s="317"/>
      <c r="WBN78" s="317"/>
      <c r="WBO78" s="317"/>
      <c r="WBP78" s="317"/>
      <c r="WBQ78" s="317"/>
      <c r="WBR78" s="317"/>
      <c r="WBS78" s="317"/>
      <c r="WBT78" s="317"/>
      <c r="WBU78" s="317"/>
      <c r="WBV78" s="317"/>
      <c r="WBW78" s="317"/>
      <c r="WBX78" s="317"/>
      <c r="WBY78" s="317"/>
      <c r="WBZ78" s="317"/>
      <c r="WCA78" s="317"/>
      <c r="WCB78" s="317"/>
      <c r="WCC78" s="317"/>
      <c r="WCD78" s="317"/>
      <c r="WCE78" s="317"/>
      <c r="WCF78" s="317"/>
      <c r="WCG78" s="317"/>
      <c r="WCH78" s="317"/>
      <c r="WCI78" s="317"/>
      <c r="WCJ78" s="317"/>
      <c r="WCK78" s="317"/>
      <c r="WCL78" s="317"/>
      <c r="WCM78" s="317"/>
      <c r="WCN78" s="317"/>
      <c r="WCO78" s="317"/>
      <c r="WCP78" s="317"/>
      <c r="WCQ78" s="317"/>
      <c r="WCR78" s="317"/>
      <c r="WCS78" s="317"/>
      <c r="WCT78" s="317"/>
      <c r="WCU78" s="317"/>
      <c r="WCV78" s="317"/>
      <c r="WCW78" s="317"/>
      <c r="WCX78" s="317"/>
      <c r="WCY78" s="317"/>
      <c r="WCZ78" s="317"/>
      <c r="WDA78" s="317"/>
      <c r="WDB78" s="317"/>
      <c r="WDC78" s="317"/>
      <c r="WDD78" s="317"/>
      <c r="WDE78" s="317"/>
      <c r="WDF78" s="317"/>
      <c r="WDG78" s="317"/>
      <c r="WDH78" s="317"/>
      <c r="WDI78" s="317"/>
      <c r="WDJ78" s="317"/>
      <c r="WDK78" s="317"/>
      <c r="WDL78" s="317"/>
      <c r="WDM78" s="317"/>
      <c r="WDN78" s="317"/>
      <c r="WDO78" s="317"/>
      <c r="WDP78" s="317"/>
      <c r="WDQ78" s="317"/>
      <c r="WDR78" s="317"/>
      <c r="WDS78" s="317"/>
      <c r="WDT78" s="317"/>
      <c r="WDU78" s="317"/>
      <c r="WDV78" s="317"/>
      <c r="WDW78" s="317"/>
      <c r="WDX78" s="317"/>
      <c r="WDY78" s="317"/>
      <c r="WDZ78" s="317"/>
      <c r="WEA78" s="317"/>
      <c r="WEB78" s="317"/>
      <c r="WEC78" s="317"/>
      <c r="WED78" s="317"/>
      <c r="WEE78" s="317"/>
      <c r="WEF78" s="317"/>
      <c r="WEG78" s="317"/>
      <c r="WEH78" s="317"/>
      <c r="WEI78" s="317"/>
      <c r="WEJ78" s="317"/>
      <c r="WEK78" s="317"/>
      <c r="WEL78" s="317"/>
      <c r="WEM78" s="317"/>
      <c r="WEN78" s="317"/>
      <c r="WEO78" s="317"/>
      <c r="WEP78" s="317"/>
      <c r="WEQ78" s="317"/>
      <c r="WER78" s="317"/>
      <c r="WES78" s="317"/>
      <c r="WET78" s="317"/>
      <c r="WEU78" s="317"/>
      <c r="WEV78" s="317"/>
      <c r="WEW78" s="317"/>
      <c r="WEX78" s="317"/>
      <c r="WEY78" s="317"/>
      <c r="WEZ78" s="317"/>
      <c r="WFA78" s="317"/>
      <c r="WFB78" s="317"/>
      <c r="WFC78" s="317"/>
      <c r="WFD78" s="317"/>
      <c r="WFE78" s="317"/>
      <c r="WFF78" s="317"/>
      <c r="WFG78" s="317"/>
      <c r="WFH78" s="317"/>
      <c r="WFI78" s="317"/>
      <c r="WFJ78" s="317"/>
      <c r="WFK78" s="317"/>
      <c r="WFL78" s="317"/>
      <c r="WFM78" s="317"/>
      <c r="WFN78" s="317"/>
      <c r="WFO78" s="317"/>
      <c r="WFP78" s="317"/>
      <c r="WFQ78" s="317"/>
      <c r="WFR78" s="317"/>
      <c r="WFS78" s="317"/>
      <c r="WFT78" s="317"/>
      <c r="WFU78" s="317"/>
      <c r="WFV78" s="317"/>
      <c r="WFW78" s="317"/>
      <c r="WFX78" s="317"/>
      <c r="WFY78" s="317"/>
      <c r="WFZ78" s="317"/>
      <c r="WGA78" s="317"/>
      <c r="WGB78" s="317"/>
      <c r="WGC78" s="317"/>
      <c r="WGD78" s="317"/>
      <c r="WGE78" s="317"/>
      <c r="WGF78" s="317"/>
      <c r="WGG78" s="317"/>
      <c r="WGH78" s="317"/>
      <c r="WGI78" s="317"/>
      <c r="WGJ78" s="317"/>
      <c r="WGK78" s="317"/>
      <c r="WGL78" s="317"/>
      <c r="WGM78" s="317"/>
      <c r="WGN78" s="317"/>
      <c r="WGO78" s="317"/>
      <c r="WGP78" s="317"/>
      <c r="WGQ78" s="317"/>
      <c r="WGR78" s="317"/>
      <c r="WGS78" s="317"/>
      <c r="WGT78" s="317"/>
      <c r="WGU78" s="317"/>
      <c r="WGV78" s="317"/>
      <c r="WGW78" s="317"/>
      <c r="WGX78" s="317"/>
      <c r="WGY78" s="317"/>
      <c r="WGZ78" s="317"/>
      <c r="WHA78" s="317"/>
      <c r="WHB78" s="317"/>
      <c r="WHC78" s="317"/>
      <c r="WHD78" s="317"/>
      <c r="WHE78" s="317"/>
      <c r="WHF78" s="317"/>
      <c r="WHG78" s="317"/>
      <c r="WHH78" s="317"/>
      <c r="WHI78" s="317"/>
      <c r="WHJ78" s="317"/>
      <c r="WHK78" s="317"/>
      <c r="WHL78" s="317"/>
      <c r="WHM78" s="317"/>
      <c r="WHN78" s="317"/>
      <c r="WHO78" s="317"/>
      <c r="WHP78" s="317"/>
      <c r="WHQ78" s="317"/>
      <c r="WHR78" s="317"/>
      <c r="WHS78" s="317"/>
      <c r="WHT78" s="317"/>
      <c r="WHU78" s="317"/>
      <c r="WHV78" s="317"/>
      <c r="WHW78" s="317"/>
      <c r="WHX78" s="317"/>
      <c r="WHY78" s="317"/>
      <c r="WHZ78" s="317"/>
      <c r="WIA78" s="317"/>
      <c r="WIB78" s="317"/>
      <c r="WIC78" s="317"/>
      <c r="WID78" s="317"/>
      <c r="WIE78" s="317"/>
      <c r="WIF78" s="317"/>
      <c r="WIG78" s="317"/>
      <c r="WIH78" s="317"/>
      <c r="WII78" s="317"/>
      <c r="WIJ78" s="317"/>
      <c r="WIK78" s="317"/>
      <c r="WIL78" s="317"/>
      <c r="WIM78" s="317"/>
      <c r="WIN78" s="317"/>
      <c r="WIO78" s="317"/>
      <c r="WIP78" s="317"/>
      <c r="WIQ78" s="317"/>
      <c r="WIR78" s="317"/>
      <c r="WIS78" s="317"/>
      <c r="WIT78" s="317"/>
      <c r="WIU78" s="317"/>
      <c r="WIV78" s="317"/>
      <c r="WIW78" s="317"/>
      <c r="WIX78" s="317"/>
      <c r="WIY78" s="317"/>
      <c r="WIZ78" s="317"/>
      <c r="WJA78" s="317"/>
      <c r="WJB78" s="317"/>
      <c r="WJC78" s="317"/>
      <c r="WJD78" s="317"/>
      <c r="WJE78" s="317"/>
      <c r="WJF78" s="317"/>
      <c r="WJG78" s="317"/>
      <c r="WJH78" s="317"/>
      <c r="WJI78" s="317"/>
      <c r="WJJ78" s="317"/>
      <c r="WJK78" s="317"/>
      <c r="WJL78" s="317"/>
      <c r="WJM78" s="317"/>
      <c r="WJN78" s="317"/>
      <c r="WJO78" s="317"/>
      <c r="WJP78" s="317"/>
      <c r="WJQ78" s="317"/>
      <c r="WJR78" s="317"/>
      <c r="WJS78" s="317"/>
      <c r="WJT78" s="317"/>
      <c r="WJU78" s="317"/>
      <c r="WJV78" s="317"/>
      <c r="WJW78" s="317"/>
      <c r="WJX78" s="317"/>
      <c r="WJY78" s="317"/>
      <c r="WJZ78" s="317"/>
      <c r="WKA78" s="317"/>
      <c r="WKB78" s="317"/>
      <c r="WKC78" s="317"/>
      <c r="WKD78" s="317"/>
      <c r="WKE78" s="317"/>
      <c r="WKF78" s="317"/>
      <c r="WKG78" s="317"/>
      <c r="WKH78" s="317"/>
      <c r="WKI78" s="317"/>
      <c r="WKJ78" s="317"/>
      <c r="WKK78" s="317"/>
      <c r="WKL78" s="317"/>
      <c r="WKM78" s="317"/>
      <c r="WKN78" s="317"/>
      <c r="WKO78" s="317"/>
      <c r="WKP78" s="317"/>
      <c r="WKQ78" s="317"/>
      <c r="WKR78" s="317"/>
      <c r="WKS78" s="317"/>
      <c r="WKT78" s="317"/>
      <c r="WKU78" s="317"/>
      <c r="WKV78" s="317"/>
      <c r="WKW78" s="317"/>
      <c r="WKX78" s="317"/>
      <c r="WKY78" s="317"/>
      <c r="WKZ78" s="317"/>
      <c r="WLA78" s="317"/>
      <c r="WLB78" s="317"/>
      <c r="WLC78" s="317"/>
      <c r="WLD78" s="317"/>
      <c r="WLE78" s="317"/>
      <c r="WLF78" s="317"/>
      <c r="WLG78" s="317"/>
      <c r="WLH78" s="317"/>
      <c r="WLI78" s="317"/>
      <c r="WLJ78" s="317"/>
      <c r="WLK78" s="317"/>
      <c r="WLL78" s="317"/>
      <c r="WLM78" s="317"/>
      <c r="WLN78" s="317"/>
      <c r="WLO78" s="317"/>
      <c r="WLP78" s="317"/>
      <c r="WLQ78" s="317"/>
      <c r="WLR78" s="317"/>
      <c r="WLS78" s="317"/>
      <c r="WLT78" s="317"/>
      <c r="WLU78" s="317"/>
      <c r="WLV78" s="317"/>
      <c r="WLW78" s="317"/>
      <c r="WLX78" s="317"/>
      <c r="WLY78" s="317"/>
      <c r="WLZ78" s="317"/>
      <c r="WMA78" s="317"/>
      <c r="WMB78" s="317"/>
      <c r="WMC78" s="317"/>
      <c r="WMD78" s="317"/>
      <c r="WME78" s="317"/>
      <c r="WMF78" s="317"/>
      <c r="WMG78" s="317"/>
      <c r="WMH78" s="317"/>
      <c r="WMI78" s="317"/>
      <c r="WMJ78" s="317"/>
      <c r="WMK78" s="317"/>
      <c r="WML78" s="317"/>
      <c r="WMM78" s="317"/>
      <c r="WMN78" s="317"/>
      <c r="WMO78" s="317"/>
      <c r="WMP78" s="317"/>
      <c r="WMQ78" s="317"/>
      <c r="WMR78" s="317"/>
      <c r="WMS78" s="317"/>
      <c r="WMT78" s="317"/>
      <c r="WMU78" s="317"/>
      <c r="WMV78" s="317"/>
      <c r="WMW78" s="317"/>
      <c r="WMX78" s="317"/>
      <c r="WMY78" s="317"/>
      <c r="WMZ78" s="317"/>
      <c r="WNA78" s="317"/>
      <c r="WNB78" s="317"/>
      <c r="WNC78" s="317"/>
      <c r="WND78" s="317"/>
      <c r="WNE78" s="317"/>
      <c r="WNF78" s="317"/>
      <c r="WNG78" s="317"/>
      <c r="WNH78" s="317"/>
      <c r="WNI78" s="317"/>
      <c r="WNJ78" s="317"/>
      <c r="WNK78" s="317"/>
      <c r="WNL78" s="317"/>
      <c r="WNM78" s="317"/>
      <c r="WNN78" s="317"/>
      <c r="WNO78" s="317"/>
      <c r="WNP78" s="317"/>
      <c r="WNQ78" s="317"/>
      <c r="WNR78" s="317"/>
      <c r="WNS78" s="317"/>
      <c r="WNT78" s="317"/>
      <c r="WNU78" s="317"/>
      <c r="WNV78" s="317"/>
      <c r="WNW78" s="317"/>
      <c r="WNX78" s="317"/>
      <c r="WNY78" s="317"/>
      <c r="WNZ78" s="317"/>
      <c r="WOA78" s="317"/>
      <c r="WOB78" s="317"/>
      <c r="WOC78" s="317"/>
      <c r="WOD78" s="317"/>
      <c r="WOE78" s="317"/>
      <c r="WOF78" s="317"/>
      <c r="WOG78" s="317"/>
      <c r="WOH78" s="317"/>
      <c r="WOI78" s="317"/>
      <c r="WOJ78" s="317"/>
      <c r="WOK78" s="317"/>
      <c r="WOL78" s="317"/>
      <c r="WOM78" s="317"/>
      <c r="WON78" s="317"/>
      <c r="WOO78" s="317"/>
      <c r="WOP78" s="317"/>
      <c r="WOQ78" s="317"/>
      <c r="WOR78" s="317"/>
      <c r="WOS78" s="317"/>
      <c r="WOT78" s="317"/>
      <c r="WOU78" s="317"/>
      <c r="WOV78" s="317"/>
      <c r="WOW78" s="317"/>
      <c r="WOX78" s="317"/>
      <c r="WOY78" s="317"/>
      <c r="WOZ78" s="317"/>
      <c r="WPA78" s="317"/>
      <c r="WPB78" s="317"/>
      <c r="WPC78" s="317"/>
      <c r="WPD78" s="317"/>
      <c r="WPE78" s="317"/>
      <c r="WPF78" s="317"/>
      <c r="WPG78" s="317"/>
      <c r="WPH78" s="317"/>
      <c r="WPI78" s="317"/>
      <c r="WPJ78" s="317"/>
      <c r="WPK78" s="317"/>
      <c r="WPL78" s="317"/>
      <c r="WPM78" s="317"/>
      <c r="WPN78" s="317"/>
      <c r="WPO78" s="317"/>
      <c r="WPP78" s="317"/>
      <c r="WPQ78" s="317"/>
      <c r="WPR78" s="317"/>
      <c r="WPS78" s="317"/>
      <c r="WPT78" s="317"/>
      <c r="WPU78" s="317"/>
      <c r="WPV78" s="317"/>
      <c r="WPW78" s="317"/>
      <c r="WPX78" s="317"/>
      <c r="WPY78" s="317"/>
      <c r="WPZ78" s="317"/>
      <c r="WQA78" s="317"/>
      <c r="WQB78" s="317"/>
      <c r="WQC78" s="317"/>
      <c r="WQD78" s="317"/>
      <c r="WQE78" s="317"/>
      <c r="WQF78" s="317"/>
      <c r="WQG78" s="317"/>
      <c r="WQH78" s="317"/>
      <c r="WQI78" s="317"/>
      <c r="WQJ78" s="317"/>
      <c r="WQK78" s="317"/>
      <c r="WQL78" s="317"/>
      <c r="WQM78" s="317"/>
      <c r="WQN78" s="317"/>
      <c r="WQO78" s="317"/>
      <c r="WQP78" s="317"/>
      <c r="WQQ78" s="317"/>
      <c r="WQR78" s="317"/>
      <c r="WQS78" s="317"/>
      <c r="WQT78" s="317"/>
      <c r="WQU78" s="317"/>
      <c r="WQV78" s="317"/>
      <c r="WQW78" s="317"/>
      <c r="WQX78" s="317"/>
      <c r="WQY78" s="317"/>
      <c r="WQZ78" s="317"/>
      <c r="WRA78" s="317"/>
      <c r="WRB78" s="317"/>
      <c r="WRC78" s="317"/>
      <c r="WRD78" s="317"/>
      <c r="WRE78" s="317"/>
      <c r="WRF78" s="317"/>
      <c r="WRG78" s="317"/>
      <c r="WRH78" s="317"/>
      <c r="WRI78" s="317"/>
      <c r="WRJ78" s="317"/>
      <c r="WRK78" s="317"/>
      <c r="WRL78" s="317"/>
      <c r="WRM78" s="317"/>
      <c r="WRN78" s="317"/>
      <c r="WRO78" s="317"/>
      <c r="WRP78" s="317"/>
      <c r="WRQ78" s="317"/>
      <c r="WRR78" s="317"/>
      <c r="WRS78" s="317"/>
      <c r="WRT78" s="317"/>
      <c r="WRU78" s="317"/>
      <c r="WRV78" s="317"/>
      <c r="WRW78" s="317"/>
      <c r="WRX78" s="317"/>
      <c r="WRY78" s="317"/>
      <c r="WRZ78" s="317"/>
      <c r="WSA78" s="317"/>
      <c r="WSB78" s="317"/>
      <c r="WSC78" s="317"/>
      <c r="WSD78" s="317"/>
      <c r="WSE78" s="317"/>
      <c r="WSF78" s="317"/>
      <c r="WSG78" s="317"/>
      <c r="WSH78" s="317"/>
      <c r="WSI78" s="317"/>
      <c r="WSJ78" s="317"/>
      <c r="WSK78" s="317"/>
      <c r="WSL78" s="317"/>
      <c r="WSM78" s="317"/>
      <c r="WSN78" s="317"/>
      <c r="WSO78" s="317"/>
      <c r="WSP78" s="317"/>
      <c r="WSQ78" s="317"/>
      <c r="WSR78" s="317"/>
      <c r="WSS78" s="317"/>
      <c r="WST78" s="317"/>
      <c r="WSU78" s="317"/>
      <c r="WSV78" s="317"/>
      <c r="WSW78" s="317"/>
      <c r="WSX78" s="317"/>
      <c r="WSY78" s="317"/>
      <c r="WSZ78" s="317"/>
      <c r="WTA78" s="317"/>
      <c r="WTB78" s="317"/>
      <c r="WTC78" s="317"/>
      <c r="WTD78" s="317"/>
      <c r="WTE78" s="317"/>
      <c r="WTF78" s="317"/>
      <c r="WTG78" s="317"/>
      <c r="WTH78" s="317"/>
      <c r="WTI78" s="317"/>
      <c r="WTJ78" s="317"/>
      <c r="WTK78" s="317"/>
      <c r="WTL78" s="317"/>
      <c r="WTM78" s="317"/>
      <c r="WTN78" s="317"/>
      <c r="WTO78" s="317"/>
      <c r="WTP78" s="317"/>
      <c r="WTQ78" s="317"/>
      <c r="WTR78" s="317"/>
      <c r="WTS78" s="317"/>
      <c r="WTT78" s="317"/>
      <c r="WTU78" s="317"/>
      <c r="WTV78" s="317"/>
      <c r="WTW78" s="317"/>
      <c r="WTX78" s="317"/>
      <c r="WTY78" s="317"/>
      <c r="WTZ78" s="317"/>
      <c r="WUA78" s="317"/>
      <c r="WUB78" s="317"/>
      <c r="WUC78" s="317"/>
      <c r="WUD78" s="317"/>
      <c r="WUE78" s="317"/>
      <c r="WUF78" s="317"/>
      <c r="WUG78" s="317"/>
      <c r="WUH78" s="317"/>
      <c r="WUI78" s="317"/>
      <c r="WUJ78" s="317"/>
      <c r="WUK78" s="317"/>
      <c r="WUL78" s="317"/>
      <c r="WUM78" s="317"/>
      <c r="WUN78" s="317"/>
      <c r="WUO78" s="317"/>
      <c r="WUP78" s="317"/>
      <c r="WUQ78" s="317"/>
      <c r="WUR78" s="317"/>
      <c r="WUS78" s="317"/>
      <c r="WUT78" s="317"/>
      <c r="WUU78" s="317"/>
      <c r="WUV78" s="317"/>
      <c r="WUW78" s="317"/>
      <c r="WUX78" s="317"/>
      <c r="WUY78" s="317"/>
      <c r="WUZ78" s="317"/>
      <c r="WVA78" s="317"/>
      <c r="WVB78" s="317"/>
      <c r="WVC78" s="317"/>
      <c r="WVD78" s="317"/>
      <c r="WVE78" s="317"/>
      <c r="WVF78" s="317"/>
      <c r="WVG78" s="317"/>
      <c r="WVH78" s="317"/>
      <c r="WVI78" s="317"/>
      <c r="WVJ78" s="317"/>
      <c r="WVK78" s="317"/>
      <c r="WVL78" s="317"/>
      <c r="WVM78" s="317"/>
      <c r="WVN78" s="317"/>
      <c r="WVO78" s="317"/>
      <c r="WVP78" s="317"/>
      <c r="WVQ78" s="317"/>
      <c r="WVR78" s="317"/>
      <c r="WVS78" s="317"/>
      <c r="WVT78" s="317"/>
      <c r="WVU78" s="317"/>
      <c r="WVV78" s="317"/>
      <c r="WVW78" s="317"/>
      <c r="WVX78" s="317"/>
      <c r="WVY78" s="317"/>
      <c r="WVZ78" s="317"/>
      <c r="WWA78" s="317"/>
      <c r="WWB78" s="317"/>
      <c r="WWC78" s="317"/>
      <c r="WWD78" s="317"/>
      <c r="WWE78" s="317"/>
      <c r="WWF78" s="317"/>
      <c r="WWG78" s="317"/>
      <c r="WWH78" s="317"/>
      <c r="WWI78" s="317"/>
      <c r="WWJ78" s="317"/>
      <c r="WWK78" s="317"/>
      <c r="WWL78" s="317"/>
      <c r="WWM78" s="317"/>
      <c r="WWN78" s="317"/>
      <c r="WWO78" s="317"/>
      <c r="WWP78" s="317"/>
      <c r="WWQ78" s="317"/>
      <c r="WWR78" s="317"/>
      <c r="WWS78" s="317"/>
      <c r="WWT78" s="317"/>
      <c r="WWU78" s="317"/>
      <c r="WWV78" s="317"/>
      <c r="WWW78" s="317"/>
      <c r="WWX78" s="317"/>
      <c r="WWY78" s="317"/>
      <c r="WWZ78" s="317"/>
      <c r="WXA78" s="317"/>
      <c r="WXB78" s="317"/>
      <c r="WXC78" s="317"/>
      <c r="WXD78" s="317"/>
      <c r="WXE78" s="317"/>
      <c r="WXF78" s="317"/>
      <c r="WXG78" s="317"/>
      <c r="WXH78" s="317"/>
      <c r="WXI78" s="317"/>
      <c r="WXJ78" s="317"/>
      <c r="WXK78" s="317"/>
      <c r="WXL78" s="317"/>
      <c r="WXM78" s="317"/>
      <c r="WXN78" s="317"/>
      <c r="WXO78" s="317"/>
      <c r="WXP78" s="317"/>
      <c r="WXQ78" s="317"/>
      <c r="WXR78" s="317"/>
      <c r="WXS78" s="317"/>
      <c r="WXT78" s="317"/>
      <c r="WXU78" s="317"/>
      <c r="WXV78" s="317"/>
      <c r="WXW78" s="317"/>
      <c r="WXX78" s="317"/>
      <c r="WXY78" s="317"/>
      <c r="WXZ78" s="317"/>
      <c r="WYA78" s="317"/>
      <c r="WYB78" s="317"/>
      <c r="WYC78" s="317"/>
      <c r="WYD78" s="317"/>
      <c r="WYE78" s="317"/>
      <c r="WYF78" s="317"/>
      <c r="WYG78" s="317"/>
      <c r="WYH78" s="317"/>
      <c r="WYI78" s="317"/>
      <c r="WYJ78" s="317"/>
      <c r="WYK78" s="317"/>
      <c r="WYL78" s="317"/>
      <c r="WYM78" s="317"/>
      <c r="WYN78" s="317"/>
      <c r="WYO78" s="317"/>
      <c r="WYP78" s="317"/>
      <c r="WYQ78" s="317"/>
      <c r="WYR78" s="317"/>
      <c r="WYS78" s="317"/>
      <c r="WYT78" s="317"/>
      <c r="WYU78" s="317"/>
      <c r="WYV78" s="317"/>
      <c r="WYW78" s="317"/>
      <c r="WYX78" s="317"/>
      <c r="WYY78" s="317"/>
      <c r="WYZ78" s="317"/>
      <c r="WZA78" s="317"/>
      <c r="WZB78" s="317"/>
      <c r="WZC78" s="317"/>
      <c r="WZD78" s="317"/>
      <c r="WZE78" s="317"/>
      <c r="WZF78" s="317"/>
      <c r="WZG78" s="317"/>
      <c r="WZH78" s="317"/>
      <c r="WZI78" s="317"/>
      <c r="WZJ78" s="317"/>
      <c r="WZK78" s="317"/>
      <c r="WZL78" s="317"/>
      <c r="WZM78" s="317"/>
      <c r="WZN78" s="317"/>
      <c r="WZO78" s="317"/>
      <c r="WZP78" s="317"/>
      <c r="WZQ78" s="317"/>
      <c r="WZR78" s="317"/>
      <c r="WZS78" s="317"/>
      <c r="WZT78" s="317"/>
      <c r="WZU78" s="317"/>
      <c r="WZV78" s="317"/>
      <c r="WZW78" s="317"/>
      <c r="WZX78" s="317"/>
      <c r="WZY78" s="317"/>
      <c r="WZZ78" s="317"/>
      <c r="XAA78" s="317"/>
      <c r="XAB78" s="317"/>
      <c r="XAC78" s="317"/>
      <c r="XAD78" s="317"/>
      <c r="XAE78" s="317"/>
      <c r="XAF78" s="317"/>
      <c r="XAG78" s="317"/>
      <c r="XAH78" s="317"/>
      <c r="XAI78" s="317"/>
      <c r="XAJ78" s="317"/>
      <c r="XAK78" s="317"/>
      <c r="XAL78" s="317"/>
      <c r="XAM78" s="317"/>
      <c r="XAN78" s="317"/>
      <c r="XAO78" s="317"/>
      <c r="XAP78" s="317"/>
      <c r="XAQ78" s="317"/>
      <c r="XAR78" s="317"/>
      <c r="XAS78" s="317"/>
      <c r="XAT78" s="317"/>
      <c r="XAU78" s="317"/>
      <c r="XAV78" s="317"/>
      <c r="XAW78" s="317"/>
      <c r="XAX78" s="317"/>
      <c r="XAY78" s="317"/>
      <c r="XAZ78" s="317"/>
      <c r="XBA78" s="317"/>
      <c r="XBB78" s="317"/>
      <c r="XBC78" s="317"/>
      <c r="XBD78" s="317"/>
      <c r="XBE78" s="317"/>
      <c r="XBF78" s="317"/>
      <c r="XBG78" s="317"/>
      <c r="XBH78" s="317"/>
      <c r="XBI78" s="317"/>
      <c r="XBJ78" s="317"/>
      <c r="XBK78" s="317"/>
      <c r="XBL78" s="317"/>
      <c r="XBM78" s="317"/>
      <c r="XBN78" s="317"/>
      <c r="XBO78" s="317"/>
      <c r="XBP78" s="317"/>
      <c r="XBQ78" s="317"/>
      <c r="XBR78" s="317"/>
      <c r="XBS78" s="317"/>
      <c r="XBT78" s="317"/>
      <c r="XBU78" s="317"/>
      <c r="XBV78" s="317"/>
      <c r="XBW78" s="317"/>
      <c r="XBX78" s="317"/>
      <c r="XBY78" s="317"/>
      <c r="XBZ78" s="317"/>
      <c r="XCA78" s="317"/>
      <c r="XCB78" s="317"/>
      <c r="XCC78" s="317"/>
      <c r="XCD78" s="317"/>
      <c r="XCE78" s="317"/>
      <c r="XCF78" s="317"/>
      <c r="XCG78" s="317"/>
      <c r="XCH78" s="317"/>
      <c r="XCI78" s="317"/>
      <c r="XCJ78" s="317"/>
      <c r="XCK78" s="317"/>
      <c r="XCL78" s="317"/>
      <c r="XCM78" s="317"/>
      <c r="XCN78" s="317"/>
      <c r="XCO78" s="317"/>
      <c r="XCP78" s="317"/>
      <c r="XCQ78" s="317"/>
      <c r="XCR78" s="317"/>
      <c r="XCS78" s="317"/>
      <c r="XCT78" s="317"/>
      <c r="XCU78" s="317"/>
      <c r="XCV78" s="317"/>
      <c r="XCW78" s="317"/>
      <c r="XCX78" s="317"/>
      <c r="XCY78" s="317"/>
      <c r="XCZ78" s="317"/>
      <c r="XDA78" s="317"/>
      <c r="XDB78" s="317"/>
      <c r="XDC78" s="317"/>
      <c r="XDD78" s="317"/>
      <c r="XDE78" s="317"/>
      <c r="XDF78" s="317"/>
      <c r="XDG78" s="317"/>
      <c r="XDH78" s="317"/>
      <c r="XDI78" s="317"/>
      <c r="XDJ78" s="317"/>
      <c r="XDK78" s="317"/>
      <c r="XDL78" s="317"/>
      <c r="XDM78" s="317"/>
      <c r="XDN78" s="317"/>
      <c r="XDO78" s="317"/>
      <c r="XDP78" s="317"/>
      <c r="XDQ78" s="317"/>
      <c r="XDR78" s="317"/>
      <c r="XDS78" s="317"/>
      <c r="XDT78" s="317"/>
      <c r="XDU78" s="317"/>
      <c r="XDV78" s="317"/>
      <c r="XDW78" s="317"/>
      <c r="XDX78" s="317"/>
      <c r="XDY78" s="317"/>
      <c r="XDZ78" s="317"/>
      <c r="XEA78" s="317"/>
      <c r="XEB78" s="317"/>
      <c r="XEC78" s="317"/>
      <c r="XED78" s="317"/>
      <c r="XEE78" s="317"/>
      <c r="XEF78" s="317"/>
      <c r="XEG78" s="317"/>
      <c r="XEH78" s="317"/>
      <c r="XEI78" s="317"/>
      <c r="XEJ78" s="317"/>
      <c r="XEK78" s="317"/>
      <c r="XEL78" s="317"/>
      <c r="XEM78" s="317"/>
      <c r="XEN78" s="317"/>
      <c r="XEO78" s="317"/>
      <c r="XEP78" s="317"/>
      <c r="XEQ78" s="317"/>
      <c r="XER78" s="317"/>
      <c r="XES78" s="317"/>
      <c r="XET78" s="317"/>
      <c r="XEU78" s="317"/>
      <c r="XEV78" s="317"/>
      <c r="XEW78" s="317"/>
      <c r="XEX78" s="317"/>
      <c r="XEY78" s="317"/>
      <c r="XEZ78" s="317"/>
      <c r="XFA78" s="317"/>
      <c r="XFB78" s="317"/>
      <c r="XFC78" s="317"/>
      <c r="XFD78" s="317"/>
    </row>
    <row r="79" s="314" customFormat="1" ht="25" customHeight="1" spans="1:74 14505:16384">
      <c r="A79" s="359"/>
      <c r="B79" s="360" t="s">
        <v>101</v>
      </c>
      <c r="I79" s="315"/>
      <c r="M79" s="360"/>
      <c r="N79" s="360"/>
      <c r="O79" s="316"/>
      <c r="P79" s="316"/>
      <c r="Q79" s="360"/>
      <c r="R79" s="360"/>
      <c r="S79" s="360"/>
      <c r="T79" s="360"/>
      <c r="U79" s="360"/>
      <c r="V79" s="316"/>
      <c r="W79" s="316"/>
      <c r="X79" s="316"/>
      <c r="Y79" s="316"/>
      <c r="Z79" s="316"/>
      <c r="AA79" s="316"/>
      <c r="AB79" s="316"/>
      <c r="AC79" s="316"/>
      <c r="AD79" s="316"/>
      <c r="AE79" s="360"/>
      <c r="AF79" s="360"/>
      <c r="AG79" s="360"/>
      <c r="AH79" s="360"/>
      <c r="AI79" s="360"/>
      <c r="AJ79" s="360"/>
      <c r="AK79" s="316"/>
      <c r="AL79" s="360"/>
      <c r="AM79" s="360"/>
      <c r="AN79" s="360"/>
      <c r="AO79" s="360"/>
      <c r="AP79" s="360"/>
      <c r="AQ79" s="316"/>
      <c r="AR79" s="316"/>
      <c r="AS79" s="360"/>
      <c r="AT79" s="360"/>
      <c r="AU79" s="360"/>
      <c r="AV79" s="360"/>
      <c r="AW79" s="360"/>
      <c r="AX79" s="360"/>
      <c r="AY79" s="316"/>
      <c r="AZ79" s="360"/>
      <c r="BE79" s="316"/>
      <c r="BF79" s="316"/>
      <c r="BM79" s="316"/>
      <c r="BS79" s="316"/>
      <c r="BT79" s="316"/>
      <c r="UKW79" s="317"/>
      <c r="UKX79" s="317"/>
      <c r="UKY79" s="317"/>
      <c r="UKZ79" s="317"/>
      <c r="ULA79" s="317"/>
      <c r="ULB79" s="317"/>
      <c r="ULC79" s="317"/>
      <c r="ULD79" s="317"/>
      <c r="ULE79" s="317"/>
      <c r="ULF79" s="317"/>
      <c r="ULG79" s="317"/>
      <c r="ULH79" s="317"/>
      <c r="ULI79" s="317"/>
      <c r="ULJ79" s="317"/>
      <c r="ULK79" s="317"/>
      <c r="ULL79" s="317"/>
      <c r="ULM79" s="317"/>
      <c r="ULN79" s="317"/>
      <c r="ULO79" s="317"/>
      <c r="ULP79" s="317"/>
      <c r="ULQ79" s="317"/>
      <c r="ULR79" s="317"/>
      <c r="ULS79" s="317"/>
      <c r="ULT79" s="317"/>
      <c r="ULU79" s="317"/>
      <c r="ULV79" s="317"/>
      <c r="ULW79" s="317"/>
      <c r="ULX79" s="317"/>
      <c r="ULY79" s="317"/>
      <c r="ULZ79" s="317"/>
      <c r="UMA79" s="317"/>
      <c r="UMB79" s="317"/>
      <c r="UMC79" s="317"/>
      <c r="UMD79" s="317"/>
      <c r="UME79" s="317"/>
      <c r="UMF79" s="317"/>
      <c r="UMG79" s="317"/>
      <c r="UMH79" s="317"/>
      <c r="UMI79" s="317"/>
      <c r="UMJ79" s="317"/>
      <c r="UMK79" s="317"/>
      <c r="UML79" s="317"/>
      <c r="UMM79" s="317"/>
      <c r="UMN79" s="317"/>
      <c r="UMO79" s="317"/>
      <c r="UMP79" s="317"/>
      <c r="UMQ79" s="317"/>
      <c r="UMR79" s="317"/>
      <c r="UMS79" s="317"/>
      <c r="UMT79" s="317"/>
      <c r="UMU79" s="317"/>
      <c r="UMV79" s="317"/>
      <c r="UMW79" s="317"/>
      <c r="UMX79" s="317"/>
      <c r="UMY79" s="317"/>
      <c r="UMZ79" s="317"/>
      <c r="UNA79" s="317"/>
      <c r="UNB79" s="317"/>
      <c r="UNC79" s="317"/>
      <c r="UND79" s="317"/>
      <c r="UNE79" s="317"/>
      <c r="UNF79" s="317"/>
      <c r="UNG79" s="317"/>
      <c r="UNH79" s="317"/>
      <c r="UNI79" s="317"/>
      <c r="UNJ79" s="317"/>
      <c r="UNK79" s="317"/>
      <c r="UNL79" s="317"/>
      <c r="UNM79" s="317"/>
      <c r="UNN79" s="317"/>
      <c r="UNO79" s="317"/>
      <c r="UNP79" s="317"/>
      <c r="UNQ79" s="317"/>
      <c r="UNR79" s="317"/>
      <c r="UNS79" s="317"/>
      <c r="UNT79" s="317"/>
      <c r="UNU79" s="317"/>
      <c r="UNV79" s="317"/>
      <c r="UNW79" s="317"/>
      <c r="UNX79" s="317"/>
      <c r="UNY79" s="317"/>
      <c r="UNZ79" s="317"/>
      <c r="UOA79" s="317"/>
      <c r="UOB79" s="317"/>
      <c r="UOC79" s="317"/>
      <c r="UOD79" s="317"/>
      <c r="UOE79" s="317"/>
      <c r="UOF79" s="317"/>
      <c r="UOG79" s="317"/>
      <c r="UOH79" s="317"/>
      <c r="UOI79" s="317"/>
      <c r="UOJ79" s="317"/>
      <c r="UOK79" s="317"/>
      <c r="UOL79" s="317"/>
      <c r="UOM79" s="317"/>
      <c r="UON79" s="317"/>
      <c r="UOO79" s="317"/>
      <c r="UOP79" s="317"/>
      <c r="UOQ79" s="317"/>
      <c r="UOR79" s="317"/>
      <c r="UOS79" s="317"/>
      <c r="UOT79" s="317"/>
      <c r="UOU79" s="317"/>
      <c r="UOV79" s="317"/>
      <c r="UOW79" s="317"/>
      <c r="UOX79" s="317"/>
      <c r="UOY79" s="317"/>
      <c r="UOZ79" s="317"/>
      <c r="UPA79" s="317"/>
      <c r="UPB79" s="317"/>
      <c r="UPC79" s="317"/>
      <c r="UPD79" s="317"/>
      <c r="UPE79" s="317"/>
      <c r="UPF79" s="317"/>
      <c r="UPG79" s="317"/>
      <c r="UPH79" s="317"/>
      <c r="UPI79" s="317"/>
      <c r="UPJ79" s="317"/>
      <c r="UPK79" s="317"/>
      <c r="UPL79" s="317"/>
      <c r="UPM79" s="317"/>
      <c r="UPN79" s="317"/>
      <c r="UPO79" s="317"/>
      <c r="UPP79" s="317"/>
      <c r="UPQ79" s="317"/>
      <c r="UPR79" s="317"/>
      <c r="UPS79" s="317"/>
      <c r="UPT79" s="317"/>
      <c r="UPU79" s="317"/>
      <c r="UPV79" s="317"/>
      <c r="UPW79" s="317"/>
      <c r="UPX79" s="317"/>
      <c r="UPY79" s="317"/>
      <c r="UPZ79" s="317"/>
      <c r="UQA79" s="317"/>
      <c r="UQB79" s="317"/>
      <c r="UQC79" s="317"/>
      <c r="UQD79" s="317"/>
      <c r="UQE79" s="317"/>
      <c r="UQF79" s="317"/>
      <c r="UQG79" s="317"/>
      <c r="UQH79" s="317"/>
      <c r="UQI79" s="317"/>
      <c r="UQJ79" s="317"/>
      <c r="UQK79" s="317"/>
      <c r="UQL79" s="317"/>
      <c r="UQM79" s="317"/>
      <c r="UQN79" s="317"/>
      <c r="UQO79" s="317"/>
      <c r="UQP79" s="317"/>
      <c r="UQQ79" s="317"/>
      <c r="UQR79" s="317"/>
      <c r="UQS79" s="317"/>
      <c r="UQT79" s="317"/>
      <c r="UQU79" s="317"/>
      <c r="UQV79" s="317"/>
      <c r="UQW79" s="317"/>
      <c r="UQX79" s="317"/>
      <c r="UQY79" s="317"/>
      <c r="UQZ79" s="317"/>
      <c r="URA79" s="317"/>
      <c r="URB79" s="317"/>
      <c r="URC79" s="317"/>
      <c r="URD79" s="317"/>
      <c r="URE79" s="317"/>
      <c r="URF79" s="317"/>
      <c r="URG79" s="317"/>
      <c r="URH79" s="317"/>
      <c r="URI79" s="317"/>
      <c r="URJ79" s="317"/>
      <c r="URK79" s="317"/>
      <c r="URL79" s="317"/>
      <c r="URM79" s="317"/>
      <c r="URN79" s="317"/>
      <c r="URO79" s="317"/>
      <c r="URP79" s="317"/>
      <c r="URQ79" s="317"/>
      <c r="URR79" s="317"/>
      <c r="URS79" s="317"/>
      <c r="URT79" s="317"/>
      <c r="URU79" s="317"/>
      <c r="URV79" s="317"/>
      <c r="URW79" s="317"/>
      <c r="URX79" s="317"/>
      <c r="URY79" s="317"/>
      <c r="URZ79" s="317"/>
      <c r="USA79" s="317"/>
      <c r="USB79" s="317"/>
      <c r="USC79" s="317"/>
      <c r="USD79" s="317"/>
      <c r="USE79" s="317"/>
      <c r="USF79" s="317"/>
      <c r="USG79" s="317"/>
      <c r="USH79" s="317"/>
      <c r="USI79" s="317"/>
      <c r="USJ79" s="317"/>
      <c r="USK79" s="317"/>
      <c r="USL79" s="317"/>
      <c r="USM79" s="317"/>
      <c r="USN79" s="317"/>
      <c r="USO79" s="317"/>
      <c r="USP79" s="317"/>
      <c r="USQ79" s="317"/>
      <c r="USR79" s="317"/>
      <c r="USS79" s="317"/>
      <c r="UST79" s="317"/>
      <c r="USU79" s="317"/>
      <c r="USV79" s="317"/>
      <c r="USW79" s="317"/>
      <c r="USX79" s="317"/>
      <c r="USY79" s="317"/>
      <c r="USZ79" s="317"/>
      <c r="UTA79" s="317"/>
      <c r="UTB79" s="317"/>
      <c r="UTC79" s="317"/>
      <c r="UTD79" s="317"/>
      <c r="UTE79" s="317"/>
      <c r="UTF79" s="317"/>
      <c r="UTG79" s="317"/>
      <c r="UTH79" s="317"/>
      <c r="UTI79" s="317"/>
      <c r="UTJ79" s="317"/>
      <c r="UTK79" s="317"/>
      <c r="UTL79" s="317"/>
      <c r="UTM79" s="317"/>
      <c r="UTN79" s="317"/>
      <c r="UTO79" s="317"/>
      <c r="UTP79" s="317"/>
      <c r="UTQ79" s="317"/>
      <c r="UTR79" s="317"/>
      <c r="UTS79" s="317"/>
      <c r="UTT79" s="317"/>
      <c r="UTU79" s="317"/>
      <c r="UTV79" s="317"/>
      <c r="UTW79" s="317"/>
      <c r="UTX79" s="317"/>
      <c r="UTY79" s="317"/>
      <c r="UTZ79" s="317"/>
      <c r="UUA79" s="317"/>
      <c r="UUB79" s="317"/>
      <c r="UUC79" s="317"/>
      <c r="UUD79" s="317"/>
      <c r="UUE79" s="317"/>
      <c r="UUF79" s="317"/>
      <c r="UUG79" s="317"/>
      <c r="UUH79" s="317"/>
      <c r="UUI79" s="317"/>
      <c r="UUJ79" s="317"/>
      <c r="UUK79" s="317"/>
      <c r="UUL79" s="317"/>
      <c r="UUM79" s="317"/>
      <c r="UUN79" s="317"/>
      <c r="UUO79" s="317"/>
      <c r="UUP79" s="317"/>
      <c r="UUQ79" s="317"/>
      <c r="UUR79" s="317"/>
      <c r="UUS79" s="317"/>
      <c r="UUT79" s="317"/>
      <c r="UUU79" s="317"/>
      <c r="UUV79" s="317"/>
      <c r="UUW79" s="317"/>
      <c r="UUX79" s="317"/>
      <c r="UUY79" s="317"/>
      <c r="UUZ79" s="317"/>
      <c r="UVA79" s="317"/>
      <c r="UVB79" s="317"/>
      <c r="UVC79" s="317"/>
      <c r="UVD79" s="317"/>
      <c r="UVE79" s="317"/>
      <c r="UVF79" s="317"/>
      <c r="UVG79" s="317"/>
      <c r="UVH79" s="317"/>
      <c r="UVI79" s="317"/>
      <c r="UVJ79" s="317"/>
      <c r="UVK79" s="317"/>
      <c r="UVL79" s="317"/>
      <c r="UVM79" s="317"/>
      <c r="UVN79" s="317"/>
      <c r="UVO79" s="317"/>
      <c r="UVP79" s="317"/>
      <c r="UVQ79" s="317"/>
      <c r="UVR79" s="317"/>
      <c r="UVS79" s="317"/>
      <c r="UVT79" s="317"/>
      <c r="UVU79" s="317"/>
      <c r="UVV79" s="317"/>
      <c r="UVW79" s="317"/>
      <c r="UVX79" s="317"/>
      <c r="UVY79" s="317"/>
      <c r="UVZ79" s="317"/>
      <c r="UWA79" s="317"/>
      <c r="UWB79" s="317"/>
      <c r="UWC79" s="317"/>
      <c r="UWD79" s="317"/>
      <c r="UWE79" s="317"/>
      <c r="UWF79" s="317"/>
      <c r="UWG79" s="317"/>
      <c r="UWH79" s="317"/>
      <c r="UWI79" s="317"/>
      <c r="UWJ79" s="317"/>
      <c r="UWK79" s="317"/>
      <c r="UWL79" s="317"/>
      <c r="UWM79" s="317"/>
      <c r="UWN79" s="317"/>
      <c r="UWO79" s="317"/>
      <c r="UWP79" s="317"/>
      <c r="UWQ79" s="317"/>
      <c r="UWR79" s="317"/>
      <c r="UWS79" s="317"/>
      <c r="UWT79" s="317"/>
      <c r="UWU79" s="317"/>
      <c r="UWV79" s="317"/>
      <c r="UWW79" s="317"/>
      <c r="UWX79" s="317"/>
      <c r="UWY79" s="317"/>
      <c r="UWZ79" s="317"/>
      <c r="UXA79" s="317"/>
      <c r="UXB79" s="317"/>
      <c r="UXC79" s="317"/>
      <c r="UXD79" s="317"/>
      <c r="UXE79" s="317"/>
      <c r="UXF79" s="317"/>
      <c r="UXG79" s="317"/>
      <c r="UXH79" s="317"/>
      <c r="UXI79" s="317"/>
      <c r="UXJ79" s="317"/>
      <c r="UXK79" s="317"/>
      <c r="UXL79" s="317"/>
      <c r="UXM79" s="317"/>
      <c r="UXN79" s="317"/>
      <c r="UXO79" s="317"/>
      <c r="UXP79" s="317"/>
      <c r="UXQ79" s="317"/>
      <c r="UXR79" s="317"/>
      <c r="UXS79" s="317"/>
      <c r="UXT79" s="317"/>
      <c r="UXU79" s="317"/>
      <c r="UXV79" s="317"/>
      <c r="UXW79" s="317"/>
      <c r="UXX79" s="317"/>
      <c r="UXY79" s="317"/>
      <c r="UXZ79" s="317"/>
      <c r="UYA79" s="317"/>
      <c r="UYB79" s="317"/>
      <c r="UYC79" s="317"/>
      <c r="UYD79" s="317"/>
      <c r="UYE79" s="317"/>
      <c r="UYF79" s="317"/>
      <c r="UYG79" s="317"/>
      <c r="UYH79" s="317"/>
      <c r="UYI79" s="317"/>
      <c r="UYJ79" s="317"/>
      <c r="UYK79" s="317"/>
      <c r="UYL79" s="317"/>
      <c r="UYM79" s="317"/>
      <c r="UYN79" s="317"/>
      <c r="UYO79" s="317"/>
      <c r="UYP79" s="317"/>
      <c r="UYQ79" s="317"/>
      <c r="UYR79" s="317"/>
      <c r="UYS79" s="317"/>
      <c r="UYT79" s="317"/>
      <c r="UYU79" s="317"/>
      <c r="UYV79" s="317"/>
      <c r="UYW79" s="317"/>
      <c r="UYX79" s="317"/>
      <c r="UYY79" s="317"/>
      <c r="UYZ79" s="317"/>
      <c r="UZA79" s="317"/>
      <c r="UZB79" s="317"/>
      <c r="UZC79" s="317"/>
      <c r="UZD79" s="317"/>
      <c r="UZE79" s="317"/>
      <c r="UZF79" s="317"/>
      <c r="UZG79" s="317"/>
      <c r="UZH79" s="317"/>
      <c r="UZI79" s="317"/>
      <c r="UZJ79" s="317"/>
      <c r="UZK79" s="317"/>
      <c r="UZL79" s="317"/>
      <c r="UZM79" s="317"/>
      <c r="UZN79" s="317"/>
      <c r="UZO79" s="317"/>
      <c r="UZP79" s="317"/>
      <c r="UZQ79" s="317"/>
      <c r="UZR79" s="317"/>
      <c r="UZS79" s="317"/>
      <c r="UZT79" s="317"/>
      <c r="UZU79" s="317"/>
      <c r="UZV79" s="317"/>
      <c r="UZW79" s="317"/>
      <c r="UZX79" s="317"/>
      <c r="UZY79" s="317"/>
      <c r="UZZ79" s="317"/>
      <c r="VAA79" s="317"/>
      <c r="VAB79" s="317"/>
      <c r="VAC79" s="317"/>
      <c r="VAD79" s="317"/>
      <c r="VAE79" s="317"/>
      <c r="VAF79" s="317"/>
      <c r="VAG79" s="317"/>
      <c r="VAH79" s="317"/>
      <c r="VAI79" s="317"/>
      <c r="VAJ79" s="317"/>
      <c r="VAK79" s="317"/>
      <c r="VAL79" s="317"/>
      <c r="VAM79" s="317"/>
      <c r="VAN79" s="317"/>
      <c r="VAO79" s="317"/>
      <c r="VAP79" s="317"/>
      <c r="VAQ79" s="317"/>
      <c r="VAR79" s="317"/>
      <c r="VAS79" s="317"/>
      <c r="VAT79" s="317"/>
      <c r="VAU79" s="317"/>
      <c r="VAV79" s="317"/>
      <c r="VAW79" s="317"/>
      <c r="VAX79" s="317"/>
      <c r="VAY79" s="317"/>
      <c r="VAZ79" s="317"/>
      <c r="VBA79" s="317"/>
      <c r="VBB79" s="317"/>
      <c r="VBC79" s="317"/>
      <c r="VBD79" s="317"/>
      <c r="VBE79" s="317"/>
      <c r="VBF79" s="317"/>
      <c r="VBG79" s="317"/>
      <c r="VBH79" s="317"/>
      <c r="VBI79" s="317"/>
      <c r="VBJ79" s="317"/>
      <c r="VBK79" s="317"/>
      <c r="VBL79" s="317"/>
      <c r="VBM79" s="317"/>
      <c r="VBN79" s="317"/>
      <c r="VBO79" s="317"/>
      <c r="VBP79" s="317"/>
      <c r="VBQ79" s="317"/>
      <c r="VBR79" s="317"/>
      <c r="VBS79" s="317"/>
      <c r="VBT79" s="317"/>
      <c r="VBU79" s="317"/>
      <c r="VBV79" s="317"/>
      <c r="VBW79" s="317"/>
      <c r="VBX79" s="317"/>
      <c r="VBY79" s="317"/>
      <c r="VBZ79" s="317"/>
      <c r="VCA79" s="317"/>
      <c r="VCB79" s="317"/>
      <c r="VCC79" s="317"/>
      <c r="VCD79" s="317"/>
      <c r="VCE79" s="317"/>
      <c r="VCF79" s="317"/>
      <c r="VCG79" s="317"/>
      <c r="VCH79" s="317"/>
      <c r="VCI79" s="317"/>
      <c r="VCJ79" s="317"/>
      <c r="VCK79" s="317"/>
      <c r="VCL79" s="317"/>
      <c r="VCM79" s="317"/>
      <c r="VCN79" s="317"/>
      <c r="VCO79" s="317"/>
      <c r="VCP79" s="317"/>
      <c r="VCQ79" s="317"/>
      <c r="VCR79" s="317"/>
      <c r="VCS79" s="317"/>
      <c r="VCT79" s="317"/>
      <c r="VCU79" s="317"/>
      <c r="VCV79" s="317"/>
      <c r="VCW79" s="317"/>
      <c r="VCX79" s="317"/>
      <c r="VCY79" s="317"/>
      <c r="VCZ79" s="317"/>
      <c r="VDA79" s="317"/>
      <c r="VDB79" s="317"/>
      <c r="VDC79" s="317"/>
      <c r="VDD79" s="317"/>
      <c r="VDE79" s="317"/>
      <c r="VDF79" s="317"/>
      <c r="VDG79" s="317"/>
      <c r="VDH79" s="317"/>
      <c r="VDI79" s="317"/>
      <c r="VDJ79" s="317"/>
      <c r="VDK79" s="317"/>
      <c r="VDL79" s="317"/>
      <c r="VDM79" s="317"/>
      <c r="VDN79" s="317"/>
      <c r="VDO79" s="317"/>
      <c r="VDP79" s="317"/>
      <c r="VDQ79" s="317"/>
      <c r="VDR79" s="317"/>
      <c r="VDS79" s="317"/>
      <c r="VDT79" s="317"/>
      <c r="VDU79" s="317"/>
      <c r="VDV79" s="317"/>
      <c r="VDW79" s="317"/>
      <c r="VDX79" s="317"/>
      <c r="VDY79" s="317"/>
      <c r="VDZ79" s="317"/>
      <c r="VEA79" s="317"/>
      <c r="VEB79" s="317"/>
      <c r="VEC79" s="317"/>
      <c r="VED79" s="317"/>
      <c r="VEE79" s="317"/>
      <c r="VEF79" s="317"/>
      <c r="VEG79" s="317"/>
      <c r="VEH79" s="317"/>
      <c r="VEI79" s="317"/>
      <c r="VEJ79" s="317"/>
      <c r="VEK79" s="317"/>
      <c r="VEL79" s="317"/>
      <c r="VEM79" s="317"/>
      <c r="VEN79" s="317"/>
      <c r="VEO79" s="317"/>
      <c r="VEP79" s="317"/>
      <c r="VEQ79" s="317"/>
      <c r="VER79" s="317"/>
      <c r="VES79" s="317"/>
      <c r="VET79" s="317"/>
      <c r="VEU79" s="317"/>
      <c r="VEV79" s="317"/>
      <c r="VEW79" s="317"/>
      <c r="VEX79" s="317"/>
      <c r="VEY79" s="317"/>
      <c r="VEZ79" s="317"/>
      <c r="VFA79" s="317"/>
      <c r="VFB79" s="317"/>
      <c r="VFC79" s="317"/>
      <c r="VFD79" s="317"/>
      <c r="VFE79" s="317"/>
      <c r="VFF79" s="317"/>
      <c r="VFG79" s="317"/>
      <c r="VFH79" s="317"/>
      <c r="VFI79" s="317"/>
      <c r="VFJ79" s="317"/>
      <c r="VFK79" s="317"/>
      <c r="VFL79" s="317"/>
      <c r="VFM79" s="317"/>
      <c r="VFN79" s="317"/>
      <c r="VFO79" s="317"/>
      <c r="VFP79" s="317"/>
      <c r="VFQ79" s="317"/>
      <c r="VFR79" s="317"/>
      <c r="VFS79" s="317"/>
      <c r="VFT79" s="317"/>
      <c r="VFU79" s="317"/>
      <c r="VFV79" s="317"/>
      <c r="VFW79" s="317"/>
      <c r="VFX79" s="317"/>
      <c r="VFY79" s="317"/>
      <c r="VFZ79" s="317"/>
      <c r="VGA79" s="317"/>
      <c r="VGB79" s="317"/>
      <c r="VGC79" s="317"/>
      <c r="VGD79" s="317"/>
      <c r="VGE79" s="317"/>
      <c r="VGF79" s="317"/>
      <c r="VGG79" s="317"/>
      <c r="VGH79" s="317"/>
      <c r="VGI79" s="317"/>
      <c r="VGJ79" s="317"/>
      <c r="VGK79" s="317"/>
      <c r="VGL79" s="317"/>
      <c r="VGM79" s="317"/>
      <c r="VGN79" s="317"/>
      <c r="VGO79" s="317"/>
      <c r="VGP79" s="317"/>
      <c r="VGQ79" s="317"/>
      <c r="VGR79" s="317"/>
      <c r="VGS79" s="317"/>
      <c r="VGT79" s="317"/>
      <c r="VGU79" s="317"/>
      <c r="VGV79" s="317"/>
      <c r="VGW79" s="317"/>
      <c r="VGX79" s="317"/>
      <c r="VGY79" s="317"/>
      <c r="VGZ79" s="317"/>
      <c r="VHA79" s="317"/>
      <c r="VHB79" s="317"/>
      <c r="VHC79" s="317"/>
      <c r="VHD79" s="317"/>
      <c r="VHE79" s="317"/>
      <c r="VHF79" s="317"/>
      <c r="VHG79" s="317"/>
      <c r="VHH79" s="317"/>
      <c r="VHI79" s="317"/>
      <c r="VHJ79" s="317"/>
      <c r="VHK79" s="317"/>
      <c r="VHL79" s="317"/>
      <c r="VHM79" s="317"/>
      <c r="VHN79" s="317"/>
      <c r="VHO79" s="317"/>
      <c r="VHP79" s="317"/>
      <c r="VHQ79" s="317"/>
      <c r="VHR79" s="317"/>
      <c r="VHS79" s="317"/>
      <c r="VHT79" s="317"/>
      <c r="VHU79" s="317"/>
      <c r="VHV79" s="317"/>
      <c r="VHW79" s="317"/>
      <c r="VHX79" s="317"/>
      <c r="VHY79" s="317"/>
      <c r="VHZ79" s="317"/>
      <c r="VIA79" s="317"/>
      <c r="VIB79" s="317"/>
      <c r="VIC79" s="317"/>
      <c r="VID79" s="317"/>
      <c r="VIE79" s="317"/>
      <c r="VIF79" s="317"/>
      <c r="VIG79" s="317"/>
      <c r="VIH79" s="317"/>
      <c r="VII79" s="317"/>
      <c r="VIJ79" s="317"/>
      <c r="VIK79" s="317"/>
      <c r="VIL79" s="317"/>
      <c r="VIM79" s="317"/>
      <c r="VIN79" s="317"/>
      <c r="VIO79" s="317"/>
      <c r="VIP79" s="317"/>
      <c r="VIQ79" s="317"/>
      <c r="VIR79" s="317"/>
      <c r="VIS79" s="317"/>
      <c r="VIT79" s="317"/>
      <c r="VIU79" s="317"/>
      <c r="VIV79" s="317"/>
      <c r="VIW79" s="317"/>
      <c r="VIX79" s="317"/>
      <c r="VIY79" s="317"/>
      <c r="VIZ79" s="317"/>
      <c r="VJA79" s="317"/>
      <c r="VJB79" s="317"/>
      <c r="VJC79" s="317"/>
      <c r="VJD79" s="317"/>
      <c r="VJE79" s="317"/>
      <c r="VJF79" s="317"/>
      <c r="VJG79" s="317"/>
      <c r="VJH79" s="317"/>
      <c r="VJI79" s="317"/>
      <c r="VJJ79" s="317"/>
      <c r="VJK79" s="317"/>
      <c r="VJL79" s="317"/>
      <c r="VJM79" s="317"/>
      <c r="VJN79" s="317"/>
      <c r="VJO79" s="317"/>
      <c r="VJP79" s="317"/>
      <c r="VJQ79" s="317"/>
      <c r="VJR79" s="317"/>
      <c r="VJS79" s="317"/>
      <c r="VJT79" s="317"/>
      <c r="VJU79" s="317"/>
      <c r="VJV79" s="317"/>
      <c r="VJW79" s="317"/>
      <c r="VJX79" s="317"/>
      <c r="VJY79" s="317"/>
      <c r="VJZ79" s="317"/>
      <c r="VKA79" s="317"/>
      <c r="VKB79" s="317"/>
      <c r="VKC79" s="317"/>
      <c r="VKD79" s="317"/>
      <c r="VKE79" s="317"/>
      <c r="VKF79" s="317"/>
      <c r="VKG79" s="317"/>
      <c r="VKH79" s="317"/>
      <c r="VKI79" s="317"/>
      <c r="VKJ79" s="317"/>
      <c r="VKK79" s="317"/>
      <c r="VKL79" s="317"/>
      <c r="VKM79" s="317"/>
      <c r="VKN79" s="317"/>
      <c r="VKO79" s="317"/>
      <c r="VKP79" s="317"/>
      <c r="VKQ79" s="317"/>
      <c r="VKR79" s="317"/>
      <c r="VKS79" s="317"/>
      <c r="VKT79" s="317"/>
      <c r="VKU79" s="317"/>
      <c r="VKV79" s="317"/>
      <c r="VKW79" s="317"/>
      <c r="VKX79" s="317"/>
      <c r="VKY79" s="317"/>
      <c r="VKZ79" s="317"/>
      <c r="VLA79" s="317"/>
      <c r="VLB79" s="317"/>
      <c r="VLC79" s="317"/>
      <c r="VLD79" s="317"/>
      <c r="VLE79" s="317"/>
      <c r="VLF79" s="317"/>
      <c r="VLG79" s="317"/>
      <c r="VLH79" s="317"/>
      <c r="VLI79" s="317"/>
      <c r="VLJ79" s="317"/>
      <c r="VLK79" s="317"/>
      <c r="VLL79" s="317"/>
      <c r="VLM79" s="317"/>
      <c r="VLN79" s="317"/>
      <c r="VLO79" s="317"/>
      <c r="VLP79" s="317"/>
      <c r="VLQ79" s="317"/>
      <c r="VLR79" s="317"/>
      <c r="VLS79" s="317"/>
      <c r="VLT79" s="317"/>
      <c r="VLU79" s="317"/>
      <c r="VLV79" s="317"/>
      <c r="VLW79" s="317"/>
      <c r="VLX79" s="317"/>
      <c r="VLY79" s="317"/>
      <c r="VLZ79" s="317"/>
      <c r="VMA79" s="317"/>
      <c r="VMB79" s="317"/>
      <c r="VMC79" s="317"/>
      <c r="VMD79" s="317"/>
      <c r="VME79" s="317"/>
      <c r="VMF79" s="317"/>
      <c r="VMG79" s="317"/>
      <c r="VMH79" s="317"/>
      <c r="VMI79" s="317"/>
      <c r="VMJ79" s="317"/>
      <c r="VMK79" s="317"/>
      <c r="VML79" s="317"/>
      <c r="VMM79" s="317"/>
      <c r="VMN79" s="317"/>
      <c r="VMO79" s="317"/>
      <c r="VMP79" s="317"/>
      <c r="VMQ79" s="317"/>
      <c r="VMR79" s="317"/>
      <c r="VMS79" s="317"/>
      <c r="VMT79" s="317"/>
      <c r="VMU79" s="317"/>
      <c r="VMV79" s="317"/>
      <c r="VMW79" s="317"/>
      <c r="VMX79" s="317"/>
      <c r="VMY79" s="317"/>
      <c r="VMZ79" s="317"/>
      <c r="VNA79" s="317"/>
      <c r="VNB79" s="317"/>
      <c r="VNC79" s="317"/>
      <c r="VND79" s="317"/>
      <c r="VNE79" s="317"/>
      <c r="VNF79" s="317"/>
      <c r="VNG79" s="317"/>
      <c r="VNH79" s="317"/>
      <c r="VNI79" s="317"/>
      <c r="VNJ79" s="317"/>
      <c r="VNK79" s="317"/>
      <c r="VNL79" s="317"/>
      <c r="VNM79" s="317"/>
      <c r="VNN79" s="317"/>
      <c r="VNO79" s="317"/>
      <c r="VNP79" s="317"/>
      <c r="VNQ79" s="317"/>
      <c r="VNR79" s="317"/>
      <c r="VNS79" s="317"/>
      <c r="VNT79" s="317"/>
      <c r="VNU79" s="317"/>
      <c r="VNV79" s="317"/>
      <c r="VNW79" s="317"/>
      <c r="VNX79" s="317"/>
      <c r="VNY79" s="317"/>
      <c r="VNZ79" s="317"/>
      <c r="VOA79" s="317"/>
      <c r="VOB79" s="317"/>
      <c r="VOC79" s="317"/>
      <c r="VOD79" s="317"/>
      <c r="VOE79" s="317"/>
      <c r="VOF79" s="317"/>
      <c r="VOG79" s="317"/>
      <c r="VOH79" s="317"/>
      <c r="VOI79" s="317"/>
      <c r="VOJ79" s="317"/>
      <c r="VOK79" s="317"/>
      <c r="VOL79" s="317"/>
      <c r="VOM79" s="317"/>
      <c r="VON79" s="317"/>
      <c r="VOO79" s="317"/>
      <c r="VOP79" s="317"/>
      <c r="VOQ79" s="317"/>
      <c r="VOR79" s="317"/>
      <c r="VOS79" s="317"/>
      <c r="VOT79" s="317"/>
      <c r="VOU79" s="317"/>
      <c r="VOV79" s="317"/>
      <c r="VOW79" s="317"/>
      <c r="VOX79" s="317"/>
      <c r="VOY79" s="317"/>
      <c r="VOZ79" s="317"/>
      <c r="VPA79" s="317"/>
      <c r="VPB79" s="317"/>
      <c r="VPC79" s="317"/>
      <c r="VPD79" s="317"/>
      <c r="VPE79" s="317"/>
      <c r="VPF79" s="317"/>
      <c r="VPG79" s="317"/>
      <c r="VPH79" s="317"/>
      <c r="VPI79" s="317"/>
      <c r="VPJ79" s="317"/>
      <c r="VPK79" s="317"/>
      <c r="VPL79" s="317"/>
      <c r="VPM79" s="317"/>
      <c r="VPN79" s="317"/>
      <c r="VPO79" s="317"/>
      <c r="VPP79" s="317"/>
      <c r="VPQ79" s="317"/>
      <c r="VPR79" s="317"/>
      <c r="VPS79" s="317"/>
      <c r="VPT79" s="317"/>
      <c r="VPU79" s="317"/>
      <c r="VPV79" s="317"/>
      <c r="VPW79" s="317"/>
      <c r="VPX79" s="317"/>
      <c r="VPY79" s="317"/>
      <c r="VPZ79" s="317"/>
      <c r="VQA79" s="317"/>
      <c r="VQB79" s="317"/>
      <c r="VQC79" s="317"/>
      <c r="VQD79" s="317"/>
      <c r="VQE79" s="317"/>
      <c r="VQF79" s="317"/>
      <c r="VQG79" s="317"/>
      <c r="VQH79" s="317"/>
      <c r="VQI79" s="317"/>
      <c r="VQJ79" s="317"/>
      <c r="VQK79" s="317"/>
      <c r="VQL79" s="317"/>
      <c r="VQM79" s="317"/>
      <c r="VQN79" s="317"/>
      <c r="VQO79" s="317"/>
      <c r="VQP79" s="317"/>
      <c r="VQQ79" s="317"/>
      <c r="VQR79" s="317"/>
      <c r="VQS79" s="317"/>
      <c r="VQT79" s="317"/>
      <c r="VQU79" s="317"/>
      <c r="VQV79" s="317"/>
      <c r="VQW79" s="317"/>
      <c r="VQX79" s="317"/>
      <c r="VQY79" s="317"/>
      <c r="VQZ79" s="317"/>
      <c r="VRA79" s="317"/>
      <c r="VRB79" s="317"/>
      <c r="VRC79" s="317"/>
      <c r="VRD79" s="317"/>
      <c r="VRE79" s="317"/>
      <c r="VRF79" s="317"/>
      <c r="VRG79" s="317"/>
      <c r="VRH79" s="317"/>
      <c r="VRI79" s="317"/>
      <c r="VRJ79" s="317"/>
      <c r="VRK79" s="317"/>
      <c r="VRL79" s="317"/>
      <c r="VRM79" s="317"/>
      <c r="VRN79" s="317"/>
      <c r="VRO79" s="317"/>
      <c r="VRP79" s="317"/>
      <c r="VRQ79" s="317"/>
      <c r="VRR79" s="317"/>
      <c r="VRS79" s="317"/>
      <c r="VRT79" s="317"/>
      <c r="VRU79" s="317"/>
      <c r="VRV79" s="317"/>
      <c r="VRW79" s="317"/>
      <c r="VRX79" s="317"/>
      <c r="VRY79" s="317"/>
      <c r="VRZ79" s="317"/>
      <c r="VSA79" s="317"/>
      <c r="VSB79" s="317"/>
      <c r="VSC79" s="317"/>
      <c r="VSD79" s="317"/>
      <c r="VSE79" s="317"/>
      <c r="VSF79" s="317"/>
      <c r="VSG79" s="317"/>
      <c r="VSH79" s="317"/>
      <c r="VSI79" s="317"/>
      <c r="VSJ79" s="317"/>
      <c r="VSK79" s="317"/>
      <c r="VSL79" s="317"/>
      <c r="VSM79" s="317"/>
      <c r="VSN79" s="317"/>
      <c r="VSO79" s="317"/>
      <c r="VSP79" s="317"/>
      <c r="VSQ79" s="317"/>
      <c r="VSR79" s="317"/>
      <c r="VSS79" s="317"/>
      <c r="VST79" s="317"/>
      <c r="VSU79" s="317"/>
      <c r="VSV79" s="317"/>
      <c r="VSW79" s="317"/>
      <c r="VSX79" s="317"/>
      <c r="VSY79" s="317"/>
      <c r="VSZ79" s="317"/>
      <c r="VTA79" s="317"/>
      <c r="VTB79" s="317"/>
      <c r="VTC79" s="317"/>
      <c r="VTD79" s="317"/>
      <c r="VTE79" s="317"/>
      <c r="VTF79" s="317"/>
      <c r="VTG79" s="317"/>
      <c r="VTH79" s="317"/>
      <c r="VTI79" s="317"/>
      <c r="VTJ79" s="317"/>
      <c r="VTK79" s="317"/>
      <c r="VTL79" s="317"/>
      <c r="VTM79" s="317"/>
      <c r="VTN79" s="317"/>
      <c r="VTO79" s="317"/>
      <c r="VTP79" s="317"/>
      <c r="VTQ79" s="317"/>
      <c r="VTR79" s="317"/>
      <c r="VTS79" s="317"/>
      <c r="VTT79" s="317"/>
      <c r="VTU79" s="317"/>
      <c r="VTV79" s="317"/>
      <c r="VTW79" s="317"/>
      <c r="VTX79" s="317"/>
      <c r="VTY79" s="317"/>
      <c r="VTZ79" s="317"/>
      <c r="VUA79" s="317"/>
      <c r="VUB79" s="317"/>
      <c r="VUC79" s="317"/>
      <c r="VUD79" s="317"/>
      <c r="VUE79" s="317"/>
      <c r="VUF79" s="317"/>
      <c r="VUG79" s="317"/>
      <c r="VUH79" s="317"/>
      <c r="VUI79" s="317"/>
      <c r="VUJ79" s="317"/>
      <c r="VUK79" s="317"/>
      <c r="VUL79" s="317"/>
      <c r="VUM79" s="317"/>
      <c r="VUN79" s="317"/>
      <c r="VUO79" s="317"/>
      <c r="VUP79" s="317"/>
      <c r="VUQ79" s="317"/>
      <c r="VUR79" s="317"/>
      <c r="VUS79" s="317"/>
      <c r="VUT79" s="317"/>
      <c r="VUU79" s="317"/>
      <c r="VUV79" s="317"/>
      <c r="VUW79" s="317"/>
      <c r="VUX79" s="317"/>
      <c r="VUY79" s="317"/>
      <c r="VUZ79" s="317"/>
      <c r="VVA79" s="317"/>
      <c r="VVB79" s="317"/>
      <c r="VVC79" s="317"/>
      <c r="VVD79" s="317"/>
      <c r="VVE79" s="317"/>
      <c r="VVF79" s="317"/>
      <c r="VVG79" s="317"/>
      <c r="VVH79" s="317"/>
      <c r="VVI79" s="317"/>
      <c r="VVJ79" s="317"/>
      <c r="VVK79" s="317"/>
      <c r="VVL79" s="317"/>
      <c r="VVM79" s="317"/>
      <c r="VVN79" s="317"/>
      <c r="VVO79" s="317"/>
      <c r="VVP79" s="317"/>
      <c r="VVQ79" s="317"/>
      <c r="VVR79" s="317"/>
      <c r="VVS79" s="317"/>
      <c r="VVT79" s="317"/>
      <c r="VVU79" s="317"/>
      <c r="VVV79" s="317"/>
      <c r="VVW79" s="317"/>
      <c r="VVX79" s="317"/>
      <c r="VVY79" s="317"/>
      <c r="VVZ79" s="317"/>
      <c r="VWA79" s="317"/>
      <c r="VWB79" s="317"/>
      <c r="VWC79" s="317"/>
      <c r="VWD79" s="317"/>
      <c r="VWE79" s="317"/>
      <c r="VWF79" s="317"/>
      <c r="VWG79" s="317"/>
      <c r="VWH79" s="317"/>
      <c r="VWI79" s="317"/>
      <c r="VWJ79" s="317"/>
      <c r="VWK79" s="317"/>
      <c r="VWL79" s="317"/>
      <c r="VWM79" s="317"/>
      <c r="VWN79" s="317"/>
      <c r="VWO79" s="317"/>
      <c r="VWP79" s="317"/>
      <c r="VWQ79" s="317"/>
      <c r="VWR79" s="317"/>
      <c r="VWS79" s="317"/>
      <c r="VWT79" s="317"/>
      <c r="VWU79" s="317"/>
      <c r="VWV79" s="317"/>
      <c r="VWW79" s="317"/>
      <c r="VWX79" s="317"/>
      <c r="VWY79" s="317"/>
      <c r="VWZ79" s="317"/>
      <c r="VXA79" s="317"/>
      <c r="VXB79" s="317"/>
      <c r="VXC79" s="317"/>
      <c r="VXD79" s="317"/>
      <c r="VXE79" s="317"/>
      <c r="VXF79" s="317"/>
      <c r="VXG79" s="317"/>
      <c r="VXH79" s="317"/>
      <c r="VXI79" s="317"/>
      <c r="VXJ79" s="317"/>
      <c r="VXK79" s="317"/>
      <c r="VXL79" s="317"/>
      <c r="VXM79" s="317"/>
      <c r="VXN79" s="317"/>
      <c r="VXO79" s="317"/>
      <c r="VXP79" s="317"/>
      <c r="VXQ79" s="317"/>
      <c r="VXR79" s="317"/>
      <c r="VXS79" s="317"/>
      <c r="VXT79" s="317"/>
      <c r="VXU79" s="317"/>
      <c r="VXV79" s="317"/>
      <c r="VXW79" s="317"/>
      <c r="VXX79" s="317"/>
      <c r="VXY79" s="317"/>
      <c r="VXZ79" s="317"/>
      <c r="VYA79" s="317"/>
      <c r="VYB79" s="317"/>
      <c r="VYC79" s="317"/>
      <c r="VYD79" s="317"/>
      <c r="VYE79" s="317"/>
      <c r="VYF79" s="317"/>
      <c r="VYG79" s="317"/>
      <c r="VYH79" s="317"/>
      <c r="VYI79" s="317"/>
      <c r="VYJ79" s="317"/>
      <c r="VYK79" s="317"/>
      <c r="VYL79" s="317"/>
      <c r="VYM79" s="317"/>
      <c r="VYN79" s="317"/>
      <c r="VYO79" s="317"/>
      <c r="VYP79" s="317"/>
      <c r="VYQ79" s="317"/>
      <c r="VYR79" s="317"/>
      <c r="VYS79" s="317"/>
      <c r="VYT79" s="317"/>
      <c r="VYU79" s="317"/>
      <c r="VYV79" s="317"/>
      <c r="VYW79" s="317"/>
      <c r="VYX79" s="317"/>
      <c r="VYY79" s="317"/>
      <c r="VYZ79" s="317"/>
      <c r="VZA79" s="317"/>
      <c r="VZB79" s="317"/>
      <c r="VZC79" s="317"/>
      <c r="VZD79" s="317"/>
      <c r="VZE79" s="317"/>
      <c r="VZF79" s="317"/>
      <c r="VZG79" s="317"/>
      <c r="VZH79" s="317"/>
      <c r="VZI79" s="317"/>
      <c r="VZJ79" s="317"/>
      <c r="VZK79" s="317"/>
      <c r="VZL79" s="317"/>
      <c r="VZM79" s="317"/>
      <c r="VZN79" s="317"/>
      <c r="VZO79" s="317"/>
      <c r="VZP79" s="317"/>
      <c r="VZQ79" s="317"/>
      <c r="VZR79" s="317"/>
      <c r="VZS79" s="317"/>
      <c r="VZT79" s="317"/>
      <c r="VZU79" s="317"/>
      <c r="VZV79" s="317"/>
      <c r="VZW79" s="317"/>
      <c r="VZX79" s="317"/>
      <c r="VZY79" s="317"/>
      <c r="VZZ79" s="317"/>
      <c r="WAA79" s="317"/>
      <c r="WAB79" s="317"/>
      <c r="WAC79" s="317"/>
      <c r="WAD79" s="317"/>
      <c r="WAE79" s="317"/>
      <c r="WAF79" s="317"/>
      <c r="WAG79" s="317"/>
      <c r="WAH79" s="317"/>
      <c r="WAI79" s="317"/>
      <c r="WAJ79" s="317"/>
      <c r="WAK79" s="317"/>
      <c r="WAL79" s="317"/>
      <c r="WAM79" s="317"/>
      <c r="WAN79" s="317"/>
      <c r="WAO79" s="317"/>
      <c r="WAP79" s="317"/>
      <c r="WAQ79" s="317"/>
      <c r="WAR79" s="317"/>
      <c r="WAS79" s="317"/>
      <c r="WAT79" s="317"/>
      <c r="WAU79" s="317"/>
      <c r="WAV79" s="317"/>
      <c r="WAW79" s="317"/>
      <c r="WAX79" s="317"/>
      <c r="WAY79" s="317"/>
      <c r="WAZ79" s="317"/>
      <c r="WBA79" s="317"/>
      <c r="WBB79" s="317"/>
      <c r="WBC79" s="317"/>
      <c r="WBD79" s="317"/>
      <c r="WBE79" s="317"/>
      <c r="WBF79" s="317"/>
      <c r="WBG79" s="317"/>
      <c r="WBH79" s="317"/>
      <c r="WBI79" s="317"/>
      <c r="WBJ79" s="317"/>
      <c r="WBK79" s="317"/>
      <c r="WBL79" s="317"/>
      <c r="WBM79" s="317"/>
      <c r="WBN79" s="317"/>
      <c r="WBO79" s="317"/>
      <c r="WBP79" s="317"/>
      <c r="WBQ79" s="317"/>
      <c r="WBR79" s="317"/>
      <c r="WBS79" s="317"/>
      <c r="WBT79" s="317"/>
      <c r="WBU79" s="317"/>
      <c r="WBV79" s="317"/>
      <c r="WBW79" s="317"/>
      <c r="WBX79" s="317"/>
      <c r="WBY79" s="317"/>
      <c r="WBZ79" s="317"/>
      <c r="WCA79" s="317"/>
      <c r="WCB79" s="317"/>
      <c r="WCC79" s="317"/>
      <c r="WCD79" s="317"/>
      <c r="WCE79" s="317"/>
      <c r="WCF79" s="317"/>
      <c r="WCG79" s="317"/>
      <c r="WCH79" s="317"/>
      <c r="WCI79" s="317"/>
      <c r="WCJ79" s="317"/>
      <c r="WCK79" s="317"/>
      <c r="WCL79" s="317"/>
      <c r="WCM79" s="317"/>
      <c r="WCN79" s="317"/>
      <c r="WCO79" s="317"/>
      <c r="WCP79" s="317"/>
      <c r="WCQ79" s="317"/>
      <c r="WCR79" s="317"/>
      <c r="WCS79" s="317"/>
      <c r="WCT79" s="317"/>
      <c r="WCU79" s="317"/>
      <c r="WCV79" s="317"/>
      <c r="WCW79" s="317"/>
      <c r="WCX79" s="317"/>
      <c r="WCY79" s="317"/>
      <c r="WCZ79" s="317"/>
      <c r="WDA79" s="317"/>
      <c r="WDB79" s="317"/>
      <c r="WDC79" s="317"/>
      <c r="WDD79" s="317"/>
      <c r="WDE79" s="317"/>
      <c r="WDF79" s="317"/>
      <c r="WDG79" s="317"/>
      <c r="WDH79" s="317"/>
      <c r="WDI79" s="317"/>
      <c r="WDJ79" s="317"/>
      <c r="WDK79" s="317"/>
      <c r="WDL79" s="317"/>
      <c r="WDM79" s="317"/>
      <c r="WDN79" s="317"/>
      <c r="WDO79" s="317"/>
      <c r="WDP79" s="317"/>
      <c r="WDQ79" s="317"/>
      <c r="WDR79" s="317"/>
      <c r="WDS79" s="317"/>
      <c r="WDT79" s="317"/>
      <c r="WDU79" s="317"/>
      <c r="WDV79" s="317"/>
      <c r="WDW79" s="317"/>
      <c r="WDX79" s="317"/>
      <c r="WDY79" s="317"/>
      <c r="WDZ79" s="317"/>
      <c r="WEA79" s="317"/>
      <c r="WEB79" s="317"/>
      <c r="WEC79" s="317"/>
      <c r="WED79" s="317"/>
      <c r="WEE79" s="317"/>
      <c r="WEF79" s="317"/>
      <c r="WEG79" s="317"/>
      <c r="WEH79" s="317"/>
      <c r="WEI79" s="317"/>
      <c r="WEJ79" s="317"/>
      <c r="WEK79" s="317"/>
      <c r="WEL79" s="317"/>
      <c r="WEM79" s="317"/>
      <c r="WEN79" s="317"/>
      <c r="WEO79" s="317"/>
      <c r="WEP79" s="317"/>
      <c r="WEQ79" s="317"/>
      <c r="WER79" s="317"/>
      <c r="WES79" s="317"/>
      <c r="WET79" s="317"/>
      <c r="WEU79" s="317"/>
      <c r="WEV79" s="317"/>
      <c r="WEW79" s="317"/>
      <c r="WEX79" s="317"/>
      <c r="WEY79" s="317"/>
      <c r="WEZ79" s="317"/>
      <c r="WFA79" s="317"/>
      <c r="WFB79" s="317"/>
      <c r="WFC79" s="317"/>
      <c r="WFD79" s="317"/>
      <c r="WFE79" s="317"/>
      <c r="WFF79" s="317"/>
      <c r="WFG79" s="317"/>
      <c r="WFH79" s="317"/>
      <c r="WFI79" s="317"/>
      <c r="WFJ79" s="317"/>
      <c r="WFK79" s="317"/>
      <c r="WFL79" s="317"/>
      <c r="WFM79" s="317"/>
      <c r="WFN79" s="317"/>
      <c r="WFO79" s="317"/>
      <c r="WFP79" s="317"/>
      <c r="WFQ79" s="317"/>
      <c r="WFR79" s="317"/>
      <c r="WFS79" s="317"/>
      <c r="WFT79" s="317"/>
      <c r="WFU79" s="317"/>
      <c r="WFV79" s="317"/>
      <c r="WFW79" s="317"/>
      <c r="WFX79" s="317"/>
      <c r="WFY79" s="317"/>
      <c r="WFZ79" s="317"/>
      <c r="WGA79" s="317"/>
      <c r="WGB79" s="317"/>
      <c r="WGC79" s="317"/>
      <c r="WGD79" s="317"/>
      <c r="WGE79" s="317"/>
      <c r="WGF79" s="317"/>
      <c r="WGG79" s="317"/>
      <c r="WGH79" s="317"/>
      <c r="WGI79" s="317"/>
      <c r="WGJ79" s="317"/>
      <c r="WGK79" s="317"/>
      <c r="WGL79" s="317"/>
      <c r="WGM79" s="317"/>
      <c r="WGN79" s="317"/>
      <c r="WGO79" s="317"/>
      <c r="WGP79" s="317"/>
      <c r="WGQ79" s="317"/>
      <c r="WGR79" s="317"/>
      <c r="WGS79" s="317"/>
      <c r="WGT79" s="317"/>
      <c r="WGU79" s="317"/>
      <c r="WGV79" s="317"/>
      <c r="WGW79" s="317"/>
      <c r="WGX79" s="317"/>
      <c r="WGY79" s="317"/>
      <c r="WGZ79" s="317"/>
      <c r="WHA79" s="317"/>
      <c r="WHB79" s="317"/>
      <c r="WHC79" s="317"/>
      <c r="WHD79" s="317"/>
      <c r="WHE79" s="317"/>
      <c r="WHF79" s="317"/>
      <c r="WHG79" s="317"/>
      <c r="WHH79" s="317"/>
      <c r="WHI79" s="317"/>
      <c r="WHJ79" s="317"/>
      <c r="WHK79" s="317"/>
      <c r="WHL79" s="317"/>
      <c r="WHM79" s="317"/>
      <c r="WHN79" s="317"/>
      <c r="WHO79" s="317"/>
      <c r="WHP79" s="317"/>
      <c r="WHQ79" s="317"/>
      <c r="WHR79" s="317"/>
      <c r="WHS79" s="317"/>
      <c r="WHT79" s="317"/>
      <c r="WHU79" s="317"/>
      <c r="WHV79" s="317"/>
      <c r="WHW79" s="317"/>
      <c r="WHX79" s="317"/>
      <c r="WHY79" s="317"/>
      <c r="WHZ79" s="317"/>
      <c r="WIA79" s="317"/>
      <c r="WIB79" s="317"/>
      <c r="WIC79" s="317"/>
      <c r="WID79" s="317"/>
      <c r="WIE79" s="317"/>
      <c r="WIF79" s="317"/>
      <c r="WIG79" s="317"/>
      <c r="WIH79" s="317"/>
      <c r="WII79" s="317"/>
      <c r="WIJ79" s="317"/>
      <c r="WIK79" s="317"/>
      <c r="WIL79" s="317"/>
      <c r="WIM79" s="317"/>
      <c r="WIN79" s="317"/>
      <c r="WIO79" s="317"/>
      <c r="WIP79" s="317"/>
      <c r="WIQ79" s="317"/>
      <c r="WIR79" s="317"/>
      <c r="WIS79" s="317"/>
      <c r="WIT79" s="317"/>
      <c r="WIU79" s="317"/>
      <c r="WIV79" s="317"/>
      <c r="WIW79" s="317"/>
      <c r="WIX79" s="317"/>
      <c r="WIY79" s="317"/>
      <c r="WIZ79" s="317"/>
      <c r="WJA79" s="317"/>
      <c r="WJB79" s="317"/>
      <c r="WJC79" s="317"/>
      <c r="WJD79" s="317"/>
      <c r="WJE79" s="317"/>
      <c r="WJF79" s="317"/>
      <c r="WJG79" s="317"/>
      <c r="WJH79" s="317"/>
      <c r="WJI79" s="317"/>
      <c r="WJJ79" s="317"/>
      <c r="WJK79" s="317"/>
      <c r="WJL79" s="317"/>
      <c r="WJM79" s="317"/>
      <c r="WJN79" s="317"/>
      <c r="WJO79" s="317"/>
      <c r="WJP79" s="317"/>
      <c r="WJQ79" s="317"/>
      <c r="WJR79" s="317"/>
      <c r="WJS79" s="317"/>
      <c r="WJT79" s="317"/>
      <c r="WJU79" s="317"/>
      <c r="WJV79" s="317"/>
      <c r="WJW79" s="317"/>
      <c r="WJX79" s="317"/>
      <c r="WJY79" s="317"/>
      <c r="WJZ79" s="317"/>
      <c r="WKA79" s="317"/>
      <c r="WKB79" s="317"/>
      <c r="WKC79" s="317"/>
      <c r="WKD79" s="317"/>
      <c r="WKE79" s="317"/>
      <c r="WKF79" s="317"/>
      <c r="WKG79" s="317"/>
      <c r="WKH79" s="317"/>
      <c r="WKI79" s="317"/>
      <c r="WKJ79" s="317"/>
      <c r="WKK79" s="317"/>
      <c r="WKL79" s="317"/>
      <c r="WKM79" s="317"/>
      <c r="WKN79" s="317"/>
      <c r="WKO79" s="317"/>
      <c r="WKP79" s="317"/>
      <c r="WKQ79" s="317"/>
      <c r="WKR79" s="317"/>
      <c r="WKS79" s="317"/>
      <c r="WKT79" s="317"/>
      <c r="WKU79" s="317"/>
      <c r="WKV79" s="317"/>
      <c r="WKW79" s="317"/>
      <c r="WKX79" s="317"/>
      <c r="WKY79" s="317"/>
      <c r="WKZ79" s="317"/>
      <c r="WLA79" s="317"/>
      <c r="WLB79" s="317"/>
      <c r="WLC79" s="317"/>
      <c r="WLD79" s="317"/>
      <c r="WLE79" s="317"/>
      <c r="WLF79" s="317"/>
      <c r="WLG79" s="317"/>
      <c r="WLH79" s="317"/>
      <c r="WLI79" s="317"/>
      <c r="WLJ79" s="317"/>
      <c r="WLK79" s="317"/>
      <c r="WLL79" s="317"/>
      <c r="WLM79" s="317"/>
      <c r="WLN79" s="317"/>
      <c r="WLO79" s="317"/>
      <c r="WLP79" s="317"/>
      <c r="WLQ79" s="317"/>
      <c r="WLR79" s="317"/>
      <c r="WLS79" s="317"/>
      <c r="WLT79" s="317"/>
      <c r="WLU79" s="317"/>
      <c r="WLV79" s="317"/>
      <c r="WLW79" s="317"/>
      <c r="WLX79" s="317"/>
      <c r="WLY79" s="317"/>
      <c r="WLZ79" s="317"/>
      <c r="WMA79" s="317"/>
      <c r="WMB79" s="317"/>
      <c r="WMC79" s="317"/>
      <c r="WMD79" s="317"/>
      <c r="WME79" s="317"/>
      <c r="WMF79" s="317"/>
      <c r="WMG79" s="317"/>
      <c r="WMH79" s="317"/>
      <c r="WMI79" s="317"/>
      <c r="WMJ79" s="317"/>
      <c r="WMK79" s="317"/>
      <c r="WML79" s="317"/>
      <c r="WMM79" s="317"/>
      <c r="WMN79" s="317"/>
      <c r="WMO79" s="317"/>
      <c r="WMP79" s="317"/>
      <c r="WMQ79" s="317"/>
      <c r="WMR79" s="317"/>
      <c r="WMS79" s="317"/>
      <c r="WMT79" s="317"/>
      <c r="WMU79" s="317"/>
      <c r="WMV79" s="317"/>
      <c r="WMW79" s="317"/>
      <c r="WMX79" s="317"/>
      <c r="WMY79" s="317"/>
      <c r="WMZ79" s="317"/>
      <c r="WNA79" s="317"/>
      <c r="WNB79" s="317"/>
      <c r="WNC79" s="317"/>
      <c r="WND79" s="317"/>
      <c r="WNE79" s="317"/>
      <c r="WNF79" s="317"/>
      <c r="WNG79" s="317"/>
      <c r="WNH79" s="317"/>
      <c r="WNI79" s="317"/>
      <c r="WNJ79" s="317"/>
      <c r="WNK79" s="317"/>
      <c r="WNL79" s="317"/>
      <c r="WNM79" s="317"/>
      <c r="WNN79" s="317"/>
      <c r="WNO79" s="317"/>
      <c r="WNP79" s="317"/>
      <c r="WNQ79" s="317"/>
      <c r="WNR79" s="317"/>
      <c r="WNS79" s="317"/>
      <c r="WNT79" s="317"/>
      <c r="WNU79" s="317"/>
      <c r="WNV79" s="317"/>
      <c r="WNW79" s="317"/>
      <c r="WNX79" s="317"/>
      <c r="WNY79" s="317"/>
      <c r="WNZ79" s="317"/>
      <c r="WOA79" s="317"/>
      <c r="WOB79" s="317"/>
      <c r="WOC79" s="317"/>
      <c r="WOD79" s="317"/>
      <c r="WOE79" s="317"/>
      <c r="WOF79" s="317"/>
      <c r="WOG79" s="317"/>
      <c r="WOH79" s="317"/>
      <c r="WOI79" s="317"/>
      <c r="WOJ79" s="317"/>
      <c r="WOK79" s="317"/>
      <c r="WOL79" s="317"/>
      <c r="WOM79" s="317"/>
      <c r="WON79" s="317"/>
      <c r="WOO79" s="317"/>
      <c r="WOP79" s="317"/>
      <c r="WOQ79" s="317"/>
      <c r="WOR79" s="317"/>
      <c r="WOS79" s="317"/>
      <c r="WOT79" s="317"/>
      <c r="WOU79" s="317"/>
      <c r="WOV79" s="317"/>
      <c r="WOW79" s="317"/>
      <c r="WOX79" s="317"/>
      <c r="WOY79" s="317"/>
      <c r="WOZ79" s="317"/>
      <c r="WPA79" s="317"/>
      <c r="WPB79" s="317"/>
      <c r="WPC79" s="317"/>
      <c r="WPD79" s="317"/>
      <c r="WPE79" s="317"/>
      <c r="WPF79" s="317"/>
      <c r="WPG79" s="317"/>
      <c r="WPH79" s="317"/>
      <c r="WPI79" s="317"/>
      <c r="WPJ79" s="317"/>
      <c r="WPK79" s="317"/>
      <c r="WPL79" s="317"/>
      <c r="WPM79" s="317"/>
      <c r="WPN79" s="317"/>
      <c r="WPO79" s="317"/>
      <c r="WPP79" s="317"/>
      <c r="WPQ79" s="317"/>
      <c r="WPR79" s="317"/>
      <c r="WPS79" s="317"/>
      <c r="WPT79" s="317"/>
      <c r="WPU79" s="317"/>
      <c r="WPV79" s="317"/>
      <c r="WPW79" s="317"/>
      <c r="WPX79" s="317"/>
      <c r="WPY79" s="317"/>
      <c r="WPZ79" s="317"/>
      <c r="WQA79" s="317"/>
      <c r="WQB79" s="317"/>
      <c r="WQC79" s="317"/>
      <c r="WQD79" s="317"/>
      <c r="WQE79" s="317"/>
      <c r="WQF79" s="317"/>
      <c r="WQG79" s="317"/>
      <c r="WQH79" s="317"/>
      <c r="WQI79" s="317"/>
      <c r="WQJ79" s="317"/>
      <c r="WQK79" s="317"/>
      <c r="WQL79" s="317"/>
      <c r="WQM79" s="317"/>
      <c r="WQN79" s="317"/>
      <c r="WQO79" s="317"/>
      <c r="WQP79" s="317"/>
      <c r="WQQ79" s="317"/>
      <c r="WQR79" s="317"/>
      <c r="WQS79" s="317"/>
      <c r="WQT79" s="317"/>
      <c r="WQU79" s="317"/>
      <c r="WQV79" s="317"/>
      <c r="WQW79" s="317"/>
      <c r="WQX79" s="317"/>
      <c r="WQY79" s="317"/>
      <c r="WQZ79" s="317"/>
      <c r="WRA79" s="317"/>
      <c r="WRB79" s="317"/>
      <c r="WRC79" s="317"/>
      <c r="WRD79" s="317"/>
      <c r="WRE79" s="317"/>
      <c r="WRF79" s="317"/>
      <c r="WRG79" s="317"/>
      <c r="WRH79" s="317"/>
      <c r="WRI79" s="317"/>
      <c r="WRJ79" s="317"/>
      <c r="WRK79" s="317"/>
      <c r="WRL79" s="317"/>
      <c r="WRM79" s="317"/>
      <c r="WRN79" s="317"/>
      <c r="WRO79" s="317"/>
      <c r="WRP79" s="317"/>
      <c r="WRQ79" s="317"/>
      <c r="WRR79" s="317"/>
      <c r="WRS79" s="317"/>
      <c r="WRT79" s="317"/>
      <c r="WRU79" s="317"/>
      <c r="WRV79" s="317"/>
      <c r="WRW79" s="317"/>
      <c r="WRX79" s="317"/>
      <c r="WRY79" s="317"/>
      <c r="WRZ79" s="317"/>
      <c r="WSA79" s="317"/>
      <c r="WSB79" s="317"/>
      <c r="WSC79" s="317"/>
      <c r="WSD79" s="317"/>
      <c r="WSE79" s="317"/>
      <c r="WSF79" s="317"/>
      <c r="WSG79" s="317"/>
      <c r="WSH79" s="317"/>
      <c r="WSI79" s="317"/>
      <c r="WSJ79" s="317"/>
      <c r="WSK79" s="317"/>
      <c r="WSL79" s="317"/>
      <c r="WSM79" s="317"/>
      <c r="WSN79" s="317"/>
      <c r="WSO79" s="317"/>
      <c r="WSP79" s="317"/>
      <c r="WSQ79" s="317"/>
      <c r="WSR79" s="317"/>
      <c r="WSS79" s="317"/>
      <c r="WST79" s="317"/>
      <c r="WSU79" s="317"/>
      <c r="WSV79" s="317"/>
      <c r="WSW79" s="317"/>
      <c r="WSX79" s="317"/>
      <c r="WSY79" s="317"/>
      <c r="WSZ79" s="317"/>
      <c r="WTA79" s="317"/>
      <c r="WTB79" s="317"/>
      <c r="WTC79" s="317"/>
      <c r="WTD79" s="317"/>
      <c r="WTE79" s="317"/>
      <c r="WTF79" s="317"/>
      <c r="WTG79" s="317"/>
      <c r="WTH79" s="317"/>
      <c r="WTI79" s="317"/>
      <c r="WTJ79" s="317"/>
      <c r="WTK79" s="317"/>
      <c r="WTL79" s="317"/>
      <c r="WTM79" s="317"/>
      <c r="WTN79" s="317"/>
      <c r="WTO79" s="317"/>
      <c r="WTP79" s="317"/>
      <c r="WTQ79" s="317"/>
      <c r="WTR79" s="317"/>
      <c r="WTS79" s="317"/>
      <c r="WTT79" s="317"/>
      <c r="WTU79" s="317"/>
      <c r="WTV79" s="317"/>
      <c r="WTW79" s="317"/>
      <c r="WTX79" s="317"/>
      <c r="WTY79" s="317"/>
      <c r="WTZ79" s="317"/>
      <c r="WUA79" s="317"/>
      <c r="WUB79" s="317"/>
      <c r="WUC79" s="317"/>
      <c r="WUD79" s="317"/>
      <c r="WUE79" s="317"/>
      <c r="WUF79" s="317"/>
      <c r="WUG79" s="317"/>
      <c r="WUH79" s="317"/>
      <c r="WUI79" s="317"/>
      <c r="WUJ79" s="317"/>
      <c r="WUK79" s="317"/>
      <c r="WUL79" s="317"/>
      <c r="WUM79" s="317"/>
      <c r="WUN79" s="317"/>
      <c r="WUO79" s="317"/>
      <c r="WUP79" s="317"/>
      <c r="WUQ79" s="317"/>
      <c r="WUR79" s="317"/>
      <c r="WUS79" s="317"/>
      <c r="WUT79" s="317"/>
      <c r="WUU79" s="317"/>
      <c r="WUV79" s="317"/>
      <c r="WUW79" s="317"/>
      <c r="WUX79" s="317"/>
      <c r="WUY79" s="317"/>
      <c r="WUZ79" s="317"/>
      <c r="WVA79" s="317"/>
      <c r="WVB79" s="317"/>
      <c r="WVC79" s="317"/>
      <c r="WVD79" s="317"/>
      <c r="WVE79" s="317"/>
      <c r="WVF79" s="317"/>
      <c r="WVG79" s="317"/>
      <c r="WVH79" s="317"/>
      <c r="WVI79" s="317"/>
      <c r="WVJ79" s="317"/>
      <c r="WVK79" s="317"/>
      <c r="WVL79" s="317"/>
      <c r="WVM79" s="317"/>
      <c r="WVN79" s="317"/>
      <c r="WVO79" s="317"/>
      <c r="WVP79" s="317"/>
      <c r="WVQ79" s="317"/>
      <c r="WVR79" s="317"/>
      <c r="WVS79" s="317"/>
      <c r="WVT79" s="317"/>
      <c r="WVU79" s="317"/>
      <c r="WVV79" s="317"/>
      <c r="WVW79" s="317"/>
      <c r="WVX79" s="317"/>
      <c r="WVY79" s="317"/>
      <c r="WVZ79" s="317"/>
      <c r="WWA79" s="317"/>
      <c r="WWB79" s="317"/>
      <c r="WWC79" s="317"/>
      <c r="WWD79" s="317"/>
      <c r="WWE79" s="317"/>
      <c r="WWF79" s="317"/>
      <c r="WWG79" s="317"/>
      <c r="WWH79" s="317"/>
      <c r="WWI79" s="317"/>
      <c r="WWJ79" s="317"/>
      <c r="WWK79" s="317"/>
      <c r="WWL79" s="317"/>
      <c r="WWM79" s="317"/>
      <c r="WWN79" s="317"/>
      <c r="WWO79" s="317"/>
      <c r="WWP79" s="317"/>
      <c r="WWQ79" s="317"/>
      <c r="WWR79" s="317"/>
      <c r="WWS79" s="317"/>
      <c r="WWT79" s="317"/>
      <c r="WWU79" s="317"/>
      <c r="WWV79" s="317"/>
      <c r="WWW79" s="317"/>
      <c r="WWX79" s="317"/>
      <c r="WWY79" s="317"/>
      <c r="WWZ79" s="317"/>
      <c r="WXA79" s="317"/>
      <c r="WXB79" s="317"/>
      <c r="WXC79" s="317"/>
      <c r="WXD79" s="317"/>
      <c r="WXE79" s="317"/>
      <c r="WXF79" s="317"/>
      <c r="WXG79" s="317"/>
      <c r="WXH79" s="317"/>
      <c r="WXI79" s="317"/>
      <c r="WXJ79" s="317"/>
      <c r="WXK79" s="317"/>
      <c r="WXL79" s="317"/>
      <c r="WXM79" s="317"/>
      <c r="WXN79" s="317"/>
      <c r="WXO79" s="317"/>
      <c r="WXP79" s="317"/>
      <c r="WXQ79" s="317"/>
      <c r="WXR79" s="317"/>
      <c r="WXS79" s="317"/>
      <c r="WXT79" s="317"/>
      <c r="WXU79" s="317"/>
      <c r="WXV79" s="317"/>
      <c r="WXW79" s="317"/>
      <c r="WXX79" s="317"/>
      <c r="WXY79" s="317"/>
      <c r="WXZ79" s="317"/>
      <c r="WYA79" s="317"/>
      <c r="WYB79" s="317"/>
      <c r="WYC79" s="317"/>
      <c r="WYD79" s="317"/>
      <c r="WYE79" s="317"/>
      <c r="WYF79" s="317"/>
      <c r="WYG79" s="317"/>
      <c r="WYH79" s="317"/>
      <c r="WYI79" s="317"/>
      <c r="WYJ79" s="317"/>
      <c r="WYK79" s="317"/>
      <c r="WYL79" s="317"/>
      <c r="WYM79" s="317"/>
      <c r="WYN79" s="317"/>
      <c r="WYO79" s="317"/>
      <c r="WYP79" s="317"/>
      <c r="WYQ79" s="317"/>
      <c r="WYR79" s="317"/>
      <c r="WYS79" s="317"/>
      <c r="WYT79" s="317"/>
      <c r="WYU79" s="317"/>
      <c r="WYV79" s="317"/>
      <c r="WYW79" s="317"/>
      <c r="WYX79" s="317"/>
      <c r="WYY79" s="317"/>
      <c r="WYZ79" s="317"/>
      <c r="WZA79" s="317"/>
      <c r="WZB79" s="317"/>
      <c r="WZC79" s="317"/>
      <c r="WZD79" s="317"/>
      <c r="WZE79" s="317"/>
      <c r="WZF79" s="317"/>
      <c r="WZG79" s="317"/>
      <c r="WZH79" s="317"/>
      <c r="WZI79" s="317"/>
      <c r="WZJ79" s="317"/>
      <c r="WZK79" s="317"/>
      <c r="WZL79" s="317"/>
      <c r="WZM79" s="317"/>
      <c r="WZN79" s="317"/>
      <c r="WZO79" s="317"/>
      <c r="WZP79" s="317"/>
      <c r="WZQ79" s="317"/>
      <c r="WZR79" s="317"/>
      <c r="WZS79" s="317"/>
      <c r="WZT79" s="317"/>
      <c r="WZU79" s="317"/>
      <c r="WZV79" s="317"/>
      <c r="WZW79" s="317"/>
      <c r="WZX79" s="317"/>
      <c r="WZY79" s="317"/>
      <c r="WZZ79" s="317"/>
      <c r="XAA79" s="317"/>
      <c r="XAB79" s="317"/>
      <c r="XAC79" s="317"/>
      <c r="XAD79" s="317"/>
      <c r="XAE79" s="317"/>
      <c r="XAF79" s="317"/>
      <c r="XAG79" s="317"/>
      <c r="XAH79" s="317"/>
      <c r="XAI79" s="317"/>
      <c r="XAJ79" s="317"/>
      <c r="XAK79" s="317"/>
      <c r="XAL79" s="317"/>
      <c r="XAM79" s="317"/>
      <c r="XAN79" s="317"/>
      <c r="XAO79" s="317"/>
      <c r="XAP79" s="317"/>
      <c r="XAQ79" s="317"/>
      <c r="XAR79" s="317"/>
      <c r="XAS79" s="317"/>
      <c r="XAT79" s="317"/>
      <c r="XAU79" s="317"/>
      <c r="XAV79" s="317"/>
      <c r="XAW79" s="317"/>
      <c r="XAX79" s="317"/>
      <c r="XAY79" s="317"/>
      <c r="XAZ79" s="317"/>
      <c r="XBA79" s="317"/>
      <c r="XBB79" s="317"/>
      <c r="XBC79" s="317"/>
      <c r="XBD79" s="317"/>
      <c r="XBE79" s="317"/>
      <c r="XBF79" s="317"/>
      <c r="XBG79" s="317"/>
      <c r="XBH79" s="317"/>
      <c r="XBI79" s="317"/>
      <c r="XBJ79" s="317"/>
      <c r="XBK79" s="317"/>
      <c r="XBL79" s="317"/>
      <c r="XBM79" s="317"/>
      <c r="XBN79" s="317"/>
      <c r="XBO79" s="317"/>
      <c r="XBP79" s="317"/>
      <c r="XBQ79" s="317"/>
      <c r="XBR79" s="317"/>
      <c r="XBS79" s="317"/>
      <c r="XBT79" s="317"/>
      <c r="XBU79" s="317"/>
      <c r="XBV79" s="317"/>
      <c r="XBW79" s="317"/>
      <c r="XBX79" s="317"/>
      <c r="XBY79" s="317"/>
      <c r="XBZ79" s="317"/>
      <c r="XCA79" s="317"/>
      <c r="XCB79" s="317"/>
      <c r="XCC79" s="317"/>
      <c r="XCD79" s="317"/>
      <c r="XCE79" s="317"/>
      <c r="XCF79" s="317"/>
      <c r="XCG79" s="317"/>
      <c r="XCH79" s="317"/>
      <c r="XCI79" s="317"/>
      <c r="XCJ79" s="317"/>
      <c r="XCK79" s="317"/>
      <c r="XCL79" s="317"/>
      <c r="XCM79" s="317"/>
      <c r="XCN79" s="317"/>
      <c r="XCO79" s="317"/>
      <c r="XCP79" s="317"/>
      <c r="XCQ79" s="317"/>
      <c r="XCR79" s="317"/>
      <c r="XCS79" s="317"/>
      <c r="XCT79" s="317"/>
      <c r="XCU79" s="317"/>
      <c r="XCV79" s="317"/>
      <c r="XCW79" s="317"/>
      <c r="XCX79" s="317"/>
      <c r="XCY79" s="317"/>
      <c r="XCZ79" s="317"/>
      <c r="XDA79" s="317"/>
      <c r="XDB79" s="317"/>
      <c r="XDC79" s="317"/>
      <c r="XDD79" s="317"/>
      <c r="XDE79" s="317"/>
      <c r="XDF79" s="317"/>
      <c r="XDG79" s="317"/>
      <c r="XDH79" s="317"/>
      <c r="XDI79" s="317"/>
      <c r="XDJ79" s="317"/>
      <c r="XDK79" s="317"/>
      <c r="XDL79" s="317"/>
      <c r="XDM79" s="317"/>
      <c r="XDN79" s="317"/>
      <c r="XDO79" s="317"/>
      <c r="XDP79" s="317"/>
      <c r="XDQ79" s="317"/>
      <c r="XDR79" s="317"/>
      <c r="XDS79" s="317"/>
      <c r="XDT79" s="317"/>
      <c r="XDU79" s="317"/>
      <c r="XDV79" s="317"/>
      <c r="XDW79" s="317"/>
      <c r="XDX79" s="317"/>
      <c r="XDY79" s="317"/>
      <c r="XDZ79" s="317"/>
      <c r="XEA79" s="317"/>
      <c r="XEB79" s="317"/>
      <c r="XEC79" s="317"/>
      <c r="XED79" s="317"/>
      <c r="XEE79" s="317"/>
      <c r="XEF79" s="317"/>
      <c r="XEG79" s="317"/>
      <c r="XEH79" s="317"/>
      <c r="XEI79" s="317"/>
      <c r="XEJ79" s="317"/>
      <c r="XEK79" s="317"/>
      <c r="XEL79" s="317"/>
      <c r="XEM79" s="317"/>
      <c r="XEN79" s="317"/>
      <c r="XEO79" s="317"/>
      <c r="XEP79" s="317"/>
      <c r="XEQ79" s="317"/>
      <c r="XER79" s="317"/>
      <c r="XES79" s="317"/>
      <c r="XET79" s="317"/>
      <c r="XEU79" s="317"/>
      <c r="XEV79" s="317"/>
      <c r="XEW79" s="317"/>
      <c r="XEX79" s="317"/>
      <c r="XEY79" s="317"/>
      <c r="XEZ79" s="317"/>
      <c r="XFA79" s="317"/>
      <c r="XFB79" s="317"/>
      <c r="XFC79" s="317"/>
      <c r="XFD79" s="317"/>
    </row>
    <row r="80" s="314" customFormat="1" ht="25" customHeight="1" spans="1:74 14505:16384">
      <c r="A80" s="359"/>
      <c r="B80" s="360" t="s">
        <v>102</v>
      </c>
      <c r="I80" s="315"/>
      <c r="O80" s="316"/>
      <c r="P80" s="316"/>
      <c r="R80" s="360"/>
      <c r="V80" s="316"/>
      <c r="W80" s="316"/>
      <c r="X80" s="316"/>
      <c r="Y80" s="316"/>
      <c r="Z80" s="316"/>
      <c r="AA80" s="316"/>
      <c r="AB80" s="316"/>
      <c r="AC80" s="316"/>
      <c r="AD80" s="316"/>
      <c r="AF80" s="360"/>
      <c r="AK80" s="316"/>
      <c r="AM80" s="360"/>
      <c r="AQ80" s="316"/>
      <c r="AR80" s="316"/>
      <c r="AT80" s="360"/>
      <c r="AY80" s="316"/>
      <c r="BA80" s="360"/>
      <c r="BE80" s="316"/>
      <c r="BF80" s="316"/>
      <c r="BH80" s="360"/>
      <c r="BM80" s="316"/>
      <c r="BS80" s="316"/>
      <c r="BT80" s="316"/>
      <c r="UKW80" s="317"/>
      <c r="UKX80" s="317"/>
      <c r="UKY80" s="317"/>
      <c r="UKZ80" s="317"/>
      <c r="ULA80" s="317"/>
      <c r="ULB80" s="317"/>
      <c r="ULC80" s="317"/>
      <c r="ULD80" s="317"/>
      <c r="ULE80" s="317"/>
      <c r="ULF80" s="317"/>
      <c r="ULG80" s="317"/>
      <c r="ULH80" s="317"/>
      <c r="ULI80" s="317"/>
      <c r="ULJ80" s="317"/>
      <c r="ULK80" s="317"/>
      <c r="ULL80" s="317"/>
      <c r="ULM80" s="317"/>
      <c r="ULN80" s="317"/>
      <c r="ULO80" s="317"/>
      <c r="ULP80" s="317"/>
      <c r="ULQ80" s="317"/>
      <c r="ULR80" s="317"/>
      <c r="ULS80" s="317"/>
      <c r="ULT80" s="317"/>
      <c r="ULU80" s="317"/>
      <c r="ULV80" s="317"/>
      <c r="ULW80" s="317"/>
      <c r="ULX80" s="317"/>
      <c r="ULY80" s="317"/>
      <c r="ULZ80" s="317"/>
      <c r="UMA80" s="317"/>
      <c r="UMB80" s="317"/>
      <c r="UMC80" s="317"/>
      <c r="UMD80" s="317"/>
      <c r="UME80" s="317"/>
      <c r="UMF80" s="317"/>
      <c r="UMG80" s="317"/>
      <c r="UMH80" s="317"/>
      <c r="UMI80" s="317"/>
      <c r="UMJ80" s="317"/>
      <c r="UMK80" s="317"/>
      <c r="UML80" s="317"/>
      <c r="UMM80" s="317"/>
      <c r="UMN80" s="317"/>
      <c r="UMO80" s="317"/>
      <c r="UMP80" s="317"/>
      <c r="UMQ80" s="317"/>
      <c r="UMR80" s="317"/>
      <c r="UMS80" s="317"/>
      <c r="UMT80" s="317"/>
      <c r="UMU80" s="317"/>
      <c r="UMV80" s="317"/>
      <c r="UMW80" s="317"/>
      <c r="UMX80" s="317"/>
      <c r="UMY80" s="317"/>
      <c r="UMZ80" s="317"/>
      <c r="UNA80" s="317"/>
      <c r="UNB80" s="317"/>
      <c r="UNC80" s="317"/>
      <c r="UND80" s="317"/>
      <c r="UNE80" s="317"/>
      <c r="UNF80" s="317"/>
      <c r="UNG80" s="317"/>
      <c r="UNH80" s="317"/>
      <c r="UNI80" s="317"/>
      <c r="UNJ80" s="317"/>
      <c r="UNK80" s="317"/>
      <c r="UNL80" s="317"/>
      <c r="UNM80" s="317"/>
      <c r="UNN80" s="317"/>
      <c r="UNO80" s="317"/>
      <c r="UNP80" s="317"/>
      <c r="UNQ80" s="317"/>
      <c r="UNR80" s="317"/>
      <c r="UNS80" s="317"/>
      <c r="UNT80" s="317"/>
      <c r="UNU80" s="317"/>
      <c r="UNV80" s="317"/>
      <c r="UNW80" s="317"/>
      <c r="UNX80" s="317"/>
      <c r="UNY80" s="317"/>
      <c r="UNZ80" s="317"/>
      <c r="UOA80" s="317"/>
      <c r="UOB80" s="317"/>
      <c r="UOC80" s="317"/>
      <c r="UOD80" s="317"/>
      <c r="UOE80" s="317"/>
      <c r="UOF80" s="317"/>
      <c r="UOG80" s="317"/>
      <c r="UOH80" s="317"/>
      <c r="UOI80" s="317"/>
      <c r="UOJ80" s="317"/>
      <c r="UOK80" s="317"/>
      <c r="UOL80" s="317"/>
      <c r="UOM80" s="317"/>
      <c r="UON80" s="317"/>
      <c r="UOO80" s="317"/>
      <c r="UOP80" s="317"/>
      <c r="UOQ80" s="317"/>
      <c r="UOR80" s="317"/>
      <c r="UOS80" s="317"/>
      <c r="UOT80" s="317"/>
      <c r="UOU80" s="317"/>
      <c r="UOV80" s="317"/>
      <c r="UOW80" s="317"/>
      <c r="UOX80" s="317"/>
      <c r="UOY80" s="317"/>
      <c r="UOZ80" s="317"/>
      <c r="UPA80" s="317"/>
      <c r="UPB80" s="317"/>
      <c r="UPC80" s="317"/>
      <c r="UPD80" s="317"/>
      <c r="UPE80" s="317"/>
      <c r="UPF80" s="317"/>
      <c r="UPG80" s="317"/>
      <c r="UPH80" s="317"/>
      <c r="UPI80" s="317"/>
      <c r="UPJ80" s="317"/>
      <c r="UPK80" s="317"/>
      <c r="UPL80" s="317"/>
      <c r="UPM80" s="317"/>
      <c r="UPN80" s="317"/>
      <c r="UPO80" s="317"/>
      <c r="UPP80" s="317"/>
      <c r="UPQ80" s="317"/>
      <c r="UPR80" s="317"/>
      <c r="UPS80" s="317"/>
      <c r="UPT80" s="317"/>
      <c r="UPU80" s="317"/>
      <c r="UPV80" s="317"/>
      <c r="UPW80" s="317"/>
      <c r="UPX80" s="317"/>
      <c r="UPY80" s="317"/>
      <c r="UPZ80" s="317"/>
      <c r="UQA80" s="317"/>
      <c r="UQB80" s="317"/>
      <c r="UQC80" s="317"/>
      <c r="UQD80" s="317"/>
      <c r="UQE80" s="317"/>
      <c r="UQF80" s="317"/>
      <c r="UQG80" s="317"/>
      <c r="UQH80" s="317"/>
      <c r="UQI80" s="317"/>
      <c r="UQJ80" s="317"/>
      <c r="UQK80" s="317"/>
      <c r="UQL80" s="317"/>
      <c r="UQM80" s="317"/>
      <c r="UQN80" s="317"/>
      <c r="UQO80" s="317"/>
      <c r="UQP80" s="317"/>
      <c r="UQQ80" s="317"/>
      <c r="UQR80" s="317"/>
      <c r="UQS80" s="317"/>
      <c r="UQT80" s="317"/>
      <c r="UQU80" s="317"/>
      <c r="UQV80" s="317"/>
      <c r="UQW80" s="317"/>
      <c r="UQX80" s="317"/>
      <c r="UQY80" s="317"/>
      <c r="UQZ80" s="317"/>
      <c r="URA80" s="317"/>
      <c r="URB80" s="317"/>
      <c r="URC80" s="317"/>
      <c r="URD80" s="317"/>
      <c r="URE80" s="317"/>
      <c r="URF80" s="317"/>
      <c r="URG80" s="317"/>
      <c r="URH80" s="317"/>
      <c r="URI80" s="317"/>
      <c r="URJ80" s="317"/>
      <c r="URK80" s="317"/>
      <c r="URL80" s="317"/>
      <c r="URM80" s="317"/>
      <c r="URN80" s="317"/>
      <c r="URO80" s="317"/>
      <c r="URP80" s="317"/>
      <c r="URQ80" s="317"/>
      <c r="URR80" s="317"/>
      <c r="URS80" s="317"/>
      <c r="URT80" s="317"/>
      <c r="URU80" s="317"/>
      <c r="URV80" s="317"/>
      <c r="URW80" s="317"/>
      <c r="URX80" s="317"/>
      <c r="URY80" s="317"/>
      <c r="URZ80" s="317"/>
      <c r="USA80" s="317"/>
      <c r="USB80" s="317"/>
      <c r="USC80" s="317"/>
      <c r="USD80" s="317"/>
      <c r="USE80" s="317"/>
      <c r="USF80" s="317"/>
      <c r="USG80" s="317"/>
      <c r="USH80" s="317"/>
      <c r="USI80" s="317"/>
      <c r="USJ80" s="317"/>
      <c r="USK80" s="317"/>
      <c r="USL80" s="317"/>
      <c r="USM80" s="317"/>
      <c r="USN80" s="317"/>
      <c r="USO80" s="317"/>
      <c r="USP80" s="317"/>
      <c r="USQ80" s="317"/>
      <c r="USR80" s="317"/>
      <c r="USS80" s="317"/>
      <c r="UST80" s="317"/>
      <c r="USU80" s="317"/>
      <c r="USV80" s="317"/>
      <c r="USW80" s="317"/>
      <c r="USX80" s="317"/>
      <c r="USY80" s="317"/>
      <c r="USZ80" s="317"/>
      <c r="UTA80" s="317"/>
      <c r="UTB80" s="317"/>
      <c r="UTC80" s="317"/>
      <c r="UTD80" s="317"/>
      <c r="UTE80" s="317"/>
      <c r="UTF80" s="317"/>
      <c r="UTG80" s="317"/>
      <c r="UTH80" s="317"/>
      <c r="UTI80" s="317"/>
      <c r="UTJ80" s="317"/>
      <c r="UTK80" s="317"/>
      <c r="UTL80" s="317"/>
      <c r="UTM80" s="317"/>
      <c r="UTN80" s="317"/>
      <c r="UTO80" s="317"/>
      <c r="UTP80" s="317"/>
      <c r="UTQ80" s="317"/>
      <c r="UTR80" s="317"/>
      <c r="UTS80" s="317"/>
      <c r="UTT80" s="317"/>
      <c r="UTU80" s="317"/>
      <c r="UTV80" s="317"/>
      <c r="UTW80" s="317"/>
      <c r="UTX80" s="317"/>
      <c r="UTY80" s="317"/>
      <c r="UTZ80" s="317"/>
      <c r="UUA80" s="317"/>
      <c r="UUB80" s="317"/>
      <c r="UUC80" s="317"/>
      <c r="UUD80" s="317"/>
      <c r="UUE80" s="317"/>
      <c r="UUF80" s="317"/>
      <c r="UUG80" s="317"/>
      <c r="UUH80" s="317"/>
      <c r="UUI80" s="317"/>
      <c r="UUJ80" s="317"/>
      <c r="UUK80" s="317"/>
      <c r="UUL80" s="317"/>
      <c r="UUM80" s="317"/>
      <c r="UUN80" s="317"/>
      <c r="UUO80" s="317"/>
      <c r="UUP80" s="317"/>
      <c r="UUQ80" s="317"/>
      <c r="UUR80" s="317"/>
      <c r="UUS80" s="317"/>
      <c r="UUT80" s="317"/>
      <c r="UUU80" s="317"/>
      <c r="UUV80" s="317"/>
      <c r="UUW80" s="317"/>
      <c r="UUX80" s="317"/>
      <c r="UUY80" s="317"/>
      <c r="UUZ80" s="317"/>
      <c r="UVA80" s="317"/>
      <c r="UVB80" s="317"/>
      <c r="UVC80" s="317"/>
      <c r="UVD80" s="317"/>
      <c r="UVE80" s="317"/>
      <c r="UVF80" s="317"/>
      <c r="UVG80" s="317"/>
      <c r="UVH80" s="317"/>
      <c r="UVI80" s="317"/>
      <c r="UVJ80" s="317"/>
      <c r="UVK80" s="317"/>
      <c r="UVL80" s="317"/>
      <c r="UVM80" s="317"/>
      <c r="UVN80" s="317"/>
      <c r="UVO80" s="317"/>
      <c r="UVP80" s="317"/>
      <c r="UVQ80" s="317"/>
      <c r="UVR80" s="317"/>
      <c r="UVS80" s="317"/>
      <c r="UVT80" s="317"/>
      <c r="UVU80" s="317"/>
      <c r="UVV80" s="317"/>
      <c r="UVW80" s="317"/>
      <c r="UVX80" s="317"/>
      <c r="UVY80" s="317"/>
      <c r="UVZ80" s="317"/>
      <c r="UWA80" s="317"/>
      <c r="UWB80" s="317"/>
      <c r="UWC80" s="317"/>
      <c r="UWD80" s="317"/>
      <c r="UWE80" s="317"/>
      <c r="UWF80" s="317"/>
      <c r="UWG80" s="317"/>
      <c r="UWH80" s="317"/>
      <c r="UWI80" s="317"/>
      <c r="UWJ80" s="317"/>
      <c r="UWK80" s="317"/>
      <c r="UWL80" s="317"/>
      <c r="UWM80" s="317"/>
      <c r="UWN80" s="317"/>
      <c r="UWO80" s="317"/>
      <c r="UWP80" s="317"/>
      <c r="UWQ80" s="317"/>
      <c r="UWR80" s="317"/>
      <c r="UWS80" s="317"/>
      <c r="UWT80" s="317"/>
      <c r="UWU80" s="317"/>
      <c r="UWV80" s="317"/>
      <c r="UWW80" s="317"/>
      <c r="UWX80" s="317"/>
      <c r="UWY80" s="317"/>
      <c r="UWZ80" s="317"/>
      <c r="UXA80" s="317"/>
      <c r="UXB80" s="317"/>
      <c r="UXC80" s="317"/>
      <c r="UXD80" s="317"/>
      <c r="UXE80" s="317"/>
      <c r="UXF80" s="317"/>
      <c r="UXG80" s="317"/>
      <c r="UXH80" s="317"/>
      <c r="UXI80" s="317"/>
      <c r="UXJ80" s="317"/>
      <c r="UXK80" s="317"/>
      <c r="UXL80" s="317"/>
      <c r="UXM80" s="317"/>
      <c r="UXN80" s="317"/>
      <c r="UXO80" s="317"/>
      <c r="UXP80" s="317"/>
      <c r="UXQ80" s="317"/>
      <c r="UXR80" s="317"/>
      <c r="UXS80" s="317"/>
      <c r="UXT80" s="317"/>
      <c r="UXU80" s="317"/>
      <c r="UXV80" s="317"/>
      <c r="UXW80" s="317"/>
      <c r="UXX80" s="317"/>
      <c r="UXY80" s="317"/>
      <c r="UXZ80" s="317"/>
      <c r="UYA80" s="317"/>
      <c r="UYB80" s="317"/>
      <c r="UYC80" s="317"/>
      <c r="UYD80" s="317"/>
      <c r="UYE80" s="317"/>
      <c r="UYF80" s="317"/>
      <c r="UYG80" s="317"/>
      <c r="UYH80" s="317"/>
      <c r="UYI80" s="317"/>
      <c r="UYJ80" s="317"/>
      <c r="UYK80" s="317"/>
      <c r="UYL80" s="317"/>
      <c r="UYM80" s="317"/>
      <c r="UYN80" s="317"/>
      <c r="UYO80" s="317"/>
      <c r="UYP80" s="317"/>
      <c r="UYQ80" s="317"/>
      <c r="UYR80" s="317"/>
      <c r="UYS80" s="317"/>
      <c r="UYT80" s="317"/>
      <c r="UYU80" s="317"/>
      <c r="UYV80" s="317"/>
      <c r="UYW80" s="317"/>
      <c r="UYX80" s="317"/>
      <c r="UYY80" s="317"/>
      <c r="UYZ80" s="317"/>
      <c r="UZA80" s="317"/>
      <c r="UZB80" s="317"/>
      <c r="UZC80" s="317"/>
      <c r="UZD80" s="317"/>
      <c r="UZE80" s="317"/>
      <c r="UZF80" s="317"/>
      <c r="UZG80" s="317"/>
      <c r="UZH80" s="317"/>
      <c r="UZI80" s="317"/>
      <c r="UZJ80" s="317"/>
      <c r="UZK80" s="317"/>
      <c r="UZL80" s="317"/>
      <c r="UZM80" s="317"/>
      <c r="UZN80" s="317"/>
      <c r="UZO80" s="317"/>
      <c r="UZP80" s="317"/>
      <c r="UZQ80" s="317"/>
      <c r="UZR80" s="317"/>
      <c r="UZS80" s="317"/>
      <c r="UZT80" s="317"/>
      <c r="UZU80" s="317"/>
      <c r="UZV80" s="317"/>
      <c r="UZW80" s="317"/>
      <c r="UZX80" s="317"/>
      <c r="UZY80" s="317"/>
      <c r="UZZ80" s="317"/>
      <c r="VAA80" s="317"/>
      <c r="VAB80" s="317"/>
      <c r="VAC80" s="317"/>
      <c r="VAD80" s="317"/>
      <c r="VAE80" s="317"/>
      <c r="VAF80" s="317"/>
      <c r="VAG80" s="317"/>
      <c r="VAH80" s="317"/>
      <c r="VAI80" s="317"/>
      <c r="VAJ80" s="317"/>
      <c r="VAK80" s="317"/>
      <c r="VAL80" s="317"/>
      <c r="VAM80" s="317"/>
      <c r="VAN80" s="317"/>
      <c r="VAO80" s="317"/>
      <c r="VAP80" s="317"/>
      <c r="VAQ80" s="317"/>
      <c r="VAR80" s="317"/>
      <c r="VAS80" s="317"/>
      <c r="VAT80" s="317"/>
      <c r="VAU80" s="317"/>
      <c r="VAV80" s="317"/>
      <c r="VAW80" s="317"/>
      <c r="VAX80" s="317"/>
      <c r="VAY80" s="317"/>
      <c r="VAZ80" s="317"/>
      <c r="VBA80" s="317"/>
      <c r="VBB80" s="317"/>
      <c r="VBC80" s="317"/>
      <c r="VBD80" s="317"/>
      <c r="VBE80" s="317"/>
      <c r="VBF80" s="317"/>
      <c r="VBG80" s="317"/>
      <c r="VBH80" s="317"/>
      <c r="VBI80" s="317"/>
      <c r="VBJ80" s="317"/>
      <c r="VBK80" s="317"/>
      <c r="VBL80" s="317"/>
      <c r="VBM80" s="317"/>
      <c r="VBN80" s="317"/>
      <c r="VBO80" s="317"/>
      <c r="VBP80" s="317"/>
      <c r="VBQ80" s="317"/>
      <c r="VBR80" s="317"/>
      <c r="VBS80" s="317"/>
      <c r="VBT80" s="317"/>
      <c r="VBU80" s="317"/>
      <c r="VBV80" s="317"/>
      <c r="VBW80" s="317"/>
      <c r="VBX80" s="317"/>
      <c r="VBY80" s="317"/>
      <c r="VBZ80" s="317"/>
      <c r="VCA80" s="317"/>
      <c r="VCB80" s="317"/>
      <c r="VCC80" s="317"/>
      <c r="VCD80" s="317"/>
      <c r="VCE80" s="317"/>
      <c r="VCF80" s="317"/>
      <c r="VCG80" s="317"/>
      <c r="VCH80" s="317"/>
      <c r="VCI80" s="317"/>
      <c r="VCJ80" s="317"/>
      <c r="VCK80" s="317"/>
      <c r="VCL80" s="317"/>
      <c r="VCM80" s="317"/>
      <c r="VCN80" s="317"/>
      <c r="VCO80" s="317"/>
      <c r="VCP80" s="317"/>
      <c r="VCQ80" s="317"/>
      <c r="VCR80" s="317"/>
      <c r="VCS80" s="317"/>
      <c r="VCT80" s="317"/>
      <c r="VCU80" s="317"/>
      <c r="VCV80" s="317"/>
      <c r="VCW80" s="317"/>
      <c r="VCX80" s="317"/>
      <c r="VCY80" s="317"/>
      <c r="VCZ80" s="317"/>
      <c r="VDA80" s="317"/>
      <c r="VDB80" s="317"/>
      <c r="VDC80" s="317"/>
      <c r="VDD80" s="317"/>
      <c r="VDE80" s="317"/>
      <c r="VDF80" s="317"/>
      <c r="VDG80" s="317"/>
      <c r="VDH80" s="317"/>
      <c r="VDI80" s="317"/>
      <c r="VDJ80" s="317"/>
      <c r="VDK80" s="317"/>
      <c r="VDL80" s="317"/>
      <c r="VDM80" s="317"/>
      <c r="VDN80" s="317"/>
      <c r="VDO80" s="317"/>
      <c r="VDP80" s="317"/>
      <c r="VDQ80" s="317"/>
      <c r="VDR80" s="317"/>
      <c r="VDS80" s="317"/>
      <c r="VDT80" s="317"/>
      <c r="VDU80" s="317"/>
      <c r="VDV80" s="317"/>
      <c r="VDW80" s="317"/>
      <c r="VDX80" s="317"/>
      <c r="VDY80" s="317"/>
      <c r="VDZ80" s="317"/>
      <c r="VEA80" s="317"/>
      <c r="VEB80" s="317"/>
      <c r="VEC80" s="317"/>
      <c r="VED80" s="317"/>
      <c r="VEE80" s="317"/>
      <c r="VEF80" s="317"/>
      <c r="VEG80" s="317"/>
      <c r="VEH80" s="317"/>
      <c r="VEI80" s="317"/>
      <c r="VEJ80" s="317"/>
      <c r="VEK80" s="317"/>
      <c r="VEL80" s="317"/>
      <c r="VEM80" s="317"/>
      <c r="VEN80" s="317"/>
      <c r="VEO80" s="317"/>
      <c r="VEP80" s="317"/>
      <c r="VEQ80" s="317"/>
      <c r="VER80" s="317"/>
      <c r="VES80" s="317"/>
      <c r="VET80" s="317"/>
      <c r="VEU80" s="317"/>
      <c r="VEV80" s="317"/>
      <c r="VEW80" s="317"/>
      <c r="VEX80" s="317"/>
      <c r="VEY80" s="317"/>
      <c r="VEZ80" s="317"/>
      <c r="VFA80" s="317"/>
      <c r="VFB80" s="317"/>
      <c r="VFC80" s="317"/>
      <c r="VFD80" s="317"/>
      <c r="VFE80" s="317"/>
      <c r="VFF80" s="317"/>
      <c r="VFG80" s="317"/>
      <c r="VFH80" s="317"/>
      <c r="VFI80" s="317"/>
      <c r="VFJ80" s="317"/>
      <c r="VFK80" s="317"/>
      <c r="VFL80" s="317"/>
      <c r="VFM80" s="317"/>
      <c r="VFN80" s="317"/>
      <c r="VFO80" s="317"/>
      <c r="VFP80" s="317"/>
      <c r="VFQ80" s="317"/>
      <c r="VFR80" s="317"/>
      <c r="VFS80" s="317"/>
      <c r="VFT80" s="317"/>
      <c r="VFU80" s="317"/>
      <c r="VFV80" s="317"/>
      <c r="VFW80" s="317"/>
      <c r="VFX80" s="317"/>
      <c r="VFY80" s="317"/>
      <c r="VFZ80" s="317"/>
      <c r="VGA80" s="317"/>
      <c r="VGB80" s="317"/>
      <c r="VGC80" s="317"/>
      <c r="VGD80" s="317"/>
      <c r="VGE80" s="317"/>
      <c r="VGF80" s="317"/>
      <c r="VGG80" s="317"/>
      <c r="VGH80" s="317"/>
      <c r="VGI80" s="317"/>
      <c r="VGJ80" s="317"/>
      <c r="VGK80" s="317"/>
      <c r="VGL80" s="317"/>
      <c r="VGM80" s="317"/>
      <c r="VGN80" s="317"/>
      <c r="VGO80" s="317"/>
      <c r="VGP80" s="317"/>
      <c r="VGQ80" s="317"/>
      <c r="VGR80" s="317"/>
      <c r="VGS80" s="317"/>
      <c r="VGT80" s="317"/>
      <c r="VGU80" s="317"/>
      <c r="VGV80" s="317"/>
      <c r="VGW80" s="317"/>
      <c r="VGX80" s="317"/>
      <c r="VGY80" s="317"/>
      <c r="VGZ80" s="317"/>
      <c r="VHA80" s="317"/>
      <c r="VHB80" s="317"/>
      <c r="VHC80" s="317"/>
      <c r="VHD80" s="317"/>
      <c r="VHE80" s="317"/>
      <c r="VHF80" s="317"/>
      <c r="VHG80" s="317"/>
      <c r="VHH80" s="317"/>
      <c r="VHI80" s="317"/>
      <c r="VHJ80" s="317"/>
      <c r="VHK80" s="317"/>
      <c r="VHL80" s="317"/>
      <c r="VHM80" s="317"/>
      <c r="VHN80" s="317"/>
      <c r="VHO80" s="317"/>
      <c r="VHP80" s="317"/>
      <c r="VHQ80" s="317"/>
      <c r="VHR80" s="317"/>
      <c r="VHS80" s="317"/>
      <c r="VHT80" s="317"/>
      <c r="VHU80" s="317"/>
      <c r="VHV80" s="317"/>
      <c r="VHW80" s="317"/>
      <c r="VHX80" s="317"/>
      <c r="VHY80" s="317"/>
      <c r="VHZ80" s="317"/>
      <c r="VIA80" s="317"/>
      <c r="VIB80" s="317"/>
      <c r="VIC80" s="317"/>
      <c r="VID80" s="317"/>
      <c r="VIE80" s="317"/>
      <c r="VIF80" s="317"/>
      <c r="VIG80" s="317"/>
      <c r="VIH80" s="317"/>
      <c r="VII80" s="317"/>
      <c r="VIJ80" s="317"/>
      <c r="VIK80" s="317"/>
      <c r="VIL80" s="317"/>
      <c r="VIM80" s="317"/>
      <c r="VIN80" s="317"/>
      <c r="VIO80" s="317"/>
      <c r="VIP80" s="317"/>
      <c r="VIQ80" s="317"/>
      <c r="VIR80" s="317"/>
      <c r="VIS80" s="317"/>
      <c r="VIT80" s="317"/>
      <c r="VIU80" s="317"/>
      <c r="VIV80" s="317"/>
      <c r="VIW80" s="317"/>
      <c r="VIX80" s="317"/>
      <c r="VIY80" s="317"/>
      <c r="VIZ80" s="317"/>
      <c r="VJA80" s="317"/>
      <c r="VJB80" s="317"/>
      <c r="VJC80" s="317"/>
      <c r="VJD80" s="317"/>
      <c r="VJE80" s="317"/>
      <c r="VJF80" s="317"/>
      <c r="VJG80" s="317"/>
      <c r="VJH80" s="317"/>
      <c r="VJI80" s="317"/>
      <c r="VJJ80" s="317"/>
      <c r="VJK80" s="317"/>
      <c r="VJL80" s="317"/>
      <c r="VJM80" s="317"/>
      <c r="VJN80" s="317"/>
      <c r="VJO80" s="317"/>
      <c r="VJP80" s="317"/>
      <c r="VJQ80" s="317"/>
      <c r="VJR80" s="317"/>
      <c r="VJS80" s="317"/>
      <c r="VJT80" s="317"/>
      <c r="VJU80" s="317"/>
      <c r="VJV80" s="317"/>
      <c r="VJW80" s="317"/>
      <c r="VJX80" s="317"/>
      <c r="VJY80" s="317"/>
      <c r="VJZ80" s="317"/>
      <c r="VKA80" s="317"/>
      <c r="VKB80" s="317"/>
      <c r="VKC80" s="317"/>
      <c r="VKD80" s="317"/>
      <c r="VKE80" s="317"/>
      <c r="VKF80" s="317"/>
      <c r="VKG80" s="317"/>
      <c r="VKH80" s="317"/>
      <c r="VKI80" s="317"/>
      <c r="VKJ80" s="317"/>
      <c r="VKK80" s="317"/>
      <c r="VKL80" s="317"/>
      <c r="VKM80" s="317"/>
      <c r="VKN80" s="317"/>
      <c r="VKO80" s="317"/>
      <c r="VKP80" s="317"/>
      <c r="VKQ80" s="317"/>
      <c r="VKR80" s="317"/>
      <c r="VKS80" s="317"/>
      <c r="VKT80" s="317"/>
      <c r="VKU80" s="317"/>
      <c r="VKV80" s="317"/>
      <c r="VKW80" s="317"/>
      <c r="VKX80" s="317"/>
      <c r="VKY80" s="317"/>
      <c r="VKZ80" s="317"/>
      <c r="VLA80" s="317"/>
      <c r="VLB80" s="317"/>
      <c r="VLC80" s="317"/>
      <c r="VLD80" s="317"/>
      <c r="VLE80" s="317"/>
      <c r="VLF80" s="317"/>
      <c r="VLG80" s="317"/>
      <c r="VLH80" s="317"/>
      <c r="VLI80" s="317"/>
      <c r="VLJ80" s="317"/>
      <c r="VLK80" s="317"/>
      <c r="VLL80" s="317"/>
      <c r="VLM80" s="317"/>
      <c r="VLN80" s="317"/>
      <c r="VLO80" s="317"/>
      <c r="VLP80" s="317"/>
      <c r="VLQ80" s="317"/>
      <c r="VLR80" s="317"/>
      <c r="VLS80" s="317"/>
      <c r="VLT80" s="317"/>
      <c r="VLU80" s="317"/>
      <c r="VLV80" s="317"/>
      <c r="VLW80" s="317"/>
      <c r="VLX80" s="317"/>
      <c r="VLY80" s="317"/>
      <c r="VLZ80" s="317"/>
      <c r="VMA80" s="317"/>
      <c r="VMB80" s="317"/>
      <c r="VMC80" s="317"/>
      <c r="VMD80" s="317"/>
      <c r="VME80" s="317"/>
      <c r="VMF80" s="317"/>
      <c r="VMG80" s="317"/>
      <c r="VMH80" s="317"/>
      <c r="VMI80" s="317"/>
      <c r="VMJ80" s="317"/>
      <c r="VMK80" s="317"/>
      <c r="VML80" s="317"/>
      <c r="VMM80" s="317"/>
      <c r="VMN80" s="317"/>
      <c r="VMO80" s="317"/>
      <c r="VMP80" s="317"/>
      <c r="VMQ80" s="317"/>
      <c r="VMR80" s="317"/>
      <c r="VMS80" s="317"/>
      <c r="VMT80" s="317"/>
      <c r="VMU80" s="317"/>
      <c r="VMV80" s="317"/>
      <c r="VMW80" s="317"/>
      <c r="VMX80" s="317"/>
      <c r="VMY80" s="317"/>
      <c r="VMZ80" s="317"/>
      <c r="VNA80" s="317"/>
      <c r="VNB80" s="317"/>
      <c r="VNC80" s="317"/>
      <c r="VND80" s="317"/>
      <c r="VNE80" s="317"/>
      <c r="VNF80" s="317"/>
      <c r="VNG80" s="317"/>
      <c r="VNH80" s="317"/>
      <c r="VNI80" s="317"/>
      <c r="VNJ80" s="317"/>
      <c r="VNK80" s="317"/>
      <c r="VNL80" s="317"/>
      <c r="VNM80" s="317"/>
      <c r="VNN80" s="317"/>
      <c r="VNO80" s="317"/>
      <c r="VNP80" s="317"/>
      <c r="VNQ80" s="317"/>
      <c r="VNR80" s="317"/>
      <c r="VNS80" s="317"/>
      <c r="VNT80" s="317"/>
      <c r="VNU80" s="317"/>
      <c r="VNV80" s="317"/>
      <c r="VNW80" s="317"/>
      <c r="VNX80" s="317"/>
      <c r="VNY80" s="317"/>
      <c r="VNZ80" s="317"/>
      <c r="VOA80" s="317"/>
      <c r="VOB80" s="317"/>
      <c r="VOC80" s="317"/>
      <c r="VOD80" s="317"/>
      <c r="VOE80" s="317"/>
      <c r="VOF80" s="317"/>
      <c r="VOG80" s="317"/>
      <c r="VOH80" s="317"/>
      <c r="VOI80" s="317"/>
      <c r="VOJ80" s="317"/>
      <c r="VOK80" s="317"/>
      <c r="VOL80" s="317"/>
      <c r="VOM80" s="317"/>
      <c r="VON80" s="317"/>
      <c r="VOO80" s="317"/>
      <c r="VOP80" s="317"/>
      <c r="VOQ80" s="317"/>
      <c r="VOR80" s="317"/>
      <c r="VOS80" s="317"/>
      <c r="VOT80" s="317"/>
      <c r="VOU80" s="317"/>
      <c r="VOV80" s="317"/>
      <c r="VOW80" s="317"/>
      <c r="VOX80" s="317"/>
      <c r="VOY80" s="317"/>
      <c r="VOZ80" s="317"/>
      <c r="VPA80" s="317"/>
      <c r="VPB80" s="317"/>
      <c r="VPC80" s="317"/>
      <c r="VPD80" s="317"/>
      <c r="VPE80" s="317"/>
      <c r="VPF80" s="317"/>
      <c r="VPG80" s="317"/>
      <c r="VPH80" s="317"/>
      <c r="VPI80" s="317"/>
      <c r="VPJ80" s="317"/>
      <c r="VPK80" s="317"/>
      <c r="VPL80" s="317"/>
      <c r="VPM80" s="317"/>
      <c r="VPN80" s="317"/>
      <c r="VPO80" s="317"/>
      <c r="VPP80" s="317"/>
      <c r="VPQ80" s="317"/>
      <c r="VPR80" s="317"/>
      <c r="VPS80" s="317"/>
      <c r="VPT80" s="317"/>
      <c r="VPU80" s="317"/>
      <c r="VPV80" s="317"/>
      <c r="VPW80" s="317"/>
      <c r="VPX80" s="317"/>
      <c r="VPY80" s="317"/>
      <c r="VPZ80" s="317"/>
      <c r="VQA80" s="317"/>
      <c r="VQB80" s="317"/>
      <c r="VQC80" s="317"/>
      <c r="VQD80" s="317"/>
      <c r="VQE80" s="317"/>
      <c r="VQF80" s="317"/>
      <c r="VQG80" s="317"/>
      <c r="VQH80" s="317"/>
      <c r="VQI80" s="317"/>
      <c r="VQJ80" s="317"/>
      <c r="VQK80" s="317"/>
      <c r="VQL80" s="317"/>
      <c r="VQM80" s="317"/>
      <c r="VQN80" s="317"/>
      <c r="VQO80" s="317"/>
      <c r="VQP80" s="317"/>
      <c r="VQQ80" s="317"/>
      <c r="VQR80" s="317"/>
      <c r="VQS80" s="317"/>
      <c r="VQT80" s="317"/>
      <c r="VQU80" s="317"/>
      <c r="VQV80" s="317"/>
      <c r="VQW80" s="317"/>
      <c r="VQX80" s="317"/>
      <c r="VQY80" s="317"/>
      <c r="VQZ80" s="317"/>
      <c r="VRA80" s="317"/>
      <c r="VRB80" s="317"/>
      <c r="VRC80" s="317"/>
      <c r="VRD80" s="317"/>
      <c r="VRE80" s="317"/>
      <c r="VRF80" s="317"/>
      <c r="VRG80" s="317"/>
      <c r="VRH80" s="317"/>
      <c r="VRI80" s="317"/>
      <c r="VRJ80" s="317"/>
      <c r="VRK80" s="317"/>
      <c r="VRL80" s="317"/>
      <c r="VRM80" s="317"/>
      <c r="VRN80" s="317"/>
      <c r="VRO80" s="317"/>
      <c r="VRP80" s="317"/>
      <c r="VRQ80" s="317"/>
      <c r="VRR80" s="317"/>
      <c r="VRS80" s="317"/>
      <c r="VRT80" s="317"/>
      <c r="VRU80" s="317"/>
      <c r="VRV80" s="317"/>
      <c r="VRW80" s="317"/>
      <c r="VRX80" s="317"/>
      <c r="VRY80" s="317"/>
      <c r="VRZ80" s="317"/>
      <c r="VSA80" s="317"/>
      <c r="VSB80" s="317"/>
      <c r="VSC80" s="317"/>
      <c r="VSD80" s="317"/>
      <c r="VSE80" s="317"/>
      <c r="VSF80" s="317"/>
      <c r="VSG80" s="317"/>
      <c r="VSH80" s="317"/>
      <c r="VSI80" s="317"/>
      <c r="VSJ80" s="317"/>
      <c r="VSK80" s="317"/>
      <c r="VSL80" s="317"/>
      <c r="VSM80" s="317"/>
      <c r="VSN80" s="317"/>
      <c r="VSO80" s="317"/>
      <c r="VSP80" s="317"/>
      <c r="VSQ80" s="317"/>
      <c r="VSR80" s="317"/>
      <c r="VSS80" s="317"/>
      <c r="VST80" s="317"/>
      <c r="VSU80" s="317"/>
      <c r="VSV80" s="317"/>
      <c r="VSW80" s="317"/>
      <c r="VSX80" s="317"/>
      <c r="VSY80" s="317"/>
      <c r="VSZ80" s="317"/>
      <c r="VTA80" s="317"/>
      <c r="VTB80" s="317"/>
      <c r="VTC80" s="317"/>
      <c r="VTD80" s="317"/>
      <c r="VTE80" s="317"/>
      <c r="VTF80" s="317"/>
      <c r="VTG80" s="317"/>
      <c r="VTH80" s="317"/>
      <c r="VTI80" s="317"/>
      <c r="VTJ80" s="317"/>
      <c r="VTK80" s="317"/>
      <c r="VTL80" s="317"/>
      <c r="VTM80" s="317"/>
      <c r="VTN80" s="317"/>
      <c r="VTO80" s="317"/>
      <c r="VTP80" s="317"/>
      <c r="VTQ80" s="317"/>
      <c r="VTR80" s="317"/>
      <c r="VTS80" s="317"/>
      <c r="VTT80" s="317"/>
      <c r="VTU80" s="317"/>
      <c r="VTV80" s="317"/>
      <c r="VTW80" s="317"/>
      <c r="VTX80" s="317"/>
      <c r="VTY80" s="317"/>
      <c r="VTZ80" s="317"/>
      <c r="VUA80" s="317"/>
      <c r="VUB80" s="317"/>
      <c r="VUC80" s="317"/>
      <c r="VUD80" s="317"/>
      <c r="VUE80" s="317"/>
      <c r="VUF80" s="317"/>
      <c r="VUG80" s="317"/>
      <c r="VUH80" s="317"/>
      <c r="VUI80" s="317"/>
      <c r="VUJ80" s="317"/>
      <c r="VUK80" s="317"/>
      <c r="VUL80" s="317"/>
      <c r="VUM80" s="317"/>
      <c r="VUN80" s="317"/>
      <c r="VUO80" s="317"/>
      <c r="VUP80" s="317"/>
      <c r="VUQ80" s="317"/>
      <c r="VUR80" s="317"/>
      <c r="VUS80" s="317"/>
      <c r="VUT80" s="317"/>
      <c r="VUU80" s="317"/>
      <c r="VUV80" s="317"/>
      <c r="VUW80" s="317"/>
      <c r="VUX80" s="317"/>
      <c r="VUY80" s="317"/>
      <c r="VUZ80" s="317"/>
      <c r="VVA80" s="317"/>
      <c r="VVB80" s="317"/>
      <c r="VVC80" s="317"/>
      <c r="VVD80" s="317"/>
      <c r="VVE80" s="317"/>
      <c r="VVF80" s="317"/>
      <c r="VVG80" s="317"/>
      <c r="VVH80" s="317"/>
      <c r="VVI80" s="317"/>
      <c r="VVJ80" s="317"/>
      <c r="VVK80" s="317"/>
      <c r="VVL80" s="317"/>
      <c r="VVM80" s="317"/>
      <c r="VVN80" s="317"/>
      <c r="VVO80" s="317"/>
      <c r="VVP80" s="317"/>
      <c r="VVQ80" s="317"/>
      <c r="VVR80" s="317"/>
      <c r="VVS80" s="317"/>
      <c r="VVT80" s="317"/>
      <c r="VVU80" s="317"/>
      <c r="VVV80" s="317"/>
      <c r="VVW80" s="317"/>
      <c r="VVX80" s="317"/>
      <c r="VVY80" s="317"/>
      <c r="VVZ80" s="317"/>
      <c r="VWA80" s="317"/>
      <c r="VWB80" s="317"/>
      <c r="VWC80" s="317"/>
      <c r="VWD80" s="317"/>
      <c r="VWE80" s="317"/>
      <c r="VWF80" s="317"/>
      <c r="VWG80" s="317"/>
      <c r="VWH80" s="317"/>
      <c r="VWI80" s="317"/>
      <c r="VWJ80" s="317"/>
      <c r="VWK80" s="317"/>
      <c r="VWL80" s="317"/>
      <c r="VWM80" s="317"/>
      <c r="VWN80" s="317"/>
      <c r="VWO80" s="317"/>
      <c r="VWP80" s="317"/>
      <c r="VWQ80" s="317"/>
      <c r="VWR80" s="317"/>
      <c r="VWS80" s="317"/>
      <c r="VWT80" s="317"/>
      <c r="VWU80" s="317"/>
      <c r="VWV80" s="317"/>
      <c r="VWW80" s="317"/>
      <c r="VWX80" s="317"/>
      <c r="VWY80" s="317"/>
      <c r="VWZ80" s="317"/>
      <c r="VXA80" s="317"/>
      <c r="VXB80" s="317"/>
      <c r="VXC80" s="317"/>
      <c r="VXD80" s="317"/>
      <c r="VXE80" s="317"/>
      <c r="VXF80" s="317"/>
      <c r="VXG80" s="317"/>
      <c r="VXH80" s="317"/>
      <c r="VXI80" s="317"/>
      <c r="VXJ80" s="317"/>
      <c r="VXK80" s="317"/>
      <c r="VXL80" s="317"/>
      <c r="VXM80" s="317"/>
      <c r="VXN80" s="317"/>
      <c r="VXO80" s="317"/>
      <c r="VXP80" s="317"/>
      <c r="VXQ80" s="317"/>
      <c r="VXR80" s="317"/>
      <c r="VXS80" s="317"/>
      <c r="VXT80" s="317"/>
      <c r="VXU80" s="317"/>
      <c r="VXV80" s="317"/>
      <c r="VXW80" s="317"/>
      <c r="VXX80" s="317"/>
      <c r="VXY80" s="317"/>
      <c r="VXZ80" s="317"/>
      <c r="VYA80" s="317"/>
      <c r="VYB80" s="317"/>
      <c r="VYC80" s="317"/>
      <c r="VYD80" s="317"/>
      <c r="VYE80" s="317"/>
      <c r="VYF80" s="317"/>
      <c r="VYG80" s="317"/>
      <c r="VYH80" s="317"/>
      <c r="VYI80" s="317"/>
      <c r="VYJ80" s="317"/>
      <c r="VYK80" s="317"/>
      <c r="VYL80" s="317"/>
      <c r="VYM80" s="317"/>
      <c r="VYN80" s="317"/>
      <c r="VYO80" s="317"/>
      <c r="VYP80" s="317"/>
      <c r="VYQ80" s="317"/>
      <c r="VYR80" s="317"/>
      <c r="VYS80" s="317"/>
      <c r="VYT80" s="317"/>
      <c r="VYU80" s="317"/>
      <c r="VYV80" s="317"/>
      <c r="VYW80" s="317"/>
      <c r="VYX80" s="317"/>
      <c r="VYY80" s="317"/>
      <c r="VYZ80" s="317"/>
      <c r="VZA80" s="317"/>
      <c r="VZB80" s="317"/>
      <c r="VZC80" s="317"/>
      <c r="VZD80" s="317"/>
      <c r="VZE80" s="317"/>
      <c r="VZF80" s="317"/>
      <c r="VZG80" s="317"/>
      <c r="VZH80" s="317"/>
      <c r="VZI80" s="317"/>
      <c r="VZJ80" s="317"/>
      <c r="VZK80" s="317"/>
      <c r="VZL80" s="317"/>
      <c r="VZM80" s="317"/>
      <c r="VZN80" s="317"/>
      <c r="VZO80" s="317"/>
      <c r="VZP80" s="317"/>
      <c r="VZQ80" s="317"/>
      <c r="VZR80" s="317"/>
      <c r="VZS80" s="317"/>
      <c r="VZT80" s="317"/>
      <c r="VZU80" s="317"/>
      <c r="VZV80" s="317"/>
      <c r="VZW80" s="317"/>
      <c r="VZX80" s="317"/>
      <c r="VZY80" s="317"/>
      <c r="VZZ80" s="317"/>
      <c r="WAA80" s="317"/>
      <c r="WAB80" s="317"/>
      <c r="WAC80" s="317"/>
      <c r="WAD80" s="317"/>
      <c r="WAE80" s="317"/>
      <c r="WAF80" s="317"/>
      <c r="WAG80" s="317"/>
      <c r="WAH80" s="317"/>
      <c r="WAI80" s="317"/>
      <c r="WAJ80" s="317"/>
      <c r="WAK80" s="317"/>
      <c r="WAL80" s="317"/>
      <c r="WAM80" s="317"/>
      <c r="WAN80" s="317"/>
      <c r="WAO80" s="317"/>
      <c r="WAP80" s="317"/>
      <c r="WAQ80" s="317"/>
      <c r="WAR80" s="317"/>
      <c r="WAS80" s="317"/>
      <c r="WAT80" s="317"/>
      <c r="WAU80" s="317"/>
      <c r="WAV80" s="317"/>
      <c r="WAW80" s="317"/>
      <c r="WAX80" s="317"/>
      <c r="WAY80" s="317"/>
      <c r="WAZ80" s="317"/>
      <c r="WBA80" s="317"/>
      <c r="WBB80" s="317"/>
      <c r="WBC80" s="317"/>
      <c r="WBD80" s="317"/>
      <c r="WBE80" s="317"/>
      <c r="WBF80" s="317"/>
      <c r="WBG80" s="317"/>
      <c r="WBH80" s="317"/>
      <c r="WBI80" s="317"/>
      <c r="WBJ80" s="317"/>
      <c r="WBK80" s="317"/>
      <c r="WBL80" s="317"/>
      <c r="WBM80" s="317"/>
      <c r="WBN80" s="317"/>
      <c r="WBO80" s="317"/>
      <c r="WBP80" s="317"/>
      <c r="WBQ80" s="317"/>
      <c r="WBR80" s="317"/>
      <c r="WBS80" s="317"/>
      <c r="WBT80" s="317"/>
      <c r="WBU80" s="317"/>
      <c r="WBV80" s="317"/>
      <c r="WBW80" s="317"/>
      <c r="WBX80" s="317"/>
      <c r="WBY80" s="317"/>
      <c r="WBZ80" s="317"/>
      <c r="WCA80" s="317"/>
      <c r="WCB80" s="317"/>
      <c r="WCC80" s="317"/>
      <c r="WCD80" s="317"/>
      <c r="WCE80" s="317"/>
      <c r="WCF80" s="317"/>
      <c r="WCG80" s="317"/>
      <c r="WCH80" s="317"/>
      <c r="WCI80" s="317"/>
      <c r="WCJ80" s="317"/>
      <c r="WCK80" s="317"/>
      <c r="WCL80" s="317"/>
      <c r="WCM80" s="317"/>
      <c r="WCN80" s="317"/>
      <c r="WCO80" s="317"/>
      <c r="WCP80" s="317"/>
      <c r="WCQ80" s="317"/>
      <c r="WCR80" s="317"/>
      <c r="WCS80" s="317"/>
      <c r="WCT80" s="317"/>
      <c r="WCU80" s="317"/>
      <c r="WCV80" s="317"/>
      <c r="WCW80" s="317"/>
      <c r="WCX80" s="317"/>
      <c r="WCY80" s="317"/>
      <c r="WCZ80" s="317"/>
      <c r="WDA80" s="317"/>
      <c r="WDB80" s="317"/>
      <c r="WDC80" s="317"/>
      <c r="WDD80" s="317"/>
      <c r="WDE80" s="317"/>
      <c r="WDF80" s="317"/>
      <c r="WDG80" s="317"/>
      <c r="WDH80" s="317"/>
      <c r="WDI80" s="317"/>
      <c r="WDJ80" s="317"/>
      <c r="WDK80" s="317"/>
      <c r="WDL80" s="317"/>
      <c r="WDM80" s="317"/>
      <c r="WDN80" s="317"/>
      <c r="WDO80" s="317"/>
      <c r="WDP80" s="317"/>
      <c r="WDQ80" s="317"/>
      <c r="WDR80" s="317"/>
      <c r="WDS80" s="317"/>
      <c r="WDT80" s="317"/>
      <c r="WDU80" s="317"/>
      <c r="WDV80" s="317"/>
      <c r="WDW80" s="317"/>
      <c r="WDX80" s="317"/>
      <c r="WDY80" s="317"/>
      <c r="WDZ80" s="317"/>
      <c r="WEA80" s="317"/>
      <c r="WEB80" s="317"/>
      <c r="WEC80" s="317"/>
      <c r="WED80" s="317"/>
      <c r="WEE80" s="317"/>
      <c r="WEF80" s="317"/>
      <c r="WEG80" s="317"/>
      <c r="WEH80" s="317"/>
      <c r="WEI80" s="317"/>
      <c r="WEJ80" s="317"/>
      <c r="WEK80" s="317"/>
      <c r="WEL80" s="317"/>
      <c r="WEM80" s="317"/>
      <c r="WEN80" s="317"/>
      <c r="WEO80" s="317"/>
      <c r="WEP80" s="317"/>
      <c r="WEQ80" s="317"/>
      <c r="WER80" s="317"/>
      <c r="WES80" s="317"/>
      <c r="WET80" s="317"/>
      <c r="WEU80" s="317"/>
      <c r="WEV80" s="317"/>
      <c r="WEW80" s="317"/>
      <c r="WEX80" s="317"/>
      <c r="WEY80" s="317"/>
      <c r="WEZ80" s="317"/>
      <c r="WFA80" s="317"/>
      <c r="WFB80" s="317"/>
      <c r="WFC80" s="317"/>
      <c r="WFD80" s="317"/>
      <c r="WFE80" s="317"/>
      <c r="WFF80" s="317"/>
      <c r="WFG80" s="317"/>
      <c r="WFH80" s="317"/>
      <c r="WFI80" s="317"/>
      <c r="WFJ80" s="317"/>
      <c r="WFK80" s="317"/>
      <c r="WFL80" s="317"/>
      <c r="WFM80" s="317"/>
      <c r="WFN80" s="317"/>
      <c r="WFO80" s="317"/>
      <c r="WFP80" s="317"/>
      <c r="WFQ80" s="317"/>
      <c r="WFR80" s="317"/>
      <c r="WFS80" s="317"/>
      <c r="WFT80" s="317"/>
      <c r="WFU80" s="317"/>
      <c r="WFV80" s="317"/>
      <c r="WFW80" s="317"/>
      <c r="WFX80" s="317"/>
      <c r="WFY80" s="317"/>
      <c r="WFZ80" s="317"/>
      <c r="WGA80" s="317"/>
      <c r="WGB80" s="317"/>
      <c r="WGC80" s="317"/>
      <c r="WGD80" s="317"/>
      <c r="WGE80" s="317"/>
      <c r="WGF80" s="317"/>
      <c r="WGG80" s="317"/>
      <c r="WGH80" s="317"/>
      <c r="WGI80" s="317"/>
      <c r="WGJ80" s="317"/>
      <c r="WGK80" s="317"/>
      <c r="WGL80" s="317"/>
      <c r="WGM80" s="317"/>
      <c r="WGN80" s="317"/>
      <c r="WGO80" s="317"/>
      <c r="WGP80" s="317"/>
      <c r="WGQ80" s="317"/>
      <c r="WGR80" s="317"/>
      <c r="WGS80" s="317"/>
      <c r="WGT80" s="317"/>
      <c r="WGU80" s="317"/>
      <c r="WGV80" s="317"/>
      <c r="WGW80" s="317"/>
      <c r="WGX80" s="317"/>
      <c r="WGY80" s="317"/>
      <c r="WGZ80" s="317"/>
      <c r="WHA80" s="317"/>
      <c r="WHB80" s="317"/>
      <c r="WHC80" s="317"/>
      <c r="WHD80" s="317"/>
      <c r="WHE80" s="317"/>
      <c r="WHF80" s="317"/>
      <c r="WHG80" s="317"/>
      <c r="WHH80" s="317"/>
      <c r="WHI80" s="317"/>
      <c r="WHJ80" s="317"/>
      <c r="WHK80" s="317"/>
      <c r="WHL80" s="317"/>
      <c r="WHM80" s="317"/>
      <c r="WHN80" s="317"/>
      <c r="WHO80" s="317"/>
      <c r="WHP80" s="317"/>
      <c r="WHQ80" s="317"/>
      <c r="WHR80" s="317"/>
      <c r="WHS80" s="317"/>
      <c r="WHT80" s="317"/>
      <c r="WHU80" s="317"/>
      <c r="WHV80" s="317"/>
      <c r="WHW80" s="317"/>
      <c r="WHX80" s="317"/>
      <c r="WHY80" s="317"/>
      <c r="WHZ80" s="317"/>
      <c r="WIA80" s="317"/>
      <c r="WIB80" s="317"/>
      <c r="WIC80" s="317"/>
      <c r="WID80" s="317"/>
      <c r="WIE80" s="317"/>
      <c r="WIF80" s="317"/>
      <c r="WIG80" s="317"/>
      <c r="WIH80" s="317"/>
      <c r="WII80" s="317"/>
      <c r="WIJ80" s="317"/>
      <c r="WIK80" s="317"/>
      <c r="WIL80" s="317"/>
      <c r="WIM80" s="317"/>
      <c r="WIN80" s="317"/>
      <c r="WIO80" s="317"/>
      <c r="WIP80" s="317"/>
      <c r="WIQ80" s="317"/>
      <c r="WIR80" s="317"/>
      <c r="WIS80" s="317"/>
      <c r="WIT80" s="317"/>
      <c r="WIU80" s="317"/>
      <c r="WIV80" s="317"/>
      <c r="WIW80" s="317"/>
      <c r="WIX80" s="317"/>
      <c r="WIY80" s="317"/>
      <c r="WIZ80" s="317"/>
      <c r="WJA80" s="317"/>
      <c r="WJB80" s="317"/>
      <c r="WJC80" s="317"/>
      <c r="WJD80" s="317"/>
      <c r="WJE80" s="317"/>
      <c r="WJF80" s="317"/>
      <c r="WJG80" s="317"/>
      <c r="WJH80" s="317"/>
      <c r="WJI80" s="317"/>
      <c r="WJJ80" s="317"/>
      <c r="WJK80" s="317"/>
      <c r="WJL80" s="317"/>
      <c r="WJM80" s="317"/>
      <c r="WJN80" s="317"/>
      <c r="WJO80" s="317"/>
      <c r="WJP80" s="317"/>
      <c r="WJQ80" s="317"/>
      <c r="WJR80" s="317"/>
      <c r="WJS80" s="317"/>
      <c r="WJT80" s="317"/>
      <c r="WJU80" s="317"/>
      <c r="WJV80" s="317"/>
      <c r="WJW80" s="317"/>
      <c r="WJX80" s="317"/>
      <c r="WJY80" s="317"/>
      <c r="WJZ80" s="317"/>
      <c r="WKA80" s="317"/>
      <c r="WKB80" s="317"/>
      <c r="WKC80" s="317"/>
      <c r="WKD80" s="317"/>
      <c r="WKE80" s="317"/>
      <c r="WKF80" s="317"/>
      <c r="WKG80" s="317"/>
      <c r="WKH80" s="317"/>
      <c r="WKI80" s="317"/>
      <c r="WKJ80" s="317"/>
      <c r="WKK80" s="317"/>
      <c r="WKL80" s="317"/>
      <c r="WKM80" s="317"/>
      <c r="WKN80" s="317"/>
      <c r="WKO80" s="317"/>
      <c r="WKP80" s="317"/>
      <c r="WKQ80" s="317"/>
      <c r="WKR80" s="317"/>
      <c r="WKS80" s="317"/>
      <c r="WKT80" s="317"/>
      <c r="WKU80" s="317"/>
      <c r="WKV80" s="317"/>
      <c r="WKW80" s="317"/>
      <c r="WKX80" s="317"/>
      <c r="WKY80" s="317"/>
      <c r="WKZ80" s="317"/>
      <c r="WLA80" s="317"/>
      <c r="WLB80" s="317"/>
      <c r="WLC80" s="317"/>
      <c r="WLD80" s="317"/>
      <c r="WLE80" s="317"/>
      <c r="WLF80" s="317"/>
      <c r="WLG80" s="317"/>
      <c r="WLH80" s="317"/>
      <c r="WLI80" s="317"/>
      <c r="WLJ80" s="317"/>
      <c r="WLK80" s="317"/>
      <c r="WLL80" s="317"/>
      <c r="WLM80" s="317"/>
      <c r="WLN80" s="317"/>
      <c r="WLO80" s="317"/>
      <c r="WLP80" s="317"/>
      <c r="WLQ80" s="317"/>
      <c r="WLR80" s="317"/>
      <c r="WLS80" s="317"/>
      <c r="WLT80" s="317"/>
      <c r="WLU80" s="317"/>
      <c r="WLV80" s="317"/>
      <c r="WLW80" s="317"/>
      <c r="WLX80" s="317"/>
      <c r="WLY80" s="317"/>
      <c r="WLZ80" s="317"/>
      <c r="WMA80" s="317"/>
      <c r="WMB80" s="317"/>
      <c r="WMC80" s="317"/>
      <c r="WMD80" s="317"/>
      <c r="WME80" s="317"/>
      <c r="WMF80" s="317"/>
      <c r="WMG80" s="317"/>
      <c r="WMH80" s="317"/>
      <c r="WMI80" s="317"/>
      <c r="WMJ80" s="317"/>
      <c r="WMK80" s="317"/>
      <c r="WML80" s="317"/>
      <c r="WMM80" s="317"/>
      <c r="WMN80" s="317"/>
      <c r="WMO80" s="317"/>
      <c r="WMP80" s="317"/>
      <c r="WMQ80" s="317"/>
      <c r="WMR80" s="317"/>
      <c r="WMS80" s="317"/>
      <c r="WMT80" s="317"/>
      <c r="WMU80" s="317"/>
      <c r="WMV80" s="317"/>
      <c r="WMW80" s="317"/>
      <c r="WMX80" s="317"/>
      <c r="WMY80" s="317"/>
      <c r="WMZ80" s="317"/>
      <c r="WNA80" s="317"/>
      <c r="WNB80" s="317"/>
      <c r="WNC80" s="317"/>
      <c r="WND80" s="317"/>
      <c r="WNE80" s="317"/>
      <c r="WNF80" s="317"/>
      <c r="WNG80" s="317"/>
      <c r="WNH80" s="317"/>
      <c r="WNI80" s="317"/>
      <c r="WNJ80" s="317"/>
      <c r="WNK80" s="317"/>
      <c r="WNL80" s="317"/>
      <c r="WNM80" s="317"/>
      <c r="WNN80" s="317"/>
      <c r="WNO80" s="317"/>
      <c r="WNP80" s="317"/>
      <c r="WNQ80" s="317"/>
      <c r="WNR80" s="317"/>
      <c r="WNS80" s="317"/>
      <c r="WNT80" s="317"/>
      <c r="WNU80" s="317"/>
      <c r="WNV80" s="317"/>
      <c r="WNW80" s="317"/>
      <c r="WNX80" s="317"/>
      <c r="WNY80" s="317"/>
      <c r="WNZ80" s="317"/>
      <c r="WOA80" s="317"/>
      <c r="WOB80" s="317"/>
      <c r="WOC80" s="317"/>
      <c r="WOD80" s="317"/>
      <c r="WOE80" s="317"/>
      <c r="WOF80" s="317"/>
      <c r="WOG80" s="317"/>
      <c r="WOH80" s="317"/>
      <c r="WOI80" s="317"/>
      <c r="WOJ80" s="317"/>
      <c r="WOK80" s="317"/>
      <c r="WOL80" s="317"/>
      <c r="WOM80" s="317"/>
      <c r="WON80" s="317"/>
      <c r="WOO80" s="317"/>
      <c r="WOP80" s="317"/>
      <c r="WOQ80" s="317"/>
      <c r="WOR80" s="317"/>
      <c r="WOS80" s="317"/>
      <c r="WOT80" s="317"/>
      <c r="WOU80" s="317"/>
      <c r="WOV80" s="317"/>
      <c r="WOW80" s="317"/>
      <c r="WOX80" s="317"/>
      <c r="WOY80" s="317"/>
      <c r="WOZ80" s="317"/>
      <c r="WPA80" s="317"/>
      <c r="WPB80" s="317"/>
      <c r="WPC80" s="317"/>
      <c r="WPD80" s="317"/>
      <c r="WPE80" s="317"/>
      <c r="WPF80" s="317"/>
      <c r="WPG80" s="317"/>
      <c r="WPH80" s="317"/>
      <c r="WPI80" s="317"/>
      <c r="WPJ80" s="317"/>
      <c r="WPK80" s="317"/>
      <c r="WPL80" s="317"/>
      <c r="WPM80" s="317"/>
      <c r="WPN80" s="317"/>
      <c r="WPO80" s="317"/>
      <c r="WPP80" s="317"/>
      <c r="WPQ80" s="317"/>
      <c r="WPR80" s="317"/>
      <c r="WPS80" s="317"/>
      <c r="WPT80" s="317"/>
      <c r="WPU80" s="317"/>
      <c r="WPV80" s="317"/>
      <c r="WPW80" s="317"/>
      <c r="WPX80" s="317"/>
      <c r="WPY80" s="317"/>
      <c r="WPZ80" s="317"/>
      <c r="WQA80" s="317"/>
      <c r="WQB80" s="317"/>
      <c r="WQC80" s="317"/>
      <c r="WQD80" s="317"/>
      <c r="WQE80" s="317"/>
      <c r="WQF80" s="317"/>
      <c r="WQG80" s="317"/>
      <c r="WQH80" s="317"/>
      <c r="WQI80" s="317"/>
      <c r="WQJ80" s="317"/>
      <c r="WQK80" s="317"/>
      <c r="WQL80" s="317"/>
      <c r="WQM80" s="317"/>
      <c r="WQN80" s="317"/>
      <c r="WQO80" s="317"/>
      <c r="WQP80" s="317"/>
      <c r="WQQ80" s="317"/>
      <c r="WQR80" s="317"/>
      <c r="WQS80" s="317"/>
      <c r="WQT80" s="317"/>
      <c r="WQU80" s="317"/>
      <c r="WQV80" s="317"/>
      <c r="WQW80" s="317"/>
      <c r="WQX80" s="317"/>
      <c r="WQY80" s="317"/>
      <c r="WQZ80" s="317"/>
      <c r="WRA80" s="317"/>
      <c r="WRB80" s="317"/>
      <c r="WRC80" s="317"/>
      <c r="WRD80" s="317"/>
      <c r="WRE80" s="317"/>
      <c r="WRF80" s="317"/>
      <c r="WRG80" s="317"/>
      <c r="WRH80" s="317"/>
      <c r="WRI80" s="317"/>
      <c r="WRJ80" s="317"/>
      <c r="WRK80" s="317"/>
      <c r="WRL80" s="317"/>
      <c r="WRM80" s="317"/>
      <c r="WRN80" s="317"/>
      <c r="WRO80" s="317"/>
      <c r="WRP80" s="317"/>
      <c r="WRQ80" s="317"/>
      <c r="WRR80" s="317"/>
      <c r="WRS80" s="317"/>
      <c r="WRT80" s="317"/>
      <c r="WRU80" s="317"/>
      <c r="WRV80" s="317"/>
      <c r="WRW80" s="317"/>
      <c r="WRX80" s="317"/>
      <c r="WRY80" s="317"/>
      <c r="WRZ80" s="317"/>
      <c r="WSA80" s="317"/>
      <c r="WSB80" s="317"/>
      <c r="WSC80" s="317"/>
      <c r="WSD80" s="317"/>
      <c r="WSE80" s="317"/>
      <c r="WSF80" s="317"/>
      <c r="WSG80" s="317"/>
      <c r="WSH80" s="317"/>
      <c r="WSI80" s="317"/>
      <c r="WSJ80" s="317"/>
      <c r="WSK80" s="317"/>
      <c r="WSL80" s="317"/>
      <c r="WSM80" s="317"/>
      <c r="WSN80" s="317"/>
      <c r="WSO80" s="317"/>
      <c r="WSP80" s="317"/>
      <c r="WSQ80" s="317"/>
      <c r="WSR80" s="317"/>
      <c r="WSS80" s="317"/>
      <c r="WST80" s="317"/>
      <c r="WSU80" s="317"/>
      <c r="WSV80" s="317"/>
      <c r="WSW80" s="317"/>
      <c r="WSX80" s="317"/>
      <c r="WSY80" s="317"/>
      <c r="WSZ80" s="317"/>
      <c r="WTA80" s="317"/>
      <c r="WTB80" s="317"/>
      <c r="WTC80" s="317"/>
      <c r="WTD80" s="317"/>
      <c r="WTE80" s="317"/>
      <c r="WTF80" s="317"/>
      <c r="WTG80" s="317"/>
      <c r="WTH80" s="317"/>
      <c r="WTI80" s="317"/>
      <c r="WTJ80" s="317"/>
      <c r="WTK80" s="317"/>
      <c r="WTL80" s="317"/>
      <c r="WTM80" s="317"/>
      <c r="WTN80" s="317"/>
      <c r="WTO80" s="317"/>
      <c r="WTP80" s="317"/>
      <c r="WTQ80" s="317"/>
      <c r="WTR80" s="317"/>
      <c r="WTS80" s="317"/>
      <c r="WTT80" s="317"/>
      <c r="WTU80" s="317"/>
      <c r="WTV80" s="317"/>
      <c r="WTW80" s="317"/>
      <c r="WTX80" s="317"/>
      <c r="WTY80" s="317"/>
      <c r="WTZ80" s="317"/>
      <c r="WUA80" s="317"/>
      <c r="WUB80" s="317"/>
      <c r="WUC80" s="317"/>
      <c r="WUD80" s="317"/>
      <c r="WUE80" s="317"/>
      <c r="WUF80" s="317"/>
      <c r="WUG80" s="317"/>
      <c r="WUH80" s="317"/>
      <c r="WUI80" s="317"/>
      <c r="WUJ80" s="317"/>
      <c r="WUK80" s="317"/>
      <c r="WUL80" s="317"/>
      <c r="WUM80" s="317"/>
      <c r="WUN80" s="317"/>
      <c r="WUO80" s="317"/>
      <c r="WUP80" s="317"/>
      <c r="WUQ80" s="317"/>
      <c r="WUR80" s="317"/>
      <c r="WUS80" s="317"/>
      <c r="WUT80" s="317"/>
      <c r="WUU80" s="317"/>
      <c r="WUV80" s="317"/>
      <c r="WUW80" s="317"/>
      <c r="WUX80" s="317"/>
      <c r="WUY80" s="317"/>
      <c r="WUZ80" s="317"/>
      <c r="WVA80" s="317"/>
      <c r="WVB80" s="317"/>
      <c r="WVC80" s="317"/>
      <c r="WVD80" s="317"/>
      <c r="WVE80" s="317"/>
      <c r="WVF80" s="317"/>
      <c r="WVG80" s="317"/>
      <c r="WVH80" s="317"/>
      <c r="WVI80" s="317"/>
      <c r="WVJ80" s="317"/>
      <c r="WVK80" s="317"/>
      <c r="WVL80" s="317"/>
      <c r="WVM80" s="317"/>
      <c r="WVN80" s="317"/>
      <c r="WVO80" s="317"/>
      <c r="WVP80" s="317"/>
      <c r="WVQ80" s="317"/>
      <c r="WVR80" s="317"/>
      <c r="WVS80" s="317"/>
      <c r="WVT80" s="317"/>
      <c r="WVU80" s="317"/>
      <c r="WVV80" s="317"/>
      <c r="WVW80" s="317"/>
      <c r="WVX80" s="317"/>
      <c r="WVY80" s="317"/>
      <c r="WVZ80" s="317"/>
      <c r="WWA80" s="317"/>
      <c r="WWB80" s="317"/>
      <c r="WWC80" s="317"/>
      <c r="WWD80" s="317"/>
      <c r="WWE80" s="317"/>
      <c r="WWF80" s="317"/>
      <c r="WWG80" s="317"/>
      <c r="WWH80" s="317"/>
      <c r="WWI80" s="317"/>
      <c r="WWJ80" s="317"/>
      <c r="WWK80" s="317"/>
      <c r="WWL80" s="317"/>
      <c r="WWM80" s="317"/>
      <c r="WWN80" s="317"/>
      <c r="WWO80" s="317"/>
      <c r="WWP80" s="317"/>
      <c r="WWQ80" s="317"/>
      <c r="WWR80" s="317"/>
      <c r="WWS80" s="317"/>
      <c r="WWT80" s="317"/>
      <c r="WWU80" s="317"/>
      <c r="WWV80" s="317"/>
      <c r="WWW80" s="317"/>
      <c r="WWX80" s="317"/>
      <c r="WWY80" s="317"/>
      <c r="WWZ80" s="317"/>
      <c r="WXA80" s="317"/>
      <c r="WXB80" s="317"/>
      <c r="WXC80" s="317"/>
      <c r="WXD80" s="317"/>
      <c r="WXE80" s="317"/>
      <c r="WXF80" s="317"/>
      <c r="WXG80" s="317"/>
      <c r="WXH80" s="317"/>
      <c r="WXI80" s="317"/>
      <c r="WXJ80" s="317"/>
      <c r="WXK80" s="317"/>
      <c r="WXL80" s="317"/>
      <c r="WXM80" s="317"/>
      <c r="WXN80" s="317"/>
      <c r="WXO80" s="317"/>
      <c r="WXP80" s="317"/>
      <c r="WXQ80" s="317"/>
      <c r="WXR80" s="317"/>
      <c r="WXS80" s="317"/>
      <c r="WXT80" s="317"/>
      <c r="WXU80" s="317"/>
      <c r="WXV80" s="317"/>
      <c r="WXW80" s="317"/>
      <c r="WXX80" s="317"/>
      <c r="WXY80" s="317"/>
      <c r="WXZ80" s="317"/>
      <c r="WYA80" s="317"/>
      <c r="WYB80" s="317"/>
      <c r="WYC80" s="317"/>
      <c r="WYD80" s="317"/>
      <c r="WYE80" s="317"/>
      <c r="WYF80" s="317"/>
      <c r="WYG80" s="317"/>
      <c r="WYH80" s="317"/>
      <c r="WYI80" s="317"/>
      <c r="WYJ80" s="317"/>
      <c r="WYK80" s="317"/>
      <c r="WYL80" s="317"/>
      <c r="WYM80" s="317"/>
      <c r="WYN80" s="317"/>
      <c r="WYO80" s="317"/>
      <c r="WYP80" s="317"/>
      <c r="WYQ80" s="317"/>
      <c r="WYR80" s="317"/>
      <c r="WYS80" s="317"/>
      <c r="WYT80" s="317"/>
      <c r="WYU80" s="317"/>
      <c r="WYV80" s="317"/>
      <c r="WYW80" s="317"/>
      <c r="WYX80" s="317"/>
      <c r="WYY80" s="317"/>
      <c r="WYZ80" s="317"/>
      <c r="WZA80" s="317"/>
      <c r="WZB80" s="317"/>
      <c r="WZC80" s="317"/>
      <c r="WZD80" s="317"/>
      <c r="WZE80" s="317"/>
      <c r="WZF80" s="317"/>
      <c r="WZG80" s="317"/>
      <c r="WZH80" s="317"/>
      <c r="WZI80" s="317"/>
      <c r="WZJ80" s="317"/>
      <c r="WZK80" s="317"/>
      <c r="WZL80" s="317"/>
      <c r="WZM80" s="317"/>
      <c r="WZN80" s="317"/>
      <c r="WZO80" s="317"/>
      <c r="WZP80" s="317"/>
      <c r="WZQ80" s="317"/>
      <c r="WZR80" s="317"/>
      <c r="WZS80" s="317"/>
      <c r="WZT80" s="317"/>
      <c r="WZU80" s="317"/>
      <c r="WZV80" s="317"/>
      <c r="WZW80" s="317"/>
      <c r="WZX80" s="317"/>
      <c r="WZY80" s="317"/>
      <c r="WZZ80" s="317"/>
      <c r="XAA80" s="317"/>
      <c r="XAB80" s="317"/>
      <c r="XAC80" s="317"/>
      <c r="XAD80" s="317"/>
      <c r="XAE80" s="317"/>
      <c r="XAF80" s="317"/>
      <c r="XAG80" s="317"/>
      <c r="XAH80" s="317"/>
      <c r="XAI80" s="317"/>
      <c r="XAJ80" s="317"/>
      <c r="XAK80" s="317"/>
      <c r="XAL80" s="317"/>
      <c r="XAM80" s="317"/>
      <c r="XAN80" s="317"/>
      <c r="XAO80" s="317"/>
      <c r="XAP80" s="317"/>
      <c r="XAQ80" s="317"/>
      <c r="XAR80" s="317"/>
      <c r="XAS80" s="317"/>
      <c r="XAT80" s="317"/>
      <c r="XAU80" s="317"/>
      <c r="XAV80" s="317"/>
      <c r="XAW80" s="317"/>
      <c r="XAX80" s="317"/>
      <c r="XAY80" s="317"/>
      <c r="XAZ80" s="317"/>
      <c r="XBA80" s="317"/>
      <c r="XBB80" s="317"/>
      <c r="XBC80" s="317"/>
      <c r="XBD80" s="317"/>
      <c r="XBE80" s="317"/>
      <c r="XBF80" s="317"/>
      <c r="XBG80" s="317"/>
      <c r="XBH80" s="317"/>
      <c r="XBI80" s="317"/>
      <c r="XBJ80" s="317"/>
      <c r="XBK80" s="317"/>
      <c r="XBL80" s="317"/>
      <c r="XBM80" s="317"/>
      <c r="XBN80" s="317"/>
      <c r="XBO80" s="317"/>
      <c r="XBP80" s="317"/>
      <c r="XBQ80" s="317"/>
      <c r="XBR80" s="317"/>
      <c r="XBS80" s="317"/>
      <c r="XBT80" s="317"/>
      <c r="XBU80" s="317"/>
      <c r="XBV80" s="317"/>
      <c r="XBW80" s="317"/>
      <c r="XBX80" s="317"/>
      <c r="XBY80" s="317"/>
      <c r="XBZ80" s="317"/>
      <c r="XCA80" s="317"/>
      <c r="XCB80" s="317"/>
      <c r="XCC80" s="317"/>
      <c r="XCD80" s="317"/>
      <c r="XCE80" s="317"/>
      <c r="XCF80" s="317"/>
      <c r="XCG80" s="317"/>
      <c r="XCH80" s="317"/>
      <c r="XCI80" s="317"/>
      <c r="XCJ80" s="317"/>
      <c r="XCK80" s="317"/>
      <c r="XCL80" s="317"/>
      <c r="XCM80" s="317"/>
      <c r="XCN80" s="317"/>
      <c r="XCO80" s="317"/>
      <c r="XCP80" s="317"/>
      <c r="XCQ80" s="317"/>
      <c r="XCR80" s="317"/>
      <c r="XCS80" s="317"/>
      <c r="XCT80" s="317"/>
      <c r="XCU80" s="317"/>
      <c r="XCV80" s="317"/>
      <c r="XCW80" s="317"/>
      <c r="XCX80" s="317"/>
      <c r="XCY80" s="317"/>
      <c r="XCZ80" s="317"/>
      <c r="XDA80" s="317"/>
      <c r="XDB80" s="317"/>
      <c r="XDC80" s="317"/>
      <c r="XDD80" s="317"/>
      <c r="XDE80" s="317"/>
      <c r="XDF80" s="317"/>
      <c r="XDG80" s="317"/>
      <c r="XDH80" s="317"/>
      <c r="XDI80" s="317"/>
      <c r="XDJ80" s="317"/>
      <c r="XDK80" s="317"/>
      <c r="XDL80" s="317"/>
      <c r="XDM80" s="317"/>
      <c r="XDN80" s="317"/>
      <c r="XDO80" s="317"/>
      <c r="XDP80" s="317"/>
      <c r="XDQ80" s="317"/>
      <c r="XDR80" s="317"/>
      <c r="XDS80" s="317"/>
      <c r="XDT80" s="317"/>
      <c r="XDU80" s="317"/>
      <c r="XDV80" s="317"/>
      <c r="XDW80" s="317"/>
      <c r="XDX80" s="317"/>
      <c r="XDY80" s="317"/>
      <c r="XDZ80" s="317"/>
      <c r="XEA80" s="317"/>
      <c r="XEB80" s="317"/>
      <c r="XEC80" s="317"/>
      <c r="XED80" s="317"/>
      <c r="XEE80" s="317"/>
      <c r="XEF80" s="317"/>
      <c r="XEG80" s="317"/>
      <c r="XEH80" s="317"/>
      <c r="XEI80" s="317"/>
      <c r="XEJ80" s="317"/>
      <c r="XEK80" s="317"/>
      <c r="XEL80" s="317"/>
      <c r="XEM80" s="317"/>
      <c r="XEN80" s="317"/>
      <c r="XEO80" s="317"/>
      <c r="XEP80" s="317"/>
      <c r="XEQ80" s="317"/>
      <c r="XER80" s="317"/>
      <c r="XES80" s="317"/>
      <c r="XET80" s="317"/>
      <c r="XEU80" s="317"/>
      <c r="XEV80" s="317"/>
      <c r="XEW80" s="317"/>
      <c r="XEX80" s="317"/>
      <c r="XEY80" s="317"/>
      <c r="XEZ80" s="317"/>
      <c r="XFA80" s="317"/>
      <c r="XFB80" s="317"/>
      <c r="XFC80" s="317"/>
      <c r="XFD80" s="317"/>
    </row>
    <row r="81" s="32" customFormat="1" ht="25" customHeight="1" spans="1:74 14505:16384">
      <c r="A81" s="359"/>
      <c r="B81" s="360" t="s">
        <v>103</v>
      </c>
      <c r="C81" s="314"/>
      <c r="D81" s="314"/>
      <c r="E81" s="314"/>
      <c r="F81" s="314"/>
      <c r="G81" s="314"/>
      <c r="H81" s="314"/>
      <c r="I81" s="315"/>
      <c r="J81" s="314"/>
      <c r="K81" s="314"/>
      <c r="L81" s="314"/>
      <c r="M81" s="314"/>
      <c r="N81" s="314"/>
      <c r="O81" s="316"/>
      <c r="P81" s="316"/>
      <c r="Q81" s="314"/>
      <c r="R81" s="314"/>
      <c r="S81" s="314"/>
      <c r="T81" s="314"/>
      <c r="U81" s="314"/>
      <c r="V81" s="316"/>
      <c r="W81" s="316"/>
      <c r="X81" s="316"/>
      <c r="Y81" s="316"/>
      <c r="Z81" s="316"/>
      <c r="AA81" s="316"/>
      <c r="AB81" s="316"/>
      <c r="AC81" s="316"/>
      <c r="AD81" s="316"/>
      <c r="AE81" s="314"/>
      <c r="AF81" s="314"/>
      <c r="AG81" s="314"/>
      <c r="AH81" s="314"/>
      <c r="AI81" s="314"/>
      <c r="AJ81" s="314"/>
      <c r="AK81" s="316"/>
      <c r="AL81" s="314"/>
      <c r="AM81" s="314"/>
      <c r="AN81" s="314"/>
      <c r="AO81" s="314"/>
      <c r="AP81" s="314"/>
      <c r="AQ81" s="316"/>
      <c r="AR81" s="316"/>
      <c r="AS81" s="314"/>
      <c r="AT81" s="314"/>
      <c r="AU81" s="314"/>
      <c r="AV81" s="314"/>
      <c r="AW81" s="314"/>
      <c r="AX81" s="360"/>
      <c r="AY81" s="316"/>
      <c r="AZ81" s="360"/>
      <c r="BA81" s="360"/>
      <c r="BB81" s="360"/>
      <c r="BC81" s="360"/>
      <c r="BD81" s="360"/>
      <c r="BE81" s="316"/>
      <c r="BF81" s="316"/>
      <c r="BG81" s="360"/>
      <c r="BH81" s="360"/>
      <c r="BI81" s="360"/>
      <c r="BJ81" s="360"/>
      <c r="BK81" s="314"/>
      <c r="BL81" s="314"/>
      <c r="BM81" s="316"/>
      <c r="BN81" s="314"/>
      <c r="BO81" s="314"/>
      <c r="BP81" s="314"/>
      <c r="BQ81" s="314"/>
      <c r="BR81" s="314"/>
      <c r="BS81" s="316"/>
      <c r="BT81" s="316"/>
      <c r="BU81" s="314"/>
      <c r="BV81" s="314"/>
    </row>
    <row r="82" s="32" customFormat="1" ht="25" customHeight="1" spans="1:74 14505:16384">
      <c r="A82" s="359"/>
      <c r="B82" s="360" t="s">
        <v>104</v>
      </c>
      <c r="C82" s="314"/>
      <c r="D82" s="314"/>
      <c r="E82" s="314"/>
      <c r="F82" s="314"/>
      <c r="G82" s="314"/>
      <c r="H82" s="314"/>
      <c r="I82" s="315"/>
      <c r="J82" s="314"/>
      <c r="K82" s="314"/>
      <c r="L82" s="314"/>
      <c r="M82" s="314"/>
      <c r="N82" s="314"/>
      <c r="O82" s="316"/>
      <c r="P82" s="316"/>
      <c r="Q82" s="314"/>
      <c r="R82" s="314"/>
      <c r="S82" s="314"/>
      <c r="T82" s="314"/>
      <c r="U82" s="314"/>
      <c r="V82" s="316"/>
      <c r="W82" s="316"/>
      <c r="X82" s="316"/>
      <c r="Y82" s="316"/>
      <c r="Z82" s="316"/>
      <c r="AA82" s="316"/>
      <c r="AB82" s="316"/>
      <c r="AC82" s="316"/>
      <c r="AD82" s="316"/>
      <c r="AE82" s="314"/>
      <c r="AF82" s="314"/>
      <c r="AG82" s="314"/>
      <c r="AH82" s="314"/>
      <c r="AI82" s="314"/>
      <c r="AJ82" s="314"/>
      <c r="AK82" s="316"/>
      <c r="AL82" s="314"/>
      <c r="AM82" s="314"/>
      <c r="AN82" s="314"/>
      <c r="AO82" s="314"/>
      <c r="AP82" s="314"/>
      <c r="AQ82" s="316"/>
      <c r="AR82" s="316"/>
      <c r="AS82" s="314"/>
      <c r="AT82" s="314"/>
      <c r="AU82" s="314"/>
      <c r="AV82" s="314"/>
      <c r="AW82" s="314"/>
      <c r="AX82" s="314"/>
      <c r="AY82" s="316"/>
      <c r="AZ82" s="314"/>
      <c r="BA82" s="314"/>
      <c r="BB82" s="314"/>
      <c r="BC82" s="314"/>
      <c r="BD82" s="314"/>
      <c r="BE82" s="316"/>
      <c r="BF82" s="316"/>
      <c r="BG82" s="314"/>
      <c r="BH82" s="314"/>
      <c r="BI82" s="314"/>
      <c r="BJ82" s="314"/>
      <c r="BK82" s="360"/>
      <c r="BL82" s="360"/>
      <c r="BM82" s="316"/>
      <c r="BN82" s="360"/>
      <c r="BO82" s="360"/>
      <c r="BP82" s="360"/>
      <c r="BQ82" s="360"/>
      <c r="BR82" s="314"/>
      <c r="BS82" s="316"/>
      <c r="BT82" s="316"/>
      <c r="BU82" s="314"/>
      <c r="BV82" s="314"/>
    </row>
    <row r="83" s="88" customFormat="1" ht="25" customHeight="1" spans="1:74 14505:16384">
      <c r="A83" s="361"/>
      <c r="B83" s="360" t="s">
        <v>105</v>
      </c>
      <c r="C83" s="314"/>
      <c r="D83" s="314"/>
      <c r="E83" s="314"/>
      <c r="F83" s="314"/>
      <c r="G83" s="314"/>
      <c r="H83" s="314"/>
      <c r="I83" s="315"/>
      <c r="J83" s="314"/>
      <c r="K83" s="314"/>
      <c r="L83" s="314"/>
      <c r="M83" s="314"/>
      <c r="N83" s="314"/>
      <c r="O83" s="316"/>
      <c r="P83" s="316"/>
      <c r="Q83" s="314"/>
      <c r="R83" s="314"/>
      <c r="S83" s="314"/>
      <c r="T83" s="314"/>
      <c r="U83" s="314"/>
      <c r="V83" s="316"/>
      <c r="W83" s="316"/>
      <c r="X83" s="316"/>
      <c r="Y83" s="316"/>
      <c r="Z83" s="316"/>
      <c r="AA83" s="316"/>
      <c r="AB83" s="316"/>
      <c r="AC83" s="316"/>
      <c r="AD83" s="316"/>
      <c r="AE83" s="314"/>
      <c r="AF83" s="314"/>
      <c r="AG83" s="314"/>
      <c r="AH83" s="314"/>
      <c r="AI83" s="314"/>
      <c r="AJ83" s="314"/>
      <c r="AK83" s="316"/>
      <c r="AL83" s="314"/>
      <c r="AM83" s="314"/>
      <c r="AN83" s="314"/>
      <c r="AO83" s="314"/>
      <c r="AP83" s="314"/>
      <c r="AQ83" s="316"/>
      <c r="AR83" s="316"/>
      <c r="AS83" s="314"/>
      <c r="AT83" s="314"/>
      <c r="AU83" s="314"/>
      <c r="AV83" s="314"/>
      <c r="AW83" s="314"/>
      <c r="AX83" s="314"/>
      <c r="AY83" s="316"/>
      <c r="AZ83" s="314"/>
      <c r="BA83" s="314"/>
      <c r="BB83" s="314"/>
      <c r="BC83" s="314"/>
      <c r="BD83" s="314"/>
      <c r="BE83" s="316"/>
      <c r="BF83" s="316"/>
      <c r="BG83" s="314"/>
      <c r="BH83" s="314"/>
      <c r="BI83" s="314"/>
      <c r="BJ83" s="314"/>
      <c r="BK83" s="314"/>
      <c r="BL83" s="314"/>
      <c r="BM83" s="316"/>
      <c r="BN83" s="314"/>
      <c r="BO83" s="314"/>
      <c r="BP83" s="314"/>
      <c r="BQ83" s="314"/>
      <c r="BR83" s="360"/>
      <c r="BS83" s="316"/>
      <c r="BT83" s="316"/>
      <c r="BU83" s="314"/>
      <c r="BV83" s="314"/>
    </row>
    <row r="84" s="88" customFormat="1" ht="25" customHeight="1" spans="1:74 14505:16384">
      <c r="A84" s="361"/>
      <c r="B84" s="362" t="s">
        <v>106</v>
      </c>
      <c r="C84" s="314"/>
      <c r="D84" s="314"/>
      <c r="E84" s="314"/>
      <c r="F84" s="314"/>
      <c r="G84" s="314"/>
      <c r="H84" s="314"/>
      <c r="I84" s="315"/>
      <c r="J84" s="314"/>
      <c r="K84" s="314"/>
      <c r="L84" s="314"/>
      <c r="M84" s="314"/>
      <c r="N84" s="314"/>
      <c r="O84" s="316"/>
      <c r="P84" s="316"/>
      <c r="Q84" s="314"/>
      <c r="R84" s="314"/>
      <c r="S84" s="314"/>
      <c r="T84" s="314"/>
      <c r="U84" s="314"/>
      <c r="V84" s="316"/>
      <c r="W84" s="316"/>
      <c r="X84" s="316"/>
      <c r="Y84" s="316"/>
      <c r="Z84" s="316"/>
      <c r="AA84" s="316"/>
      <c r="AB84" s="316"/>
      <c r="AC84" s="316"/>
      <c r="AD84" s="316"/>
      <c r="AE84" s="314"/>
      <c r="AF84" s="314"/>
      <c r="AG84" s="314"/>
      <c r="AH84" s="314"/>
      <c r="AI84" s="314"/>
      <c r="AJ84" s="314"/>
      <c r="AK84" s="316"/>
      <c r="AL84" s="314"/>
      <c r="AM84" s="314"/>
      <c r="AN84" s="314"/>
      <c r="AO84" s="314"/>
      <c r="AP84" s="314"/>
      <c r="AQ84" s="316"/>
      <c r="AR84" s="316"/>
      <c r="AS84" s="314"/>
      <c r="AT84" s="314"/>
      <c r="AU84" s="314"/>
      <c r="AV84" s="314"/>
      <c r="AW84" s="314"/>
      <c r="AX84" s="314"/>
      <c r="AY84" s="316"/>
      <c r="AZ84" s="314"/>
      <c r="BA84" s="314"/>
      <c r="BB84" s="314"/>
      <c r="BC84" s="314"/>
      <c r="BD84" s="314"/>
      <c r="BE84" s="316"/>
      <c r="BF84" s="316"/>
      <c r="BG84" s="314"/>
      <c r="BH84" s="314"/>
      <c r="BI84" s="314"/>
      <c r="BJ84" s="314"/>
      <c r="BK84" s="314"/>
      <c r="BL84" s="314"/>
      <c r="BM84" s="316"/>
      <c r="BN84" s="314"/>
      <c r="BO84" s="314"/>
      <c r="BP84" s="314"/>
      <c r="BQ84" s="314"/>
      <c r="BR84" s="360"/>
      <c r="BS84" s="316"/>
      <c r="BT84" s="316"/>
      <c r="BU84" s="314"/>
      <c r="BV84" s="314"/>
    </row>
    <row r="85" s="314" customFormat="1" ht="25" customHeight="1" spans="1:74 14505:16384">
      <c r="A85" s="359"/>
      <c r="B85" s="360" t="s">
        <v>107</v>
      </c>
      <c r="I85" s="315"/>
      <c r="O85" s="316"/>
      <c r="P85" s="316"/>
      <c r="V85" s="316"/>
      <c r="W85" s="316"/>
      <c r="X85" s="316"/>
      <c r="Y85" s="316"/>
      <c r="Z85" s="316"/>
      <c r="AA85" s="316"/>
      <c r="AB85" s="316"/>
      <c r="AC85" s="316"/>
      <c r="AD85" s="316"/>
      <c r="AK85" s="316"/>
      <c r="AQ85" s="316"/>
      <c r="AR85" s="316"/>
      <c r="AY85" s="316"/>
      <c r="BE85" s="316"/>
      <c r="BF85" s="316"/>
      <c r="BJ85" s="360"/>
      <c r="BM85" s="316"/>
      <c r="BS85" s="316"/>
      <c r="BT85" s="316"/>
      <c r="UKW85" s="317"/>
      <c r="UKX85" s="317"/>
      <c r="UKY85" s="317"/>
      <c r="UKZ85" s="317"/>
      <c r="ULA85" s="317"/>
      <c r="ULB85" s="317"/>
      <c r="ULC85" s="317"/>
      <c r="ULD85" s="317"/>
      <c r="ULE85" s="317"/>
      <c r="ULF85" s="317"/>
      <c r="ULG85" s="317"/>
      <c r="ULH85" s="317"/>
      <c r="ULI85" s="317"/>
      <c r="ULJ85" s="317"/>
      <c r="ULK85" s="317"/>
      <c r="ULL85" s="317"/>
      <c r="ULM85" s="317"/>
      <c r="ULN85" s="317"/>
      <c r="ULO85" s="317"/>
      <c r="ULP85" s="317"/>
      <c r="ULQ85" s="317"/>
      <c r="ULR85" s="317"/>
      <c r="ULS85" s="317"/>
      <c r="ULT85" s="317"/>
      <c r="ULU85" s="317"/>
      <c r="ULV85" s="317"/>
      <c r="ULW85" s="317"/>
      <c r="ULX85" s="317"/>
      <c r="ULY85" s="317"/>
      <c r="ULZ85" s="317"/>
      <c r="UMA85" s="317"/>
      <c r="UMB85" s="317"/>
      <c r="UMC85" s="317"/>
      <c r="UMD85" s="317"/>
      <c r="UME85" s="317"/>
      <c r="UMF85" s="317"/>
      <c r="UMG85" s="317"/>
      <c r="UMH85" s="317"/>
      <c r="UMI85" s="317"/>
      <c r="UMJ85" s="317"/>
      <c r="UMK85" s="317"/>
      <c r="UML85" s="317"/>
      <c r="UMM85" s="317"/>
      <c r="UMN85" s="317"/>
      <c r="UMO85" s="317"/>
      <c r="UMP85" s="317"/>
      <c r="UMQ85" s="317"/>
      <c r="UMR85" s="317"/>
      <c r="UMS85" s="317"/>
      <c r="UMT85" s="317"/>
      <c r="UMU85" s="317"/>
      <c r="UMV85" s="317"/>
      <c r="UMW85" s="317"/>
      <c r="UMX85" s="317"/>
      <c r="UMY85" s="317"/>
      <c r="UMZ85" s="317"/>
      <c r="UNA85" s="317"/>
      <c r="UNB85" s="317"/>
      <c r="UNC85" s="317"/>
      <c r="UND85" s="317"/>
      <c r="UNE85" s="317"/>
      <c r="UNF85" s="317"/>
      <c r="UNG85" s="317"/>
      <c r="UNH85" s="317"/>
      <c r="UNI85" s="317"/>
      <c r="UNJ85" s="317"/>
      <c r="UNK85" s="317"/>
      <c r="UNL85" s="317"/>
      <c r="UNM85" s="317"/>
      <c r="UNN85" s="317"/>
      <c r="UNO85" s="317"/>
      <c r="UNP85" s="317"/>
      <c r="UNQ85" s="317"/>
      <c r="UNR85" s="317"/>
      <c r="UNS85" s="317"/>
      <c r="UNT85" s="317"/>
      <c r="UNU85" s="317"/>
      <c r="UNV85" s="317"/>
      <c r="UNW85" s="317"/>
      <c r="UNX85" s="317"/>
      <c r="UNY85" s="317"/>
      <c r="UNZ85" s="317"/>
      <c r="UOA85" s="317"/>
      <c r="UOB85" s="317"/>
      <c r="UOC85" s="317"/>
      <c r="UOD85" s="317"/>
      <c r="UOE85" s="317"/>
      <c r="UOF85" s="317"/>
      <c r="UOG85" s="317"/>
      <c r="UOH85" s="317"/>
      <c r="UOI85" s="317"/>
      <c r="UOJ85" s="317"/>
      <c r="UOK85" s="317"/>
      <c r="UOL85" s="317"/>
      <c r="UOM85" s="317"/>
      <c r="UON85" s="317"/>
      <c r="UOO85" s="317"/>
      <c r="UOP85" s="317"/>
      <c r="UOQ85" s="317"/>
      <c r="UOR85" s="317"/>
      <c r="UOS85" s="317"/>
      <c r="UOT85" s="317"/>
      <c r="UOU85" s="317"/>
      <c r="UOV85" s="317"/>
      <c r="UOW85" s="317"/>
      <c r="UOX85" s="317"/>
      <c r="UOY85" s="317"/>
      <c r="UOZ85" s="317"/>
      <c r="UPA85" s="317"/>
      <c r="UPB85" s="317"/>
      <c r="UPC85" s="317"/>
      <c r="UPD85" s="317"/>
      <c r="UPE85" s="317"/>
      <c r="UPF85" s="317"/>
      <c r="UPG85" s="317"/>
      <c r="UPH85" s="317"/>
      <c r="UPI85" s="317"/>
      <c r="UPJ85" s="317"/>
      <c r="UPK85" s="317"/>
      <c r="UPL85" s="317"/>
      <c r="UPM85" s="317"/>
      <c r="UPN85" s="317"/>
      <c r="UPO85" s="317"/>
      <c r="UPP85" s="317"/>
      <c r="UPQ85" s="317"/>
      <c r="UPR85" s="317"/>
      <c r="UPS85" s="317"/>
      <c r="UPT85" s="317"/>
      <c r="UPU85" s="317"/>
      <c r="UPV85" s="317"/>
      <c r="UPW85" s="317"/>
      <c r="UPX85" s="317"/>
      <c r="UPY85" s="317"/>
      <c r="UPZ85" s="317"/>
      <c r="UQA85" s="317"/>
      <c r="UQB85" s="317"/>
      <c r="UQC85" s="317"/>
      <c r="UQD85" s="317"/>
      <c r="UQE85" s="317"/>
      <c r="UQF85" s="317"/>
      <c r="UQG85" s="317"/>
      <c r="UQH85" s="317"/>
      <c r="UQI85" s="317"/>
      <c r="UQJ85" s="317"/>
      <c r="UQK85" s="317"/>
      <c r="UQL85" s="317"/>
      <c r="UQM85" s="317"/>
      <c r="UQN85" s="317"/>
      <c r="UQO85" s="317"/>
      <c r="UQP85" s="317"/>
      <c r="UQQ85" s="317"/>
      <c r="UQR85" s="317"/>
      <c r="UQS85" s="317"/>
      <c r="UQT85" s="317"/>
      <c r="UQU85" s="317"/>
      <c r="UQV85" s="317"/>
      <c r="UQW85" s="317"/>
      <c r="UQX85" s="317"/>
      <c r="UQY85" s="317"/>
      <c r="UQZ85" s="317"/>
      <c r="URA85" s="317"/>
      <c r="URB85" s="317"/>
      <c r="URC85" s="317"/>
      <c r="URD85" s="317"/>
      <c r="URE85" s="317"/>
      <c r="URF85" s="317"/>
      <c r="URG85" s="317"/>
      <c r="URH85" s="317"/>
      <c r="URI85" s="317"/>
      <c r="URJ85" s="317"/>
      <c r="URK85" s="317"/>
      <c r="URL85" s="317"/>
      <c r="URM85" s="317"/>
      <c r="URN85" s="317"/>
      <c r="URO85" s="317"/>
      <c r="URP85" s="317"/>
      <c r="URQ85" s="317"/>
      <c r="URR85" s="317"/>
      <c r="URS85" s="317"/>
      <c r="URT85" s="317"/>
      <c r="URU85" s="317"/>
      <c r="URV85" s="317"/>
      <c r="URW85" s="317"/>
      <c r="URX85" s="317"/>
      <c r="URY85" s="317"/>
      <c r="URZ85" s="317"/>
      <c r="USA85" s="317"/>
      <c r="USB85" s="317"/>
      <c r="USC85" s="317"/>
      <c r="USD85" s="317"/>
      <c r="USE85" s="317"/>
      <c r="USF85" s="317"/>
      <c r="USG85" s="317"/>
      <c r="USH85" s="317"/>
      <c r="USI85" s="317"/>
      <c r="USJ85" s="317"/>
      <c r="USK85" s="317"/>
      <c r="USL85" s="317"/>
      <c r="USM85" s="317"/>
      <c r="USN85" s="317"/>
      <c r="USO85" s="317"/>
      <c r="USP85" s="317"/>
      <c r="USQ85" s="317"/>
      <c r="USR85" s="317"/>
      <c r="USS85" s="317"/>
      <c r="UST85" s="317"/>
      <c r="USU85" s="317"/>
      <c r="USV85" s="317"/>
      <c r="USW85" s="317"/>
      <c r="USX85" s="317"/>
      <c r="USY85" s="317"/>
      <c r="USZ85" s="317"/>
      <c r="UTA85" s="317"/>
      <c r="UTB85" s="317"/>
      <c r="UTC85" s="317"/>
      <c r="UTD85" s="317"/>
      <c r="UTE85" s="317"/>
      <c r="UTF85" s="317"/>
      <c r="UTG85" s="317"/>
      <c r="UTH85" s="317"/>
      <c r="UTI85" s="317"/>
      <c r="UTJ85" s="317"/>
      <c r="UTK85" s="317"/>
      <c r="UTL85" s="317"/>
      <c r="UTM85" s="317"/>
      <c r="UTN85" s="317"/>
      <c r="UTO85" s="317"/>
      <c r="UTP85" s="317"/>
      <c r="UTQ85" s="317"/>
      <c r="UTR85" s="317"/>
      <c r="UTS85" s="317"/>
      <c r="UTT85" s="317"/>
      <c r="UTU85" s="317"/>
      <c r="UTV85" s="317"/>
      <c r="UTW85" s="317"/>
      <c r="UTX85" s="317"/>
      <c r="UTY85" s="317"/>
      <c r="UTZ85" s="317"/>
      <c r="UUA85" s="317"/>
      <c r="UUB85" s="317"/>
      <c r="UUC85" s="317"/>
      <c r="UUD85" s="317"/>
      <c r="UUE85" s="317"/>
      <c r="UUF85" s="317"/>
      <c r="UUG85" s="317"/>
      <c r="UUH85" s="317"/>
      <c r="UUI85" s="317"/>
      <c r="UUJ85" s="317"/>
      <c r="UUK85" s="317"/>
      <c r="UUL85" s="317"/>
      <c r="UUM85" s="317"/>
      <c r="UUN85" s="317"/>
      <c r="UUO85" s="317"/>
      <c r="UUP85" s="317"/>
      <c r="UUQ85" s="317"/>
      <c r="UUR85" s="317"/>
      <c r="UUS85" s="317"/>
      <c r="UUT85" s="317"/>
      <c r="UUU85" s="317"/>
      <c r="UUV85" s="317"/>
      <c r="UUW85" s="317"/>
      <c r="UUX85" s="317"/>
      <c r="UUY85" s="317"/>
      <c r="UUZ85" s="317"/>
      <c r="UVA85" s="317"/>
      <c r="UVB85" s="317"/>
      <c r="UVC85" s="317"/>
      <c r="UVD85" s="317"/>
      <c r="UVE85" s="317"/>
      <c r="UVF85" s="317"/>
      <c r="UVG85" s="317"/>
      <c r="UVH85" s="317"/>
      <c r="UVI85" s="317"/>
      <c r="UVJ85" s="317"/>
      <c r="UVK85" s="317"/>
      <c r="UVL85" s="317"/>
      <c r="UVM85" s="317"/>
      <c r="UVN85" s="317"/>
      <c r="UVO85" s="317"/>
      <c r="UVP85" s="317"/>
      <c r="UVQ85" s="317"/>
      <c r="UVR85" s="317"/>
      <c r="UVS85" s="317"/>
      <c r="UVT85" s="317"/>
      <c r="UVU85" s="317"/>
      <c r="UVV85" s="317"/>
      <c r="UVW85" s="317"/>
      <c r="UVX85" s="317"/>
      <c r="UVY85" s="317"/>
      <c r="UVZ85" s="317"/>
      <c r="UWA85" s="317"/>
      <c r="UWB85" s="317"/>
      <c r="UWC85" s="317"/>
      <c r="UWD85" s="317"/>
      <c r="UWE85" s="317"/>
      <c r="UWF85" s="317"/>
      <c r="UWG85" s="317"/>
      <c r="UWH85" s="317"/>
      <c r="UWI85" s="317"/>
      <c r="UWJ85" s="317"/>
      <c r="UWK85" s="317"/>
      <c r="UWL85" s="317"/>
      <c r="UWM85" s="317"/>
      <c r="UWN85" s="317"/>
      <c r="UWO85" s="317"/>
      <c r="UWP85" s="317"/>
      <c r="UWQ85" s="317"/>
      <c r="UWR85" s="317"/>
      <c r="UWS85" s="317"/>
      <c r="UWT85" s="317"/>
      <c r="UWU85" s="317"/>
      <c r="UWV85" s="317"/>
      <c r="UWW85" s="317"/>
      <c r="UWX85" s="317"/>
      <c r="UWY85" s="317"/>
      <c r="UWZ85" s="317"/>
      <c r="UXA85" s="317"/>
      <c r="UXB85" s="317"/>
      <c r="UXC85" s="317"/>
      <c r="UXD85" s="317"/>
      <c r="UXE85" s="317"/>
      <c r="UXF85" s="317"/>
      <c r="UXG85" s="317"/>
      <c r="UXH85" s="317"/>
      <c r="UXI85" s="317"/>
      <c r="UXJ85" s="317"/>
      <c r="UXK85" s="317"/>
      <c r="UXL85" s="317"/>
      <c r="UXM85" s="317"/>
      <c r="UXN85" s="317"/>
      <c r="UXO85" s="317"/>
      <c r="UXP85" s="317"/>
      <c r="UXQ85" s="317"/>
      <c r="UXR85" s="317"/>
      <c r="UXS85" s="317"/>
      <c r="UXT85" s="317"/>
      <c r="UXU85" s="317"/>
      <c r="UXV85" s="317"/>
      <c r="UXW85" s="317"/>
      <c r="UXX85" s="317"/>
      <c r="UXY85" s="317"/>
      <c r="UXZ85" s="317"/>
      <c r="UYA85" s="317"/>
      <c r="UYB85" s="317"/>
      <c r="UYC85" s="317"/>
      <c r="UYD85" s="317"/>
      <c r="UYE85" s="317"/>
      <c r="UYF85" s="317"/>
      <c r="UYG85" s="317"/>
      <c r="UYH85" s="317"/>
      <c r="UYI85" s="317"/>
      <c r="UYJ85" s="317"/>
      <c r="UYK85" s="317"/>
      <c r="UYL85" s="317"/>
      <c r="UYM85" s="317"/>
      <c r="UYN85" s="317"/>
      <c r="UYO85" s="317"/>
      <c r="UYP85" s="317"/>
      <c r="UYQ85" s="317"/>
      <c r="UYR85" s="317"/>
      <c r="UYS85" s="317"/>
      <c r="UYT85" s="317"/>
      <c r="UYU85" s="317"/>
      <c r="UYV85" s="317"/>
      <c r="UYW85" s="317"/>
      <c r="UYX85" s="317"/>
      <c r="UYY85" s="317"/>
      <c r="UYZ85" s="317"/>
      <c r="UZA85" s="317"/>
      <c r="UZB85" s="317"/>
      <c r="UZC85" s="317"/>
      <c r="UZD85" s="317"/>
      <c r="UZE85" s="317"/>
      <c r="UZF85" s="317"/>
      <c r="UZG85" s="317"/>
      <c r="UZH85" s="317"/>
      <c r="UZI85" s="317"/>
      <c r="UZJ85" s="317"/>
      <c r="UZK85" s="317"/>
      <c r="UZL85" s="317"/>
      <c r="UZM85" s="317"/>
      <c r="UZN85" s="317"/>
      <c r="UZO85" s="317"/>
      <c r="UZP85" s="317"/>
      <c r="UZQ85" s="317"/>
      <c r="UZR85" s="317"/>
      <c r="UZS85" s="317"/>
      <c r="UZT85" s="317"/>
      <c r="UZU85" s="317"/>
      <c r="UZV85" s="317"/>
      <c r="UZW85" s="317"/>
      <c r="UZX85" s="317"/>
      <c r="UZY85" s="317"/>
      <c r="UZZ85" s="317"/>
      <c r="VAA85" s="317"/>
      <c r="VAB85" s="317"/>
      <c r="VAC85" s="317"/>
      <c r="VAD85" s="317"/>
      <c r="VAE85" s="317"/>
      <c r="VAF85" s="317"/>
      <c r="VAG85" s="317"/>
      <c r="VAH85" s="317"/>
      <c r="VAI85" s="317"/>
      <c r="VAJ85" s="317"/>
      <c r="VAK85" s="317"/>
      <c r="VAL85" s="317"/>
      <c r="VAM85" s="317"/>
      <c r="VAN85" s="317"/>
      <c r="VAO85" s="317"/>
      <c r="VAP85" s="317"/>
      <c r="VAQ85" s="317"/>
      <c r="VAR85" s="317"/>
      <c r="VAS85" s="317"/>
      <c r="VAT85" s="317"/>
      <c r="VAU85" s="317"/>
      <c r="VAV85" s="317"/>
      <c r="VAW85" s="317"/>
      <c r="VAX85" s="317"/>
      <c r="VAY85" s="317"/>
      <c r="VAZ85" s="317"/>
      <c r="VBA85" s="317"/>
      <c r="VBB85" s="317"/>
      <c r="VBC85" s="317"/>
      <c r="VBD85" s="317"/>
      <c r="VBE85" s="317"/>
      <c r="VBF85" s="317"/>
      <c r="VBG85" s="317"/>
      <c r="VBH85" s="317"/>
      <c r="VBI85" s="317"/>
      <c r="VBJ85" s="317"/>
      <c r="VBK85" s="317"/>
      <c r="VBL85" s="317"/>
      <c r="VBM85" s="317"/>
      <c r="VBN85" s="317"/>
      <c r="VBO85" s="317"/>
      <c r="VBP85" s="317"/>
      <c r="VBQ85" s="317"/>
      <c r="VBR85" s="317"/>
      <c r="VBS85" s="317"/>
      <c r="VBT85" s="317"/>
      <c r="VBU85" s="317"/>
      <c r="VBV85" s="317"/>
      <c r="VBW85" s="317"/>
      <c r="VBX85" s="317"/>
      <c r="VBY85" s="317"/>
      <c r="VBZ85" s="317"/>
      <c r="VCA85" s="317"/>
      <c r="VCB85" s="317"/>
      <c r="VCC85" s="317"/>
      <c r="VCD85" s="317"/>
      <c r="VCE85" s="317"/>
      <c r="VCF85" s="317"/>
      <c r="VCG85" s="317"/>
      <c r="VCH85" s="317"/>
      <c r="VCI85" s="317"/>
      <c r="VCJ85" s="317"/>
      <c r="VCK85" s="317"/>
      <c r="VCL85" s="317"/>
      <c r="VCM85" s="317"/>
      <c r="VCN85" s="317"/>
      <c r="VCO85" s="317"/>
      <c r="VCP85" s="317"/>
      <c r="VCQ85" s="317"/>
      <c r="VCR85" s="317"/>
      <c r="VCS85" s="317"/>
      <c r="VCT85" s="317"/>
      <c r="VCU85" s="317"/>
      <c r="VCV85" s="317"/>
      <c r="VCW85" s="317"/>
      <c r="VCX85" s="317"/>
      <c r="VCY85" s="317"/>
      <c r="VCZ85" s="317"/>
      <c r="VDA85" s="317"/>
      <c r="VDB85" s="317"/>
      <c r="VDC85" s="317"/>
      <c r="VDD85" s="317"/>
      <c r="VDE85" s="317"/>
      <c r="VDF85" s="317"/>
      <c r="VDG85" s="317"/>
      <c r="VDH85" s="317"/>
      <c r="VDI85" s="317"/>
      <c r="VDJ85" s="317"/>
      <c r="VDK85" s="317"/>
      <c r="VDL85" s="317"/>
      <c r="VDM85" s="317"/>
      <c r="VDN85" s="317"/>
      <c r="VDO85" s="317"/>
      <c r="VDP85" s="317"/>
      <c r="VDQ85" s="317"/>
      <c r="VDR85" s="317"/>
      <c r="VDS85" s="317"/>
      <c r="VDT85" s="317"/>
      <c r="VDU85" s="317"/>
      <c r="VDV85" s="317"/>
      <c r="VDW85" s="317"/>
      <c r="VDX85" s="317"/>
      <c r="VDY85" s="317"/>
      <c r="VDZ85" s="317"/>
      <c r="VEA85" s="317"/>
      <c r="VEB85" s="317"/>
      <c r="VEC85" s="317"/>
      <c r="VED85" s="317"/>
      <c r="VEE85" s="317"/>
      <c r="VEF85" s="317"/>
      <c r="VEG85" s="317"/>
      <c r="VEH85" s="317"/>
      <c r="VEI85" s="317"/>
      <c r="VEJ85" s="317"/>
      <c r="VEK85" s="317"/>
      <c r="VEL85" s="317"/>
      <c r="VEM85" s="317"/>
      <c r="VEN85" s="317"/>
      <c r="VEO85" s="317"/>
      <c r="VEP85" s="317"/>
      <c r="VEQ85" s="317"/>
      <c r="VER85" s="317"/>
      <c r="VES85" s="317"/>
      <c r="VET85" s="317"/>
      <c r="VEU85" s="317"/>
      <c r="VEV85" s="317"/>
      <c r="VEW85" s="317"/>
      <c r="VEX85" s="317"/>
      <c r="VEY85" s="317"/>
      <c r="VEZ85" s="317"/>
      <c r="VFA85" s="317"/>
      <c r="VFB85" s="317"/>
      <c r="VFC85" s="317"/>
      <c r="VFD85" s="317"/>
      <c r="VFE85" s="317"/>
      <c r="VFF85" s="317"/>
      <c r="VFG85" s="317"/>
      <c r="VFH85" s="317"/>
      <c r="VFI85" s="317"/>
      <c r="VFJ85" s="317"/>
      <c r="VFK85" s="317"/>
      <c r="VFL85" s="317"/>
      <c r="VFM85" s="317"/>
      <c r="VFN85" s="317"/>
      <c r="VFO85" s="317"/>
      <c r="VFP85" s="317"/>
      <c r="VFQ85" s="317"/>
      <c r="VFR85" s="317"/>
      <c r="VFS85" s="317"/>
      <c r="VFT85" s="317"/>
      <c r="VFU85" s="317"/>
      <c r="VFV85" s="317"/>
      <c r="VFW85" s="317"/>
      <c r="VFX85" s="317"/>
      <c r="VFY85" s="317"/>
      <c r="VFZ85" s="317"/>
      <c r="VGA85" s="317"/>
      <c r="VGB85" s="317"/>
      <c r="VGC85" s="317"/>
      <c r="VGD85" s="317"/>
      <c r="VGE85" s="317"/>
      <c r="VGF85" s="317"/>
      <c r="VGG85" s="317"/>
      <c r="VGH85" s="317"/>
      <c r="VGI85" s="317"/>
      <c r="VGJ85" s="317"/>
      <c r="VGK85" s="317"/>
      <c r="VGL85" s="317"/>
      <c r="VGM85" s="317"/>
      <c r="VGN85" s="317"/>
      <c r="VGO85" s="317"/>
      <c r="VGP85" s="317"/>
      <c r="VGQ85" s="317"/>
      <c r="VGR85" s="317"/>
      <c r="VGS85" s="317"/>
      <c r="VGT85" s="317"/>
      <c r="VGU85" s="317"/>
      <c r="VGV85" s="317"/>
      <c r="VGW85" s="317"/>
      <c r="VGX85" s="317"/>
      <c r="VGY85" s="317"/>
      <c r="VGZ85" s="317"/>
      <c r="VHA85" s="317"/>
      <c r="VHB85" s="317"/>
      <c r="VHC85" s="317"/>
      <c r="VHD85" s="317"/>
      <c r="VHE85" s="317"/>
      <c r="VHF85" s="317"/>
      <c r="VHG85" s="317"/>
      <c r="VHH85" s="317"/>
      <c r="VHI85" s="317"/>
      <c r="VHJ85" s="317"/>
      <c r="VHK85" s="317"/>
      <c r="VHL85" s="317"/>
      <c r="VHM85" s="317"/>
      <c r="VHN85" s="317"/>
      <c r="VHO85" s="317"/>
      <c r="VHP85" s="317"/>
      <c r="VHQ85" s="317"/>
      <c r="VHR85" s="317"/>
      <c r="VHS85" s="317"/>
      <c r="VHT85" s="317"/>
      <c r="VHU85" s="317"/>
      <c r="VHV85" s="317"/>
      <c r="VHW85" s="317"/>
      <c r="VHX85" s="317"/>
      <c r="VHY85" s="317"/>
      <c r="VHZ85" s="317"/>
      <c r="VIA85" s="317"/>
      <c r="VIB85" s="317"/>
      <c r="VIC85" s="317"/>
      <c r="VID85" s="317"/>
      <c r="VIE85" s="317"/>
      <c r="VIF85" s="317"/>
      <c r="VIG85" s="317"/>
      <c r="VIH85" s="317"/>
      <c r="VII85" s="317"/>
      <c r="VIJ85" s="317"/>
      <c r="VIK85" s="317"/>
      <c r="VIL85" s="317"/>
      <c r="VIM85" s="317"/>
      <c r="VIN85" s="317"/>
      <c r="VIO85" s="317"/>
      <c r="VIP85" s="317"/>
      <c r="VIQ85" s="317"/>
      <c r="VIR85" s="317"/>
      <c r="VIS85" s="317"/>
      <c r="VIT85" s="317"/>
      <c r="VIU85" s="317"/>
      <c r="VIV85" s="317"/>
      <c r="VIW85" s="317"/>
      <c r="VIX85" s="317"/>
      <c r="VIY85" s="317"/>
      <c r="VIZ85" s="317"/>
      <c r="VJA85" s="317"/>
      <c r="VJB85" s="317"/>
      <c r="VJC85" s="317"/>
      <c r="VJD85" s="317"/>
      <c r="VJE85" s="317"/>
      <c r="VJF85" s="317"/>
      <c r="VJG85" s="317"/>
      <c r="VJH85" s="317"/>
      <c r="VJI85" s="317"/>
      <c r="VJJ85" s="317"/>
      <c r="VJK85" s="317"/>
      <c r="VJL85" s="317"/>
      <c r="VJM85" s="317"/>
      <c r="VJN85" s="317"/>
      <c r="VJO85" s="317"/>
      <c r="VJP85" s="317"/>
      <c r="VJQ85" s="317"/>
      <c r="VJR85" s="317"/>
      <c r="VJS85" s="317"/>
      <c r="VJT85" s="317"/>
      <c r="VJU85" s="317"/>
      <c r="VJV85" s="317"/>
      <c r="VJW85" s="317"/>
      <c r="VJX85" s="317"/>
      <c r="VJY85" s="317"/>
      <c r="VJZ85" s="317"/>
      <c r="VKA85" s="317"/>
      <c r="VKB85" s="317"/>
      <c r="VKC85" s="317"/>
      <c r="VKD85" s="317"/>
      <c r="VKE85" s="317"/>
      <c r="VKF85" s="317"/>
      <c r="VKG85" s="317"/>
      <c r="VKH85" s="317"/>
      <c r="VKI85" s="317"/>
      <c r="VKJ85" s="317"/>
      <c r="VKK85" s="317"/>
      <c r="VKL85" s="317"/>
      <c r="VKM85" s="317"/>
      <c r="VKN85" s="317"/>
      <c r="VKO85" s="317"/>
      <c r="VKP85" s="317"/>
      <c r="VKQ85" s="317"/>
      <c r="VKR85" s="317"/>
      <c r="VKS85" s="317"/>
      <c r="VKT85" s="317"/>
      <c r="VKU85" s="317"/>
      <c r="VKV85" s="317"/>
      <c r="VKW85" s="317"/>
      <c r="VKX85" s="317"/>
      <c r="VKY85" s="317"/>
      <c r="VKZ85" s="317"/>
      <c r="VLA85" s="317"/>
      <c r="VLB85" s="317"/>
      <c r="VLC85" s="317"/>
      <c r="VLD85" s="317"/>
      <c r="VLE85" s="317"/>
      <c r="VLF85" s="317"/>
      <c r="VLG85" s="317"/>
      <c r="VLH85" s="317"/>
      <c r="VLI85" s="317"/>
      <c r="VLJ85" s="317"/>
      <c r="VLK85" s="317"/>
      <c r="VLL85" s="317"/>
      <c r="VLM85" s="317"/>
      <c r="VLN85" s="317"/>
      <c r="VLO85" s="317"/>
      <c r="VLP85" s="317"/>
      <c r="VLQ85" s="317"/>
      <c r="VLR85" s="317"/>
      <c r="VLS85" s="317"/>
      <c r="VLT85" s="317"/>
      <c r="VLU85" s="317"/>
      <c r="VLV85" s="317"/>
      <c r="VLW85" s="317"/>
      <c r="VLX85" s="317"/>
      <c r="VLY85" s="317"/>
      <c r="VLZ85" s="317"/>
      <c r="VMA85" s="317"/>
      <c r="VMB85" s="317"/>
      <c r="VMC85" s="317"/>
      <c r="VMD85" s="317"/>
      <c r="VME85" s="317"/>
      <c r="VMF85" s="317"/>
      <c r="VMG85" s="317"/>
      <c r="VMH85" s="317"/>
      <c r="VMI85" s="317"/>
      <c r="VMJ85" s="317"/>
      <c r="VMK85" s="317"/>
      <c r="VML85" s="317"/>
      <c r="VMM85" s="317"/>
      <c r="VMN85" s="317"/>
      <c r="VMO85" s="317"/>
      <c r="VMP85" s="317"/>
      <c r="VMQ85" s="317"/>
      <c r="VMR85" s="317"/>
      <c r="VMS85" s="317"/>
      <c r="VMT85" s="317"/>
      <c r="VMU85" s="317"/>
      <c r="VMV85" s="317"/>
      <c r="VMW85" s="317"/>
      <c r="VMX85" s="317"/>
      <c r="VMY85" s="317"/>
      <c r="VMZ85" s="317"/>
      <c r="VNA85" s="317"/>
      <c r="VNB85" s="317"/>
      <c r="VNC85" s="317"/>
      <c r="VND85" s="317"/>
      <c r="VNE85" s="317"/>
      <c r="VNF85" s="317"/>
      <c r="VNG85" s="317"/>
      <c r="VNH85" s="317"/>
      <c r="VNI85" s="317"/>
      <c r="VNJ85" s="317"/>
      <c r="VNK85" s="317"/>
      <c r="VNL85" s="317"/>
      <c r="VNM85" s="317"/>
      <c r="VNN85" s="317"/>
      <c r="VNO85" s="317"/>
      <c r="VNP85" s="317"/>
      <c r="VNQ85" s="317"/>
      <c r="VNR85" s="317"/>
      <c r="VNS85" s="317"/>
      <c r="VNT85" s="317"/>
      <c r="VNU85" s="317"/>
      <c r="VNV85" s="317"/>
      <c r="VNW85" s="317"/>
      <c r="VNX85" s="317"/>
      <c r="VNY85" s="317"/>
      <c r="VNZ85" s="317"/>
      <c r="VOA85" s="317"/>
      <c r="VOB85" s="317"/>
      <c r="VOC85" s="317"/>
      <c r="VOD85" s="317"/>
      <c r="VOE85" s="317"/>
      <c r="VOF85" s="317"/>
      <c r="VOG85" s="317"/>
      <c r="VOH85" s="317"/>
      <c r="VOI85" s="317"/>
      <c r="VOJ85" s="317"/>
      <c r="VOK85" s="317"/>
      <c r="VOL85" s="317"/>
      <c r="VOM85" s="317"/>
      <c r="VON85" s="317"/>
      <c r="VOO85" s="317"/>
      <c r="VOP85" s="317"/>
      <c r="VOQ85" s="317"/>
      <c r="VOR85" s="317"/>
      <c r="VOS85" s="317"/>
      <c r="VOT85" s="317"/>
      <c r="VOU85" s="317"/>
      <c r="VOV85" s="317"/>
      <c r="VOW85" s="317"/>
      <c r="VOX85" s="317"/>
      <c r="VOY85" s="317"/>
      <c r="VOZ85" s="317"/>
      <c r="VPA85" s="317"/>
      <c r="VPB85" s="317"/>
      <c r="VPC85" s="317"/>
      <c r="VPD85" s="317"/>
      <c r="VPE85" s="317"/>
      <c r="VPF85" s="317"/>
      <c r="VPG85" s="317"/>
      <c r="VPH85" s="317"/>
      <c r="VPI85" s="317"/>
      <c r="VPJ85" s="317"/>
      <c r="VPK85" s="317"/>
      <c r="VPL85" s="317"/>
      <c r="VPM85" s="317"/>
      <c r="VPN85" s="317"/>
      <c r="VPO85" s="317"/>
      <c r="VPP85" s="317"/>
      <c r="VPQ85" s="317"/>
      <c r="VPR85" s="317"/>
      <c r="VPS85" s="317"/>
      <c r="VPT85" s="317"/>
      <c r="VPU85" s="317"/>
      <c r="VPV85" s="317"/>
      <c r="VPW85" s="317"/>
      <c r="VPX85" s="317"/>
      <c r="VPY85" s="317"/>
      <c r="VPZ85" s="317"/>
      <c r="VQA85" s="317"/>
      <c r="VQB85" s="317"/>
      <c r="VQC85" s="317"/>
      <c r="VQD85" s="317"/>
      <c r="VQE85" s="317"/>
      <c r="VQF85" s="317"/>
      <c r="VQG85" s="317"/>
      <c r="VQH85" s="317"/>
      <c r="VQI85" s="317"/>
      <c r="VQJ85" s="317"/>
      <c r="VQK85" s="317"/>
      <c r="VQL85" s="317"/>
      <c r="VQM85" s="317"/>
      <c r="VQN85" s="317"/>
      <c r="VQO85" s="317"/>
      <c r="VQP85" s="317"/>
      <c r="VQQ85" s="317"/>
      <c r="VQR85" s="317"/>
      <c r="VQS85" s="317"/>
      <c r="VQT85" s="317"/>
      <c r="VQU85" s="317"/>
      <c r="VQV85" s="317"/>
      <c r="VQW85" s="317"/>
      <c r="VQX85" s="317"/>
      <c r="VQY85" s="317"/>
      <c r="VQZ85" s="317"/>
      <c r="VRA85" s="317"/>
      <c r="VRB85" s="317"/>
      <c r="VRC85" s="317"/>
      <c r="VRD85" s="317"/>
      <c r="VRE85" s="317"/>
      <c r="VRF85" s="317"/>
      <c r="VRG85" s="317"/>
      <c r="VRH85" s="317"/>
      <c r="VRI85" s="317"/>
      <c r="VRJ85" s="317"/>
      <c r="VRK85" s="317"/>
      <c r="VRL85" s="317"/>
      <c r="VRM85" s="317"/>
      <c r="VRN85" s="317"/>
      <c r="VRO85" s="317"/>
      <c r="VRP85" s="317"/>
      <c r="VRQ85" s="317"/>
      <c r="VRR85" s="317"/>
      <c r="VRS85" s="317"/>
      <c r="VRT85" s="317"/>
      <c r="VRU85" s="317"/>
      <c r="VRV85" s="317"/>
      <c r="VRW85" s="317"/>
      <c r="VRX85" s="317"/>
      <c r="VRY85" s="317"/>
      <c r="VRZ85" s="317"/>
      <c r="VSA85" s="317"/>
      <c r="VSB85" s="317"/>
      <c r="VSC85" s="317"/>
      <c r="VSD85" s="317"/>
      <c r="VSE85" s="317"/>
      <c r="VSF85" s="317"/>
      <c r="VSG85" s="317"/>
      <c r="VSH85" s="317"/>
      <c r="VSI85" s="317"/>
      <c r="VSJ85" s="317"/>
      <c r="VSK85" s="317"/>
      <c r="VSL85" s="317"/>
      <c r="VSM85" s="317"/>
      <c r="VSN85" s="317"/>
      <c r="VSO85" s="317"/>
      <c r="VSP85" s="317"/>
      <c r="VSQ85" s="317"/>
      <c r="VSR85" s="317"/>
      <c r="VSS85" s="317"/>
      <c r="VST85" s="317"/>
      <c r="VSU85" s="317"/>
      <c r="VSV85" s="317"/>
      <c r="VSW85" s="317"/>
      <c r="VSX85" s="317"/>
      <c r="VSY85" s="317"/>
      <c r="VSZ85" s="317"/>
      <c r="VTA85" s="317"/>
      <c r="VTB85" s="317"/>
      <c r="VTC85" s="317"/>
      <c r="VTD85" s="317"/>
      <c r="VTE85" s="317"/>
      <c r="VTF85" s="317"/>
      <c r="VTG85" s="317"/>
      <c r="VTH85" s="317"/>
      <c r="VTI85" s="317"/>
      <c r="VTJ85" s="317"/>
      <c r="VTK85" s="317"/>
      <c r="VTL85" s="317"/>
      <c r="VTM85" s="317"/>
      <c r="VTN85" s="317"/>
      <c r="VTO85" s="317"/>
      <c r="VTP85" s="317"/>
      <c r="VTQ85" s="317"/>
      <c r="VTR85" s="317"/>
      <c r="VTS85" s="317"/>
      <c r="VTT85" s="317"/>
      <c r="VTU85" s="317"/>
      <c r="VTV85" s="317"/>
      <c r="VTW85" s="317"/>
      <c r="VTX85" s="317"/>
      <c r="VTY85" s="317"/>
      <c r="VTZ85" s="317"/>
      <c r="VUA85" s="317"/>
      <c r="VUB85" s="317"/>
      <c r="VUC85" s="317"/>
      <c r="VUD85" s="317"/>
      <c r="VUE85" s="317"/>
      <c r="VUF85" s="317"/>
      <c r="VUG85" s="317"/>
      <c r="VUH85" s="317"/>
      <c r="VUI85" s="317"/>
      <c r="VUJ85" s="317"/>
      <c r="VUK85" s="317"/>
      <c r="VUL85" s="317"/>
      <c r="VUM85" s="317"/>
      <c r="VUN85" s="317"/>
      <c r="VUO85" s="317"/>
      <c r="VUP85" s="317"/>
      <c r="VUQ85" s="317"/>
      <c r="VUR85" s="317"/>
      <c r="VUS85" s="317"/>
      <c r="VUT85" s="317"/>
      <c r="VUU85" s="317"/>
      <c r="VUV85" s="317"/>
      <c r="VUW85" s="317"/>
      <c r="VUX85" s="317"/>
      <c r="VUY85" s="317"/>
      <c r="VUZ85" s="317"/>
      <c r="VVA85" s="317"/>
      <c r="VVB85" s="317"/>
      <c r="VVC85" s="317"/>
      <c r="VVD85" s="317"/>
      <c r="VVE85" s="317"/>
      <c r="VVF85" s="317"/>
      <c r="VVG85" s="317"/>
      <c r="VVH85" s="317"/>
      <c r="VVI85" s="317"/>
      <c r="VVJ85" s="317"/>
      <c r="VVK85" s="317"/>
      <c r="VVL85" s="317"/>
      <c r="VVM85" s="317"/>
      <c r="VVN85" s="317"/>
      <c r="VVO85" s="317"/>
      <c r="VVP85" s="317"/>
      <c r="VVQ85" s="317"/>
      <c r="VVR85" s="317"/>
      <c r="VVS85" s="317"/>
      <c r="VVT85" s="317"/>
      <c r="VVU85" s="317"/>
      <c r="VVV85" s="317"/>
      <c r="VVW85" s="317"/>
      <c r="VVX85" s="317"/>
      <c r="VVY85" s="317"/>
      <c r="VVZ85" s="317"/>
      <c r="VWA85" s="317"/>
      <c r="VWB85" s="317"/>
      <c r="VWC85" s="317"/>
      <c r="VWD85" s="317"/>
      <c r="VWE85" s="317"/>
      <c r="VWF85" s="317"/>
      <c r="VWG85" s="317"/>
      <c r="VWH85" s="317"/>
      <c r="VWI85" s="317"/>
      <c r="VWJ85" s="317"/>
      <c r="VWK85" s="317"/>
      <c r="VWL85" s="317"/>
      <c r="VWM85" s="317"/>
      <c r="VWN85" s="317"/>
      <c r="VWO85" s="317"/>
      <c r="VWP85" s="317"/>
      <c r="VWQ85" s="317"/>
      <c r="VWR85" s="317"/>
      <c r="VWS85" s="317"/>
      <c r="VWT85" s="317"/>
      <c r="VWU85" s="317"/>
      <c r="VWV85" s="317"/>
      <c r="VWW85" s="317"/>
      <c r="VWX85" s="317"/>
      <c r="VWY85" s="317"/>
      <c r="VWZ85" s="317"/>
      <c r="VXA85" s="317"/>
      <c r="VXB85" s="317"/>
      <c r="VXC85" s="317"/>
      <c r="VXD85" s="317"/>
      <c r="VXE85" s="317"/>
      <c r="VXF85" s="317"/>
      <c r="VXG85" s="317"/>
      <c r="VXH85" s="317"/>
      <c r="VXI85" s="317"/>
      <c r="VXJ85" s="317"/>
      <c r="VXK85" s="317"/>
      <c r="VXL85" s="317"/>
      <c r="VXM85" s="317"/>
      <c r="VXN85" s="317"/>
      <c r="VXO85" s="317"/>
      <c r="VXP85" s="317"/>
      <c r="VXQ85" s="317"/>
      <c r="VXR85" s="317"/>
      <c r="VXS85" s="317"/>
      <c r="VXT85" s="317"/>
      <c r="VXU85" s="317"/>
      <c r="VXV85" s="317"/>
      <c r="VXW85" s="317"/>
      <c r="VXX85" s="317"/>
      <c r="VXY85" s="317"/>
      <c r="VXZ85" s="317"/>
      <c r="VYA85" s="317"/>
      <c r="VYB85" s="317"/>
      <c r="VYC85" s="317"/>
      <c r="VYD85" s="317"/>
      <c r="VYE85" s="317"/>
      <c r="VYF85" s="317"/>
      <c r="VYG85" s="317"/>
      <c r="VYH85" s="317"/>
      <c r="VYI85" s="317"/>
      <c r="VYJ85" s="317"/>
      <c r="VYK85" s="317"/>
      <c r="VYL85" s="317"/>
      <c r="VYM85" s="317"/>
      <c r="VYN85" s="317"/>
      <c r="VYO85" s="317"/>
      <c r="VYP85" s="317"/>
      <c r="VYQ85" s="317"/>
      <c r="VYR85" s="317"/>
      <c r="VYS85" s="317"/>
      <c r="VYT85" s="317"/>
      <c r="VYU85" s="317"/>
      <c r="VYV85" s="317"/>
      <c r="VYW85" s="317"/>
      <c r="VYX85" s="317"/>
      <c r="VYY85" s="317"/>
      <c r="VYZ85" s="317"/>
      <c r="VZA85" s="317"/>
      <c r="VZB85" s="317"/>
      <c r="VZC85" s="317"/>
      <c r="VZD85" s="317"/>
      <c r="VZE85" s="317"/>
      <c r="VZF85" s="317"/>
      <c r="VZG85" s="317"/>
      <c r="VZH85" s="317"/>
      <c r="VZI85" s="317"/>
      <c r="VZJ85" s="317"/>
      <c r="VZK85" s="317"/>
      <c r="VZL85" s="317"/>
      <c r="VZM85" s="317"/>
      <c r="VZN85" s="317"/>
      <c r="VZO85" s="317"/>
      <c r="VZP85" s="317"/>
      <c r="VZQ85" s="317"/>
      <c r="VZR85" s="317"/>
      <c r="VZS85" s="317"/>
      <c r="VZT85" s="317"/>
      <c r="VZU85" s="317"/>
      <c r="VZV85" s="317"/>
      <c r="VZW85" s="317"/>
      <c r="VZX85" s="317"/>
      <c r="VZY85" s="317"/>
      <c r="VZZ85" s="317"/>
      <c r="WAA85" s="317"/>
      <c r="WAB85" s="317"/>
      <c r="WAC85" s="317"/>
      <c r="WAD85" s="317"/>
      <c r="WAE85" s="317"/>
      <c r="WAF85" s="317"/>
      <c r="WAG85" s="317"/>
      <c r="WAH85" s="317"/>
      <c r="WAI85" s="317"/>
      <c r="WAJ85" s="317"/>
      <c r="WAK85" s="317"/>
      <c r="WAL85" s="317"/>
      <c r="WAM85" s="317"/>
      <c r="WAN85" s="317"/>
      <c r="WAO85" s="317"/>
      <c r="WAP85" s="317"/>
      <c r="WAQ85" s="317"/>
      <c r="WAR85" s="317"/>
      <c r="WAS85" s="317"/>
      <c r="WAT85" s="317"/>
      <c r="WAU85" s="317"/>
      <c r="WAV85" s="317"/>
      <c r="WAW85" s="317"/>
      <c r="WAX85" s="317"/>
      <c r="WAY85" s="317"/>
      <c r="WAZ85" s="317"/>
      <c r="WBA85" s="317"/>
      <c r="WBB85" s="317"/>
      <c r="WBC85" s="317"/>
      <c r="WBD85" s="317"/>
      <c r="WBE85" s="317"/>
      <c r="WBF85" s="317"/>
      <c r="WBG85" s="317"/>
      <c r="WBH85" s="317"/>
      <c r="WBI85" s="317"/>
      <c r="WBJ85" s="317"/>
      <c r="WBK85" s="317"/>
      <c r="WBL85" s="317"/>
      <c r="WBM85" s="317"/>
      <c r="WBN85" s="317"/>
      <c r="WBO85" s="317"/>
      <c r="WBP85" s="317"/>
      <c r="WBQ85" s="317"/>
      <c r="WBR85" s="317"/>
      <c r="WBS85" s="317"/>
      <c r="WBT85" s="317"/>
      <c r="WBU85" s="317"/>
      <c r="WBV85" s="317"/>
      <c r="WBW85" s="317"/>
      <c r="WBX85" s="317"/>
      <c r="WBY85" s="317"/>
      <c r="WBZ85" s="317"/>
      <c r="WCA85" s="317"/>
      <c r="WCB85" s="317"/>
      <c r="WCC85" s="317"/>
      <c r="WCD85" s="317"/>
      <c r="WCE85" s="317"/>
      <c r="WCF85" s="317"/>
      <c r="WCG85" s="317"/>
      <c r="WCH85" s="317"/>
      <c r="WCI85" s="317"/>
      <c r="WCJ85" s="317"/>
      <c r="WCK85" s="317"/>
      <c r="WCL85" s="317"/>
      <c r="WCM85" s="317"/>
      <c r="WCN85" s="317"/>
      <c r="WCO85" s="317"/>
      <c r="WCP85" s="317"/>
      <c r="WCQ85" s="317"/>
      <c r="WCR85" s="317"/>
      <c r="WCS85" s="317"/>
      <c r="WCT85" s="317"/>
      <c r="WCU85" s="317"/>
      <c r="WCV85" s="317"/>
      <c r="WCW85" s="317"/>
      <c r="WCX85" s="317"/>
      <c r="WCY85" s="317"/>
      <c r="WCZ85" s="317"/>
      <c r="WDA85" s="317"/>
      <c r="WDB85" s="317"/>
      <c r="WDC85" s="317"/>
      <c r="WDD85" s="317"/>
      <c r="WDE85" s="317"/>
      <c r="WDF85" s="317"/>
      <c r="WDG85" s="317"/>
      <c r="WDH85" s="317"/>
      <c r="WDI85" s="317"/>
      <c r="WDJ85" s="317"/>
      <c r="WDK85" s="317"/>
      <c r="WDL85" s="317"/>
      <c r="WDM85" s="317"/>
      <c r="WDN85" s="317"/>
      <c r="WDO85" s="317"/>
      <c r="WDP85" s="317"/>
      <c r="WDQ85" s="317"/>
      <c r="WDR85" s="317"/>
      <c r="WDS85" s="317"/>
      <c r="WDT85" s="317"/>
      <c r="WDU85" s="317"/>
      <c r="WDV85" s="317"/>
      <c r="WDW85" s="317"/>
      <c r="WDX85" s="317"/>
      <c r="WDY85" s="317"/>
      <c r="WDZ85" s="317"/>
      <c r="WEA85" s="317"/>
      <c r="WEB85" s="317"/>
      <c r="WEC85" s="317"/>
      <c r="WED85" s="317"/>
      <c r="WEE85" s="317"/>
      <c r="WEF85" s="317"/>
      <c r="WEG85" s="317"/>
      <c r="WEH85" s="317"/>
      <c r="WEI85" s="317"/>
      <c r="WEJ85" s="317"/>
      <c r="WEK85" s="317"/>
      <c r="WEL85" s="317"/>
      <c r="WEM85" s="317"/>
      <c r="WEN85" s="317"/>
      <c r="WEO85" s="317"/>
      <c r="WEP85" s="317"/>
      <c r="WEQ85" s="317"/>
      <c r="WER85" s="317"/>
      <c r="WES85" s="317"/>
      <c r="WET85" s="317"/>
      <c r="WEU85" s="317"/>
      <c r="WEV85" s="317"/>
      <c r="WEW85" s="317"/>
      <c r="WEX85" s="317"/>
      <c r="WEY85" s="317"/>
      <c r="WEZ85" s="317"/>
      <c r="WFA85" s="317"/>
      <c r="WFB85" s="317"/>
      <c r="WFC85" s="317"/>
      <c r="WFD85" s="317"/>
      <c r="WFE85" s="317"/>
      <c r="WFF85" s="317"/>
      <c r="WFG85" s="317"/>
      <c r="WFH85" s="317"/>
      <c r="WFI85" s="317"/>
      <c r="WFJ85" s="317"/>
      <c r="WFK85" s="317"/>
      <c r="WFL85" s="317"/>
      <c r="WFM85" s="317"/>
      <c r="WFN85" s="317"/>
      <c r="WFO85" s="317"/>
      <c r="WFP85" s="317"/>
      <c r="WFQ85" s="317"/>
      <c r="WFR85" s="317"/>
      <c r="WFS85" s="317"/>
      <c r="WFT85" s="317"/>
      <c r="WFU85" s="317"/>
      <c r="WFV85" s="317"/>
      <c r="WFW85" s="317"/>
      <c r="WFX85" s="317"/>
      <c r="WFY85" s="317"/>
      <c r="WFZ85" s="317"/>
      <c r="WGA85" s="317"/>
      <c r="WGB85" s="317"/>
      <c r="WGC85" s="317"/>
      <c r="WGD85" s="317"/>
      <c r="WGE85" s="317"/>
      <c r="WGF85" s="317"/>
      <c r="WGG85" s="317"/>
      <c r="WGH85" s="317"/>
      <c r="WGI85" s="317"/>
      <c r="WGJ85" s="317"/>
      <c r="WGK85" s="317"/>
      <c r="WGL85" s="317"/>
      <c r="WGM85" s="317"/>
      <c r="WGN85" s="317"/>
      <c r="WGO85" s="317"/>
      <c r="WGP85" s="317"/>
      <c r="WGQ85" s="317"/>
      <c r="WGR85" s="317"/>
      <c r="WGS85" s="317"/>
      <c r="WGT85" s="317"/>
      <c r="WGU85" s="317"/>
      <c r="WGV85" s="317"/>
      <c r="WGW85" s="317"/>
      <c r="WGX85" s="317"/>
      <c r="WGY85" s="317"/>
      <c r="WGZ85" s="317"/>
      <c r="WHA85" s="317"/>
      <c r="WHB85" s="317"/>
      <c r="WHC85" s="317"/>
      <c r="WHD85" s="317"/>
      <c r="WHE85" s="317"/>
      <c r="WHF85" s="317"/>
      <c r="WHG85" s="317"/>
      <c r="WHH85" s="317"/>
      <c r="WHI85" s="317"/>
      <c r="WHJ85" s="317"/>
      <c r="WHK85" s="317"/>
      <c r="WHL85" s="317"/>
      <c r="WHM85" s="317"/>
      <c r="WHN85" s="317"/>
      <c r="WHO85" s="317"/>
      <c r="WHP85" s="317"/>
      <c r="WHQ85" s="317"/>
      <c r="WHR85" s="317"/>
      <c r="WHS85" s="317"/>
      <c r="WHT85" s="317"/>
      <c r="WHU85" s="317"/>
      <c r="WHV85" s="317"/>
      <c r="WHW85" s="317"/>
      <c r="WHX85" s="317"/>
      <c r="WHY85" s="317"/>
      <c r="WHZ85" s="317"/>
      <c r="WIA85" s="317"/>
      <c r="WIB85" s="317"/>
      <c r="WIC85" s="317"/>
      <c r="WID85" s="317"/>
      <c r="WIE85" s="317"/>
      <c r="WIF85" s="317"/>
      <c r="WIG85" s="317"/>
      <c r="WIH85" s="317"/>
      <c r="WII85" s="317"/>
      <c r="WIJ85" s="317"/>
      <c r="WIK85" s="317"/>
      <c r="WIL85" s="317"/>
      <c r="WIM85" s="317"/>
      <c r="WIN85" s="317"/>
      <c r="WIO85" s="317"/>
      <c r="WIP85" s="317"/>
      <c r="WIQ85" s="317"/>
      <c r="WIR85" s="317"/>
      <c r="WIS85" s="317"/>
      <c r="WIT85" s="317"/>
      <c r="WIU85" s="317"/>
      <c r="WIV85" s="317"/>
      <c r="WIW85" s="317"/>
      <c r="WIX85" s="317"/>
      <c r="WIY85" s="317"/>
      <c r="WIZ85" s="317"/>
      <c r="WJA85" s="317"/>
      <c r="WJB85" s="317"/>
      <c r="WJC85" s="317"/>
      <c r="WJD85" s="317"/>
      <c r="WJE85" s="317"/>
      <c r="WJF85" s="317"/>
      <c r="WJG85" s="317"/>
      <c r="WJH85" s="317"/>
      <c r="WJI85" s="317"/>
      <c r="WJJ85" s="317"/>
      <c r="WJK85" s="317"/>
      <c r="WJL85" s="317"/>
      <c r="WJM85" s="317"/>
      <c r="WJN85" s="317"/>
      <c r="WJO85" s="317"/>
      <c r="WJP85" s="317"/>
      <c r="WJQ85" s="317"/>
      <c r="WJR85" s="317"/>
      <c r="WJS85" s="317"/>
      <c r="WJT85" s="317"/>
      <c r="WJU85" s="317"/>
      <c r="WJV85" s="317"/>
      <c r="WJW85" s="317"/>
      <c r="WJX85" s="317"/>
      <c r="WJY85" s="317"/>
      <c r="WJZ85" s="317"/>
      <c r="WKA85" s="317"/>
      <c r="WKB85" s="317"/>
      <c r="WKC85" s="317"/>
      <c r="WKD85" s="317"/>
      <c r="WKE85" s="317"/>
      <c r="WKF85" s="317"/>
      <c r="WKG85" s="317"/>
      <c r="WKH85" s="317"/>
      <c r="WKI85" s="317"/>
      <c r="WKJ85" s="317"/>
      <c r="WKK85" s="317"/>
      <c r="WKL85" s="317"/>
      <c r="WKM85" s="317"/>
      <c r="WKN85" s="317"/>
      <c r="WKO85" s="317"/>
      <c r="WKP85" s="317"/>
      <c r="WKQ85" s="317"/>
      <c r="WKR85" s="317"/>
      <c r="WKS85" s="317"/>
      <c r="WKT85" s="317"/>
      <c r="WKU85" s="317"/>
      <c r="WKV85" s="317"/>
      <c r="WKW85" s="317"/>
      <c r="WKX85" s="317"/>
      <c r="WKY85" s="317"/>
      <c r="WKZ85" s="317"/>
      <c r="WLA85" s="317"/>
      <c r="WLB85" s="317"/>
      <c r="WLC85" s="317"/>
      <c r="WLD85" s="317"/>
      <c r="WLE85" s="317"/>
      <c r="WLF85" s="317"/>
      <c r="WLG85" s="317"/>
      <c r="WLH85" s="317"/>
      <c r="WLI85" s="317"/>
      <c r="WLJ85" s="317"/>
      <c r="WLK85" s="317"/>
      <c r="WLL85" s="317"/>
      <c r="WLM85" s="317"/>
      <c r="WLN85" s="317"/>
      <c r="WLO85" s="317"/>
      <c r="WLP85" s="317"/>
      <c r="WLQ85" s="317"/>
      <c r="WLR85" s="317"/>
      <c r="WLS85" s="317"/>
      <c r="WLT85" s="317"/>
      <c r="WLU85" s="317"/>
      <c r="WLV85" s="317"/>
      <c r="WLW85" s="317"/>
      <c r="WLX85" s="317"/>
      <c r="WLY85" s="317"/>
      <c r="WLZ85" s="317"/>
      <c r="WMA85" s="317"/>
      <c r="WMB85" s="317"/>
      <c r="WMC85" s="317"/>
      <c r="WMD85" s="317"/>
      <c r="WME85" s="317"/>
      <c r="WMF85" s="317"/>
      <c r="WMG85" s="317"/>
      <c r="WMH85" s="317"/>
      <c r="WMI85" s="317"/>
      <c r="WMJ85" s="317"/>
      <c r="WMK85" s="317"/>
      <c r="WML85" s="317"/>
      <c r="WMM85" s="317"/>
      <c r="WMN85" s="317"/>
      <c r="WMO85" s="317"/>
      <c r="WMP85" s="317"/>
      <c r="WMQ85" s="317"/>
      <c r="WMR85" s="317"/>
      <c r="WMS85" s="317"/>
      <c r="WMT85" s="317"/>
      <c r="WMU85" s="317"/>
      <c r="WMV85" s="317"/>
      <c r="WMW85" s="317"/>
      <c r="WMX85" s="317"/>
      <c r="WMY85" s="317"/>
      <c r="WMZ85" s="317"/>
      <c r="WNA85" s="317"/>
      <c r="WNB85" s="317"/>
      <c r="WNC85" s="317"/>
      <c r="WND85" s="317"/>
      <c r="WNE85" s="317"/>
      <c r="WNF85" s="317"/>
      <c r="WNG85" s="317"/>
      <c r="WNH85" s="317"/>
      <c r="WNI85" s="317"/>
      <c r="WNJ85" s="317"/>
      <c r="WNK85" s="317"/>
      <c r="WNL85" s="317"/>
      <c r="WNM85" s="317"/>
      <c r="WNN85" s="317"/>
      <c r="WNO85" s="317"/>
      <c r="WNP85" s="317"/>
      <c r="WNQ85" s="317"/>
      <c r="WNR85" s="317"/>
      <c r="WNS85" s="317"/>
      <c r="WNT85" s="317"/>
      <c r="WNU85" s="317"/>
      <c r="WNV85" s="317"/>
      <c r="WNW85" s="317"/>
      <c r="WNX85" s="317"/>
      <c r="WNY85" s="317"/>
      <c r="WNZ85" s="317"/>
      <c r="WOA85" s="317"/>
      <c r="WOB85" s="317"/>
      <c r="WOC85" s="317"/>
      <c r="WOD85" s="317"/>
      <c r="WOE85" s="317"/>
      <c r="WOF85" s="317"/>
      <c r="WOG85" s="317"/>
      <c r="WOH85" s="317"/>
      <c r="WOI85" s="317"/>
      <c r="WOJ85" s="317"/>
      <c r="WOK85" s="317"/>
      <c r="WOL85" s="317"/>
      <c r="WOM85" s="317"/>
      <c r="WON85" s="317"/>
      <c r="WOO85" s="317"/>
      <c r="WOP85" s="317"/>
      <c r="WOQ85" s="317"/>
      <c r="WOR85" s="317"/>
      <c r="WOS85" s="317"/>
      <c r="WOT85" s="317"/>
      <c r="WOU85" s="317"/>
      <c r="WOV85" s="317"/>
      <c r="WOW85" s="317"/>
      <c r="WOX85" s="317"/>
      <c r="WOY85" s="317"/>
      <c r="WOZ85" s="317"/>
      <c r="WPA85" s="317"/>
      <c r="WPB85" s="317"/>
      <c r="WPC85" s="317"/>
      <c r="WPD85" s="317"/>
      <c r="WPE85" s="317"/>
      <c r="WPF85" s="317"/>
      <c r="WPG85" s="317"/>
      <c r="WPH85" s="317"/>
      <c r="WPI85" s="317"/>
      <c r="WPJ85" s="317"/>
      <c r="WPK85" s="317"/>
      <c r="WPL85" s="317"/>
      <c r="WPM85" s="317"/>
      <c r="WPN85" s="317"/>
      <c r="WPO85" s="317"/>
      <c r="WPP85" s="317"/>
      <c r="WPQ85" s="317"/>
      <c r="WPR85" s="317"/>
      <c r="WPS85" s="317"/>
      <c r="WPT85" s="317"/>
      <c r="WPU85" s="317"/>
      <c r="WPV85" s="317"/>
      <c r="WPW85" s="317"/>
      <c r="WPX85" s="317"/>
      <c r="WPY85" s="317"/>
      <c r="WPZ85" s="317"/>
      <c r="WQA85" s="317"/>
      <c r="WQB85" s="317"/>
      <c r="WQC85" s="317"/>
      <c r="WQD85" s="317"/>
      <c r="WQE85" s="317"/>
      <c r="WQF85" s="317"/>
      <c r="WQG85" s="317"/>
      <c r="WQH85" s="317"/>
      <c r="WQI85" s="317"/>
      <c r="WQJ85" s="317"/>
      <c r="WQK85" s="317"/>
      <c r="WQL85" s="317"/>
      <c r="WQM85" s="317"/>
      <c r="WQN85" s="317"/>
      <c r="WQO85" s="317"/>
      <c r="WQP85" s="317"/>
      <c r="WQQ85" s="317"/>
      <c r="WQR85" s="317"/>
      <c r="WQS85" s="317"/>
      <c r="WQT85" s="317"/>
      <c r="WQU85" s="317"/>
      <c r="WQV85" s="317"/>
      <c r="WQW85" s="317"/>
      <c r="WQX85" s="317"/>
      <c r="WQY85" s="317"/>
      <c r="WQZ85" s="317"/>
      <c r="WRA85" s="317"/>
      <c r="WRB85" s="317"/>
      <c r="WRC85" s="317"/>
      <c r="WRD85" s="317"/>
      <c r="WRE85" s="317"/>
      <c r="WRF85" s="317"/>
      <c r="WRG85" s="317"/>
      <c r="WRH85" s="317"/>
      <c r="WRI85" s="317"/>
      <c r="WRJ85" s="317"/>
      <c r="WRK85" s="317"/>
      <c r="WRL85" s="317"/>
      <c r="WRM85" s="317"/>
      <c r="WRN85" s="317"/>
      <c r="WRO85" s="317"/>
      <c r="WRP85" s="317"/>
      <c r="WRQ85" s="317"/>
      <c r="WRR85" s="317"/>
      <c r="WRS85" s="317"/>
      <c r="WRT85" s="317"/>
      <c r="WRU85" s="317"/>
      <c r="WRV85" s="317"/>
      <c r="WRW85" s="317"/>
      <c r="WRX85" s="317"/>
      <c r="WRY85" s="317"/>
      <c r="WRZ85" s="317"/>
      <c r="WSA85" s="317"/>
      <c r="WSB85" s="317"/>
      <c r="WSC85" s="317"/>
      <c r="WSD85" s="317"/>
      <c r="WSE85" s="317"/>
      <c r="WSF85" s="317"/>
      <c r="WSG85" s="317"/>
      <c r="WSH85" s="317"/>
      <c r="WSI85" s="317"/>
      <c r="WSJ85" s="317"/>
      <c r="WSK85" s="317"/>
      <c r="WSL85" s="317"/>
      <c r="WSM85" s="317"/>
      <c r="WSN85" s="317"/>
      <c r="WSO85" s="317"/>
      <c r="WSP85" s="317"/>
      <c r="WSQ85" s="317"/>
      <c r="WSR85" s="317"/>
      <c r="WSS85" s="317"/>
      <c r="WST85" s="317"/>
      <c r="WSU85" s="317"/>
      <c r="WSV85" s="317"/>
      <c r="WSW85" s="317"/>
      <c r="WSX85" s="317"/>
      <c r="WSY85" s="317"/>
      <c r="WSZ85" s="317"/>
      <c r="WTA85" s="317"/>
      <c r="WTB85" s="317"/>
      <c r="WTC85" s="317"/>
      <c r="WTD85" s="317"/>
      <c r="WTE85" s="317"/>
      <c r="WTF85" s="317"/>
      <c r="WTG85" s="317"/>
      <c r="WTH85" s="317"/>
      <c r="WTI85" s="317"/>
      <c r="WTJ85" s="317"/>
      <c r="WTK85" s="317"/>
      <c r="WTL85" s="317"/>
      <c r="WTM85" s="317"/>
      <c r="WTN85" s="317"/>
      <c r="WTO85" s="317"/>
      <c r="WTP85" s="317"/>
      <c r="WTQ85" s="317"/>
      <c r="WTR85" s="317"/>
      <c r="WTS85" s="317"/>
      <c r="WTT85" s="317"/>
      <c r="WTU85" s="317"/>
      <c r="WTV85" s="317"/>
      <c r="WTW85" s="317"/>
      <c r="WTX85" s="317"/>
      <c r="WTY85" s="317"/>
      <c r="WTZ85" s="317"/>
      <c r="WUA85" s="317"/>
      <c r="WUB85" s="317"/>
      <c r="WUC85" s="317"/>
      <c r="WUD85" s="317"/>
      <c r="WUE85" s="317"/>
      <c r="WUF85" s="317"/>
      <c r="WUG85" s="317"/>
      <c r="WUH85" s="317"/>
      <c r="WUI85" s="317"/>
      <c r="WUJ85" s="317"/>
      <c r="WUK85" s="317"/>
      <c r="WUL85" s="317"/>
      <c r="WUM85" s="317"/>
      <c r="WUN85" s="317"/>
      <c r="WUO85" s="317"/>
      <c r="WUP85" s="317"/>
      <c r="WUQ85" s="317"/>
      <c r="WUR85" s="317"/>
      <c r="WUS85" s="317"/>
      <c r="WUT85" s="317"/>
      <c r="WUU85" s="317"/>
      <c r="WUV85" s="317"/>
      <c r="WUW85" s="317"/>
      <c r="WUX85" s="317"/>
      <c r="WUY85" s="317"/>
      <c r="WUZ85" s="317"/>
      <c r="WVA85" s="317"/>
      <c r="WVB85" s="317"/>
      <c r="WVC85" s="317"/>
      <c r="WVD85" s="317"/>
      <c r="WVE85" s="317"/>
      <c r="WVF85" s="317"/>
      <c r="WVG85" s="317"/>
      <c r="WVH85" s="317"/>
      <c r="WVI85" s="317"/>
      <c r="WVJ85" s="317"/>
      <c r="WVK85" s="317"/>
      <c r="WVL85" s="317"/>
      <c r="WVM85" s="317"/>
      <c r="WVN85" s="317"/>
      <c r="WVO85" s="317"/>
      <c r="WVP85" s="317"/>
      <c r="WVQ85" s="317"/>
      <c r="WVR85" s="317"/>
      <c r="WVS85" s="317"/>
      <c r="WVT85" s="317"/>
      <c r="WVU85" s="317"/>
      <c r="WVV85" s="317"/>
      <c r="WVW85" s="317"/>
      <c r="WVX85" s="317"/>
      <c r="WVY85" s="317"/>
      <c r="WVZ85" s="317"/>
      <c r="WWA85" s="317"/>
      <c r="WWB85" s="317"/>
      <c r="WWC85" s="317"/>
      <c r="WWD85" s="317"/>
      <c r="WWE85" s="317"/>
      <c r="WWF85" s="317"/>
      <c r="WWG85" s="317"/>
      <c r="WWH85" s="317"/>
      <c r="WWI85" s="317"/>
      <c r="WWJ85" s="317"/>
      <c r="WWK85" s="317"/>
      <c r="WWL85" s="317"/>
      <c r="WWM85" s="317"/>
      <c r="WWN85" s="317"/>
      <c r="WWO85" s="317"/>
      <c r="WWP85" s="317"/>
      <c r="WWQ85" s="317"/>
      <c r="WWR85" s="317"/>
      <c r="WWS85" s="317"/>
      <c r="WWT85" s="317"/>
      <c r="WWU85" s="317"/>
      <c r="WWV85" s="317"/>
      <c r="WWW85" s="317"/>
      <c r="WWX85" s="317"/>
      <c r="WWY85" s="317"/>
      <c r="WWZ85" s="317"/>
      <c r="WXA85" s="317"/>
      <c r="WXB85" s="317"/>
      <c r="WXC85" s="317"/>
      <c r="WXD85" s="317"/>
      <c r="WXE85" s="317"/>
      <c r="WXF85" s="317"/>
      <c r="WXG85" s="317"/>
      <c r="WXH85" s="317"/>
      <c r="WXI85" s="317"/>
      <c r="WXJ85" s="317"/>
      <c r="WXK85" s="317"/>
      <c r="WXL85" s="317"/>
      <c r="WXM85" s="317"/>
      <c r="WXN85" s="317"/>
      <c r="WXO85" s="317"/>
      <c r="WXP85" s="317"/>
      <c r="WXQ85" s="317"/>
      <c r="WXR85" s="317"/>
      <c r="WXS85" s="317"/>
      <c r="WXT85" s="317"/>
      <c r="WXU85" s="317"/>
      <c r="WXV85" s="317"/>
      <c r="WXW85" s="317"/>
      <c r="WXX85" s="317"/>
      <c r="WXY85" s="317"/>
      <c r="WXZ85" s="317"/>
      <c r="WYA85" s="317"/>
      <c r="WYB85" s="317"/>
      <c r="WYC85" s="317"/>
      <c r="WYD85" s="317"/>
      <c r="WYE85" s="317"/>
      <c r="WYF85" s="317"/>
      <c r="WYG85" s="317"/>
      <c r="WYH85" s="317"/>
      <c r="WYI85" s="317"/>
      <c r="WYJ85" s="317"/>
      <c r="WYK85" s="317"/>
      <c r="WYL85" s="317"/>
      <c r="WYM85" s="317"/>
      <c r="WYN85" s="317"/>
      <c r="WYO85" s="317"/>
      <c r="WYP85" s="317"/>
      <c r="WYQ85" s="317"/>
      <c r="WYR85" s="317"/>
      <c r="WYS85" s="317"/>
      <c r="WYT85" s="317"/>
      <c r="WYU85" s="317"/>
      <c r="WYV85" s="317"/>
      <c r="WYW85" s="317"/>
      <c r="WYX85" s="317"/>
      <c r="WYY85" s="317"/>
      <c r="WYZ85" s="317"/>
      <c r="WZA85" s="317"/>
      <c r="WZB85" s="317"/>
      <c r="WZC85" s="317"/>
      <c r="WZD85" s="317"/>
      <c r="WZE85" s="317"/>
      <c r="WZF85" s="317"/>
      <c r="WZG85" s="317"/>
      <c r="WZH85" s="317"/>
      <c r="WZI85" s="317"/>
      <c r="WZJ85" s="317"/>
      <c r="WZK85" s="317"/>
      <c r="WZL85" s="317"/>
      <c r="WZM85" s="317"/>
      <c r="WZN85" s="317"/>
      <c r="WZO85" s="317"/>
      <c r="WZP85" s="317"/>
      <c r="WZQ85" s="317"/>
      <c r="WZR85" s="317"/>
      <c r="WZS85" s="317"/>
      <c r="WZT85" s="317"/>
      <c r="WZU85" s="317"/>
      <c r="WZV85" s="317"/>
      <c r="WZW85" s="317"/>
      <c r="WZX85" s="317"/>
      <c r="WZY85" s="317"/>
      <c r="WZZ85" s="317"/>
      <c r="XAA85" s="317"/>
      <c r="XAB85" s="317"/>
      <c r="XAC85" s="317"/>
      <c r="XAD85" s="317"/>
      <c r="XAE85" s="317"/>
      <c r="XAF85" s="317"/>
      <c r="XAG85" s="317"/>
      <c r="XAH85" s="317"/>
      <c r="XAI85" s="317"/>
      <c r="XAJ85" s="317"/>
      <c r="XAK85" s="317"/>
      <c r="XAL85" s="317"/>
      <c r="XAM85" s="317"/>
      <c r="XAN85" s="317"/>
      <c r="XAO85" s="317"/>
      <c r="XAP85" s="317"/>
      <c r="XAQ85" s="317"/>
      <c r="XAR85" s="317"/>
      <c r="XAS85" s="317"/>
      <c r="XAT85" s="317"/>
      <c r="XAU85" s="317"/>
      <c r="XAV85" s="317"/>
      <c r="XAW85" s="317"/>
      <c r="XAX85" s="317"/>
      <c r="XAY85" s="317"/>
      <c r="XAZ85" s="317"/>
      <c r="XBA85" s="317"/>
      <c r="XBB85" s="317"/>
      <c r="XBC85" s="317"/>
      <c r="XBD85" s="317"/>
      <c r="XBE85" s="317"/>
      <c r="XBF85" s="317"/>
      <c r="XBG85" s="317"/>
      <c r="XBH85" s="317"/>
      <c r="XBI85" s="317"/>
      <c r="XBJ85" s="317"/>
      <c r="XBK85" s="317"/>
      <c r="XBL85" s="317"/>
      <c r="XBM85" s="317"/>
      <c r="XBN85" s="317"/>
      <c r="XBO85" s="317"/>
      <c r="XBP85" s="317"/>
      <c r="XBQ85" s="317"/>
      <c r="XBR85" s="317"/>
      <c r="XBS85" s="317"/>
      <c r="XBT85" s="317"/>
      <c r="XBU85" s="317"/>
      <c r="XBV85" s="317"/>
      <c r="XBW85" s="317"/>
      <c r="XBX85" s="317"/>
      <c r="XBY85" s="317"/>
      <c r="XBZ85" s="317"/>
      <c r="XCA85" s="317"/>
      <c r="XCB85" s="317"/>
      <c r="XCC85" s="317"/>
      <c r="XCD85" s="317"/>
      <c r="XCE85" s="317"/>
      <c r="XCF85" s="317"/>
      <c r="XCG85" s="317"/>
      <c r="XCH85" s="317"/>
      <c r="XCI85" s="317"/>
      <c r="XCJ85" s="317"/>
      <c r="XCK85" s="317"/>
      <c r="XCL85" s="317"/>
      <c r="XCM85" s="317"/>
      <c r="XCN85" s="317"/>
      <c r="XCO85" s="317"/>
      <c r="XCP85" s="317"/>
      <c r="XCQ85" s="317"/>
      <c r="XCR85" s="317"/>
      <c r="XCS85" s="317"/>
      <c r="XCT85" s="317"/>
      <c r="XCU85" s="317"/>
      <c r="XCV85" s="317"/>
      <c r="XCW85" s="317"/>
      <c r="XCX85" s="317"/>
      <c r="XCY85" s="317"/>
      <c r="XCZ85" s="317"/>
      <c r="XDA85" s="317"/>
      <c r="XDB85" s="317"/>
      <c r="XDC85" s="317"/>
      <c r="XDD85" s="317"/>
      <c r="XDE85" s="317"/>
      <c r="XDF85" s="317"/>
      <c r="XDG85" s="317"/>
      <c r="XDH85" s="317"/>
      <c r="XDI85" s="317"/>
      <c r="XDJ85" s="317"/>
      <c r="XDK85" s="317"/>
      <c r="XDL85" s="317"/>
      <c r="XDM85" s="317"/>
      <c r="XDN85" s="317"/>
      <c r="XDO85" s="317"/>
      <c r="XDP85" s="317"/>
      <c r="XDQ85" s="317"/>
      <c r="XDR85" s="317"/>
      <c r="XDS85" s="317"/>
      <c r="XDT85" s="317"/>
      <c r="XDU85" s="317"/>
      <c r="XDV85" s="317"/>
      <c r="XDW85" s="317"/>
      <c r="XDX85" s="317"/>
      <c r="XDY85" s="317"/>
      <c r="XDZ85" s="317"/>
      <c r="XEA85" s="317"/>
      <c r="XEB85" s="317"/>
      <c r="XEC85" s="317"/>
      <c r="XED85" s="317"/>
      <c r="XEE85" s="317"/>
      <c r="XEF85" s="317"/>
      <c r="XEG85" s="317"/>
      <c r="XEH85" s="317"/>
      <c r="XEI85" s="317"/>
      <c r="XEJ85" s="317"/>
      <c r="XEK85" s="317"/>
      <c r="XEL85" s="317"/>
      <c r="XEM85" s="317"/>
      <c r="XEN85" s="317"/>
      <c r="XEO85" s="317"/>
      <c r="XEP85" s="317"/>
      <c r="XEQ85" s="317"/>
      <c r="XER85" s="317"/>
      <c r="XES85" s="317"/>
      <c r="XET85" s="317"/>
      <c r="XEU85" s="317"/>
      <c r="XEV85" s="317"/>
      <c r="XEW85" s="317"/>
      <c r="XEX85" s="317"/>
      <c r="XEY85" s="317"/>
      <c r="XEZ85" s="317"/>
      <c r="XFA85" s="317"/>
      <c r="XFB85" s="317"/>
      <c r="XFC85" s="317"/>
      <c r="XFD85" s="317"/>
    </row>
    <row r="86" s="88" customFormat="1" ht="25" customHeight="1" spans="1:74 14505:16384">
      <c r="A86" s="359"/>
      <c r="B86" s="360" t="s">
        <v>108</v>
      </c>
      <c r="C86" s="314"/>
      <c r="D86" s="314"/>
      <c r="E86" s="314"/>
      <c r="F86" s="314"/>
      <c r="G86" s="314"/>
      <c r="H86" s="314"/>
      <c r="I86" s="315"/>
      <c r="J86" s="314"/>
      <c r="K86" s="314"/>
      <c r="L86" s="314"/>
      <c r="M86" s="314"/>
      <c r="N86" s="314"/>
      <c r="O86" s="316"/>
      <c r="P86" s="316"/>
      <c r="Q86" s="314"/>
      <c r="R86" s="314"/>
      <c r="S86" s="314"/>
      <c r="T86" s="314"/>
      <c r="U86" s="314"/>
      <c r="V86" s="316"/>
      <c r="W86" s="316"/>
      <c r="X86" s="316"/>
      <c r="Y86" s="316"/>
      <c r="Z86" s="316"/>
      <c r="AA86" s="316"/>
      <c r="AB86" s="316"/>
      <c r="AC86" s="316"/>
      <c r="AD86" s="316"/>
      <c r="AE86" s="314"/>
      <c r="AF86" s="314"/>
      <c r="AG86" s="314"/>
      <c r="AH86" s="314"/>
      <c r="AI86" s="314"/>
      <c r="AJ86" s="314"/>
      <c r="AK86" s="316"/>
      <c r="AL86" s="314"/>
      <c r="AM86" s="314"/>
      <c r="AN86" s="314"/>
      <c r="AO86" s="314"/>
      <c r="AP86" s="314"/>
      <c r="AQ86" s="316"/>
      <c r="AR86" s="316"/>
      <c r="AS86" s="314"/>
      <c r="AT86" s="314"/>
      <c r="AU86" s="314"/>
      <c r="AV86" s="314"/>
      <c r="AW86" s="314"/>
      <c r="AX86" s="314"/>
      <c r="AY86" s="316"/>
      <c r="AZ86" s="314"/>
      <c r="BA86" s="314"/>
      <c r="BB86" s="314"/>
      <c r="BC86" s="314"/>
      <c r="BE86" s="316"/>
      <c r="BF86" s="316"/>
      <c r="BH86" s="314"/>
      <c r="BI86" s="314"/>
      <c r="BJ86" s="360"/>
      <c r="BK86" s="314"/>
      <c r="BL86" s="314"/>
      <c r="BM86" s="316"/>
      <c r="BN86" s="314"/>
      <c r="BO86" s="314"/>
      <c r="BP86" s="314"/>
      <c r="BQ86" s="314"/>
      <c r="BR86" s="314"/>
      <c r="BS86" s="316"/>
      <c r="BT86" s="316"/>
      <c r="BU86" s="314"/>
      <c r="BV86" s="314"/>
    </row>
    <row r="87" s="88" customFormat="1" ht="25" customHeight="1" spans="1:74 14505:16384">
      <c r="A87" s="359"/>
      <c r="B87" s="360" t="s">
        <v>109</v>
      </c>
      <c r="C87" s="314"/>
      <c r="D87" s="314"/>
      <c r="E87" s="314"/>
      <c r="F87" s="314"/>
      <c r="G87" s="314"/>
      <c r="H87" s="314"/>
      <c r="I87" s="315"/>
      <c r="J87" s="314"/>
      <c r="K87" s="314"/>
      <c r="L87" s="314"/>
      <c r="M87" s="314"/>
      <c r="N87" s="314"/>
      <c r="O87" s="316"/>
      <c r="P87" s="316"/>
      <c r="Q87" s="314"/>
      <c r="R87" s="314"/>
      <c r="S87" s="314"/>
      <c r="T87" s="314"/>
      <c r="U87" s="314"/>
      <c r="V87" s="316"/>
      <c r="W87" s="316"/>
      <c r="X87" s="316"/>
      <c r="Y87" s="316"/>
      <c r="Z87" s="316"/>
      <c r="AA87" s="316"/>
      <c r="AB87" s="316"/>
      <c r="AC87" s="316"/>
      <c r="AD87" s="316"/>
      <c r="AE87" s="314"/>
      <c r="AF87" s="314"/>
      <c r="AG87" s="314"/>
      <c r="AH87" s="314"/>
      <c r="AI87" s="314"/>
      <c r="AJ87" s="314"/>
      <c r="AK87" s="316"/>
      <c r="AL87" s="314"/>
      <c r="AM87" s="314"/>
      <c r="AN87" s="314"/>
      <c r="AO87" s="314"/>
      <c r="AP87" s="314"/>
      <c r="AQ87" s="316"/>
      <c r="AR87" s="316"/>
      <c r="AS87" s="314"/>
      <c r="AT87" s="314"/>
      <c r="AU87" s="314"/>
      <c r="AV87" s="314"/>
      <c r="AW87" s="314"/>
      <c r="AX87" s="314"/>
      <c r="AY87" s="316"/>
      <c r="AZ87" s="314"/>
      <c r="BA87" s="314"/>
      <c r="BB87" s="314"/>
      <c r="BC87" s="314"/>
      <c r="BD87" s="314"/>
      <c r="BE87" s="316"/>
      <c r="BF87" s="316"/>
      <c r="BG87" s="314"/>
      <c r="BH87" s="314"/>
      <c r="BI87" s="314"/>
      <c r="BJ87" s="314"/>
      <c r="BK87" s="314"/>
      <c r="BM87" s="316"/>
      <c r="BN87" s="360">
        <v>2</v>
      </c>
      <c r="BO87" s="314"/>
      <c r="BP87" s="314"/>
      <c r="BQ87" s="314"/>
      <c r="BR87" s="314"/>
      <c r="BS87" s="316"/>
      <c r="BT87" s="316"/>
      <c r="BU87" s="314"/>
      <c r="BV87" s="314"/>
    </row>
    <row r="88" s="314" customFormat="1" ht="25" customHeight="1" spans="1:74 14505:16384">
      <c r="A88" s="359"/>
      <c r="B88" s="360" t="s">
        <v>110</v>
      </c>
      <c r="I88" s="315"/>
      <c r="O88" s="316"/>
      <c r="P88" s="316"/>
      <c r="V88" s="316"/>
      <c r="W88" s="316"/>
      <c r="X88" s="316"/>
      <c r="Y88" s="316"/>
      <c r="Z88" s="316"/>
      <c r="AA88" s="316"/>
      <c r="AB88" s="316"/>
      <c r="AC88" s="316"/>
      <c r="AD88" s="316"/>
      <c r="AK88" s="316"/>
      <c r="AQ88" s="316"/>
      <c r="AR88" s="316"/>
      <c r="AY88" s="316"/>
      <c r="BE88" s="316"/>
      <c r="BF88" s="316"/>
      <c r="BM88" s="316"/>
      <c r="BR88" s="360">
        <v>2</v>
      </c>
      <c r="BS88" s="316"/>
      <c r="BT88" s="316"/>
      <c r="UKW88" s="317"/>
      <c r="UKX88" s="317"/>
      <c r="UKY88" s="317"/>
      <c r="UKZ88" s="317"/>
      <c r="ULA88" s="317"/>
      <c r="ULB88" s="317"/>
      <c r="ULC88" s="317"/>
      <c r="ULD88" s="317"/>
      <c r="ULE88" s="317"/>
      <c r="ULF88" s="317"/>
      <c r="ULG88" s="317"/>
      <c r="ULH88" s="317"/>
      <c r="ULI88" s="317"/>
      <c r="ULJ88" s="317"/>
      <c r="ULK88" s="317"/>
      <c r="ULL88" s="317"/>
      <c r="ULM88" s="317"/>
      <c r="ULN88" s="317"/>
      <c r="ULO88" s="317"/>
      <c r="ULP88" s="317"/>
      <c r="ULQ88" s="317"/>
      <c r="ULR88" s="317"/>
      <c r="ULS88" s="317"/>
      <c r="ULT88" s="317"/>
      <c r="ULU88" s="317"/>
      <c r="ULV88" s="317"/>
      <c r="ULW88" s="317"/>
      <c r="ULX88" s="317"/>
      <c r="ULY88" s="317"/>
      <c r="ULZ88" s="317"/>
      <c r="UMA88" s="317"/>
      <c r="UMB88" s="317"/>
      <c r="UMC88" s="317"/>
      <c r="UMD88" s="317"/>
      <c r="UME88" s="317"/>
      <c r="UMF88" s="317"/>
      <c r="UMG88" s="317"/>
      <c r="UMH88" s="317"/>
      <c r="UMI88" s="317"/>
      <c r="UMJ88" s="317"/>
      <c r="UMK88" s="317"/>
      <c r="UML88" s="317"/>
      <c r="UMM88" s="317"/>
      <c r="UMN88" s="317"/>
      <c r="UMO88" s="317"/>
      <c r="UMP88" s="317"/>
      <c r="UMQ88" s="317"/>
      <c r="UMR88" s="317"/>
      <c r="UMS88" s="317"/>
      <c r="UMT88" s="317"/>
      <c r="UMU88" s="317"/>
      <c r="UMV88" s="317"/>
      <c r="UMW88" s="317"/>
      <c r="UMX88" s="317"/>
      <c r="UMY88" s="317"/>
      <c r="UMZ88" s="317"/>
      <c r="UNA88" s="317"/>
      <c r="UNB88" s="317"/>
      <c r="UNC88" s="317"/>
      <c r="UND88" s="317"/>
      <c r="UNE88" s="317"/>
      <c r="UNF88" s="317"/>
      <c r="UNG88" s="317"/>
      <c r="UNH88" s="317"/>
      <c r="UNI88" s="317"/>
      <c r="UNJ88" s="317"/>
      <c r="UNK88" s="317"/>
      <c r="UNL88" s="317"/>
      <c r="UNM88" s="317"/>
      <c r="UNN88" s="317"/>
      <c r="UNO88" s="317"/>
      <c r="UNP88" s="317"/>
      <c r="UNQ88" s="317"/>
      <c r="UNR88" s="317"/>
      <c r="UNS88" s="317"/>
      <c r="UNT88" s="317"/>
      <c r="UNU88" s="317"/>
      <c r="UNV88" s="317"/>
      <c r="UNW88" s="317"/>
      <c r="UNX88" s="317"/>
      <c r="UNY88" s="317"/>
      <c r="UNZ88" s="317"/>
      <c r="UOA88" s="317"/>
      <c r="UOB88" s="317"/>
      <c r="UOC88" s="317"/>
      <c r="UOD88" s="317"/>
      <c r="UOE88" s="317"/>
      <c r="UOF88" s="317"/>
      <c r="UOG88" s="317"/>
      <c r="UOH88" s="317"/>
      <c r="UOI88" s="317"/>
      <c r="UOJ88" s="317"/>
      <c r="UOK88" s="317"/>
      <c r="UOL88" s="317"/>
      <c r="UOM88" s="317"/>
      <c r="UON88" s="317"/>
      <c r="UOO88" s="317"/>
      <c r="UOP88" s="317"/>
      <c r="UOQ88" s="317"/>
      <c r="UOR88" s="317"/>
      <c r="UOS88" s="317"/>
      <c r="UOT88" s="317"/>
      <c r="UOU88" s="317"/>
      <c r="UOV88" s="317"/>
      <c r="UOW88" s="317"/>
      <c r="UOX88" s="317"/>
      <c r="UOY88" s="317"/>
      <c r="UOZ88" s="317"/>
      <c r="UPA88" s="317"/>
      <c r="UPB88" s="317"/>
      <c r="UPC88" s="317"/>
      <c r="UPD88" s="317"/>
      <c r="UPE88" s="317"/>
      <c r="UPF88" s="317"/>
      <c r="UPG88" s="317"/>
      <c r="UPH88" s="317"/>
      <c r="UPI88" s="317"/>
      <c r="UPJ88" s="317"/>
      <c r="UPK88" s="317"/>
      <c r="UPL88" s="317"/>
      <c r="UPM88" s="317"/>
      <c r="UPN88" s="317"/>
      <c r="UPO88" s="317"/>
      <c r="UPP88" s="317"/>
      <c r="UPQ88" s="317"/>
      <c r="UPR88" s="317"/>
      <c r="UPS88" s="317"/>
      <c r="UPT88" s="317"/>
      <c r="UPU88" s="317"/>
      <c r="UPV88" s="317"/>
      <c r="UPW88" s="317"/>
      <c r="UPX88" s="317"/>
      <c r="UPY88" s="317"/>
      <c r="UPZ88" s="317"/>
      <c r="UQA88" s="317"/>
      <c r="UQB88" s="317"/>
      <c r="UQC88" s="317"/>
      <c r="UQD88" s="317"/>
      <c r="UQE88" s="317"/>
      <c r="UQF88" s="317"/>
      <c r="UQG88" s="317"/>
      <c r="UQH88" s="317"/>
      <c r="UQI88" s="317"/>
      <c r="UQJ88" s="317"/>
      <c r="UQK88" s="317"/>
      <c r="UQL88" s="317"/>
      <c r="UQM88" s="317"/>
      <c r="UQN88" s="317"/>
      <c r="UQO88" s="317"/>
      <c r="UQP88" s="317"/>
      <c r="UQQ88" s="317"/>
      <c r="UQR88" s="317"/>
      <c r="UQS88" s="317"/>
      <c r="UQT88" s="317"/>
      <c r="UQU88" s="317"/>
      <c r="UQV88" s="317"/>
      <c r="UQW88" s="317"/>
      <c r="UQX88" s="317"/>
      <c r="UQY88" s="317"/>
      <c r="UQZ88" s="317"/>
      <c r="URA88" s="317"/>
      <c r="URB88" s="317"/>
      <c r="URC88" s="317"/>
      <c r="URD88" s="317"/>
      <c r="URE88" s="317"/>
      <c r="URF88" s="317"/>
      <c r="URG88" s="317"/>
      <c r="URH88" s="317"/>
      <c r="URI88" s="317"/>
      <c r="URJ88" s="317"/>
      <c r="URK88" s="317"/>
      <c r="URL88" s="317"/>
      <c r="URM88" s="317"/>
      <c r="URN88" s="317"/>
      <c r="URO88" s="317"/>
      <c r="URP88" s="317"/>
      <c r="URQ88" s="317"/>
      <c r="URR88" s="317"/>
      <c r="URS88" s="317"/>
      <c r="URT88" s="317"/>
      <c r="URU88" s="317"/>
      <c r="URV88" s="317"/>
      <c r="URW88" s="317"/>
      <c r="URX88" s="317"/>
      <c r="URY88" s="317"/>
      <c r="URZ88" s="317"/>
      <c r="USA88" s="317"/>
      <c r="USB88" s="317"/>
      <c r="USC88" s="317"/>
      <c r="USD88" s="317"/>
      <c r="USE88" s="317"/>
      <c r="USF88" s="317"/>
      <c r="USG88" s="317"/>
      <c r="USH88" s="317"/>
      <c r="USI88" s="317"/>
      <c r="USJ88" s="317"/>
      <c r="USK88" s="317"/>
      <c r="USL88" s="317"/>
      <c r="USM88" s="317"/>
      <c r="USN88" s="317"/>
      <c r="USO88" s="317"/>
      <c r="USP88" s="317"/>
      <c r="USQ88" s="317"/>
      <c r="USR88" s="317"/>
      <c r="USS88" s="317"/>
      <c r="UST88" s="317"/>
      <c r="USU88" s="317"/>
      <c r="USV88" s="317"/>
      <c r="USW88" s="317"/>
      <c r="USX88" s="317"/>
      <c r="USY88" s="317"/>
      <c r="USZ88" s="317"/>
      <c r="UTA88" s="317"/>
      <c r="UTB88" s="317"/>
      <c r="UTC88" s="317"/>
      <c r="UTD88" s="317"/>
      <c r="UTE88" s="317"/>
      <c r="UTF88" s="317"/>
      <c r="UTG88" s="317"/>
      <c r="UTH88" s="317"/>
      <c r="UTI88" s="317"/>
      <c r="UTJ88" s="317"/>
      <c r="UTK88" s="317"/>
      <c r="UTL88" s="317"/>
      <c r="UTM88" s="317"/>
      <c r="UTN88" s="317"/>
      <c r="UTO88" s="317"/>
      <c r="UTP88" s="317"/>
      <c r="UTQ88" s="317"/>
      <c r="UTR88" s="317"/>
      <c r="UTS88" s="317"/>
      <c r="UTT88" s="317"/>
      <c r="UTU88" s="317"/>
      <c r="UTV88" s="317"/>
      <c r="UTW88" s="317"/>
      <c r="UTX88" s="317"/>
      <c r="UTY88" s="317"/>
      <c r="UTZ88" s="317"/>
      <c r="UUA88" s="317"/>
      <c r="UUB88" s="317"/>
      <c r="UUC88" s="317"/>
      <c r="UUD88" s="317"/>
      <c r="UUE88" s="317"/>
      <c r="UUF88" s="317"/>
      <c r="UUG88" s="317"/>
      <c r="UUH88" s="317"/>
      <c r="UUI88" s="317"/>
      <c r="UUJ88" s="317"/>
      <c r="UUK88" s="317"/>
      <c r="UUL88" s="317"/>
      <c r="UUM88" s="317"/>
      <c r="UUN88" s="317"/>
      <c r="UUO88" s="317"/>
      <c r="UUP88" s="317"/>
      <c r="UUQ88" s="317"/>
      <c r="UUR88" s="317"/>
      <c r="UUS88" s="317"/>
      <c r="UUT88" s="317"/>
      <c r="UUU88" s="317"/>
      <c r="UUV88" s="317"/>
      <c r="UUW88" s="317"/>
      <c r="UUX88" s="317"/>
      <c r="UUY88" s="317"/>
      <c r="UUZ88" s="317"/>
      <c r="UVA88" s="317"/>
      <c r="UVB88" s="317"/>
      <c r="UVC88" s="317"/>
      <c r="UVD88" s="317"/>
      <c r="UVE88" s="317"/>
      <c r="UVF88" s="317"/>
      <c r="UVG88" s="317"/>
      <c r="UVH88" s="317"/>
      <c r="UVI88" s="317"/>
      <c r="UVJ88" s="317"/>
      <c r="UVK88" s="317"/>
      <c r="UVL88" s="317"/>
      <c r="UVM88" s="317"/>
      <c r="UVN88" s="317"/>
      <c r="UVO88" s="317"/>
      <c r="UVP88" s="317"/>
      <c r="UVQ88" s="317"/>
      <c r="UVR88" s="317"/>
      <c r="UVS88" s="317"/>
      <c r="UVT88" s="317"/>
      <c r="UVU88" s="317"/>
      <c r="UVV88" s="317"/>
      <c r="UVW88" s="317"/>
      <c r="UVX88" s="317"/>
      <c r="UVY88" s="317"/>
      <c r="UVZ88" s="317"/>
      <c r="UWA88" s="317"/>
      <c r="UWB88" s="317"/>
      <c r="UWC88" s="317"/>
      <c r="UWD88" s="317"/>
      <c r="UWE88" s="317"/>
      <c r="UWF88" s="317"/>
      <c r="UWG88" s="317"/>
      <c r="UWH88" s="317"/>
      <c r="UWI88" s="317"/>
      <c r="UWJ88" s="317"/>
      <c r="UWK88" s="317"/>
      <c r="UWL88" s="317"/>
      <c r="UWM88" s="317"/>
      <c r="UWN88" s="317"/>
      <c r="UWO88" s="317"/>
      <c r="UWP88" s="317"/>
      <c r="UWQ88" s="317"/>
      <c r="UWR88" s="317"/>
      <c r="UWS88" s="317"/>
      <c r="UWT88" s="317"/>
      <c r="UWU88" s="317"/>
      <c r="UWV88" s="317"/>
      <c r="UWW88" s="317"/>
      <c r="UWX88" s="317"/>
      <c r="UWY88" s="317"/>
      <c r="UWZ88" s="317"/>
      <c r="UXA88" s="317"/>
      <c r="UXB88" s="317"/>
      <c r="UXC88" s="317"/>
      <c r="UXD88" s="317"/>
      <c r="UXE88" s="317"/>
      <c r="UXF88" s="317"/>
      <c r="UXG88" s="317"/>
      <c r="UXH88" s="317"/>
      <c r="UXI88" s="317"/>
      <c r="UXJ88" s="317"/>
      <c r="UXK88" s="317"/>
      <c r="UXL88" s="317"/>
      <c r="UXM88" s="317"/>
      <c r="UXN88" s="317"/>
      <c r="UXO88" s="317"/>
      <c r="UXP88" s="317"/>
      <c r="UXQ88" s="317"/>
      <c r="UXR88" s="317"/>
      <c r="UXS88" s="317"/>
      <c r="UXT88" s="317"/>
      <c r="UXU88" s="317"/>
      <c r="UXV88" s="317"/>
      <c r="UXW88" s="317"/>
      <c r="UXX88" s="317"/>
      <c r="UXY88" s="317"/>
      <c r="UXZ88" s="317"/>
      <c r="UYA88" s="317"/>
      <c r="UYB88" s="317"/>
      <c r="UYC88" s="317"/>
      <c r="UYD88" s="317"/>
      <c r="UYE88" s="317"/>
      <c r="UYF88" s="317"/>
      <c r="UYG88" s="317"/>
      <c r="UYH88" s="317"/>
      <c r="UYI88" s="317"/>
      <c r="UYJ88" s="317"/>
      <c r="UYK88" s="317"/>
      <c r="UYL88" s="317"/>
      <c r="UYM88" s="317"/>
      <c r="UYN88" s="317"/>
      <c r="UYO88" s="317"/>
      <c r="UYP88" s="317"/>
      <c r="UYQ88" s="317"/>
      <c r="UYR88" s="317"/>
      <c r="UYS88" s="317"/>
      <c r="UYT88" s="317"/>
      <c r="UYU88" s="317"/>
      <c r="UYV88" s="317"/>
      <c r="UYW88" s="317"/>
      <c r="UYX88" s="317"/>
      <c r="UYY88" s="317"/>
      <c r="UYZ88" s="317"/>
      <c r="UZA88" s="317"/>
      <c r="UZB88" s="317"/>
      <c r="UZC88" s="317"/>
      <c r="UZD88" s="317"/>
      <c r="UZE88" s="317"/>
      <c r="UZF88" s="317"/>
      <c r="UZG88" s="317"/>
      <c r="UZH88" s="317"/>
      <c r="UZI88" s="317"/>
      <c r="UZJ88" s="317"/>
      <c r="UZK88" s="317"/>
      <c r="UZL88" s="317"/>
      <c r="UZM88" s="317"/>
      <c r="UZN88" s="317"/>
      <c r="UZO88" s="317"/>
      <c r="UZP88" s="317"/>
      <c r="UZQ88" s="317"/>
      <c r="UZR88" s="317"/>
      <c r="UZS88" s="317"/>
      <c r="UZT88" s="317"/>
      <c r="UZU88" s="317"/>
      <c r="UZV88" s="317"/>
      <c r="UZW88" s="317"/>
      <c r="UZX88" s="317"/>
      <c r="UZY88" s="317"/>
      <c r="UZZ88" s="317"/>
      <c r="VAA88" s="317"/>
      <c r="VAB88" s="317"/>
      <c r="VAC88" s="317"/>
      <c r="VAD88" s="317"/>
      <c r="VAE88" s="317"/>
      <c r="VAF88" s="317"/>
      <c r="VAG88" s="317"/>
      <c r="VAH88" s="317"/>
      <c r="VAI88" s="317"/>
      <c r="VAJ88" s="317"/>
      <c r="VAK88" s="317"/>
      <c r="VAL88" s="317"/>
      <c r="VAM88" s="317"/>
      <c r="VAN88" s="317"/>
      <c r="VAO88" s="317"/>
      <c r="VAP88" s="317"/>
      <c r="VAQ88" s="317"/>
      <c r="VAR88" s="317"/>
      <c r="VAS88" s="317"/>
      <c r="VAT88" s="317"/>
      <c r="VAU88" s="317"/>
      <c r="VAV88" s="317"/>
      <c r="VAW88" s="317"/>
      <c r="VAX88" s="317"/>
      <c r="VAY88" s="317"/>
      <c r="VAZ88" s="317"/>
      <c r="VBA88" s="317"/>
      <c r="VBB88" s="317"/>
      <c r="VBC88" s="317"/>
      <c r="VBD88" s="317"/>
      <c r="VBE88" s="317"/>
      <c r="VBF88" s="317"/>
      <c r="VBG88" s="317"/>
      <c r="VBH88" s="317"/>
      <c r="VBI88" s="317"/>
      <c r="VBJ88" s="317"/>
      <c r="VBK88" s="317"/>
      <c r="VBL88" s="317"/>
      <c r="VBM88" s="317"/>
      <c r="VBN88" s="317"/>
      <c r="VBO88" s="317"/>
      <c r="VBP88" s="317"/>
      <c r="VBQ88" s="317"/>
      <c r="VBR88" s="317"/>
      <c r="VBS88" s="317"/>
      <c r="VBT88" s="317"/>
      <c r="VBU88" s="317"/>
      <c r="VBV88" s="317"/>
      <c r="VBW88" s="317"/>
      <c r="VBX88" s="317"/>
      <c r="VBY88" s="317"/>
      <c r="VBZ88" s="317"/>
      <c r="VCA88" s="317"/>
      <c r="VCB88" s="317"/>
      <c r="VCC88" s="317"/>
      <c r="VCD88" s="317"/>
      <c r="VCE88" s="317"/>
      <c r="VCF88" s="317"/>
      <c r="VCG88" s="317"/>
      <c r="VCH88" s="317"/>
      <c r="VCI88" s="317"/>
      <c r="VCJ88" s="317"/>
      <c r="VCK88" s="317"/>
      <c r="VCL88" s="317"/>
      <c r="VCM88" s="317"/>
      <c r="VCN88" s="317"/>
      <c r="VCO88" s="317"/>
      <c r="VCP88" s="317"/>
      <c r="VCQ88" s="317"/>
      <c r="VCR88" s="317"/>
      <c r="VCS88" s="317"/>
      <c r="VCT88" s="317"/>
      <c r="VCU88" s="317"/>
      <c r="VCV88" s="317"/>
      <c r="VCW88" s="317"/>
      <c r="VCX88" s="317"/>
      <c r="VCY88" s="317"/>
      <c r="VCZ88" s="317"/>
      <c r="VDA88" s="317"/>
      <c r="VDB88" s="317"/>
      <c r="VDC88" s="317"/>
      <c r="VDD88" s="317"/>
      <c r="VDE88" s="317"/>
      <c r="VDF88" s="317"/>
      <c r="VDG88" s="317"/>
      <c r="VDH88" s="317"/>
      <c r="VDI88" s="317"/>
      <c r="VDJ88" s="317"/>
      <c r="VDK88" s="317"/>
      <c r="VDL88" s="317"/>
      <c r="VDM88" s="317"/>
      <c r="VDN88" s="317"/>
      <c r="VDO88" s="317"/>
      <c r="VDP88" s="317"/>
      <c r="VDQ88" s="317"/>
      <c r="VDR88" s="317"/>
      <c r="VDS88" s="317"/>
      <c r="VDT88" s="317"/>
      <c r="VDU88" s="317"/>
      <c r="VDV88" s="317"/>
      <c r="VDW88" s="317"/>
      <c r="VDX88" s="317"/>
      <c r="VDY88" s="317"/>
      <c r="VDZ88" s="317"/>
      <c r="VEA88" s="317"/>
      <c r="VEB88" s="317"/>
      <c r="VEC88" s="317"/>
      <c r="VED88" s="317"/>
      <c r="VEE88" s="317"/>
      <c r="VEF88" s="317"/>
      <c r="VEG88" s="317"/>
      <c r="VEH88" s="317"/>
      <c r="VEI88" s="317"/>
      <c r="VEJ88" s="317"/>
      <c r="VEK88" s="317"/>
      <c r="VEL88" s="317"/>
      <c r="VEM88" s="317"/>
      <c r="VEN88" s="317"/>
      <c r="VEO88" s="317"/>
      <c r="VEP88" s="317"/>
      <c r="VEQ88" s="317"/>
      <c r="VER88" s="317"/>
      <c r="VES88" s="317"/>
      <c r="VET88" s="317"/>
      <c r="VEU88" s="317"/>
      <c r="VEV88" s="317"/>
      <c r="VEW88" s="317"/>
      <c r="VEX88" s="317"/>
      <c r="VEY88" s="317"/>
      <c r="VEZ88" s="317"/>
      <c r="VFA88" s="317"/>
      <c r="VFB88" s="317"/>
      <c r="VFC88" s="317"/>
      <c r="VFD88" s="317"/>
      <c r="VFE88" s="317"/>
      <c r="VFF88" s="317"/>
      <c r="VFG88" s="317"/>
      <c r="VFH88" s="317"/>
      <c r="VFI88" s="317"/>
      <c r="VFJ88" s="317"/>
      <c r="VFK88" s="317"/>
      <c r="VFL88" s="317"/>
      <c r="VFM88" s="317"/>
      <c r="VFN88" s="317"/>
      <c r="VFO88" s="317"/>
      <c r="VFP88" s="317"/>
      <c r="VFQ88" s="317"/>
      <c r="VFR88" s="317"/>
      <c r="VFS88" s="317"/>
      <c r="VFT88" s="317"/>
      <c r="VFU88" s="317"/>
      <c r="VFV88" s="317"/>
      <c r="VFW88" s="317"/>
      <c r="VFX88" s="317"/>
      <c r="VFY88" s="317"/>
      <c r="VFZ88" s="317"/>
      <c r="VGA88" s="317"/>
      <c r="VGB88" s="317"/>
      <c r="VGC88" s="317"/>
      <c r="VGD88" s="317"/>
      <c r="VGE88" s="317"/>
      <c r="VGF88" s="317"/>
      <c r="VGG88" s="317"/>
      <c r="VGH88" s="317"/>
      <c r="VGI88" s="317"/>
      <c r="VGJ88" s="317"/>
      <c r="VGK88" s="317"/>
      <c r="VGL88" s="317"/>
      <c r="VGM88" s="317"/>
      <c r="VGN88" s="317"/>
      <c r="VGO88" s="317"/>
      <c r="VGP88" s="317"/>
      <c r="VGQ88" s="317"/>
      <c r="VGR88" s="317"/>
      <c r="VGS88" s="317"/>
      <c r="VGT88" s="317"/>
      <c r="VGU88" s="317"/>
      <c r="VGV88" s="317"/>
      <c r="VGW88" s="317"/>
      <c r="VGX88" s="317"/>
      <c r="VGY88" s="317"/>
      <c r="VGZ88" s="317"/>
      <c r="VHA88" s="317"/>
      <c r="VHB88" s="317"/>
      <c r="VHC88" s="317"/>
      <c r="VHD88" s="317"/>
      <c r="VHE88" s="317"/>
      <c r="VHF88" s="317"/>
      <c r="VHG88" s="317"/>
      <c r="VHH88" s="317"/>
      <c r="VHI88" s="317"/>
      <c r="VHJ88" s="317"/>
      <c r="VHK88" s="317"/>
      <c r="VHL88" s="317"/>
      <c r="VHM88" s="317"/>
      <c r="VHN88" s="317"/>
      <c r="VHO88" s="317"/>
      <c r="VHP88" s="317"/>
      <c r="VHQ88" s="317"/>
      <c r="VHR88" s="317"/>
      <c r="VHS88" s="317"/>
      <c r="VHT88" s="317"/>
      <c r="VHU88" s="317"/>
      <c r="VHV88" s="317"/>
      <c r="VHW88" s="317"/>
      <c r="VHX88" s="317"/>
      <c r="VHY88" s="317"/>
      <c r="VHZ88" s="317"/>
      <c r="VIA88" s="317"/>
      <c r="VIB88" s="317"/>
      <c r="VIC88" s="317"/>
      <c r="VID88" s="317"/>
      <c r="VIE88" s="317"/>
      <c r="VIF88" s="317"/>
      <c r="VIG88" s="317"/>
      <c r="VIH88" s="317"/>
      <c r="VII88" s="317"/>
      <c r="VIJ88" s="317"/>
      <c r="VIK88" s="317"/>
      <c r="VIL88" s="317"/>
      <c r="VIM88" s="317"/>
      <c r="VIN88" s="317"/>
      <c r="VIO88" s="317"/>
      <c r="VIP88" s="317"/>
      <c r="VIQ88" s="317"/>
      <c r="VIR88" s="317"/>
      <c r="VIS88" s="317"/>
      <c r="VIT88" s="317"/>
      <c r="VIU88" s="317"/>
      <c r="VIV88" s="317"/>
      <c r="VIW88" s="317"/>
      <c r="VIX88" s="317"/>
      <c r="VIY88" s="317"/>
      <c r="VIZ88" s="317"/>
      <c r="VJA88" s="317"/>
      <c r="VJB88" s="317"/>
      <c r="VJC88" s="317"/>
      <c r="VJD88" s="317"/>
      <c r="VJE88" s="317"/>
      <c r="VJF88" s="317"/>
      <c r="VJG88" s="317"/>
      <c r="VJH88" s="317"/>
      <c r="VJI88" s="317"/>
      <c r="VJJ88" s="317"/>
      <c r="VJK88" s="317"/>
      <c r="VJL88" s="317"/>
      <c r="VJM88" s="317"/>
      <c r="VJN88" s="317"/>
      <c r="VJO88" s="317"/>
      <c r="VJP88" s="317"/>
      <c r="VJQ88" s="317"/>
      <c r="VJR88" s="317"/>
      <c r="VJS88" s="317"/>
      <c r="VJT88" s="317"/>
      <c r="VJU88" s="317"/>
      <c r="VJV88" s="317"/>
      <c r="VJW88" s="317"/>
      <c r="VJX88" s="317"/>
      <c r="VJY88" s="317"/>
      <c r="VJZ88" s="317"/>
      <c r="VKA88" s="317"/>
      <c r="VKB88" s="317"/>
      <c r="VKC88" s="317"/>
      <c r="VKD88" s="317"/>
      <c r="VKE88" s="317"/>
      <c r="VKF88" s="317"/>
      <c r="VKG88" s="317"/>
      <c r="VKH88" s="317"/>
      <c r="VKI88" s="317"/>
      <c r="VKJ88" s="317"/>
      <c r="VKK88" s="317"/>
      <c r="VKL88" s="317"/>
      <c r="VKM88" s="317"/>
      <c r="VKN88" s="317"/>
      <c r="VKO88" s="317"/>
      <c r="VKP88" s="317"/>
      <c r="VKQ88" s="317"/>
      <c r="VKR88" s="317"/>
      <c r="VKS88" s="317"/>
      <c r="VKT88" s="317"/>
      <c r="VKU88" s="317"/>
      <c r="VKV88" s="317"/>
      <c r="VKW88" s="317"/>
      <c r="VKX88" s="317"/>
      <c r="VKY88" s="317"/>
      <c r="VKZ88" s="317"/>
      <c r="VLA88" s="317"/>
      <c r="VLB88" s="317"/>
      <c r="VLC88" s="317"/>
      <c r="VLD88" s="317"/>
      <c r="VLE88" s="317"/>
      <c r="VLF88" s="317"/>
      <c r="VLG88" s="317"/>
      <c r="VLH88" s="317"/>
      <c r="VLI88" s="317"/>
      <c r="VLJ88" s="317"/>
      <c r="VLK88" s="317"/>
      <c r="VLL88" s="317"/>
      <c r="VLM88" s="317"/>
      <c r="VLN88" s="317"/>
      <c r="VLO88" s="317"/>
      <c r="VLP88" s="317"/>
      <c r="VLQ88" s="317"/>
      <c r="VLR88" s="317"/>
      <c r="VLS88" s="317"/>
      <c r="VLT88" s="317"/>
      <c r="VLU88" s="317"/>
      <c r="VLV88" s="317"/>
      <c r="VLW88" s="317"/>
      <c r="VLX88" s="317"/>
      <c r="VLY88" s="317"/>
      <c r="VLZ88" s="317"/>
      <c r="VMA88" s="317"/>
      <c r="VMB88" s="317"/>
      <c r="VMC88" s="317"/>
      <c r="VMD88" s="317"/>
      <c r="VME88" s="317"/>
      <c r="VMF88" s="317"/>
      <c r="VMG88" s="317"/>
      <c r="VMH88" s="317"/>
      <c r="VMI88" s="317"/>
      <c r="VMJ88" s="317"/>
      <c r="VMK88" s="317"/>
      <c r="VML88" s="317"/>
      <c r="VMM88" s="317"/>
      <c r="VMN88" s="317"/>
      <c r="VMO88" s="317"/>
      <c r="VMP88" s="317"/>
      <c r="VMQ88" s="317"/>
      <c r="VMR88" s="317"/>
      <c r="VMS88" s="317"/>
      <c r="VMT88" s="317"/>
      <c r="VMU88" s="317"/>
      <c r="VMV88" s="317"/>
      <c r="VMW88" s="317"/>
      <c r="VMX88" s="317"/>
      <c r="VMY88" s="317"/>
      <c r="VMZ88" s="317"/>
      <c r="VNA88" s="317"/>
      <c r="VNB88" s="317"/>
      <c r="VNC88" s="317"/>
      <c r="VND88" s="317"/>
      <c r="VNE88" s="317"/>
      <c r="VNF88" s="317"/>
      <c r="VNG88" s="317"/>
      <c r="VNH88" s="317"/>
      <c r="VNI88" s="317"/>
      <c r="VNJ88" s="317"/>
      <c r="VNK88" s="317"/>
      <c r="VNL88" s="317"/>
      <c r="VNM88" s="317"/>
      <c r="VNN88" s="317"/>
      <c r="VNO88" s="317"/>
      <c r="VNP88" s="317"/>
      <c r="VNQ88" s="317"/>
      <c r="VNR88" s="317"/>
      <c r="VNS88" s="317"/>
      <c r="VNT88" s="317"/>
      <c r="VNU88" s="317"/>
      <c r="VNV88" s="317"/>
      <c r="VNW88" s="317"/>
      <c r="VNX88" s="317"/>
      <c r="VNY88" s="317"/>
      <c r="VNZ88" s="317"/>
      <c r="VOA88" s="317"/>
      <c r="VOB88" s="317"/>
      <c r="VOC88" s="317"/>
      <c r="VOD88" s="317"/>
      <c r="VOE88" s="317"/>
      <c r="VOF88" s="317"/>
      <c r="VOG88" s="317"/>
      <c r="VOH88" s="317"/>
      <c r="VOI88" s="317"/>
      <c r="VOJ88" s="317"/>
      <c r="VOK88" s="317"/>
      <c r="VOL88" s="317"/>
      <c r="VOM88" s="317"/>
      <c r="VON88" s="317"/>
      <c r="VOO88" s="317"/>
      <c r="VOP88" s="317"/>
      <c r="VOQ88" s="317"/>
      <c r="VOR88" s="317"/>
      <c r="VOS88" s="317"/>
      <c r="VOT88" s="317"/>
      <c r="VOU88" s="317"/>
      <c r="VOV88" s="317"/>
      <c r="VOW88" s="317"/>
      <c r="VOX88" s="317"/>
      <c r="VOY88" s="317"/>
      <c r="VOZ88" s="317"/>
      <c r="VPA88" s="317"/>
      <c r="VPB88" s="317"/>
      <c r="VPC88" s="317"/>
      <c r="VPD88" s="317"/>
      <c r="VPE88" s="317"/>
      <c r="VPF88" s="317"/>
      <c r="VPG88" s="317"/>
      <c r="VPH88" s="317"/>
      <c r="VPI88" s="317"/>
      <c r="VPJ88" s="317"/>
      <c r="VPK88" s="317"/>
      <c r="VPL88" s="317"/>
      <c r="VPM88" s="317"/>
      <c r="VPN88" s="317"/>
      <c r="VPO88" s="317"/>
      <c r="VPP88" s="317"/>
      <c r="VPQ88" s="317"/>
      <c r="VPR88" s="317"/>
      <c r="VPS88" s="317"/>
      <c r="VPT88" s="317"/>
      <c r="VPU88" s="317"/>
      <c r="VPV88" s="317"/>
      <c r="VPW88" s="317"/>
      <c r="VPX88" s="317"/>
      <c r="VPY88" s="317"/>
      <c r="VPZ88" s="317"/>
      <c r="VQA88" s="317"/>
      <c r="VQB88" s="317"/>
      <c r="VQC88" s="317"/>
      <c r="VQD88" s="317"/>
      <c r="VQE88" s="317"/>
      <c r="VQF88" s="317"/>
      <c r="VQG88" s="317"/>
      <c r="VQH88" s="317"/>
      <c r="VQI88" s="317"/>
      <c r="VQJ88" s="317"/>
      <c r="VQK88" s="317"/>
      <c r="VQL88" s="317"/>
      <c r="VQM88" s="317"/>
      <c r="VQN88" s="317"/>
      <c r="VQO88" s="317"/>
      <c r="VQP88" s="317"/>
      <c r="VQQ88" s="317"/>
      <c r="VQR88" s="317"/>
      <c r="VQS88" s="317"/>
      <c r="VQT88" s="317"/>
      <c r="VQU88" s="317"/>
      <c r="VQV88" s="317"/>
      <c r="VQW88" s="317"/>
      <c r="VQX88" s="317"/>
      <c r="VQY88" s="317"/>
      <c r="VQZ88" s="317"/>
      <c r="VRA88" s="317"/>
      <c r="VRB88" s="317"/>
      <c r="VRC88" s="317"/>
      <c r="VRD88" s="317"/>
      <c r="VRE88" s="317"/>
      <c r="VRF88" s="317"/>
      <c r="VRG88" s="317"/>
      <c r="VRH88" s="317"/>
      <c r="VRI88" s="317"/>
      <c r="VRJ88" s="317"/>
      <c r="VRK88" s="317"/>
      <c r="VRL88" s="317"/>
      <c r="VRM88" s="317"/>
      <c r="VRN88" s="317"/>
      <c r="VRO88" s="317"/>
      <c r="VRP88" s="317"/>
      <c r="VRQ88" s="317"/>
      <c r="VRR88" s="317"/>
      <c r="VRS88" s="317"/>
      <c r="VRT88" s="317"/>
      <c r="VRU88" s="317"/>
      <c r="VRV88" s="317"/>
      <c r="VRW88" s="317"/>
      <c r="VRX88" s="317"/>
      <c r="VRY88" s="317"/>
      <c r="VRZ88" s="317"/>
      <c r="VSA88" s="317"/>
      <c r="VSB88" s="317"/>
      <c r="VSC88" s="317"/>
      <c r="VSD88" s="317"/>
      <c r="VSE88" s="317"/>
      <c r="VSF88" s="317"/>
      <c r="VSG88" s="317"/>
      <c r="VSH88" s="317"/>
      <c r="VSI88" s="317"/>
      <c r="VSJ88" s="317"/>
      <c r="VSK88" s="317"/>
      <c r="VSL88" s="317"/>
      <c r="VSM88" s="317"/>
      <c r="VSN88" s="317"/>
      <c r="VSO88" s="317"/>
      <c r="VSP88" s="317"/>
      <c r="VSQ88" s="317"/>
      <c r="VSR88" s="317"/>
      <c r="VSS88" s="317"/>
      <c r="VST88" s="317"/>
      <c r="VSU88" s="317"/>
      <c r="VSV88" s="317"/>
      <c r="VSW88" s="317"/>
      <c r="VSX88" s="317"/>
      <c r="VSY88" s="317"/>
      <c r="VSZ88" s="317"/>
      <c r="VTA88" s="317"/>
      <c r="VTB88" s="317"/>
      <c r="VTC88" s="317"/>
      <c r="VTD88" s="317"/>
      <c r="VTE88" s="317"/>
      <c r="VTF88" s="317"/>
      <c r="VTG88" s="317"/>
      <c r="VTH88" s="317"/>
      <c r="VTI88" s="317"/>
      <c r="VTJ88" s="317"/>
      <c r="VTK88" s="317"/>
      <c r="VTL88" s="317"/>
      <c r="VTM88" s="317"/>
      <c r="VTN88" s="317"/>
      <c r="VTO88" s="317"/>
      <c r="VTP88" s="317"/>
      <c r="VTQ88" s="317"/>
      <c r="VTR88" s="317"/>
      <c r="VTS88" s="317"/>
      <c r="VTT88" s="317"/>
      <c r="VTU88" s="317"/>
      <c r="VTV88" s="317"/>
      <c r="VTW88" s="317"/>
      <c r="VTX88" s="317"/>
      <c r="VTY88" s="317"/>
      <c r="VTZ88" s="317"/>
      <c r="VUA88" s="317"/>
      <c r="VUB88" s="317"/>
      <c r="VUC88" s="317"/>
      <c r="VUD88" s="317"/>
      <c r="VUE88" s="317"/>
      <c r="VUF88" s="317"/>
      <c r="VUG88" s="317"/>
      <c r="VUH88" s="317"/>
      <c r="VUI88" s="317"/>
      <c r="VUJ88" s="317"/>
      <c r="VUK88" s="317"/>
      <c r="VUL88" s="317"/>
      <c r="VUM88" s="317"/>
      <c r="VUN88" s="317"/>
      <c r="VUO88" s="317"/>
      <c r="VUP88" s="317"/>
      <c r="VUQ88" s="317"/>
      <c r="VUR88" s="317"/>
      <c r="VUS88" s="317"/>
      <c r="VUT88" s="317"/>
      <c r="VUU88" s="317"/>
      <c r="VUV88" s="317"/>
      <c r="VUW88" s="317"/>
      <c r="VUX88" s="317"/>
      <c r="VUY88" s="317"/>
      <c r="VUZ88" s="317"/>
      <c r="VVA88" s="317"/>
      <c r="VVB88" s="317"/>
      <c r="VVC88" s="317"/>
      <c r="VVD88" s="317"/>
      <c r="VVE88" s="317"/>
      <c r="VVF88" s="317"/>
      <c r="VVG88" s="317"/>
      <c r="VVH88" s="317"/>
      <c r="VVI88" s="317"/>
      <c r="VVJ88" s="317"/>
      <c r="VVK88" s="317"/>
      <c r="VVL88" s="317"/>
      <c r="VVM88" s="317"/>
      <c r="VVN88" s="317"/>
      <c r="VVO88" s="317"/>
      <c r="VVP88" s="317"/>
      <c r="VVQ88" s="317"/>
      <c r="VVR88" s="317"/>
      <c r="VVS88" s="317"/>
      <c r="VVT88" s="317"/>
      <c r="VVU88" s="317"/>
      <c r="VVV88" s="317"/>
      <c r="VVW88" s="317"/>
      <c r="VVX88" s="317"/>
      <c r="VVY88" s="317"/>
      <c r="VVZ88" s="317"/>
      <c r="VWA88" s="317"/>
      <c r="VWB88" s="317"/>
      <c r="VWC88" s="317"/>
      <c r="VWD88" s="317"/>
      <c r="VWE88" s="317"/>
      <c r="VWF88" s="317"/>
      <c r="VWG88" s="317"/>
      <c r="VWH88" s="317"/>
      <c r="VWI88" s="317"/>
      <c r="VWJ88" s="317"/>
      <c r="VWK88" s="317"/>
      <c r="VWL88" s="317"/>
      <c r="VWM88" s="317"/>
      <c r="VWN88" s="317"/>
      <c r="VWO88" s="317"/>
      <c r="VWP88" s="317"/>
      <c r="VWQ88" s="317"/>
      <c r="VWR88" s="317"/>
      <c r="VWS88" s="317"/>
      <c r="VWT88" s="317"/>
      <c r="VWU88" s="317"/>
      <c r="VWV88" s="317"/>
      <c r="VWW88" s="317"/>
      <c r="VWX88" s="317"/>
      <c r="VWY88" s="317"/>
      <c r="VWZ88" s="317"/>
      <c r="VXA88" s="317"/>
      <c r="VXB88" s="317"/>
      <c r="VXC88" s="317"/>
      <c r="VXD88" s="317"/>
      <c r="VXE88" s="317"/>
      <c r="VXF88" s="317"/>
      <c r="VXG88" s="317"/>
      <c r="VXH88" s="317"/>
      <c r="VXI88" s="317"/>
      <c r="VXJ88" s="317"/>
      <c r="VXK88" s="317"/>
      <c r="VXL88" s="317"/>
      <c r="VXM88" s="317"/>
      <c r="VXN88" s="317"/>
      <c r="VXO88" s="317"/>
      <c r="VXP88" s="317"/>
      <c r="VXQ88" s="317"/>
      <c r="VXR88" s="317"/>
      <c r="VXS88" s="317"/>
      <c r="VXT88" s="317"/>
      <c r="VXU88" s="317"/>
      <c r="VXV88" s="317"/>
      <c r="VXW88" s="317"/>
      <c r="VXX88" s="317"/>
      <c r="VXY88" s="317"/>
      <c r="VXZ88" s="317"/>
      <c r="VYA88" s="317"/>
      <c r="VYB88" s="317"/>
      <c r="VYC88" s="317"/>
      <c r="VYD88" s="317"/>
      <c r="VYE88" s="317"/>
      <c r="VYF88" s="317"/>
      <c r="VYG88" s="317"/>
      <c r="VYH88" s="317"/>
      <c r="VYI88" s="317"/>
      <c r="VYJ88" s="317"/>
      <c r="VYK88" s="317"/>
      <c r="VYL88" s="317"/>
      <c r="VYM88" s="317"/>
      <c r="VYN88" s="317"/>
      <c r="VYO88" s="317"/>
      <c r="VYP88" s="317"/>
      <c r="VYQ88" s="317"/>
      <c r="VYR88" s="317"/>
      <c r="VYS88" s="317"/>
      <c r="VYT88" s="317"/>
      <c r="VYU88" s="317"/>
      <c r="VYV88" s="317"/>
      <c r="VYW88" s="317"/>
      <c r="VYX88" s="317"/>
      <c r="VYY88" s="317"/>
      <c r="VYZ88" s="317"/>
      <c r="VZA88" s="317"/>
      <c r="VZB88" s="317"/>
      <c r="VZC88" s="317"/>
      <c r="VZD88" s="317"/>
      <c r="VZE88" s="317"/>
      <c r="VZF88" s="317"/>
      <c r="VZG88" s="317"/>
      <c r="VZH88" s="317"/>
      <c r="VZI88" s="317"/>
      <c r="VZJ88" s="317"/>
      <c r="VZK88" s="317"/>
      <c r="VZL88" s="317"/>
      <c r="VZM88" s="317"/>
      <c r="VZN88" s="317"/>
      <c r="VZO88" s="317"/>
      <c r="VZP88" s="317"/>
      <c r="VZQ88" s="317"/>
      <c r="VZR88" s="317"/>
      <c r="VZS88" s="317"/>
      <c r="VZT88" s="317"/>
      <c r="VZU88" s="317"/>
      <c r="VZV88" s="317"/>
      <c r="VZW88" s="317"/>
      <c r="VZX88" s="317"/>
      <c r="VZY88" s="317"/>
      <c r="VZZ88" s="317"/>
      <c r="WAA88" s="317"/>
      <c r="WAB88" s="317"/>
      <c r="WAC88" s="317"/>
      <c r="WAD88" s="317"/>
      <c r="WAE88" s="317"/>
      <c r="WAF88" s="317"/>
      <c r="WAG88" s="317"/>
      <c r="WAH88" s="317"/>
      <c r="WAI88" s="317"/>
      <c r="WAJ88" s="317"/>
      <c r="WAK88" s="317"/>
      <c r="WAL88" s="317"/>
      <c r="WAM88" s="317"/>
      <c r="WAN88" s="317"/>
      <c r="WAO88" s="317"/>
      <c r="WAP88" s="317"/>
      <c r="WAQ88" s="317"/>
      <c r="WAR88" s="317"/>
      <c r="WAS88" s="317"/>
      <c r="WAT88" s="317"/>
      <c r="WAU88" s="317"/>
      <c r="WAV88" s="317"/>
      <c r="WAW88" s="317"/>
      <c r="WAX88" s="317"/>
      <c r="WAY88" s="317"/>
      <c r="WAZ88" s="317"/>
      <c r="WBA88" s="317"/>
      <c r="WBB88" s="317"/>
      <c r="WBC88" s="317"/>
      <c r="WBD88" s="317"/>
      <c r="WBE88" s="317"/>
      <c r="WBF88" s="317"/>
      <c r="WBG88" s="317"/>
      <c r="WBH88" s="317"/>
      <c r="WBI88" s="317"/>
      <c r="WBJ88" s="317"/>
      <c r="WBK88" s="317"/>
      <c r="WBL88" s="317"/>
      <c r="WBM88" s="317"/>
      <c r="WBN88" s="317"/>
      <c r="WBO88" s="317"/>
      <c r="WBP88" s="317"/>
      <c r="WBQ88" s="317"/>
      <c r="WBR88" s="317"/>
      <c r="WBS88" s="317"/>
      <c r="WBT88" s="317"/>
      <c r="WBU88" s="317"/>
      <c r="WBV88" s="317"/>
      <c r="WBW88" s="317"/>
      <c r="WBX88" s="317"/>
      <c r="WBY88" s="317"/>
      <c r="WBZ88" s="317"/>
      <c r="WCA88" s="317"/>
      <c r="WCB88" s="317"/>
      <c r="WCC88" s="317"/>
      <c r="WCD88" s="317"/>
      <c r="WCE88" s="317"/>
      <c r="WCF88" s="317"/>
      <c r="WCG88" s="317"/>
      <c r="WCH88" s="317"/>
      <c r="WCI88" s="317"/>
      <c r="WCJ88" s="317"/>
      <c r="WCK88" s="317"/>
      <c r="WCL88" s="317"/>
      <c r="WCM88" s="317"/>
      <c r="WCN88" s="317"/>
      <c r="WCO88" s="317"/>
      <c r="WCP88" s="317"/>
      <c r="WCQ88" s="317"/>
      <c r="WCR88" s="317"/>
      <c r="WCS88" s="317"/>
      <c r="WCT88" s="317"/>
      <c r="WCU88" s="317"/>
      <c r="WCV88" s="317"/>
      <c r="WCW88" s="317"/>
      <c r="WCX88" s="317"/>
      <c r="WCY88" s="317"/>
      <c r="WCZ88" s="317"/>
      <c r="WDA88" s="317"/>
      <c r="WDB88" s="317"/>
      <c r="WDC88" s="317"/>
      <c r="WDD88" s="317"/>
      <c r="WDE88" s="317"/>
      <c r="WDF88" s="317"/>
      <c r="WDG88" s="317"/>
      <c r="WDH88" s="317"/>
      <c r="WDI88" s="317"/>
      <c r="WDJ88" s="317"/>
      <c r="WDK88" s="317"/>
      <c r="WDL88" s="317"/>
      <c r="WDM88" s="317"/>
      <c r="WDN88" s="317"/>
      <c r="WDO88" s="317"/>
      <c r="WDP88" s="317"/>
      <c r="WDQ88" s="317"/>
      <c r="WDR88" s="317"/>
      <c r="WDS88" s="317"/>
      <c r="WDT88" s="317"/>
      <c r="WDU88" s="317"/>
      <c r="WDV88" s="317"/>
      <c r="WDW88" s="317"/>
      <c r="WDX88" s="317"/>
      <c r="WDY88" s="317"/>
      <c r="WDZ88" s="317"/>
      <c r="WEA88" s="317"/>
      <c r="WEB88" s="317"/>
      <c r="WEC88" s="317"/>
      <c r="WED88" s="317"/>
      <c r="WEE88" s="317"/>
      <c r="WEF88" s="317"/>
      <c r="WEG88" s="317"/>
      <c r="WEH88" s="317"/>
      <c r="WEI88" s="317"/>
      <c r="WEJ88" s="317"/>
      <c r="WEK88" s="317"/>
      <c r="WEL88" s="317"/>
      <c r="WEM88" s="317"/>
      <c r="WEN88" s="317"/>
      <c r="WEO88" s="317"/>
      <c r="WEP88" s="317"/>
      <c r="WEQ88" s="317"/>
      <c r="WER88" s="317"/>
      <c r="WES88" s="317"/>
      <c r="WET88" s="317"/>
      <c r="WEU88" s="317"/>
      <c r="WEV88" s="317"/>
      <c r="WEW88" s="317"/>
      <c r="WEX88" s="317"/>
      <c r="WEY88" s="317"/>
      <c r="WEZ88" s="317"/>
      <c r="WFA88" s="317"/>
      <c r="WFB88" s="317"/>
      <c r="WFC88" s="317"/>
      <c r="WFD88" s="317"/>
      <c r="WFE88" s="317"/>
      <c r="WFF88" s="317"/>
      <c r="WFG88" s="317"/>
      <c r="WFH88" s="317"/>
      <c r="WFI88" s="317"/>
      <c r="WFJ88" s="317"/>
      <c r="WFK88" s="317"/>
      <c r="WFL88" s="317"/>
      <c r="WFM88" s="317"/>
      <c r="WFN88" s="317"/>
      <c r="WFO88" s="317"/>
      <c r="WFP88" s="317"/>
      <c r="WFQ88" s="317"/>
      <c r="WFR88" s="317"/>
      <c r="WFS88" s="317"/>
      <c r="WFT88" s="317"/>
      <c r="WFU88" s="317"/>
      <c r="WFV88" s="317"/>
      <c r="WFW88" s="317"/>
      <c r="WFX88" s="317"/>
      <c r="WFY88" s="317"/>
      <c r="WFZ88" s="317"/>
      <c r="WGA88" s="317"/>
      <c r="WGB88" s="317"/>
      <c r="WGC88" s="317"/>
      <c r="WGD88" s="317"/>
      <c r="WGE88" s="317"/>
      <c r="WGF88" s="317"/>
      <c r="WGG88" s="317"/>
      <c r="WGH88" s="317"/>
      <c r="WGI88" s="317"/>
      <c r="WGJ88" s="317"/>
      <c r="WGK88" s="317"/>
      <c r="WGL88" s="317"/>
      <c r="WGM88" s="317"/>
      <c r="WGN88" s="317"/>
      <c r="WGO88" s="317"/>
      <c r="WGP88" s="317"/>
      <c r="WGQ88" s="317"/>
      <c r="WGR88" s="317"/>
      <c r="WGS88" s="317"/>
      <c r="WGT88" s="317"/>
      <c r="WGU88" s="317"/>
      <c r="WGV88" s="317"/>
      <c r="WGW88" s="317"/>
      <c r="WGX88" s="317"/>
      <c r="WGY88" s="317"/>
      <c r="WGZ88" s="317"/>
      <c r="WHA88" s="317"/>
      <c r="WHB88" s="317"/>
      <c r="WHC88" s="317"/>
      <c r="WHD88" s="317"/>
      <c r="WHE88" s="317"/>
      <c r="WHF88" s="317"/>
      <c r="WHG88" s="317"/>
      <c r="WHH88" s="317"/>
      <c r="WHI88" s="317"/>
      <c r="WHJ88" s="317"/>
      <c r="WHK88" s="317"/>
      <c r="WHL88" s="317"/>
      <c r="WHM88" s="317"/>
      <c r="WHN88" s="317"/>
      <c r="WHO88" s="317"/>
      <c r="WHP88" s="317"/>
      <c r="WHQ88" s="317"/>
      <c r="WHR88" s="317"/>
      <c r="WHS88" s="317"/>
      <c r="WHT88" s="317"/>
      <c r="WHU88" s="317"/>
      <c r="WHV88" s="317"/>
      <c r="WHW88" s="317"/>
      <c r="WHX88" s="317"/>
      <c r="WHY88" s="317"/>
      <c r="WHZ88" s="317"/>
      <c r="WIA88" s="317"/>
      <c r="WIB88" s="317"/>
      <c r="WIC88" s="317"/>
      <c r="WID88" s="317"/>
      <c r="WIE88" s="317"/>
      <c r="WIF88" s="317"/>
      <c r="WIG88" s="317"/>
      <c r="WIH88" s="317"/>
      <c r="WII88" s="317"/>
      <c r="WIJ88" s="317"/>
      <c r="WIK88" s="317"/>
      <c r="WIL88" s="317"/>
      <c r="WIM88" s="317"/>
      <c r="WIN88" s="317"/>
      <c r="WIO88" s="317"/>
      <c r="WIP88" s="317"/>
      <c r="WIQ88" s="317"/>
      <c r="WIR88" s="317"/>
      <c r="WIS88" s="317"/>
      <c r="WIT88" s="317"/>
      <c r="WIU88" s="317"/>
      <c r="WIV88" s="317"/>
      <c r="WIW88" s="317"/>
      <c r="WIX88" s="317"/>
      <c r="WIY88" s="317"/>
      <c r="WIZ88" s="317"/>
      <c r="WJA88" s="317"/>
      <c r="WJB88" s="317"/>
      <c r="WJC88" s="317"/>
      <c r="WJD88" s="317"/>
      <c r="WJE88" s="317"/>
      <c r="WJF88" s="317"/>
      <c r="WJG88" s="317"/>
      <c r="WJH88" s="317"/>
      <c r="WJI88" s="317"/>
      <c r="WJJ88" s="317"/>
      <c r="WJK88" s="317"/>
      <c r="WJL88" s="317"/>
      <c r="WJM88" s="317"/>
      <c r="WJN88" s="317"/>
      <c r="WJO88" s="317"/>
      <c r="WJP88" s="317"/>
      <c r="WJQ88" s="317"/>
      <c r="WJR88" s="317"/>
      <c r="WJS88" s="317"/>
      <c r="WJT88" s="317"/>
      <c r="WJU88" s="317"/>
      <c r="WJV88" s="317"/>
      <c r="WJW88" s="317"/>
      <c r="WJX88" s="317"/>
      <c r="WJY88" s="317"/>
      <c r="WJZ88" s="317"/>
      <c r="WKA88" s="317"/>
      <c r="WKB88" s="317"/>
      <c r="WKC88" s="317"/>
      <c r="WKD88" s="317"/>
      <c r="WKE88" s="317"/>
      <c r="WKF88" s="317"/>
      <c r="WKG88" s="317"/>
      <c r="WKH88" s="317"/>
      <c r="WKI88" s="317"/>
      <c r="WKJ88" s="317"/>
      <c r="WKK88" s="317"/>
      <c r="WKL88" s="317"/>
      <c r="WKM88" s="317"/>
      <c r="WKN88" s="317"/>
      <c r="WKO88" s="317"/>
      <c r="WKP88" s="317"/>
      <c r="WKQ88" s="317"/>
      <c r="WKR88" s="317"/>
      <c r="WKS88" s="317"/>
      <c r="WKT88" s="317"/>
      <c r="WKU88" s="317"/>
      <c r="WKV88" s="317"/>
      <c r="WKW88" s="317"/>
      <c r="WKX88" s="317"/>
      <c r="WKY88" s="317"/>
      <c r="WKZ88" s="317"/>
      <c r="WLA88" s="317"/>
      <c r="WLB88" s="317"/>
      <c r="WLC88" s="317"/>
      <c r="WLD88" s="317"/>
      <c r="WLE88" s="317"/>
      <c r="WLF88" s="317"/>
      <c r="WLG88" s="317"/>
      <c r="WLH88" s="317"/>
      <c r="WLI88" s="317"/>
      <c r="WLJ88" s="317"/>
      <c r="WLK88" s="317"/>
      <c r="WLL88" s="317"/>
      <c r="WLM88" s="317"/>
      <c r="WLN88" s="317"/>
      <c r="WLO88" s="317"/>
      <c r="WLP88" s="317"/>
      <c r="WLQ88" s="317"/>
      <c r="WLR88" s="317"/>
      <c r="WLS88" s="317"/>
      <c r="WLT88" s="317"/>
      <c r="WLU88" s="317"/>
      <c r="WLV88" s="317"/>
      <c r="WLW88" s="317"/>
      <c r="WLX88" s="317"/>
      <c r="WLY88" s="317"/>
      <c r="WLZ88" s="317"/>
      <c r="WMA88" s="317"/>
      <c r="WMB88" s="317"/>
      <c r="WMC88" s="317"/>
      <c r="WMD88" s="317"/>
      <c r="WME88" s="317"/>
      <c r="WMF88" s="317"/>
      <c r="WMG88" s="317"/>
      <c r="WMH88" s="317"/>
      <c r="WMI88" s="317"/>
      <c r="WMJ88" s="317"/>
      <c r="WMK88" s="317"/>
      <c r="WML88" s="317"/>
      <c r="WMM88" s="317"/>
      <c r="WMN88" s="317"/>
      <c r="WMO88" s="317"/>
      <c r="WMP88" s="317"/>
      <c r="WMQ88" s="317"/>
      <c r="WMR88" s="317"/>
      <c r="WMS88" s="317"/>
      <c r="WMT88" s="317"/>
      <c r="WMU88" s="317"/>
      <c r="WMV88" s="317"/>
      <c r="WMW88" s="317"/>
      <c r="WMX88" s="317"/>
      <c r="WMY88" s="317"/>
      <c r="WMZ88" s="317"/>
      <c r="WNA88" s="317"/>
      <c r="WNB88" s="317"/>
      <c r="WNC88" s="317"/>
      <c r="WND88" s="317"/>
      <c r="WNE88" s="317"/>
      <c r="WNF88" s="317"/>
      <c r="WNG88" s="317"/>
      <c r="WNH88" s="317"/>
      <c r="WNI88" s="317"/>
      <c r="WNJ88" s="317"/>
      <c r="WNK88" s="317"/>
      <c r="WNL88" s="317"/>
      <c r="WNM88" s="317"/>
      <c r="WNN88" s="317"/>
      <c r="WNO88" s="317"/>
      <c r="WNP88" s="317"/>
      <c r="WNQ88" s="317"/>
      <c r="WNR88" s="317"/>
      <c r="WNS88" s="317"/>
      <c r="WNT88" s="317"/>
      <c r="WNU88" s="317"/>
      <c r="WNV88" s="317"/>
      <c r="WNW88" s="317"/>
      <c r="WNX88" s="317"/>
      <c r="WNY88" s="317"/>
      <c r="WNZ88" s="317"/>
      <c r="WOA88" s="317"/>
      <c r="WOB88" s="317"/>
      <c r="WOC88" s="317"/>
      <c r="WOD88" s="317"/>
      <c r="WOE88" s="317"/>
      <c r="WOF88" s="317"/>
      <c r="WOG88" s="317"/>
      <c r="WOH88" s="317"/>
      <c r="WOI88" s="317"/>
      <c r="WOJ88" s="317"/>
      <c r="WOK88" s="317"/>
      <c r="WOL88" s="317"/>
      <c r="WOM88" s="317"/>
      <c r="WON88" s="317"/>
      <c r="WOO88" s="317"/>
      <c r="WOP88" s="317"/>
      <c r="WOQ88" s="317"/>
      <c r="WOR88" s="317"/>
      <c r="WOS88" s="317"/>
      <c r="WOT88" s="317"/>
      <c r="WOU88" s="317"/>
      <c r="WOV88" s="317"/>
      <c r="WOW88" s="317"/>
      <c r="WOX88" s="317"/>
      <c r="WOY88" s="317"/>
      <c r="WOZ88" s="317"/>
      <c r="WPA88" s="317"/>
      <c r="WPB88" s="317"/>
      <c r="WPC88" s="317"/>
      <c r="WPD88" s="317"/>
      <c r="WPE88" s="317"/>
      <c r="WPF88" s="317"/>
      <c r="WPG88" s="317"/>
      <c r="WPH88" s="317"/>
      <c r="WPI88" s="317"/>
      <c r="WPJ88" s="317"/>
      <c r="WPK88" s="317"/>
      <c r="WPL88" s="317"/>
      <c r="WPM88" s="317"/>
      <c r="WPN88" s="317"/>
      <c r="WPO88" s="317"/>
      <c r="WPP88" s="317"/>
      <c r="WPQ88" s="317"/>
      <c r="WPR88" s="317"/>
      <c r="WPS88" s="317"/>
      <c r="WPT88" s="317"/>
      <c r="WPU88" s="317"/>
      <c r="WPV88" s="317"/>
      <c r="WPW88" s="317"/>
      <c r="WPX88" s="317"/>
      <c r="WPY88" s="317"/>
      <c r="WPZ88" s="317"/>
      <c r="WQA88" s="317"/>
      <c r="WQB88" s="317"/>
      <c r="WQC88" s="317"/>
      <c r="WQD88" s="317"/>
      <c r="WQE88" s="317"/>
      <c r="WQF88" s="317"/>
      <c r="WQG88" s="317"/>
      <c r="WQH88" s="317"/>
      <c r="WQI88" s="317"/>
      <c r="WQJ88" s="317"/>
      <c r="WQK88" s="317"/>
      <c r="WQL88" s="317"/>
      <c r="WQM88" s="317"/>
      <c r="WQN88" s="317"/>
      <c r="WQO88" s="317"/>
      <c r="WQP88" s="317"/>
      <c r="WQQ88" s="317"/>
      <c r="WQR88" s="317"/>
      <c r="WQS88" s="317"/>
      <c r="WQT88" s="317"/>
      <c r="WQU88" s="317"/>
      <c r="WQV88" s="317"/>
      <c r="WQW88" s="317"/>
      <c r="WQX88" s="317"/>
      <c r="WQY88" s="317"/>
      <c r="WQZ88" s="317"/>
      <c r="WRA88" s="317"/>
      <c r="WRB88" s="317"/>
      <c r="WRC88" s="317"/>
      <c r="WRD88" s="317"/>
      <c r="WRE88" s="317"/>
      <c r="WRF88" s="317"/>
      <c r="WRG88" s="317"/>
      <c r="WRH88" s="317"/>
      <c r="WRI88" s="317"/>
      <c r="WRJ88" s="317"/>
      <c r="WRK88" s="317"/>
      <c r="WRL88" s="317"/>
      <c r="WRM88" s="317"/>
      <c r="WRN88" s="317"/>
      <c r="WRO88" s="317"/>
      <c r="WRP88" s="317"/>
      <c r="WRQ88" s="317"/>
      <c r="WRR88" s="317"/>
      <c r="WRS88" s="317"/>
      <c r="WRT88" s="317"/>
      <c r="WRU88" s="317"/>
      <c r="WRV88" s="317"/>
      <c r="WRW88" s="317"/>
      <c r="WRX88" s="317"/>
      <c r="WRY88" s="317"/>
      <c r="WRZ88" s="317"/>
      <c r="WSA88" s="317"/>
      <c r="WSB88" s="317"/>
      <c r="WSC88" s="317"/>
      <c r="WSD88" s="317"/>
      <c r="WSE88" s="317"/>
      <c r="WSF88" s="317"/>
      <c r="WSG88" s="317"/>
      <c r="WSH88" s="317"/>
      <c r="WSI88" s="317"/>
      <c r="WSJ88" s="317"/>
      <c r="WSK88" s="317"/>
      <c r="WSL88" s="317"/>
      <c r="WSM88" s="317"/>
      <c r="WSN88" s="317"/>
      <c r="WSO88" s="317"/>
      <c r="WSP88" s="317"/>
      <c r="WSQ88" s="317"/>
      <c r="WSR88" s="317"/>
      <c r="WSS88" s="317"/>
      <c r="WST88" s="317"/>
      <c r="WSU88" s="317"/>
      <c r="WSV88" s="317"/>
      <c r="WSW88" s="317"/>
      <c r="WSX88" s="317"/>
      <c r="WSY88" s="317"/>
      <c r="WSZ88" s="317"/>
      <c r="WTA88" s="317"/>
      <c r="WTB88" s="317"/>
      <c r="WTC88" s="317"/>
      <c r="WTD88" s="317"/>
      <c r="WTE88" s="317"/>
      <c r="WTF88" s="317"/>
      <c r="WTG88" s="317"/>
      <c r="WTH88" s="317"/>
      <c r="WTI88" s="317"/>
      <c r="WTJ88" s="317"/>
      <c r="WTK88" s="317"/>
      <c r="WTL88" s="317"/>
      <c r="WTM88" s="317"/>
      <c r="WTN88" s="317"/>
      <c r="WTO88" s="317"/>
      <c r="WTP88" s="317"/>
      <c r="WTQ88" s="317"/>
      <c r="WTR88" s="317"/>
      <c r="WTS88" s="317"/>
      <c r="WTT88" s="317"/>
      <c r="WTU88" s="317"/>
      <c r="WTV88" s="317"/>
      <c r="WTW88" s="317"/>
      <c r="WTX88" s="317"/>
      <c r="WTY88" s="317"/>
      <c r="WTZ88" s="317"/>
      <c r="WUA88" s="317"/>
      <c r="WUB88" s="317"/>
      <c r="WUC88" s="317"/>
      <c r="WUD88" s="317"/>
      <c r="WUE88" s="317"/>
      <c r="WUF88" s="317"/>
      <c r="WUG88" s="317"/>
      <c r="WUH88" s="317"/>
      <c r="WUI88" s="317"/>
      <c r="WUJ88" s="317"/>
      <c r="WUK88" s="317"/>
      <c r="WUL88" s="317"/>
      <c r="WUM88" s="317"/>
      <c r="WUN88" s="317"/>
      <c r="WUO88" s="317"/>
      <c r="WUP88" s="317"/>
      <c r="WUQ88" s="317"/>
      <c r="WUR88" s="317"/>
      <c r="WUS88" s="317"/>
      <c r="WUT88" s="317"/>
      <c r="WUU88" s="317"/>
      <c r="WUV88" s="317"/>
      <c r="WUW88" s="317"/>
      <c r="WUX88" s="317"/>
      <c r="WUY88" s="317"/>
      <c r="WUZ88" s="317"/>
      <c r="WVA88" s="317"/>
      <c r="WVB88" s="317"/>
      <c r="WVC88" s="317"/>
      <c r="WVD88" s="317"/>
      <c r="WVE88" s="317"/>
      <c r="WVF88" s="317"/>
      <c r="WVG88" s="317"/>
      <c r="WVH88" s="317"/>
      <c r="WVI88" s="317"/>
      <c r="WVJ88" s="317"/>
      <c r="WVK88" s="317"/>
      <c r="WVL88" s="317"/>
      <c r="WVM88" s="317"/>
      <c r="WVN88" s="317"/>
      <c r="WVO88" s="317"/>
      <c r="WVP88" s="317"/>
      <c r="WVQ88" s="317"/>
      <c r="WVR88" s="317"/>
      <c r="WVS88" s="317"/>
      <c r="WVT88" s="317"/>
      <c r="WVU88" s="317"/>
      <c r="WVV88" s="317"/>
      <c r="WVW88" s="317"/>
      <c r="WVX88" s="317"/>
      <c r="WVY88" s="317"/>
      <c r="WVZ88" s="317"/>
      <c r="WWA88" s="317"/>
      <c r="WWB88" s="317"/>
      <c r="WWC88" s="317"/>
      <c r="WWD88" s="317"/>
      <c r="WWE88" s="317"/>
      <c r="WWF88" s="317"/>
      <c r="WWG88" s="317"/>
      <c r="WWH88" s="317"/>
      <c r="WWI88" s="317"/>
      <c r="WWJ88" s="317"/>
      <c r="WWK88" s="317"/>
      <c r="WWL88" s="317"/>
      <c r="WWM88" s="317"/>
      <c r="WWN88" s="317"/>
      <c r="WWO88" s="317"/>
      <c r="WWP88" s="317"/>
      <c r="WWQ88" s="317"/>
      <c r="WWR88" s="317"/>
      <c r="WWS88" s="317"/>
      <c r="WWT88" s="317"/>
      <c r="WWU88" s="317"/>
      <c r="WWV88" s="317"/>
      <c r="WWW88" s="317"/>
      <c r="WWX88" s="317"/>
      <c r="WWY88" s="317"/>
      <c r="WWZ88" s="317"/>
      <c r="WXA88" s="317"/>
      <c r="WXB88" s="317"/>
      <c r="WXC88" s="317"/>
      <c r="WXD88" s="317"/>
      <c r="WXE88" s="317"/>
      <c r="WXF88" s="317"/>
      <c r="WXG88" s="317"/>
      <c r="WXH88" s="317"/>
      <c r="WXI88" s="317"/>
      <c r="WXJ88" s="317"/>
      <c r="WXK88" s="317"/>
      <c r="WXL88" s="317"/>
      <c r="WXM88" s="317"/>
      <c r="WXN88" s="317"/>
      <c r="WXO88" s="317"/>
      <c r="WXP88" s="317"/>
      <c r="WXQ88" s="317"/>
      <c r="WXR88" s="317"/>
      <c r="WXS88" s="317"/>
      <c r="WXT88" s="317"/>
      <c r="WXU88" s="317"/>
      <c r="WXV88" s="317"/>
      <c r="WXW88" s="317"/>
      <c r="WXX88" s="317"/>
      <c r="WXY88" s="317"/>
      <c r="WXZ88" s="317"/>
      <c r="WYA88" s="317"/>
      <c r="WYB88" s="317"/>
      <c r="WYC88" s="317"/>
      <c r="WYD88" s="317"/>
      <c r="WYE88" s="317"/>
      <c r="WYF88" s="317"/>
      <c r="WYG88" s="317"/>
      <c r="WYH88" s="317"/>
      <c r="WYI88" s="317"/>
      <c r="WYJ88" s="317"/>
      <c r="WYK88" s="317"/>
      <c r="WYL88" s="317"/>
      <c r="WYM88" s="317"/>
      <c r="WYN88" s="317"/>
      <c r="WYO88" s="317"/>
      <c r="WYP88" s="317"/>
      <c r="WYQ88" s="317"/>
      <c r="WYR88" s="317"/>
      <c r="WYS88" s="317"/>
      <c r="WYT88" s="317"/>
      <c r="WYU88" s="317"/>
      <c r="WYV88" s="317"/>
      <c r="WYW88" s="317"/>
      <c r="WYX88" s="317"/>
      <c r="WYY88" s="317"/>
      <c r="WYZ88" s="317"/>
      <c r="WZA88" s="317"/>
      <c r="WZB88" s="317"/>
      <c r="WZC88" s="317"/>
      <c r="WZD88" s="317"/>
      <c r="WZE88" s="317"/>
      <c r="WZF88" s="317"/>
      <c r="WZG88" s="317"/>
      <c r="WZH88" s="317"/>
      <c r="WZI88" s="317"/>
      <c r="WZJ88" s="317"/>
      <c r="WZK88" s="317"/>
      <c r="WZL88" s="317"/>
      <c r="WZM88" s="317"/>
      <c r="WZN88" s="317"/>
      <c r="WZO88" s="317"/>
      <c r="WZP88" s="317"/>
      <c r="WZQ88" s="317"/>
      <c r="WZR88" s="317"/>
      <c r="WZS88" s="317"/>
      <c r="WZT88" s="317"/>
      <c r="WZU88" s="317"/>
      <c r="WZV88" s="317"/>
      <c r="WZW88" s="317"/>
      <c r="WZX88" s="317"/>
      <c r="WZY88" s="317"/>
      <c r="WZZ88" s="317"/>
      <c r="XAA88" s="317"/>
      <c r="XAB88" s="317"/>
      <c r="XAC88" s="317"/>
      <c r="XAD88" s="317"/>
      <c r="XAE88" s="317"/>
      <c r="XAF88" s="317"/>
      <c r="XAG88" s="317"/>
      <c r="XAH88" s="317"/>
      <c r="XAI88" s="317"/>
      <c r="XAJ88" s="317"/>
      <c r="XAK88" s="317"/>
      <c r="XAL88" s="317"/>
      <c r="XAM88" s="317"/>
      <c r="XAN88" s="317"/>
      <c r="XAO88" s="317"/>
      <c r="XAP88" s="317"/>
      <c r="XAQ88" s="317"/>
      <c r="XAR88" s="317"/>
      <c r="XAS88" s="317"/>
      <c r="XAT88" s="317"/>
      <c r="XAU88" s="317"/>
      <c r="XAV88" s="317"/>
      <c r="XAW88" s="317"/>
      <c r="XAX88" s="317"/>
      <c r="XAY88" s="317"/>
      <c r="XAZ88" s="317"/>
      <c r="XBA88" s="317"/>
      <c r="XBB88" s="317"/>
      <c r="XBC88" s="317"/>
      <c r="XBD88" s="317"/>
      <c r="XBE88" s="317"/>
      <c r="XBF88" s="317"/>
      <c r="XBG88" s="317"/>
      <c r="XBH88" s="317"/>
      <c r="XBI88" s="317"/>
      <c r="XBJ88" s="317"/>
      <c r="XBK88" s="317"/>
      <c r="XBL88" s="317"/>
      <c r="XBM88" s="317"/>
      <c r="XBN88" s="317"/>
      <c r="XBO88" s="317"/>
      <c r="XBP88" s="317"/>
      <c r="XBQ88" s="317"/>
      <c r="XBR88" s="317"/>
      <c r="XBS88" s="317"/>
      <c r="XBT88" s="317"/>
      <c r="XBU88" s="317"/>
      <c r="XBV88" s="317"/>
      <c r="XBW88" s="317"/>
      <c r="XBX88" s="317"/>
      <c r="XBY88" s="317"/>
      <c r="XBZ88" s="317"/>
      <c r="XCA88" s="317"/>
      <c r="XCB88" s="317"/>
      <c r="XCC88" s="317"/>
      <c r="XCD88" s="317"/>
      <c r="XCE88" s="317"/>
      <c r="XCF88" s="317"/>
      <c r="XCG88" s="317"/>
      <c r="XCH88" s="317"/>
      <c r="XCI88" s="317"/>
      <c r="XCJ88" s="317"/>
      <c r="XCK88" s="317"/>
      <c r="XCL88" s="317"/>
      <c r="XCM88" s="317"/>
      <c r="XCN88" s="317"/>
      <c r="XCO88" s="317"/>
      <c r="XCP88" s="317"/>
      <c r="XCQ88" s="317"/>
      <c r="XCR88" s="317"/>
      <c r="XCS88" s="317"/>
      <c r="XCT88" s="317"/>
      <c r="XCU88" s="317"/>
      <c r="XCV88" s="317"/>
      <c r="XCW88" s="317"/>
      <c r="XCX88" s="317"/>
      <c r="XCY88" s="317"/>
      <c r="XCZ88" s="317"/>
      <c r="XDA88" s="317"/>
      <c r="XDB88" s="317"/>
      <c r="XDC88" s="317"/>
      <c r="XDD88" s="317"/>
      <c r="XDE88" s="317"/>
      <c r="XDF88" s="317"/>
      <c r="XDG88" s="317"/>
      <c r="XDH88" s="317"/>
      <c r="XDI88" s="317"/>
      <c r="XDJ88" s="317"/>
      <c r="XDK88" s="317"/>
      <c r="XDL88" s="317"/>
      <c r="XDM88" s="317"/>
      <c r="XDN88" s="317"/>
      <c r="XDO88" s="317"/>
      <c r="XDP88" s="317"/>
      <c r="XDQ88" s="317"/>
      <c r="XDR88" s="317"/>
      <c r="XDS88" s="317"/>
      <c r="XDT88" s="317"/>
      <c r="XDU88" s="317"/>
      <c r="XDV88" s="317"/>
      <c r="XDW88" s="317"/>
      <c r="XDX88" s="317"/>
      <c r="XDY88" s="317"/>
      <c r="XDZ88" s="317"/>
      <c r="XEA88" s="317"/>
      <c r="XEB88" s="317"/>
      <c r="XEC88" s="317"/>
      <c r="XED88" s="317"/>
      <c r="XEE88" s="317"/>
      <c r="XEF88" s="317"/>
      <c r="XEG88" s="317"/>
      <c r="XEH88" s="317"/>
      <c r="XEI88" s="317"/>
      <c r="XEJ88" s="317"/>
      <c r="XEK88" s="317"/>
      <c r="XEL88" s="317"/>
      <c r="XEM88" s="317"/>
      <c r="XEN88" s="317"/>
      <c r="XEO88" s="317"/>
      <c r="XEP88" s="317"/>
      <c r="XEQ88" s="317"/>
      <c r="XER88" s="317"/>
      <c r="XES88" s="317"/>
      <c r="XET88" s="317"/>
      <c r="XEU88" s="317"/>
      <c r="XEV88" s="317"/>
      <c r="XEW88" s="317"/>
      <c r="XEX88" s="317"/>
      <c r="XEY88" s="317"/>
      <c r="XEZ88" s="317"/>
      <c r="XFA88" s="317"/>
      <c r="XFB88" s="317"/>
      <c r="XFC88" s="317"/>
      <c r="XFD88" s="317"/>
    </row>
    <row r="89" s="314" customFormat="1" ht="25" customHeight="1" spans="1:74 14505:16384">
      <c r="A89" s="363"/>
      <c r="B89" s="360" t="s">
        <v>111</v>
      </c>
      <c r="I89" s="315"/>
      <c r="O89" s="316"/>
      <c r="P89" s="316"/>
      <c r="V89" s="316"/>
      <c r="W89" s="316"/>
      <c r="X89" s="316"/>
      <c r="Y89" s="316"/>
      <c r="Z89" s="316"/>
      <c r="AA89" s="316"/>
      <c r="AB89" s="316"/>
      <c r="AC89" s="316"/>
      <c r="AD89" s="316"/>
      <c r="AK89" s="316"/>
      <c r="AQ89" s="316"/>
      <c r="AR89" s="316"/>
      <c r="AY89" s="316"/>
      <c r="BE89" s="316"/>
      <c r="BF89" s="316"/>
      <c r="BM89" s="316"/>
      <c r="BS89" s="316">
        <v>2</v>
      </c>
      <c r="BT89" s="316">
        <v>2</v>
      </c>
      <c r="BU89" s="360">
        <v>2</v>
      </c>
      <c r="BV89" s="360">
        <v>2</v>
      </c>
      <c r="UKW89" s="317"/>
      <c r="UKX89" s="317"/>
      <c r="UKY89" s="317"/>
      <c r="UKZ89" s="317"/>
      <c r="ULA89" s="317"/>
      <c r="ULB89" s="317"/>
      <c r="ULC89" s="317"/>
      <c r="ULD89" s="317"/>
      <c r="ULE89" s="317"/>
      <c r="ULF89" s="317"/>
      <c r="ULG89" s="317"/>
      <c r="ULH89" s="317"/>
      <c r="ULI89" s="317"/>
      <c r="ULJ89" s="317"/>
      <c r="ULK89" s="317"/>
      <c r="ULL89" s="317"/>
      <c r="ULM89" s="317"/>
      <c r="ULN89" s="317"/>
      <c r="ULO89" s="317"/>
      <c r="ULP89" s="317"/>
      <c r="ULQ89" s="317"/>
      <c r="ULR89" s="317"/>
      <c r="ULS89" s="317"/>
      <c r="ULT89" s="317"/>
      <c r="ULU89" s="317"/>
      <c r="ULV89" s="317"/>
      <c r="ULW89" s="317"/>
      <c r="ULX89" s="317"/>
      <c r="ULY89" s="317"/>
      <c r="ULZ89" s="317"/>
      <c r="UMA89" s="317"/>
      <c r="UMB89" s="317"/>
      <c r="UMC89" s="317"/>
      <c r="UMD89" s="317"/>
      <c r="UME89" s="317"/>
      <c r="UMF89" s="317"/>
      <c r="UMG89" s="317"/>
      <c r="UMH89" s="317"/>
      <c r="UMI89" s="317"/>
      <c r="UMJ89" s="317"/>
      <c r="UMK89" s="317"/>
      <c r="UML89" s="317"/>
      <c r="UMM89" s="317"/>
      <c r="UMN89" s="317"/>
      <c r="UMO89" s="317"/>
      <c r="UMP89" s="317"/>
      <c r="UMQ89" s="317"/>
      <c r="UMR89" s="317"/>
      <c r="UMS89" s="317"/>
      <c r="UMT89" s="317"/>
      <c r="UMU89" s="317"/>
      <c r="UMV89" s="317"/>
      <c r="UMW89" s="317"/>
      <c r="UMX89" s="317"/>
      <c r="UMY89" s="317"/>
      <c r="UMZ89" s="317"/>
      <c r="UNA89" s="317"/>
      <c r="UNB89" s="317"/>
      <c r="UNC89" s="317"/>
      <c r="UND89" s="317"/>
      <c r="UNE89" s="317"/>
      <c r="UNF89" s="317"/>
      <c r="UNG89" s="317"/>
      <c r="UNH89" s="317"/>
      <c r="UNI89" s="317"/>
      <c r="UNJ89" s="317"/>
      <c r="UNK89" s="317"/>
      <c r="UNL89" s="317"/>
      <c r="UNM89" s="317"/>
      <c r="UNN89" s="317"/>
      <c r="UNO89" s="317"/>
      <c r="UNP89" s="317"/>
      <c r="UNQ89" s="317"/>
      <c r="UNR89" s="317"/>
      <c r="UNS89" s="317"/>
      <c r="UNT89" s="317"/>
      <c r="UNU89" s="317"/>
      <c r="UNV89" s="317"/>
      <c r="UNW89" s="317"/>
      <c r="UNX89" s="317"/>
      <c r="UNY89" s="317"/>
      <c r="UNZ89" s="317"/>
      <c r="UOA89" s="317"/>
      <c r="UOB89" s="317"/>
      <c r="UOC89" s="317"/>
      <c r="UOD89" s="317"/>
      <c r="UOE89" s="317"/>
      <c r="UOF89" s="317"/>
      <c r="UOG89" s="317"/>
      <c r="UOH89" s="317"/>
      <c r="UOI89" s="317"/>
      <c r="UOJ89" s="317"/>
      <c r="UOK89" s="317"/>
      <c r="UOL89" s="317"/>
      <c r="UOM89" s="317"/>
      <c r="UON89" s="317"/>
      <c r="UOO89" s="317"/>
      <c r="UOP89" s="317"/>
      <c r="UOQ89" s="317"/>
      <c r="UOR89" s="317"/>
      <c r="UOS89" s="317"/>
      <c r="UOT89" s="317"/>
      <c r="UOU89" s="317"/>
      <c r="UOV89" s="317"/>
      <c r="UOW89" s="317"/>
      <c r="UOX89" s="317"/>
      <c r="UOY89" s="317"/>
      <c r="UOZ89" s="317"/>
      <c r="UPA89" s="317"/>
      <c r="UPB89" s="317"/>
      <c r="UPC89" s="317"/>
      <c r="UPD89" s="317"/>
      <c r="UPE89" s="317"/>
      <c r="UPF89" s="317"/>
      <c r="UPG89" s="317"/>
      <c r="UPH89" s="317"/>
      <c r="UPI89" s="317"/>
      <c r="UPJ89" s="317"/>
      <c r="UPK89" s="317"/>
      <c r="UPL89" s="317"/>
      <c r="UPM89" s="317"/>
      <c r="UPN89" s="317"/>
      <c r="UPO89" s="317"/>
      <c r="UPP89" s="317"/>
      <c r="UPQ89" s="317"/>
      <c r="UPR89" s="317"/>
      <c r="UPS89" s="317"/>
      <c r="UPT89" s="317"/>
      <c r="UPU89" s="317"/>
      <c r="UPV89" s="317"/>
      <c r="UPW89" s="317"/>
      <c r="UPX89" s="317"/>
      <c r="UPY89" s="317"/>
      <c r="UPZ89" s="317"/>
      <c r="UQA89" s="317"/>
      <c r="UQB89" s="317"/>
      <c r="UQC89" s="317"/>
      <c r="UQD89" s="317"/>
      <c r="UQE89" s="317"/>
      <c r="UQF89" s="317"/>
      <c r="UQG89" s="317"/>
      <c r="UQH89" s="317"/>
      <c r="UQI89" s="317"/>
      <c r="UQJ89" s="317"/>
      <c r="UQK89" s="317"/>
      <c r="UQL89" s="317"/>
      <c r="UQM89" s="317"/>
      <c r="UQN89" s="317"/>
      <c r="UQO89" s="317"/>
      <c r="UQP89" s="317"/>
      <c r="UQQ89" s="317"/>
      <c r="UQR89" s="317"/>
      <c r="UQS89" s="317"/>
      <c r="UQT89" s="317"/>
      <c r="UQU89" s="317"/>
      <c r="UQV89" s="317"/>
      <c r="UQW89" s="317"/>
      <c r="UQX89" s="317"/>
      <c r="UQY89" s="317"/>
      <c r="UQZ89" s="317"/>
      <c r="URA89" s="317"/>
      <c r="URB89" s="317"/>
      <c r="URC89" s="317"/>
      <c r="URD89" s="317"/>
      <c r="URE89" s="317"/>
      <c r="URF89" s="317"/>
      <c r="URG89" s="317"/>
      <c r="URH89" s="317"/>
      <c r="URI89" s="317"/>
      <c r="URJ89" s="317"/>
      <c r="URK89" s="317"/>
      <c r="URL89" s="317"/>
      <c r="URM89" s="317"/>
      <c r="URN89" s="317"/>
      <c r="URO89" s="317"/>
      <c r="URP89" s="317"/>
      <c r="URQ89" s="317"/>
      <c r="URR89" s="317"/>
      <c r="URS89" s="317"/>
      <c r="URT89" s="317"/>
      <c r="URU89" s="317"/>
      <c r="URV89" s="317"/>
      <c r="URW89" s="317"/>
      <c r="URX89" s="317"/>
      <c r="URY89" s="317"/>
      <c r="URZ89" s="317"/>
      <c r="USA89" s="317"/>
      <c r="USB89" s="317"/>
      <c r="USC89" s="317"/>
      <c r="USD89" s="317"/>
      <c r="USE89" s="317"/>
      <c r="USF89" s="317"/>
      <c r="USG89" s="317"/>
      <c r="USH89" s="317"/>
      <c r="USI89" s="317"/>
      <c r="USJ89" s="317"/>
      <c r="USK89" s="317"/>
      <c r="USL89" s="317"/>
      <c r="USM89" s="317"/>
      <c r="USN89" s="317"/>
      <c r="USO89" s="317"/>
      <c r="USP89" s="317"/>
      <c r="USQ89" s="317"/>
      <c r="USR89" s="317"/>
      <c r="USS89" s="317"/>
      <c r="UST89" s="317"/>
      <c r="USU89" s="317"/>
      <c r="USV89" s="317"/>
      <c r="USW89" s="317"/>
      <c r="USX89" s="317"/>
      <c r="USY89" s="317"/>
      <c r="USZ89" s="317"/>
      <c r="UTA89" s="317"/>
      <c r="UTB89" s="317"/>
      <c r="UTC89" s="317"/>
      <c r="UTD89" s="317"/>
      <c r="UTE89" s="317"/>
      <c r="UTF89" s="317"/>
      <c r="UTG89" s="317"/>
      <c r="UTH89" s="317"/>
      <c r="UTI89" s="317"/>
      <c r="UTJ89" s="317"/>
      <c r="UTK89" s="317"/>
      <c r="UTL89" s="317"/>
      <c r="UTM89" s="317"/>
      <c r="UTN89" s="317"/>
      <c r="UTO89" s="317"/>
      <c r="UTP89" s="317"/>
      <c r="UTQ89" s="317"/>
      <c r="UTR89" s="317"/>
      <c r="UTS89" s="317"/>
      <c r="UTT89" s="317"/>
      <c r="UTU89" s="317"/>
      <c r="UTV89" s="317"/>
      <c r="UTW89" s="317"/>
      <c r="UTX89" s="317"/>
      <c r="UTY89" s="317"/>
      <c r="UTZ89" s="317"/>
      <c r="UUA89" s="317"/>
      <c r="UUB89" s="317"/>
      <c r="UUC89" s="317"/>
      <c r="UUD89" s="317"/>
      <c r="UUE89" s="317"/>
      <c r="UUF89" s="317"/>
      <c r="UUG89" s="317"/>
      <c r="UUH89" s="317"/>
      <c r="UUI89" s="317"/>
      <c r="UUJ89" s="317"/>
      <c r="UUK89" s="317"/>
      <c r="UUL89" s="317"/>
      <c r="UUM89" s="317"/>
      <c r="UUN89" s="317"/>
      <c r="UUO89" s="317"/>
      <c r="UUP89" s="317"/>
      <c r="UUQ89" s="317"/>
      <c r="UUR89" s="317"/>
      <c r="UUS89" s="317"/>
      <c r="UUT89" s="317"/>
      <c r="UUU89" s="317"/>
      <c r="UUV89" s="317"/>
      <c r="UUW89" s="317"/>
      <c r="UUX89" s="317"/>
      <c r="UUY89" s="317"/>
      <c r="UUZ89" s="317"/>
      <c r="UVA89" s="317"/>
      <c r="UVB89" s="317"/>
      <c r="UVC89" s="317"/>
      <c r="UVD89" s="317"/>
      <c r="UVE89" s="317"/>
      <c r="UVF89" s="317"/>
      <c r="UVG89" s="317"/>
      <c r="UVH89" s="317"/>
      <c r="UVI89" s="317"/>
      <c r="UVJ89" s="317"/>
      <c r="UVK89" s="317"/>
      <c r="UVL89" s="317"/>
      <c r="UVM89" s="317"/>
      <c r="UVN89" s="317"/>
      <c r="UVO89" s="317"/>
      <c r="UVP89" s="317"/>
      <c r="UVQ89" s="317"/>
      <c r="UVR89" s="317"/>
      <c r="UVS89" s="317"/>
      <c r="UVT89" s="317"/>
      <c r="UVU89" s="317"/>
      <c r="UVV89" s="317"/>
      <c r="UVW89" s="317"/>
      <c r="UVX89" s="317"/>
      <c r="UVY89" s="317"/>
      <c r="UVZ89" s="317"/>
      <c r="UWA89" s="317"/>
      <c r="UWB89" s="317"/>
      <c r="UWC89" s="317"/>
      <c r="UWD89" s="317"/>
      <c r="UWE89" s="317"/>
      <c r="UWF89" s="317"/>
      <c r="UWG89" s="317"/>
      <c r="UWH89" s="317"/>
      <c r="UWI89" s="317"/>
      <c r="UWJ89" s="317"/>
      <c r="UWK89" s="317"/>
      <c r="UWL89" s="317"/>
      <c r="UWM89" s="317"/>
      <c r="UWN89" s="317"/>
      <c r="UWO89" s="317"/>
      <c r="UWP89" s="317"/>
      <c r="UWQ89" s="317"/>
      <c r="UWR89" s="317"/>
      <c r="UWS89" s="317"/>
      <c r="UWT89" s="317"/>
      <c r="UWU89" s="317"/>
      <c r="UWV89" s="317"/>
      <c r="UWW89" s="317"/>
      <c r="UWX89" s="317"/>
      <c r="UWY89" s="317"/>
      <c r="UWZ89" s="317"/>
      <c r="UXA89" s="317"/>
      <c r="UXB89" s="317"/>
      <c r="UXC89" s="317"/>
      <c r="UXD89" s="317"/>
      <c r="UXE89" s="317"/>
      <c r="UXF89" s="317"/>
      <c r="UXG89" s="317"/>
      <c r="UXH89" s="317"/>
      <c r="UXI89" s="317"/>
      <c r="UXJ89" s="317"/>
      <c r="UXK89" s="317"/>
      <c r="UXL89" s="317"/>
      <c r="UXM89" s="317"/>
      <c r="UXN89" s="317"/>
      <c r="UXO89" s="317"/>
      <c r="UXP89" s="317"/>
      <c r="UXQ89" s="317"/>
      <c r="UXR89" s="317"/>
      <c r="UXS89" s="317"/>
      <c r="UXT89" s="317"/>
      <c r="UXU89" s="317"/>
      <c r="UXV89" s="317"/>
      <c r="UXW89" s="317"/>
      <c r="UXX89" s="317"/>
      <c r="UXY89" s="317"/>
      <c r="UXZ89" s="317"/>
      <c r="UYA89" s="317"/>
      <c r="UYB89" s="317"/>
      <c r="UYC89" s="317"/>
      <c r="UYD89" s="317"/>
      <c r="UYE89" s="317"/>
      <c r="UYF89" s="317"/>
      <c r="UYG89" s="317"/>
      <c r="UYH89" s="317"/>
      <c r="UYI89" s="317"/>
      <c r="UYJ89" s="317"/>
      <c r="UYK89" s="317"/>
      <c r="UYL89" s="317"/>
      <c r="UYM89" s="317"/>
      <c r="UYN89" s="317"/>
      <c r="UYO89" s="317"/>
      <c r="UYP89" s="317"/>
      <c r="UYQ89" s="317"/>
      <c r="UYR89" s="317"/>
      <c r="UYS89" s="317"/>
      <c r="UYT89" s="317"/>
      <c r="UYU89" s="317"/>
      <c r="UYV89" s="317"/>
      <c r="UYW89" s="317"/>
      <c r="UYX89" s="317"/>
      <c r="UYY89" s="317"/>
      <c r="UYZ89" s="317"/>
      <c r="UZA89" s="317"/>
      <c r="UZB89" s="317"/>
      <c r="UZC89" s="317"/>
      <c r="UZD89" s="317"/>
      <c r="UZE89" s="317"/>
      <c r="UZF89" s="317"/>
      <c r="UZG89" s="317"/>
      <c r="UZH89" s="317"/>
      <c r="UZI89" s="317"/>
      <c r="UZJ89" s="317"/>
      <c r="UZK89" s="317"/>
      <c r="UZL89" s="317"/>
      <c r="UZM89" s="317"/>
      <c r="UZN89" s="317"/>
      <c r="UZO89" s="317"/>
      <c r="UZP89" s="317"/>
      <c r="UZQ89" s="317"/>
      <c r="UZR89" s="317"/>
      <c r="UZS89" s="317"/>
      <c r="UZT89" s="317"/>
      <c r="UZU89" s="317"/>
      <c r="UZV89" s="317"/>
      <c r="UZW89" s="317"/>
      <c r="UZX89" s="317"/>
      <c r="UZY89" s="317"/>
      <c r="UZZ89" s="317"/>
      <c r="VAA89" s="317"/>
      <c r="VAB89" s="317"/>
      <c r="VAC89" s="317"/>
      <c r="VAD89" s="317"/>
      <c r="VAE89" s="317"/>
      <c r="VAF89" s="317"/>
      <c r="VAG89" s="317"/>
      <c r="VAH89" s="317"/>
      <c r="VAI89" s="317"/>
      <c r="VAJ89" s="317"/>
      <c r="VAK89" s="317"/>
      <c r="VAL89" s="317"/>
      <c r="VAM89" s="317"/>
      <c r="VAN89" s="317"/>
      <c r="VAO89" s="317"/>
      <c r="VAP89" s="317"/>
      <c r="VAQ89" s="317"/>
      <c r="VAR89" s="317"/>
      <c r="VAS89" s="317"/>
      <c r="VAT89" s="317"/>
      <c r="VAU89" s="317"/>
      <c r="VAV89" s="317"/>
      <c r="VAW89" s="317"/>
      <c r="VAX89" s="317"/>
      <c r="VAY89" s="317"/>
      <c r="VAZ89" s="317"/>
      <c r="VBA89" s="317"/>
      <c r="VBB89" s="317"/>
      <c r="VBC89" s="317"/>
      <c r="VBD89" s="317"/>
      <c r="VBE89" s="317"/>
      <c r="VBF89" s="317"/>
      <c r="VBG89" s="317"/>
      <c r="VBH89" s="317"/>
      <c r="VBI89" s="317"/>
      <c r="VBJ89" s="317"/>
      <c r="VBK89" s="317"/>
      <c r="VBL89" s="317"/>
      <c r="VBM89" s="317"/>
      <c r="VBN89" s="317"/>
      <c r="VBO89" s="317"/>
      <c r="VBP89" s="317"/>
      <c r="VBQ89" s="317"/>
      <c r="VBR89" s="317"/>
      <c r="VBS89" s="317"/>
      <c r="VBT89" s="317"/>
      <c r="VBU89" s="317"/>
      <c r="VBV89" s="317"/>
      <c r="VBW89" s="317"/>
      <c r="VBX89" s="317"/>
      <c r="VBY89" s="317"/>
      <c r="VBZ89" s="317"/>
      <c r="VCA89" s="317"/>
      <c r="VCB89" s="317"/>
      <c r="VCC89" s="317"/>
      <c r="VCD89" s="317"/>
      <c r="VCE89" s="317"/>
      <c r="VCF89" s="317"/>
      <c r="VCG89" s="317"/>
      <c r="VCH89" s="317"/>
      <c r="VCI89" s="317"/>
      <c r="VCJ89" s="317"/>
      <c r="VCK89" s="317"/>
      <c r="VCL89" s="317"/>
      <c r="VCM89" s="317"/>
      <c r="VCN89" s="317"/>
      <c r="VCO89" s="317"/>
      <c r="VCP89" s="317"/>
      <c r="VCQ89" s="317"/>
      <c r="VCR89" s="317"/>
      <c r="VCS89" s="317"/>
      <c r="VCT89" s="317"/>
      <c r="VCU89" s="317"/>
      <c r="VCV89" s="317"/>
      <c r="VCW89" s="317"/>
      <c r="VCX89" s="317"/>
      <c r="VCY89" s="317"/>
      <c r="VCZ89" s="317"/>
      <c r="VDA89" s="317"/>
      <c r="VDB89" s="317"/>
      <c r="VDC89" s="317"/>
      <c r="VDD89" s="317"/>
      <c r="VDE89" s="317"/>
      <c r="VDF89" s="317"/>
      <c r="VDG89" s="317"/>
      <c r="VDH89" s="317"/>
      <c r="VDI89" s="317"/>
      <c r="VDJ89" s="317"/>
      <c r="VDK89" s="317"/>
      <c r="VDL89" s="317"/>
      <c r="VDM89" s="317"/>
      <c r="VDN89" s="317"/>
      <c r="VDO89" s="317"/>
      <c r="VDP89" s="317"/>
      <c r="VDQ89" s="317"/>
      <c r="VDR89" s="317"/>
      <c r="VDS89" s="317"/>
      <c r="VDT89" s="317"/>
      <c r="VDU89" s="317"/>
      <c r="VDV89" s="317"/>
      <c r="VDW89" s="317"/>
      <c r="VDX89" s="317"/>
      <c r="VDY89" s="317"/>
      <c r="VDZ89" s="317"/>
      <c r="VEA89" s="317"/>
      <c r="VEB89" s="317"/>
      <c r="VEC89" s="317"/>
      <c r="VED89" s="317"/>
      <c r="VEE89" s="317"/>
      <c r="VEF89" s="317"/>
      <c r="VEG89" s="317"/>
      <c r="VEH89" s="317"/>
      <c r="VEI89" s="317"/>
      <c r="VEJ89" s="317"/>
      <c r="VEK89" s="317"/>
      <c r="VEL89" s="317"/>
      <c r="VEM89" s="317"/>
      <c r="VEN89" s="317"/>
      <c r="VEO89" s="317"/>
      <c r="VEP89" s="317"/>
      <c r="VEQ89" s="317"/>
      <c r="VER89" s="317"/>
      <c r="VES89" s="317"/>
      <c r="VET89" s="317"/>
      <c r="VEU89" s="317"/>
      <c r="VEV89" s="317"/>
      <c r="VEW89" s="317"/>
      <c r="VEX89" s="317"/>
      <c r="VEY89" s="317"/>
      <c r="VEZ89" s="317"/>
      <c r="VFA89" s="317"/>
      <c r="VFB89" s="317"/>
      <c r="VFC89" s="317"/>
      <c r="VFD89" s="317"/>
      <c r="VFE89" s="317"/>
      <c r="VFF89" s="317"/>
      <c r="VFG89" s="317"/>
      <c r="VFH89" s="317"/>
      <c r="VFI89" s="317"/>
      <c r="VFJ89" s="317"/>
      <c r="VFK89" s="317"/>
      <c r="VFL89" s="317"/>
      <c r="VFM89" s="317"/>
      <c r="VFN89" s="317"/>
      <c r="VFO89" s="317"/>
      <c r="VFP89" s="317"/>
      <c r="VFQ89" s="317"/>
      <c r="VFR89" s="317"/>
      <c r="VFS89" s="317"/>
      <c r="VFT89" s="317"/>
      <c r="VFU89" s="317"/>
      <c r="VFV89" s="317"/>
      <c r="VFW89" s="317"/>
      <c r="VFX89" s="317"/>
      <c r="VFY89" s="317"/>
      <c r="VFZ89" s="317"/>
      <c r="VGA89" s="317"/>
      <c r="VGB89" s="317"/>
      <c r="VGC89" s="317"/>
      <c r="VGD89" s="317"/>
      <c r="VGE89" s="317"/>
      <c r="VGF89" s="317"/>
      <c r="VGG89" s="317"/>
      <c r="VGH89" s="317"/>
      <c r="VGI89" s="317"/>
      <c r="VGJ89" s="317"/>
      <c r="VGK89" s="317"/>
      <c r="VGL89" s="317"/>
      <c r="VGM89" s="317"/>
      <c r="VGN89" s="317"/>
      <c r="VGO89" s="317"/>
      <c r="VGP89" s="317"/>
      <c r="VGQ89" s="317"/>
      <c r="VGR89" s="317"/>
      <c r="VGS89" s="317"/>
      <c r="VGT89" s="317"/>
      <c r="VGU89" s="317"/>
      <c r="VGV89" s="317"/>
      <c r="VGW89" s="317"/>
      <c r="VGX89" s="317"/>
      <c r="VGY89" s="317"/>
      <c r="VGZ89" s="317"/>
      <c r="VHA89" s="317"/>
      <c r="VHB89" s="317"/>
      <c r="VHC89" s="317"/>
      <c r="VHD89" s="317"/>
      <c r="VHE89" s="317"/>
      <c r="VHF89" s="317"/>
      <c r="VHG89" s="317"/>
      <c r="VHH89" s="317"/>
      <c r="VHI89" s="317"/>
      <c r="VHJ89" s="317"/>
      <c r="VHK89" s="317"/>
      <c r="VHL89" s="317"/>
      <c r="VHM89" s="317"/>
      <c r="VHN89" s="317"/>
      <c r="VHO89" s="317"/>
      <c r="VHP89" s="317"/>
      <c r="VHQ89" s="317"/>
      <c r="VHR89" s="317"/>
      <c r="VHS89" s="317"/>
      <c r="VHT89" s="317"/>
      <c r="VHU89" s="317"/>
      <c r="VHV89" s="317"/>
      <c r="VHW89" s="317"/>
      <c r="VHX89" s="317"/>
      <c r="VHY89" s="317"/>
      <c r="VHZ89" s="317"/>
      <c r="VIA89" s="317"/>
      <c r="VIB89" s="317"/>
      <c r="VIC89" s="317"/>
      <c r="VID89" s="317"/>
      <c r="VIE89" s="317"/>
      <c r="VIF89" s="317"/>
      <c r="VIG89" s="317"/>
      <c r="VIH89" s="317"/>
      <c r="VII89" s="317"/>
      <c r="VIJ89" s="317"/>
      <c r="VIK89" s="317"/>
      <c r="VIL89" s="317"/>
      <c r="VIM89" s="317"/>
      <c r="VIN89" s="317"/>
      <c r="VIO89" s="317"/>
      <c r="VIP89" s="317"/>
      <c r="VIQ89" s="317"/>
      <c r="VIR89" s="317"/>
      <c r="VIS89" s="317"/>
      <c r="VIT89" s="317"/>
      <c r="VIU89" s="317"/>
      <c r="VIV89" s="317"/>
      <c r="VIW89" s="317"/>
      <c r="VIX89" s="317"/>
      <c r="VIY89" s="317"/>
      <c r="VIZ89" s="317"/>
      <c r="VJA89" s="317"/>
      <c r="VJB89" s="317"/>
      <c r="VJC89" s="317"/>
      <c r="VJD89" s="317"/>
      <c r="VJE89" s="317"/>
      <c r="VJF89" s="317"/>
      <c r="VJG89" s="317"/>
      <c r="VJH89" s="317"/>
      <c r="VJI89" s="317"/>
      <c r="VJJ89" s="317"/>
      <c r="VJK89" s="317"/>
      <c r="VJL89" s="317"/>
      <c r="VJM89" s="317"/>
      <c r="VJN89" s="317"/>
      <c r="VJO89" s="317"/>
      <c r="VJP89" s="317"/>
      <c r="VJQ89" s="317"/>
      <c r="VJR89" s="317"/>
      <c r="VJS89" s="317"/>
      <c r="VJT89" s="317"/>
      <c r="VJU89" s="317"/>
      <c r="VJV89" s="317"/>
      <c r="VJW89" s="317"/>
      <c r="VJX89" s="317"/>
      <c r="VJY89" s="317"/>
      <c r="VJZ89" s="317"/>
      <c r="VKA89" s="317"/>
      <c r="VKB89" s="317"/>
      <c r="VKC89" s="317"/>
      <c r="VKD89" s="317"/>
      <c r="VKE89" s="317"/>
      <c r="VKF89" s="317"/>
      <c r="VKG89" s="317"/>
      <c r="VKH89" s="317"/>
      <c r="VKI89" s="317"/>
      <c r="VKJ89" s="317"/>
      <c r="VKK89" s="317"/>
      <c r="VKL89" s="317"/>
      <c r="VKM89" s="317"/>
      <c r="VKN89" s="317"/>
      <c r="VKO89" s="317"/>
      <c r="VKP89" s="317"/>
      <c r="VKQ89" s="317"/>
      <c r="VKR89" s="317"/>
      <c r="VKS89" s="317"/>
      <c r="VKT89" s="317"/>
      <c r="VKU89" s="317"/>
      <c r="VKV89" s="317"/>
      <c r="VKW89" s="317"/>
      <c r="VKX89" s="317"/>
      <c r="VKY89" s="317"/>
      <c r="VKZ89" s="317"/>
      <c r="VLA89" s="317"/>
      <c r="VLB89" s="317"/>
      <c r="VLC89" s="317"/>
      <c r="VLD89" s="317"/>
      <c r="VLE89" s="317"/>
      <c r="VLF89" s="317"/>
      <c r="VLG89" s="317"/>
      <c r="VLH89" s="317"/>
      <c r="VLI89" s="317"/>
      <c r="VLJ89" s="317"/>
      <c r="VLK89" s="317"/>
      <c r="VLL89" s="317"/>
      <c r="VLM89" s="317"/>
      <c r="VLN89" s="317"/>
      <c r="VLO89" s="317"/>
      <c r="VLP89" s="317"/>
      <c r="VLQ89" s="317"/>
      <c r="VLR89" s="317"/>
      <c r="VLS89" s="317"/>
      <c r="VLT89" s="317"/>
      <c r="VLU89" s="317"/>
      <c r="VLV89" s="317"/>
      <c r="VLW89" s="317"/>
      <c r="VLX89" s="317"/>
      <c r="VLY89" s="317"/>
      <c r="VLZ89" s="317"/>
      <c r="VMA89" s="317"/>
      <c r="VMB89" s="317"/>
      <c r="VMC89" s="317"/>
      <c r="VMD89" s="317"/>
      <c r="VME89" s="317"/>
      <c r="VMF89" s="317"/>
      <c r="VMG89" s="317"/>
      <c r="VMH89" s="317"/>
      <c r="VMI89" s="317"/>
      <c r="VMJ89" s="317"/>
      <c r="VMK89" s="317"/>
      <c r="VML89" s="317"/>
      <c r="VMM89" s="317"/>
      <c r="VMN89" s="317"/>
      <c r="VMO89" s="317"/>
      <c r="VMP89" s="317"/>
      <c r="VMQ89" s="317"/>
      <c r="VMR89" s="317"/>
      <c r="VMS89" s="317"/>
      <c r="VMT89" s="317"/>
      <c r="VMU89" s="317"/>
      <c r="VMV89" s="317"/>
      <c r="VMW89" s="317"/>
      <c r="VMX89" s="317"/>
      <c r="VMY89" s="317"/>
      <c r="VMZ89" s="317"/>
      <c r="VNA89" s="317"/>
      <c r="VNB89" s="317"/>
      <c r="VNC89" s="317"/>
      <c r="VND89" s="317"/>
      <c r="VNE89" s="317"/>
      <c r="VNF89" s="317"/>
      <c r="VNG89" s="317"/>
      <c r="VNH89" s="317"/>
      <c r="VNI89" s="317"/>
      <c r="VNJ89" s="317"/>
      <c r="VNK89" s="317"/>
      <c r="VNL89" s="317"/>
      <c r="VNM89" s="317"/>
      <c r="VNN89" s="317"/>
      <c r="VNO89" s="317"/>
      <c r="VNP89" s="317"/>
      <c r="VNQ89" s="317"/>
      <c r="VNR89" s="317"/>
      <c r="VNS89" s="317"/>
      <c r="VNT89" s="317"/>
      <c r="VNU89" s="317"/>
      <c r="VNV89" s="317"/>
      <c r="VNW89" s="317"/>
      <c r="VNX89" s="317"/>
      <c r="VNY89" s="317"/>
      <c r="VNZ89" s="317"/>
      <c r="VOA89" s="317"/>
      <c r="VOB89" s="317"/>
      <c r="VOC89" s="317"/>
      <c r="VOD89" s="317"/>
      <c r="VOE89" s="317"/>
      <c r="VOF89" s="317"/>
      <c r="VOG89" s="317"/>
      <c r="VOH89" s="317"/>
      <c r="VOI89" s="317"/>
      <c r="VOJ89" s="317"/>
      <c r="VOK89" s="317"/>
      <c r="VOL89" s="317"/>
      <c r="VOM89" s="317"/>
      <c r="VON89" s="317"/>
      <c r="VOO89" s="317"/>
      <c r="VOP89" s="317"/>
      <c r="VOQ89" s="317"/>
      <c r="VOR89" s="317"/>
      <c r="VOS89" s="317"/>
      <c r="VOT89" s="317"/>
      <c r="VOU89" s="317"/>
      <c r="VOV89" s="317"/>
      <c r="VOW89" s="317"/>
      <c r="VOX89" s="317"/>
      <c r="VOY89" s="317"/>
      <c r="VOZ89" s="317"/>
      <c r="VPA89" s="317"/>
      <c r="VPB89" s="317"/>
      <c r="VPC89" s="317"/>
      <c r="VPD89" s="317"/>
      <c r="VPE89" s="317"/>
      <c r="VPF89" s="317"/>
      <c r="VPG89" s="317"/>
      <c r="VPH89" s="317"/>
      <c r="VPI89" s="317"/>
      <c r="VPJ89" s="317"/>
      <c r="VPK89" s="317"/>
      <c r="VPL89" s="317"/>
      <c r="VPM89" s="317"/>
      <c r="VPN89" s="317"/>
      <c r="VPO89" s="317"/>
      <c r="VPP89" s="317"/>
      <c r="VPQ89" s="317"/>
      <c r="VPR89" s="317"/>
      <c r="VPS89" s="317"/>
      <c r="VPT89" s="317"/>
      <c r="VPU89" s="317"/>
      <c r="VPV89" s="317"/>
      <c r="VPW89" s="317"/>
      <c r="VPX89" s="317"/>
      <c r="VPY89" s="317"/>
      <c r="VPZ89" s="317"/>
      <c r="VQA89" s="317"/>
      <c r="VQB89" s="317"/>
      <c r="VQC89" s="317"/>
      <c r="VQD89" s="317"/>
      <c r="VQE89" s="317"/>
      <c r="VQF89" s="317"/>
      <c r="VQG89" s="317"/>
      <c r="VQH89" s="317"/>
      <c r="VQI89" s="317"/>
      <c r="VQJ89" s="317"/>
      <c r="VQK89" s="317"/>
      <c r="VQL89" s="317"/>
      <c r="VQM89" s="317"/>
      <c r="VQN89" s="317"/>
      <c r="VQO89" s="317"/>
      <c r="VQP89" s="317"/>
      <c r="VQQ89" s="317"/>
      <c r="VQR89" s="317"/>
      <c r="VQS89" s="317"/>
      <c r="VQT89" s="317"/>
      <c r="VQU89" s="317"/>
      <c r="VQV89" s="317"/>
      <c r="VQW89" s="317"/>
      <c r="VQX89" s="317"/>
      <c r="VQY89" s="317"/>
      <c r="VQZ89" s="317"/>
      <c r="VRA89" s="317"/>
      <c r="VRB89" s="317"/>
      <c r="VRC89" s="317"/>
      <c r="VRD89" s="317"/>
      <c r="VRE89" s="317"/>
      <c r="VRF89" s="317"/>
      <c r="VRG89" s="317"/>
      <c r="VRH89" s="317"/>
      <c r="VRI89" s="317"/>
      <c r="VRJ89" s="317"/>
      <c r="VRK89" s="317"/>
      <c r="VRL89" s="317"/>
      <c r="VRM89" s="317"/>
      <c r="VRN89" s="317"/>
      <c r="VRO89" s="317"/>
      <c r="VRP89" s="317"/>
      <c r="VRQ89" s="317"/>
      <c r="VRR89" s="317"/>
      <c r="VRS89" s="317"/>
      <c r="VRT89" s="317"/>
      <c r="VRU89" s="317"/>
      <c r="VRV89" s="317"/>
      <c r="VRW89" s="317"/>
      <c r="VRX89" s="317"/>
      <c r="VRY89" s="317"/>
      <c r="VRZ89" s="317"/>
      <c r="VSA89" s="317"/>
      <c r="VSB89" s="317"/>
      <c r="VSC89" s="317"/>
      <c r="VSD89" s="317"/>
      <c r="VSE89" s="317"/>
      <c r="VSF89" s="317"/>
      <c r="VSG89" s="317"/>
      <c r="VSH89" s="317"/>
      <c r="VSI89" s="317"/>
      <c r="VSJ89" s="317"/>
      <c r="VSK89" s="317"/>
      <c r="VSL89" s="317"/>
      <c r="VSM89" s="317"/>
      <c r="VSN89" s="317"/>
      <c r="VSO89" s="317"/>
      <c r="VSP89" s="317"/>
      <c r="VSQ89" s="317"/>
      <c r="VSR89" s="317"/>
      <c r="VSS89" s="317"/>
      <c r="VST89" s="317"/>
      <c r="VSU89" s="317"/>
      <c r="VSV89" s="317"/>
      <c r="VSW89" s="317"/>
      <c r="VSX89" s="317"/>
      <c r="VSY89" s="317"/>
      <c r="VSZ89" s="317"/>
      <c r="VTA89" s="317"/>
      <c r="VTB89" s="317"/>
      <c r="VTC89" s="317"/>
      <c r="VTD89" s="317"/>
      <c r="VTE89" s="317"/>
      <c r="VTF89" s="317"/>
      <c r="VTG89" s="317"/>
      <c r="VTH89" s="317"/>
      <c r="VTI89" s="317"/>
      <c r="VTJ89" s="317"/>
      <c r="VTK89" s="317"/>
      <c r="VTL89" s="317"/>
      <c r="VTM89" s="317"/>
      <c r="VTN89" s="317"/>
      <c r="VTO89" s="317"/>
      <c r="VTP89" s="317"/>
      <c r="VTQ89" s="317"/>
      <c r="VTR89" s="317"/>
      <c r="VTS89" s="317"/>
      <c r="VTT89" s="317"/>
      <c r="VTU89" s="317"/>
      <c r="VTV89" s="317"/>
      <c r="VTW89" s="317"/>
      <c r="VTX89" s="317"/>
      <c r="VTY89" s="317"/>
      <c r="VTZ89" s="317"/>
      <c r="VUA89" s="317"/>
      <c r="VUB89" s="317"/>
      <c r="VUC89" s="317"/>
      <c r="VUD89" s="317"/>
      <c r="VUE89" s="317"/>
      <c r="VUF89" s="317"/>
      <c r="VUG89" s="317"/>
      <c r="VUH89" s="317"/>
      <c r="VUI89" s="317"/>
      <c r="VUJ89" s="317"/>
      <c r="VUK89" s="317"/>
      <c r="VUL89" s="317"/>
      <c r="VUM89" s="317"/>
      <c r="VUN89" s="317"/>
      <c r="VUO89" s="317"/>
      <c r="VUP89" s="317"/>
      <c r="VUQ89" s="317"/>
      <c r="VUR89" s="317"/>
      <c r="VUS89" s="317"/>
      <c r="VUT89" s="317"/>
      <c r="VUU89" s="317"/>
      <c r="VUV89" s="317"/>
      <c r="VUW89" s="317"/>
      <c r="VUX89" s="317"/>
      <c r="VUY89" s="317"/>
      <c r="VUZ89" s="317"/>
      <c r="VVA89" s="317"/>
      <c r="VVB89" s="317"/>
      <c r="VVC89" s="317"/>
      <c r="VVD89" s="317"/>
      <c r="VVE89" s="317"/>
      <c r="VVF89" s="317"/>
      <c r="VVG89" s="317"/>
      <c r="VVH89" s="317"/>
      <c r="VVI89" s="317"/>
      <c r="VVJ89" s="317"/>
      <c r="VVK89" s="317"/>
      <c r="VVL89" s="317"/>
      <c r="VVM89" s="317"/>
      <c r="VVN89" s="317"/>
      <c r="VVO89" s="317"/>
      <c r="VVP89" s="317"/>
      <c r="VVQ89" s="317"/>
      <c r="VVR89" s="317"/>
      <c r="VVS89" s="317"/>
      <c r="VVT89" s="317"/>
      <c r="VVU89" s="317"/>
      <c r="VVV89" s="317"/>
      <c r="VVW89" s="317"/>
      <c r="VVX89" s="317"/>
      <c r="VVY89" s="317"/>
      <c r="VVZ89" s="317"/>
      <c r="VWA89" s="317"/>
      <c r="VWB89" s="317"/>
      <c r="VWC89" s="317"/>
      <c r="VWD89" s="317"/>
      <c r="VWE89" s="317"/>
      <c r="VWF89" s="317"/>
      <c r="VWG89" s="317"/>
      <c r="VWH89" s="317"/>
      <c r="VWI89" s="317"/>
      <c r="VWJ89" s="317"/>
      <c r="VWK89" s="317"/>
      <c r="VWL89" s="317"/>
      <c r="VWM89" s="317"/>
      <c r="VWN89" s="317"/>
      <c r="VWO89" s="317"/>
      <c r="VWP89" s="317"/>
      <c r="VWQ89" s="317"/>
      <c r="VWR89" s="317"/>
      <c r="VWS89" s="317"/>
      <c r="VWT89" s="317"/>
      <c r="VWU89" s="317"/>
      <c r="VWV89" s="317"/>
      <c r="VWW89" s="317"/>
      <c r="VWX89" s="317"/>
      <c r="VWY89" s="317"/>
      <c r="VWZ89" s="317"/>
      <c r="VXA89" s="317"/>
      <c r="VXB89" s="317"/>
      <c r="VXC89" s="317"/>
      <c r="VXD89" s="317"/>
      <c r="VXE89" s="317"/>
      <c r="VXF89" s="317"/>
      <c r="VXG89" s="317"/>
      <c r="VXH89" s="317"/>
      <c r="VXI89" s="317"/>
      <c r="VXJ89" s="317"/>
      <c r="VXK89" s="317"/>
      <c r="VXL89" s="317"/>
      <c r="VXM89" s="317"/>
      <c r="VXN89" s="317"/>
      <c r="VXO89" s="317"/>
      <c r="VXP89" s="317"/>
      <c r="VXQ89" s="317"/>
      <c r="VXR89" s="317"/>
      <c r="VXS89" s="317"/>
      <c r="VXT89" s="317"/>
      <c r="VXU89" s="317"/>
      <c r="VXV89" s="317"/>
      <c r="VXW89" s="317"/>
      <c r="VXX89" s="317"/>
      <c r="VXY89" s="317"/>
      <c r="VXZ89" s="317"/>
      <c r="VYA89" s="317"/>
      <c r="VYB89" s="317"/>
      <c r="VYC89" s="317"/>
      <c r="VYD89" s="317"/>
      <c r="VYE89" s="317"/>
      <c r="VYF89" s="317"/>
      <c r="VYG89" s="317"/>
      <c r="VYH89" s="317"/>
      <c r="VYI89" s="317"/>
      <c r="VYJ89" s="317"/>
      <c r="VYK89" s="317"/>
      <c r="VYL89" s="317"/>
      <c r="VYM89" s="317"/>
      <c r="VYN89" s="317"/>
      <c r="VYO89" s="317"/>
      <c r="VYP89" s="317"/>
      <c r="VYQ89" s="317"/>
      <c r="VYR89" s="317"/>
      <c r="VYS89" s="317"/>
      <c r="VYT89" s="317"/>
      <c r="VYU89" s="317"/>
      <c r="VYV89" s="317"/>
      <c r="VYW89" s="317"/>
      <c r="VYX89" s="317"/>
      <c r="VYY89" s="317"/>
      <c r="VYZ89" s="317"/>
      <c r="VZA89" s="317"/>
      <c r="VZB89" s="317"/>
      <c r="VZC89" s="317"/>
      <c r="VZD89" s="317"/>
      <c r="VZE89" s="317"/>
      <c r="VZF89" s="317"/>
      <c r="VZG89" s="317"/>
      <c r="VZH89" s="317"/>
      <c r="VZI89" s="317"/>
      <c r="VZJ89" s="317"/>
      <c r="VZK89" s="317"/>
      <c r="VZL89" s="317"/>
      <c r="VZM89" s="317"/>
      <c r="VZN89" s="317"/>
      <c r="VZO89" s="317"/>
      <c r="VZP89" s="317"/>
      <c r="VZQ89" s="317"/>
      <c r="VZR89" s="317"/>
      <c r="VZS89" s="317"/>
      <c r="VZT89" s="317"/>
      <c r="VZU89" s="317"/>
      <c r="VZV89" s="317"/>
      <c r="VZW89" s="317"/>
      <c r="VZX89" s="317"/>
      <c r="VZY89" s="317"/>
      <c r="VZZ89" s="317"/>
      <c r="WAA89" s="317"/>
      <c r="WAB89" s="317"/>
      <c r="WAC89" s="317"/>
      <c r="WAD89" s="317"/>
      <c r="WAE89" s="317"/>
      <c r="WAF89" s="317"/>
      <c r="WAG89" s="317"/>
      <c r="WAH89" s="317"/>
      <c r="WAI89" s="317"/>
      <c r="WAJ89" s="317"/>
      <c r="WAK89" s="317"/>
      <c r="WAL89" s="317"/>
      <c r="WAM89" s="317"/>
      <c r="WAN89" s="317"/>
      <c r="WAO89" s="317"/>
      <c r="WAP89" s="317"/>
      <c r="WAQ89" s="317"/>
      <c r="WAR89" s="317"/>
      <c r="WAS89" s="317"/>
      <c r="WAT89" s="317"/>
      <c r="WAU89" s="317"/>
      <c r="WAV89" s="317"/>
      <c r="WAW89" s="317"/>
      <c r="WAX89" s="317"/>
      <c r="WAY89" s="317"/>
      <c r="WAZ89" s="317"/>
      <c r="WBA89" s="317"/>
      <c r="WBB89" s="317"/>
      <c r="WBC89" s="317"/>
      <c r="WBD89" s="317"/>
      <c r="WBE89" s="317"/>
      <c r="WBF89" s="317"/>
      <c r="WBG89" s="317"/>
      <c r="WBH89" s="317"/>
      <c r="WBI89" s="317"/>
      <c r="WBJ89" s="317"/>
      <c r="WBK89" s="317"/>
      <c r="WBL89" s="317"/>
      <c r="WBM89" s="317"/>
      <c r="WBN89" s="317"/>
      <c r="WBO89" s="317"/>
      <c r="WBP89" s="317"/>
      <c r="WBQ89" s="317"/>
      <c r="WBR89" s="317"/>
      <c r="WBS89" s="317"/>
      <c r="WBT89" s="317"/>
      <c r="WBU89" s="317"/>
      <c r="WBV89" s="317"/>
      <c r="WBW89" s="317"/>
      <c r="WBX89" s="317"/>
      <c r="WBY89" s="317"/>
      <c r="WBZ89" s="317"/>
      <c r="WCA89" s="317"/>
      <c r="WCB89" s="317"/>
      <c r="WCC89" s="317"/>
      <c r="WCD89" s="317"/>
      <c r="WCE89" s="317"/>
      <c r="WCF89" s="317"/>
      <c r="WCG89" s="317"/>
      <c r="WCH89" s="317"/>
      <c r="WCI89" s="317"/>
      <c r="WCJ89" s="317"/>
      <c r="WCK89" s="317"/>
      <c r="WCL89" s="317"/>
      <c r="WCM89" s="317"/>
      <c r="WCN89" s="317"/>
      <c r="WCO89" s="317"/>
      <c r="WCP89" s="317"/>
      <c r="WCQ89" s="317"/>
      <c r="WCR89" s="317"/>
      <c r="WCS89" s="317"/>
      <c r="WCT89" s="317"/>
      <c r="WCU89" s="317"/>
      <c r="WCV89" s="317"/>
      <c r="WCW89" s="317"/>
      <c r="WCX89" s="317"/>
      <c r="WCY89" s="317"/>
      <c r="WCZ89" s="317"/>
      <c r="WDA89" s="317"/>
      <c r="WDB89" s="317"/>
      <c r="WDC89" s="317"/>
      <c r="WDD89" s="317"/>
      <c r="WDE89" s="317"/>
      <c r="WDF89" s="317"/>
      <c r="WDG89" s="317"/>
      <c r="WDH89" s="317"/>
      <c r="WDI89" s="317"/>
      <c r="WDJ89" s="317"/>
      <c r="WDK89" s="317"/>
      <c r="WDL89" s="317"/>
      <c r="WDM89" s="317"/>
      <c r="WDN89" s="317"/>
      <c r="WDO89" s="317"/>
      <c r="WDP89" s="317"/>
      <c r="WDQ89" s="317"/>
      <c r="WDR89" s="317"/>
      <c r="WDS89" s="317"/>
      <c r="WDT89" s="317"/>
      <c r="WDU89" s="317"/>
      <c r="WDV89" s="317"/>
      <c r="WDW89" s="317"/>
      <c r="WDX89" s="317"/>
      <c r="WDY89" s="317"/>
      <c r="WDZ89" s="317"/>
      <c r="WEA89" s="317"/>
      <c r="WEB89" s="317"/>
      <c r="WEC89" s="317"/>
      <c r="WED89" s="317"/>
      <c r="WEE89" s="317"/>
      <c r="WEF89" s="317"/>
      <c r="WEG89" s="317"/>
      <c r="WEH89" s="317"/>
      <c r="WEI89" s="317"/>
      <c r="WEJ89" s="317"/>
      <c r="WEK89" s="317"/>
      <c r="WEL89" s="317"/>
      <c r="WEM89" s="317"/>
      <c r="WEN89" s="317"/>
      <c r="WEO89" s="317"/>
      <c r="WEP89" s="317"/>
      <c r="WEQ89" s="317"/>
      <c r="WER89" s="317"/>
      <c r="WES89" s="317"/>
      <c r="WET89" s="317"/>
      <c r="WEU89" s="317"/>
      <c r="WEV89" s="317"/>
      <c r="WEW89" s="317"/>
      <c r="WEX89" s="317"/>
      <c r="WEY89" s="317"/>
      <c r="WEZ89" s="317"/>
      <c r="WFA89" s="317"/>
      <c r="WFB89" s="317"/>
      <c r="WFC89" s="317"/>
      <c r="WFD89" s="317"/>
      <c r="WFE89" s="317"/>
      <c r="WFF89" s="317"/>
      <c r="WFG89" s="317"/>
      <c r="WFH89" s="317"/>
      <c r="WFI89" s="317"/>
      <c r="WFJ89" s="317"/>
      <c r="WFK89" s="317"/>
      <c r="WFL89" s="317"/>
      <c r="WFM89" s="317"/>
      <c r="WFN89" s="317"/>
      <c r="WFO89" s="317"/>
      <c r="WFP89" s="317"/>
      <c r="WFQ89" s="317"/>
      <c r="WFR89" s="317"/>
      <c r="WFS89" s="317"/>
      <c r="WFT89" s="317"/>
      <c r="WFU89" s="317"/>
      <c r="WFV89" s="317"/>
      <c r="WFW89" s="317"/>
      <c r="WFX89" s="317"/>
      <c r="WFY89" s="317"/>
      <c r="WFZ89" s="317"/>
      <c r="WGA89" s="317"/>
      <c r="WGB89" s="317"/>
      <c r="WGC89" s="317"/>
      <c r="WGD89" s="317"/>
      <c r="WGE89" s="317"/>
      <c r="WGF89" s="317"/>
      <c r="WGG89" s="317"/>
      <c r="WGH89" s="317"/>
      <c r="WGI89" s="317"/>
      <c r="WGJ89" s="317"/>
      <c r="WGK89" s="317"/>
      <c r="WGL89" s="317"/>
      <c r="WGM89" s="317"/>
      <c r="WGN89" s="317"/>
      <c r="WGO89" s="317"/>
      <c r="WGP89" s="317"/>
      <c r="WGQ89" s="317"/>
      <c r="WGR89" s="317"/>
      <c r="WGS89" s="317"/>
      <c r="WGT89" s="317"/>
      <c r="WGU89" s="317"/>
      <c r="WGV89" s="317"/>
      <c r="WGW89" s="317"/>
      <c r="WGX89" s="317"/>
      <c r="WGY89" s="317"/>
      <c r="WGZ89" s="317"/>
      <c r="WHA89" s="317"/>
      <c r="WHB89" s="317"/>
      <c r="WHC89" s="317"/>
      <c r="WHD89" s="317"/>
      <c r="WHE89" s="317"/>
      <c r="WHF89" s="317"/>
      <c r="WHG89" s="317"/>
      <c r="WHH89" s="317"/>
      <c r="WHI89" s="317"/>
      <c r="WHJ89" s="317"/>
      <c r="WHK89" s="317"/>
      <c r="WHL89" s="317"/>
      <c r="WHM89" s="317"/>
      <c r="WHN89" s="317"/>
      <c r="WHO89" s="317"/>
      <c r="WHP89" s="317"/>
      <c r="WHQ89" s="317"/>
      <c r="WHR89" s="317"/>
      <c r="WHS89" s="317"/>
      <c r="WHT89" s="317"/>
      <c r="WHU89" s="317"/>
      <c r="WHV89" s="317"/>
      <c r="WHW89" s="317"/>
      <c r="WHX89" s="317"/>
      <c r="WHY89" s="317"/>
      <c r="WHZ89" s="317"/>
      <c r="WIA89" s="317"/>
      <c r="WIB89" s="317"/>
      <c r="WIC89" s="317"/>
      <c r="WID89" s="317"/>
      <c r="WIE89" s="317"/>
      <c r="WIF89" s="317"/>
      <c r="WIG89" s="317"/>
      <c r="WIH89" s="317"/>
      <c r="WII89" s="317"/>
      <c r="WIJ89" s="317"/>
      <c r="WIK89" s="317"/>
      <c r="WIL89" s="317"/>
      <c r="WIM89" s="317"/>
      <c r="WIN89" s="317"/>
      <c r="WIO89" s="317"/>
      <c r="WIP89" s="317"/>
      <c r="WIQ89" s="317"/>
      <c r="WIR89" s="317"/>
      <c r="WIS89" s="317"/>
      <c r="WIT89" s="317"/>
      <c r="WIU89" s="317"/>
      <c r="WIV89" s="317"/>
      <c r="WIW89" s="317"/>
      <c r="WIX89" s="317"/>
      <c r="WIY89" s="317"/>
      <c r="WIZ89" s="317"/>
      <c r="WJA89" s="317"/>
      <c r="WJB89" s="317"/>
      <c r="WJC89" s="317"/>
      <c r="WJD89" s="317"/>
      <c r="WJE89" s="317"/>
      <c r="WJF89" s="317"/>
      <c r="WJG89" s="317"/>
      <c r="WJH89" s="317"/>
      <c r="WJI89" s="317"/>
      <c r="WJJ89" s="317"/>
      <c r="WJK89" s="317"/>
      <c r="WJL89" s="317"/>
      <c r="WJM89" s="317"/>
      <c r="WJN89" s="317"/>
      <c r="WJO89" s="317"/>
      <c r="WJP89" s="317"/>
      <c r="WJQ89" s="317"/>
      <c r="WJR89" s="317"/>
      <c r="WJS89" s="317"/>
      <c r="WJT89" s="317"/>
      <c r="WJU89" s="317"/>
      <c r="WJV89" s="317"/>
      <c r="WJW89" s="317"/>
      <c r="WJX89" s="317"/>
      <c r="WJY89" s="317"/>
      <c r="WJZ89" s="317"/>
      <c r="WKA89" s="317"/>
      <c r="WKB89" s="317"/>
      <c r="WKC89" s="317"/>
      <c r="WKD89" s="317"/>
      <c r="WKE89" s="317"/>
      <c r="WKF89" s="317"/>
      <c r="WKG89" s="317"/>
      <c r="WKH89" s="317"/>
      <c r="WKI89" s="317"/>
      <c r="WKJ89" s="317"/>
      <c r="WKK89" s="317"/>
      <c r="WKL89" s="317"/>
      <c r="WKM89" s="317"/>
      <c r="WKN89" s="317"/>
      <c r="WKO89" s="317"/>
      <c r="WKP89" s="317"/>
      <c r="WKQ89" s="317"/>
      <c r="WKR89" s="317"/>
      <c r="WKS89" s="317"/>
      <c r="WKT89" s="317"/>
      <c r="WKU89" s="317"/>
      <c r="WKV89" s="317"/>
      <c r="WKW89" s="317"/>
      <c r="WKX89" s="317"/>
      <c r="WKY89" s="317"/>
      <c r="WKZ89" s="317"/>
      <c r="WLA89" s="317"/>
      <c r="WLB89" s="317"/>
      <c r="WLC89" s="317"/>
      <c r="WLD89" s="317"/>
      <c r="WLE89" s="317"/>
      <c r="WLF89" s="317"/>
      <c r="WLG89" s="317"/>
      <c r="WLH89" s="317"/>
      <c r="WLI89" s="317"/>
      <c r="WLJ89" s="317"/>
      <c r="WLK89" s="317"/>
      <c r="WLL89" s="317"/>
      <c r="WLM89" s="317"/>
      <c r="WLN89" s="317"/>
      <c r="WLO89" s="317"/>
      <c r="WLP89" s="317"/>
      <c r="WLQ89" s="317"/>
      <c r="WLR89" s="317"/>
      <c r="WLS89" s="317"/>
      <c r="WLT89" s="317"/>
      <c r="WLU89" s="317"/>
      <c r="WLV89" s="317"/>
      <c r="WLW89" s="317"/>
      <c r="WLX89" s="317"/>
      <c r="WLY89" s="317"/>
      <c r="WLZ89" s="317"/>
      <c r="WMA89" s="317"/>
      <c r="WMB89" s="317"/>
      <c r="WMC89" s="317"/>
      <c r="WMD89" s="317"/>
      <c r="WME89" s="317"/>
      <c r="WMF89" s="317"/>
      <c r="WMG89" s="317"/>
      <c r="WMH89" s="317"/>
      <c r="WMI89" s="317"/>
      <c r="WMJ89" s="317"/>
      <c r="WMK89" s="317"/>
      <c r="WML89" s="317"/>
      <c r="WMM89" s="317"/>
      <c r="WMN89" s="317"/>
      <c r="WMO89" s="317"/>
      <c r="WMP89" s="317"/>
      <c r="WMQ89" s="317"/>
      <c r="WMR89" s="317"/>
      <c r="WMS89" s="317"/>
      <c r="WMT89" s="317"/>
      <c r="WMU89" s="317"/>
      <c r="WMV89" s="317"/>
      <c r="WMW89" s="317"/>
      <c r="WMX89" s="317"/>
      <c r="WMY89" s="317"/>
      <c r="WMZ89" s="317"/>
      <c r="WNA89" s="317"/>
      <c r="WNB89" s="317"/>
      <c r="WNC89" s="317"/>
      <c r="WND89" s="317"/>
      <c r="WNE89" s="317"/>
      <c r="WNF89" s="317"/>
      <c r="WNG89" s="317"/>
      <c r="WNH89" s="317"/>
      <c r="WNI89" s="317"/>
      <c r="WNJ89" s="317"/>
      <c r="WNK89" s="317"/>
      <c r="WNL89" s="317"/>
      <c r="WNM89" s="317"/>
      <c r="WNN89" s="317"/>
      <c r="WNO89" s="317"/>
      <c r="WNP89" s="317"/>
      <c r="WNQ89" s="317"/>
      <c r="WNR89" s="317"/>
      <c r="WNS89" s="317"/>
      <c r="WNT89" s="317"/>
      <c r="WNU89" s="317"/>
      <c r="WNV89" s="317"/>
      <c r="WNW89" s="317"/>
      <c r="WNX89" s="317"/>
      <c r="WNY89" s="317"/>
      <c r="WNZ89" s="317"/>
      <c r="WOA89" s="317"/>
      <c r="WOB89" s="317"/>
      <c r="WOC89" s="317"/>
      <c r="WOD89" s="317"/>
      <c r="WOE89" s="317"/>
      <c r="WOF89" s="317"/>
      <c r="WOG89" s="317"/>
      <c r="WOH89" s="317"/>
      <c r="WOI89" s="317"/>
      <c r="WOJ89" s="317"/>
      <c r="WOK89" s="317"/>
      <c r="WOL89" s="317"/>
      <c r="WOM89" s="317"/>
      <c r="WON89" s="317"/>
      <c r="WOO89" s="317"/>
      <c r="WOP89" s="317"/>
      <c r="WOQ89" s="317"/>
      <c r="WOR89" s="317"/>
      <c r="WOS89" s="317"/>
      <c r="WOT89" s="317"/>
      <c r="WOU89" s="317"/>
      <c r="WOV89" s="317"/>
      <c r="WOW89" s="317"/>
      <c r="WOX89" s="317"/>
      <c r="WOY89" s="317"/>
      <c r="WOZ89" s="317"/>
      <c r="WPA89" s="317"/>
      <c r="WPB89" s="317"/>
      <c r="WPC89" s="317"/>
      <c r="WPD89" s="317"/>
      <c r="WPE89" s="317"/>
      <c r="WPF89" s="317"/>
      <c r="WPG89" s="317"/>
      <c r="WPH89" s="317"/>
      <c r="WPI89" s="317"/>
      <c r="WPJ89" s="317"/>
      <c r="WPK89" s="317"/>
      <c r="WPL89" s="317"/>
      <c r="WPM89" s="317"/>
      <c r="WPN89" s="317"/>
      <c r="WPO89" s="317"/>
      <c r="WPP89" s="317"/>
      <c r="WPQ89" s="317"/>
      <c r="WPR89" s="317"/>
      <c r="WPS89" s="317"/>
      <c r="WPT89" s="317"/>
      <c r="WPU89" s="317"/>
      <c r="WPV89" s="317"/>
      <c r="WPW89" s="317"/>
      <c r="WPX89" s="317"/>
      <c r="WPY89" s="317"/>
      <c r="WPZ89" s="317"/>
      <c r="WQA89" s="317"/>
      <c r="WQB89" s="317"/>
      <c r="WQC89" s="317"/>
      <c r="WQD89" s="317"/>
      <c r="WQE89" s="317"/>
      <c r="WQF89" s="317"/>
      <c r="WQG89" s="317"/>
      <c r="WQH89" s="317"/>
      <c r="WQI89" s="317"/>
      <c r="WQJ89" s="317"/>
      <c r="WQK89" s="317"/>
      <c r="WQL89" s="317"/>
      <c r="WQM89" s="317"/>
      <c r="WQN89" s="317"/>
      <c r="WQO89" s="317"/>
      <c r="WQP89" s="317"/>
      <c r="WQQ89" s="317"/>
      <c r="WQR89" s="317"/>
      <c r="WQS89" s="317"/>
      <c r="WQT89" s="317"/>
      <c r="WQU89" s="317"/>
      <c r="WQV89" s="317"/>
      <c r="WQW89" s="317"/>
      <c r="WQX89" s="317"/>
      <c r="WQY89" s="317"/>
      <c r="WQZ89" s="317"/>
      <c r="WRA89" s="317"/>
      <c r="WRB89" s="317"/>
      <c r="WRC89" s="317"/>
      <c r="WRD89" s="317"/>
      <c r="WRE89" s="317"/>
      <c r="WRF89" s="317"/>
      <c r="WRG89" s="317"/>
      <c r="WRH89" s="317"/>
      <c r="WRI89" s="317"/>
      <c r="WRJ89" s="317"/>
      <c r="WRK89" s="317"/>
      <c r="WRL89" s="317"/>
      <c r="WRM89" s="317"/>
      <c r="WRN89" s="317"/>
      <c r="WRO89" s="317"/>
      <c r="WRP89" s="317"/>
      <c r="WRQ89" s="317"/>
      <c r="WRR89" s="317"/>
      <c r="WRS89" s="317"/>
      <c r="WRT89" s="317"/>
      <c r="WRU89" s="317"/>
      <c r="WRV89" s="317"/>
      <c r="WRW89" s="317"/>
      <c r="WRX89" s="317"/>
      <c r="WRY89" s="317"/>
      <c r="WRZ89" s="317"/>
      <c r="WSA89" s="317"/>
      <c r="WSB89" s="317"/>
      <c r="WSC89" s="317"/>
      <c r="WSD89" s="317"/>
      <c r="WSE89" s="317"/>
      <c r="WSF89" s="317"/>
      <c r="WSG89" s="317"/>
      <c r="WSH89" s="317"/>
      <c r="WSI89" s="317"/>
      <c r="WSJ89" s="317"/>
      <c r="WSK89" s="317"/>
      <c r="WSL89" s="317"/>
      <c r="WSM89" s="317"/>
      <c r="WSN89" s="317"/>
      <c r="WSO89" s="317"/>
      <c r="WSP89" s="317"/>
      <c r="WSQ89" s="317"/>
      <c r="WSR89" s="317"/>
      <c r="WSS89" s="317"/>
      <c r="WST89" s="317"/>
      <c r="WSU89" s="317"/>
      <c r="WSV89" s="317"/>
      <c r="WSW89" s="317"/>
      <c r="WSX89" s="317"/>
      <c r="WSY89" s="317"/>
      <c r="WSZ89" s="317"/>
      <c r="WTA89" s="317"/>
      <c r="WTB89" s="317"/>
      <c r="WTC89" s="317"/>
      <c r="WTD89" s="317"/>
      <c r="WTE89" s="317"/>
      <c r="WTF89" s="317"/>
      <c r="WTG89" s="317"/>
      <c r="WTH89" s="317"/>
      <c r="WTI89" s="317"/>
      <c r="WTJ89" s="317"/>
      <c r="WTK89" s="317"/>
      <c r="WTL89" s="317"/>
      <c r="WTM89" s="317"/>
      <c r="WTN89" s="317"/>
      <c r="WTO89" s="317"/>
      <c r="WTP89" s="317"/>
      <c r="WTQ89" s="317"/>
      <c r="WTR89" s="317"/>
      <c r="WTS89" s="317"/>
      <c r="WTT89" s="317"/>
      <c r="WTU89" s="317"/>
      <c r="WTV89" s="317"/>
      <c r="WTW89" s="317"/>
      <c r="WTX89" s="317"/>
      <c r="WTY89" s="317"/>
      <c r="WTZ89" s="317"/>
      <c r="WUA89" s="317"/>
      <c r="WUB89" s="317"/>
      <c r="WUC89" s="317"/>
      <c r="WUD89" s="317"/>
      <c r="WUE89" s="317"/>
      <c r="WUF89" s="317"/>
      <c r="WUG89" s="317"/>
      <c r="WUH89" s="317"/>
      <c r="WUI89" s="317"/>
      <c r="WUJ89" s="317"/>
      <c r="WUK89" s="317"/>
      <c r="WUL89" s="317"/>
      <c r="WUM89" s="317"/>
      <c r="WUN89" s="317"/>
      <c r="WUO89" s="317"/>
      <c r="WUP89" s="317"/>
      <c r="WUQ89" s="317"/>
      <c r="WUR89" s="317"/>
      <c r="WUS89" s="317"/>
      <c r="WUT89" s="317"/>
      <c r="WUU89" s="317"/>
      <c r="WUV89" s="317"/>
      <c r="WUW89" s="317"/>
      <c r="WUX89" s="317"/>
      <c r="WUY89" s="317"/>
      <c r="WUZ89" s="317"/>
      <c r="WVA89" s="317"/>
      <c r="WVB89" s="317"/>
      <c r="WVC89" s="317"/>
      <c r="WVD89" s="317"/>
      <c r="WVE89" s="317"/>
      <c r="WVF89" s="317"/>
      <c r="WVG89" s="317"/>
      <c r="WVH89" s="317"/>
      <c r="WVI89" s="317"/>
      <c r="WVJ89" s="317"/>
      <c r="WVK89" s="317"/>
      <c r="WVL89" s="317"/>
      <c r="WVM89" s="317"/>
      <c r="WVN89" s="317"/>
      <c r="WVO89" s="317"/>
      <c r="WVP89" s="317"/>
      <c r="WVQ89" s="317"/>
      <c r="WVR89" s="317"/>
      <c r="WVS89" s="317"/>
      <c r="WVT89" s="317"/>
      <c r="WVU89" s="317"/>
      <c r="WVV89" s="317"/>
      <c r="WVW89" s="317"/>
      <c r="WVX89" s="317"/>
      <c r="WVY89" s="317"/>
      <c r="WVZ89" s="317"/>
      <c r="WWA89" s="317"/>
      <c r="WWB89" s="317"/>
      <c r="WWC89" s="317"/>
      <c r="WWD89" s="317"/>
      <c r="WWE89" s="317"/>
      <c r="WWF89" s="317"/>
      <c r="WWG89" s="317"/>
      <c r="WWH89" s="317"/>
      <c r="WWI89" s="317"/>
      <c r="WWJ89" s="317"/>
      <c r="WWK89" s="317"/>
      <c r="WWL89" s="317"/>
      <c r="WWM89" s="317"/>
      <c r="WWN89" s="317"/>
      <c r="WWO89" s="317"/>
      <c r="WWP89" s="317"/>
      <c r="WWQ89" s="317"/>
      <c r="WWR89" s="317"/>
      <c r="WWS89" s="317"/>
      <c r="WWT89" s="317"/>
      <c r="WWU89" s="317"/>
      <c r="WWV89" s="317"/>
      <c r="WWW89" s="317"/>
      <c r="WWX89" s="317"/>
      <c r="WWY89" s="317"/>
      <c r="WWZ89" s="317"/>
      <c r="WXA89" s="317"/>
      <c r="WXB89" s="317"/>
      <c r="WXC89" s="317"/>
      <c r="WXD89" s="317"/>
      <c r="WXE89" s="317"/>
      <c r="WXF89" s="317"/>
      <c r="WXG89" s="317"/>
      <c r="WXH89" s="317"/>
      <c r="WXI89" s="317"/>
      <c r="WXJ89" s="317"/>
      <c r="WXK89" s="317"/>
      <c r="WXL89" s="317"/>
      <c r="WXM89" s="317"/>
      <c r="WXN89" s="317"/>
      <c r="WXO89" s="317"/>
      <c r="WXP89" s="317"/>
      <c r="WXQ89" s="317"/>
      <c r="WXR89" s="317"/>
      <c r="WXS89" s="317"/>
      <c r="WXT89" s="317"/>
      <c r="WXU89" s="317"/>
      <c r="WXV89" s="317"/>
      <c r="WXW89" s="317"/>
      <c r="WXX89" s="317"/>
      <c r="WXY89" s="317"/>
      <c r="WXZ89" s="317"/>
      <c r="WYA89" s="317"/>
      <c r="WYB89" s="317"/>
      <c r="WYC89" s="317"/>
      <c r="WYD89" s="317"/>
      <c r="WYE89" s="317"/>
      <c r="WYF89" s="317"/>
      <c r="WYG89" s="317"/>
      <c r="WYH89" s="317"/>
      <c r="WYI89" s="317"/>
      <c r="WYJ89" s="317"/>
      <c r="WYK89" s="317"/>
      <c r="WYL89" s="317"/>
      <c r="WYM89" s="317"/>
      <c r="WYN89" s="317"/>
      <c r="WYO89" s="317"/>
      <c r="WYP89" s="317"/>
      <c r="WYQ89" s="317"/>
      <c r="WYR89" s="317"/>
      <c r="WYS89" s="317"/>
      <c r="WYT89" s="317"/>
      <c r="WYU89" s="317"/>
      <c r="WYV89" s="317"/>
      <c r="WYW89" s="317"/>
      <c r="WYX89" s="317"/>
      <c r="WYY89" s="317"/>
      <c r="WYZ89" s="317"/>
      <c r="WZA89" s="317"/>
      <c r="WZB89" s="317"/>
      <c r="WZC89" s="317"/>
      <c r="WZD89" s="317"/>
      <c r="WZE89" s="317"/>
      <c r="WZF89" s="317"/>
      <c r="WZG89" s="317"/>
      <c r="WZH89" s="317"/>
      <c r="WZI89" s="317"/>
      <c r="WZJ89" s="317"/>
      <c r="WZK89" s="317"/>
      <c r="WZL89" s="317"/>
      <c r="WZM89" s="317"/>
      <c r="WZN89" s="317"/>
      <c r="WZO89" s="317"/>
      <c r="WZP89" s="317"/>
      <c r="WZQ89" s="317"/>
      <c r="WZR89" s="317"/>
      <c r="WZS89" s="317"/>
      <c r="WZT89" s="317"/>
      <c r="WZU89" s="317"/>
      <c r="WZV89" s="317"/>
      <c r="WZW89" s="317"/>
      <c r="WZX89" s="317"/>
      <c r="WZY89" s="317"/>
      <c r="WZZ89" s="317"/>
      <c r="XAA89" s="317"/>
      <c r="XAB89" s="317"/>
      <c r="XAC89" s="317"/>
      <c r="XAD89" s="317"/>
      <c r="XAE89" s="317"/>
      <c r="XAF89" s="317"/>
      <c r="XAG89" s="317"/>
      <c r="XAH89" s="317"/>
      <c r="XAI89" s="317"/>
      <c r="XAJ89" s="317"/>
      <c r="XAK89" s="317"/>
      <c r="XAL89" s="317"/>
      <c r="XAM89" s="317"/>
      <c r="XAN89" s="317"/>
      <c r="XAO89" s="317"/>
      <c r="XAP89" s="317"/>
      <c r="XAQ89" s="317"/>
      <c r="XAR89" s="317"/>
      <c r="XAS89" s="317"/>
      <c r="XAT89" s="317"/>
      <c r="XAU89" s="317"/>
      <c r="XAV89" s="317"/>
      <c r="XAW89" s="317"/>
      <c r="XAX89" s="317"/>
      <c r="XAY89" s="317"/>
      <c r="XAZ89" s="317"/>
      <c r="XBA89" s="317"/>
      <c r="XBB89" s="317"/>
      <c r="XBC89" s="317"/>
      <c r="XBD89" s="317"/>
      <c r="XBE89" s="317"/>
      <c r="XBF89" s="317"/>
      <c r="XBG89" s="317"/>
      <c r="XBH89" s="317"/>
      <c r="XBI89" s="317"/>
      <c r="XBJ89" s="317"/>
      <c r="XBK89" s="317"/>
      <c r="XBL89" s="317"/>
      <c r="XBM89" s="317"/>
      <c r="XBN89" s="317"/>
      <c r="XBO89" s="317"/>
      <c r="XBP89" s="317"/>
      <c r="XBQ89" s="317"/>
      <c r="XBR89" s="317"/>
      <c r="XBS89" s="317"/>
      <c r="XBT89" s="317"/>
      <c r="XBU89" s="317"/>
      <c r="XBV89" s="317"/>
      <c r="XBW89" s="317"/>
      <c r="XBX89" s="317"/>
      <c r="XBY89" s="317"/>
      <c r="XBZ89" s="317"/>
      <c r="XCA89" s="317"/>
      <c r="XCB89" s="317"/>
      <c r="XCC89" s="317"/>
      <c r="XCD89" s="317"/>
      <c r="XCE89" s="317"/>
      <c r="XCF89" s="317"/>
      <c r="XCG89" s="317"/>
      <c r="XCH89" s="317"/>
      <c r="XCI89" s="317"/>
      <c r="XCJ89" s="317"/>
      <c r="XCK89" s="317"/>
      <c r="XCL89" s="317"/>
      <c r="XCM89" s="317"/>
      <c r="XCN89" s="317"/>
      <c r="XCO89" s="317"/>
      <c r="XCP89" s="317"/>
      <c r="XCQ89" s="317"/>
      <c r="XCR89" s="317"/>
      <c r="XCS89" s="317"/>
      <c r="XCT89" s="317"/>
      <c r="XCU89" s="317"/>
      <c r="XCV89" s="317"/>
      <c r="XCW89" s="317"/>
      <c r="XCX89" s="317"/>
      <c r="XCY89" s="317"/>
      <c r="XCZ89" s="317"/>
      <c r="XDA89" s="317"/>
      <c r="XDB89" s="317"/>
      <c r="XDC89" s="317"/>
      <c r="XDD89" s="317"/>
      <c r="XDE89" s="317"/>
      <c r="XDF89" s="317"/>
      <c r="XDG89" s="317"/>
      <c r="XDH89" s="317"/>
      <c r="XDI89" s="317"/>
      <c r="XDJ89" s="317"/>
      <c r="XDK89" s="317"/>
      <c r="XDL89" s="317"/>
      <c r="XDM89" s="317"/>
      <c r="XDN89" s="317"/>
      <c r="XDO89" s="317"/>
      <c r="XDP89" s="317"/>
      <c r="XDQ89" s="317"/>
      <c r="XDR89" s="317"/>
      <c r="XDS89" s="317"/>
      <c r="XDT89" s="317"/>
      <c r="XDU89" s="317"/>
      <c r="XDV89" s="317"/>
      <c r="XDW89" s="317"/>
      <c r="XDX89" s="317"/>
      <c r="XDY89" s="317"/>
      <c r="XDZ89" s="317"/>
      <c r="XEA89" s="317"/>
      <c r="XEB89" s="317"/>
      <c r="XEC89" s="317"/>
      <c r="XED89" s="317"/>
      <c r="XEE89" s="317"/>
      <c r="XEF89" s="317"/>
      <c r="XEG89" s="317"/>
      <c r="XEH89" s="317"/>
      <c r="XEI89" s="317"/>
      <c r="XEJ89" s="317"/>
      <c r="XEK89" s="317"/>
      <c r="XEL89" s="317"/>
      <c r="XEM89" s="317"/>
      <c r="XEN89" s="317"/>
      <c r="XEO89" s="317"/>
      <c r="XEP89" s="317"/>
      <c r="XEQ89" s="317"/>
      <c r="XER89" s="317"/>
      <c r="XES89" s="317"/>
      <c r="XET89" s="317"/>
      <c r="XEU89" s="317"/>
      <c r="XEV89" s="317"/>
      <c r="XEW89" s="317"/>
      <c r="XEX89" s="317"/>
      <c r="XEY89" s="317"/>
      <c r="XEZ89" s="317"/>
      <c r="XFA89" s="317"/>
      <c r="XFB89" s="317"/>
      <c r="XFC89" s="317"/>
      <c r="XFD89" s="317"/>
    </row>
    <row r="90" s="314" customFormat="1" ht="25" customHeight="1" spans="1:74 14505:16384">
      <c r="A90" s="364" t="s">
        <v>112</v>
      </c>
      <c r="B90" s="365" t="s">
        <v>113</v>
      </c>
      <c r="I90" s="315"/>
      <c r="O90" s="316"/>
      <c r="P90" s="316"/>
      <c r="V90" s="316"/>
      <c r="W90" s="316"/>
      <c r="X90" s="316"/>
      <c r="Y90" s="316"/>
      <c r="Z90" s="316"/>
      <c r="AA90" s="316"/>
      <c r="AB90" s="316"/>
      <c r="AC90" s="316"/>
      <c r="AD90" s="316"/>
      <c r="AK90" s="316"/>
      <c r="AL90" s="366"/>
      <c r="AM90" s="366"/>
      <c r="AN90" s="366"/>
      <c r="AO90" s="366"/>
      <c r="AQ90" s="316"/>
      <c r="AR90" s="316"/>
      <c r="AY90" s="316"/>
      <c r="BE90" s="316"/>
      <c r="BF90" s="316"/>
      <c r="BM90" s="316"/>
      <c r="BS90" s="316"/>
      <c r="BT90" s="316"/>
      <c r="UKW90" s="317"/>
      <c r="UKX90" s="317"/>
      <c r="UKY90" s="317"/>
      <c r="UKZ90" s="317"/>
      <c r="ULA90" s="317"/>
      <c r="ULB90" s="317"/>
      <c r="ULC90" s="317"/>
      <c r="ULD90" s="317"/>
      <c r="ULE90" s="317"/>
      <c r="ULF90" s="317"/>
      <c r="ULG90" s="317"/>
      <c r="ULH90" s="317"/>
      <c r="ULI90" s="317"/>
      <c r="ULJ90" s="317"/>
      <c r="ULK90" s="317"/>
      <c r="ULL90" s="317"/>
      <c r="ULM90" s="317"/>
      <c r="ULN90" s="317"/>
      <c r="ULO90" s="317"/>
      <c r="ULP90" s="317"/>
      <c r="ULQ90" s="317"/>
      <c r="ULR90" s="317"/>
      <c r="ULS90" s="317"/>
      <c r="ULT90" s="317"/>
      <c r="ULU90" s="317"/>
      <c r="ULV90" s="317"/>
      <c r="ULW90" s="317"/>
      <c r="ULX90" s="317"/>
      <c r="ULY90" s="317"/>
      <c r="ULZ90" s="317"/>
      <c r="UMA90" s="317"/>
      <c r="UMB90" s="317"/>
      <c r="UMC90" s="317"/>
      <c r="UMD90" s="317"/>
      <c r="UME90" s="317"/>
      <c r="UMF90" s="317"/>
      <c r="UMG90" s="317"/>
      <c r="UMH90" s="317"/>
      <c r="UMI90" s="317"/>
      <c r="UMJ90" s="317"/>
      <c r="UMK90" s="317"/>
      <c r="UML90" s="317"/>
      <c r="UMM90" s="317"/>
      <c r="UMN90" s="317"/>
      <c r="UMO90" s="317"/>
      <c r="UMP90" s="317"/>
      <c r="UMQ90" s="317"/>
      <c r="UMR90" s="317"/>
      <c r="UMS90" s="317"/>
      <c r="UMT90" s="317"/>
      <c r="UMU90" s="317"/>
      <c r="UMV90" s="317"/>
      <c r="UMW90" s="317"/>
      <c r="UMX90" s="317"/>
      <c r="UMY90" s="317"/>
      <c r="UMZ90" s="317"/>
      <c r="UNA90" s="317"/>
      <c r="UNB90" s="317"/>
      <c r="UNC90" s="317"/>
      <c r="UND90" s="317"/>
      <c r="UNE90" s="317"/>
      <c r="UNF90" s="317"/>
      <c r="UNG90" s="317"/>
      <c r="UNH90" s="317"/>
      <c r="UNI90" s="317"/>
      <c r="UNJ90" s="317"/>
      <c r="UNK90" s="317"/>
      <c r="UNL90" s="317"/>
      <c r="UNM90" s="317"/>
      <c r="UNN90" s="317"/>
      <c r="UNO90" s="317"/>
      <c r="UNP90" s="317"/>
      <c r="UNQ90" s="317"/>
      <c r="UNR90" s="317"/>
      <c r="UNS90" s="317"/>
      <c r="UNT90" s="317"/>
      <c r="UNU90" s="317"/>
      <c r="UNV90" s="317"/>
      <c r="UNW90" s="317"/>
      <c r="UNX90" s="317"/>
      <c r="UNY90" s="317"/>
      <c r="UNZ90" s="317"/>
      <c r="UOA90" s="317"/>
      <c r="UOB90" s="317"/>
      <c r="UOC90" s="317"/>
      <c r="UOD90" s="317"/>
      <c r="UOE90" s="317"/>
      <c r="UOF90" s="317"/>
      <c r="UOG90" s="317"/>
      <c r="UOH90" s="317"/>
      <c r="UOI90" s="317"/>
      <c r="UOJ90" s="317"/>
      <c r="UOK90" s="317"/>
      <c r="UOL90" s="317"/>
      <c r="UOM90" s="317"/>
      <c r="UON90" s="317"/>
      <c r="UOO90" s="317"/>
      <c r="UOP90" s="317"/>
      <c r="UOQ90" s="317"/>
      <c r="UOR90" s="317"/>
      <c r="UOS90" s="317"/>
      <c r="UOT90" s="317"/>
      <c r="UOU90" s="317"/>
      <c r="UOV90" s="317"/>
      <c r="UOW90" s="317"/>
      <c r="UOX90" s="317"/>
      <c r="UOY90" s="317"/>
      <c r="UOZ90" s="317"/>
      <c r="UPA90" s="317"/>
      <c r="UPB90" s="317"/>
      <c r="UPC90" s="317"/>
      <c r="UPD90" s="317"/>
      <c r="UPE90" s="317"/>
      <c r="UPF90" s="317"/>
      <c r="UPG90" s="317"/>
      <c r="UPH90" s="317"/>
      <c r="UPI90" s="317"/>
      <c r="UPJ90" s="317"/>
      <c r="UPK90" s="317"/>
      <c r="UPL90" s="317"/>
      <c r="UPM90" s="317"/>
      <c r="UPN90" s="317"/>
      <c r="UPO90" s="317"/>
      <c r="UPP90" s="317"/>
      <c r="UPQ90" s="317"/>
      <c r="UPR90" s="317"/>
      <c r="UPS90" s="317"/>
      <c r="UPT90" s="317"/>
      <c r="UPU90" s="317"/>
      <c r="UPV90" s="317"/>
      <c r="UPW90" s="317"/>
      <c r="UPX90" s="317"/>
      <c r="UPY90" s="317"/>
      <c r="UPZ90" s="317"/>
      <c r="UQA90" s="317"/>
      <c r="UQB90" s="317"/>
      <c r="UQC90" s="317"/>
      <c r="UQD90" s="317"/>
      <c r="UQE90" s="317"/>
      <c r="UQF90" s="317"/>
      <c r="UQG90" s="317"/>
      <c r="UQH90" s="317"/>
      <c r="UQI90" s="317"/>
      <c r="UQJ90" s="317"/>
      <c r="UQK90" s="317"/>
      <c r="UQL90" s="317"/>
      <c r="UQM90" s="317"/>
      <c r="UQN90" s="317"/>
      <c r="UQO90" s="317"/>
      <c r="UQP90" s="317"/>
      <c r="UQQ90" s="317"/>
      <c r="UQR90" s="317"/>
      <c r="UQS90" s="317"/>
      <c r="UQT90" s="317"/>
      <c r="UQU90" s="317"/>
      <c r="UQV90" s="317"/>
      <c r="UQW90" s="317"/>
      <c r="UQX90" s="317"/>
      <c r="UQY90" s="317"/>
      <c r="UQZ90" s="317"/>
      <c r="URA90" s="317"/>
      <c r="URB90" s="317"/>
      <c r="URC90" s="317"/>
      <c r="URD90" s="317"/>
      <c r="URE90" s="317"/>
      <c r="URF90" s="317"/>
      <c r="URG90" s="317"/>
      <c r="URH90" s="317"/>
      <c r="URI90" s="317"/>
      <c r="URJ90" s="317"/>
      <c r="URK90" s="317"/>
      <c r="URL90" s="317"/>
      <c r="URM90" s="317"/>
      <c r="URN90" s="317"/>
      <c r="URO90" s="317"/>
      <c r="URP90" s="317"/>
      <c r="URQ90" s="317"/>
      <c r="URR90" s="317"/>
      <c r="URS90" s="317"/>
      <c r="URT90" s="317"/>
      <c r="URU90" s="317"/>
      <c r="URV90" s="317"/>
      <c r="URW90" s="317"/>
      <c r="URX90" s="317"/>
      <c r="URY90" s="317"/>
      <c r="URZ90" s="317"/>
      <c r="USA90" s="317"/>
      <c r="USB90" s="317"/>
      <c r="USC90" s="317"/>
      <c r="USD90" s="317"/>
      <c r="USE90" s="317"/>
      <c r="USF90" s="317"/>
      <c r="USG90" s="317"/>
      <c r="USH90" s="317"/>
      <c r="USI90" s="317"/>
      <c r="USJ90" s="317"/>
      <c r="USK90" s="317"/>
      <c r="USL90" s="317"/>
      <c r="USM90" s="317"/>
      <c r="USN90" s="317"/>
      <c r="USO90" s="317"/>
      <c r="USP90" s="317"/>
      <c r="USQ90" s="317"/>
      <c r="USR90" s="317"/>
      <c r="USS90" s="317"/>
      <c r="UST90" s="317"/>
      <c r="USU90" s="317"/>
      <c r="USV90" s="317"/>
      <c r="USW90" s="317"/>
      <c r="USX90" s="317"/>
      <c r="USY90" s="317"/>
      <c r="USZ90" s="317"/>
      <c r="UTA90" s="317"/>
      <c r="UTB90" s="317"/>
      <c r="UTC90" s="317"/>
      <c r="UTD90" s="317"/>
      <c r="UTE90" s="317"/>
      <c r="UTF90" s="317"/>
      <c r="UTG90" s="317"/>
      <c r="UTH90" s="317"/>
      <c r="UTI90" s="317"/>
      <c r="UTJ90" s="317"/>
      <c r="UTK90" s="317"/>
      <c r="UTL90" s="317"/>
      <c r="UTM90" s="317"/>
      <c r="UTN90" s="317"/>
      <c r="UTO90" s="317"/>
      <c r="UTP90" s="317"/>
      <c r="UTQ90" s="317"/>
      <c r="UTR90" s="317"/>
      <c r="UTS90" s="317"/>
      <c r="UTT90" s="317"/>
      <c r="UTU90" s="317"/>
      <c r="UTV90" s="317"/>
      <c r="UTW90" s="317"/>
      <c r="UTX90" s="317"/>
      <c r="UTY90" s="317"/>
      <c r="UTZ90" s="317"/>
      <c r="UUA90" s="317"/>
      <c r="UUB90" s="317"/>
      <c r="UUC90" s="317"/>
      <c r="UUD90" s="317"/>
      <c r="UUE90" s="317"/>
      <c r="UUF90" s="317"/>
      <c r="UUG90" s="317"/>
      <c r="UUH90" s="317"/>
      <c r="UUI90" s="317"/>
      <c r="UUJ90" s="317"/>
      <c r="UUK90" s="317"/>
      <c r="UUL90" s="317"/>
      <c r="UUM90" s="317"/>
      <c r="UUN90" s="317"/>
      <c r="UUO90" s="317"/>
      <c r="UUP90" s="317"/>
      <c r="UUQ90" s="317"/>
      <c r="UUR90" s="317"/>
      <c r="UUS90" s="317"/>
      <c r="UUT90" s="317"/>
      <c r="UUU90" s="317"/>
      <c r="UUV90" s="317"/>
      <c r="UUW90" s="317"/>
      <c r="UUX90" s="317"/>
      <c r="UUY90" s="317"/>
      <c r="UUZ90" s="317"/>
      <c r="UVA90" s="317"/>
      <c r="UVB90" s="317"/>
      <c r="UVC90" s="317"/>
      <c r="UVD90" s="317"/>
      <c r="UVE90" s="317"/>
      <c r="UVF90" s="317"/>
      <c r="UVG90" s="317"/>
      <c r="UVH90" s="317"/>
      <c r="UVI90" s="317"/>
      <c r="UVJ90" s="317"/>
      <c r="UVK90" s="317"/>
      <c r="UVL90" s="317"/>
      <c r="UVM90" s="317"/>
      <c r="UVN90" s="317"/>
      <c r="UVO90" s="317"/>
      <c r="UVP90" s="317"/>
      <c r="UVQ90" s="317"/>
      <c r="UVR90" s="317"/>
      <c r="UVS90" s="317"/>
      <c r="UVT90" s="317"/>
      <c r="UVU90" s="317"/>
      <c r="UVV90" s="317"/>
      <c r="UVW90" s="317"/>
      <c r="UVX90" s="317"/>
      <c r="UVY90" s="317"/>
      <c r="UVZ90" s="317"/>
      <c r="UWA90" s="317"/>
      <c r="UWB90" s="317"/>
      <c r="UWC90" s="317"/>
      <c r="UWD90" s="317"/>
      <c r="UWE90" s="317"/>
      <c r="UWF90" s="317"/>
      <c r="UWG90" s="317"/>
      <c r="UWH90" s="317"/>
      <c r="UWI90" s="317"/>
      <c r="UWJ90" s="317"/>
      <c r="UWK90" s="317"/>
      <c r="UWL90" s="317"/>
      <c r="UWM90" s="317"/>
      <c r="UWN90" s="317"/>
      <c r="UWO90" s="317"/>
      <c r="UWP90" s="317"/>
      <c r="UWQ90" s="317"/>
      <c r="UWR90" s="317"/>
      <c r="UWS90" s="317"/>
      <c r="UWT90" s="317"/>
      <c r="UWU90" s="317"/>
      <c r="UWV90" s="317"/>
      <c r="UWW90" s="317"/>
      <c r="UWX90" s="317"/>
      <c r="UWY90" s="317"/>
      <c r="UWZ90" s="317"/>
      <c r="UXA90" s="317"/>
      <c r="UXB90" s="317"/>
      <c r="UXC90" s="317"/>
      <c r="UXD90" s="317"/>
      <c r="UXE90" s="317"/>
      <c r="UXF90" s="317"/>
      <c r="UXG90" s="317"/>
      <c r="UXH90" s="317"/>
      <c r="UXI90" s="317"/>
      <c r="UXJ90" s="317"/>
      <c r="UXK90" s="317"/>
      <c r="UXL90" s="317"/>
      <c r="UXM90" s="317"/>
      <c r="UXN90" s="317"/>
      <c r="UXO90" s="317"/>
      <c r="UXP90" s="317"/>
      <c r="UXQ90" s="317"/>
      <c r="UXR90" s="317"/>
      <c r="UXS90" s="317"/>
      <c r="UXT90" s="317"/>
      <c r="UXU90" s="317"/>
      <c r="UXV90" s="317"/>
      <c r="UXW90" s="317"/>
      <c r="UXX90" s="317"/>
      <c r="UXY90" s="317"/>
      <c r="UXZ90" s="317"/>
      <c r="UYA90" s="317"/>
      <c r="UYB90" s="317"/>
      <c r="UYC90" s="317"/>
      <c r="UYD90" s="317"/>
      <c r="UYE90" s="317"/>
      <c r="UYF90" s="317"/>
      <c r="UYG90" s="317"/>
      <c r="UYH90" s="317"/>
      <c r="UYI90" s="317"/>
      <c r="UYJ90" s="317"/>
      <c r="UYK90" s="317"/>
      <c r="UYL90" s="317"/>
      <c r="UYM90" s="317"/>
      <c r="UYN90" s="317"/>
      <c r="UYO90" s="317"/>
      <c r="UYP90" s="317"/>
      <c r="UYQ90" s="317"/>
      <c r="UYR90" s="317"/>
      <c r="UYS90" s="317"/>
      <c r="UYT90" s="317"/>
      <c r="UYU90" s="317"/>
      <c r="UYV90" s="317"/>
      <c r="UYW90" s="317"/>
      <c r="UYX90" s="317"/>
      <c r="UYY90" s="317"/>
      <c r="UYZ90" s="317"/>
      <c r="UZA90" s="317"/>
      <c r="UZB90" s="317"/>
      <c r="UZC90" s="317"/>
      <c r="UZD90" s="317"/>
      <c r="UZE90" s="317"/>
      <c r="UZF90" s="317"/>
      <c r="UZG90" s="317"/>
      <c r="UZH90" s="317"/>
      <c r="UZI90" s="317"/>
      <c r="UZJ90" s="317"/>
      <c r="UZK90" s="317"/>
      <c r="UZL90" s="317"/>
      <c r="UZM90" s="317"/>
      <c r="UZN90" s="317"/>
      <c r="UZO90" s="317"/>
      <c r="UZP90" s="317"/>
      <c r="UZQ90" s="317"/>
      <c r="UZR90" s="317"/>
      <c r="UZS90" s="317"/>
      <c r="UZT90" s="317"/>
      <c r="UZU90" s="317"/>
      <c r="UZV90" s="317"/>
      <c r="UZW90" s="317"/>
      <c r="UZX90" s="317"/>
      <c r="UZY90" s="317"/>
      <c r="UZZ90" s="317"/>
      <c r="VAA90" s="317"/>
      <c r="VAB90" s="317"/>
      <c r="VAC90" s="317"/>
      <c r="VAD90" s="317"/>
      <c r="VAE90" s="317"/>
      <c r="VAF90" s="317"/>
      <c r="VAG90" s="317"/>
      <c r="VAH90" s="317"/>
      <c r="VAI90" s="317"/>
      <c r="VAJ90" s="317"/>
      <c r="VAK90" s="317"/>
      <c r="VAL90" s="317"/>
      <c r="VAM90" s="317"/>
      <c r="VAN90" s="317"/>
      <c r="VAO90" s="317"/>
      <c r="VAP90" s="317"/>
      <c r="VAQ90" s="317"/>
      <c r="VAR90" s="317"/>
      <c r="VAS90" s="317"/>
      <c r="VAT90" s="317"/>
      <c r="VAU90" s="317"/>
      <c r="VAV90" s="317"/>
      <c r="VAW90" s="317"/>
      <c r="VAX90" s="317"/>
      <c r="VAY90" s="317"/>
      <c r="VAZ90" s="317"/>
      <c r="VBA90" s="317"/>
      <c r="VBB90" s="317"/>
      <c r="VBC90" s="317"/>
      <c r="VBD90" s="317"/>
      <c r="VBE90" s="317"/>
      <c r="VBF90" s="317"/>
      <c r="VBG90" s="317"/>
      <c r="VBH90" s="317"/>
      <c r="VBI90" s="317"/>
      <c r="VBJ90" s="317"/>
      <c r="VBK90" s="317"/>
      <c r="VBL90" s="317"/>
      <c r="VBM90" s="317"/>
      <c r="VBN90" s="317"/>
      <c r="VBO90" s="317"/>
      <c r="VBP90" s="317"/>
      <c r="VBQ90" s="317"/>
      <c r="VBR90" s="317"/>
      <c r="VBS90" s="317"/>
      <c r="VBT90" s="317"/>
      <c r="VBU90" s="317"/>
      <c r="VBV90" s="317"/>
      <c r="VBW90" s="317"/>
      <c r="VBX90" s="317"/>
      <c r="VBY90" s="317"/>
      <c r="VBZ90" s="317"/>
      <c r="VCA90" s="317"/>
      <c r="VCB90" s="317"/>
      <c r="VCC90" s="317"/>
      <c r="VCD90" s="317"/>
      <c r="VCE90" s="317"/>
      <c r="VCF90" s="317"/>
      <c r="VCG90" s="317"/>
      <c r="VCH90" s="317"/>
      <c r="VCI90" s="317"/>
      <c r="VCJ90" s="317"/>
      <c r="VCK90" s="317"/>
      <c r="VCL90" s="317"/>
      <c r="VCM90" s="317"/>
      <c r="VCN90" s="317"/>
      <c r="VCO90" s="317"/>
      <c r="VCP90" s="317"/>
      <c r="VCQ90" s="317"/>
      <c r="VCR90" s="317"/>
      <c r="VCS90" s="317"/>
      <c r="VCT90" s="317"/>
      <c r="VCU90" s="317"/>
      <c r="VCV90" s="317"/>
      <c r="VCW90" s="317"/>
      <c r="VCX90" s="317"/>
      <c r="VCY90" s="317"/>
      <c r="VCZ90" s="317"/>
      <c r="VDA90" s="317"/>
      <c r="VDB90" s="317"/>
      <c r="VDC90" s="317"/>
      <c r="VDD90" s="317"/>
      <c r="VDE90" s="317"/>
      <c r="VDF90" s="317"/>
      <c r="VDG90" s="317"/>
      <c r="VDH90" s="317"/>
      <c r="VDI90" s="317"/>
      <c r="VDJ90" s="317"/>
      <c r="VDK90" s="317"/>
      <c r="VDL90" s="317"/>
      <c r="VDM90" s="317"/>
      <c r="VDN90" s="317"/>
      <c r="VDO90" s="317"/>
      <c r="VDP90" s="317"/>
      <c r="VDQ90" s="317"/>
      <c r="VDR90" s="317"/>
      <c r="VDS90" s="317"/>
      <c r="VDT90" s="317"/>
      <c r="VDU90" s="317"/>
      <c r="VDV90" s="317"/>
      <c r="VDW90" s="317"/>
      <c r="VDX90" s="317"/>
      <c r="VDY90" s="317"/>
      <c r="VDZ90" s="317"/>
      <c r="VEA90" s="317"/>
      <c r="VEB90" s="317"/>
      <c r="VEC90" s="317"/>
      <c r="VED90" s="317"/>
      <c r="VEE90" s="317"/>
      <c r="VEF90" s="317"/>
      <c r="VEG90" s="317"/>
      <c r="VEH90" s="317"/>
      <c r="VEI90" s="317"/>
      <c r="VEJ90" s="317"/>
      <c r="VEK90" s="317"/>
      <c r="VEL90" s="317"/>
      <c r="VEM90" s="317"/>
      <c r="VEN90" s="317"/>
      <c r="VEO90" s="317"/>
      <c r="VEP90" s="317"/>
      <c r="VEQ90" s="317"/>
      <c r="VER90" s="317"/>
      <c r="VES90" s="317"/>
      <c r="VET90" s="317"/>
      <c r="VEU90" s="317"/>
      <c r="VEV90" s="317"/>
      <c r="VEW90" s="317"/>
      <c r="VEX90" s="317"/>
      <c r="VEY90" s="317"/>
      <c r="VEZ90" s="317"/>
      <c r="VFA90" s="317"/>
      <c r="VFB90" s="317"/>
      <c r="VFC90" s="317"/>
      <c r="VFD90" s="317"/>
      <c r="VFE90" s="317"/>
      <c r="VFF90" s="317"/>
      <c r="VFG90" s="317"/>
      <c r="VFH90" s="317"/>
      <c r="VFI90" s="317"/>
      <c r="VFJ90" s="317"/>
      <c r="VFK90" s="317"/>
      <c r="VFL90" s="317"/>
      <c r="VFM90" s="317"/>
      <c r="VFN90" s="317"/>
      <c r="VFO90" s="317"/>
      <c r="VFP90" s="317"/>
      <c r="VFQ90" s="317"/>
      <c r="VFR90" s="317"/>
      <c r="VFS90" s="317"/>
      <c r="VFT90" s="317"/>
      <c r="VFU90" s="317"/>
      <c r="VFV90" s="317"/>
      <c r="VFW90" s="317"/>
      <c r="VFX90" s="317"/>
      <c r="VFY90" s="317"/>
      <c r="VFZ90" s="317"/>
      <c r="VGA90" s="317"/>
      <c r="VGB90" s="317"/>
      <c r="VGC90" s="317"/>
      <c r="VGD90" s="317"/>
      <c r="VGE90" s="317"/>
      <c r="VGF90" s="317"/>
      <c r="VGG90" s="317"/>
      <c r="VGH90" s="317"/>
      <c r="VGI90" s="317"/>
      <c r="VGJ90" s="317"/>
      <c r="VGK90" s="317"/>
      <c r="VGL90" s="317"/>
      <c r="VGM90" s="317"/>
      <c r="VGN90" s="317"/>
      <c r="VGO90" s="317"/>
      <c r="VGP90" s="317"/>
      <c r="VGQ90" s="317"/>
      <c r="VGR90" s="317"/>
      <c r="VGS90" s="317"/>
      <c r="VGT90" s="317"/>
      <c r="VGU90" s="317"/>
      <c r="VGV90" s="317"/>
      <c r="VGW90" s="317"/>
      <c r="VGX90" s="317"/>
      <c r="VGY90" s="317"/>
      <c r="VGZ90" s="317"/>
      <c r="VHA90" s="317"/>
      <c r="VHB90" s="317"/>
      <c r="VHC90" s="317"/>
      <c r="VHD90" s="317"/>
      <c r="VHE90" s="317"/>
      <c r="VHF90" s="317"/>
      <c r="VHG90" s="317"/>
      <c r="VHH90" s="317"/>
      <c r="VHI90" s="317"/>
      <c r="VHJ90" s="317"/>
      <c r="VHK90" s="317"/>
      <c r="VHL90" s="317"/>
      <c r="VHM90" s="317"/>
      <c r="VHN90" s="317"/>
      <c r="VHO90" s="317"/>
      <c r="VHP90" s="317"/>
      <c r="VHQ90" s="317"/>
      <c r="VHR90" s="317"/>
      <c r="VHS90" s="317"/>
      <c r="VHT90" s="317"/>
      <c r="VHU90" s="317"/>
      <c r="VHV90" s="317"/>
      <c r="VHW90" s="317"/>
      <c r="VHX90" s="317"/>
      <c r="VHY90" s="317"/>
      <c r="VHZ90" s="317"/>
      <c r="VIA90" s="317"/>
      <c r="VIB90" s="317"/>
      <c r="VIC90" s="317"/>
      <c r="VID90" s="317"/>
      <c r="VIE90" s="317"/>
      <c r="VIF90" s="317"/>
      <c r="VIG90" s="317"/>
      <c r="VIH90" s="317"/>
      <c r="VII90" s="317"/>
      <c r="VIJ90" s="317"/>
      <c r="VIK90" s="317"/>
      <c r="VIL90" s="317"/>
      <c r="VIM90" s="317"/>
      <c r="VIN90" s="317"/>
      <c r="VIO90" s="317"/>
      <c r="VIP90" s="317"/>
      <c r="VIQ90" s="317"/>
      <c r="VIR90" s="317"/>
      <c r="VIS90" s="317"/>
      <c r="VIT90" s="317"/>
      <c r="VIU90" s="317"/>
      <c r="VIV90" s="317"/>
      <c r="VIW90" s="317"/>
      <c r="VIX90" s="317"/>
      <c r="VIY90" s="317"/>
      <c r="VIZ90" s="317"/>
      <c r="VJA90" s="317"/>
      <c r="VJB90" s="317"/>
      <c r="VJC90" s="317"/>
      <c r="VJD90" s="317"/>
      <c r="VJE90" s="317"/>
      <c r="VJF90" s="317"/>
      <c r="VJG90" s="317"/>
      <c r="VJH90" s="317"/>
      <c r="VJI90" s="317"/>
      <c r="VJJ90" s="317"/>
      <c r="VJK90" s="317"/>
      <c r="VJL90" s="317"/>
      <c r="VJM90" s="317"/>
      <c r="VJN90" s="317"/>
      <c r="VJO90" s="317"/>
      <c r="VJP90" s="317"/>
      <c r="VJQ90" s="317"/>
      <c r="VJR90" s="317"/>
      <c r="VJS90" s="317"/>
      <c r="VJT90" s="317"/>
      <c r="VJU90" s="317"/>
      <c r="VJV90" s="317"/>
      <c r="VJW90" s="317"/>
      <c r="VJX90" s="317"/>
      <c r="VJY90" s="317"/>
      <c r="VJZ90" s="317"/>
      <c r="VKA90" s="317"/>
      <c r="VKB90" s="317"/>
      <c r="VKC90" s="317"/>
      <c r="VKD90" s="317"/>
      <c r="VKE90" s="317"/>
      <c r="VKF90" s="317"/>
      <c r="VKG90" s="317"/>
      <c r="VKH90" s="317"/>
      <c r="VKI90" s="317"/>
      <c r="VKJ90" s="317"/>
      <c r="VKK90" s="317"/>
      <c r="VKL90" s="317"/>
      <c r="VKM90" s="317"/>
      <c r="VKN90" s="317"/>
      <c r="VKO90" s="317"/>
      <c r="VKP90" s="317"/>
      <c r="VKQ90" s="317"/>
      <c r="VKR90" s="317"/>
      <c r="VKS90" s="317"/>
      <c r="VKT90" s="317"/>
      <c r="VKU90" s="317"/>
      <c r="VKV90" s="317"/>
      <c r="VKW90" s="317"/>
      <c r="VKX90" s="317"/>
      <c r="VKY90" s="317"/>
      <c r="VKZ90" s="317"/>
      <c r="VLA90" s="317"/>
      <c r="VLB90" s="317"/>
      <c r="VLC90" s="317"/>
      <c r="VLD90" s="317"/>
      <c r="VLE90" s="317"/>
      <c r="VLF90" s="317"/>
      <c r="VLG90" s="317"/>
      <c r="VLH90" s="317"/>
      <c r="VLI90" s="317"/>
      <c r="VLJ90" s="317"/>
      <c r="VLK90" s="317"/>
      <c r="VLL90" s="317"/>
      <c r="VLM90" s="317"/>
      <c r="VLN90" s="317"/>
      <c r="VLO90" s="317"/>
      <c r="VLP90" s="317"/>
      <c r="VLQ90" s="317"/>
      <c r="VLR90" s="317"/>
      <c r="VLS90" s="317"/>
      <c r="VLT90" s="317"/>
      <c r="VLU90" s="317"/>
      <c r="VLV90" s="317"/>
      <c r="VLW90" s="317"/>
      <c r="VLX90" s="317"/>
      <c r="VLY90" s="317"/>
      <c r="VLZ90" s="317"/>
      <c r="VMA90" s="317"/>
      <c r="VMB90" s="317"/>
      <c r="VMC90" s="317"/>
      <c r="VMD90" s="317"/>
      <c r="VME90" s="317"/>
      <c r="VMF90" s="317"/>
      <c r="VMG90" s="317"/>
      <c r="VMH90" s="317"/>
      <c r="VMI90" s="317"/>
      <c r="VMJ90" s="317"/>
      <c r="VMK90" s="317"/>
      <c r="VML90" s="317"/>
      <c r="VMM90" s="317"/>
      <c r="VMN90" s="317"/>
      <c r="VMO90" s="317"/>
      <c r="VMP90" s="317"/>
      <c r="VMQ90" s="317"/>
      <c r="VMR90" s="317"/>
      <c r="VMS90" s="317"/>
      <c r="VMT90" s="317"/>
      <c r="VMU90" s="317"/>
      <c r="VMV90" s="317"/>
      <c r="VMW90" s="317"/>
      <c r="VMX90" s="317"/>
      <c r="VMY90" s="317"/>
      <c r="VMZ90" s="317"/>
      <c r="VNA90" s="317"/>
      <c r="VNB90" s="317"/>
      <c r="VNC90" s="317"/>
      <c r="VND90" s="317"/>
      <c r="VNE90" s="317"/>
      <c r="VNF90" s="317"/>
      <c r="VNG90" s="317"/>
      <c r="VNH90" s="317"/>
      <c r="VNI90" s="317"/>
      <c r="VNJ90" s="317"/>
      <c r="VNK90" s="317"/>
      <c r="VNL90" s="317"/>
      <c r="VNM90" s="317"/>
      <c r="VNN90" s="317"/>
      <c r="VNO90" s="317"/>
      <c r="VNP90" s="317"/>
      <c r="VNQ90" s="317"/>
      <c r="VNR90" s="317"/>
      <c r="VNS90" s="317"/>
      <c r="VNT90" s="317"/>
      <c r="VNU90" s="317"/>
      <c r="VNV90" s="317"/>
      <c r="VNW90" s="317"/>
      <c r="VNX90" s="317"/>
      <c r="VNY90" s="317"/>
      <c r="VNZ90" s="317"/>
      <c r="VOA90" s="317"/>
      <c r="VOB90" s="317"/>
      <c r="VOC90" s="317"/>
      <c r="VOD90" s="317"/>
      <c r="VOE90" s="317"/>
      <c r="VOF90" s="317"/>
      <c r="VOG90" s="317"/>
      <c r="VOH90" s="317"/>
      <c r="VOI90" s="317"/>
      <c r="VOJ90" s="317"/>
      <c r="VOK90" s="317"/>
      <c r="VOL90" s="317"/>
      <c r="VOM90" s="317"/>
      <c r="VON90" s="317"/>
      <c r="VOO90" s="317"/>
      <c r="VOP90" s="317"/>
      <c r="VOQ90" s="317"/>
      <c r="VOR90" s="317"/>
      <c r="VOS90" s="317"/>
      <c r="VOT90" s="317"/>
      <c r="VOU90" s="317"/>
      <c r="VOV90" s="317"/>
      <c r="VOW90" s="317"/>
      <c r="VOX90" s="317"/>
      <c r="VOY90" s="317"/>
      <c r="VOZ90" s="317"/>
      <c r="VPA90" s="317"/>
      <c r="VPB90" s="317"/>
      <c r="VPC90" s="317"/>
      <c r="VPD90" s="317"/>
      <c r="VPE90" s="317"/>
      <c r="VPF90" s="317"/>
      <c r="VPG90" s="317"/>
      <c r="VPH90" s="317"/>
      <c r="VPI90" s="317"/>
      <c r="VPJ90" s="317"/>
      <c r="VPK90" s="317"/>
      <c r="VPL90" s="317"/>
      <c r="VPM90" s="317"/>
      <c r="VPN90" s="317"/>
      <c r="VPO90" s="317"/>
      <c r="VPP90" s="317"/>
      <c r="VPQ90" s="317"/>
      <c r="VPR90" s="317"/>
      <c r="VPS90" s="317"/>
      <c r="VPT90" s="317"/>
      <c r="VPU90" s="317"/>
      <c r="VPV90" s="317"/>
      <c r="VPW90" s="317"/>
      <c r="VPX90" s="317"/>
      <c r="VPY90" s="317"/>
      <c r="VPZ90" s="317"/>
      <c r="VQA90" s="317"/>
      <c r="VQB90" s="317"/>
      <c r="VQC90" s="317"/>
      <c r="VQD90" s="317"/>
      <c r="VQE90" s="317"/>
      <c r="VQF90" s="317"/>
      <c r="VQG90" s="317"/>
      <c r="VQH90" s="317"/>
      <c r="VQI90" s="317"/>
      <c r="VQJ90" s="317"/>
      <c r="VQK90" s="317"/>
      <c r="VQL90" s="317"/>
      <c r="VQM90" s="317"/>
      <c r="VQN90" s="317"/>
      <c r="VQO90" s="317"/>
      <c r="VQP90" s="317"/>
      <c r="VQQ90" s="317"/>
      <c r="VQR90" s="317"/>
      <c r="VQS90" s="317"/>
      <c r="VQT90" s="317"/>
      <c r="VQU90" s="317"/>
      <c r="VQV90" s="317"/>
      <c r="VQW90" s="317"/>
      <c r="VQX90" s="317"/>
      <c r="VQY90" s="317"/>
      <c r="VQZ90" s="317"/>
      <c r="VRA90" s="317"/>
      <c r="VRB90" s="317"/>
      <c r="VRC90" s="317"/>
      <c r="VRD90" s="317"/>
      <c r="VRE90" s="317"/>
      <c r="VRF90" s="317"/>
      <c r="VRG90" s="317"/>
      <c r="VRH90" s="317"/>
      <c r="VRI90" s="317"/>
      <c r="VRJ90" s="317"/>
      <c r="VRK90" s="317"/>
      <c r="VRL90" s="317"/>
      <c r="VRM90" s="317"/>
      <c r="VRN90" s="317"/>
      <c r="VRO90" s="317"/>
      <c r="VRP90" s="317"/>
      <c r="VRQ90" s="317"/>
      <c r="VRR90" s="317"/>
      <c r="VRS90" s="317"/>
      <c r="VRT90" s="317"/>
      <c r="VRU90" s="317"/>
      <c r="VRV90" s="317"/>
      <c r="VRW90" s="317"/>
      <c r="VRX90" s="317"/>
      <c r="VRY90" s="317"/>
      <c r="VRZ90" s="317"/>
      <c r="VSA90" s="317"/>
      <c r="VSB90" s="317"/>
      <c r="VSC90" s="317"/>
      <c r="VSD90" s="317"/>
      <c r="VSE90" s="317"/>
      <c r="VSF90" s="317"/>
      <c r="VSG90" s="317"/>
      <c r="VSH90" s="317"/>
      <c r="VSI90" s="317"/>
      <c r="VSJ90" s="317"/>
      <c r="VSK90" s="317"/>
      <c r="VSL90" s="317"/>
      <c r="VSM90" s="317"/>
      <c r="VSN90" s="317"/>
      <c r="VSO90" s="317"/>
      <c r="VSP90" s="317"/>
      <c r="VSQ90" s="317"/>
      <c r="VSR90" s="317"/>
      <c r="VSS90" s="317"/>
      <c r="VST90" s="317"/>
      <c r="VSU90" s="317"/>
      <c r="VSV90" s="317"/>
      <c r="VSW90" s="317"/>
      <c r="VSX90" s="317"/>
      <c r="VSY90" s="317"/>
      <c r="VSZ90" s="317"/>
      <c r="VTA90" s="317"/>
      <c r="VTB90" s="317"/>
      <c r="VTC90" s="317"/>
      <c r="VTD90" s="317"/>
      <c r="VTE90" s="317"/>
      <c r="VTF90" s="317"/>
      <c r="VTG90" s="317"/>
      <c r="VTH90" s="317"/>
      <c r="VTI90" s="317"/>
      <c r="VTJ90" s="317"/>
      <c r="VTK90" s="317"/>
      <c r="VTL90" s="317"/>
      <c r="VTM90" s="317"/>
      <c r="VTN90" s="317"/>
      <c r="VTO90" s="317"/>
      <c r="VTP90" s="317"/>
      <c r="VTQ90" s="317"/>
      <c r="VTR90" s="317"/>
      <c r="VTS90" s="317"/>
      <c r="VTT90" s="317"/>
      <c r="VTU90" s="317"/>
      <c r="VTV90" s="317"/>
      <c r="VTW90" s="317"/>
      <c r="VTX90" s="317"/>
      <c r="VTY90" s="317"/>
      <c r="VTZ90" s="317"/>
      <c r="VUA90" s="317"/>
      <c r="VUB90" s="317"/>
      <c r="VUC90" s="317"/>
      <c r="VUD90" s="317"/>
      <c r="VUE90" s="317"/>
      <c r="VUF90" s="317"/>
      <c r="VUG90" s="317"/>
      <c r="VUH90" s="317"/>
      <c r="VUI90" s="317"/>
      <c r="VUJ90" s="317"/>
      <c r="VUK90" s="317"/>
      <c r="VUL90" s="317"/>
      <c r="VUM90" s="317"/>
      <c r="VUN90" s="317"/>
      <c r="VUO90" s="317"/>
      <c r="VUP90" s="317"/>
      <c r="VUQ90" s="317"/>
      <c r="VUR90" s="317"/>
      <c r="VUS90" s="317"/>
      <c r="VUT90" s="317"/>
      <c r="VUU90" s="317"/>
      <c r="VUV90" s="317"/>
      <c r="VUW90" s="317"/>
      <c r="VUX90" s="317"/>
      <c r="VUY90" s="317"/>
      <c r="VUZ90" s="317"/>
      <c r="VVA90" s="317"/>
      <c r="VVB90" s="317"/>
      <c r="VVC90" s="317"/>
      <c r="VVD90" s="317"/>
      <c r="VVE90" s="317"/>
      <c r="VVF90" s="317"/>
      <c r="VVG90" s="317"/>
      <c r="VVH90" s="317"/>
      <c r="VVI90" s="317"/>
      <c r="VVJ90" s="317"/>
      <c r="VVK90" s="317"/>
      <c r="VVL90" s="317"/>
      <c r="VVM90" s="317"/>
      <c r="VVN90" s="317"/>
      <c r="VVO90" s="317"/>
      <c r="VVP90" s="317"/>
      <c r="VVQ90" s="317"/>
      <c r="VVR90" s="317"/>
      <c r="VVS90" s="317"/>
      <c r="VVT90" s="317"/>
      <c r="VVU90" s="317"/>
      <c r="VVV90" s="317"/>
      <c r="VVW90" s="317"/>
      <c r="VVX90" s="317"/>
      <c r="VVY90" s="317"/>
      <c r="VVZ90" s="317"/>
      <c r="VWA90" s="317"/>
      <c r="VWB90" s="317"/>
      <c r="VWC90" s="317"/>
      <c r="VWD90" s="317"/>
      <c r="VWE90" s="317"/>
      <c r="VWF90" s="317"/>
      <c r="VWG90" s="317"/>
      <c r="VWH90" s="317"/>
      <c r="VWI90" s="317"/>
      <c r="VWJ90" s="317"/>
      <c r="VWK90" s="317"/>
      <c r="VWL90" s="317"/>
      <c r="VWM90" s="317"/>
      <c r="VWN90" s="317"/>
      <c r="VWO90" s="317"/>
      <c r="VWP90" s="317"/>
      <c r="VWQ90" s="317"/>
      <c r="VWR90" s="317"/>
      <c r="VWS90" s="317"/>
      <c r="VWT90" s="317"/>
      <c r="VWU90" s="317"/>
      <c r="VWV90" s="317"/>
      <c r="VWW90" s="317"/>
      <c r="VWX90" s="317"/>
      <c r="VWY90" s="317"/>
      <c r="VWZ90" s="317"/>
      <c r="VXA90" s="317"/>
      <c r="VXB90" s="317"/>
      <c r="VXC90" s="317"/>
      <c r="VXD90" s="317"/>
      <c r="VXE90" s="317"/>
      <c r="VXF90" s="317"/>
      <c r="VXG90" s="317"/>
      <c r="VXH90" s="317"/>
      <c r="VXI90" s="317"/>
      <c r="VXJ90" s="317"/>
      <c r="VXK90" s="317"/>
      <c r="VXL90" s="317"/>
      <c r="VXM90" s="317"/>
      <c r="VXN90" s="317"/>
      <c r="VXO90" s="317"/>
      <c r="VXP90" s="317"/>
      <c r="VXQ90" s="317"/>
      <c r="VXR90" s="317"/>
      <c r="VXS90" s="317"/>
      <c r="VXT90" s="317"/>
      <c r="VXU90" s="317"/>
      <c r="VXV90" s="317"/>
      <c r="VXW90" s="317"/>
      <c r="VXX90" s="317"/>
      <c r="VXY90" s="317"/>
      <c r="VXZ90" s="317"/>
      <c r="VYA90" s="317"/>
      <c r="VYB90" s="317"/>
      <c r="VYC90" s="317"/>
      <c r="VYD90" s="317"/>
      <c r="VYE90" s="317"/>
      <c r="VYF90" s="317"/>
      <c r="VYG90" s="317"/>
      <c r="VYH90" s="317"/>
      <c r="VYI90" s="317"/>
      <c r="VYJ90" s="317"/>
      <c r="VYK90" s="317"/>
      <c r="VYL90" s="317"/>
      <c r="VYM90" s="317"/>
      <c r="VYN90" s="317"/>
      <c r="VYO90" s="317"/>
      <c r="VYP90" s="317"/>
      <c r="VYQ90" s="317"/>
      <c r="VYR90" s="317"/>
      <c r="VYS90" s="317"/>
      <c r="VYT90" s="317"/>
      <c r="VYU90" s="317"/>
      <c r="VYV90" s="317"/>
      <c r="VYW90" s="317"/>
      <c r="VYX90" s="317"/>
      <c r="VYY90" s="317"/>
      <c r="VYZ90" s="317"/>
      <c r="VZA90" s="317"/>
      <c r="VZB90" s="317"/>
      <c r="VZC90" s="317"/>
      <c r="VZD90" s="317"/>
      <c r="VZE90" s="317"/>
      <c r="VZF90" s="317"/>
      <c r="VZG90" s="317"/>
      <c r="VZH90" s="317"/>
      <c r="VZI90" s="317"/>
      <c r="VZJ90" s="317"/>
      <c r="VZK90" s="317"/>
      <c r="VZL90" s="317"/>
      <c r="VZM90" s="317"/>
      <c r="VZN90" s="317"/>
      <c r="VZO90" s="317"/>
      <c r="VZP90" s="317"/>
      <c r="VZQ90" s="317"/>
      <c r="VZR90" s="317"/>
      <c r="VZS90" s="317"/>
      <c r="VZT90" s="317"/>
      <c r="VZU90" s="317"/>
      <c r="VZV90" s="317"/>
      <c r="VZW90" s="317"/>
      <c r="VZX90" s="317"/>
      <c r="VZY90" s="317"/>
      <c r="VZZ90" s="317"/>
      <c r="WAA90" s="317"/>
      <c r="WAB90" s="317"/>
      <c r="WAC90" s="317"/>
      <c r="WAD90" s="317"/>
      <c r="WAE90" s="317"/>
      <c r="WAF90" s="317"/>
      <c r="WAG90" s="317"/>
      <c r="WAH90" s="317"/>
      <c r="WAI90" s="317"/>
      <c r="WAJ90" s="317"/>
      <c r="WAK90" s="317"/>
      <c r="WAL90" s="317"/>
      <c r="WAM90" s="317"/>
      <c r="WAN90" s="317"/>
      <c r="WAO90" s="317"/>
      <c r="WAP90" s="317"/>
      <c r="WAQ90" s="317"/>
      <c r="WAR90" s="317"/>
      <c r="WAS90" s="317"/>
      <c r="WAT90" s="317"/>
      <c r="WAU90" s="317"/>
      <c r="WAV90" s="317"/>
      <c r="WAW90" s="317"/>
      <c r="WAX90" s="317"/>
      <c r="WAY90" s="317"/>
      <c r="WAZ90" s="317"/>
      <c r="WBA90" s="317"/>
      <c r="WBB90" s="317"/>
      <c r="WBC90" s="317"/>
      <c r="WBD90" s="317"/>
      <c r="WBE90" s="317"/>
      <c r="WBF90" s="317"/>
      <c r="WBG90" s="317"/>
      <c r="WBH90" s="317"/>
      <c r="WBI90" s="317"/>
      <c r="WBJ90" s="317"/>
      <c r="WBK90" s="317"/>
      <c r="WBL90" s="317"/>
      <c r="WBM90" s="317"/>
      <c r="WBN90" s="317"/>
      <c r="WBO90" s="317"/>
      <c r="WBP90" s="317"/>
      <c r="WBQ90" s="317"/>
      <c r="WBR90" s="317"/>
      <c r="WBS90" s="317"/>
      <c r="WBT90" s="317"/>
      <c r="WBU90" s="317"/>
      <c r="WBV90" s="317"/>
      <c r="WBW90" s="317"/>
      <c r="WBX90" s="317"/>
      <c r="WBY90" s="317"/>
      <c r="WBZ90" s="317"/>
      <c r="WCA90" s="317"/>
      <c r="WCB90" s="317"/>
      <c r="WCC90" s="317"/>
      <c r="WCD90" s="317"/>
      <c r="WCE90" s="317"/>
      <c r="WCF90" s="317"/>
      <c r="WCG90" s="317"/>
      <c r="WCH90" s="317"/>
      <c r="WCI90" s="317"/>
      <c r="WCJ90" s="317"/>
      <c r="WCK90" s="317"/>
      <c r="WCL90" s="317"/>
      <c r="WCM90" s="317"/>
      <c r="WCN90" s="317"/>
      <c r="WCO90" s="317"/>
      <c r="WCP90" s="317"/>
      <c r="WCQ90" s="317"/>
      <c r="WCR90" s="317"/>
      <c r="WCS90" s="317"/>
      <c r="WCT90" s="317"/>
      <c r="WCU90" s="317"/>
      <c r="WCV90" s="317"/>
      <c r="WCW90" s="317"/>
      <c r="WCX90" s="317"/>
      <c r="WCY90" s="317"/>
      <c r="WCZ90" s="317"/>
      <c r="WDA90" s="317"/>
      <c r="WDB90" s="317"/>
      <c r="WDC90" s="317"/>
      <c r="WDD90" s="317"/>
      <c r="WDE90" s="317"/>
      <c r="WDF90" s="317"/>
      <c r="WDG90" s="317"/>
      <c r="WDH90" s="317"/>
      <c r="WDI90" s="317"/>
      <c r="WDJ90" s="317"/>
      <c r="WDK90" s="317"/>
      <c r="WDL90" s="317"/>
      <c r="WDM90" s="317"/>
      <c r="WDN90" s="317"/>
      <c r="WDO90" s="317"/>
      <c r="WDP90" s="317"/>
      <c r="WDQ90" s="317"/>
      <c r="WDR90" s="317"/>
      <c r="WDS90" s="317"/>
      <c r="WDT90" s="317"/>
      <c r="WDU90" s="317"/>
      <c r="WDV90" s="317"/>
      <c r="WDW90" s="317"/>
      <c r="WDX90" s="317"/>
      <c r="WDY90" s="317"/>
      <c r="WDZ90" s="317"/>
      <c r="WEA90" s="317"/>
      <c r="WEB90" s="317"/>
      <c r="WEC90" s="317"/>
      <c r="WED90" s="317"/>
      <c r="WEE90" s="317"/>
      <c r="WEF90" s="317"/>
      <c r="WEG90" s="317"/>
      <c r="WEH90" s="317"/>
      <c r="WEI90" s="317"/>
      <c r="WEJ90" s="317"/>
      <c r="WEK90" s="317"/>
      <c r="WEL90" s="317"/>
      <c r="WEM90" s="317"/>
      <c r="WEN90" s="317"/>
      <c r="WEO90" s="317"/>
      <c r="WEP90" s="317"/>
      <c r="WEQ90" s="317"/>
      <c r="WER90" s="317"/>
      <c r="WES90" s="317"/>
      <c r="WET90" s="317"/>
      <c r="WEU90" s="317"/>
      <c r="WEV90" s="317"/>
      <c r="WEW90" s="317"/>
      <c r="WEX90" s="317"/>
      <c r="WEY90" s="317"/>
      <c r="WEZ90" s="317"/>
      <c r="WFA90" s="317"/>
      <c r="WFB90" s="317"/>
      <c r="WFC90" s="317"/>
      <c r="WFD90" s="317"/>
      <c r="WFE90" s="317"/>
      <c r="WFF90" s="317"/>
      <c r="WFG90" s="317"/>
      <c r="WFH90" s="317"/>
      <c r="WFI90" s="317"/>
      <c r="WFJ90" s="317"/>
      <c r="WFK90" s="317"/>
      <c r="WFL90" s="317"/>
      <c r="WFM90" s="317"/>
      <c r="WFN90" s="317"/>
      <c r="WFO90" s="317"/>
      <c r="WFP90" s="317"/>
      <c r="WFQ90" s="317"/>
      <c r="WFR90" s="317"/>
      <c r="WFS90" s="317"/>
      <c r="WFT90" s="317"/>
      <c r="WFU90" s="317"/>
      <c r="WFV90" s="317"/>
      <c r="WFW90" s="317"/>
      <c r="WFX90" s="317"/>
      <c r="WFY90" s="317"/>
      <c r="WFZ90" s="317"/>
      <c r="WGA90" s="317"/>
      <c r="WGB90" s="317"/>
      <c r="WGC90" s="317"/>
      <c r="WGD90" s="317"/>
      <c r="WGE90" s="317"/>
      <c r="WGF90" s="317"/>
      <c r="WGG90" s="317"/>
      <c r="WGH90" s="317"/>
      <c r="WGI90" s="317"/>
      <c r="WGJ90" s="317"/>
      <c r="WGK90" s="317"/>
      <c r="WGL90" s="317"/>
      <c r="WGM90" s="317"/>
      <c r="WGN90" s="317"/>
      <c r="WGO90" s="317"/>
      <c r="WGP90" s="317"/>
      <c r="WGQ90" s="317"/>
      <c r="WGR90" s="317"/>
      <c r="WGS90" s="317"/>
      <c r="WGT90" s="317"/>
      <c r="WGU90" s="317"/>
      <c r="WGV90" s="317"/>
      <c r="WGW90" s="317"/>
      <c r="WGX90" s="317"/>
      <c r="WGY90" s="317"/>
      <c r="WGZ90" s="317"/>
      <c r="WHA90" s="317"/>
      <c r="WHB90" s="317"/>
      <c r="WHC90" s="317"/>
      <c r="WHD90" s="317"/>
      <c r="WHE90" s="317"/>
      <c r="WHF90" s="317"/>
      <c r="WHG90" s="317"/>
      <c r="WHH90" s="317"/>
      <c r="WHI90" s="317"/>
      <c r="WHJ90" s="317"/>
      <c r="WHK90" s="317"/>
      <c r="WHL90" s="317"/>
      <c r="WHM90" s="317"/>
      <c r="WHN90" s="317"/>
      <c r="WHO90" s="317"/>
      <c r="WHP90" s="317"/>
      <c r="WHQ90" s="317"/>
      <c r="WHR90" s="317"/>
      <c r="WHS90" s="317"/>
      <c r="WHT90" s="317"/>
      <c r="WHU90" s="317"/>
      <c r="WHV90" s="317"/>
      <c r="WHW90" s="317"/>
      <c r="WHX90" s="317"/>
      <c r="WHY90" s="317"/>
      <c r="WHZ90" s="317"/>
      <c r="WIA90" s="317"/>
      <c r="WIB90" s="317"/>
      <c r="WIC90" s="317"/>
      <c r="WID90" s="317"/>
      <c r="WIE90" s="317"/>
      <c r="WIF90" s="317"/>
      <c r="WIG90" s="317"/>
      <c r="WIH90" s="317"/>
      <c r="WII90" s="317"/>
      <c r="WIJ90" s="317"/>
      <c r="WIK90" s="317"/>
      <c r="WIL90" s="317"/>
      <c r="WIM90" s="317"/>
      <c r="WIN90" s="317"/>
      <c r="WIO90" s="317"/>
      <c r="WIP90" s="317"/>
      <c r="WIQ90" s="317"/>
      <c r="WIR90" s="317"/>
      <c r="WIS90" s="317"/>
      <c r="WIT90" s="317"/>
      <c r="WIU90" s="317"/>
      <c r="WIV90" s="317"/>
      <c r="WIW90" s="317"/>
      <c r="WIX90" s="317"/>
      <c r="WIY90" s="317"/>
      <c r="WIZ90" s="317"/>
      <c r="WJA90" s="317"/>
      <c r="WJB90" s="317"/>
      <c r="WJC90" s="317"/>
      <c r="WJD90" s="317"/>
      <c r="WJE90" s="317"/>
      <c r="WJF90" s="317"/>
      <c r="WJG90" s="317"/>
      <c r="WJH90" s="317"/>
      <c r="WJI90" s="317"/>
      <c r="WJJ90" s="317"/>
      <c r="WJK90" s="317"/>
      <c r="WJL90" s="317"/>
      <c r="WJM90" s="317"/>
      <c r="WJN90" s="317"/>
      <c r="WJO90" s="317"/>
      <c r="WJP90" s="317"/>
      <c r="WJQ90" s="317"/>
      <c r="WJR90" s="317"/>
      <c r="WJS90" s="317"/>
      <c r="WJT90" s="317"/>
      <c r="WJU90" s="317"/>
      <c r="WJV90" s="317"/>
      <c r="WJW90" s="317"/>
      <c r="WJX90" s="317"/>
      <c r="WJY90" s="317"/>
      <c r="WJZ90" s="317"/>
      <c r="WKA90" s="317"/>
      <c r="WKB90" s="317"/>
      <c r="WKC90" s="317"/>
      <c r="WKD90" s="317"/>
      <c r="WKE90" s="317"/>
      <c r="WKF90" s="317"/>
      <c r="WKG90" s="317"/>
      <c r="WKH90" s="317"/>
      <c r="WKI90" s="317"/>
      <c r="WKJ90" s="317"/>
      <c r="WKK90" s="317"/>
      <c r="WKL90" s="317"/>
      <c r="WKM90" s="317"/>
      <c r="WKN90" s="317"/>
      <c r="WKO90" s="317"/>
      <c r="WKP90" s="317"/>
      <c r="WKQ90" s="317"/>
      <c r="WKR90" s="317"/>
      <c r="WKS90" s="317"/>
      <c r="WKT90" s="317"/>
      <c r="WKU90" s="317"/>
      <c r="WKV90" s="317"/>
      <c r="WKW90" s="317"/>
      <c r="WKX90" s="317"/>
      <c r="WKY90" s="317"/>
      <c r="WKZ90" s="317"/>
      <c r="WLA90" s="317"/>
      <c r="WLB90" s="317"/>
      <c r="WLC90" s="317"/>
      <c r="WLD90" s="317"/>
      <c r="WLE90" s="317"/>
      <c r="WLF90" s="317"/>
      <c r="WLG90" s="317"/>
      <c r="WLH90" s="317"/>
      <c r="WLI90" s="317"/>
      <c r="WLJ90" s="317"/>
      <c r="WLK90" s="317"/>
      <c r="WLL90" s="317"/>
      <c r="WLM90" s="317"/>
      <c r="WLN90" s="317"/>
      <c r="WLO90" s="317"/>
      <c r="WLP90" s="317"/>
      <c r="WLQ90" s="317"/>
      <c r="WLR90" s="317"/>
      <c r="WLS90" s="317"/>
      <c r="WLT90" s="317"/>
      <c r="WLU90" s="317"/>
      <c r="WLV90" s="317"/>
      <c r="WLW90" s="317"/>
      <c r="WLX90" s="317"/>
      <c r="WLY90" s="317"/>
      <c r="WLZ90" s="317"/>
      <c r="WMA90" s="317"/>
      <c r="WMB90" s="317"/>
      <c r="WMC90" s="317"/>
      <c r="WMD90" s="317"/>
      <c r="WME90" s="317"/>
      <c r="WMF90" s="317"/>
      <c r="WMG90" s="317"/>
      <c r="WMH90" s="317"/>
      <c r="WMI90" s="317"/>
      <c r="WMJ90" s="317"/>
      <c r="WMK90" s="317"/>
      <c r="WML90" s="317"/>
      <c r="WMM90" s="317"/>
      <c r="WMN90" s="317"/>
      <c r="WMO90" s="317"/>
      <c r="WMP90" s="317"/>
      <c r="WMQ90" s="317"/>
      <c r="WMR90" s="317"/>
      <c r="WMS90" s="317"/>
      <c r="WMT90" s="317"/>
      <c r="WMU90" s="317"/>
      <c r="WMV90" s="317"/>
      <c r="WMW90" s="317"/>
      <c r="WMX90" s="317"/>
      <c r="WMY90" s="317"/>
      <c r="WMZ90" s="317"/>
      <c r="WNA90" s="317"/>
      <c r="WNB90" s="317"/>
      <c r="WNC90" s="317"/>
      <c r="WND90" s="317"/>
      <c r="WNE90" s="317"/>
      <c r="WNF90" s="317"/>
      <c r="WNG90" s="317"/>
      <c r="WNH90" s="317"/>
      <c r="WNI90" s="317"/>
      <c r="WNJ90" s="317"/>
      <c r="WNK90" s="317"/>
      <c r="WNL90" s="317"/>
      <c r="WNM90" s="317"/>
      <c r="WNN90" s="317"/>
      <c r="WNO90" s="317"/>
      <c r="WNP90" s="317"/>
      <c r="WNQ90" s="317"/>
      <c r="WNR90" s="317"/>
      <c r="WNS90" s="317"/>
      <c r="WNT90" s="317"/>
      <c r="WNU90" s="317"/>
      <c r="WNV90" s="317"/>
      <c r="WNW90" s="317"/>
      <c r="WNX90" s="317"/>
      <c r="WNY90" s="317"/>
      <c r="WNZ90" s="317"/>
      <c r="WOA90" s="317"/>
      <c r="WOB90" s="317"/>
      <c r="WOC90" s="317"/>
      <c r="WOD90" s="317"/>
      <c r="WOE90" s="317"/>
      <c r="WOF90" s="317"/>
      <c r="WOG90" s="317"/>
      <c r="WOH90" s="317"/>
      <c r="WOI90" s="317"/>
      <c r="WOJ90" s="317"/>
      <c r="WOK90" s="317"/>
      <c r="WOL90" s="317"/>
      <c r="WOM90" s="317"/>
      <c r="WON90" s="317"/>
      <c r="WOO90" s="317"/>
      <c r="WOP90" s="317"/>
      <c r="WOQ90" s="317"/>
      <c r="WOR90" s="317"/>
      <c r="WOS90" s="317"/>
      <c r="WOT90" s="317"/>
      <c r="WOU90" s="317"/>
      <c r="WOV90" s="317"/>
      <c r="WOW90" s="317"/>
      <c r="WOX90" s="317"/>
      <c r="WOY90" s="317"/>
      <c r="WOZ90" s="317"/>
      <c r="WPA90" s="317"/>
      <c r="WPB90" s="317"/>
      <c r="WPC90" s="317"/>
      <c r="WPD90" s="317"/>
      <c r="WPE90" s="317"/>
      <c r="WPF90" s="317"/>
      <c r="WPG90" s="317"/>
      <c r="WPH90" s="317"/>
      <c r="WPI90" s="317"/>
      <c r="WPJ90" s="317"/>
      <c r="WPK90" s="317"/>
      <c r="WPL90" s="317"/>
      <c r="WPM90" s="317"/>
      <c r="WPN90" s="317"/>
      <c r="WPO90" s="317"/>
      <c r="WPP90" s="317"/>
      <c r="WPQ90" s="317"/>
      <c r="WPR90" s="317"/>
      <c r="WPS90" s="317"/>
      <c r="WPT90" s="317"/>
      <c r="WPU90" s="317"/>
      <c r="WPV90" s="317"/>
      <c r="WPW90" s="317"/>
      <c r="WPX90" s="317"/>
      <c r="WPY90" s="317"/>
      <c r="WPZ90" s="317"/>
      <c r="WQA90" s="317"/>
      <c r="WQB90" s="317"/>
      <c r="WQC90" s="317"/>
      <c r="WQD90" s="317"/>
      <c r="WQE90" s="317"/>
      <c r="WQF90" s="317"/>
      <c r="WQG90" s="317"/>
      <c r="WQH90" s="317"/>
      <c r="WQI90" s="317"/>
      <c r="WQJ90" s="317"/>
      <c r="WQK90" s="317"/>
      <c r="WQL90" s="317"/>
      <c r="WQM90" s="317"/>
      <c r="WQN90" s="317"/>
      <c r="WQO90" s="317"/>
      <c r="WQP90" s="317"/>
      <c r="WQQ90" s="317"/>
      <c r="WQR90" s="317"/>
      <c r="WQS90" s="317"/>
      <c r="WQT90" s="317"/>
      <c r="WQU90" s="317"/>
      <c r="WQV90" s="317"/>
      <c r="WQW90" s="317"/>
      <c r="WQX90" s="317"/>
      <c r="WQY90" s="317"/>
      <c r="WQZ90" s="317"/>
      <c r="WRA90" s="317"/>
      <c r="WRB90" s="317"/>
      <c r="WRC90" s="317"/>
      <c r="WRD90" s="317"/>
      <c r="WRE90" s="317"/>
      <c r="WRF90" s="317"/>
      <c r="WRG90" s="317"/>
      <c r="WRH90" s="317"/>
      <c r="WRI90" s="317"/>
      <c r="WRJ90" s="317"/>
      <c r="WRK90" s="317"/>
      <c r="WRL90" s="317"/>
      <c r="WRM90" s="317"/>
      <c r="WRN90" s="317"/>
      <c r="WRO90" s="317"/>
      <c r="WRP90" s="317"/>
      <c r="WRQ90" s="317"/>
      <c r="WRR90" s="317"/>
      <c r="WRS90" s="317"/>
      <c r="WRT90" s="317"/>
      <c r="WRU90" s="317"/>
      <c r="WRV90" s="317"/>
      <c r="WRW90" s="317"/>
      <c r="WRX90" s="317"/>
      <c r="WRY90" s="317"/>
      <c r="WRZ90" s="317"/>
      <c r="WSA90" s="317"/>
      <c r="WSB90" s="317"/>
      <c r="WSC90" s="317"/>
      <c r="WSD90" s="317"/>
      <c r="WSE90" s="317"/>
      <c r="WSF90" s="317"/>
      <c r="WSG90" s="317"/>
      <c r="WSH90" s="317"/>
      <c r="WSI90" s="317"/>
      <c r="WSJ90" s="317"/>
      <c r="WSK90" s="317"/>
      <c r="WSL90" s="317"/>
      <c r="WSM90" s="317"/>
      <c r="WSN90" s="317"/>
      <c r="WSO90" s="317"/>
      <c r="WSP90" s="317"/>
      <c r="WSQ90" s="317"/>
      <c r="WSR90" s="317"/>
      <c r="WSS90" s="317"/>
      <c r="WST90" s="317"/>
      <c r="WSU90" s="317"/>
      <c r="WSV90" s="317"/>
      <c r="WSW90" s="317"/>
      <c r="WSX90" s="317"/>
      <c r="WSY90" s="317"/>
      <c r="WSZ90" s="317"/>
      <c r="WTA90" s="317"/>
      <c r="WTB90" s="317"/>
      <c r="WTC90" s="317"/>
      <c r="WTD90" s="317"/>
      <c r="WTE90" s="317"/>
      <c r="WTF90" s="317"/>
      <c r="WTG90" s="317"/>
      <c r="WTH90" s="317"/>
      <c r="WTI90" s="317"/>
      <c r="WTJ90" s="317"/>
      <c r="WTK90" s="317"/>
      <c r="WTL90" s="317"/>
      <c r="WTM90" s="317"/>
      <c r="WTN90" s="317"/>
      <c r="WTO90" s="317"/>
      <c r="WTP90" s="317"/>
      <c r="WTQ90" s="317"/>
      <c r="WTR90" s="317"/>
      <c r="WTS90" s="317"/>
      <c r="WTT90" s="317"/>
      <c r="WTU90" s="317"/>
      <c r="WTV90" s="317"/>
      <c r="WTW90" s="317"/>
      <c r="WTX90" s="317"/>
      <c r="WTY90" s="317"/>
      <c r="WTZ90" s="317"/>
      <c r="WUA90" s="317"/>
      <c r="WUB90" s="317"/>
      <c r="WUC90" s="317"/>
      <c r="WUD90" s="317"/>
      <c r="WUE90" s="317"/>
      <c r="WUF90" s="317"/>
      <c r="WUG90" s="317"/>
      <c r="WUH90" s="317"/>
      <c r="WUI90" s="317"/>
      <c r="WUJ90" s="317"/>
      <c r="WUK90" s="317"/>
      <c r="WUL90" s="317"/>
      <c r="WUM90" s="317"/>
      <c r="WUN90" s="317"/>
      <c r="WUO90" s="317"/>
      <c r="WUP90" s="317"/>
      <c r="WUQ90" s="317"/>
      <c r="WUR90" s="317"/>
      <c r="WUS90" s="317"/>
      <c r="WUT90" s="317"/>
      <c r="WUU90" s="317"/>
      <c r="WUV90" s="317"/>
      <c r="WUW90" s="317"/>
      <c r="WUX90" s="317"/>
      <c r="WUY90" s="317"/>
      <c r="WUZ90" s="317"/>
      <c r="WVA90" s="317"/>
      <c r="WVB90" s="317"/>
      <c r="WVC90" s="317"/>
      <c r="WVD90" s="317"/>
      <c r="WVE90" s="317"/>
      <c r="WVF90" s="317"/>
      <c r="WVG90" s="317"/>
      <c r="WVH90" s="317"/>
      <c r="WVI90" s="317"/>
      <c r="WVJ90" s="317"/>
      <c r="WVK90" s="317"/>
      <c r="WVL90" s="317"/>
      <c r="WVM90" s="317"/>
      <c r="WVN90" s="317"/>
      <c r="WVO90" s="317"/>
      <c r="WVP90" s="317"/>
      <c r="WVQ90" s="317"/>
      <c r="WVR90" s="317"/>
      <c r="WVS90" s="317"/>
      <c r="WVT90" s="317"/>
      <c r="WVU90" s="317"/>
      <c r="WVV90" s="317"/>
      <c r="WVW90" s="317"/>
      <c r="WVX90" s="317"/>
      <c r="WVY90" s="317"/>
      <c r="WVZ90" s="317"/>
      <c r="WWA90" s="317"/>
      <c r="WWB90" s="317"/>
      <c r="WWC90" s="317"/>
      <c r="WWD90" s="317"/>
      <c r="WWE90" s="317"/>
      <c r="WWF90" s="317"/>
      <c r="WWG90" s="317"/>
      <c r="WWH90" s="317"/>
      <c r="WWI90" s="317"/>
      <c r="WWJ90" s="317"/>
      <c r="WWK90" s="317"/>
      <c r="WWL90" s="317"/>
      <c r="WWM90" s="317"/>
      <c r="WWN90" s="317"/>
      <c r="WWO90" s="317"/>
      <c r="WWP90" s="317"/>
      <c r="WWQ90" s="317"/>
      <c r="WWR90" s="317"/>
      <c r="WWS90" s="317"/>
      <c r="WWT90" s="317"/>
      <c r="WWU90" s="317"/>
      <c r="WWV90" s="317"/>
      <c r="WWW90" s="317"/>
      <c r="WWX90" s="317"/>
      <c r="WWY90" s="317"/>
      <c r="WWZ90" s="317"/>
      <c r="WXA90" s="317"/>
      <c r="WXB90" s="317"/>
      <c r="WXC90" s="317"/>
      <c r="WXD90" s="317"/>
      <c r="WXE90" s="317"/>
      <c r="WXF90" s="317"/>
      <c r="WXG90" s="317"/>
      <c r="WXH90" s="317"/>
      <c r="WXI90" s="317"/>
      <c r="WXJ90" s="317"/>
      <c r="WXK90" s="317"/>
      <c r="WXL90" s="317"/>
      <c r="WXM90" s="317"/>
      <c r="WXN90" s="317"/>
      <c r="WXO90" s="317"/>
      <c r="WXP90" s="317"/>
      <c r="WXQ90" s="317"/>
      <c r="WXR90" s="317"/>
      <c r="WXS90" s="317"/>
      <c r="WXT90" s="317"/>
      <c r="WXU90" s="317"/>
      <c r="WXV90" s="317"/>
      <c r="WXW90" s="317"/>
      <c r="WXX90" s="317"/>
      <c r="WXY90" s="317"/>
      <c r="WXZ90" s="317"/>
      <c r="WYA90" s="317"/>
      <c r="WYB90" s="317"/>
      <c r="WYC90" s="317"/>
      <c r="WYD90" s="317"/>
      <c r="WYE90" s="317"/>
      <c r="WYF90" s="317"/>
      <c r="WYG90" s="317"/>
      <c r="WYH90" s="317"/>
      <c r="WYI90" s="317"/>
      <c r="WYJ90" s="317"/>
      <c r="WYK90" s="317"/>
      <c r="WYL90" s="317"/>
      <c r="WYM90" s="317"/>
      <c r="WYN90" s="317"/>
      <c r="WYO90" s="317"/>
      <c r="WYP90" s="317"/>
      <c r="WYQ90" s="317"/>
      <c r="WYR90" s="317"/>
      <c r="WYS90" s="317"/>
      <c r="WYT90" s="317"/>
      <c r="WYU90" s="317"/>
      <c r="WYV90" s="317"/>
      <c r="WYW90" s="317"/>
      <c r="WYX90" s="317"/>
      <c r="WYY90" s="317"/>
      <c r="WYZ90" s="317"/>
      <c r="WZA90" s="317"/>
      <c r="WZB90" s="317"/>
      <c r="WZC90" s="317"/>
      <c r="WZD90" s="317"/>
      <c r="WZE90" s="317"/>
      <c r="WZF90" s="317"/>
      <c r="WZG90" s="317"/>
      <c r="WZH90" s="317"/>
      <c r="WZI90" s="317"/>
      <c r="WZJ90" s="317"/>
      <c r="WZK90" s="317"/>
      <c r="WZL90" s="317"/>
      <c r="WZM90" s="317"/>
      <c r="WZN90" s="317"/>
      <c r="WZO90" s="317"/>
      <c r="WZP90" s="317"/>
      <c r="WZQ90" s="317"/>
      <c r="WZR90" s="317"/>
      <c r="WZS90" s="317"/>
      <c r="WZT90" s="317"/>
      <c r="WZU90" s="317"/>
      <c r="WZV90" s="317"/>
      <c r="WZW90" s="317"/>
      <c r="WZX90" s="317"/>
      <c r="WZY90" s="317"/>
      <c r="WZZ90" s="317"/>
      <c r="XAA90" s="317"/>
      <c r="XAB90" s="317"/>
      <c r="XAC90" s="317"/>
      <c r="XAD90" s="317"/>
      <c r="XAE90" s="317"/>
      <c r="XAF90" s="317"/>
      <c r="XAG90" s="317"/>
      <c r="XAH90" s="317"/>
      <c r="XAI90" s="317"/>
      <c r="XAJ90" s="317"/>
      <c r="XAK90" s="317"/>
      <c r="XAL90" s="317"/>
      <c r="XAM90" s="317"/>
      <c r="XAN90" s="317"/>
      <c r="XAO90" s="317"/>
      <c r="XAP90" s="317"/>
      <c r="XAQ90" s="317"/>
      <c r="XAR90" s="317"/>
      <c r="XAS90" s="317"/>
      <c r="XAT90" s="317"/>
      <c r="XAU90" s="317"/>
      <c r="XAV90" s="317"/>
      <c r="XAW90" s="317"/>
      <c r="XAX90" s="317"/>
      <c r="XAY90" s="317"/>
      <c r="XAZ90" s="317"/>
      <c r="XBA90" s="317"/>
      <c r="XBB90" s="317"/>
      <c r="XBC90" s="317"/>
      <c r="XBD90" s="317"/>
      <c r="XBE90" s="317"/>
      <c r="XBF90" s="317"/>
      <c r="XBG90" s="317"/>
      <c r="XBH90" s="317"/>
      <c r="XBI90" s="317"/>
      <c r="XBJ90" s="317"/>
      <c r="XBK90" s="317"/>
      <c r="XBL90" s="317"/>
      <c r="XBM90" s="317"/>
      <c r="XBN90" s="317"/>
      <c r="XBO90" s="317"/>
      <c r="XBP90" s="317"/>
      <c r="XBQ90" s="317"/>
      <c r="XBR90" s="317"/>
      <c r="XBS90" s="317"/>
      <c r="XBT90" s="317"/>
      <c r="XBU90" s="317"/>
      <c r="XBV90" s="317"/>
      <c r="XBW90" s="317"/>
      <c r="XBX90" s="317"/>
      <c r="XBY90" s="317"/>
      <c r="XBZ90" s="317"/>
      <c r="XCA90" s="317"/>
      <c r="XCB90" s="317"/>
      <c r="XCC90" s="317"/>
      <c r="XCD90" s="317"/>
      <c r="XCE90" s="317"/>
      <c r="XCF90" s="317"/>
      <c r="XCG90" s="317"/>
      <c r="XCH90" s="317"/>
      <c r="XCI90" s="317"/>
      <c r="XCJ90" s="317"/>
      <c r="XCK90" s="317"/>
      <c r="XCL90" s="317"/>
      <c r="XCM90" s="317"/>
      <c r="XCN90" s="317"/>
      <c r="XCO90" s="317"/>
      <c r="XCP90" s="317"/>
      <c r="XCQ90" s="317"/>
      <c r="XCR90" s="317"/>
      <c r="XCS90" s="317"/>
      <c r="XCT90" s="317"/>
      <c r="XCU90" s="317"/>
      <c r="XCV90" s="317"/>
      <c r="XCW90" s="317"/>
      <c r="XCX90" s="317"/>
      <c r="XCY90" s="317"/>
      <c r="XCZ90" s="317"/>
      <c r="XDA90" s="317"/>
      <c r="XDB90" s="317"/>
      <c r="XDC90" s="317"/>
      <c r="XDD90" s="317"/>
      <c r="XDE90" s="317"/>
      <c r="XDF90" s="317"/>
      <c r="XDG90" s="317"/>
      <c r="XDH90" s="317"/>
      <c r="XDI90" s="317"/>
      <c r="XDJ90" s="317"/>
      <c r="XDK90" s="317"/>
      <c r="XDL90" s="317"/>
      <c r="XDM90" s="317"/>
      <c r="XDN90" s="317"/>
      <c r="XDO90" s="317"/>
      <c r="XDP90" s="317"/>
      <c r="XDQ90" s="317"/>
      <c r="XDR90" s="317"/>
      <c r="XDS90" s="317"/>
      <c r="XDT90" s="317"/>
      <c r="XDU90" s="317"/>
      <c r="XDV90" s="317"/>
      <c r="XDW90" s="317"/>
      <c r="XDX90" s="317"/>
      <c r="XDY90" s="317"/>
      <c r="XDZ90" s="317"/>
      <c r="XEA90" s="317"/>
      <c r="XEB90" s="317"/>
      <c r="XEC90" s="317"/>
      <c r="XED90" s="317"/>
      <c r="XEE90" s="317"/>
      <c r="XEF90" s="317"/>
      <c r="XEG90" s="317"/>
      <c r="XEH90" s="317"/>
      <c r="XEI90" s="317"/>
      <c r="XEJ90" s="317"/>
      <c r="XEK90" s="317"/>
      <c r="XEL90" s="317"/>
      <c r="XEM90" s="317"/>
      <c r="XEN90" s="317"/>
      <c r="XEO90" s="317"/>
      <c r="XEP90" s="317"/>
      <c r="XEQ90" s="317"/>
      <c r="XER90" s="317"/>
      <c r="XES90" s="317"/>
      <c r="XET90" s="317"/>
      <c r="XEU90" s="317"/>
      <c r="XEV90" s="317"/>
      <c r="XEW90" s="317"/>
      <c r="XEX90" s="317"/>
      <c r="XEY90" s="317"/>
      <c r="XEZ90" s="317"/>
      <c r="XFA90" s="317"/>
      <c r="XFB90" s="317"/>
      <c r="XFC90" s="317"/>
      <c r="XFD90" s="317"/>
    </row>
    <row r="91" s="314" customFormat="1" ht="25" customHeight="1" spans="1:74 14505:16384">
      <c r="A91" s="364"/>
      <c r="B91" s="365" t="s">
        <v>114</v>
      </c>
      <c r="I91" s="315"/>
      <c r="O91" s="316"/>
      <c r="P91" s="316"/>
      <c r="V91" s="316"/>
      <c r="W91" s="316"/>
      <c r="X91" s="316"/>
      <c r="Y91" s="316"/>
      <c r="Z91" s="316"/>
      <c r="AA91" s="316"/>
      <c r="AB91" s="316"/>
      <c r="AC91" s="316"/>
      <c r="AD91" s="316"/>
      <c r="AK91" s="316"/>
      <c r="AP91" s="366"/>
      <c r="AQ91" s="316"/>
      <c r="AR91" s="316"/>
      <c r="AY91" s="316"/>
      <c r="BE91" s="316"/>
      <c r="BF91" s="316"/>
      <c r="BM91" s="316"/>
      <c r="BS91" s="316"/>
      <c r="BT91" s="316"/>
      <c r="UKW91" s="317"/>
      <c r="UKX91" s="317"/>
      <c r="UKY91" s="317"/>
      <c r="UKZ91" s="317"/>
      <c r="ULA91" s="317"/>
      <c r="ULB91" s="317"/>
      <c r="ULC91" s="317"/>
      <c r="ULD91" s="317"/>
      <c r="ULE91" s="317"/>
      <c r="ULF91" s="317"/>
      <c r="ULG91" s="317"/>
      <c r="ULH91" s="317"/>
      <c r="ULI91" s="317"/>
      <c r="ULJ91" s="317"/>
      <c r="ULK91" s="317"/>
      <c r="ULL91" s="317"/>
      <c r="ULM91" s="317"/>
      <c r="ULN91" s="317"/>
      <c r="ULO91" s="317"/>
      <c r="ULP91" s="317"/>
      <c r="ULQ91" s="317"/>
      <c r="ULR91" s="317"/>
      <c r="ULS91" s="317"/>
      <c r="ULT91" s="317"/>
      <c r="ULU91" s="317"/>
      <c r="ULV91" s="317"/>
      <c r="ULW91" s="317"/>
      <c r="ULX91" s="317"/>
      <c r="ULY91" s="317"/>
      <c r="ULZ91" s="317"/>
      <c r="UMA91" s="317"/>
      <c r="UMB91" s="317"/>
      <c r="UMC91" s="317"/>
      <c r="UMD91" s="317"/>
      <c r="UME91" s="317"/>
      <c r="UMF91" s="317"/>
      <c r="UMG91" s="317"/>
      <c r="UMH91" s="317"/>
      <c r="UMI91" s="317"/>
      <c r="UMJ91" s="317"/>
      <c r="UMK91" s="317"/>
      <c r="UML91" s="317"/>
      <c r="UMM91" s="317"/>
      <c r="UMN91" s="317"/>
      <c r="UMO91" s="317"/>
      <c r="UMP91" s="317"/>
      <c r="UMQ91" s="317"/>
      <c r="UMR91" s="317"/>
      <c r="UMS91" s="317"/>
      <c r="UMT91" s="317"/>
      <c r="UMU91" s="317"/>
      <c r="UMV91" s="317"/>
      <c r="UMW91" s="317"/>
      <c r="UMX91" s="317"/>
      <c r="UMY91" s="317"/>
      <c r="UMZ91" s="317"/>
      <c r="UNA91" s="317"/>
      <c r="UNB91" s="317"/>
      <c r="UNC91" s="317"/>
      <c r="UND91" s="317"/>
      <c r="UNE91" s="317"/>
      <c r="UNF91" s="317"/>
      <c r="UNG91" s="317"/>
      <c r="UNH91" s="317"/>
      <c r="UNI91" s="317"/>
      <c r="UNJ91" s="317"/>
      <c r="UNK91" s="317"/>
      <c r="UNL91" s="317"/>
      <c r="UNM91" s="317"/>
      <c r="UNN91" s="317"/>
      <c r="UNO91" s="317"/>
      <c r="UNP91" s="317"/>
      <c r="UNQ91" s="317"/>
      <c r="UNR91" s="317"/>
      <c r="UNS91" s="317"/>
      <c r="UNT91" s="317"/>
      <c r="UNU91" s="317"/>
      <c r="UNV91" s="317"/>
      <c r="UNW91" s="317"/>
      <c r="UNX91" s="317"/>
      <c r="UNY91" s="317"/>
      <c r="UNZ91" s="317"/>
      <c r="UOA91" s="317"/>
      <c r="UOB91" s="317"/>
      <c r="UOC91" s="317"/>
      <c r="UOD91" s="317"/>
      <c r="UOE91" s="317"/>
      <c r="UOF91" s="317"/>
      <c r="UOG91" s="317"/>
      <c r="UOH91" s="317"/>
      <c r="UOI91" s="317"/>
      <c r="UOJ91" s="317"/>
      <c r="UOK91" s="317"/>
      <c r="UOL91" s="317"/>
      <c r="UOM91" s="317"/>
      <c r="UON91" s="317"/>
      <c r="UOO91" s="317"/>
      <c r="UOP91" s="317"/>
      <c r="UOQ91" s="317"/>
      <c r="UOR91" s="317"/>
      <c r="UOS91" s="317"/>
      <c r="UOT91" s="317"/>
      <c r="UOU91" s="317"/>
      <c r="UOV91" s="317"/>
      <c r="UOW91" s="317"/>
      <c r="UOX91" s="317"/>
      <c r="UOY91" s="317"/>
      <c r="UOZ91" s="317"/>
      <c r="UPA91" s="317"/>
      <c r="UPB91" s="317"/>
      <c r="UPC91" s="317"/>
      <c r="UPD91" s="317"/>
      <c r="UPE91" s="317"/>
      <c r="UPF91" s="317"/>
      <c r="UPG91" s="317"/>
      <c r="UPH91" s="317"/>
      <c r="UPI91" s="317"/>
      <c r="UPJ91" s="317"/>
      <c r="UPK91" s="317"/>
      <c r="UPL91" s="317"/>
      <c r="UPM91" s="317"/>
      <c r="UPN91" s="317"/>
      <c r="UPO91" s="317"/>
      <c r="UPP91" s="317"/>
      <c r="UPQ91" s="317"/>
      <c r="UPR91" s="317"/>
      <c r="UPS91" s="317"/>
      <c r="UPT91" s="317"/>
      <c r="UPU91" s="317"/>
      <c r="UPV91" s="317"/>
      <c r="UPW91" s="317"/>
      <c r="UPX91" s="317"/>
      <c r="UPY91" s="317"/>
      <c r="UPZ91" s="317"/>
      <c r="UQA91" s="317"/>
      <c r="UQB91" s="317"/>
      <c r="UQC91" s="317"/>
      <c r="UQD91" s="317"/>
      <c r="UQE91" s="317"/>
      <c r="UQF91" s="317"/>
      <c r="UQG91" s="317"/>
      <c r="UQH91" s="317"/>
      <c r="UQI91" s="317"/>
      <c r="UQJ91" s="317"/>
      <c r="UQK91" s="317"/>
      <c r="UQL91" s="317"/>
      <c r="UQM91" s="317"/>
      <c r="UQN91" s="317"/>
      <c r="UQO91" s="317"/>
      <c r="UQP91" s="317"/>
      <c r="UQQ91" s="317"/>
      <c r="UQR91" s="317"/>
      <c r="UQS91" s="317"/>
      <c r="UQT91" s="317"/>
      <c r="UQU91" s="317"/>
      <c r="UQV91" s="317"/>
      <c r="UQW91" s="317"/>
      <c r="UQX91" s="317"/>
      <c r="UQY91" s="317"/>
      <c r="UQZ91" s="317"/>
      <c r="URA91" s="317"/>
      <c r="URB91" s="317"/>
      <c r="URC91" s="317"/>
      <c r="URD91" s="317"/>
      <c r="URE91" s="317"/>
      <c r="URF91" s="317"/>
      <c r="URG91" s="317"/>
      <c r="URH91" s="317"/>
      <c r="URI91" s="317"/>
      <c r="URJ91" s="317"/>
      <c r="URK91" s="317"/>
      <c r="URL91" s="317"/>
      <c r="URM91" s="317"/>
      <c r="URN91" s="317"/>
      <c r="URO91" s="317"/>
      <c r="URP91" s="317"/>
      <c r="URQ91" s="317"/>
      <c r="URR91" s="317"/>
      <c r="URS91" s="317"/>
      <c r="URT91" s="317"/>
      <c r="URU91" s="317"/>
      <c r="URV91" s="317"/>
      <c r="URW91" s="317"/>
      <c r="URX91" s="317"/>
      <c r="URY91" s="317"/>
      <c r="URZ91" s="317"/>
      <c r="USA91" s="317"/>
      <c r="USB91" s="317"/>
      <c r="USC91" s="317"/>
      <c r="USD91" s="317"/>
      <c r="USE91" s="317"/>
      <c r="USF91" s="317"/>
      <c r="USG91" s="317"/>
      <c r="USH91" s="317"/>
      <c r="USI91" s="317"/>
      <c r="USJ91" s="317"/>
      <c r="USK91" s="317"/>
      <c r="USL91" s="317"/>
      <c r="USM91" s="317"/>
      <c r="USN91" s="317"/>
      <c r="USO91" s="317"/>
      <c r="USP91" s="317"/>
      <c r="USQ91" s="317"/>
      <c r="USR91" s="317"/>
      <c r="USS91" s="317"/>
      <c r="UST91" s="317"/>
      <c r="USU91" s="317"/>
      <c r="USV91" s="317"/>
      <c r="USW91" s="317"/>
      <c r="USX91" s="317"/>
      <c r="USY91" s="317"/>
      <c r="USZ91" s="317"/>
      <c r="UTA91" s="317"/>
      <c r="UTB91" s="317"/>
      <c r="UTC91" s="317"/>
      <c r="UTD91" s="317"/>
      <c r="UTE91" s="317"/>
      <c r="UTF91" s="317"/>
      <c r="UTG91" s="317"/>
      <c r="UTH91" s="317"/>
      <c r="UTI91" s="317"/>
      <c r="UTJ91" s="317"/>
      <c r="UTK91" s="317"/>
      <c r="UTL91" s="317"/>
      <c r="UTM91" s="317"/>
      <c r="UTN91" s="317"/>
      <c r="UTO91" s="317"/>
      <c r="UTP91" s="317"/>
      <c r="UTQ91" s="317"/>
      <c r="UTR91" s="317"/>
      <c r="UTS91" s="317"/>
      <c r="UTT91" s="317"/>
      <c r="UTU91" s="317"/>
      <c r="UTV91" s="317"/>
      <c r="UTW91" s="317"/>
      <c r="UTX91" s="317"/>
      <c r="UTY91" s="317"/>
      <c r="UTZ91" s="317"/>
      <c r="UUA91" s="317"/>
      <c r="UUB91" s="317"/>
      <c r="UUC91" s="317"/>
      <c r="UUD91" s="317"/>
      <c r="UUE91" s="317"/>
      <c r="UUF91" s="317"/>
      <c r="UUG91" s="317"/>
      <c r="UUH91" s="317"/>
      <c r="UUI91" s="317"/>
      <c r="UUJ91" s="317"/>
      <c r="UUK91" s="317"/>
      <c r="UUL91" s="317"/>
      <c r="UUM91" s="317"/>
      <c r="UUN91" s="317"/>
      <c r="UUO91" s="317"/>
      <c r="UUP91" s="317"/>
      <c r="UUQ91" s="317"/>
      <c r="UUR91" s="317"/>
      <c r="UUS91" s="317"/>
      <c r="UUT91" s="317"/>
      <c r="UUU91" s="317"/>
      <c r="UUV91" s="317"/>
      <c r="UUW91" s="317"/>
      <c r="UUX91" s="317"/>
      <c r="UUY91" s="317"/>
      <c r="UUZ91" s="317"/>
      <c r="UVA91" s="317"/>
      <c r="UVB91" s="317"/>
      <c r="UVC91" s="317"/>
      <c r="UVD91" s="317"/>
      <c r="UVE91" s="317"/>
      <c r="UVF91" s="317"/>
      <c r="UVG91" s="317"/>
      <c r="UVH91" s="317"/>
      <c r="UVI91" s="317"/>
      <c r="UVJ91" s="317"/>
      <c r="UVK91" s="317"/>
      <c r="UVL91" s="317"/>
      <c r="UVM91" s="317"/>
      <c r="UVN91" s="317"/>
      <c r="UVO91" s="317"/>
      <c r="UVP91" s="317"/>
      <c r="UVQ91" s="317"/>
      <c r="UVR91" s="317"/>
      <c r="UVS91" s="317"/>
      <c r="UVT91" s="317"/>
      <c r="UVU91" s="317"/>
      <c r="UVV91" s="317"/>
      <c r="UVW91" s="317"/>
      <c r="UVX91" s="317"/>
      <c r="UVY91" s="317"/>
      <c r="UVZ91" s="317"/>
      <c r="UWA91" s="317"/>
      <c r="UWB91" s="317"/>
      <c r="UWC91" s="317"/>
      <c r="UWD91" s="317"/>
      <c r="UWE91" s="317"/>
      <c r="UWF91" s="317"/>
      <c r="UWG91" s="317"/>
      <c r="UWH91" s="317"/>
      <c r="UWI91" s="317"/>
      <c r="UWJ91" s="317"/>
      <c r="UWK91" s="317"/>
      <c r="UWL91" s="317"/>
      <c r="UWM91" s="317"/>
      <c r="UWN91" s="317"/>
      <c r="UWO91" s="317"/>
      <c r="UWP91" s="317"/>
      <c r="UWQ91" s="317"/>
      <c r="UWR91" s="317"/>
      <c r="UWS91" s="317"/>
      <c r="UWT91" s="317"/>
      <c r="UWU91" s="317"/>
      <c r="UWV91" s="317"/>
      <c r="UWW91" s="317"/>
      <c r="UWX91" s="317"/>
      <c r="UWY91" s="317"/>
      <c r="UWZ91" s="317"/>
      <c r="UXA91" s="317"/>
      <c r="UXB91" s="317"/>
      <c r="UXC91" s="317"/>
      <c r="UXD91" s="317"/>
      <c r="UXE91" s="317"/>
      <c r="UXF91" s="317"/>
      <c r="UXG91" s="317"/>
      <c r="UXH91" s="317"/>
      <c r="UXI91" s="317"/>
      <c r="UXJ91" s="317"/>
      <c r="UXK91" s="317"/>
      <c r="UXL91" s="317"/>
      <c r="UXM91" s="317"/>
      <c r="UXN91" s="317"/>
      <c r="UXO91" s="317"/>
      <c r="UXP91" s="317"/>
      <c r="UXQ91" s="317"/>
      <c r="UXR91" s="317"/>
      <c r="UXS91" s="317"/>
      <c r="UXT91" s="317"/>
      <c r="UXU91" s="317"/>
      <c r="UXV91" s="317"/>
      <c r="UXW91" s="317"/>
      <c r="UXX91" s="317"/>
      <c r="UXY91" s="317"/>
      <c r="UXZ91" s="317"/>
      <c r="UYA91" s="317"/>
      <c r="UYB91" s="317"/>
      <c r="UYC91" s="317"/>
      <c r="UYD91" s="317"/>
      <c r="UYE91" s="317"/>
      <c r="UYF91" s="317"/>
      <c r="UYG91" s="317"/>
      <c r="UYH91" s="317"/>
      <c r="UYI91" s="317"/>
      <c r="UYJ91" s="317"/>
      <c r="UYK91" s="317"/>
      <c r="UYL91" s="317"/>
      <c r="UYM91" s="317"/>
      <c r="UYN91" s="317"/>
      <c r="UYO91" s="317"/>
      <c r="UYP91" s="317"/>
      <c r="UYQ91" s="317"/>
      <c r="UYR91" s="317"/>
      <c r="UYS91" s="317"/>
      <c r="UYT91" s="317"/>
      <c r="UYU91" s="317"/>
      <c r="UYV91" s="317"/>
      <c r="UYW91" s="317"/>
      <c r="UYX91" s="317"/>
      <c r="UYY91" s="317"/>
      <c r="UYZ91" s="317"/>
      <c r="UZA91" s="317"/>
      <c r="UZB91" s="317"/>
      <c r="UZC91" s="317"/>
      <c r="UZD91" s="317"/>
      <c r="UZE91" s="317"/>
      <c r="UZF91" s="317"/>
      <c r="UZG91" s="317"/>
      <c r="UZH91" s="317"/>
      <c r="UZI91" s="317"/>
      <c r="UZJ91" s="317"/>
      <c r="UZK91" s="317"/>
      <c r="UZL91" s="317"/>
      <c r="UZM91" s="317"/>
      <c r="UZN91" s="317"/>
      <c r="UZO91" s="317"/>
      <c r="UZP91" s="317"/>
      <c r="UZQ91" s="317"/>
      <c r="UZR91" s="317"/>
      <c r="UZS91" s="317"/>
      <c r="UZT91" s="317"/>
      <c r="UZU91" s="317"/>
      <c r="UZV91" s="317"/>
      <c r="UZW91" s="317"/>
      <c r="UZX91" s="317"/>
      <c r="UZY91" s="317"/>
      <c r="UZZ91" s="317"/>
      <c r="VAA91" s="317"/>
      <c r="VAB91" s="317"/>
      <c r="VAC91" s="317"/>
      <c r="VAD91" s="317"/>
      <c r="VAE91" s="317"/>
      <c r="VAF91" s="317"/>
      <c r="VAG91" s="317"/>
      <c r="VAH91" s="317"/>
      <c r="VAI91" s="317"/>
      <c r="VAJ91" s="317"/>
      <c r="VAK91" s="317"/>
      <c r="VAL91" s="317"/>
      <c r="VAM91" s="317"/>
      <c r="VAN91" s="317"/>
      <c r="VAO91" s="317"/>
      <c r="VAP91" s="317"/>
      <c r="VAQ91" s="317"/>
      <c r="VAR91" s="317"/>
      <c r="VAS91" s="317"/>
      <c r="VAT91" s="317"/>
      <c r="VAU91" s="317"/>
      <c r="VAV91" s="317"/>
      <c r="VAW91" s="317"/>
      <c r="VAX91" s="317"/>
      <c r="VAY91" s="317"/>
      <c r="VAZ91" s="317"/>
      <c r="VBA91" s="317"/>
      <c r="VBB91" s="317"/>
      <c r="VBC91" s="317"/>
      <c r="VBD91" s="317"/>
      <c r="VBE91" s="317"/>
      <c r="VBF91" s="317"/>
      <c r="VBG91" s="317"/>
      <c r="VBH91" s="317"/>
      <c r="VBI91" s="317"/>
      <c r="VBJ91" s="317"/>
      <c r="VBK91" s="317"/>
      <c r="VBL91" s="317"/>
      <c r="VBM91" s="317"/>
      <c r="VBN91" s="317"/>
      <c r="VBO91" s="317"/>
      <c r="VBP91" s="317"/>
      <c r="VBQ91" s="317"/>
      <c r="VBR91" s="317"/>
      <c r="VBS91" s="317"/>
      <c r="VBT91" s="317"/>
      <c r="VBU91" s="317"/>
      <c r="VBV91" s="317"/>
      <c r="VBW91" s="317"/>
      <c r="VBX91" s="317"/>
      <c r="VBY91" s="317"/>
      <c r="VBZ91" s="317"/>
      <c r="VCA91" s="317"/>
      <c r="VCB91" s="317"/>
      <c r="VCC91" s="317"/>
      <c r="VCD91" s="317"/>
      <c r="VCE91" s="317"/>
      <c r="VCF91" s="317"/>
      <c r="VCG91" s="317"/>
      <c r="VCH91" s="317"/>
      <c r="VCI91" s="317"/>
      <c r="VCJ91" s="317"/>
      <c r="VCK91" s="317"/>
      <c r="VCL91" s="317"/>
      <c r="VCM91" s="317"/>
      <c r="VCN91" s="317"/>
      <c r="VCO91" s="317"/>
      <c r="VCP91" s="317"/>
      <c r="VCQ91" s="317"/>
      <c r="VCR91" s="317"/>
      <c r="VCS91" s="317"/>
      <c r="VCT91" s="317"/>
      <c r="VCU91" s="317"/>
      <c r="VCV91" s="317"/>
      <c r="VCW91" s="317"/>
      <c r="VCX91" s="317"/>
      <c r="VCY91" s="317"/>
      <c r="VCZ91" s="317"/>
      <c r="VDA91" s="317"/>
      <c r="VDB91" s="317"/>
      <c r="VDC91" s="317"/>
      <c r="VDD91" s="317"/>
      <c r="VDE91" s="317"/>
      <c r="VDF91" s="317"/>
      <c r="VDG91" s="317"/>
      <c r="VDH91" s="317"/>
      <c r="VDI91" s="317"/>
      <c r="VDJ91" s="317"/>
      <c r="VDK91" s="317"/>
      <c r="VDL91" s="317"/>
      <c r="VDM91" s="317"/>
      <c r="VDN91" s="317"/>
      <c r="VDO91" s="317"/>
      <c r="VDP91" s="317"/>
      <c r="VDQ91" s="317"/>
      <c r="VDR91" s="317"/>
      <c r="VDS91" s="317"/>
      <c r="VDT91" s="317"/>
      <c r="VDU91" s="317"/>
      <c r="VDV91" s="317"/>
      <c r="VDW91" s="317"/>
      <c r="VDX91" s="317"/>
      <c r="VDY91" s="317"/>
      <c r="VDZ91" s="317"/>
      <c r="VEA91" s="317"/>
      <c r="VEB91" s="317"/>
      <c r="VEC91" s="317"/>
      <c r="VED91" s="317"/>
      <c r="VEE91" s="317"/>
      <c r="VEF91" s="317"/>
      <c r="VEG91" s="317"/>
      <c r="VEH91" s="317"/>
      <c r="VEI91" s="317"/>
      <c r="VEJ91" s="317"/>
      <c r="VEK91" s="317"/>
      <c r="VEL91" s="317"/>
      <c r="VEM91" s="317"/>
      <c r="VEN91" s="317"/>
      <c r="VEO91" s="317"/>
      <c r="VEP91" s="317"/>
      <c r="VEQ91" s="317"/>
      <c r="VER91" s="317"/>
      <c r="VES91" s="317"/>
      <c r="VET91" s="317"/>
      <c r="VEU91" s="317"/>
      <c r="VEV91" s="317"/>
      <c r="VEW91" s="317"/>
      <c r="VEX91" s="317"/>
      <c r="VEY91" s="317"/>
      <c r="VEZ91" s="317"/>
      <c r="VFA91" s="317"/>
      <c r="VFB91" s="317"/>
      <c r="VFC91" s="317"/>
      <c r="VFD91" s="317"/>
      <c r="VFE91" s="317"/>
      <c r="VFF91" s="317"/>
      <c r="VFG91" s="317"/>
      <c r="VFH91" s="317"/>
      <c r="VFI91" s="317"/>
      <c r="VFJ91" s="317"/>
      <c r="VFK91" s="317"/>
      <c r="VFL91" s="317"/>
      <c r="VFM91" s="317"/>
      <c r="VFN91" s="317"/>
      <c r="VFO91" s="317"/>
      <c r="VFP91" s="317"/>
      <c r="VFQ91" s="317"/>
      <c r="VFR91" s="317"/>
      <c r="VFS91" s="317"/>
      <c r="VFT91" s="317"/>
      <c r="VFU91" s="317"/>
      <c r="VFV91" s="317"/>
      <c r="VFW91" s="317"/>
      <c r="VFX91" s="317"/>
      <c r="VFY91" s="317"/>
      <c r="VFZ91" s="317"/>
      <c r="VGA91" s="317"/>
      <c r="VGB91" s="317"/>
      <c r="VGC91" s="317"/>
      <c r="VGD91" s="317"/>
      <c r="VGE91" s="317"/>
      <c r="VGF91" s="317"/>
      <c r="VGG91" s="317"/>
      <c r="VGH91" s="317"/>
      <c r="VGI91" s="317"/>
      <c r="VGJ91" s="317"/>
      <c r="VGK91" s="317"/>
      <c r="VGL91" s="317"/>
      <c r="VGM91" s="317"/>
      <c r="VGN91" s="317"/>
      <c r="VGO91" s="317"/>
      <c r="VGP91" s="317"/>
      <c r="VGQ91" s="317"/>
      <c r="VGR91" s="317"/>
      <c r="VGS91" s="317"/>
      <c r="VGT91" s="317"/>
      <c r="VGU91" s="317"/>
      <c r="VGV91" s="317"/>
      <c r="VGW91" s="317"/>
      <c r="VGX91" s="317"/>
      <c r="VGY91" s="317"/>
      <c r="VGZ91" s="317"/>
      <c r="VHA91" s="317"/>
      <c r="VHB91" s="317"/>
      <c r="VHC91" s="317"/>
      <c r="VHD91" s="317"/>
      <c r="VHE91" s="317"/>
      <c r="VHF91" s="317"/>
      <c r="VHG91" s="317"/>
      <c r="VHH91" s="317"/>
      <c r="VHI91" s="317"/>
      <c r="VHJ91" s="317"/>
      <c r="VHK91" s="317"/>
      <c r="VHL91" s="317"/>
      <c r="VHM91" s="317"/>
      <c r="VHN91" s="317"/>
      <c r="VHO91" s="317"/>
      <c r="VHP91" s="317"/>
      <c r="VHQ91" s="317"/>
      <c r="VHR91" s="317"/>
      <c r="VHS91" s="317"/>
      <c r="VHT91" s="317"/>
      <c r="VHU91" s="317"/>
      <c r="VHV91" s="317"/>
      <c r="VHW91" s="317"/>
      <c r="VHX91" s="317"/>
      <c r="VHY91" s="317"/>
      <c r="VHZ91" s="317"/>
      <c r="VIA91" s="317"/>
      <c r="VIB91" s="317"/>
      <c r="VIC91" s="317"/>
      <c r="VID91" s="317"/>
      <c r="VIE91" s="317"/>
      <c r="VIF91" s="317"/>
      <c r="VIG91" s="317"/>
      <c r="VIH91" s="317"/>
      <c r="VII91" s="317"/>
      <c r="VIJ91" s="317"/>
      <c r="VIK91" s="317"/>
      <c r="VIL91" s="317"/>
      <c r="VIM91" s="317"/>
      <c r="VIN91" s="317"/>
      <c r="VIO91" s="317"/>
      <c r="VIP91" s="317"/>
      <c r="VIQ91" s="317"/>
      <c r="VIR91" s="317"/>
      <c r="VIS91" s="317"/>
      <c r="VIT91" s="317"/>
      <c r="VIU91" s="317"/>
      <c r="VIV91" s="317"/>
      <c r="VIW91" s="317"/>
      <c r="VIX91" s="317"/>
      <c r="VIY91" s="317"/>
      <c r="VIZ91" s="317"/>
      <c r="VJA91" s="317"/>
      <c r="VJB91" s="317"/>
      <c r="VJC91" s="317"/>
      <c r="VJD91" s="317"/>
      <c r="VJE91" s="317"/>
      <c r="VJF91" s="317"/>
      <c r="VJG91" s="317"/>
      <c r="VJH91" s="317"/>
      <c r="VJI91" s="317"/>
      <c r="VJJ91" s="317"/>
      <c r="VJK91" s="317"/>
      <c r="VJL91" s="317"/>
      <c r="VJM91" s="317"/>
      <c r="VJN91" s="317"/>
      <c r="VJO91" s="317"/>
      <c r="VJP91" s="317"/>
      <c r="VJQ91" s="317"/>
      <c r="VJR91" s="317"/>
      <c r="VJS91" s="317"/>
      <c r="VJT91" s="317"/>
      <c r="VJU91" s="317"/>
      <c r="VJV91" s="317"/>
      <c r="VJW91" s="317"/>
      <c r="VJX91" s="317"/>
      <c r="VJY91" s="317"/>
      <c r="VJZ91" s="317"/>
      <c r="VKA91" s="317"/>
      <c r="VKB91" s="317"/>
      <c r="VKC91" s="317"/>
      <c r="VKD91" s="317"/>
      <c r="VKE91" s="317"/>
      <c r="VKF91" s="317"/>
      <c r="VKG91" s="317"/>
      <c r="VKH91" s="317"/>
      <c r="VKI91" s="317"/>
      <c r="VKJ91" s="317"/>
      <c r="VKK91" s="317"/>
      <c r="VKL91" s="317"/>
      <c r="VKM91" s="317"/>
      <c r="VKN91" s="317"/>
      <c r="VKO91" s="317"/>
      <c r="VKP91" s="317"/>
      <c r="VKQ91" s="317"/>
      <c r="VKR91" s="317"/>
      <c r="VKS91" s="317"/>
      <c r="VKT91" s="317"/>
      <c r="VKU91" s="317"/>
      <c r="VKV91" s="317"/>
      <c r="VKW91" s="317"/>
      <c r="VKX91" s="317"/>
      <c r="VKY91" s="317"/>
      <c r="VKZ91" s="317"/>
      <c r="VLA91" s="317"/>
      <c r="VLB91" s="317"/>
      <c r="VLC91" s="317"/>
      <c r="VLD91" s="317"/>
      <c r="VLE91" s="317"/>
      <c r="VLF91" s="317"/>
      <c r="VLG91" s="317"/>
      <c r="VLH91" s="317"/>
      <c r="VLI91" s="317"/>
      <c r="VLJ91" s="317"/>
      <c r="VLK91" s="317"/>
      <c r="VLL91" s="317"/>
      <c r="VLM91" s="317"/>
      <c r="VLN91" s="317"/>
      <c r="VLO91" s="317"/>
      <c r="VLP91" s="317"/>
      <c r="VLQ91" s="317"/>
      <c r="VLR91" s="317"/>
      <c r="VLS91" s="317"/>
      <c r="VLT91" s="317"/>
      <c r="VLU91" s="317"/>
      <c r="VLV91" s="317"/>
      <c r="VLW91" s="317"/>
      <c r="VLX91" s="317"/>
      <c r="VLY91" s="317"/>
      <c r="VLZ91" s="317"/>
      <c r="VMA91" s="317"/>
      <c r="VMB91" s="317"/>
      <c r="VMC91" s="317"/>
      <c r="VMD91" s="317"/>
      <c r="VME91" s="317"/>
      <c r="VMF91" s="317"/>
      <c r="VMG91" s="317"/>
      <c r="VMH91" s="317"/>
      <c r="VMI91" s="317"/>
      <c r="VMJ91" s="317"/>
      <c r="VMK91" s="317"/>
      <c r="VML91" s="317"/>
      <c r="VMM91" s="317"/>
      <c r="VMN91" s="317"/>
      <c r="VMO91" s="317"/>
      <c r="VMP91" s="317"/>
      <c r="VMQ91" s="317"/>
      <c r="VMR91" s="317"/>
      <c r="VMS91" s="317"/>
      <c r="VMT91" s="317"/>
      <c r="VMU91" s="317"/>
      <c r="VMV91" s="317"/>
      <c r="VMW91" s="317"/>
      <c r="VMX91" s="317"/>
      <c r="VMY91" s="317"/>
      <c r="VMZ91" s="317"/>
      <c r="VNA91" s="317"/>
      <c r="VNB91" s="317"/>
      <c r="VNC91" s="317"/>
      <c r="VND91" s="317"/>
      <c r="VNE91" s="317"/>
      <c r="VNF91" s="317"/>
      <c r="VNG91" s="317"/>
      <c r="VNH91" s="317"/>
      <c r="VNI91" s="317"/>
      <c r="VNJ91" s="317"/>
      <c r="VNK91" s="317"/>
      <c r="VNL91" s="317"/>
      <c r="VNM91" s="317"/>
      <c r="VNN91" s="317"/>
      <c r="VNO91" s="317"/>
      <c r="VNP91" s="317"/>
      <c r="VNQ91" s="317"/>
      <c r="VNR91" s="317"/>
      <c r="VNS91" s="317"/>
      <c r="VNT91" s="317"/>
      <c r="VNU91" s="317"/>
      <c r="VNV91" s="317"/>
      <c r="VNW91" s="317"/>
      <c r="VNX91" s="317"/>
      <c r="VNY91" s="317"/>
      <c r="VNZ91" s="317"/>
      <c r="VOA91" s="317"/>
      <c r="VOB91" s="317"/>
      <c r="VOC91" s="317"/>
      <c r="VOD91" s="317"/>
      <c r="VOE91" s="317"/>
      <c r="VOF91" s="317"/>
      <c r="VOG91" s="317"/>
      <c r="VOH91" s="317"/>
      <c r="VOI91" s="317"/>
      <c r="VOJ91" s="317"/>
      <c r="VOK91" s="317"/>
      <c r="VOL91" s="317"/>
      <c r="VOM91" s="317"/>
      <c r="VON91" s="317"/>
      <c r="VOO91" s="317"/>
      <c r="VOP91" s="317"/>
      <c r="VOQ91" s="317"/>
      <c r="VOR91" s="317"/>
      <c r="VOS91" s="317"/>
      <c r="VOT91" s="317"/>
      <c r="VOU91" s="317"/>
      <c r="VOV91" s="317"/>
      <c r="VOW91" s="317"/>
      <c r="VOX91" s="317"/>
      <c r="VOY91" s="317"/>
      <c r="VOZ91" s="317"/>
      <c r="VPA91" s="317"/>
      <c r="VPB91" s="317"/>
      <c r="VPC91" s="317"/>
      <c r="VPD91" s="317"/>
      <c r="VPE91" s="317"/>
      <c r="VPF91" s="317"/>
      <c r="VPG91" s="317"/>
      <c r="VPH91" s="317"/>
      <c r="VPI91" s="317"/>
      <c r="VPJ91" s="317"/>
      <c r="VPK91" s="317"/>
      <c r="VPL91" s="317"/>
      <c r="VPM91" s="317"/>
      <c r="VPN91" s="317"/>
      <c r="VPO91" s="317"/>
      <c r="VPP91" s="317"/>
      <c r="VPQ91" s="317"/>
      <c r="VPR91" s="317"/>
      <c r="VPS91" s="317"/>
      <c r="VPT91" s="317"/>
      <c r="VPU91" s="317"/>
      <c r="VPV91" s="317"/>
      <c r="VPW91" s="317"/>
      <c r="VPX91" s="317"/>
      <c r="VPY91" s="317"/>
      <c r="VPZ91" s="317"/>
      <c r="VQA91" s="317"/>
      <c r="VQB91" s="317"/>
      <c r="VQC91" s="317"/>
      <c r="VQD91" s="317"/>
      <c r="VQE91" s="317"/>
      <c r="VQF91" s="317"/>
      <c r="VQG91" s="317"/>
      <c r="VQH91" s="317"/>
      <c r="VQI91" s="317"/>
      <c r="VQJ91" s="317"/>
      <c r="VQK91" s="317"/>
      <c r="VQL91" s="317"/>
      <c r="VQM91" s="317"/>
      <c r="VQN91" s="317"/>
      <c r="VQO91" s="317"/>
      <c r="VQP91" s="317"/>
      <c r="VQQ91" s="317"/>
      <c r="VQR91" s="317"/>
      <c r="VQS91" s="317"/>
      <c r="VQT91" s="317"/>
      <c r="VQU91" s="317"/>
      <c r="VQV91" s="317"/>
      <c r="VQW91" s="317"/>
      <c r="VQX91" s="317"/>
      <c r="VQY91" s="317"/>
      <c r="VQZ91" s="317"/>
      <c r="VRA91" s="317"/>
      <c r="VRB91" s="317"/>
      <c r="VRC91" s="317"/>
      <c r="VRD91" s="317"/>
      <c r="VRE91" s="317"/>
      <c r="VRF91" s="317"/>
      <c r="VRG91" s="317"/>
      <c r="VRH91" s="317"/>
      <c r="VRI91" s="317"/>
      <c r="VRJ91" s="317"/>
      <c r="VRK91" s="317"/>
      <c r="VRL91" s="317"/>
      <c r="VRM91" s="317"/>
      <c r="VRN91" s="317"/>
      <c r="VRO91" s="317"/>
      <c r="VRP91" s="317"/>
      <c r="VRQ91" s="317"/>
      <c r="VRR91" s="317"/>
      <c r="VRS91" s="317"/>
      <c r="VRT91" s="317"/>
      <c r="VRU91" s="317"/>
      <c r="VRV91" s="317"/>
      <c r="VRW91" s="317"/>
      <c r="VRX91" s="317"/>
      <c r="VRY91" s="317"/>
      <c r="VRZ91" s="317"/>
      <c r="VSA91" s="317"/>
      <c r="VSB91" s="317"/>
      <c r="VSC91" s="317"/>
      <c r="VSD91" s="317"/>
      <c r="VSE91" s="317"/>
      <c r="VSF91" s="317"/>
      <c r="VSG91" s="317"/>
      <c r="VSH91" s="317"/>
      <c r="VSI91" s="317"/>
      <c r="VSJ91" s="317"/>
      <c r="VSK91" s="317"/>
      <c r="VSL91" s="317"/>
      <c r="VSM91" s="317"/>
      <c r="VSN91" s="317"/>
      <c r="VSO91" s="317"/>
      <c r="VSP91" s="317"/>
      <c r="VSQ91" s="317"/>
      <c r="VSR91" s="317"/>
      <c r="VSS91" s="317"/>
      <c r="VST91" s="317"/>
      <c r="VSU91" s="317"/>
      <c r="VSV91" s="317"/>
      <c r="VSW91" s="317"/>
      <c r="VSX91" s="317"/>
      <c r="VSY91" s="317"/>
      <c r="VSZ91" s="317"/>
      <c r="VTA91" s="317"/>
      <c r="VTB91" s="317"/>
      <c r="VTC91" s="317"/>
      <c r="VTD91" s="317"/>
      <c r="VTE91" s="317"/>
      <c r="VTF91" s="317"/>
      <c r="VTG91" s="317"/>
      <c r="VTH91" s="317"/>
      <c r="VTI91" s="317"/>
      <c r="VTJ91" s="317"/>
      <c r="VTK91" s="317"/>
      <c r="VTL91" s="317"/>
      <c r="VTM91" s="317"/>
      <c r="VTN91" s="317"/>
      <c r="VTO91" s="317"/>
      <c r="VTP91" s="317"/>
      <c r="VTQ91" s="317"/>
      <c r="VTR91" s="317"/>
      <c r="VTS91" s="317"/>
      <c r="VTT91" s="317"/>
      <c r="VTU91" s="317"/>
      <c r="VTV91" s="317"/>
      <c r="VTW91" s="317"/>
      <c r="VTX91" s="317"/>
      <c r="VTY91" s="317"/>
      <c r="VTZ91" s="317"/>
      <c r="VUA91" s="317"/>
      <c r="VUB91" s="317"/>
      <c r="VUC91" s="317"/>
      <c r="VUD91" s="317"/>
      <c r="VUE91" s="317"/>
      <c r="VUF91" s="317"/>
      <c r="VUG91" s="317"/>
      <c r="VUH91" s="317"/>
      <c r="VUI91" s="317"/>
      <c r="VUJ91" s="317"/>
      <c r="VUK91" s="317"/>
      <c r="VUL91" s="317"/>
      <c r="VUM91" s="317"/>
      <c r="VUN91" s="317"/>
      <c r="VUO91" s="317"/>
      <c r="VUP91" s="317"/>
      <c r="VUQ91" s="317"/>
      <c r="VUR91" s="317"/>
      <c r="VUS91" s="317"/>
      <c r="VUT91" s="317"/>
      <c r="VUU91" s="317"/>
      <c r="VUV91" s="317"/>
      <c r="VUW91" s="317"/>
      <c r="VUX91" s="317"/>
      <c r="VUY91" s="317"/>
      <c r="VUZ91" s="317"/>
      <c r="VVA91" s="317"/>
      <c r="VVB91" s="317"/>
      <c r="VVC91" s="317"/>
      <c r="VVD91" s="317"/>
      <c r="VVE91" s="317"/>
      <c r="VVF91" s="317"/>
      <c r="VVG91" s="317"/>
      <c r="VVH91" s="317"/>
      <c r="VVI91" s="317"/>
      <c r="VVJ91" s="317"/>
      <c r="VVK91" s="317"/>
      <c r="VVL91" s="317"/>
      <c r="VVM91" s="317"/>
      <c r="VVN91" s="317"/>
      <c r="VVO91" s="317"/>
      <c r="VVP91" s="317"/>
      <c r="VVQ91" s="317"/>
      <c r="VVR91" s="317"/>
      <c r="VVS91" s="317"/>
      <c r="VVT91" s="317"/>
      <c r="VVU91" s="317"/>
      <c r="VVV91" s="317"/>
      <c r="VVW91" s="317"/>
      <c r="VVX91" s="317"/>
      <c r="VVY91" s="317"/>
      <c r="VVZ91" s="317"/>
      <c r="VWA91" s="317"/>
      <c r="VWB91" s="317"/>
      <c r="VWC91" s="317"/>
      <c r="VWD91" s="317"/>
      <c r="VWE91" s="317"/>
      <c r="VWF91" s="317"/>
      <c r="VWG91" s="317"/>
      <c r="VWH91" s="317"/>
      <c r="VWI91" s="317"/>
      <c r="VWJ91" s="317"/>
      <c r="VWK91" s="317"/>
      <c r="VWL91" s="317"/>
      <c r="VWM91" s="317"/>
      <c r="VWN91" s="317"/>
      <c r="VWO91" s="317"/>
      <c r="VWP91" s="317"/>
      <c r="VWQ91" s="317"/>
      <c r="VWR91" s="317"/>
      <c r="VWS91" s="317"/>
      <c r="VWT91" s="317"/>
      <c r="VWU91" s="317"/>
      <c r="VWV91" s="317"/>
      <c r="VWW91" s="317"/>
      <c r="VWX91" s="317"/>
      <c r="VWY91" s="317"/>
      <c r="VWZ91" s="317"/>
      <c r="VXA91" s="317"/>
      <c r="VXB91" s="317"/>
      <c r="VXC91" s="317"/>
      <c r="VXD91" s="317"/>
      <c r="VXE91" s="317"/>
      <c r="VXF91" s="317"/>
      <c r="VXG91" s="317"/>
      <c r="VXH91" s="317"/>
      <c r="VXI91" s="317"/>
      <c r="VXJ91" s="317"/>
      <c r="VXK91" s="317"/>
      <c r="VXL91" s="317"/>
      <c r="VXM91" s="317"/>
      <c r="VXN91" s="317"/>
      <c r="VXO91" s="317"/>
      <c r="VXP91" s="317"/>
      <c r="VXQ91" s="317"/>
      <c r="VXR91" s="317"/>
      <c r="VXS91" s="317"/>
      <c r="VXT91" s="317"/>
      <c r="VXU91" s="317"/>
      <c r="VXV91" s="317"/>
      <c r="VXW91" s="317"/>
      <c r="VXX91" s="317"/>
      <c r="VXY91" s="317"/>
      <c r="VXZ91" s="317"/>
      <c r="VYA91" s="317"/>
      <c r="VYB91" s="317"/>
      <c r="VYC91" s="317"/>
      <c r="VYD91" s="317"/>
      <c r="VYE91" s="317"/>
      <c r="VYF91" s="317"/>
      <c r="VYG91" s="317"/>
      <c r="VYH91" s="317"/>
      <c r="VYI91" s="317"/>
      <c r="VYJ91" s="317"/>
      <c r="VYK91" s="317"/>
      <c r="VYL91" s="317"/>
      <c r="VYM91" s="317"/>
      <c r="VYN91" s="317"/>
      <c r="VYO91" s="317"/>
      <c r="VYP91" s="317"/>
      <c r="VYQ91" s="317"/>
      <c r="VYR91" s="317"/>
      <c r="VYS91" s="317"/>
      <c r="VYT91" s="317"/>
      <c r="VYU91" s="317"/>
      <c r="VYV91" s="317"/>
      <c r="VYW91" s="317"/>
      <c r="VYX91" s="317"/>
      <c r="VYY91" s="317"/>
      <c r="VYZ91" s="317"/>
      <c r="VZA91" s="317"/>
      <c r="VZB91" s="317"/>
      <c r="VZC91" s="317"/>
      <c r="VZD91" s="317"/>
      <c r="VZE91" s="317"/>
      <c r="VZF91" s="317"/>
      <c r="VZG91" s="317"/>
      <c r="VZH91" s="317"/>
      <c r="VZI91" s="317"/>
      <c r="VZJ91" s="317"/>
      <c r="VZK91" s="317"/>
      <c r="VZL91" s="317"/>
      <c r="VZM91" s="317"/>
      <c r="VZN91" s="317"/>
      <c r="VZO91" s="317"/>
      <c r="VZP91" s="317"/>
      <c r="VZQ91" s="317"/>
      <c r="VZR91" s="317"/>
      <c r="VZS91" s="317"/>
      <c r="VZT91" s="317"/>
      <c r="VZU91" s="317"/>
      <c r="VZV91" s="317"/>
      <c r="VZW91" s="317"/>
      <c r="VZX91" s="317"/>
      <c r="VZY91" s="317"/>
      <c r="VZZ91" s="317"/>
      <c r="WAA91" s="317"/>
      <c r="WAB91" s="317"/>
      <c r="WAC91" s="317"/>
      <c r="WAD91" s="317"/>
      <c r="WAE91" s="317"/>
      <c r="WAF91" s="317"/>
      <c r="WAG91" s="317"/>
      <c r="WAH91" s="317"/>
      <c r="WAI91" s="317"/>
      <c r="WAJ91" s="317"/>
      <c r="WAK91" s="317"/>
      <c r="WAL91" s="317"/>
      <c r="WAM91" s="317"/>
      <c r="WAN91" s="317"/>
      <c r="WAO91" s="317"/>
      <c r="WAP91" s="317"/>
      <c r="WAQ91" s="317"/>
      <c r="WAR91" s="317"/>
      <c r="WAS91" s="317"/>
      <c r="WAT91" s="317"/>
      <c r="WAU91" s="317"/>
      <c r="WAV91" s="317"/>
      <c r="WAW91" s="317"/>
      <c r="WAX91" s="317"/>
      <c r="WAY91" s="317"/>
      <c r="WAZ91" s="317"/>
      <c r="WBA91" s="317"/>
      <c r="WBB91" s="317"/>
      <c r="WBC91" s="317"/>
      <c r="WBD91" s="317"/>
      <c r="WBE91" s="317"/>
      <c r="WBF91" s="317"/>
      <c r="WBG91" s="317"/>
      <c r="WBH91" s="317"/>
      <c r="WBI91" s="317"/>
      <c r="WBJ91" s="317"/>
      <c r="WBK91" s="317"/>
      <c r="WBL91" s="317"/>
      <c r="WBM91" s="317"/>
      <c r="WBN91" s="317"/>
      <c r="WBO91" s="317"/>
      <c r="WBP91" s="317"/>
      <c r="WBQ91" s="317"/>
      <c r="WBR91" s="317"/>
      <c r="WBS91" s="317"/>
      <c r="WBT91" s="317"/>
      <c r="WBU91" s="317"/>
      <c r="WBV91" s="317"/>
      <c r="WBW91" s="317"/>
      <c r="WBX91" s="317"/>
      <c r="WBY91" s="317"/>
      <c r="WBZ91" s="317"/>
      <c r="WCA91" s="317"/>
      <c r="WCB91" s="317"/>
      <c r="WCC91" s="317"/>
      <c r="WCD91" s="317"/>
      <c r="WCE91" s="317"/>
      <c r="WCF91" s="317"/>
      <c r="WCG91" s="317"/>
      <c r="WCH91" s="317"/>
      <c r="WCI91" s="317"/>
      <c r="WCJ91" s="317"/>
      <c r="WCK91" s="317"/>
      <c r="WCL91" s="317"/>
      <c r="WCM91" s="317"/>
      <c r="WCN91" s="317"/>
      <c r="WCO91" s="317"/>
      <c r="WCP91" s="317"/>
      <c r="WCQ91" s="317"/>
      <c r="WCR91" s="317"/>
      <c r="WCS91" s="317"/>
      <c r="WCT91" s="317"/>
      <c r="WCU91" s="317"/>
      <c r="WCV91" s="317"/>
      <c r="WCW91" s="317"/>
      <c r="WCX91" s="317"/>
      <c r="WCY91" s="317"/>
      <c r="WCZ91" s="317"/>
      <c r="WDA91" s="317"/>
      <c r="WDB91" s="317"/>
      <c r="WDC91" s="317"/>
      <c r="WDD91" s="317"/>
      <c r="WDE91" s="317"/>
      <c r="WDF91" s="317"/>
      <c r="WDG91" s="317"/>
      <c r="WDH91" s="317"/>
      <c r="WDI91" s="317"/>
      <c r="WDJ91" s="317"/>
      <c r="WDK91" s="317"/>
      <c r="WDL91" s="317"/>
      <c r="WDM91" s="317"/>
      <c r="WDN91" s="317"/>
      <c r="WDO91" s="317"/>
      <c r="WDP91" s="317"/>
      <c r="WDQ91" s="317"/>
      <c r="WDR91" s="317"/>
      <c r="WDS91" s="317"/>
      <c r="WDT91" s="317"/>
      <c r="WDU91" s="317"/>
      <c r="WDV91" s="317"/>
      <c r="WDW91" s="317"/>
      <c r="WDX91" s="317"/>
      <c r="WDY91" s="317"/>
      <c r="WDZ91" s="317"/>
      <c r="WEA91" s="317"/>
      <c r="WEB91" s="317"/>
      <c r="WEC91" s="317"/>
      <c r="WED91" s="317"/>
      <c r="WEE91" s="317"/>
      <c r="WEF91" s="317"/>
      <c r="WEG91" s="317"/>
      <c r="WEH91" s="317"/>
      <c r="WEI91" s="317"/>
      <c r="WEJ91" s="317"/>
      <c r="WEK91" s="317"/>
      <c r="WEL91" s="317"/>
      <c r="WEM91" s="317"/>
      <c r="WEN91" s="317"/>
      <c r="WEO91" s="317"/>
      <c r="WEP91" s="317"/>
      <c r="WEQ91" s="317"/>
      <c r="WER91" s="317"/>
      <c r="WES91" s="317"/>
      <c r="WET91" s="317"/>
      <c r="WEU91" s="317"/>
      <c r="WEV91" s="317"/>
      <c r="WEW91" s="317"/>
      <c r="WEX91" s="317"/>
      <c r="WEY91" s="317"/>
      <c r="WEZ91" s="317"/>
      <c r="WFA91" s="317"/>
      <c r="WFB91" s="317"/>
      <c r="WFC91" s="317"/>
      <c r="WFD91" s="317"/>
      <c r="WFE91" s="317"/>
      <c r="WFF91" s="317"/>
      <c r="WFG91" s="317"/>
      <c r="WFH91" s="317"/>
      <c r="WFI91" s="317"/>
      <c r="WFJ91" s="317"/>
      <c r="WFK91" s="317"/>
      <c r="WFL91" s="317"/>
      <c r="WFM91" s="317"/>
      <c r="WFN91" s="317"/>
      <c r="WFO91" s="317"/>
      <c r="WFP91" s="317"/>
      <c r="WFQ91" s="317"/>
      <c r="WFR91" s="317"/>
      <c r="WFS91" s="317"/>
      <c r="WFT91" s="317"/>
      <c r="WFU91" s="317"/>
      <c r="WFV91" s="317"/>
      <c r="WFW91" s="317"/>
      <c r="WFX91" s="317"/>
      <c r="WFY91" s="317"/>
      <c r="WFZ91" s="317"/>
      <c r="WGA91" s="317"/>
      <c r="WGB91" s="317"/>
      <c r="WGC91" s="317"/>
      <c r="WGD91" s="317"/>
      <c r="WGE91" s="317"/>
      <c r="WGF91" s="317"/>
      <c r="WGG91" s="317"/>
      <c r="WGH91" s="317"/>
      <c r="WGI91" s="317"/>
      <c r="WGJ91" s="317"/>
      <c r="WGK91" s="317"/>
      <c r="WGL91" s="317"/>
      <c r="WGM91" s="317"/>
      <c r="WGN91" s="317"/>
      <c r="WGO91" s="317"/>
      <c r="WGP91" s="317"/>
      <c r="WGQ91" s="317"/>
      <c r="WGR91" s="317"/>
      <c r="WGS91" s="317"/>
      <c r="WGT91" s="317"/>
      <c r="WGU91" s="317"/>
      <c r="WGV91" s="317"/>
      <c r="WGW91" s="317"/>
      <c r="WGX91" s="317"/>
      <c r="WGY91" s="317"/>
      <c r="WGZ91" s="317"/>
      <c r="WHA91" s="317"/>
      <c r="WHB91" s="317"/>
      <c r="WHC91" s="317"/>
      <c r="WHD91" s="317"/>
      <c r="WHE91" s="317"/>
      <c r="WHF91" s="317"/>
      <c r="WHG91" s="317"/>
      <c r="WHH91" s="317"/>
      <c r="WHI91" s="317"/>
      <c r="WHJ91" s="317"/>
      <c r="WHK91" s="317"/>
      <c r="WHL91" s="317"/>
      <c r="WHM91" s="317"/>
      <c r="WHN91" s="317"/>
      <c r="WHO91" s="317"/>
      <c r="WHP91" s="317"/>
      <c r="WHQ91" s="317"/>
      <c r="WHR91" s="317"/>
      <c r="WHS91" s="317"/>
      <c r="WHT91" s="317"/>
      <c r="WHU91" s="317"/>
      <c r="WHV91" s="317"/>
      <c r="WHW91" s="317"/>
      <c r="WHX91" s="317"/>
      <c r="WHY91" s="317"/>
      <c r="WHZ91" s="317"/>
      <c r="WIA91" s="317"/>
      <c r="WIB91" s="317"/>
      <c r="WIC91" s="317"/>
      <c r="WID91" s="317"/>
      <c r="WIE91" s="317"/>
      <c r="WIF91" s="317"/>
      <c r="WIG91" s="317"/>
      <c r="WIH91" s="317"/>
      <c r="WII91" s="317"/>
      <c r="WIJ91" s="317"/>
      <c r="WIK91" s="317"/>
      <c r="WIL91" s="317"/>
      <c r="WIM91" s="317"/>
      <c r="WIN91" s="317"/>
      <c r="WIO91" s="317"/>
      <c r="WIP91" s="317"/>
      <c r="WIQ91" s="317"/>
      <c r="WIR91" s="317"/>
      <c r="WIS91" s="317"/>
      <c r="WIT91" s="317"/>
      <c r="WIU91" s="317"/>
      <c r="WIV91" s="317"/>
      <c r="WIW91" s="317"/>
      <c r="WIX91" s="317"/>
      <c r="WIY91" s="317"/>
      <c r="WIZ91" s="317"/>
      <c r="WJA91" s="317"/>
      <c r="WJB91" s="317"/>
      <c r="WJC91" s="317"/>
      <c r="WJD91" s="317"/>
      <c r="WJE91" s="317"/>
      <c r="WJF91" s="317"/>
      <c r="WJG91" s="317"/>
      <c r="WJH91" s="317"/>
      <c r="WJI91" s="317"/>
      <c r="WJJ91" s="317"/>
      <c r="WJK91" s="317"/>
      <c r="WJL91" s="317"/>
      <c r="WJM91" s="317"/>
      <c r="WJN91" s="317"/>
      <c r="WJO91" s="317"/>
      <c r="WJP91" s="317"/>
      <c r="WJQ91" s="317"/>
      <c r="WJR91" s="317"/>
      <c r="WJS91" s="317"/>
      <c r="WJT91" s="317"/>
      <c r="WJU91" s="317"/>
      <c r="WJV91" s="317"/>
      <c r="WJW91" s="317"/>
      <c r="WJX91" s="317"/>
      <c r="WJY91" s="317"/>
      <c r="WJZ91" s="317"/>
      <c r="WKA91" s="317"/>
      <c r="WKB91" s="317"/>
      <c r="WKC91" s="317"/>
      <c r="WKD91" s="317"/>
      <c r="WKE91" s="317"/>
      <c r="WKF91" s="317"/>
      <c r="WKG91" s="317"/>
      <c r="WKH91" s="317"/>
      <c r="WKI91" s="317"/>
      <c r="WKJ91" s="317"/>
      <c r="WKK91" s="317"/>
      <c r="WKL91" s="317"/>
      <c r="WKM91" s="317"/>
      <c r="WKN91" s="317"/>
      <c r="WKO91" s="317"/>
      <c r="WKP91" s="317"/>
      <c r="WKQ91" s="317"/>
      <c r="WKR91" s="317"/>
      <c r="WKS91" s="317"/>
      <c r="WKT91" s="317"/>
      <c r="WKU91" s="317"/>
      <c r="WKV91" s="317"/>
      <c r="WKW91" s="317"/>
      <c r="WKX91" s="317"/>
      <c r="WKY91" s="317"/>
      <c r="WKZ91" s="317"/>
      <c r="WLA91" s="317"/>
      <c r="WLB91" s="317"/>
      <c r="WLC91" s="317"/>
      <c r="WLD91" s="317"/>
      <c r="WLE91" s="317"/>
      <c r="WLF91" s="317"/>
      <c r="WLG91" s="317"/>
      <c r="WLH91" s="317"/>
      <c r="WLI91" s="317"/>
      <c r="WLJ91" s="317"/>
      <c r="WLK91" s="317"/>
      <c r="WLL91" s="317"/>
      <c r="WLM91" s="317"/>
      <c r="WLN91" s="317"/>
      <c r="WLO91" s="317"/>
      <c r="WLP91" s="317"/>
      <c r="WLQ91" s="317"/>
      <c r="WLR91" s="317"/>
      <c r="WLS91" s="317"/>
      <c r="WLT91" s="317"/>
      <c r="WLU91" s="317"/>
      <c r="WLV91" s="317"/>
      <c r="WLW91" s="317"/>
      <c r="WLX91" s="317"/>
      <c r="WLY91" s="317"/>
      <c r="WLZ91" s="317"/>
      <c r="WMA91" s="317"/>
      <c r="WMB91" s="317"/>
      <c r="WMC91" s="317"/>
      <c r="WMD91" s="317"/>
      <c r="WME91" s="317"/>
      <c r="WMF91" s="317"/>
      <c r="WMG91" s="317"/>
      <c r="WMH91" s="317"/>
      <c r="WMI91" s="317"/>
      <c r="WMJ91" s="317"/>
      <c r="WMK91" s="317"/>
      <c r="WML91" s="317"/>
      <c r="WMM91" s="317"/>
      <c r="WMN91" s="317"/>
      <c r="WMO91" s="317"/>
      <c r="WMP91" s="317"/>
      <c r="WMQ91" s="317"/>
      <c r="WMR91" s="317"/>
      <c r="WMS91" s="317"/>
      <c r="WMT91" s="317"/>
      <c r="WMU91" s="317"/>
      <c r="WMV91" s="317"/>
      <c r="WMW91" s="317"/>
      <c r="WMX91" s="317"/>
      <c r="WMY91" s="317"/>
      <c r="WMZ91" s="317"/>
      <c r="WNA91" s="317"/>
      <c r="WNB91" s="317"/>
      <c r="WNC91" s="317"/>
      <c r="WND91" s="317"/>
      <c r="WNE91" s="317"/>
      <c r="WNF91" s="317"/>
      <c r="WNG91" s="317"/>
      <c r="WNH91" s="317"/>
      <c r="WNI91" s="317"/>
      <c r="WNJ91" s="317"/>
      <c r="WNK91" s="317"/>
      <c r="WNL91" s="317"/>
      <c r="WNM91" s="317"/>
      <c r="WNN91" s="317"/>
      <c r="WNO91" s="317"/>
      <c r="WNP91" s="317"/>
      <c r="WNQ91" s="317"/>
      <c r="WNR91" s="317"/>
      <c r="WNS91" s="317"/>
      <c r="WNT91" s="317"/>
      <c r="WNU91" s="317"/>
      <c r="WNV91" s="317"/>
      <c r="WNW91" s="317"/>
      <c r="WNX91" s="317"/>
      <c r="WNY91" s="317"/>
      <c r="WNZ91" s="317"/>
      <c r="WOA91" s="317"/>
      <c r="WOB91" s="317"/>
      <c r="WOC91" s="317"/>
      <c r="WOD91" s="317"/>
      <c r="WOE91" s="317"/>
      <c r="WOF91" s="317"/>
      <c r="WOG91" s="317"/>
      <c r="WOH91" s="317"/>
      <c r="WOI91" s="317"/>
      <c r="WOJ91" s="317"/>
      <c r="WOK91" s="317"/>
      <c r="WOL91" s="317"/>
      <c r="WOM91" s="317"/>
      <c r="WON91" s="317"/>
      <c r="WOO91" s="317"/>
      <c r="WOP91" s="317"/>
      <c r="WOQ91" s="317"/>
      <c r="WOR91" s="317"/>
      <c r="WOS91" s="317"/>
      <c r="WOT91" s="317"/>
      <c r="WOU91" s="317"/>
      <c r="WOV91" s="317"/>
      <c r="WOW91" s="317"/>
      <c r="WOX91" s="317"/>
      <c r="WOY91" s="317"/>
      <c r="WOZ91" s="317"/>
      <c r="WPA91" s="317"/>
      <c r="WPB91" s="317"/>
      <c r="WPC91" s="317"/>
      <c r="WPD91" s="317"/>
      <c r="WPE91" s="317"/>
      <c r="WPF91" s="317"/>
      <c r="WPG91" s="317"/>
      <c r="WPH91" s="317"/>
      <c r="WPI91" s="317"/>
      <c r="WPJ91" s="317"/>
      <c r="WPK91" s="317"/>
      <c r="WPL91" s="317"/>
      <c r="WPM91" s="317"/>
      <c r="WPN91" s="317"/>
      <c r="WPO91" s="317"/>
      <c r="WPP91" s="317"/>
      <c r="WPQ91" s="317"/>
      <c r="WPR91" s="317"/>
      <c r="WPS91" s="317"/>
      <c r="WPT91" s="317"/>
      <c r="WPU91" s="317"/>
      <c r="WPV91" s="317"/>
      <c r="WPW91" s="317"/>
      <c r="WPX91" s="317"/>
      <c r="WPY91" s="317"/>
      <c r="WPZ91" s="317"/>
      <c r="WQA91" s="317"/>
      <c r="WQB91" s="317"/>
      <c r="WQC91" s="317"/>
      <c r="WQD91" s="317"/>
      <c r="WQE91" s="317"/>
      <c r="WQF91" s="317"/>
      <c r="WQG91" s="317"/>
      <c r="WQH91" s="317"/>
      <c r="WQI91" s="317"/>
      <c r="WQJ91" s="317"/>
      <c r="WQK91" s="317"/>
      <c r="WQL91" s="317"/>
      <c r="WQM91" s="317"/>
      <c r="WQN91" s="317"/>
      <c r="WQO91" s="317"/>
      <c r="WQP91" s="317"/>
      <c r="WQQ91" s="317"/>
      <c r="WQR91" s="317"/>
      <c r="WQS91" s="317"/>
      <c r="WQT91" s="317"/>
      <c r="WQU91" s="317"/>
      <c r="WQV91" s="317"/>
      <c r="WQW91" s="317"/>
      <c r="WQX91" s="317"/>
      <c r="WQY91" s="317"/>
      <c r="WQZ91" s="317"/>
      <c r="WRA91" s="317"/>
      <c r="WRB91" s="317"/>
      <c r="WRC91" s="317"/>
      <c r="WRD91" s="317"/>
      <c r="WRE91" s="317"/>
      <c r="WRF91" s="317"/>
      <c r="WRG91" s="317"/>
      <c r="WRH91" s="317"/>
      <c r="WRI91" s="317"/>
      <c r="WRJ91" s="317"/>
      <c r="WRK91" s="317"/>
      <c r="WRL91" s="317"/>
      <c r="WRM91" s="317"/>
      <c r="WRN91" s="317"/>
      <c r="WRO91" s="317"/>
      <c r="WRP91" s="317"/>
      <c r="WRQ91" s="317"/>
      <c r="WRR91" s="317"/>
      <c r="WRS91" s="317"/>
      <c r="WRT91" s="317"/>
      <c r="WRU91" s="317"/>
      <c r="WRV91" s="317"/>
      <c r="WRW91" s="317"/>
      <c r="WRX91" s="317"/>
      <c r="WRY91" s="317"/>
      <c r="WRZ91" s="317"/>
      <c r="WSA91" s="317"/>
      <c r="WSB91" s="317"/>
      <c r="WSC91" s="317"/>
      <c r="WSD91" s="317"/>
      <c r="WSE91" s="317"/>
      <c r="WSF91" s="317"/>
      <c r="WSG91" s="317"/>
      <c r="WSH91" s="317"/>
      <c r="WSI91" s="317"/>
      <c r="WSJ91" s="317"/>
      <c r="WSK91" s="317"/>
      <c r="WSL91" s="317"/>
      <c r="WSM91" s="317"/>
      <c r="WSN91" s="317"/>
      <c r="WSO91" s="317"/>
      <c r="WSP91" s="317"/>
      <c r="WSQ91" s="317"/>
      <c r="WSR91" s="317"/>
      <c r="WSS91" s="317"/>
      <c r="WST91" s="317"/>
      <c r="WSU91" s="317"/>
      <c r="WSV91" s="317"/>
      <c r="WSW91" s="317"/>
      <c r="WSX91" s="317"/>
      <c r="WSY91" s="317"/>
      <c r="WSZ91" s="317"/>
      <c r="WTA91" s="317"/>
      <c r="WTB91" s="317"/>
      <c r="WTC91" s="317"/>
      <c r="WTD91" s="317"/>
      <c r="WTE91" s="317"/>
      <c r="WTF91" s="317"/>
      <c r="WTG91" s="317"/>
      <c r="WTH91" s="317"/>
      <c r="WTI91" s="317"/>
      <c r="WTJ91" s="317"/>
      <c r="WTK91" s="317"/>
      <c r="WTL91" s="317"/>
      <c r="WTM91" s="317"/>
      <c r="WTN91" s="317"/>
      <c r="WTO91" s="317"/>
      <c r="WTP91" s="317"/>
      <c r="WTQ91" s="317"/>
      <c r="WTR91" s="317"/>
      <c r="WTS91" s="317"/>
      <c r="WTT91" s="317"/>
      <c r="WTU91" s="317"/>
      <c r="WTV91" s="317"/>
      <c r="WTW91" s="317"/>
      <c r="WTX91" s="317"/>
      <c r="WTY91" s="317"/>
      <c r="WTZ91" s="317"/>
      <c r="WUA91" s="317"/>
      <c r="WUB91" s="317"/>
      <c r="WUC91" s="317"/>
      <c r="WUD91" s="317"/>
      <c r="WUE91" s="317"/>
      <c r="WUF91" s="317"/>
      <c r="WUG91" s="317"/>
      <c r="WUH91" s="317"/>
      <c r="WUI91" s="317"/>
      <c r="WUJ91" s="317"/>
      <c r="WUK91" s="317"/>
      <c r="WUL91" s="317"/>
      <c r="WUM91" s="317"/>
      <c r="WUN91" s="317"/>
      <c r="WUO91" s="317"/>
      <c r="WUP91" s="317"/>
      <c r="WUQ91" s="317"/>
      <c r="WUR91" s="317"/>
      <c r="WUS91" s="317"/>
      <c r="WUT91" s="317"/>
      <c r="WUU91" s="317"/>
      <c r="WUV91" s="317"/>
      <c r="WUW91" s="317"/>
      <c r="WUX91" s="317"/>
      <c r="WUY91" s="317"/>
      <c r="WUZ91" s="317"/>
      <c r="WVA91" s="317"/>
      <c r="WVB91" s="317"/>
      <c r="WVC91" s="317"/>
      <c r="WVD91" s="317"/>
      <c r="WVE91" s="317"/>
      <c r="WVF91" s="317"/>
      <c r="WVG91" s="317"/>
      <c r="WVH91" s="317"/>
      <c r="WVI91" s="317"/>
      <c r="WVJ91" s="317"/>
      <c r="WVK91" s="317"/>
      <c r="WVL91" s="317"/>
      <c r="WVM91" s="317"/>
      <c r="WVN91" s="317"/>
      <c r="WVO91" s="317"/>
      <c r="WVP91" s="317"/>
      <c r="WVQ91" s="317"/>
      <c r="WVR91" s="317"/>
      <c r="WVS91" s="317"/>
      <c r="WVT91" s="317"/>
      <c r="WVU91" s="317"/>
      <c r="WVV91" s="317"/>
      <c r="WVW91" s="317"/>
      <c r="WVX91" s="317"/>
      <c r="WVY91" s="317"/>
      <c r="WVZ91" s="317"/>
      <c r="WWA91" s="317"/>
      <c r="WWB91" s="317"/>
      <c r="WWC91" s="317"/>
      <c r="WWD91" s="317"/>
      <c r="WWE91" s="317"/>
      <c r="WWF91" s="317"/>
      <c r="WWG91" s="317"/>
      <c r="WWH91" s="317"/>
      <c r="WWI91" s="317"/>
      <c r="WWJ91" s="317"/>
      <c r="WWK91" s="317"/>
      <c r="WWL91" s="317"/>
      <c r="WWM91" s="317"/>
      <c r="WWN91" s="317"/>
      <c r="WWO91" s="317"/>
      <c r="WWP91" s="317"/>
      <c r="WWQ91" s="317"/>
      <c r="WWR91" s="317"/>
      <c r="WWS91" s="317"/>
      <c r="WWT91" s="317"/>
      <c r="WWU91" s="317"/>
      <c r="WWV91" s="317"/>
      <c r="WWW91" s="317"/>
      <c r="WWX91" s="317"/>
      <c r="WWY91" s="317"/>
      <c r="WWZ91" s="317"/>
      <c r="WXA91" s="317"/>
      <c r="WXB91" s="317"/>
      <c r="WXC91" s="317"/>
      <c r="WXD91" s="317"/>
      <c r="WXE91" s="317"/>
      <c r="WXF91" s="317"/>
      <c r="WXG91" s="317"/>
      <c r="WXH91" s="317"/>
      <c r="WXI91" s="317"/>
      <c r="WXJ91" s="317"/>
      <c r="WXK91" s="317"/>
      <c r="WXL91" s="317"/>
      <c r="WXM91" s="317"/>
      <c r="WXN91" s="317"/>
      <c r="WXO91" s="317"/>
      <c r="WXP91" s="317"/>
      <c r="WXQ91" s="317"/>
      <c r="WXR91" s="317"/>
      <c r="WXS91" s="317"/>
      <c r="WXT91" s="317"/>
      <c r="WXU91" s="317"/>
      <c r="WXV91" s="317"/>
      <c r="WXW91" s="317"/>
      <c r="WXX91" s="317"/>
      <c r="WXY91" s="317"/>
      <c r="WXZ91" s="317"/>
      <c r="WYA91" s="317"/>
      <c r="WYB91" s="317"/>
      <c r="WYC91" s="317"/>
      <c r="WYD91" s="317"/>
      <c r="WYE91" s="317"/>
      <c r="WYF91" s="317"/>
      <c r="WYG91" s="317"/>
      <c r="WYH91" s="317"/>
      <c r="WYI91" s="317"/>
      <c r="WYJ91" s="317"/>
      <c r="WYK91" s="317"/>
      <c r="WYL91" s="317"/>
      <c r="WYM91" s="317"/>
      <c r="WYN91" s="317"/>
      <c r="WYO91" s="317"/>
      <c r="WYP91" s="317"/>
      <c r="WYQ91" s="317"/>
      <c r="WYR91" s="317"/>
      <c r="WYS91" s="317"/>
      <c r="WYT91" s="317"/>
      <c r="WYU91" s="317"/>
      <c r="WYV91" s="317"/>
      <c r="WYW91" s="317"/>
      <c r="WYX91" s="317"/>
      <c r="WYY91" s="317"/>
      <c r="WYZ91" s="317"/>
      <c r="WZA91" s="317"/>
      <c r="WZB91" s="317"/>
      <c r="WZC91" s="317"/>
      <c r="WZD91" s="317"/>
      <c r="WZE91" s="317"/>
      <c r="WZF91" s="317"/>
      <c r="WZG91" s="317"/>
      <c r="WZH91" s="317"/>
      <c r="WZI91" s="317"/>
      <c r="WZJ91" s="317"/>
      <c r="WZK91" s="317"/>
      <c r="WZL91" s="317"/>
      <c r="WZM91" s="317"/>
      <c r="WZN91" s="317"/>
      <c r="WZO91" s="317"/>
      <c r="WZP91" s="317"/>
      <c r="WZQ91" s="317"/>
      <c r="WZR91" s="317"/>
      <c r="WZS91" s="317"/>
      <c r="WZT91" s="317"/>
      <c r="WZU91" s="317"/>
      <c r="WZV91" s="317"/>
      <c r="WZW91" s="317"/>
      <c r="WZX91" s="317"/>
      <c r="WZY91" s="317"/>
      <c r="WZZ91" s="317"/>
      <c r="XAA91" s="317"/>
      <c r="XAB91" s="317"/>
      <c r="XAC91" s="317"/>
      <c r="XAD91" s="317"/>
      <c r="XAE91" s="317"/>
      <c r="XAF91" s="317"/>
      <c r="XAG91" s="317"/>
      <c r="XAH91" s="317"/>
      <c r="XAI91" s="317"/>
      <c r="XAJ91" s="317"/>
      <c r="XAK91" s="317"/>
      <c r="XAL91" s="317"/>
      <c r="XAM91" s="317"/>
      <c r="XAN91" s="317"/>
      <c r="XAO91" s="317"/>
      <c r="XAP91" s="317"/>
      <c r="XAQ91" s="317"/>
      <c r="XAR91" s="317"/>
      <c r="XAS91" s="317"/>
      <c r="XAT91" s="317"/>
      <c r="XAU91" s="317"/>
      <c r="XAV91" s="317"/>
      <c r="XAW91" s="317"/>
      <c r="XAX91" s="317"/>
      <c r="XAY91" s="317"/>
      <c r="XAZ91" s="317"/>
      <c r="XBA91" s="317"/>
      <c r="XBB91" s="317"/>
      <c r="XBC91" s="317"/>
      <c r="XBD91" s="317"/>
      <c r="XBE91" s="317"/>
      <c r="XBF91" s="317"/>
      <c r="XBG91" s="317"/>
      <c r="XBH91" s="317"/>
      <c r="XBI91" s="317"/>
      <c r="XBJ91" s="317"/>
      <c r="XBK91" s="317"/>
      <c r="XBL91" s="317"/>
      <c r="XBM91" s="317"/>
      <c r="XBN91" s="317"/>
      <c r="XBO91" s="317"/>
      <c r="XBP91" s="317"/>
      <c r="XBQ91" s="317"/>
      <c r="XBR91" s="317"/>
      <c r="XBS91" s="317"/>
      <c r="XBT91" s="317"/>
      <c r="XBU91" s="317"/>
      <c r="XBV91" s="317"/>
      <c r="XBW91" s="317"/>
      <c r="XBX91" s="317"/>
      <c r="XBY91" s="317"/>
      <c r="XBZ91" s="317"/>
      <c r="XCA91" s="317"/>
      <c r="XCB91" s="317"/>
      <c r="XCC91" s="317"/>
      <c r="XCD91" s="317"/>
      <c r="XCE91" s="317"/>
      <c r="XCF91" s="317"/>
      <c r="XCG91" s="317"/>
      <c r="XCH91" s="317"/>
      <c r="XCI91" s="317"/>
      <c r="XCJ91" s="317"/>
      <c r="XCK91" s="317"/>
      <c r="XCL91" s="317"/>
      <c r="XCM91" s="317"/>
      <c r="XCN91" s="317"/>
      <c r="XCO91" s="317"/>
      <c r="XCP91" s="317"/>
      <c r="XCQ91" s="317"/>
      <c r="XCR91" s="317"/>
      <c r="XCS91" s="317"/>
      <c r="XCT91" s="317"/>
      <c r="XCU91" s="317"/>
      <c r="XCV91" s="317"/>
      <c r="XCW91" s="317"/>
      <c r="XCX91" s="317"/>
      <c r="XCY91" s="317"/>
      <c r="XCZ91" s="317"/>
      <c r="XDA91" s="317"/>
      <c r="XDB91" s="317"/>
      <c r="XDC91" s="317"/>
      <c r="XDD91" s="317"/>
      <c r="XDE91" s="317"/>
      <c r="XDF91" s="317"/>
      <c r="XDG91" s="317"/>
      <c r="XDH91" s="317"/>
      <c r="XDI91" s="317"/>
      <c r="XDJ91" s="317"/>
      <c r="XDK91" s="317"/>
      <c r="XDL91" s="317"/>
      <c r="XDM91" s="317"/>
      <c r="XDN91" s="317"/>
      <c r="XDO91" s="317"/>
      <c r="XDP91" s="317"/>
      <c r="XDQ91" s="317"/>
      <c r="XDR91" s="317"/>
      <c r="XDS91" s="317"/>
      <c r="XDT91" s="317"/>
      <c r="XDU91" s="317"/>
      <c r="XDV91" s="317"/>
      <c r="XDW91" s="317"/>
      <c r="XDX91" s="317"/>
      <c r="XDY91" s="317"/>
      <c r="XDZ91" s="317"/>
      <c r="XEA91" s="317"/>
      <c r="XEB91" s="317"/>
      <c r="XEC91" s="317"/>
      <c r="XED91" s="317"/>
      <c r="XEE91" s="317"/>
      <c r="XEF91" s="317"/>
      <c r="XEG91" s="317"/>
      <c r="XEH91" s="317"/>
      <c r="XEI91" s="317"/>
      <c r="XEJ91" s="317"/>
      <c r="XEK91" s="317"/>
      <c r="XEL91" s="317"/>
      <c r="XEM91" s="317"/>
      <c r="XEN91" s="317"/>
      <c r="XEO91" s="317"/>
      <c r="XEP91" s="317"/>
      <c r="XEQ91" s="317"/>
      <c r="XER91" s="317"/>
      <c r="XES91" s="317"/>
      <c r="XET91" s="317"/>
      <c r="XEU91" s="317"/>
      <c r="XEV91" s="317"/>
      <c r="XEW91" s="317"/>
      <c r="XEX91" s="317"/>
      <c r="XEY91" s="317"/>
      <c r="XEZ91" s="317"/>
      <c r="XFA91" s="317"/>
      <c r="XFB91" s="317"/>
      <c r="XFC91" s="317"/>
      <c r="XFD91" s="317"/>
    </row>
    <row r="92" s="314" customFormat="1" ht="25" customHeight="1" spans="1:74 14505:16384">
      <c r="A92" s="364"/>
      <c r="B92" s="365" t="s">
        <v>115</v>
      </c>
      <c r="I92" s="315"/>
      <c r="O92" s="316"/>
      <c r="P92" s="316"/>
      <c r="V92" s="316"/>
      <c r="W92" s="316"/>
      <c r="X92" s="316"/>
      <c r="Y92" s="316"/>
      <c r="Z92" s="316"/>
      <c r="AA92" s="316"/>
      <c r="AB92" s="316"/>
      <c r="AC92" s="316"/>
      <c r="AD92" s="316"/>
      <c r="AK92" s="316"/>
      <c r="AQ92" s="316"/>
      <c r="AR92" s="316"/>
      <c r="AS92" s="366"/>
      <c r="AT92" s="366"/>
      <c r="AU92" s="366"/>
      <c r="AY92" s="316"/>
      <c r="BE92" s="316"/>
      <c r="BF92" s="316"/>
      <c r="BM92" s="316"/>
      <c r="BS92" s="316"/>
      <c r="BT92" s="316"/>
      <c r="UKW92" s="317"/>
      <c r="UKX92" s="317"/>
      <c r="UKY92" s="317"/>
      <c r="UKZ92" s="317"/>
      <c r="ULA92" s="317"/>
      <c r="ULB92" s="317"/>
      <c r="ULC92" s="317"/>
      <c r="ULD92" s="317"/>
      <c r="ULE92" s="317"/>
      <c r="ULF92" s="317"/>
      <c r="ULG92" s="317"/>
      <c r="ULH92" s="317"/>
      <c r="ULI92" s="317"/>
      <c r="ULJ92" s="317"/>
      <c r="ULK92" s="317"/>
      <c r="ULL92" s="317"/>
      <c r="ULM92" s="317"/>
      <c r="ULN92" s="317"/>
      <c r="ULO92" s="317"/>
      <c r="ULP92" s="317"/>
      <c r="ULQ92" s="317"/>
      <c r="ULR92" s="317"/>
      <c r="ULS92" s="317"/>
      <c r="ULT92" s="317"/>
      <c r="ULU92" s="317"/>
      <c r="ULV92" s="317"/>
      <c r="ULW92" s="317"/>
      <c r="ULX92" s="317"/>
      <c r="ULY92" s="317"/>
      <c r="ULZ92" s="317"/>
      <c r="UMA92" s="317"/>
      <c r="UMB92" s="317"/>
      <c r="UMC92" s="317"/>
      <c r="UMD92" s="317"/>
      <c r="UME92" s="317"/>
      <c r="UMF92" s="317"/>
      <c r="UMG92" s="317"/>
      <c r="UMH92" s="317"/>
      <c r="UMI92" s="317"/>
      <c r="UMJ92" s="317"/>
      <c r="UMK92" s="317"/>
      <c r="UML92" s="317"/>
      <c r="UMM92" s="317"/>
      <c r="UMN92" s="317"/>
      <c r="UMO92" s="317"/>
      <c r="UMP92" s="317"/>
      <c r="UMQ92" s="317"/>
      <c r="UMR92" s="317"/>
      <c r="UMS92" s="317"/>
      <c r="UMT92" s="317"/>
      <c r="UMU92" s="317"/>
      <c r="UMV92" s="317"/>
      <c r="UMW92" s="317"/>
      <c r="UMX92" s="317"/>
      <c r="UMY92" s="317"/>
      <c r="UMZ92" s="317"/>
      <c r="UNA92" s="317"/>
      <c r="UNB92" s="317"/>
      <c r="UNC92" s="317"/>
      <c r="UND92" s="317"/>
      <c r="UNE92" s="317"/>
      <c r="UNF92" s="317"/>
      <c r="UNG92" s="317"/>
      <c r="UNH92" s="317"/>
      <c r="UNI92" s="317"/>
      <c r="UNJ92" s="317"/>
      <c r="UNK92" s="317"/>
      <c r="UNL92" s="317"/>
      <c r="UNM92" s="317"/>
      <c r="UNN92" s="317"/>
      <c r="UNO92" s="317"/>
      <c r="UNP92" s="317"/>
      <c r="UNQ92" s="317"/>
      <c r="UNR92" s="317"/>
      <c r="UNS92" s="317"/>
      <c r="UNT92" s="317"/>
      <c r="UNU92" s="317"/>
      <c r="UNV92" s="317"/>
      <c r="UNW92" s="317"/>
      <c r="UNX92" s="317"/>
      <c r="UNY92" s="317"/>
      <c r="UNZ92" s="317"/>
      <c r="UOA92" s="317"/>
      <c r="UOB92" s="317"/>
      <c r="UOC92" s="317"/>
      <c r="UOD92" s="317"/>
      <c r="UOE92" s="317"/>
      <c r="UOF92" s="317"/>
      <c r="UOG92" s="317"/>
      <c r="UOH92" s="317"/>
      <c r="UOI92" s="317"/>
      <c r="UOJ92" s="317"/>
      <c r="UOK92" s="317"/>
      <c r="UOL92" s="317"/>
      <c r="UOM92" s="317"/>
      <c r="UON92" s="317"/>
      <c r="UOO92" s="317"/>
      <c r="UOP92" s="317"/>
      <c r="UOQ92" s="317"/>
      <c r="UOR92" s="317"/>
      <c r="UOS92" s="317"/>
      <c r="UOT92" s="317"/>
      <c r="UOU92" s="317"/>
      <c r="UOV92" s="317"/>
      <c r="UOW92" s="317"/>
      <c r="UOX92" s="317"/>
      <c r="UOY92" s="317"/>
      <c r="UOZ92" s="317"/>
      <c r="UPA92" s="317"/>
      <c r="UPB92" s="317"/>
      <c r="UPC92" s="317"/>
      <c r="UPD92" s="317"/>
      <c r="UPE92" s="317"/>
      <c r="UPF92" s="317"/>
      <c r="UPG92" s="317"/>
      <c r="UPH92" s="317"/>
      <c r="UPI92" s="317"/>
      <c r="UPJ92" s="317"/>
      <c r="UPK92" s="317"/>
      <c r="UPL92" s="317"/>
      <c r="UPM92" s="317"/>
      <c r="UPN92" s="317"/>
      <c r="UPO92" s="317"/>
      <c r="UPP92" s="317"/>
      <c r="UPQ92" s="317"/>
      <c r="UPR92" s="317"/>
      <c r="UPS92" s="317"/>
      <c r="UPT92" s="317"/>
      <c r="UPU92" s="317"/>
      <c r="UPV92" s="317"/>
      <c r="UPW92" s="317"/>
      <c r="UPX92" s="317"/>
      <c r="UPY92" s="317"/>
      <c r="UPZ92" s="317"/>
      <c r="UQA92" s="317"/>
      <c r="UQB92" s="317"/>
      <c r="UQC92" s="317"/>
      <c r="UQD92" s="317"/>
      <c r="UQE92" s="317"/>
      <c r="UQF92" s="317"/>
      <c r="UQG92" s="317"/>
      <c r="UQH92" s="317"/>
      <c r="UQI92" s="317"/>
      <c r="UQJ92" s="317"/>
      <c r="UQK92" s="317"/>
      <c r="UQL92" s="317"/>
      <c r="UQM92" s="317"/>
      <c r="UQN92" s="317"/>
      <c r="UQO92" s="317"/>
      <c r="UQP92" s="317"/>
      <c r="UQQ92" s="317"/>
      <c r="UQR92" s="317"/>
      <c r="UQS92" s="317"/>
      <c r="UQT92" s="317"/>
      <c r="UQU92" s="317"/>
      <c r="UQV92" s="317"/>
      <c r="UQW92" s="317"/>
      <c r="UQX92" s="317"/>
      <c r="UQY92" s="317"/>
      <c r="UQZ92" s="317"/>
      <c r="URA92" s="317"/>
      <c r="URB92" s="317"/>
      <c r="URC92" s="317"/>
      <c r="URD92" s="317"/>
      <c r="URE92" s="317"/>
      <c r="URF92" s="317"/>
      <c r="URG92" s="317"/>
      <c r="URH92" s="317"/>
      <c r="URI92" s="317"/>
      <c r="URJ92" s="317"/>
      <c r="URK92" s="317"/>
      <c r="URL92" s="317"/>
      <c r="URM92" s="317"/>
      <c r="URN92" s="317"/>
      <c r="URO92" s="317"/>
      <c r="URP92" s="317"/>
      <c r="URQ92" s="317"/>
      <c r="URR92" s="317"/>
      <c r="URS92" s="317"/>
      <c r="URT92" s="317"/>
      <c r="URU92" s="317"/>
      <c r="URV92" s="317"/>
      <c r="URW92" s="317"/>
      <c r="URX92" s="317"/>
      <c r="URY92" s="317"/>
      <c r="URZ92" s="317"/>
      <c r="USA92" s="317"/>
      <c r="USB92" s="317"/>
      <c r="USC92" s="317"/>
      <c r="USD92" s="317"/>
      <c r="USE92" s="317"/>
      <c r="USF92" s="317"/>
      <c r="USG92" s="317"/>
      <c r="USH92" s="317"/>
      <c r="USI92" s="317"/>
      <c r="USJ92" s="317"/>
      <c r="USK92" s="317"/>
      <c r="USL92" s="317"/>
      <c r="USM92" s="317"/>
      <c r="USN92" s="317"/>
      <c r="USO92" s="317"/>
      <c r="USP92" s="317"/>
      <c r="USQ92" s="317"/>
      <c r="USR92" s="317"/>
      <c r="USS92" s="317"/>
      <c r="UST92" s="317"/>
      <c r="USU92" s="317"/>
      <c r="USV92" s="317"/>
      <c r="USW92" s="317"/>
      <c r="USX92" s="317"/>
      <c r="USY92" s="317"/>
      <c r="USZ92" s="317"/>
      <c r="UTA92" s="317"/>
      <c r="UTB92" s="317"/>
      <c r="UTC92" s="317"/>
      <c r="UTD92" s="317"/>
      <c r="UTE92" s="317"/>
      <c r="UTF92" s="317"/>
      <c r="UTG92" s="317"/>
      <c r="UTH92" s="317"/>
      <c r="UTI92" s="317"/>
      <c r="UTJ92" s="317"/>
      <c r="UTK92" s="317"/>
      <c r="UTL92" s="317"/>
      <c r="UTM92" s="317"/>
      <c r="UTN92" s="317"/>
      <c r="UTO92" s="317"/>
      <c r="UTP92" s="317"/>
      <c r="UTQ92" s="317"/>
      <c r="UTR92" s="317"/>
      <c r="UTS92" s="317"/>
      <c r="UTT92" s="317"/>
      <c r="UTU92" s="317"/>
      <c r="UTV92" s="317"/>
      <c r="UTW92" s="317"/>
      <c r="UTX92" s="317"/>
      <c r="UTY92" s="317"/>
      <c r="UTZ92" s="317"/>
      <c r="UUA92" s="317"/>
      <c r="UUB92" s="317"/>
      <c r="UUC92" s="317"/>
      <c r="UUD92" s="317"/>
      <c r="UUE92" s="317"/>
      <c r="UUF92" s="317"/>
      <c r="UUG92" s="317"/>
      <c r="UUH92" s="317"/>
      <c r="UUI92" s="317"/>
      <c r="UUJ92" s="317"/>
      <c r="UUK92" s="317"/>
      <c r="UUL92" s="317"/>
      <c r="UUM92" s="317"/>
      <c r="UUN92" s="317"/>
      <c r="UUO92" s="317"/>
      <c r="UUP92" s="317"/>
      <c r="UUQ92" s="317"/>
      <c r="UUR92" s="317"/>
      <c r="UUS92" s="317"/>
      <c r="UUT92" s="317"/>
      <c r="UUU92" s="317"/>
      <c r="UUV92" s="317"/>
      <c r="UUW92" s="317"/>
      <c r="UUX92" s="317"/>
      <c r="UUY92" s="317"/>
      <c r="UUZ92" s="317"/>
      <c r="UVA92" s="317"/>
      <c r="UVB92" s="317"/>
      <c r="UVC92" s="317"/>
      <c r="UVD92" s="317"/>
      <c r="UVE92" s="317"/>
      <c r="UVF92" s="317"/>
      <c r="UVG92" s="317"/>
      <c r="UVH92" s="317"/>
      <c r="UVI92" s="317"/>
      <c r="UVJ92" s="317"/>
      <c r="UVK92" s="317"/>
      <c r="UVL92" s="317"/>
      <c r="UVM92" s="317"/>
      <c r="UVN92" s="317"/>
      <c r="UVO92" s="317"/>
      <c r="UVP92" s="317"/>
      <c r="UVQ92" s="317"/>
      <c r="UVR92" s="317"/>
      <c r="UVS92" s="317"/>
      <c r="UVT92" s="317"/>
      <c r="UVU92" s="317"/>
      <c r="UVV92" s="317"/>
      <c r="UVW92" s="317"/>
      <c r="UVX92" s="317"/>
      <c r="UVY92" s="317"/>
      <c r="UVZ92" s="317"/>
      <c r="UWA92" s="317"/>
      <c r="UWB92" s="317"/>
      <c r="UWC92" s="317"/>
      <c r="UWD92" s="317"/>
      <c r="UWE92" s="317"/>
      <c r="UWF92" s="317"/>
      <c r="UWG92" s="317"/>
      <c r="UWH92" s="317"/>
      <c r="UWI92" s="317"/>
      <c r="UWJ92" s="317"/>
      <c r="UWK92" s="317"/>
      <c r="UWL92" s="317"/>
      <c r="UWM92" s="317"/>
      <c r="UWN92" s="317"/>
      <c r="UWO92" s="317"/>
      <c r="UWP92" s="317"/>
      <c r="UWQ92" s="317"/>
      <c r="UWR92" s="317"/>
      <c r="UWS92" s="317"/>
      <c r="UWT92" s="317"/>
      <c r="UWU92" s="317"/>
      <c r="UWV92" s="317"/>
      <c r="UWW92" s="317"/>
      <c r="UWX92" s="317"/>
      <c r="UWY92" s="317"/>
      <c r="UWZ92" s="317"/>
      <c r="UXA92" s="317"/>
      <c r="UXB92" s="317"/>
      <c r="UXC92" s="317"/>
      <c r="UXD92" s="317"/>
      <c r="UXE92" s="317"/>
      <c r="UXF92" s="317"/>
      <c r="UXG92" s="317"/>
      <c r="UXH92" s="317"/>
      <c r="UXI92" s="317"/>
      <c r="UXJ92" s="317"/>
      <c r="UXK92" s="317"/>
      <c r="UXL92" s="317"/>
      <c r="UXM92" s="317"/>
      <c r="UXN92" s="317"/>
      <c r="UXO92" s="317"/>
      <c r="UXP92" s="317"/>
      <c r="UXQ92" s="317"/>
      <c r="UXR92" s="317"/>
      <c r="UXS92" s="317"/>
      <c r="UXT92" s="317"/>
      <c r="UXU92" s="317"/>
      <c r="UXV92" s="317"/>
      <c r="UXW92" s="317"/>
      <c r="UXX92" s="317"/>
      <c r="UXY92" s="317"/>
      <c r="UXZ92" s="317"/>
      <c r="UYA92" s="317"/>
      <c r="UYB92" s="317"/>
      <c r="UYC92" s="317"/>
      <c r="UYD92" s="317"/>
      <c r="UYE92" s="317"/>
      <c r="UYF92" s="317"/>
      <c r="UYG92" s="317"/>
      <c r="UYH92" s="317"/>
      <c r="UYI92" s="317"/>
      <c r="UYJ92" s="317"/>
      <c r="UYK92" s="317"/>
      <c r="UYL92" s="317"/>
      <c r="UYM92" s="317"/>
      <c r="UYN92" s="317"/>
      <c r="UYO92" s="317"/>
      <c r="UYP92" s="317"/>
      <c r="UYQ92" s="317"/>
      <c r="UYR92" s="317"/>
      <c r="UYS92" s="317"/>
      <c r="UYT92" s="317"/>
      <c r="UYU92" s="317"/>
      <c r="UYV92" s="317"/>
      <c r="UYW92" s="317"/>
      <c r="UYX92" s="317"/>
      <c r="UYY92" s="317"/>
      <c r="UYZ92" s="317"/>
      <c r="UZA92" s="317"/>
      <c r="UZB92" s="317"/>
      <c r="UZC92" s="317"/>
      <c r="UZD92" s="317"/>
      <c r="UZE92" s="317"/>
      <c r="UZF92" s="317"/>
      <c r="UZG92" s="317"/>
      <c r="UZH92" s="317"/>
      <c r="UZI92" s="317"/>
      <c r="UZJ92" s="317"/>
      <c r="UZK92" s="317"/>
      <c r="UZL92" s="317"/>
      <c r="UZM92" s="317"/>
      <c r="UZN92" s="317"/>
      <c r="UZO92" s="317"/>
      <c r="UZP92" s="317"/>
      <c r="UZQ92" s="317"/>
      <c r="UZR92" s="317"/>
      <c r="UZS92" s="317"/>
      <c r="UZT92" s="317"/>
      <c r="UZU92" s="317"/>
      <c r="UZV92" s="317"/>
      <c r="UZW92" s="317"/>
      <c r="UZX92" s="317"/>
      <c r="UZY92" s="317"/>
      <c r="UZZ92" s="317"/>
      <c r="VAA92" s="317"/>
      <c r="VAB92" s="317"/>
      <c r="VAC92" s="317"/>
      <c r="VAD92" s="317"/>
      <c r="VAE92" s="317"/>
      <c r="VAF92" s="317"/>
      <c r="VAG92" s="317"/>
      <c r="VAH92" s="317"/>
      <c r="VAI92" s="317"/>
      <c r="VAJ92" s="317"/>
      <c r="VAK92" s="317"/>
      <c r="VAL92" s="317"/>
      <c r="VAM92" s="317"/>
      <c r="VAN92" s="317"/>
      <c r="VAO92" s="317"/>
      <c r="VAP92" s="317"/>
      <c r="VAQ92" s="317"/>
      <c r="VAR92" s="317"/>
      <c r="VAS92" s="317"/>
      <c r="VAT92" s="317"/>
      <c r="VAU92" s="317"/>
      <c r="VAV92" s="317"/>
      <c r="VAW92" s="317"/>
      <c r="VAX92" s="317"/>
      <c r="VAY92" s="317"/>
      <c r="VAZ92" s="317"/>
      <c r="VBA92" s="317"/>
      <c r="VBB92" s="317"/>
      <c r="VBC92" s="317"/>
      <c r="VBD92" s="317"/>
      <c r="VBE92" s="317"/>
      <c r="VBF92" s="317"/>
      <c r="VBG92" s="317"/>
      <c r="VBH92" s="317"/>
      <c r="VBI92" s="317"/>
      <c r="VBJ92" s="317"/>
      <c r="VBK92" s="317"/>
      <c r="VBL92" s="317"/>
      <c r="VBM92" s="317"/>
      <c r="VBN92" s="317"/>
      <c r="VBO92" s="317"/>
      <c r="VBP92" s="317"/>
      <c r="VBQ92" s="317"/>
      <c r="VBR92" s="317"/>
      <c r="VBS92" s="317"/>
      <c r="VBT92" s="317"/>
      <c r="VBU92" s="317"/>
      <c r="VBV92" s="317"/>
      <c r="VBW92" s="317"/>
      <c r="VBX92" s="317"/>
      <c r="VBY92" s="317"/>
      <c r="VBZ92" s="317"/>
      <c r="VCA92" s="317"/>
      <c r="VCB92" s="317"/>
      <c r="VCC92" s="317"/>
      <c r="VCD92" s="317"/>
      <c r="VCE92" s="317"/>
      <c r="VCF92" s="317"/>
      <c r="VCG92" s="317"/>
      <c r="VCH92" s="317"/>
      <c r="VCI92" s="317"/>
      <c r="VCJ92" s="317"/>
      <c r="VCK92" s="317"/>
      <c r="VCL92" s="317"/>
      <c r="VCM92" s="317"/>
      <c r="VCN92" s="317"/>
      <c r="VCO92" s="317"/>
      <c r="VCP92" s="317"/>
      <c r="VCQ92" s="317"/>
      <c r="VCR92" s="317"/>
      <c r="VCS92" s="317"/>
      <c r="VCT92" s="317"/>
      <c r="VCU92" s="317"/>
      <c r="VCV92" s="317"/>
      <c r="VCW92" s="317"/>
      <c r="VCX92" s="317"/>
      <c r="VCY92" s="317"/>
      <c r="VCZ92" s="317"/>
      <c r="VDA92" s="317"/>
      <c r="VDB92" s="317"/>
      <c r="VDC92" s="317"/>
      <c r="VDD92" s="317"/>
      <c r="VDE92" s="317"/>
      <c r="VDF92" s="317"/>
      <c r="VDG92" s="317"/>
      <c r="VDH92" s="317"/>
      <c r="VDI92" s="317"/>
      <c r="VDJ92" s="317"/>
      <c r="VDK92" s="317"/>
      <c r="VDL92" s="317"/>
      <c r="VDM92" s="317"/>
      <c r="VDN92" s="317"/>
      <c r="VDO92" s="317"/>
      <c r="VDP92" s="317"/>
      <c r="VDQ92" s="317"/>
      <c r="VDR92" s="317"/>
      <c r="VDS92" s="317"/>
      <c r="VDT92" s="317"/>
      <c r="VDU92" s="317"/>
      <c r="VDV92" s="317"/>
      <c r="VDW92" s="317"/>
      <c r="VDX92" s="317"/>
      <c r="VDY92" s="317"/>
      <c r="VDZ92" s="317"/>
      <c r="VEA92" s="317"/>
      <c r="VEB92" s="317"/>
      <c r="VEC92" s="317"/>
      <c r="VED92" s="317"/>
      <c r="VEE92" s="317"/>
      <c r="VEF92" s="317"/>
      <c r="VEG92" s="317"/>
      <c r="VEH92" s="317"/>
      <c r="VEI92" s="317"/>
      <c r="VEJ92" s="317"/>
      <c r="VEK92" s="317"/>
      <c r="VEL92" s="317"/>
      <c r="VEM92" s="317"/>
      <c r="VEN92" s="317"/>
      <c r="VEO92" s="317"/>
      <c r="VEP92" s="317"/>
      <c r="VEQ92" s="317"/>
      <c r="VER92" s="317"/>
      <c r="VES92" s="317"/>
      <c r="VET92" s="317"/>
      <c r="VEU92" s="317"/>
      <c r="VEV92" s="317"/>
      <c r="VEW92" s="317"/>
      <c r="VEX92" s="317"/>
      <c r="VEY92" s="317"/>
      <c r="VEZ92" s="317"/>
      <c r="VFA92" s="317"/>
      <c r="VFB92" s="317"/>
      <c r="VFC92" s="317"/>
      <c r="VFD92" s="317"/>
      <c r="VFE92" s="317"/>
      <c r="VFF92" s="317"/>
      <c r="VFG92" s="317"/>
      <c r="VFH92" s="317"/>
      <c r="VFI92" s="317"/>
      <c r="VFJ92" s="317"/>
      <c r="VFK92" s="317"/>
      <c r="VFL92" s="317"/>
      <c r="VFM92" s="317"/>
      <c r="VFN92" s="317"/>
      <c r="VFO92" s="317"/>
      <c r="VFP92" s="317"/>
      <c r="VFQ92" s="317"/>
      <c r="VFR92" s="317"/>
      <c r="VFS92" s="317"/>
      <c r="VFT92" s="317"/>
      <c r="VFU92" s="317"/>
      <c r="VFV92" s="317"/>
      <c r="VFW92" s="317"/>
      <c r="VFX92" s="317"/>
      <c r="VFY92" s="317"/>
      <c r="VFZ92" s="317"/>
      <c r="VGA92" s="317"/>
      <c r="VGB92" s="317"/>
      <c r="VGC92" s="317"/>
      <c r="VGD92" s="317"/>
      <c r="VGE92" s="317"/>
      <c r="VGF92" s="317"/>
      <c r="VGG92" s="317"/>
      <c r="VGH92" s="317"/>
      <c r="VGI92" s="317"/>
      <c r="VGJ92" s="317"/>
      <c r="VGK92" s="317"/>
      <c r="VGL92" s="317"/>
      <c r="VGM92" s="317"/>
      <c r="VGN92" s="317"/>
      <c r="VGO92" s="317"/>
      <c r="VGP92" s="317"/>
      <c r="VGQ92" s="317"/>
      <c r="VGR92" s="317"/>
      <c r="VGS92" s="317"/>
      <c r="VGT92" s="317"/>
      <c r="VGU92" s="317"/>
      <c r="VGV92" s="317"/>
      <c r="VGW92" s="317"/>
      <c r="VGX92" s="317"/>
      <c r="VGY92" s="317"/>
      <c r="VGZ92" s="317"/>
      <c r="VHA92" s="317"/>
      <c r="VHB92" s="317"/>
      <c r="VHC92" s="317"/>
      <c r="VHD92" s="317"/>
      <c r="VHE92" s="317"/>
      <c r="VHF92" s="317"/>
      <c r="VHG92" s="317"/>
      <c r="VHH92" s="317"/>
      <c r="VHI92" s="317"/>
      <c r="VHJ92" s="317"/>
      <c r="VHK92" s="317"/>
      <c r="VHL92" s="317"/>
      <c r="VHM92" s="317"/>
      <c r="VHN92" s="317"/>
      <c r="VHO92" s="317"/>
      <c r="VHP92" s="317"/>
      <c r="VHQ92" s="317"/>
      <c r="VHR92" s="317"/>
      <c r="VHS92" s="317"/>
      <c r="VHT92" s="317"/>
      <c r="VHU92" s="317"/>
      <c r="VHV92" s="317"/>
      <c r="VHW92" s="317"/>
      <c r="VHX92" s="317"/>
      <c r="VHY92" s="317"/>
      <c r="VHZ92" s="317"/>
      <c r="VIA92" s="317"/>
      <c r="VIB92" s="317"/>
      <c r="VIC92" s="317"/>
      <c r="VID92" s="317"/>
      <c r="VIE92" s="317"/>
      <c r="VIF92" s="317"/>
      <c r="VIG92" s="317"/>
      <c r="VIH92" s="317"/>
      <c r="VII92" s="317"/>
      <c r="VIJ92" s="317"/>
      <c r="VIK92" s="317"/>
      <c r="VIL92" s="317"/>
      <c r="VIM92" s="317"/>
      <c r="VIN92" s="317"/>
      <c r="VIO92" s="317"/>
      <c r="VIP92" s="317"/>
      <c r="VIQ92" s="317"/>
      <c r="VIR92" s="317"/>
      <c r="VIS92" s="317"/>
      <c r="VIT92" s="317"/>
      <c r="VIU92" s="317"/>
      <c r="VIV92" s="317"/>
      <c r="VIW92" s="317"/>
      <c r="VIX92" s="317"/>
      <c r="VIY92" s="317"/>
      <c r="VIZ92" s="317"/>
      <c r="VJA92" s="317"/>
      <c r="VJB92" s="317"/>
      <c r="VJC92" s="317"/>
      <c r="VJD92" s="317"/>
      <c r="VJE92" s="317"/>
      <c r="VJF92" s="317"/>
      <c r="VJG92" s="317"/>
      <c r="VJH92" s="317"/>
      <c r="VJI92" s="317"/>
      <c r="VJJ92" s="317"/>
      <c r="VJK92" s="317"/>
      <c r="VJL92" s="317"/>
      <c r="VJM92" s="317"/>
      <c r="VJN92" s="317"/>
      <c r="VJO92" s="317"/>
      <c r="VJP92" s="317"/>
      <c r="VJQ92" s="317"/>
      <c r="VJR92" s="317"/>
      <c r="VJS92" s="317"/>
      <c r="VJT92" s="317"/>
      <c r="VJU92" s="317"/>
      <c r="VJV92" s="317"/>
      <c r="VJW92" s="317"/>
      <c r="VJX92" s="317"/>
      <c r="VJY92" s="317"/>
      <c r="VJZ92" s="317"/>
      <c r="VKA92" s="317"/>
      <c r="VKB92" s="317"/>
      <c r="VKC92" s="317"/>
      <c r="VKD92" s="317"/>
      <c r="VKE92" s="317"/>
      <c r="VKF92" s="317"/>
      <c r="VKG92" s="317"/>
      <c r="VKH92" s="317"/>
      <c r="VKI92" s="317"/>
      <c r="VKJ92" s="317"/>
      <c r="VKK92" s="317"/>
      <c r="VKL92" s="317"/>
      <c r="VKM92" s="317"/>
      <c r="VKN92" s="317"/>
      <c r="VKO92" s="317"/>
      <c r="VKP92" s="317"/>
      <c r="VKQ92" s="317"/>
      <c r="VKR92" s="317"/>
      <c r="VKS92" s="317"/>
      <c r="VKT92" s="317"/>
      <c r="VKU92" s="317"/>
      <c r="VKV92" s="317"/>
      <c r="VKW92" s="317"/>
      <c r="VKX92" s="317"/>
      <c r="VKY92" s="317"/>
      <c r="VKZ92" s="317"/>
      <c r="VLA92" s="317"/>
      <c r="VLB92" s="317"/>
      <c r="VLC92" s="317"/>
      <c r="VLD92" s="317"/>
      <c r="VLE92" s="317"/>
      <c r="VLF92" s="317"/>
      <c r="VLG92" s="317"/>
      <c r="VLH92" s="317"/>
      <c r="VLI92" s="317"/>
      <c r="VLJ92" s="317"/>
      <c r="VLK92" s="317"/>
      <c r="VLL92" s="317"/>
      <c r="VLM92" s="317"/>
      <c r="VLN92" s="317"/>
      <c r="VLO92" s="317"/>
      <c r="VLP92" s="317"/>
      <c r="VLQ92" s="317"/>
      <c r="VLR92" s="317"/>
      <c r="VLS92" s="317"/>
      <c r="VLT92" s="317"/>
      <c r="VLU92" s="317"/>
      <c r="VLV92" s="317"/>
      <c r="VLW92" s="317"/>
      <c r="VLX92" s="317"/>
      <c r="VLY92" s="317"/>
      <c r="VLZ92" s="317"/>
      <c r="VMA92" s="317"/>
      <c r="VMB92" s="317"/>
      <c r="VMC92" s="317"/>
      <c r="VMD92" s="317"/>
      <c r="VME92" s="317"/>
      <c r="VMF92" s="317"/>
      <c r="VMG92" s="317"/>
      <c r="VMH92" s="317"/>
      <c r="VMI92" s="317"/>
      <c r="VMJ92" s="317"/>
      <c r="VMK92" s="317"/>
      <c r="VML92" s="317"/>
      <c r="VMM92" s="317"/>
      <c r="VMN92" s="317"/>
      <c r="VMO92" s="317"/>
      <c r="VMP92" s="317"/>
      <c r="VMQ92" s="317"/>
      <c r="VMR92" s="317"/>
      <c r="VMS92" s="317"/>
      <c r="VMT92" s="317"/>
      <c r="VMU92" s="317"/>
      <c r="VMV92" s="317"/>
      <c r="VMW92" s="317"/>
      <c r="VMX92" s="317"/>
      <c r="VMY92" s="317"/>
      <c r="VMZ92" s="317"/>
      <c r="VNA92" s="317"/>
      <c r="VNB92" s="317"/>
      <c r="VNC92" s="317"/>
      <c r="VND92" s="317"/>
      <c r="VNE92" s="317"/>
      <c r="VNF92" s="317"/>
      <c r="VNG92" s="317"/>
      <c r="VNH92" s="317"/>
      <c r="VNI92" s="317"/>
      <c r="VNJ92" s="317"/>
      <c r="VNK92" s="317"/>
      <c r="VNL92" s="317"/>
      <c r="VNM92" s="317"/>
      <c r="VNN92" s="317"/>
      <c r="VNO92" s="317"/>
      <c r="VNP92" s="317"/>
      <c r="VNQ92" s="317"/>
      <c r="VNR92" s="317"/>
      <c r="VNS92" s="317"/>
      <c r="VNT92" s="317"/>
      <c r="VNU92" s="317"/>
      <c r="VNV92" s="317"/>
      <c r="VNW92" s="317"/>
      <c r="VNX92" s="317"/>
      <c r="VNY92" s="317"/>
      <c r="VNZ92" s="317"/>
      <c r="VOA92" s="317"/>
      <c r="VOB92" s="317"/>
      <c r="VOC92" s="317"/>
      <c r="VOD92" s="317"/>
      <c r="VOE92" s="317"/>
      <c r="VOF92" s="317"/>
      <c r="VOG92" s="317"/>
      <c r="VOH92" s="317"/>
      <c r="VOI92" s="317"/>
      <c r="VOJ92" s="317"/>
      <c r="VOK92" s="317"/>
      <c r="VOL92" s="317"/>
      <c r="VOM92" s="317"/>
      <c r="VON92" s="317"/>
      <c r="VOO92" s="317"/>
      <c r="VOP92" s="317"/>
      <c r="VOQ92" s="317"/>
      <c r="VOR92" s="317"/>
      <c r="VOS92" s="317"/>
      <c r="VOT92" s="317"/>
      <c r="VOU92" s="317"/>
      <c r="VOV92" s="317"/>
      <c r="VOW92" s="317"/>
      <c r="VOX92" s="317"/>
      <c r="VOY92" s="317"/>
      <c r="VOZ92" s="317"/>
      <c r="VPA92" s="317"/>
      <c r="VPB92" s="317"/>
      <c r="VPC92" s="317"/>
      <c r="VPD92" s="317"/>
      <c r="VPE92" s="317"/>
      <c r="VPF92" s="317"/>
      <c r="VPG92" s="317"/>
      <c r="VPH92" s="317"/>
      <c r="VPI92" s="317"/>
      <c r="VPJ92" s="317"/>
      <c r="VPK92" s="317"/>
      <c r="VPL92" s="317"/>
      <c r="VPM92" s="317"/>
      <c r="VPN92" s="317"/>
      <c r="VPO92" s="317"/>
      <c r="VPP92" s="317"/>
      <c r="VPQ92" s="317"/>
      <c r="VPR92" s="317"/>
      <c r="VPS92" s="317"/>
      <c r="VPT92" s="317"/>
      <c r="VPU92" s="317"/>
      <c r="VPV92" s="317"/>
      <c r="VPW92" s="317"/>
      <c r="VPX92" s="317"/>
      <c r="VPY92" s="317"/>
      <c r="VPZ92" s="317"/>
      <c r="VQA92" s="317"/>
      <c r="VQB92" s="317"/>
      <c r="VQC92" s="317"/>
      <c r="VQD92" s="317"/>
      <c r="VQE92" s="317"/>
      <c r="VQF92" s="317"/>
      <c r="VQG92" s="317"/>
      <c r="VQH92" s="317"/>
      <c r="VQI92" s="317"/>
      <c r="VQJ92" s="317"/>
      <c r="VQK92" s="317"/>
      <c r="VQL92" s="317"/>
      <c r="VQM92" s="317"/>
      <c r="VQN92" s="317"/>
      <c r="VQO92" s="317"/>
      <c r="VQP92" s="317"/>
      <c r="VQQ92" s="317"/>
      <c r="VQR92" s="317"/>
      <c r="VQS92" s="317"/>
      <c r="VQT92" s="317"/>
      <c r="VQU92" s="317"/>
      <c r="VQV92" s="317"/>
      <c r="VQW92" s="317"/>
      <c r="VQX92" s="317"/>
      <c r="VQY92" s="317"/>
      <c r="VQZ92" s="317"/>
      <c r="VRA92" s="317"/>
      <c r="VRB92" s="317"/>
      <c r="VRC92" s="317"/>
      <c r="VRD92" s="317"/>
      <c r="VRE92" s="317"/>
      <c r="VRF92" s="317"/>
      <c r="VRG92" s="317"/>
      <c r="VRH92" s="317"/>
      <c r="VRI92" s="317"/>
      <c r="VRJ92" s="317"/>
      <c r="VRK92" s="317"/>
      <c r="VRL92" s="317"/>
      <c r="VRM92" s="317"/>
      <c r="VRN92" s="317"/>
      <c r="VRO92" s="317"/>
      <c r="VRP92" s="317"/>
      <c r="VRQ92" s="317"/>
      <c r="VRR92" s="317"/>
      <c r="VRS92" s="317"/>
      <c r="VRT92" s="317"/>
      <c r="VRU92" s="317"/>
      <c r="VRV92" s="317"/>
      <c r="VRW92" s="317"/>
      <c r="VRX92" s="317"/>
      <c r="VRY92" s="317"/>
      <c r="VRZ92" s="317"/>
      <c r="VSA92" s="317"/>
      <c r="VSB92" s="317"/>
      <c r="VSC92" s="317"/>
      <c r="VSD92" s="317"/>
      <c r="VSE92" s="317"/>
      <c r="VSF92" s="317"/>
      <c r="VSG92" s="317"/>
      <c r="VSH92" s="317"/>
      <c r="VSI92" s="317"/>
      <c r="VSJ92" s="317"/>
      <c r="VSK92" s="317"/>
      <c r="VSL92" s="317"/>
      <c r="VSM92" s="317"/>
      <c r="VSN92" s="317"/>
      <c r="VSO92" s="317"/>
      <c r="VSP92" s="317"/>
      <c r="VSQ92" s="317"/>
      <c r="VSR92" s="317"/>
      <c r="VSS92" s="317"/>
      <c r="VST92" s="317"/>
      <c r="VSU92" s="317"/>
      <c r="VSV92" s="317"/>
      <c r="VSW92" s="317"/>
      <c r="VSX92" s="317"/>
      <c r="VSY92" s="317"/>
      <c r="VSZ92" s="317"/>
      <c r="VTA92" s="317"/>
      <c r="VTB92" s="317"/>
      <c r="VTC92" s="317"/>
      <c r="VTD92" s="317"/>
      <c r="VTE92" s="317"/>
      <c r="VTF92" s="317"/>
      <c r="VTG92" s="317"/>
      <c r="VTH92" s="317"/>
      <c r="VTI92" s="317"/>
      <c r="VTJ92" s="317"/>
      <c r="VTK92" s="317"/>
      <c r="VTL92" s="317"/>
      <c r="VTM92" s="317"/>
      <c r="VTN92" s="317"/>
      <c r="VTO92" s="317"/>
      <c r="VTP92" s="317"/>
      <c r="VTQ92" s="317"/>
      <c r="VTR92" s="317"/>
      <c r="VTS92" s="317"/>
      <c r="VTT92" s="317"/>
      <c r="VTU92" s="317"/>
      <c r="VTV92" s="317"/>
      <c r="VTW92" s="317"/>
      <c r="VTX92" s="317"/>
      <c r="VTY92" s="317"/>
      <c r="VTZ92" s="317"/>
      <c r="VUA92" s="317"/>
      <c r="VUB92" s="317"/>
      <c r="VUC92" s="317"/>
      <c r="VUD92" s="317"/>
      <c r="VUE92" s="317"/>
      <c r="VUF92" s="317"/>
      <c r="VUG92" s="317"/>
      <c r="VUH92" s="317"/>
      <c r="VUI92" s="317"/>
      <c r="VUJ92" s="317"/>
      <c r="VUK92" s="317"/>
      <c r="VUL92" s="317"/>
      <c r="VUM92" s="317"/>
      <c r="VUN92" s="317"/>
      <c r="VUO92" s="317"/>
      <c r="VUP92" s="317"/>
      <c r="VUQ92" s="317"/>
      <c r="VUR92" s="317"/>
      <c r="VUS92" s="317"/>
      <c r="VUT92" s="317"/>
      <c r="VUU92" s="317"/>
      <c r="VUV92" s="317"/>
      <c r="VUW92" s="317"/>
      <c r="VUX92" s="317"/>
      <c r="VUY92" s="317"/>
      <c r="VUZ92" s="317"/>
      <c r="VVA92" s="317"/>
      <c r="VVB92" s="317"/>
      <c r="VVC92" s="317"/>
      <c r="VVD92" s="317"/>
      <c r="VVE92" s="317"/>
      <c r="VVF92" s="317"/>
      <c r="VVG92" s="317"/>
      <c r="VVH92" s="317"/>
      <c r="VVI92" s="317"/>
      <c r="VVJ92" s="317"/>
      <c r="VVK92" s="317"/>
      <c r="VVL92" s="317"/>
      <c r="VVM92" s="317"/>
      <c r="VVN92" s="317"/>
      <c r="VVO92" s="317"/>
      <c r="VVP92" s="317"/>
      <c r="VVQ92" s="317"/>
      <c r="VVR92" s="317"/>
      <c r="VVS92" s="317"/>
      <c r="VVT92" s="317"/>
      <c r="VVU92" s="317"/>
      <c r="VVV92" s="317"/>
      <c r="VVW92" s="317"/>
      <c r="VVX92" s="317"/>
      <c r="VVY92" s="317"/>
      <c r="VVZ92" s="317"/>
      <c r="VWA92" s="317"/>
      <c r="VWB92" s="317"/>
      <c r="VWC92" s="317"/>
      <c r="VWD92" s="317"/>
      <c r="VWE92" s="317"/>
      <c r="VWF92" s="317"/>
      <c r="VWG92" s="317"/>
      <c r="VWH92" s="317"/>
      <c r="VWI92" s="317"/>
      <c r="VWJ92" s="317"/>
      <c r="VWK92" s="317"/>
      <c r="VWL92" s="317"/>
      <c r="VWM92" s="317"/>
      <c r="VWN92" s="317"/>
      <c r="VWO92" s="317"/>
      <c r="VWP92" s="317"/>
      <c r="VWQ92" s="317"/>
      <c r="VWR92" s="317"/>
      <c r="VWS92" s="317"/>
      <c r="VWT92" s="317"/>
      <c r="VWU92" s="317"/>
      <c r="VWV92" s="317"/>
      <c r="VWW92" s="317"/>
      <c r="VWX92" s="317"/>
      <c r="VWY92" s="317"/>
      <c r="VWZ92" s="317"/>
      <c r="VXA92" s="317"/>
      <c r="VXB92" s="317"/>
      <c r="VXC92" s="317"/>
      <c r="VXD92" s="317"/>
      <c r="VXE92" s="317"/>
      <c r="VXF92" s="317"/>
      <c r="VXG92" s="317"/>
      <c r="VXH92" s="317"/>
      <c r="VXI92" s="317"/>
      <c r="VXJ92" s="317"/>
      <c r="VXK92" s="317"/>
      <c r="VXL92" s="317"/>
      <c r="VXM92" s="317"/>
      <c r="VXN92" s="317"/>
      <c r="VXO92" s="317"/>
      <c r="VXP92" s="317"/>
      <c r="VXQ92" s="317"/>
      <c r="VXR92" s="317"/>
      <c r="VXS92" s="317"/>
      <c r="VXT92" s="317"/>
      <c r="VXU92" s="317"/>
      <c r="VXV92" s="317"/>
      <c r="VXW92" s="317"/>
      <c r="VXX92" s="317"/>
      <c r="VXY92" s="317"/>
      <c r="VXZ92" s="317"/>
      <c r="VYA92" s="317"/>
      <c r="VYB92" s="317"/>
      <c r="VYC92" s="317"/>
      <c r="VYD92" s="317"/>
      <c r="VYE92" s="317"/>
      <c r="VYF92" s="317"/>
      <c r="VYG92" s="317"/>
      <c r="VYH92" s="317"/>
      <c r="VYI92" s="317"/>
      <c r="VYJ92" s="317"/>
      <c r="VYK92" s="317"/>
      <c r="VYL92" s="317"/>
      <c r="VYM92" s="317"/>
      <c r="VYN92" s="317"/>
      <c r="VYO92" s="317"/>
      <c r="VYP92" s="317"/>
      <c r="VYQ92" s="317"/>
      <c r="VYR92" s="317"/>
      <c r="VYS92" s="317"/>
      <c r="VYT92" s="317"/>
      <c r="VYU92" s="317"/>
      <c r="VYV92" s="317"/>
      <c r="VYW92" s="317"/>
      <c r="VYX92" s="317"/>
      <c r="VYY92" s="317"/>
      <c r="VYZ92" s="317"/>
      <c r="VZA92" s="317"/>
      <c r="VZB92" s="317"/>
      <c r="VZC92" s="317"/>
      <c r="VZD92" s="317"/>
      <c r="VZE92" s="317"/>
      <c r="VZF92" s="317"/>
      <c r="VZG92" s="317"/>
      <c r="VZH92" s="317"/>
      <c r="VZI92" s="317"/>
      <c r="VZJ92" s="317"/>
      <c r="VZK92" s="317"/>
      <c r="VZL92" s="317"/>
      <c r="VZM92" s="317"/>
      <c r="VZN92" s="317"/>
      <c r="VZO92" s="317"/>
      <c r="VZP92" s="317"/>
      <c r="VZQ92" s="317"/>
      <c r="VZR92" s="317"/>
      <c r="VZS92" s="317"/>
      <c r="VZT92" s="317"/>
      <c r="VZU92" s="317"/>
      <c r="VZV92" s="317"/>
      <c r="VZW92" s="317"/>
      <c r="VZX92" s="317"/>
      <c r="VZY92" s="317"/>
      <c r="VZZ92" s="317"/>
      <c r="WAA92" s="317"/>
      <c r="WAB92" s="317"/>
      <c r="WAC92" s="317"/>
      <c r="WAD92" s="317"/>
      <c r="WAE92" s="317"/>
      <c r="WAF92" s="317"/>
      <c r="WAG92" s="317"/>
      <c r="WAH92" s="317"/>
      <c r="WAI92" s="317"/>
      <c r="WAJ92" s="317"/>
      <c r="WAK92" s="317"/>
      <c r="WAL92" s="317"/>
      <c r="WAM92" s="317"/>
      <c r="WAN92" s="317"/>
      <c r="WAO92" s="317"/>
      <c r="WAP92" s="317"/>
      <c r="WAQ92" s="317"/>
      <c r="WAR92" s="317"/>
      <c r="WAS92" s="317"/>
      <c r="WAT92" s="317"/>
      <c r="WAU92" s="317"/>
      <c r="WAV92" s="317"/>
      <c r="WAW92" s="317"/>
      <c r="WAX92" s="317"/>
      <c r="WAY92" s="317"/>
      <c r="WAZ92" s="317"/>
      <c r="WBA92" s="317"/>
      <c r="WBB92" s="317"/>
      <c r="WBC92" s="317"/>
      <c r="WBD92" s="317"/>
      <c r="WBE92" s="317"/>
      <c r="WBF92" s="317"/>
      <c r="WBG92" s="317"/>
      <c r="WBH92" s="317"/>
      <c r="WBI92" s="317"/>
      <c r="WBJ92" s="317"/>
      <c r="WBK92" s="317"/>
      <c r="WBL92" s="317"/>
      <c r="WBM92" s="317"/>
      <c r="WBN92" s="317"/>
      <c r="WBO92" s="317"/>
      <c r="WBP92" s="317"/>
      <c r="WBQ92" s="317"/>
      <c r="WBR92" s="317"/>
      <c r="WBS92" s="317"/>
      <c r="WBT92" s="317"/>
      <c r="WBU92" s="317"/>
      <c r="WBV92" s="317"/>
      <c r="WBW92" s="317"/>
      <c r="WBX92" s="317"/>
      <c r="WBY92" s="317"/>
      <c r="WBZ92" s="317"/>
      <c r="WCA92" s="317"/>
      <c r="WCB92" s="317"/>
      <c r="WCC92" s="317"/>
      <c r="WCD92" s="317"/>
      <c r="WCE92" s="317"/>
      <c r="WCF92" s="317"/>
      <c r="WCG92" s="317"/>
      <c r="WCH92" s="317"/>
      <c r="WCI92" s="317"/>
      <c r="WCJ92" s="317"/>
      <c r="WCK92" s="317"/>
      <c r="WCL92" s="317"/>
      <c r="WCM92" s="317"/>
      <c r="WCN92" s="317"/>
      <c r="WCO92" s="317"/>
      <c r="WCP92" s="317"/>
      <c r="WCQ92" s="317"/>
      <c r="WCR92" s="317"/>
      <c r="WCS92" s="317"/>
      <c r="WCT92" s="317"/>
      <c r="WCU92" s="317"/>
      <c r="WCV92" s="317"/>
      <c r="WCW92" s="317"/>
      <c r="WCX92" s="317"/>
      <c r="WCY92" s="317"/>
      <c r="WCZ92" s="317"/>
      <c r="WDA92" s="317"/>
      <c r="WDB92" s="317"/>
      <c r="WDC92" s="317"/>
      <c r="WDD92" s="317"/>
      <c r="WDE92" s="317"/>
      <c r="WDF92" s="317"/>
      <c r="WDG92" s="317"/>
      <c r="WDH92" s="317"/>
      <c r="WDI92" s="317"/>
      <c r="WDJ92" s="317"/>
      <c r="WDK92" s="317"/>
      <c r="WDL92" s="317"/>
      <c r="WDM92" s="317"/>
      <c r="WDN92" s="317"/>
      <c r="WDO92" s="317"/>
      <c r="WDP92" s="317"/>
      <c r="WDQ92" s="317"/>
      <c r="WDR92" s="317"/>
      <c r="WDS92" s="317"/>
      <c r="WDT92" s="317"/>
      <c r="WDU92" s="317"/>
      <c r="WDV92" s="317"/>
      <c r="WDW92" s="317"/>
      <c r="WDX92" s="317"/>
      <c r="WDY92" s="317"/>
      <c r="WDZ92" s="317"/>
      <c r="WEA92" s="317"/>
      <c r="WEB92" s="317"/>
      <c r="WEC92" s="317"/>
      <c r="WED92" s="317"/>
      <c r="WEE92" s="317"/>
      <c r="WEF92" s="317"/>
      <c r="WEG92" s="317"/>
      <c r="WEH92" s="317"/>
      <c r="WEI92" s="317"/>
      <c r="WEJ92" s="317"/>
      <c r="WEK92" s="317"/>
      <c r="WEL92" s="317"/>
      <c r="WEM92" s="317"/>
      <c r="WEN92" s="317"/>
      <c r="WEO92" s="317"/>
      <c r="WEP92" s="317"/>
      <c r="WEQ92" s="317"/>
      <c r="WER92" s="317"/>
      <c r="WES92" s="317"/>
      <c r="WET92" s="317"/>
      <c r="WEU92" s="317"/>
      <c r="WEV92" s="317"/>
      <c r="WEW92" s="317"/>
      <c r="WEX92" s="317"/>
      <c r="WEY92" s="317"/>
      <c r="WEZ92" s="317"/>
      <c r="WFA92" s="317"/>
      <c r="WFB92" s="317"/>
      <c r="WFC92" s="317"/>
      <c r="WFD92" s="317"/>
      <c r="WFE92" s="317"/>
      <c r="WFF92" s="317"/>
      <c r="WFG92" s="317"/>
      <c r="WFH92" s="317"/>
      <c r="WFI92" s="317"/>
      <c r="WFJ92" s="317"/>
      <c r="WFK92" s="317"/>
      <c r="WFL92" s="317"/>
      <c r="WFM92" s="317"/>
      <c r="WFN92" s="317"/>
      <c r="WFO92" s="317"/>
      <c r="WFP92" s="317"/>
      <c r="WFQ92" s="317"/>
      <c r="WFR92" s="317"/>
      <c r="WFS92" s="317"/>
      <c r="WFT92" s="317"/>
      <c r="WFU92" s="317"/>
      <c r="WFV92" s="317"/>
      <c r="WFW92" s="317"/>
      <c r="WFX92" s="317"/>
      <c r="WFY92" s="317"/>
      <c r="WFZ92" s="317"/>
      <c r="WGA92" s="317"/>
      <c r="WGB92" s="317"/>
      <c r="WGC92" s="317"/>
      <c r="WGD92" s="317"/>
      <c r="WGE92" s="317"/>
      <c r="WGF92" s="317"/>
      <c r="WGG92" s="317"/>
      <c r="WGH92" s="317"/>
      <c r="WGI92" s="317"/>
      <c r="WGJ92" s="317"/>
      <c r="WGK92" s="317"/>
      <c r="WGL92" s="317"/>
      <c r="WGM92" s="317"/>
      <c r="WGN92" s="317"/>
      <c r="WGO92" s="317"/>
      <c r="WGP92" s="317"/>
      <c r="WGQ92" s="317"/>
      <c r="WGR92" s="317"/>
      <c r="WGS92" s="317"/>
      <c r="WGT92" s="317"/>
      <c r="WGU92" s="317"/>
      <c r="WGV92" s="317"/>
      <c r="WGW92" s="317"/>
      <c r="WGX92" s="317"/>
      <c r="WGY92" s="317"/>
      <c r="WGZ92" s="317"/>
      <c r="WHA92" s="317"/>
      <c r="WHB92" s="317"/>
      <c r="WHC92" s="317"/>
      <c r="WHD92" s="317"/>
      <c r="WHE92" s="317"/>
      <c r="WHF92" s="317"/>
      <c r="WHG92" s="317"/>
      <c r="WHH92" s="317"/>
      <c r="WHI92" s="317"/>
      <c r="WHJ92" s="317"/>
      <c r="WHK92" s="317"/>
      <c r="WHL92" s="317"/>
      <c r="WHM92" s="317"/>
      <c r="WHN92" s="317"/>
      <c r="WHO92" s="317"/>
      <c r="WHP92" s="317"/>
      <c r="WHQ92" s="317"/>
      <c r="WHR92" s="317"/>
      <c r="WHS92" s="317"/>
      <c r="WHT92" s="317"/>
      <c r="WHU92" s="317"/>
      <c r="WHV92" s="317"/>
      <c r="WHW92" s="317"/>
      <c r="WHX92" s="317"/>
      <c r="WHY92" s="317"/>
      <c r="WHZ92" s="317"/>
      <c r="WIA92" s="317"/>
      <c r="WIB92" s="317"/>
      <c r="WIC92" s="317"/>
      <c r="WID92" s="317"/>
      <c r="WIE92" s="317"/>
      <c r="WIF92" s="317"/>
      <c r="WIG92" s="317"/>
      <c r="WIH92" s="317"/>
      <c r="WII92" s="317"/>
      <c r="WIJ92" s="317"/>
      <c r="WIK92" s="317"/>
      <c r="WIL92" s="317"/>
      <c r="WIM92" s="317"/>
      <c r="WIN92" s="317"/>
      <c r="WIO92" s="317"/>
      <c r="WIP92" s="317"/>
      <c r="WIQ92" s="317"/>
      <c r="WIR92" s="317"/>
      <c r="WIS92" s="317"/>
      <c r="WIT92" s="317"/>
      <c r="WIU92" s="317"/>
      <c r="WIV92" s="317"/>
      <c r="WIW92" s="317"/>
      <c r="WIX92" s="317"/>
      <c r="WIY92" s="317"/>
      <c r="WIZ92" s="317"/>
      <c r="WJA92" s="317"/>
      <c r="WJB92" s="317"/>
      <c r="WJC92" s="317"/>
      <c r="WJD92" s="317"/>
      <c r="WJE92" s="317"/>
      <c r="WJF92" s="317"/>
      <c r="WJG92" s="317"/>
      <c r="WJH92" s="317"/>
      <c r="WJI92" s="317"/>
      <c r="WJJ92" s="317"/>
      <c r="WJK92" s="317"/>
      <c r="WJL92" s="317"/>
      <c r="WJM92" s="317"/>
      <c r="WJN92" s="317"/>
      <c r="WJO92" s="317"/>
      <c r="WJP92" s="317"/>
      <c r="WJQ92" s="317"/>
      <c r="WJR92" s="317"/>
      <c r="WJS92" s="317"/>
      <c r="WJT92" s="317"/>
      <c r="WJU92" s="317"/>
      <c r="WJV92" s="317"/>
      <c r="WJW92" s="317"/>
      <c r="WJX92" s="317"/>
      <c r="WJY92" s="317"/>
      <c r="WJZ92" s="317"/>
      <c r="WKA92" s="317"/>
      <c r="WKB92" s="317"/>
      <c r="WKC92" s="317"/>
      <c r="WKD92" s="317"/>
      <c r="WKE92" s="317"/>
      <c r="WKF92" s="317"/>
      <c r="WKG92" s="317"/>
      <c r="WKH92" s="317"/>
      <c r="WKI92" s="317"/>
      <c r="WKJ92" s="317"/>
      <c r="WKK92" s="317"/>
      <c r="WKL92" s="317"/>
      <c r="WKM92" s="317"/>
      <c r="WKN92" s="317"/>
      <c r="WKO92" s="317"/>
      <c r="WKP92" s="317"/>
      <c r="WKQ92" s="317"/>
      <c r="WKR92" s="317"/>
      <c r="WKS92" s="317"/>
      <c r="WKT92" s="317"/>
      <c r="WKU92" s="317"/>
      <c r="WKV92" s="317"/>
      <c r="WKW92" s="317"/>
      <c r="WKX92" s="317"/>
      <c r="WKY92" s="317"/>
      <c r="WKZ92" s="317"/>
      <c r="WLA92" s="317"/>
      <c r="WLB92" s="317"/>
      <c r="WLC92" s="317"/>
      <c r="WLD92" s="317"/>
      <c r="WLE92" s="317"/>
      <c r="WLF92" s="317"/>
      <c r="WLG92" s="317"/>
      <c r="WLH92" s="317"/>
      <c r="WLI92" s="317"/>
      <c r="WLJ92" s="317"/>
      <c r="WLK92" s="317"/>
      <c r="WLL92" s="317"/>
      <c r="WLM92" s="317"/>
      <c r="WLN92" s="317"/>
      <c r="WLO92" s="317"/>
      <c r="WLP92" s="317"/>
      <c r="WLQ92" s="317"/>
      <c r="WLR92" s="317"/>
      <c r="WLS92" s="317"/>
      <c r="WLT92" s="317"/>
      <c r="WLU92" s="317"/>
      <c r="WLV92" s="317"/>
      <c r="WLW92" s="317"/>
      <c r="WLX92" s="317"/>
      <c r="WLY92" s="317"/>
      <c r="WLZ92" s="317"/>
      <c r="WMA92" s="317"/>
      <c r="WMB92" s="317"/>
      <c r="WMC92" s="317"/>
      <c r="WMD92" s="317"/>
      <c r="WME92" s="317"/>
      <c r="WMF92" s="317"/>
      <c r="WMG92" s="317"/>
      <c r="WMH92" s="317"/>
      <c r="WMI92" s="317"/>
      <c r="WMJ92" s="317"/>
      <c r="WMK92" s="317"/>
      <c r="WML92" s="317"/>
      <c r="WMM92" s="317"/>
      <c r="WMN92" s="317"/>
      <c r="WMO92" s="317"/>
      <c r="WMP92" s="317"/>
      <c r="WMQ92" s="317"/>
      <c r="WMR92" s="317"/>
      <c r="WMS92" s="317"/>
      <c r="WMT92" s="317"/>
      <c r="WMU92" s="317"/>
      <c r="WMV92" s="317"/>
      <c r="WMW92" s="317"/>
      <c r="WMX92" s="317"/>
      <c r="WMY92" s="317"/>
      <c r="WMZ92" s="317"/>
      <c r="WNA92" s="317"/>
      <c r="WNB92" s="317"/>
      <c r="WNC92" s="317"/>
      <c r="WND92" s="317"/>
      <c r="WNE92" s="317"/>
      <c r="WNF92" s="317"/>
      <c r="WNG92" s="317"/>
      <c r="WNH92" s="317"/>
      <c r="WNI92" s="317"/>
      <c r="WNJ92" s="317"/>
      <c r="WNK92" s="317"/>
      <c r="WNL92" s="317"/>
      <c r="WNM92" s="317"/>
      <c r="WNN92" s="317"/>
      <c r="WNO92" s="317"/>
      <c r="WNP92" s="317"/>
      <c r="WNQ92" s="317"/>
      <c r="WNR92" s="317"/>
      <c r="WNS92" s="317"/>
      <c r="WNT92" s="317"/>
      <c r="WNU92" s="317"/>
      <c r="WNV92" s="317"/>
      <c r="WNW92" s="317"/>
      <c r="WNX92" s="317"/>
      <c r="WNY92" s="317"/>
      <c r="WNZ92" s="317"/>
      <c r="WOA92" s="317"/>
      <c r="WOB92" s="317"/>
      <c r="WOC92" s="317"/>
      <c r="WOD92" s="317"/>
      <c r="WOE92" s="317"/>
      <c r="WOF92" s="317"/>
      <c r="WOG92" s="317"/>
      <c r="WOH92" s="317"/>
      <c r="WOI92" s="317"/>
      <c r="WOJ92" s="317"/>
      <c r="WOK92" s="317"/>
      <c r="WOL92" s="317"/>
      <c r="WOM92" s="317"/>
      <c r="WON92" s="317"/>
      <c r="WOO92" s="317"/>
      <c r="WOP92" s="317"/>
      <c r="WOQ92" s="317"/>
      <c r="WOR92" s="317"/>
      <c r="WOS92" s="317"/>
      <c r="WOT92" s="317"/>
      <c r="WOU92" s="317"/>
      <c r="WOV92" s="317"/>
      <c r="WOW92" s="317"/>
      <c r="WOX92" s="317"/>
      <c r="WOY92" s="317"/>
      <c r="WOZ92" s="317"/>
      <c r="WPA92" s="317"/>
      <c r="WPB92" s="317"/>
      <c r="WPC92" s="317"/>
      <c r="WPD92" s="317"/>
      <c r="WPE92" s="317"/>
      <c r="WPF92" s="317"/>
      <c r="WPG92" s="317"/>
      <c r="WPH92" s="317"/>
      <c r="WPI92" s="317"/>
      <c r="WPJ92" s="317"/>
      <c r="WPK92" s="317"/>
      <c r="WPL92" s="317"/>
      <c r="WPM92" s="317"/>
      <c r="WPN92" s="317"/>
      <c r="WPO92" s="317"/>
      <c r="WPP92" s="317"/>
      <c r="WPQ92" s="317"/>
      <c r="WPR92" s="317"/>
      <c r="WPS92" s="317"/>
      <c r="WPT92" s="317"/>
      <c r="WPU92" s="317"/>
      <c r="WPV92" s="317"/>
      <c r="WPW92" s="317"/>
      <c r="WPX92" s="317"/>
      <c r="WPY92" s="317"/>
      <c r="WPZ92" s="317"/>
      <c r="WQA92" s="317"/>
      <c r="WQB92" s="317"/>
      <c r="WQC92" s="317"/>
      <c r="WQD92" s="317"/>
      <c r="WQE92" s="317"/>
      <c r="WQF92" s="317"/>
      <c r="WQG92" s="317"/>
      <c r="WQH92" s="317"/>
      <c r="WQI92" s="317"/>
      <c r="WQJ92" s="317"/>
      <c r="WQK92" s="317"/>
      <c r="WQL92" s="317"/>
      <c r="WQM92" s="317"/>
      <c r="WQN92" s="317"/>
      <c r="WQO92" s="317"/>
      <c r="WQP92" s="317"/>
      <c r="WQQ92" s="317"/>
      <c r="WQR92" s="317"/>
      <c r="WQS92" s="317"/>
      <c r="WQT92" s="317"/>
      <c r="WQU92" s="317"/>
      <c r="WQV92" s="317"/>
      <c r="WQW92" s="317"/>
      <c r="WQX92" s="317"/>
      <c r="WQY92" s="317"/>
      <c r="WQZ92" s="317"/>
      <c r="WRA92" s="317"/>
      <c r="WRB92" s="317"/>
      <c r="WRC92" s="317"/>
      <c r="WRD92" s="317"/>
      <c r="WRE92" s="317"/>
      <c r="WRF92" s="317"/>
      <c r="WRG92" s="317"/>
      <c r="WRH92" s="317"/>
      <c r="WRI92" s="317"/>
      <c r="WRJ92" s="317"/>
      <c r="WRK92" s="317"/>
      <c r="WRL92" s="317"/>
      <c r="WRM92" s="317"/>
      <c r="WRN92" s="317"/>
      <c r="WRO92" s="317"/>
      <c r="WRP92" s="317"/>
      <c r="WRQ92" s="317"/>
      <c r="WRR92" s="317"/>
      <c r="WRS92" s="317"/>
      <c r="WRT92" s="317"/>
      <c r="WRU92" s="317"/>
      <c r="WRV92" s="317"/>
      <c r="WRW92" s="317"/>
      <c r="WRX92" s="317"/>
      <c r="WRY92" s="317"/>
      <c r="WRZ92" s="317"/>
      <c r="WSA92" s="317"/>
      <c r="WSB92" s="317"/>
      <c r="WSC92" s="317"/>
      <c r="WSD92" s="317"/>
      <c r="WSE92" s="317"/>
      <c r="WSF92" s="317"/>
      <c r="WSG92" s="317"/>
      <c r="WSH92" s="317"/>
      <c r="WSI92" s="317"/>
      <c r="WSJ92" s="317"/>
      <c r="WSK92" s="317"/>
      <c r="WSL92" s="317"/>
      <c r="WSM92" s="317"/>
      <c r="WSN92" s="317"/>
      <c r="WSO92" s="317"/>
      <c r="WSP92" s="317"/>
      <c r="WSQ92" s="317"/>
      <c r="WSR92" s="317"/>
      <c r="WSS92" s="317"/>
      <c r="WST92" s="317"/>
      <c r="WSU92" s="317"/>
      <c r="WSV92" s="317"/>
      <c r="WSW92" s="317"/>
      <c r="WSX92" s="317"/>
      <c r="WSY92" s="317"/>
      <c r="WSZ92" s="317"/>
      <c r="WTA92" s="317"/>
      <c r="WTB92" s="317"/>
      <c r="WTC92" s="317"/>
      <c r="WTD92" s="317"/>
      <c r="WTE92" s="317"/>
      <c r="WTF92" s="317"/>
      <c r="WTG92" s="317"/>
      <c r="WTH92" s="317"/>
      <c r="WTI92" s="317"/>
      <c r="WTJ92" s="317"/>
      <c r="WTK92" s="317"/>
      <c r="WTL92" s="317"/>
      <c r="WTM92" s="317"/>
      <c r="WTN92" s="317"/>
      <c r="WTO92" s="317"/>
      <c r="WTP92" s="317"/>
      <c r="WTQ92" s="317"/>
      <c r="WTR92" s="317"/>
      <c r="WTS92" s="317"/>
      <c r="WTT92" s="317"/>
      <c r="WTU92" s="317"/>
      <c r="WTV92" s="317"/>
      <c r="WTW92" s="317"/>
      <c r="WTX92" s="317"/>
      <c r="WTY92" s="317"/>
      <c r="WTZ92" s="317"/>
      <c r="WUA92" s="317"/>
      <c r="WUB92" s="317"/>
      <c r="WUC92" s="317"/>
      <c r="WUD92" s="317"/>
      <c r="WUE92" s="317"/>
      <c r="WUF92" s="317"/>
      <c r="WUG92" s="317"/>
      <c r="WUH92" s="317"/>
      <c r="WUI92" s="317"/>
      <c r="WUJ92" s="317"/>
      <c r="WUK92" s="317"/>
      <c r="WUL92" s="317"/>
      <c r="WUM92" s="317"/>
      <c r="WUN92" s="317"/>
      <c r="WUO92" s="317"/>
      <c r="WUP92" s="317"/>
      <c r="WUQ92" s="317"/>
      <c r="WUR92" s="317"/>
      <c r="WUS92" s="317"/>
      <c r="WUT92" s="317"/>
      <c r="WUU92" s="317"/>
      <c r="WUV92" s="317"/>
      <c r="WUW92" s="317"/>
      <c r="WUX92" s="317"/>
      <c r="WUY92" s="317"/>
      <c r="WUZ92" s="317"/>
      <c r="WVA92" s="317"/>
      <c r="WVB92" s="317"/>
      <c r="WVC92" s="317"/>
      <c r="WVD92" s="317"/>
      <c r="WVE92" s="317"/>
      <c r="WVF92" s="317"/>
      <c r="WVG92" s="317"/>
      <c r="WVH92" s="317"/>
      <c r="WVI92" s="317"/>
      <c r="WVJ92" s="317"/>
      <c r="WVK92" s="317"/>
      <c r="WVL92" s="317"/>
      <c r="WVM92" s="317"/>
      <c r="WVN92" s="317"/>
      <c r="WVO92" s="317"/>
      <c r="WVP92" s="317"/>
      <c r="WVQ92" s="317"/>
      <c r="WVR92" s="317"/>
      <c r="WVS92" s="317"/>
      <c r="WVT92" s="317"/>
      <c r="WVU92" s="317"/>
      <c r="WVV92" s="317"/>
      <c r="WVW92" s="317"/>
      <c r="WVX92" s="317"/>
      <c r="WVY92" s="317"/>
      <c r="WVZ92" s="317"/>
      <c r="WWA92" s="317"/>
      <c r="WWB92" s="317"/>
      <c r="WWC92" s="317"/>
      <c r="WWD92" s="317"/>
      <c r="WWE92" s="317"/>
      <c r="WWF92" s="317"/>
      <c r="WWG92" s="317"/>
      <c r="WWH92" s="317"/>
      <c r="WWI92" s="317"/>
      <c r="WWJ92" s="317"/>
      <c r="WWK92" s="317"/>
      <c r="WWL92" s="317"/>
      <c r="WWM92" s="317"/>
      <c r="WWN92" s="317"/>
      <c r="WWO92" s="317"/>
      <c r="WWP92" s="317"/>
      <c r="WWQ92" s="317"/>
      <c r="WWR92" s="317"/>
      <c r="WWS92" s="317"/>
      <c r="WWT92" s="317"/>
      <c r="WWU92" s="317"/>
      <c r="WWV92" s="317"/>
      <c r="WWW92" s="317"/>
      <c r="WWX92" s="317"/>
      <c r="WWY92" s="317"/>
      <c r="WWZ92" s="317"/>
      <c r="WXA92" s="317"/>
      <c r="WXB92" s="317"/>
      <c r="WXC92" s="317"/>
      <c r="WXD92" s="317"/>
      <c r="WXE92" s="317"/>
      <c r="WXF92" s="317"/>
      <c r="WXG92" s="317"/>
      <c r="WXH92" s="317"/>
      <c r="WXI92" s="317"/>
      <c r="WXJ92" s="317"/>
      <c r="WXK92" s="317"/>
      <c r="WXL92" s="317"/>
      <c r="WXM92" s="317"/>
      <c r="WXN92" s="317"/>
      <c r="WXO92" s="317"/>
      <c r="WXP92" s="317"/>
      <c r="WXQ92" s="317"/>
      <c r="WXR92" s="317"/>
      <c r="WXS92" s="317"/>
      <c r="WXT92" s="317"/>
      <c r="WXU92" s="317"/>
      <c r="WXV92" s="317"/>
      <c r="WXW92" s="317"/>
      <c r="WXX92" s="317"/>
      <c r="WXY92" s="317"/>
      <c r="WXZ92" s="317"/>
      <c r="WYA92" s="317"/>
      <c r="WYB92" s="317"/>
      <c r="WYC92" s="317"/>
      <c r="WYD92" s="317"/>
      <c r="WYE92" s="317"/>
      <c r="WYF92" s="317"/>
      <c r="WYG92" s="317"/>
      <c r="WYH92" s="317"/>
      <c r="WYI92" s="317"/>
      <c r="WYJ92" s="317"/>
      <c r="WYK92" s="317"/>
      <c r="WYL92" s="317"/>
      <c r="WYM92" s="317"/>
      <c r="WYN92" s="317"/>
      <c r="WYO92" s="317"/>
      <c r="WYP92" s="317"/>
      <c r="WYQ92" s="317"/>
      <c r="WYR92" s="317"/>
      <c r="WYS92" s="317"/>
      <c r="WYT92" s="317"/>
      <c r="WYU92" s="317"/>
      <c r="WYV92" s="317"/>
      <c r="WYW92" s="317"/>
      <c r="WYX92" s="317"/>
      <c r="WYY92" s="317"/>
      <c r="WYZ92" s="317"/>
      <c r="WZA92" s="317"/>
      <c r="WZB92" s="317"/>
      <c r="WZC92" s="317"/>
      <c r="WZD92" s="317"/>
      <c r="WZE92" s="317"/>
      <c r="WZF92" s="317"/>
      <c r="WZG92" s="317"/>
      <c r="WZH92" s="317"/>
      <c r="WZI92" s="317"/>
      <c r="WZJ92" s="317"/>
      <c r="WZK92" s="317"/>
      <c r="WZL92" s="317"/>
      <c r="WZM92" s="317"/>
      <c r="WZN92" s="317"/>
      <c r="WZO92" s="317"/>
      <c r="WZP92" s="317"/>
      <c r="WZQ92" s="317"/>
      <c r="WZR92" s="317"/>
      <c r="WZS92" s="317"/>
      <c r="WZT92" s="317"/>
      <c r="WZU92" s="317"/>
      <c r="WZV92" s="317"/>
      <c r="WZW92" s="317"/>
      <c r="WZX92" s="317"/>
      <c r="WZY92" s="317"/>
      <c r="WZZ92" s="317"/>
      <c r="XAA92" s="317"/>
      <c r="XAB92" s="317"/>
      <c r="XAC92" s="317"/>
      <c r="XAD92" s="317"/>
      <c r="XAE92" s="317"/>
      <c r="XAF92" s="317"/>
      <c r="XAG92" s="317"/>
      <c r="XAH92" s="317"/>
      <c r="XAI92" s="317"/>
      <c r="XAJ92" s="317"/>
      <c r="XAK92" s="317"/>
      <c r="XAL92" s="317"/>
      <c r="XAM92" s="317"/>
      <c r="XAN92" s="317"/>
      <c r="XAO92" s="317"/>
      <c r="XAP92" s="317"/>
      <c r="XAQ92" s="317"/>
      <c r="XAR92" s="317"/>
      <c r="XAS92" s="317"/>
      <c r="XAT92" s="317"/>
      <c r="XAU92" s="317"/>
      <c r="XAV92" s="317"/>
      <c r="XAW92" s="317"/>
      <c r="XAX92" s="317"/>
      <c r="XAY92" s="317"/>
      <c r="XAZ92" s="317"/>
      <c r="XBA92" s="317"/>
      <c r="XBB92" s="317"/>
      <c r="XBC92" s="317"/>
      <c r="XBD92" s="317"/>
      <c r="XBE92" s="317"/>
      <c r="XBF92" s="317"/>
      <c r="XBG92" s="317"/>
      <c r="XBH92" s="317"/>
      <c r="XBI92" s="317"/>
      <c r="XBJ92" s="317"/>
      <c r="XBK92" s="317"/>
      <c r="XBL92" s="317"/>
      <c r="XBM92" s="317"/>
      <c r="XBN92" s="317"/>
      <c r="XBO92" s="317"/>
      <c r="XBP92" s="317"/>
      <c r="XBQ92" s="317"/>
      <c r="XBR92" s="317"/>
      <c r="XBS92" s="317"/>
      <c r="XBT92" s="317"/>
      <c r="XBU92" s="317"/>
      <c r="XBV92" s="317"/>
      <c r="XBW92" s="317"/>
      <c r="XBX92" s="317"/>
      <c r="XBY92" s="317"/>
      <c r="XBZ92" s="317"/>
      <c r="XCA92" s="317"/>
      <c r="XCB92" s="317"/>
      <c r="XCC92" s="317"/>
      <c r="XCD92" s="317"/>
      <c r="XCE92" s="317"/>
      <c r="XCF92" s="317"/>
      <c r="XCG92" s="317"/>
      <c r="XCH92" s="317"/>
      <c r="XCI92" s="317"/>
      <c r="XCJ92" s="317"/>
      <c r="XCK92" s="317"/>
      <c r="XCL92" s="317"/>
      <c r="XCM92" s="317"/>
      <c r="XCN92" s="317"/>
      <c r="XCO92" s="317"/>
      <c r="XCP92" s="317"/>
      <c r="XCQ92" s="317"/>
      <c r="XCR92" s="317"/>
      <c r="XCS92" s="317"/>
      <c r="XCT92" s="317"/>
      <c r="XCU92" s="317"/>
      <c r="XCV92" s="317"/>
      <c r="XCW92" s="317"/>
      <c r="XCX92" s="317"/>
      <c r="XCY92" s="317"/>
      <c r="XCZ92" s="317"/>
      <c r="XDA92" s="317"/>
      <c r="XDB92" s="317"/>
      <c r="XDC92" s="317"/>
      <c r="XDD92" s="317"/>
      <c r="XDE92" s="317"/>
      <c r="XDF92" s="317"/>
      <c r="XDG92" s="317"/>
      <c r="XDH92" s="317"/>
      <c r="XDI92" s="317"/>
      <c r="XDJ92" s="317"/>
      <c r="XDK92" s="317"/>
      <c r="XDL92" s="317"/>
      <c r="XDM92" s="317"/>
      <c r="XDN92" s="317"/>
      <c r="XDO92" s="317"/>
      <c r="XDP92" s="317"/>
      <c r="XDQ92" s="317"/>
      <c r="XDR92" s="317"/>
      <c r="XDS92" s="317"/>
      <c r="XDT92" s="317"/>
      <c r="XDU92" s="317"/>
      <c r="XDV92" s="317"/>
      <c r="XDW92" s="317"/>
      <c r="XDX92" s="317"/>
      <c r="XDY92" s="317"/>
      <c r="XDZ92" s="317"/>
      <c r="XEA92" s="317"/>
      <c r="XEB92" s="317"/>
      <c r="XEC92" s="317"/>
      <c r="XED92" s="317"/>
      <c r="XEE92" s="317"/>
      <c r="XEF92" s="317"/>
      <c r="XEG92" s="317"/>
      <c r="XEH92" s="317"/>
      <c r="XEI92" s="317"/>
      <c r="XEJ92" s="317"/>
      <c r="XEK92" s="317"/>
      <c r="XEL92" s="317"/>
      <c r="XEM92" s="317"/>
      <c r="XEN92" s="317"/>
      <c r="XEO92" s="317"/>
      <c r="XEP92" s="317"/>
      <c r="XEQ92" s="317"/>
      <c r="XER92" s="317"/>
      <c r="XES92" s="317"/>
      <c r="XET92" s="317"/>
      <c r="XEU92" s="317"/>
      <c r="XEV92" s="317"/>
      <c r="XEW92" s="317"/>
      <c r="XEX92" s="317"/>
      <c r="XEY92" s="317"/>
      <c r="XEZ92" s="317"/>
      <c r="XFA92" s="317"/>
      <c r="XFB92" s="317"/>
      <c r="XFC92" s="317"/>
      <c r="XFD92" s="317"/>
    </row>
    <row r="93" s="314" customFormat="1" ht="25" customHeight="1" spans="1:74 14505:16384">
      <c r="A93" s="364"/>
      <c r="B93" s="364" t="s">
        <v>116</v>
      </c>
      <c r="I93" s="315"/>
      <c r="O93" s="316"/>
      <c r="P93" s="316"/>
      <c r="V93" s="316"/>
      <c r="W93" s="316"/>
      <c r="X93" s="316"/>
      <c r="Y93" s="316"/>
      <c r="Z93" s="316"/>
      <c r="AA93" s="316"/>
      <c r="AB93" s="316"/>
      <c r="AC93" s="316"/>
      <c r="AD93" s="316"/>
      <c r="AK93" s="316"/>
      <c r="AQ93" s="316"/>
      <c r="AR93" s="316"/>
      <c r="AV93" s="366"/>
      <c r="AY93" s="316"/>
      <c r="BE93" s="316"/>
      <c r="BF93" s="316"/>
      <c r="BM93" s="316"/>
      <c r="BS93" s="316"/>
      <c r="BT93" s="316"/>
      <c r="UKW93" s="317"/>
      <c r="UKX93" s="317"/>
      <c r="UKY93" s="317"/>
      <c r="UKZ93" s="317"/>
      <c r="ULA93" s="317"/>
      <c r="ULB93" s="317"/>
      <c r="ULC93" s="317"/>
      <c r="ULD93" s="317"/>
      <c r="ULE93" s="317"/>
      <c r="ULF93" s="317"/>
      <c r="ULG93" s="317"/>
      <c r="ULH93" s="317"/>
      <c r="ULI93" s="317"/>
      <c r="ULJ93" s="317"/>
      <c r="ULK93" s="317"/>
      <c r="ULL93" s="317"/>
      <c r="ULM93" s="317"/>
      <c r="ULN93" s="317"/>
      <c r="ULO93" s="317"/>
      <c r="ULP93" s="317"/>
      <c r="ULQ93" s="317"/>
      <c r="ULR93" s="317"/>
      <c r="ULS93" s="317"/>
      <c r="ULT93" s="317"/>
      <c r="ULU93" s="317"/>
      <c r="ULV93" s="317"/>
      <c r="ULW93" s="317"/>
      <c r="ULX93" s="317"/>
      <c r="ULY93" s="317"/>
      <c r="ULZ93" s="317"/>
      <c r="UMA93" s="317"/>
      <c r="UMB93" s="317"/>
      <c r="UMC93" s="317"/>
      <c r="UMD93" s="317"/>
      <c r="UME93" s="317"/>
      <c r="UMF93" s="317"/>
      <c r="UMG93" s="317"/>
      <c r="UMH93" s="317"/>
      <c r="UMI93" s="317"/>
      <c r="UMJ93" s="317"/>
      <c r="UMK93" s="317"/>
      <c r="UML93" s="317"/>
      <c r="UMM93" s="317"/>
      <c r="UMN93" s="317"/>
      <c r="UMO93" s="317"/>
      <c r="UMP93" s="317"/>
      <c r="UMQ93" s="317"/>
      <c r="UMR93" s="317"/>
      <c r="UMS93" s="317"/>
      <c r="UMT93" s="317"/>
      <c r="UMU93" s="317"/>
      <c r="UMV93" s="317"/>
      <c r="UMW93" s="317"/>
      <c r="UMX93" s="317"/>
      <c r="UMY93" s="317"/>
      <c r="UMZ93" s="317"/>
      <c r="UNA93" s="317"/>
      <c r="UNB93" s="317"/>
      <c r="UNC93" s="317"/>
      <c r="UND93" s="317"/>
      <c r="UNE93" s="317"/>
      <c r="UNF93" s="317"/>
      <c r="UNG93" s="317"/>
      <c r="UNH93" s="317"/>
      <c r="UNI93" s="317"/>
      <c r="UNJ93" s="317"/>
      <c r="UNK93" s="317"/>
      <c r="UNL93" s="317"/>
      <c r="UNM93" s="317"/>
      <c r="UNN93" s="317"/>
      <c r="UNO93" s="317"/>
      <c r="UNP93" s="317"/>
      <c r="UNQ93" s="317"/>
      <c r="UNR93" s="317"/>
      <c r="UNS93" s="317"/>
      <c r="UNT93" s="317"/>
      <c r="UNU93" s="317"/>
      <c r="UNV93" s="317"/>
      <c r="UNW93" s="317"/>
      <c r="UNX93" s="317"/>
      <c r="UNY93" s="317"/>
      <c r="UNZ93" s="317"/>
      <c r="UOA93" s="317"/>
      <c r="UOB93" s="317"/>
      <c r="UOC93" s="317"/>
      <c r="UOD93" s="317"/>
      <c r="UOE93" s="317"/>
      <c r="UOF93" s="317"/>
      <c r="UOG93" s="317"/>
      <c r="UOH93" s="317"/>
      <c r="UOI93" s="317"/>
      <c r="UOJ93" s="317"/>
      <c r="UOK93" s="317"/>
      <c r="UOL93" s="317"/>
      <c r="UOM93" s="317"/>
      <c r="UON93" s="317"/>
      <c r="UOO93" s="317"/>
      <c r="UOP93" s="317"/>
      <c r="UOQ93" s="317"/>
      <c r="UOR93" s="317"/>
      <c r="UOS93" s="317"/>
      <c r="UOT93" s="317"/>
      <c r="UOU93" s="317"/>
      <c r="UOV93" s="317"/>
      <c r="UOW93" s="317"/>
      <c r="UOX93" s="317"/>
      <c r="UOY93" s="317"/>
      <c r="UOZ93" s="317"/>
      <c r="UPA93" s="317"/>
      <c r="UPB93" s="317"/>
      <c r="UPC93" s="317"/>
      <c r="UPD93" s="317"/>
      <c r="UPE93" s="317"/>
      <c r="UPF93" s="317"/>
      <c r="UPG93" s="317"/>
      <c r="UPH93" s="317"/>
      <c r="UPI93" s="317"/>
      <c r="UPJ93" s="317"/>
      <c r="UPK93" s="317"/>
      <c r="UPL93" s="317"/>
      <c r="UPM93" s="317"/>
      <c r="UPN93" s="317"/>
      <c r="UPO93" s="317"/>
      <c r="UPP93" s="317"/>
      <c r="UPQ93" s="317"/>
      <c r="UPR93" s="317"/>
      <c r="UPS93" s="317"/>
      <c r="UPT93" s="317"/>
      <c r="UPU93" s="317"/>
      <c r="UPV93" s="317"/>
      <c r="UPW93" s="317"/>
      <c r="UPX93" s="317"/>
      <c r="UPY93" s="317"/>
      <c r="UPZ93" s="317"/>
      <c r="UQA93" s="317"/>
      <c r="UQB93" s="317"/>
      <c r="UQC93" s="317"/>
      <c r="UQD93" s="317"/>
      <c r="UQE93" s="317"/>
      <c r="UQF93" s="317"/>
      <c r="UQG93" s="317"/>
      <c r="UQH93" s="317"/>
      <c r="UQI93" s="317"/>
      <c r="UQJ93" s="317"/>
      <c r="UQK93" s="317"/>
      <c r="UQL93" s="317"/>
      <c r="UQM93" s="317"/>
      <c r="UQN93" s="317"/>
      <c r="UQO93" s="317"/>
      <c r="UQP93" s="317"/>
      <c r="UQQ93" s="317"/>
      <c r="UQR93" s="317"/>
      <c r="UQS93" s="317"/>
      <c r="UQT93" s="317"/>
      <c r="UQU93" s="317"/>
      <c r="UQV93" s="317"/>
      <c r="UQW93" s="317"/>
      <c r="UQX93" s="317"/>
      <c r="UQY93" s="317"/>
      <c r="UQZ93" s="317"/>
      <c r="URA93" s="317"/>
      <c r="URB93" s="317"/>
      <c r="URC93" s="317"/>
      <c r="URD93" s="317"/>
      <c r="URE93" s="317"/>
      <c r="URF93" s="317"/>
      <c r="URG93" s="317"/>
      <c r="URH93" s="317"/>
      <c r="URI93" s="317"/>
      <c r="URJ93" s="317"/>
      <c r="URK93" s="317"/>
      <c r="URL93" s="317"/>
      <c r="URM93" s="317"/>
      <c r="URN93" s="317"/>
      <c r="URO93" s="317"/>
      <c r="URP93" s="317"/>
      <c r="URQ93" s="317"/>
      <c r="URR93" s="317"/>
      <c r="URS93" s="317"/>
      <c r="URT93" s="317"/>
      <c r="URU93" s="317"/>
      <c r="URV93" s="317"/>
      <c r="URW93" s="317"/>
      <c r="URX93" s="317"/>
      <c r="URY93" s="317"/>
      <c r="URZ93" s="317"/>
      <c r="USA93" s="317"/>
      <c r="USB93" s="317"/>
      <c r="USC93" s="317"/>
      <c r="USD93" s="317"/>
      <c r="USE93" s="317"/>
      <c r="USF93" s="317"/>
      <c r="USG93" s="317"/>
      <c r="USH93" s="317"/>
      <c r="USI93" s="317"/>
      <c r="USJ93" s="317"/>
      <c r="USK93" s="317"/>
      <c r="USL93" s="317"/>
      <c r="USM93" s="317"/>
      <c r="USN93" s="317"/>
      <c r="USO93" s="317"/>
      <c r="USP93" s="317"/>
      <c r="USQ93" s="317"/>
      <c r="USR93" s="317"/>
      <c r="USS93" s="317"/>
      <c r="UST93" s="317"/>
      <c r="USU93" s="317"/>
      <c r="USV93" s="317"/>
      <c r="USW93" s="317"/>
      <c r="USX93" s="317"/>
      <c r="USY93" s="317"/>
      <c r="USZ93" s="317"/>
      <c r="UTA93" s="317"/>
      <c r="UTB93" s="317"/>
      <c r="UTC93" s="317"/>
      <c r="UTD93" s="317"/>
      <c r="UTE93" s="317"/>
      <c r="UTF93" s="317"/>
      <c r="UTG93" s="317"/>
      <c r="UTH93" s="317"/>
      <c r="UTI93" s="317"/>
      <c r="UTJ93" s="317"/>
      <c r="UTK93" s="317"/>
      <c r="UTL93" s="317"/>
      <c r="UTM93" s="317"/>
      <c r="UTN93" s="317"/>
      <c r="UTO93" s="317"/>
      <c r="UTP93" s="317"/>
      <c r="UTQ93" s="317"/>
      <c r="UTR93" s="317"/>
      <c r="UTS93" s="317"/>
      <c r="UTT93" s="317"/>
      <c r="UTU93" s="317"/>
      <c r="UTV93" s="317"/>
      <c r="UTW93" s="317"/>
      <c r="UTX93" s="317"/>
      <c r="UTY93" s="317"/>
      <c r="UTZ93" s="317"/>
      <c r="UUA93" s="317"/>
      <c r="UUB93" s="317"/>
      <c r="UUC93" s="317"/>
      <c r="UUD93" s="317"/>
      <c r="UUE93" s="317"/>
      <c r="UUF93" s="317"/>
      <c r="UUG93" s="317"/>
      <c r="UUH93" s="317"/>
      <c r="UUI93" s="317"/>
      <c r="UUJ93" s="317"/>
      <c r="UUK93" s="317"/>
      <c r="UUL93" s="317"/>
      <c r="UUM93" s="317"/>
      <c r="UUN93" s="317"/>
      <c r="UUO93" s="317"/>
      <c r="UUP93" s="317"/>
      <c r="UUQ93" s="317"/>
      <c r="UUR93" s="317"/>
      <c r="UUS93" s="317"/>
      <c r="UUT93" s="317"/>
      <c r="UUU93" s="317"/>
      <c r="UUV93" s="317"/>
      <c r="UUW93" s="317"/>
      <c r="UUX93" s="317"/>
      <c r="UUY93" s="317"/>
      <c r="UUZ93" s="317"/>
      <c r="UVA93" s="317"/>
      <c r="UVB93" s="317"/>
      <c r="UVC93" s="317"/>
      <c r="UVD93" s="317"/>
      <c r="UVE93" s="317"/>
      <c r="UVF93" s="317"/>
      <c r="UVG93" s="317"/>
      <c r="UVH93" s="317"/>
      <c r="UVI93" s="317"/>
      <c r="UVJ93" s="317"/>
      <c r="UVK93" s="317"/>
      <c r="UVL93" s="317"/>
      <c r="UVM93" s="317"/>
      <c r="UVN93" s="317"/>
      <c r="UVO93" s="317"/>
      <c r="UVP93" s="317"/>
      <c r="UVQ93" s="317"/>
      <c r="UVR93" s="317"/>
      <c r="UVS93" s="317"/>
      <c r="UVT93" s="317"/>
      <c r="UVU93" s="317"/>
      <c r="UVV93" s="317"/>
      <c r="UVW93" s="317"/>
      <c r="UVX93" s="317"/>
      <c r="UVY93" s="317"/>
      <c r="UVZ93" s="317"/>
      <c r="UWA93" s="317"/>
      <c r="UWB93" s="317"/>
      <c r="UWC93" s="317"/>
      <c r="UWD93" s="317"/>
      <c r="UWE93" s="317"/>
      <c r="UWF93" s="317"/>
      <c r="UWG93" s="317"/>
      <c r="UWH93" s="317"/>
      <c r="UWI93" s="317"/>
      <c r="UWJ93" s="317"/>
      <c r="UWK93" s="317"/>
      <c r="UWL93" s="317"/>
      <c r="UWM93" s="317"/>
      <c r="UWN93" s="317"/>
      <c r="UWO93" s="317"/>
      <c r="UWP93" s="317"/>
      <c r="UWQ93" s="317"/>
      <c r="UWR93" s="317"/>
      <c r="UWS93" s="317"/>
      <c r="UWT93" s="317"/>
      <c r="UWU93" s="317"/>
      <c r="UWV93" s="317"/>
      <c r="UWW93" s="317"/>
      <c r="UWX93" s="317"/>
      <c r="UWY93" s="317"/>
      <c r="UWZ93" s="317"/>
      <c r="UXA93" s="317"/>
      <c r="UXB93" s="317"/>
      <c r="UXC93" s="317"/>
      <c r="UXD93" s="317"/>
      <c r="UXE93" s="317"/>
      <c r="UXF93" s="317"/>
      <c r="UXG93" s="317"/>
      <c r="UXH93" s="317"/>
      <c r="UXI93" s="317"/>
      <c r="UXJ93" s="317"/>
      <c r="UXK93" s="317"/>
      <c r="UXL93" s="317"/>
      <c r="UXM93" s="317"/>
      <c r="UXN93" s="317"/>
      <c r="UXO93" s="317"/>
      <c r="UXP93" s="317"/>
      <c r="UXQ93" s="317"/>
      <c r="UXR93" s="317"/>
      <c r="UXS93" s="317"/>
      <c r="UXT93" s="317"/>
      <c r="UXU93" s="317"/>
      <c r="UXV93" s="317"/>
      <c r="UXW93" s="317"/>
      <c r="UXX93" s="317"/>
      <c r="UXY93" s="317"/>
      <c r="UXZ93" s="317"/>
      <c r="UYA93" s="317"/>
      <c r="UYB93" s="317"/>
      <c r="UYC93" s="317"/>
      <c r="UYD93" s="317"/>
      <c r="UYE93" s="317"/>
      <c r="UYF93" s="317"/>
      <c r="UYG93" s="317"/>
      <c r="UYH93" s="317"/>
      <c r="UYI93" s="317"/>
      <c r="UYJ93" s="317"/>
      <c r="UYK93" s="317"/>
      <c r="UYL93" s="317"/>
      <c r="UYM93" s="317"/>
      <c r="UYN93" s="317"/>
      <c r="UYO93" s="317"/>
      <c r="UYP93" s="317"/>
      <c r="UYQ93" s="317"/>
      <c r="UYR93" s="317"/>
      <c r="UYS93" s="317"/>
      <c r="UYT93" s="317"/>
      <c r="UYU93" s="317"/>
      <c r="UYV93" s="317"/>
      <c r="UYW93" s="317"/>
      <c r="UYX93" s="317"/>
      <c r="UYY93" s="317"/>
      <c r="UYZ93" s="317"/>
      <c r="UZA93" s="317"/>
      <c r="UZB93" s="317"/>
      <c r="UZC93" s="317"/>
      <c r="UZD93" s="317"/>
      <c r="UZE93" s="317"/>
      <c r="UZF93" s="317"/>
      <c r="UZG93" s="317"/>
      <c r="UZH93" s="317"/>
      <c r="UZI93" s="317"/>
      <c r="UZJ93" s="317"/>
      <c r="UZK93" s="317"/>
      <c r="UZL93" s="317"/>
      <c r="UZM93" s="317"/>
      <c r="UZN93" s="317"/>
      <c r="UZO93" s="317"/>
      <c r="UZP93" s="317"/>
      <c r="UZQ93" s="317"/>
      <c r="UZR93" s="317"/>
      <c r="UZS93" s="317"/>
      <c r="UZT93" s="317"/>
      <c r="UZU93" s="317"/>
      <c r="UZV93" s="317"/>
      <c r="UZW93" s="317"/>
      <c r="UZX93" s="317"/>
      <c r="UZY93" s="317"/>
      <c r="UZZ93" s="317"/>
      <c r="VAA93" s="317"/>
      <c r="VAB93" s="317"/>
      <c r="VAC93" s="317"/>
      <c r="VAD93" s="317"/>
      <c r="VAE93" s="317"/>
      <c r="VAF93" s="317"/>
      <c r="VAG93" s="317"/>
      <c r="VAH93" s="317"/>
      <c r="VAI93" s="317"/>
      <c r="VAJ93" s="317"/>
      <c r="VAK93" s="317"/>
      <c r="VAL93" s="317"/>
      <c r="VAM93" s="317"/>
      <c r="VAN93" s="317"/>
      <c r="VAO93" s="317"/>
      <c r="VAP93" s="317"/>
      <c r="VAQ93" s="317"/>
      <c r="VAR93" s="317"/>
      <c r="VAS93" s="317"/>
      <c r="VAT93" s="317"/>
      <c r="VAU93" s="317"/>
      <c r="VAV93" s="317"/>
      <c r="VAW93" s="317"/>
      <c r="VAX93" s="317"/>
      <c r="VAY93" s="317"/>
      <c r="VAZ93" s="317"/>
      <c r="VBA93" s="317"/>
      <c r="VBB93" s="317"/>
      <c r="VBC93" s="317"/>
      <c r="VBD93" s="317"/>
      <c r="VBE93" s="317"/>
      <c r="VBF93" s="317"/>
      <c r="VBG93" s="317"/>
      <c r="VBH93" s="317"/>
      <c r="VBI93" s="317"/>
      <c r="VBJ93" s="317"/>
      <c r="VBK93" s="317"/>
      <c r="VBL93" s="317"/>
      <c r="VBM93" s="317"/>
      <c r="VBN93" s="317"/>
      <c r="VBO93" s="317"/>
      <c r="VBP93" s="317"/>
      <c r="VBQ93" s="317"/>
      <c r="VBR93" s="317"/>
      <c r="VBS93" s="317"/>
      <c r="VBT93" s="317"/>
      <c r="VBU93" s="317"/>
      <c r="VBV93" s="317"/>
      <c r="VBW93" s="317"/>
      <c r="VBX93" s="317"/>
      <c r="VBY93" s="317"/>
      <c r="VBZ93" s="317"/>
      <c r="VCA93" s="317"/>
      <c r="VCB93" s="317"/>
      <c r="VCC93" s="317"/>
      <c r="VCD93" s="317"/>
      <c r="VCE93" s="317"/>
      <c r="VCF93" s="317"/>
      <c r="VCG93" s="317"/>
      <c r="VCH93" s="317"/>
      <c r="VCI93" s="317"/>
      <c r="VCJ93" s="317"/>
      <c r="VCK93" s="317"/>
      <c r="VCL93" s="317"/>
      <c r="VCM93" s="317"/>
      <c r="VCN93" s="317"/>
      <c r="VCO93" s="317"/>
      <c r="VCP93" s="317"/>
      <c r="VCQ93" s="317"/>
      <c r="VCR93" s="317"/>
      <c r="VCS93" s="317"/>
      <c r="VCT93" s="317"/>
      <c r="VCU93" s="317"/>
      <c r="VCV93" s="317"/>
      <c r="VCW93" s="317"/>
      <c r="VCX93" s="317"/>
      <c r="VCY93" s="317"/>
      <c r="VCZ93" s="317"/>
      <c r="VDA93" s="317"/>
      <c r="VDB93" s="317"/>
      <c r="VDC93" s="317"/>
      <c r="VDD93" s="317"/>
      <c r="VDE93" s="317"/>
      <c r="VDF93" s="317"/>
      <c r="VDG93" s="317"/>
      <c r="VDH93" s="317"/>
      <c r="VDI93" s="317"/>
      <c r="VDJ93" s="317"/>
      <c r="VDK93" s="317"/>
      <c r="VDL93" s="317"/>
      <c r="VDM93" s="317"/>
      <c r="VDN93" s="317"/>
      <c r="VDO93" s="317"/>
      <c r="VDP93" s="317"/>
      <c r="VDQ93" s="317"/>
      <c r="VDR93" s="317"/>
      <c r="VDS93" s="317"/>
      <c r="VDT93" s="317"/>
      <c r="VDU93" s="317"/>
      <c r="VDV93" s="317"/>
      <c r="VDW93" s="317"/>
      <c r="VDX93" s="317"/>
      <c r="VDY93" s="317"/>
      <c r="VDZ93" s="317"/>
      <c r="VEA93" s="317"/>
      <c r="VEB93" s="317"/>
      <c r="VEC93" s="317"/>
      <c r="VED93" s="317"/>
      <c r="VEE93" s="317"/>
      <c r="VEF93" s="317"/>
      <c r="VEG93" s="317"/>
      <c r="VEH93" s="317"/>
      <c r="VEI93" s="317"/>
      <c r="VEJ93" s="317"/>
      <c r="VEK93" s="317"/>
      <c r="VEL93" s="317"/>
      <c r="VEM93" s="317"/>
      <c r="VEN93" s="317"/>
      <c r="VEO93" s="317"/>
      <c r="VEP93" s="317"/>
      <c r="VEQ93" s="317"/>
      <c r="VER93" s="317"/>
      <c r="VES93" s="317"/>
      <c r="VET93" s="317"/>
      <c r="VEU93" s="317"/>
      <c r="VEV93" s="317"/>
      <c r="VEW93" s="317"/>
      <c r="VEX93" s="317"/>
      <c r="VEY93" s="317"/>
      <c r="VEZ93" s="317"/>
      <c r="VFA93" s="317"/>
      <c r="VFB93" s="317"/>
      <c r="VFC93" s="317"/>
      <c r="VFD93" s="317"/>
      <c r="VFE93" s="317"/>
      <c r="VFF93" s="317"/>
      <c r="VFG93" s="317"/>
      <c r="VFH93" s="317"/>
      <c r="VFI93" s="317"/>
      <c r="VFJ93" s="317"/>
      <c r="VFK93" s="317"/>
      <c r="VFL93" s="317"/>
      <c r="VFM93" s="317"/>
      <c r="VFN93" s="317"/>
      <c r="VFO93" s="317"/>
      <c r="VFP93" s="317"/>
      <c r="VFQ93" s="317"/>
      <c r="VFR93" s="317"/>
      <c r="VFS93" s="317"/>
      <c r="VFT93" s="317"/>
      <c r="VFU93" s="317"/>
      <c r="VFV93" s="317"/>
      <c r="VFW93" s="317"/>
      <c r="VFX93" s="317"/>
      <c r="VFY93" s="317"/>
      <c r="VFZ93" s="317"/>
      <c r="VGA93" s="317"/>
      <c r="VGB93" s="317"/>
      <c r="VGC93" s="317"/>
      <c r="VGD93" s="317"/>
      <c r="VGE93" s="317"/>
      <c r="VGF93" s="317"/>
      <c r="VGG93" s="317"/>
      <c r="VGH93" s="317"/>
      <c r="VGI93" s="317"/>
      <c r="VGJ93" s="317"/>
      <c r="VGK93" s="317"/>
      <c r="VGL93" s="317"/>
      <c r="VGM93" s="317"/>
      <c r="VGN93" s="317"/>
      <c r="VGO93" s="317"/>
      <c r="VGP93" s="317"/>
      <c r="VGQ93" s="317"/>
      <c r="VGR93" s="317"/>
      <c r="VGS93" s="317"/>
      <c r="VGT93" s="317"/>
      <c r="VGU93" s="317"/>
      <c r="VGV93" s="317"/>
      <c r="VGW93" s="317"/>
      <c r="VGX93" s="317"/>
      <c r="VGY93" s="317"/>
      <c r="VGZ93" s="317"/>
      <c r="VHA93" s="317"/>
      <c r="VHB93" s="317"/>
      <c r="VHC93" s="317"/>
      <c r="VHD93" s="317"/>
      <c r="VHE93" s="317"/>
      <c r="VHF93" s="317"/>
      <c r="VHG93" s="317"/>
      <c r="VHH93" s="317"/>
      <c r="VHI93" s="317"/>
      <c r="VHJ93" s="317"/>
      <c r="VHK93" s="317"/>
      <c r="VHL93" s="317"/>
      <c r="VHM93" s="317"/>
      <c r="VHN93" s="317"/>
      <c r="VHO93" s="317"/>
      <c r="VHP93" s="317"/>
      <c r="VHQ93" s="317"/>
      <c r="VHR93" s="317"/>
      <c r="VHS93" s="317"/>
      <c r="VHT93" s="317"/>
      <c r="VHU93" s="317"/>
      <c r="VHV93" s="317"/>
      <c r="VHW93" s="317"/>
      <c r="VHX93" s="317"/>
      <c r="VHY93" s="317"/>
      <c r="VHZ93" s="317"/>
      <c r="VIA93" s="317"/>
      <c r="VIB93" s="317"/>
      <c r="VIC93" s="317"/>
      <c r="VID93" s="317"/>
      <c r="VIE93" s="317"/>
      <c r="VIF93" s="317"/>
      <c r="VIG93" s="317"/>
      <c r="VIH93" s="317"/>
      <c r="VII93" s="317"/>
      <c r="VIJ93" s="317"/>
      <c r="VIK93" s="317"/>
      <c r="VIL93" s="317"/>
      <c r="VIM93" s="317"/>
      <c r="VIN93" s="317"/>
      <c r="VIO93" s="317"/>
      <c r="VIP93" s="317"/>
      <c r="VIQ93" s="317"/>
      <c r="VIR93" s="317"/>
      <c r="VIS93" s="317"/>
      <c r="VIT93" s="317"/>
      <c r="VIU93" s="317"/>
      <c r="VIV93" s="317"/>
      <c r="VIW93" s="317"/>
      <c r="VIX93" s="317"/>
      <c r="VIY93" s="317"/>
      <c r="VIZ93" s="317"/>
      <c r="VJA93" s="317"/>
      <c r="VJB93" s="317"/>
      <c r="VJC93" s="317"/>
      <c r="VJD93" s="317"/>
      <c r="VJE93" s="317"/>
      <c r="VJF93" s="317"/>
      <c r="VJG93" s="317"/>
      <c r="VJH93" s="317"/>
      <c r="VJI93" s="317"/>
      <c r="VJJ93" s="317"/>
      <c r="VJK93" s="317"/>
      <c r="VJL93" s="317"/>
      <c r="VJM93" s="317"/>
      <c r="VJN93" s="317"/>
      <c r="VJO93" s="317"/>
      <c r="VJP93" s="317"/>
      <c r="VJQ93" s="317"/>
      <c r="VJR93" s="317"/>
      <c r="VJS93" s="317"/>
      <c r="VJT93" s="317"/>
      <c r="VJU93" s="317"/>
      <c r="VJV93" s="317"/>
      <c r="VJW93" s="317"/>
      <c r="VJX93" s="317"/>
      <c r="VJY93" s="317"/>
      <c r="VJZ93" s="317"/>
      <c r="VKA93" s="317"/>
      <c r="VKB93" s="317"/>
      <c r="VKC93" s="317"/>
      <c r="VKD93" s="317"/>
      <c r="VKE93" s="317"/>
      <c r="VKF93" s="317"/>
      <c r="VKG93" s="317"/>
      <c r="VKH93" s="317"/>
      <c r="VKI93" s="317"/>
      <c r="VKJ93" s="317"/>
      <c r="VKK93" s="317"/>
      <c r="VKL93" s="317"/>
      <c r="VKM93" s="317"/>
      <c r="VKN93" s="317"/>
      <c r="VKO93" s="317"/>
      <c r="VKP93" s="317"/>
      <c r="VKQ93" s="317"/>
      <c r="VKR93" s="317"/>
      <c r="VKS93" s="317"/>
      <c r="VKT93" s="317"/>
      <c r="VKU93" s="317"/>
      <c r="VKV93" s="317"/>
      <c r="VKW93" s="317"/>
      <c r="VKX93" s="317"/>
      <c r="VKY93" s="317"/>
      <c r="VKZ93" s="317"/>
      <c r="VLA93" s="317"/>
      <c r="VLB93" s="317"/>
      <c r="VLC93" s="317"/>
      <c r="VLD93" s="317"/>
      <c r="VLE93" s="317"/>
      <c r="VLF93" s="317"/>
      <c r="VLG93" s="317"/>
      <c r="VLH93" s="317"/>
      <c r="VLI93" s="317"/>
      <c r="VLJ93" s="317"/>
      <c r="VLK93" s="317"/>
      <c r="VLL93" s="317"/>
      <c r="VLM93" s="317"/>
      <c r="VLN93" s="317"/>
      <c r="VLO93" s="317"/>
      <c r="VLP93" s="317"/>
      <c r="VLQ93" s="317"/>
      <c r="VLR93" s="317"/>
      <c r="VLS93" s="317"/>
      <c r="VLT93" s="317"/>
      <c r="VLU93" s="317"/>
      <c r="VLV93" s="317"/>
      <c r="VLW93" s="317"/>
      <c r="VLX93" s="317"/>
      <c r="VLY93" s="317"/>
      <c r="VLZ93" s="317"/>
      <c r="VMA93" s="317"/>
      <c r="VMB93" s="317"/>
      <c r="VMC93" s="317"/>
      <c r="VMD93" s="317"/>
      <c r="VME93" s="317"/>
      <c r="VMF93" s="317"/>
      <c r="VMG93" s="317"/>
      <c r="VMH93" s="317"/>
      <c r="VMI93" s="317"/>
      <c r="VMJ93" s="317"/>
      <c r="VMK93" s="317"/>
      <c r="VML93" s="317"/>
      <c r="VMM93" s="317"/>
      <c r="VMN93" s="317"/>
      <c r="VMO93" s="317"/>
      <c r="VMP93" s="317"/>
      <c r="VMQ93" s="317"/>
      <c r="VMR93" s="317"/>
      <c r="VMS93" s="317"/>
      <c r="VMT93" s="317"/>
      <c r="VMU93" s="317"/>
      <c r="VMV93" s="317"/>
      <c r="VMW93" s="317"/>
      <c r="VMX93" s="317"/>
      <c r="VMY93" s="317"/>
      <c r="VMZ93" s="317"/>
      <c r="VNA93" s="317"/>
      <c r="VNB93" s="317"/>
      <c r="VNC93" s="317"/>
      <c r="VND93" s="317"/>
      <c r="VNE93" s="317"/>
      <c r="VNF93" s="317"/>
      <c r="VNG93" s="317"/>
      <c r="VNH93" s="317"/>
      <c r="VNI93" s="317"/>
      <c r="VNJ93" s="317"/>
      <c r="VNK93" s="317"/>
      <c r="VNL93" s="317"/>
      <c r="VNM93" s="317"/>
      <c r="VNN93" s="317"/>
      <c r="VNO93" s="317"/>
      <c r="VNP93" s="317"/>
      <c r="VNQ93" s="317"/>
      <c r="VNR93" s="317"/>
      <c r="VNS93" s="317"/>
      <c r="VNT93" s="317"/>
      <c r="VNU93" s="317"/>
      <c r="VNV93" s="317"/>
      <c r="VNW93" s="317"/>
      <c r="VNX93" s="317"/>
      <c r="VNY93" s="317"/>
      <c r="VNZ93" s="317"/>
      <c r="VOA93" s="317"/>
      <c r="VOB93" s="317"/>
      <c r="VOC93" s="317"/>
      <c r="VOD93" s="317"/>
      <c r="VOE93" s="317"/>
      <c r="VOF93" s="317"/>
      <c r="VOG93" s="317"/>
      <c r="VOH93" s="317"/>
      <c r="VOI93" s="317"/>
      <c r="VOJ93" s="317"/>
      <c r="VOK93" s="317"/>
      <c r="VOL93" s="317"/>
      <c r="VOM93" s="317"/>
      <c r="VON93" s="317"/>
      <c r="VOO93" s="317"/>
      <c r="VOP93" s="317"/>
      <c r="VOQ93" s="317"/>
      <c r="VOR93" s="317"/>
      <c r="VOS93" s="317"/>
      <c r="VOT93" s="317"/>
      <c r="VOU93" s="317"/>
      <c r="VOV93" s="317"/>
      <c r="VOW93" s="317"/>
      <c r="VOX93" s="317"/>
      <c r="VOY93" s="317"/>
      <c r="VOZ93" s="317"/>
      <c r="VPA93" s="317"/>
      <c r="VPB93" s="317"/>
      <c r="VPC93" s="317"/>
      <c r="VPD93" s="317"/>
      <c r="VPE93" s="317"/>
      <c r="VPF93" s="317"/>
      <c r="VPG93" s="317"/>
      <c r="VPH93" s="317"/>
      <c r="VPI93" s="317"/>
      <c r="VPJ93" s="317"/>
      <c r="VPK93" s="317"/>
      <c r="VPL93" s="317"/>
      <c r="VPM93" s="317"/>
      <c r="VPN93" s="317"/>
      <c r="VPO93" s="317"/>
      <c r="VPP93" s="317"/>
      <c r="VPQ93" s="317"/>
      <c r="VPR93" s="317"/>
      <c r="VPS93" s="317"/>
      <c r="VPT93" s="317"/>
      <c r="VPU93" s="317"/>
      <c r="VPV93" s="317"/>
      <c r="VPW93" s="317"/>
      <c r="VPX93" s="317"/>
      <c r="VPY93" s="317"/>
      <c r="VPZ93" s="317"/>
      <c r="VQA93" s="317"/>
      <c r="VQB93" s="317"/>
      <c r="VQC93" s="317"/>
      <c r="VQD93" s="317"/>
      <c r="VQE93" s="317"/>
      <c r="VQF93" s="317"/>
      <c r="VQG93" s="317"/>
      <c r="VQH93" s="317"/>
      <c r="VQI93" s="317"/>
      <c r="VQJ93" s="317"/>
      <c r="VQK93" s="317"/>
      <c r="VQL93" s="317"/>
      <c r="VQM93" s="317"/>
      <c r="VQN93" s="317"/>
      <c r="VQO93" s="317"/>
      <c r="VQP93" s="317"/>
      <c r="VQQ93" s="317"/>
      <c r="VQR93" s="317"/>
      <c r="VQS93" s="317"/>
      <c r="VQT93" s="317"/>
      <c r="VQU93" s="317"/>
      <c r="VQV93" s="317"/>
      <c r="VQW93" s="317"/>
      <c r="VQX93" s="317"/>
      <c r="VQY93" s="317"/>
      <c r="VQZ93" s="317"/>
      <c r="VRA93" s="317"/>
      <c r="VRB93" s="317"/>
      <c r="VRC93" s="317"/>
      <c r="VRD93" s="317"/>
      <c r="VRE93" s="317"/>
      <c r="VRF93" s="317"/>
      <c r="VRG93" s="317"/>
      <c r="VRH93" s="317"/>
      <c r="VRI93" s="317"/>
      <c r="VRJ93" s="317"/>
      <c r="VRK93" s="317"/>
      <c r="VRL93" s="317"/>
      <c r="VRM93" s="317"/>
      <c r="VRN93" s="317"/>
      <c r="VRO93" s="317"/>
      <c r="VRP93" s="317"/>
      <c r="VRQ93" s="317"/>
      <c r="VRR93" s="317"/>
      <c r="VRS93" s="317"/>
      <c r="VRT93" s="317"/>
      <c r="VRU93" s="317"/>
      <c r="VRV93" s="317"/>
      <c r="VRW93" s="317"/>
      <c r="VRX93" s="317"/>
      <c r="VRY93" s="317"/>
      <c r="VRZ93" s="317"/>
      <c r="VSA93" s="317"/>
      <c r="VSB93" s="317"/>
      <c r="VSC93" s="317"/>
      <c r="VSD93" s="317"/>
      <c r="VSE93" s="317"/>
      <c r="VSF93" s="317"/>
      <c r="VSG93" s="317"/>
      <c r="VSH93" s="317"/>
      <c r="VSI93" s="317"/>
      <c r="VSJ93" s="317"/>
      <c r="VSK93" s="317"/>
      <c r="VSL93" s="317"/>
      <c r="VSM93" s="317"/>
      <c r="VSN93" s="317"/>
      <c r="VSO93" s="317"/>
      <c r="VSP93" s="317"/>
      <c r="VSQ93" s="317"/>
      <c r="VSR93" s="317"/>
      <c r="VSS93" s="317"/>
      <c r="VST93" s="317"/>
      <c r="VSU93" s="317"/>
      <c r="VSV93" s="317"/>
      <c r="VSW93" s="317"/>
      <c r="VSX93" s="317"/>
      <c r="VSY93" s="317"/>
      <c r="VSZ93" s="317"/>
      <c r="VTA93" s="317"/>
      <c r="VTB93" s="317"/>
      <c r="VTC93" s="317"/>
      <c r="VTD93" s="317"/>
      <c r="VTE93" s="317"/>
      <c r="VTF93" s="317"/>
      <c r="VTG93" s="317"/>
      <c r="VTH93" s="317"/>
      <c r="VTI93" s="317"/>
      <c r="VTJ93" s="317"/>
      <c r="VTK93" s="317"/>
      <c r="VTL93" s="317"/>
      <c r="VTM93" s="317"/>
      <c r="VTN93" s="317"/>
      <c r="VTO93" s="317"/>
      <c r="VTP93" s="317"/>
      <c r="VTQ93" s="317"/>
      <c r="VTR93" s="317"/>
      <c r="VTS93" s="317"/>
      <c r="VTT93" s="317"/>
      <c r="VTU93" s="317"/>
      <c r="VTV93" s="317"/>
      <c r="VTW93" s="317"/>
      <c r="VTX93" s="317"/>
      <c r="VTY93" s="317"/>
      <c r="VTZ93" s="317"/>
      <c r="VUA93" s="317"/>
      <c r="VUB93" s="317"/>
      <c r="VUC93" s="317"/>
      <c r="VUD93" s="317"/>
      <c r="VUE93" s="317"/>
      <c r="VUF93" s="317"/>
      <c r="VUG93" s="317"/>
      <c r="VUH93" s="317"/>
      <c r="VUI93" s="317"/>
      <c r="VUJ93" s="317"/>
      <c r="VUK93" s="317"/>
      <c r="VUL93" s="317"/>
      <c r="VUM93" s="317"/>
      <c r="VUN93" s="317"/>
      <c r="VUO93" s="317"/>
      <c r="VUP93" s="317"/>
      <c r="VUQ93" s="317"/>
      <c r="VUR93" s="317"/>
      <c r="VUS93" s="317"/>
      <c r="VUT93" s="317"/>
      <c r="VUU93" s="317"/>
      <c r="VUV93" s="317"/>
      <c r="VUW93" s="317"/>
      <c r="VUX93" s="317"/>
      <c r="VUY93" s="317"/>
      <c r="VUZ93" s="317"/>
      <c r="VVA93" s="317"/>
      <c r="VVB93" s="317"/>
      <c r="VVC93" s="317"/>
      <c r="VVD93" s="317"/>
      <c r="VVE93" s="317"/>
      <c r="VVF93" s="317"/>
      <c r="VVG93" s="317"/>
      <c r="VVH93" s="317"/>
      <c r="VVI93" s="317"/>
      <c r="VVJ93" s="317"/>
      <c r="VVK93" s="317"/>
      <c r="VVL93" s="317"/>
      <c r="VVM93" s="317"/>
      <c r="VVN93" s="317"/>
      <c r="VVO93" s="317"/>
      <c r="VVP93" s="317"/>
      <c r="VVQ93" s="317"/>
      <c r="VVR93" s="317"/>
      <c r="VVS93" s="317"/>
      <c r="VVT93" s="317"/>
      <c r="VVU93" s="317"/>
      <c r="VVV93" s="317"/>
      <c r="VVW93" s="317"/>
      <c r="VVX93" s="317"/>
      <c r="VVY93" s="317"/>
      <c r="VVZ93" s="317"/>
      <c r="VWA93" s="317"/>
      <c r="VWB93" s="317"/>
      <c r="VWC93" s="317"/>
      <c r="VWD93" s="317"/>
      <c r="VWE93" s="317"/>
      <c r="VWF93" s="317"/>
      <c r="VWG93" s="317"/>
      <c r="VWH93" s="317"/>
      <c r="VWI93" s="317"/>
      <c r="VWJ93" s="317"/>
      <c r="VWK93" s="317"/>
      <c r="VWL93" s="317"/>
      <c r="VWM93" s="317"/>
      <c r="VWN93" s="317"/>
      <c r="VWO93" s="317"/>
      <c r="VWP93" s="317"/>
      <c r="VWQ93" s="317"/>
      <c r="VWR93" s="317"/>
      <c r="VWS93" s="317"/>
      <c r="VWT93" s="317"/>
      <c r="VWU93" s="317"/>
      <c r="VWV93" s="317"/>
      <c r="VWW93" s="317"/>
      <c r="VWX93" s="317"/>
      <c r="VWY93" s="317"/>
      <c r="VWZ93" s="317"/>
      <c r="VXA93" s="317"/>
      <c r="VXB93" s="317"/>
      <c r="VXC93" s="317"/>
      <c r="VXD93" s="317"/>
      <c r="VXE93" s="317"/>
      <c r="VXF93" s="317"/>
      <c r="VXG93" s="317"/>
      <c r="VXH93" s="317"/>
      <c r="VXI93" s="317"/>
      <c r="VXJ93" s="317"/>
      <c r="VXK93" s="317"/>
      <c r="VXL93" s="317"/>
      <c r="VXM93" s="317"/>
      <c r="VXN93" s="317"/>
      <c r="VXO93" s="317"/>
      <c r="VXP93" s="317"/>
      <c r="VXQ93" s="317"/>
      <c r="VXR93" s="317"/>
      <c r="VXS93" s="317"/>
      <c r="VXT93" s="317"/>
      <c r="VXU93" s="317"/>
      <c r="VXV93" s="317"/>
      <c r="VXW93" s="317"/>
      <c r="VXX93" s="317"/>
      <c r="VXY93" s="317"/>
      <c r="VXZ93" s="317"/>
      <c r="VYA93" s="317"/>
      <c r="VYB93" s="317"/>
      <c r="VYC93" s="317"/>
      <c r="VYD93" s="317"/>
      <c r="VYE93" s="317"/>
      <c r="VYF93" s="317"/>
      <c r="VYG93" s="317"/>
      <c r="VYH93" s="317"/>
      <c r="VYI93" s="317"/>
      <c r="VYJ93" s="317"/>
      <c r="VYK93" s="317"/>
      <c r="VYL93" s="317"/>
      <c r="VYM93" s="317"/>
      <c r="VYN93" s="317"/>
      <c r="VYO93" s="317"/>
      <c r="VYP93" s="317"/>
      <c r="VYQ93" s="317"/>
      <c r="VYR93" s="317"/>
      <c r="VYS93" s="317"/>
      <c r="VYT93" s="317"/>
      <c r="VYU93" s="317"/>
      <c r="VYV93" s="317"/>
      <c r="VYW93" s="317"/>
      <c r="VYX93" s="317"/>
      <c r="VYY93" s="317"/>
      <c r="VYZ93" s="317"/>
      <c r="VZA93" s="317"/>
      <c r="VZB93" s="317"/>
      <c r="VZC93" s="317"/>
      <c r="VZD93" s="317"/>
      <c r="VZE93" s="317"/>
      <c r="VZF93" s="317"/>
      <c r="VZG93" s="317"/>
      <c r="VZH93" s="317"/>
      <c r="VZI93" s="317"/>
      <c r="VZJ93" s="317"/>
      <c r="VZK93" s="317"/>
      <c r="VZL93" s="317"/>
      <c r="VZM93" s="317"/>
      <c r="VZN93" s="317"/>
      <c r="VZO93" s="317"/>
      <c r="VZP93" s="317"/>
      <c r="VZQ93" s="317"/>
      <c r="VZR93" s="317"/>
      <c r="VZS93" s="317"/>
      <c r="VZT93" s="317"/>
      <c r="VZU93" s="317"/>
      <c r="VZV93" s="317"/>
      <c r="VZW93" s="317"/>
      <c r="VZX93" s="317"/>
      <c r="VZY93" s="317"/>
      <c r="VZZ93" s="317"/>
      <c r="WAA93" s="317"/>
      <c r="WAB93" s="317"/>
      <c r="WAC93" s="317"/>
      <c r="WAD93" s="317"/>
      <c r="WAE93" s="317"/>
      <c r="WAF93" s="317"/>
      <c r="WAG93" s="317"/>
      <c r="WAH93" s="317"/>
      <c r="WAI93" s="317"/>
      <c r="WAJ93" s="317"/>
      <c r="WAK93" s="317"/>
      <c r="WAL93" s="317"/>
      <c r="WAM93" s="317"/>
      <c r="WAN93" s="317"/>
      <c r="WAO93" s="317"/>
      <c r="WAP93" s="317"/>
      <c r="WAQ93" s="317"/>
      <c r="WAR93" s="317"/>
      <c r="WAS93" s="317"/>
      <c r="WAT93" s="317"/>
      <c r="WAU93" s="317"/>
      <c r="WAV93" s="317"/>
      <c r="WAW93" s="317"/>
      <c r="WAX93" s="317"/>
      <c r="WAY93" s="317"/>
      <c r="WAZ93" s="317"/>
      <c r="WBA93" s="317"/>
      <c r="WBB93" s="317"/>
      <c r="WBC93" s="317"/>
      <c r="WBD93" s="317"/>
      <c r="WBE93" s="317"/>
      <c r="WBF93" s="317"/>
      <c r="WBG93" s="317"/>
      <c r="WBH93" s="317"/>
      <c r="WBI93" s="317"/>
      <c r="WBJ93" s="317"/>
      <c r="WBK93" s="317"/>
      <c r="WBL93" s="317"/>
      <c r="WBM93" s="317"/>
      <c r="WBN93" s="317"/>
      <c r="WBO93" s="317"/>
      <c r="WBP93" s="317"/>
      <c r="WBQ93" s="317"/>
      <c r="WBR93" s="317"/>
      <c r="WBS93" s="317"/>
      <c r="WBT93" s="317"/>
      <c r="WBU93" s="317"/>
      <c r="WBV93" s="317"/>
      <c r="WBW93" s="317"/>
      <c r="WBX93" s="317"/>
      <c r="WBY93" s="317"/>
      <c r="WBZ93" s="317"/>
      <c r="WCA93" s="317"/>
      <c r="WCB93" s="317"/>
      <c r="WCC93" s="317"/>
      <c r="WCD93" s="317"/>
      <c r="WCE93" s="317"/>
      <c r="WCF93" s="317"/>
      <c r="WCG93" s="317"/>
      <c r="WCH93" s="317"/>
      <c r="WCI93" s="317"/>
      <c r="WCJ93" s="317"/>
      <c r="WCK93" s="317"/>
      <c r="WCL93" s="317"/>
      <c r="WCM93" s="317"/>
      <c r="WCN93" s="317"/>
      <c r="WCO93" s="317"/>
      <c r="WCP93" s="317"/>
      <c r="WCQ93" s="317"/>
      <c r="WCR93" s="317"/>
      <c r="WCS93" s="317"/>
      <c r="WCT93" s="317"/>
      <c r="WCU93" s="317"/>
      <c r="WCV93" s="317"/>
      <c r="WCW93" s="317"/>
      <c r="WCX93" s="317"/>
      <c r="WCY93" s="317"/>
      <c r="WCZ93" s="317"/>
      <c r="WDA93" s="317"/>
      <c r="WDB93" s="317"/>
      <c r="WDC93" s="317"/>
      <c r="WDD93" s="317"/>
      <c r="WDE93" s="317"/>
      <c r="WDF93" s="317"/>
      <c r="WDG93" s="317"/>
      <c r="WDH93" s="317"/>
      <c r="WDI93" s="317"/>
      <c r="WDJ93" s="317"/>
      <c r="WDK93" s="317"/>
      <c r="WDL93" s="317"/>
      <c r="WDM93" s="317"/>
      <c r="WDN93" s="317"/>
      <c r="WDO93" s="317"/>
      <c r="WDP93" s="317"/>
      <c r="WDQ93" s="317"/>
      <c r="WDR93" s="317"/>
      <c r="WDS93" s="317"/>
      <c r="WDT93" s="317"/>
      <c r="WDU93" s="317"/>
      <c r="WDV93" s="317"/>
      <c r="WDW93" s="317"/>
      <c r="WDX93" s="317"/>
      <c r="WDY93" s="317"/>
      <c r="WDZ93" s="317"/>
      <c r="WEA93" s="317"/>
      <c r="WEB93" s="317"/>
      <c r="WEC93" s="317"/>
      <c r="WED93" s="317"/>
      <c r="WEE93" s="317"/>
      <c r="WEF93" s="317"/>
      <c r="WEG93" s="317"/>
      <c r="WEH93" s="317"/>
      <c r="WEI93" s="317"/>
      <c r="WEJ93" s="317"/>
      <c r="WEK93" s="317"/>
      <c r="WEL93" s="317"/>
      <c r="WEM93" s="317"/>
      <c r="WEN93" s="317"/>
      <c r="WEO93" s="317"/>
      <c r="WEP93" s="317"/>
      <c r="WEQ93" s="317"/>
      <c r="WER93" s="317"/>
      <c r="WES93" s="317"/>
      <c r="WET93" s="317"/>
      <c r="WEU93" s="317"/>
      <c r="WEV93" s="317"/>
      <c r="WEW93" s="317"/>
      <c r="WEX93" s="317"/>
      <c r="WEY93" s="317"/>
      <c r="WEZ93" s="317"/>
      <c r="WFA93" s="317"/>
      <c r="WFB93" s="317"/>
      <c r="WFC93" s="317"/>
      <c r="WFD93" s="317"/>
      <c r="WFE93" s="317"/>
      <c r="WFF93" s="317"/>
      <c r="WFG93" s="317"/>
      <c r="WFH93" s="317"/>
      <c r="WFI93" s="317"/>
      <c r="WFJ93" s="317"/>
      <c r="WFK93" s="317"/>
      <c r="WFL93" s="317"/>
      <c r="WFM93" s="317"/>
      <c r="WFN93" s="317"/>
      <c r="WFO93" s="317"/>
      <c r="WFP93" s="317"/>
      <c r="WFQ93" s="317"/>
      <c r="WFR93" s="317"/>
      <c r="WFS93" s="317"/>
      <c r="WFT93" s="317"/>
      <c r="WFU93" s="317"/>
      <c r="WFV93" s="317"/>
      <c r="WFW93" s="317"/>
      <c r="WFX93" s="317"/>
      <c r="WFY93" s="317"/>
      <c r="WFZ93" s="317"/>
      <c r="WGA93" s="317"/>
      <c r="WGB93" s="317"/>
      <c r="WGC93" s="317"/>
      <c r="WGD93" s="317"/>
      <c r="WGE93" s="317"/>
      <c r="WGF93" s="317"/>
      <c r="WGG93" s="317"/>
      <c r="WGH93" s="317"/>
      <c r="WGI93" s="317"/>
      <c r="WGJ93" s="317"/>
      <c r="WGK93" s="317"/>
      <c r="WGL93" s="317"/>
      <c r="WGM93" s="317"/>
      <c r="WGN93" s="317"/>
      <c r="WGO93" s="317"/>
      <c r="WGP93" s="317"/>
      <c r="WGQ93" s="317"/>
      <c r="WGR93" s="317"/>
      <c r="WGS93" s="317"/>
      <c r="WGT93" s="317"/>
      <c r="WGU93" s="317"/>
      <c r="WGV93" s="317"/>
      <c r="WGW93" s="317"/>
      <c r="WGX93" s="317"/>
      <c r="WGY93" s="317"/>
      <c r="WGZ93" s="317"/>
      <c r="WHA93" s="317"/>
      <c r="WHB93" s="317"/>
      <c r="WHC93" s="317"/>
      <c r="WHD93" s="317"/>
      <c r="WHE93" s="317"/>
      <c r="WHF93" s="317"/>
      <c r="WHG93" s="317"/>
      <c r="WHH93" s="317"/>
      <c r="WHI93" s="317"/>
      <c r="WHJ93" s="317"/>
      <c r="WHK93" s="317"/>
      <c r="WHL93" s="317"/>
      <c r="WHM93" s="317"/>
      <c r="WHN93" s="317"/>
      <c r="WHO93" s="317"/>
      <c r="WHP93" s="317"/>
      <c r="WHQ93" s="317"/>
      <c r="WHR93" s="317"/>
      <c r="WHS93" s="317"/>
      <c r="WHT93" s="317"/>
      <c r="WHU93" s="317"/>
      <c r="WHV93" s="317"/>
      <c r="WHW93" s="317"/>
      <c r="WHX93" s="317"/>
      <c r="WHY93" s="317"/>
      <c r="WHZ93" s="317"/>
      <c r="WIA93" s="317"/>
      <c r="WIB93" s="317"/>
      <c r="WIC93" s="317"/>
      <c r="WID93" s="317"/>
      <c r="WIE93" s="317"/>
      <c r="WIF93" s="317"/>
      <c r="WIG93" s="317"/>
      <c r="WIH93" s="317"/>
      <c r="WII93" s="317"/>
      <c r="WIJ93" s="317"/>
      <c r="WIK93" s="317"/>
      <c r="WIL93" s="317"/>
      <c r="WIM93" s="317"/>
      <c r="WIN93" s="317"/>
      <c r="WIO93" s="317"/>
      <c r="WIP93" s="317"/>
      <c r="WIQ93" s="317"/>
      <c r="WIR93" s="317"/>
      <c r="WIS93" s="317"/>
      <c r="WIT93" s="317"/>
      <c r="WIU93" s="317"/>
      <c r="WIV93" s="317"/>
      <c r="WIW93" s="317"/>
      <c r="WIX93" s="317"/>
      <c r="WIY93" s="317"/>
      <c r="WIZ93" s="317"/>
      <c r="WJA93" s="317"/>
      <c r="WJB93" s="317"/>
      <c r="WJC93" s="317"/>
      <c r="WJD93" s="317"/>
      <c r="WJE93" s="317"/>
      <c r="WJF93" s="317"/>
      <c r="WJG93" s="317"/>
      <c r="WJH93" s="317"/>
      <c r="WJI93" s="317"/>
      <c r="WJJ93" s="317"/>
      <c r="WJK93" s="317"/>
      <c r="WJL93" s="317"/>
      <c r="WJM93" s="317"/>
      <c r="WJN93" s="317"/>
      <c r="WJO93" s="317"/>
      <c r="WJP93" s="317"/>
      <c r="WJQ93" s="317"/>
      <c r="WJR93" s="317"/>
      <c r="WJS93" s="317"/>
      <c r="WJT93" s="317"/>
      <c r="WJU93" s="317"/>
      <c r="WJV93" s="317"/>
      <c r="WJW93" s="317"/>
      <c r="WJX93" s="317"/>
      <c r="WJY93" s="317"/>
      <c r="WJZ93" s="317"/>
      <c r="WKA93" s="317"/>
      <c r="WKB93" s="317"/>
      <c r="WKC93" s="317"/>
      <c r="WKD93" s="317"/>
      <c r="WKE93" s="317"/>
      <c r="WKF93" s="317"/>
      <c r="WKG93" s="317"/>
      <c r="WKH93" s="317"/>
      <c r="WKI93" s="317"/>
      <c r="WKJ93" s="317"/>
      <c r="WKK93" s="317"/>
      <c r="WKL93" s="317"/>
      <c r="WKM93" s="317"/>
      <c r="WKN93" s="317"/>
      <c r="WKO93" s="317"/>
      <c r="WKP93" s="317"/>
      <c r="WKQ93" s="317"/>
      <c r="WKR93" s="317"/>
      <c r="WKS93" s="317"/>
      <c r="WKT93" s="317"/>
      <c r="WKU93" s="317"/>
      <c r="WKV93" s="317"/>
      <c r="WKW93" s="317"/>
      <c r="WKX93" s="317"/>
      <c r="WKY93" s="317"/>
      <c r="WKZ93" s="317"/>
      <c r="WLA93" s="317"/>
      <c r="WLB93" s="317"/>
      <c r="WLC93" s="317"/>
      <c r="WLD93" s="317"/>
      <c r="WLE93" s="317"/>
      <c r="WLF93" s="317"/>
      <c r="WLG93" s="317"/>
      <c r="WLH93" s="317"/>
      <c r="WLI93" s="317"/>
      <c r="WLJ93" s="317"/>
      <c r="WLK93" s="317"/>
      <c r="WLL93" s="317"/>
      <c r="WLM93" s="317"/>
      <c r="WLN93" s="317"/>
      <c r="WLO93" s="317"/>
      <c r="WLP93" s="317"/>
      <c r="WLQ93" s="317"/>
      <c r="WLR93" s="317"/>
      <c r="WLS93" s="317"/>
      <c r="WLT93" s="317"/>
      <c r="WLU93" s="317"/>
      <c r="WLV93" s="317"/>
      <c r="WLW93" s="317"/>
      <c r="WLX93" s="317"/>
      <c r="WLY93" s="317"/>
      <c r="WLZ93" s="317"/>
      <c r="WMA93" s="317"/>
      <c r="WMB93" s="317"/>
      <c r="WMC93" s="317"/>
      <c r="WMD93" s="317"/>
      <c r="WME93" s="317"/>
      <c r="WMF93" s="317"/>
      <c r="WMG93" s="317"/>
      <c r="WMH93" s="317"/>
      <c r="WMI93" s="317"/>
      <c r="WMJ93" s="317"/>
      <c r="WMK93" s="317"/>
      <c r="WML93" s="317"/>
      <c r="WMM93" s="317"/>
      <c r="WMN93" s="317"/>
      <c r="WMO93" s="317"/>
      <c r="WMP93" s="317"/>
      <c r="WMQ93" s="317"/>
      <c r="WMR93" s="317"/>
      <c r="WMS93" s="317"/>
      <c r="WMT93" s="317"/>
      <c r="WMU93" s="317"/>
      <c r="WMV93" s="317"/>
      <c r="WMW93" s="317"/>
      <c r="WMX93" s="317"/>
      <c r="WMY93" s="317"/>
      <c r="WMZ93" s="317"/>
      <c r="WNA93" s="317"/>
      <c r="WNB93" s="317"/>
      <c r="WNC93" s="317"/>
      <c r="WND93" s="317"/>
      <c r="WNE93" s="317"/>
      <c r="WNF93" s="317"/>
      <c r="WNG93" s="317"/>
      <c r="WNH93" s="317"/>
      <c r="WNI93" s="317"/>
      <c r="WNJ93" s="317"/>
      <c r="WNK93" s="317"/>
      <c r="WNL93" s="317"/>
      <c r="WNM93" s="317"/>
      <c r="WNN93" s="317"/>
      <c r="WNO93" s="317"/>
      <c r="WNP93" s="317"/>
      <c r="WNQ93" s="317"/>
      <c r="WNR93" s="317"/>
      <c r="WNS93" s="317"/>
      <c r="WNT93" s="317"/>
      <c r="WNU93" s="317"/>
      <c r="WNV93" s="317"/>
      <c r="WNW93" s="317"/>
      <c r="WNX93" s="317"/>
      <c r="WNY93" s="317"/>
      <c r="WNZ93" s="317"/>
      <c r="WOA93" s="317"/>
      <c r="WOB93" s="317"/>
      <c r="WOC93" s="317"/>
      <c r="WOD93" s="317"/>
      <c r="WOE93" s="317"/>
      <c r="WOF93" s="317"/>
      <c r="WOG93" s="317"/>
      <c r="WOH93" s="317"/>
      <c r="WOI93" s="317"/>
      <c r="WOJ93" s="317"/>
      <c r="WOK93" s="317"/>
      <c r="WOL93" s="317"/>
      <c r="WOM93" s="317"/>
      <c r="WON93" s="317"/>
      <c r="WOO93" s="317"/>
      <c r="WOP93" s="317"/>
      <c r="WOQ93" s="317"/>
      <c r="WOR93" s="317"/>
      <c r="WOS93" s="317"/>
      <c r="WOT93" s="317"/>
      <c r="WOU93" s="317"/>
      <c r="WOV93" s="317"/>
      <c r="WOW93" s="317"/>
      <c r="WOX93" s="317"/>
      <c r="WOY93" s="317"/>
      <c r="WOZ93" s="317"/>
      <c r="WPA93" s="317"/>
      <c r="WPB93" s="317"/>
      <c r="WPC93" s="317"/>
      <c r="WPD93" s="317"/>
      <c r="WPE93" s="317"/>
      <c r="WPF93" s="317"/>
      <c r="WPG93" s="317"/>
      <c r="WPH93" s="317"/>
      <c r="WPI93" s="317"/>
      <c r="WPJ93" s="317"/>
      <c r="WPK93" s="317"/>
      <c r="WPL93" s="317"/>
      <c r="WPM93" s="317"/>
      <c r="WPN93" s="317"/>
      <c r="WPO93" s="317"/>
      <c r="WPP93" s="317"/>
      <c r="WPQ93" s="317"/>
      <c r="WPR93" s="317"/>
      <c r="WPS93" s="317"/>
      <c r="WPT93" s="317"/>
      <c r="WPU93" s="317"/>
      <c r="WPV93" s="317"/>
      <c r="WPW93" s="317"/>
      <c r="WPX93" s="317"/>
      <c r="WPY93" s="317"/>
      <c r="WPZ93" s="317"/>
      <c r="WQA93" s="317"/>
      <c r="WQB93" s="317"/>
      <c r="WQC93" s="317"/>
      <c r="WQD93" s="317"/>
      <c r="WQE93" s="317"/>
      <c r="WQF93" s="317"/>
      <c r="WQG93" s="317"/>
      <c r="WQH93" s="317"/>
      <c r="WQI93" s="317"/>
      <c r="WQJ93" s="317"/>
      <c r="WQK93" s="317"/>
      <c r="WQL93" s="317"/>
      <c r="WQM93" s="317"/>
      <c r="WQN93" s="317"/>
      <c r="WQO93" s="317"/>
      <c r="WQP93" s="317"/>
      <c r="WQQ93" s="317"/>
      <c r="WQR93" s="317"/>
      <c r="WQS93" s="317"/>
      <c r="WQT93" s="317"/>
      <c r="WQU93" s="317"/>
      <c r="WQV93" s="317"/>
      <c r="WQW93" s="317"/>
      <c r="WQX93" s="317"/>
      <c r="WQY93" s="317"/>
      <c r="WQZ93" s="317"/>
      <c r="WRA93" s="317"/>
      <c r="WRB93" s="317"/>
      <c r="WRC93" s="317"/>
      <c r="WRD93" s="317"/>
      <c r="WRE93" s="317"/>
      <c r="WRF93" s="317"/>
      <c r="WRG93" s="317"/>
      <c r="WRH93" s="317"/>
      <c r="WRI93" s="317"/>
      <c r="WRJ93" s="317"/>
      <c r="WRK93" s="317"/>
      <c r="WRL93" s="317"/>
      <c r="WRM93" s="317"/>
      <c r="WRN93" s="317"/>
      <c r="WRO93" s="317"/>
      <c r="WRP93" s="317"/>
      <c r="WRQ93" s="317"/>
      <c r="WRR93" s="317"/>
      <c r="WRS93" s="317"/>
      <c r="WRT93" s="317"/>
      <c r="WRU93" s="317"/>
      <c r="WRV93" s="317"/>
      <c r="WRW93" s="317"/>
      <c r="WRX93" s="317"/>
      <c r="WRY93" s="317"/>
      <c r="WRZ93" s="317"/>
      <c r="WSA93" s="317"/>
      <c r="WSB93" s="317"/>
      <c r="WSC93" s="317"/>
      <c r="WSD93" s="317"/>
      <c r="WSE93" s="317"/>
      <c r="WSF93" s="317"/>
      <c r="WSG93" s="317"/>
      <c r="WSH93" s="317"/>
      <c r="WSI93" s="317"/>
      <c r="WSJ93" s="317"/>
      <c r="WSK93" s="317"/>
      <c r="WSL93" s="317"/>
      <c r="WSM93" s="317"/>
      <c r="WSN93" s="317"/>
      <c r="WSO93" s="317"/>
      <c r="WSP93" s="317"/>
      <c r="WSQ93" s="317"/>
      <c r="WSR93" s="317"/>
      <c r="WSS93" s="317"/>
      <c r="WST93" s="317"/>
      <c r="WSU93" s="317"/>
      <c r="WSV93" s="317"/>
      <c r="WSW93" s="317"/>
      <c r="WSX93" s="317"/>
      <c r="WSY93" s="317"/>
      <c r="WSZ93" s="317"/>
      <c r="WTA93" s="317"/>
      <c r="WTB93" s="317"/>
      <c r="WTC93" s="317"/>
      <c r="WTD93" s="317"/>
      <c r="WTE93" s="317"/>
      <c r="WTF93" s="317"/>
      <c r="WTG93" s="317"/>
      <c r="WTH93" s="317"/>
      <c r="WTI93" s="317"/>
      <c r="WTJ93" s="317"/>
      <c r="WTK93" s="317"/>
      <c r="WTL93" s="317"/>
      <c r="WTM93" s="317"/>
      <c r="WTN93" s="317"/>
      <c r="WTO93" s="317"/>
      <c r="WTP93" s="317"/>
      <c r="WTQ93" s="317"/>
      <c r="WTR93" s="317"/>
      <c r="WTS93" s="317"/>
      <c r="WTT93" s="317"/>
      <c r="WTU93" s="317"/>
      <c r="WTV93" s="317"/>
      <c r="WTW93" s="317"/>
      <c r="WTX93" s="317"/>
      <c r="WTY93" s="317"/>
      <c r="WTZ93" s="317"/>
      <c r="WUA93" s="317"/>
      <c r="WUB93" s="317"/>
      <c r="WUC93" s="317"/>
      <c r="WUD93" s="317"/>
      <c r="WUE93" s="317"/>
      <c r="WUF93" s="317"/>
      <c r="WUG93" s="317"/>
      <c r="WUH93" s="317"/>
      <c r="WUI93" s="317"/>
      <c r="WUJ93" s="317"/>
      <c r="WUK93" s="317"/>
      <c r="WUL93" s="317"/>
      <c r="WUM93" s="317"/>
      <c r="WUN93" s="317"/>
      <c r="WUO93" s="317"/>
      <c r="WUP93" s="317"/>
      <c r="WUQ93" s="317"/>
      <c r="WUR93" s="317"/>
      <c r="WUS93" s="317"/>
      <c r="WUT93" s="317"/>
      <c r="WUU93" s="317"/>
      <c r="WUV93" s="317"/>
      <c r="WUW93" s="317"/>
      <c r="WUX93" s="317"/>
      <c r="WUY93" s="317"/>
      <c r="WUZ93" s="317"/>
      <c r="WVA93" s="317"/>
      <c r="WVB93" s="317"/>
      <c r="WVC93" s="317"/>
      <c r="WVD93" s="317"/>
      <c r="WVE93" s="317"/>
      <c r="WVF93" s="317"/>
      <c r="WVG93" s="317"/>
      <c r="WVH93" s="317"/>
      <c r="WVI93" s="317"/>
      <c r="WVJ93" s="317"/>
      <c r="WVK93" s="317"/>
      <c r="WVL93" s="317"/>
      <c r="WVM93" s="317"/>
      <c r="WVN93" s="317"/>
      <c r="WVO93" s="317"/>
      <c r="WVP93" s="317"/>
      <c r="WVQ93" s="317"/>
      <c r="WVR93" s="317"/>
      <c r="WVS93" s="317"/>
      <c r="WVT93" s="317"/>
      <c r="WVU93" s="317"/>
      <c r="WVV93" s="317"/>
      <c r="WVW93" s="317"/>
      <c r="WVX93" s="317"/>
      <c r="WVY93" s="317"/>
      <c r="WVZ93" s="317"/>
      <c r="WWA93" s="317"/>
      <c r="WWB93" s="317"/>
      <c r="WWC93" s="317"/>
      <c r="WWD93" s="317"/>
      <c r="WWE93" s="317"/>
      <c r="WWF93" s="317"/>
      <c r="WWG93" s="317"/>
      <c r="WWH93" s="317"/>
      <c r="WWI93" s="317"/>
      <c r="WWJ93" s="317"/>
      <c r="WWK93" s="317"/>
      <c r="WWL93" s="317"/>
      <c r="WWM93" s="317"/>
      <c r="WWN93" s="317"/>
      <c r="WWO93" s="317"/>
      <c r="WWP93" s="317"/>
      <c r="WWQ93" s="317"/>
      <c r="WWR93" s="317"/>
      <c r="WWS93" s="317"/>
      <c r="WWT93" s="317"/>
      <c r="WWU93" s="317"/>
      <c r="WWV93" s="317"/>
      <c r="WWW93" s="317"/>
      <c r="WWX93" s="317"/>
      <c r="WWY93" s="317"/>
      <c r="WWZ93" s="317"/>
      <c r="WXA93" s="317"/>
      <c r="WXB93" s="317"/>
      <c r="WXC93" s="317"/>
      <c r="WXD93" s="317"/>
      <c r="WXE93" s="317"/>
      <c r="WXF93" s="317"/>
      <c r="WXG93" s="317"/>
      <c r="WXH93" s="317"/>
      <c r="WXI93" s="317"/>
      <c r="WXJ93" s="317"/>
      <c r="WXK93" s="317"/>
      <c r="WXL93" s="317"/>
      <c r="WXM93" s="317"/>
      <c r="WXN93" s="317"/>
      <c r="WXO93" s="317"/>
      <c r="WXP93" s="317"/>
      <c r="WXQ93" s="317"/>
      <c r="WXR93" s="317"/>
      <c r="WXS93" s="317"/>
      <c r="WXT93" s="317"/>
      <c r="WXU93" s="317"/>
      <c r="WXV93" s="317"/>
      <c r="WXW93" s="317"/>
      <c r="WXX93" s="317"/>
      <c r="WXY93" s="317"/>
      <c r="WXZ93" s="317"/>
      <c r="WYA93" s="317"/>
      <c r="WYB93" s="317"/>
      <c r="WYC93" s="317"/>
      <c r="WYD93" s="317"/>
      <c r="WYE93" s="317"/>
      <c r="WYF93" s="317"/>
      <c r="WYG93" s="317"/>
      <c r="WYH93" s="317"/>
      <c r="WYI93" s="317"/>
      <c r="WYJ93" s="317"/>
      <c r="WYK93" s="317"/>
      <c r="WYL93" s="317"/>
      <c r="WYM93" s="317"/>
      <c r="WYN93" s="317"/>
      <c r="WYO93" s="317"/>
      <c r="WYP93" s="317"/>
      <c r="WYQ93" s="317"/>
      <c r="WYR93" s="317"/>
      <c r="WYS93" s="317"/>
      <c r="WYT93" s="317"/>
      <c r="WYU93" s="317"/>
      <c r="WYV93" s="317"/>
      <c r="WYW93" s="317"/>
      <c r="WYX93" s="317"/>
      <c r="WYY93" s="317"/>
      <c r="WYZ93" s="317"/>
      <c r="WZA93" s="317"/>
      <c r="WZB93" s="317"/>
      <c r="WZC93" s="317"/>
      <c r="WZD93" s="317"/>
      <c r="WZE93" s="317"/>
      <c r="WZF93" s="317"/>
      <c r="WZG93" s="317"/>
      <c r="WZH93" s="317"/>
      <c r="WZI93" s="317"/>
      <c r="WZJ93" s="317"/>
      <c r="WZK93" s="317"/>
      <c r="WZL93" s="317"/>
      <c r="WZM93" s="317"/>
      <c r="WZN93" s="317"/>
      <c r="WZO93" s="317"/>
      <c r="WZP93" s="317"/>
      <c r="WZQ93" s="317"/>
      <c r="WZR93" s="317"/>
      <c r="WZS93" s="317"/>
      <c r="WZT93" s="317"/>
      <c r="WZU93" s="317"/>
      <c r="WZV93" s="317"/>
      <c r="WZW93" s="317"/>
      <c r="WZX93" s="317"/>
      <c r="WZY93" s="317"/>
      <c r="WZZ93" s="317"/>
      <c r="XAA93" s="317"/>
      <c r="XAB93" s="317"/>
      <c r="XAC93" s="317"/>
      <c r="XAD93" s="317"/>
      <c r="XAE93" s="317"/>
      <c r="XAF93" s="317"/>
      <c r="XAG93" s="317"/>
      <c r="XAH93" s="317"/>
      <c r="XAI93" s="317"/>
      <c r="XAJ93" s="317"/>
      <c r="XAK93" s="317"/>
      <c r="XAL93" s="317"/>
      <c r="XAM93" s="317"/>
      <c r="XAN93" s="317"/>
      <c r="XAO93" s="317"/>
      <c r="XAP93" s="317"/>
      <c r="XAQ93" s="317"/>
      <c r="XAR93" s="317"/>
      <c r="XAS93" s="317"/>
      <c r="XAT93" s="317"/>
      <c r="XAU93" s="317"/>
      <c r="XAV93" s="317"/>
      <c r="XAW93" s="317"/>
      <c r="XAX93" s="317"/>
      <c r="XAY93" s="317"/>
      <c r="XAZ93" s="317"/>
      <c r="XBA93" s="317"/>
      <c r="XBB93" s="317"/>
      <c r="XBC93" s="317"/>
      <c r="XBD93" s="317"/>
      <c r="XBE93" s="317"/>
      <c r="XBF93" s="317"/>
      <c r="XBG93" s="317"/>
      <c r="XBH93" s="317"/>
      <c r="XBI93" s="317"/>
      <c r="XBJ93" s="317"/>
      <c r="XBK93" s="317"/>
      <c r="XBL93" s="317"/>
      <c r="XBM93" s="317"/>
      <c r="XBN93" s="317"/>
      <c r="XBO93" s="317"/>
      <c r="XBP93" s="317"/>
      <c r="XBQ93" s="317"/>
      <c r="XBR93" s="317"/>
      <c r="XBS93" s="317"/>
      <c r="XBT93" s="317"/>
      <c r="XBU93" s="317"/>
      <c r="XBV93" s="317"/>
      <c r="XBW93" s="317"/>
      <c r="XBX93" s="317"/>
      <c r="XBY93" s="317"/>
      <c r="XBZ93" s="317"/>
      <c r="XCA93" s="317"/>
      <c r="XCB93" s="317"/>
      <c r="XCC93" s="317"/>
      <c r="XCD93" s="317"/>
      <c r="XCE93" s="317"/>
      <c r="XCF93" s="317"/>
      <c r="XCG93" s="317"/>
      <c r="XCH93" s="317"/>
      <c r="XCI93" s="317"/>
      <c r="XCJ93" s="317"/>
      <c r="XCK93" s="317"/>
      <c r="XCL93" s="317"/>
      <c r="XCM93" s="317"/>
      <c r="XCN93" s="317"/>
      <c r="XCO93" s="317"/>
      <c r="XCP93" s="317"/>
      <c r="XCQ93" s="317"/>
      <c r="XCR93" s="317"/>
      <c r="XCS93" s="317"/>
      <c r="XCT93" s="317"/>
      <c r="XCU93" s="317"/>
      <c r="XCV93" s="317"/>
      <c r="XCW93" s="317"/>
      <c r="XCX93" s="317"/>
      <c r="XCY93" s="317"/>
      <c r="XCZ93" s="317"/>
      <c r="XDA93" s="317"/>
      <c r="XDB93" s="317"/>
      <c r="XDC93" s="317"/>
      <c r="XDD93" s="317"/>
      <c r="XDE93" s="317"/>
      <c r="XDF93" s="317"/>
      <c r="XDG93" s="317"/>
      <c r="XDH93" s="317"/>
      <c r="XDI93" s="317"/>
      <c r="XDJ93" s="317"/>
      <c r="XDK93" s="317"/>
      <c r="XDL93" s="317"/>
      <c r="XDM93" s="317"/>
      <c r="XDN93" s="317"/>
      <c r="XDO93" s="317"/>
      <c r="XDP93" s="317"/>
      <c r="XDQ93" s="317"/>
      <c r="XDR93" s="317"/>
      <c r="XDS93" s="317"/>
      <c r="XDT93" s="317"/>
      <c r="XDU93" s="317"/>
      <c r="XDV93" s="317"/>
      <c r="XDW93" s="317"/>
      <c r="XDX93" s="317"/>
      <c r="XDY93" s="317"/>
      <c r="XDZ93" s="317"/>
      <c r="XEA93" s="317"/>
      <c r="XEB93" s="317"/>
      <c r="XEC93" s="317"/>
      <c r="XED93" s="317"/>
      <c r="XEE93" s="317"/>
      <c r="XEF93" s="317"/>
      <c r="XEG93" s="317"/>
      <c r="XEH93" s="317"/>
      <c r="XEI93" s="317"/>
      <c r="XEJ93" s="317"/>
      <c r="XEK93" s="317"/>
      <c r="XEL93" s="317"/>
      <c r="XEM93" s="317"/>
      <c r="XEN93" s="317"/>
      <c r="XEO93" s="317"/>
      <c r="XEP93" s="317"/>
      <c r="XEQ93" s="317"/>
      <c r="XER93" s="317"/>
      <c r="XES93" s="317"/>
      <c r="XET93" s="317"/>
      <c r="XEU93" s="317"/>
      <c r="XEV93" s="317"/>
      <c r="XEW93" s="317"/>
      <c r="XEX93" s="317"/>
      <c r="XEY93" s="317"/>
      <c r="XEZ93" s="317"/>
      <c r="XFA93" s="317"/>
      <c r="XFB93" s="317"/>
      <c r="XFC93" s="317"/>
      <c r="XFD93" s="317"/>
    </row>
    <row r="94" s="314" customFormat="1" ht="25" customHeight="1" spans="1:74 14505:16384">
      <c r="A94" s="364"/>
      <c r="B94" s="365" t="s">
        <v>117</v>
      </c>
      <c r="I94" s="315"/>
      <c r="O94" s="316"/>
      <c r="P94" s="316"/>
      <c r="V94" s="316"/>
      <c r="W94" s="316"/>
      <c r="X94" s="316"/>
      <c r="Y94" s="316"/>
      <c r="Z94" s="316"/>
      <c r="AA94" s="316"/>
      <c r="AB94" s="316"/>
      <c r="AC94" s="316"/>
      <c r="AD94" s="316"/>
      <c r="AK94" s="316"/>
      <c r="AQ94" s="316"/>
      <c r="AR94" s="316"/>
      <c r="AW94" s="366"/>
      <c r="AY94" s="316"/>
      <c r="BE94" s="316"/>
      <c r="BF94" s="316"/>
      <c r="BM94" s="316"/>
      <c r="BS94" s="316"/>
      <c r="BT94" s="316"/>
      <c r="UKW94" s="317"/>
      <c r="UKX94" s="317"/>
      <c r="UKY94" s="317"/>
      <c r="UKZ94" s="317"/>
      <c r="ULA94" s="317"/>
      <c r="ULB94" s="317"/>
      <c r="ULC94" s="317"/>
      <c r="ULD94" s="317"/>
      <c r="ULE94" s="317"/>
      <c r="ULF94" s="317"/>
      <c r="ULG94" s="317"/>
      <c r="ULH94" s="317"/>
      <c r="ULI94" s="317"/>
      <c r="ULJ94" s="317"/>
      <c r="ULK94" s="317"/>
      <c r="ULL94" s="317"/>
      <c r="ULM94" s="317"/>
      <c r="ULN94" s="317"/>
      <c r="ULO94" s="317"/>
      <c r="ULP94" s="317"/>
      <c r="ULQ94" s="317"/>
      <c r="ULR94" s="317"/>
      <c r="ULS94" s="317"/>
      <c r="ULT94" s="317"/>
      <c r="ULU94" s="317"/>
      <c r="ULV94" s="317"/>
      <c r="ULW94" s="317"/>
      <c r="ULX94" s="317"/>
      <c r="ULY94" s="317"/>
      <c r="ULZ94" s="317"/>
      <c r="UMA94" s="317"/>
      <c r="UMB94" s="317"/>
      <c r="UMC94" s="317"/>
      <c r="UMD94" s="317"/>
      <c r="UME94" s="317"/>
      <c r="UMF94" s="317"/>
      <c r="UMG94" s="317"/>
      <c r="UMH94" s="317"/>
      <c r="UMI94" s="317"/>
      <c r="UMJ94" s="317"/>
      <c r="UMK94" s="317"/>
      <c r="UML94" s="317"/>
      <c r="UMM94" s="317"/>
      <c r="UMN94" s="317"/>
      <c r="UMO94" s="317"/>
      <c r="UMP94" s="317"/>
      <c r="UMQ94" s="317"/>
      <c r="UMR94" s="317"/>
      <c r="UMS94" s="317"/>
      <c r="UMT94" s="317"/>
      <c r="UMU94" s="317"/>
      <c r="UMV94" s="317"/>
      <c r="UMW94" s="317"/>
      <c r="UMX94" s="317"/>
      <c r="UMY94" s="317"/>
      <c r="UMZ94" s="317"/>
      <c r="UNA94" s="317"/>
      <c r="UNB94" s="317"/>
      <c r="UNC94" s="317"/>
      <c r="UND94" s="317"/>
      <c r="UNE94" s="317"/>
      <c r="UNF94" s="317"/>
      <c r="UNG94" s="317"/>
      <c r="UNH94" s="317"/>
      <c r="UNI94" s="317"/>
      <c r="UNJ94" s="317"/>
      <c r="UNK94" s="317"/>
      <c r="UNL94" s="317"/>
      <c r="UNM94" s="317"/>
      <c r="UNN94" s="317"/>
      <c r="UNO94" s="317"/>
      <c r="UNP94" s="317"/>
      <c r="UNQ94" s="317"/>
      <c r="UNR94" s="317"/>
      <c r="UNS94" s="317"/>
      <c r="UNT94" s="317"/>
      <c r="UNU94" s="317"/>
      <c r="UNV94" s="317"/>
      <c r="UNW94" s="317"/>
      <c r="UNX94" s="317"/>
      <c r="UNY94" s="317"/>
      <c r="UNZ94" s="317"/>
      <c r="UOA94" s="317"/>
      <c r="UOB94" s="317"/>
      <c r="UOC94" s="317"/>
      <c r="UOD94" s="317"/>
      <c r="UOE94" s="317"/>
      <c r="UOF94" s="317"/>
      <c r="UOG94" s="317"/>
      <c r="UOH94" s="317"/>
      <c r="UOI94" s="317"/>
      <c r="UOJ94" s="317"/>
      <c r="UOK94" s="317"/>
      <c r="UOL94" s="317"/>
      <c r="UOM94" s="317"/>
      <c r="UON94" s="317"/>
      <c r="UOO94" s="317"/>
      <c r="UOP94" s="317"/>
      <c r="UOQ94" s="317"/>
      <c r="UOR94" s="317"/>
      <c r="UOS94" s="317"/>
      <c r="UOT94" s="317"/>
      <c r="UOU94" s="317"/>
      <c r="UOV94" s="317"/>
      <c r="UOW94" s="317"/>
      <c r="UOX94" s="317"/>
      <c r="UOY94" s="317"/>
      <c r="UOZ94" s="317"/>
      <c r="UPA94" s="317"/>
      <c r="UPB94" s="317"/>
      <c r="UPC94" s="317"/>
      <c r="UPD94" s="317"/>
      <c r="UPE94" s="317"/>
      <c r="UPF94" s="317"/>
      <c r="UPG94" s="317"/>
      <c r="UPH94" s="317"/>
      <c r="UPI94" s="317"/>
      <c r="UPJ94" s="317"/>
      <c r="UPK94" s="317"/>
      <c r="UPL94" s="317"/>
      <c r="UPM94" s="317"/>
      <c r="UPN94" s="317"/>
      <c r="UPO94" s="317"/>
      <c r="UPP94" s="317"/>
      <c r="UPQ94" s="317"/>
      <c r="UPR94" s="317"/>
      <c r="UPS94" s="317"/>
      <c r="UPT94" s="317"/>
      <c r="UPU94" s="317"/>
      <c r="UPV94" s="317"/>
      <c r="UPW94" s="317"/>
      <c r="UPX94" s="317"/>
      <c r="UPY94" s="317"/>
      <c r="UPZ94" s="317"/>
      <c r="UQA94" s="317"/>
      <c r="UQB94" s="317"/>
      <c r="UQC94" s="317"/>
      <c r="UQD94" s="317"/>
      <c r="UQE94" s="317"/>
      <c r="UQF94" s="317"/>
      <c r="UQG94" s="317"/>
      <c r="UQH94" s="317"/>
      <c r="UQI94" s="317"/>
      <c r="UQJ94" s="317"/>
      <c r="UQK94" s="317"/>
      <c r="UQL94" s="317"/>
      <c r="UQM94" s="317"/>
      <c r="UQN94" s="317"/>
      <c r="UQO94" s="317"/>
      <c r="UQP94" s="317"/>
      <c r="UQQ94" s="317"/>
      <c r="UQR94" s="317"/>
      <c r="UQS94" s="317"/>
      <c r="UQT94" s="317"/>
      <c r="UQU94" s="317"/>
      <c r="UQV94" s="317"/>
      <c r="UQW94" s="317"/>
      <c r="UQX94" s="317"/>
      <c r="UQY94" s="317"/>
      <c r="UQZ94" s="317"/>
      <c r="URA94" s="317"/>
      <c r="URB94" s="317"/>
      <c r="URC94" s="317"/>
      <c r="URD94" s="317"/>
      <c r="URE94" s="317"/>
      <c r="URF94" s="317"/>
      <c r="URG94" s="317"/>
      <c r="URH94" s="317"/>
      <c r="URI94" s="317"/>
      <c r="URJ94" s="317"/>
      <c r="URK94" s="317"/>
      <c r="URL94" s="317"/>
      <c r="URM94" s="317"/>
      <c r="URN94" s="317"/>
      <c r="URO94" s="317"/>
      <c r="URP94" s="317"/>
      <c r="URQ94" s="317"/>
      <c r="URR94" s="317"/>
      <c r="URS94" s="317"/>
      <c r="URT94" s="317"/>
      <c r="URU94" s="317"/>
      <c r="URV94" s="317"/>
      <c r="URW94" s="317"/>
      <c r="URX94" s="317"/>
      <c r="URY94" s="317"/>
      <c r="URZ94" s="317"/>
      <c r="USA94" s="317"/>
      <c r="USB94" s="317"/>
      <c r="USC94" s="317"/>
      <c r="USD94" s="317"/>
      <c r="USE94" s="317"/>
      <c r="USF94" s="317"/>
      <c r="USG94" s="317"/>
      <c r="USH94" s="317"/>
      <c r="USI94" s="317"/>
      <c r="USJ94" s="317"/>
      <c r="USK94" s="317"/>
      <c r="USL94" s="317"/>
      <c r="USM94" s="317"/>
      <c r="USN94" s="317"/>
      <c r="USO94" s="317"/>
      <c r="USP94" s="317"/>
      <c r="USQ94" s="317"/>
      <c r="USR94" s="317"/>
      <c r="USS94" s="317"/>
      <c r="UST94" s="317"/>
      <c r="USU94" s="317"/>
      <c r="USV94" s="317"/>
      <c r="USW94" s="317"/>
      <c r="USX94" s="317"/>
      <c r="USY94" s="317"/>
      <c r="USZ94" s="317"/>
      <c r="UTA94" s="317"/>
      <c r="UTB94" s="317"/>
      <c r="UTC94" s="317"/>
      <c r="UTD94" s="317"/>
      <c r="UTE94" s="317"/>
      <c r="UTF94" s="317"/>
      <c r="UTG94" s="317"/>
      <c r="UTH94" s="317"/>
      <c r="UTI94" s="317"/>
      <c r="UTJ94" s="317"/>
      <c r="UTK94" s="317"/>
      <c r="UTL94" s="317"/>
      <c r="UTM94" s="317"/>
      <c r="UTN94" s="317"/>
      <c r="UTO94" s="317"/>
      <c r="UTP94" s="317"/>
      <c r="UTQ94" s="317"/>
      <c r="UTR94" s="317"/>
      <c r="UTS94" s="317"/>
      <c r="UTT94" s="317"/>
      <c r="UTU94" s="317"/>
      <c r="UTV94" s="317"/>
      <c r="UTW94" s="317"/>
      <c r="UTX94" s="317"/>
      <c r="UTY94" s="317"/>
      <c r="UTZ94" s="317"/>
      <c r="UUA94" s="317"/>
      <c r="UUB94" s="317"/>
      <c r="UUC94" s="317"/>
      <c r="UUD94" s="317"/>
      <c r="UUE94" s="317"/>
      <c r="UUF94" s="317"/>
      <c r="UUG94" s="317"/>
      <c r="UUH94" s="317"/>
      <c r="UUI94" s="317"/>
      <c r="UUJ94" s="317"/>
      <c r="UUK94" s="317"/>
      <c r="UUL94" s="317"/>
      <c r="UUM94" s="317"/>
      <c r="UUN94" s="317"/>
      <c r="UUO94" s="317"/>
      <c r="UUP94" s="317"/>
      <c r="UUQ94" s="317"/>
      <c r="UUR94" s="317"/>
      <c r="UUS94" s="317"/>
      <c r="UUT94" s="317"/>
      <c r="UUU94" s="317"/>
      <c r="UUV94" s="317"/>
      <c r="UUW94" s="317"/>
      <c r="UUX94" s="317"/>
      <c r="UUY94" s="317"/>
      <c r="UUZ94" s="317"/>
      <c r="UVA94" s="317"/>
      <c r="UVB94" s="317"/>
      <c r="UVC94" s="317"/>
      <c r="UVD94" s="317"/>
      <c r="UVE94" s="317"/>
      <c r="UVF94" s="317"/>
      <c r="UVG94" s="317"/>
      <c r="UVH94" s="317"/>
      <c r="UVI94" s="317"/>
      <c r="UVJ94" s="317"/>
      <c r="UVK94" s="317"/>
      <c r="UVL94" s="317"/>
      <c r="UVM94" s="317"/>
      <c r="UVN94" s="317"/>
      <c r="UVO94" s="317"/>
      <c r="UVP94" s="317"/>
      <c r="UVQ94" s="317"/>
      <c r="UVR94" s="317"/>
      <c r="UVS94" s="317"/>
      <c r="UVT94" s="317"/>
      <c r="UVU94" s="317"/>
      <c r="UVV94" s="317"/>
      <c r="UVW94" s="317"/>
      <c r="UVX94" s="317"/>
      <c r="UVY94" s="317"/>
      <c r="UVZ94" s="317"/>
      <c r="UWA94" s="317"/>
      <c r="UWB94" s="317"/>
      <c r="UWC94" s="317"/>
      <c r="UWD94" s="317"/>
      <c r="UWE94" s="317"/>
      <c r="UWF94" s="317"/>
      <c r="UWG94" s="317"/>
      <c r="UWH94" s="317"/>
      <c r="UWI94" s="317"/>
      <c r="UWJ94" s="317"/>
      <c r="UWK94" s="317"/>
      <c r="UWL94" s="317"/>
      <c r="UWM94" s="317"/>
      <c r="UWN94" s="317"/>
      <c r="UWO94" s="317"/>
      <c r="UWP94" s="317"/>
      <c r="UWQ94" s="317"/>
      <c r="UWR94" s="317"/>
      <c r="UWS94" s="317"/>
      <c r="UWT94" s="317"/>
      <c r="UWU94" s="317"/>
      <c r="UWV94" s="317"/>
      <c r="UWW94" s="317"/>
      <c r="UWX94" s="317"/>
      <c r="UWY94" s="317"/>
      <c r="UWZ94" s="317"/>
      <c r="UXA94" s="317"/>
      <c r="UXB94" s="317"/>
      <c r="UXC94" s="317"/>
      <c r="UXD94" s="317"/>
      <c r="UXE94" s="317"/>
      <c r="UXF94" s="317"/>
      <c r="UXG94" s="317"/>
      <c r="UXH94" s="317"/>
      <c r="UXI94" s="317"/>
      <c r="UXJ94" s="317"/>
      <c r="UXK94" s="317"/>
      <c r="UXL94" s="317"/>
      <c r="UXM94" s="317"/>
      <c r="UXN94" s="317"/>
      <c r="UXO94" s="317"/>
      <c r="UXP94" s="317"/>
      <c r="UXQ94" s="317"/>
      <c r="UXR94" s="317"/>
      <c r="UXS94" s="317"/>
      <c r="UXT94" s="317"/>
      <c r="UXU94" s="317"/>
      <c r="UXV94" s="317"/>
      <c r="UXW94" s="317"/>
      <c r="UXX94" s="317"/>
      <c r="UXY94" s="317"/>
      <c r="UXZ94" s="317"/>
      <c r="UYA94" s="317"/>
      <c r="UYB94" s="317"/>
      <c r="UYC94" s="317"/>
      <c r="UYD94" s="317"/>
      <c r="UYE94" s="317"/>
      <c r="UYF94" s="317"/>
      <c r="UYG94" s="317"/>
      <c r="UYH94" s="317"/>
      <c r="UYI94" s="317"/>
      <c r="UYJ94" s="317"/>
      <c r="UYK94" s="317"/>
      <c r="UYL94" s="317"/>
      <c r="UYM94" s="317"/>
      <c r="UYN94" s="317"/>
      <c r="UYO94" s="317"/>
      <c r="UYP94" s="317"/>
      <c r="UYQ94" s="317"/>
      <c r="UYR94" s="317"/>
      <c r="UYS94" s="317"/>
      <c r="UYT94" s="317"/>
      <c r="UYU94" s="317"/>
      <c r="UYV94" s="317"/>
      <c r="UYW94" s="317"/>
      <c r="UYX94" s="317"/>
      <c r="UYY94" s="317"/>
      <c r="UYZ94" s="317"/>
      <c r="UZA94" s="317"/>
      <c r="UZB94" s="317"/>
      <c r="UZC94" s="317"/>
      <c r="UZD94" s="317"/>
      <c r="UZE94" s="317"/>
      <c r="UZF94" s="317"/>
      <c r="UZG94" s="317"/>
      <c r="UZH94" s="317"/>
      <c r="UZI94" s="317"/>
      <c r="UZJ94" s="317"/>
      <c r="UZK94" s="317"/>
      <c r="UZL94" s="317"/>
      <c r="UZM94" s="317"/>
      <c r="UZN94" s="317"/>
      <c r="UZO94" s="317"/>
      <c r="UZP94" s="317"/>
      <c r="UZQ94" s="317"/>
      <c r="UZR94" s="317"/>
      <c r="UZS94" s="317"/>
      <c r="UZT94" s="317"/>
      <c r="UZU94" s="317"/>
      <c r="UZV94" s="317"/>
      <c r="UZW94" s="317"/>
      <c r="UZX94" s="317"/>
      <c r="UZY94" s="317"/>
      <c r="UZZ94" s="317"/>
      <c r="VAA94" s="317"/>
      <c r="VAB94" s="317"/>
      <c r="VAC94" s="317"/>
      <c r="VAD94" s="317"/>
      <c r="VAE94" s="317"/>
      <c r="VAF94" s="317"/>
      <c r="VAG94" s="317"/>
      <c r="VAH94" s="317"/>
      <c r="VAI94" s="317"/>
      <c r="VAJ94" s="317"/>
      <c r="VAK94" s="317"/>
      <c r="VAL94" s="317"/>
      <c r="VAM94" s="317"/>
      <c r="VAN94" s="317"/>
      <c r="VAO94" s="317"/>
      <c r="VAP94" s="317"/>
      <c r="VAQ94" s="317"/>
      <c r="VAR94" s="317"/>
      <c r="VAS94" s="317"/>
      <c r="VAT94" s="317"/>
      <c r="VAU94" s="317"/>
      <c r="VAV94" s="317"/>
      <c r="VAW94" s="317"/>
      <c r="VAX94" s="317"/>
      <c r="VAY94" s="317"/>
      <c r="VAZ94" s="317"/>
      <c r="VBA94" s="317"/>
      <c r="VBB94" s="317"/>
      <c r="VBC94" s="317"/>
      <c r="VBD94" s="317"/>
      <c r="VBE94" s="317"/>
      <c r="VBF94" s="317"/>
      <c r="VBG94" s="317"/>
      <c r="VBH94" s="317"/>
      <c r="VBI94" s="317"/>
      <c r="VBJ94" s="317"/>
      <c r="VBK94" s="317"/>
      <c r="VBL94" s="317"/>
      <c r="VBM94" s="317"/>
      <c r="VBN94" s="317"/>
      <c r="VBO94" s="317"/>
      <c r="VBP94" s="317"/>
      <c r="VBQ94" s="317"/>
      <c r="VBR94" s="317"/>
      <c r="VBS94" s="317"/>
      <c r="VBT94" s="317"/>
      <c r="VBU94" s="317"/>
      <c r="VBV94" s="317"/>
      <c r="VBW94" s="317"/>
      <c r="VBX94" s="317"/>
      <c r="VBY94" s="317"/>
      <c r="VBZ94" s="317"/>
      <c r="VCA94" s="317"/>
      <c r="VCB94" s="317"/>
      <c r="VCC94" s="317"/>
      <c r="VCD94" s="317"/>
      <c r="VCE94" s="317"/>
      <c r="VCF94" s="317"/>
      <c r="VCG94" s="317"/>
      <c r="VCH94" s="317"/>
      <c r="VCI94" s="317"/>
      <c r="VCJ94" s="317"/>
      <c r="VCK94" s="317"/>
      <c r="VCL94" s="317"/>
      <c r="VCM94" s="317"/>
      <c r="VCN94" s="317"/>
      <c r="VCO94" s="317"/>
      <c r="VCP94" s="317"/>
      <c r="VCQ94" s="317"/>
      <c r="VCR94" s="317"/>
      <c r="VCS94" s="317"/>
      <c r="VCT94" s="317"/>
      <c r="VCU94" s="317"/>
      <c r="VCV94" s="317"/>
      <c r="VCW94" s="317"/>
      <c r="VCX94" s="317"/>
      <c r="VCY94" s="317"/>
      <c r="VCZ94" s="317"/>
      <c r="VDA94" s="317"/>
      <c r="VDB94" s="317"/>
      <c r="VDC94" s="317"/>
      <c r="VDD94" s="317"/>
      <c r="VDE94" s="317"/>
      <c r="VDF94" s="317"/>
      <c r="VDG94" s="317"/>
      <c r="VDH94" s="317"/>
      <c r="VDI94" s="317"/>
      <c r="VDJ94" s="317"/>
      <c r="VDK94" s="317"/>
      <c r="VDL94" s="317"/>
      <c r="VDM94" s="317"/>
      <c r="VDN94" s="317"/>
      <c r="VDO94" s="317"/>
      <c r="VDP94" s="317"/>
      <c r="VDQ94" s="317"/>
      <c r="VDR94" s="317"/>
      <c r="VDS94" s="317"/>
      <c r="VDT94" s="317"/>
      <c r="VDU94" s="317"/>
      <c r="VDV94" s="317"/>
      <c r="VDW94" s="317"/>
      <c r="VDX94" s="317"/>
      <c r="VDY94" s="317"/>
      <c r="VDZ94" s="317"/>
      <c r="VEA94" s="317"/>
      <c r="VEB94" s="317"/>
      <c r="VEC94" s="317"/>
      <c r="VED94" s="317"/>
      <c r="VEE94" s="317"/>
      <c r="VEF94" s="317"/>
      <c r="VEG94" s="317"/>
      <c r="VEH94" s="317"/>
      <c r="VEI94" s="317"/>
      <c r="VEJ94" s="317"/>
      <c r="VEK94" s="317"/>
      <c r="VEL94" s="317"/>
      <c r="VEM94" s="317"/>
      <c r="VEN94" s="317"/>
      <c r="VEO94" s="317"/>
      <c r="VEP94" s="317"/>
      <c r="VEQ94" s="317"/>
      <c r="VER94" s="317"/>
      <c r="VES94" s="317"/>
      <c r="VET94" s="317"/>
      <c r="VEU94" s="317"/>
      <c r="VEV94" s="317"/>
      <c r="VEW94" s="317"/>
      <c r="VEX94" s="317"/>
      <c r="VEY94" s="317"/>
      <c r="VEZ94" s="317"/>
      <c r="VFA94" s="317"/>
      <c r="VFB94" s="317"/>
      <c r="VFC94" s="317"/>
      <c r="VFD94" s="317"/>
      <c r="VFE94" s="317"/>
      <c r="VFF94" s="317"/>
      <c r="VFG94" s="317"/>
      <c r="VFH94" s="317"/>
      <c r="VFI94" s="317"/>
      <c r="VFJ94" s="317"/>
      <c r="VFK94" s="317"/>
      <c r="VFL94" s="317"/>
      <c r="VFM94" s="317"/>
      <c r="VFN94" s="317"/>
      <c r="VFO94" s="317"/>
      <c r="VFP94" s="317"/>
      <c r="VFQ94" s="317"/>
      <c r="VFR94" s="317"/>
      <c r="VFS94" s="317"/>
      <c r="VFT94" s="317"/>
      <c r="VFU94" s="317"/>
      <c r="VFV94" s="317"/>
      <c r="VFW94" s="317"/>
      <c r="VFX94" s="317"/>
      <c r="VFY94" s="317"/>
      <c r="VFZ94" s="317"/>
      <c r="VGA94" s="317"/>
      <c r="VGB94" s="317"/>
      <c r="VGC94" s="317"/>
      <c r="VGD94" s="317"/>
      <c r="VGE94" s="317"/>
      <c r="VGF94" s="317"/>
      <c r="VGG94" s="317"/>
      <c r="VGH94" s="317"/>
      <c r="VGI94" s="317"/>
      <c r="VGJ94" s="317"/>
      <c r="VGK94" s="317"/>
      <c r="VGL94" s="317"/>
      <c r="VGM94" s="317"/>
      <c r="VGN94" s="317"/>
      <c r="VGO94" s="317"/>
      <c r="VGP94" s="317"/>
      <c r="VGQ94" s="317"/>
      <c r="VGR94" s="317"/>
      <c r="VGS94" s="317"/>
      <c r="VGT94" s="317"/>
      <c r="VGU94" s="317"/>
      <c r="VGV94" s="317"/>
      <c r="VGW94" s="317"/>
      <c r="VGX94" s="317"/>
      <c r="VGY94" s="317"/>
      <c r="VGZ94" s="317"/>
      <c r="VHA94" s="317"/>
      <c r="VHB94" s="317"/>
      <c r="VHC94" s="317"/>
      <c r="VHD94" s="317"/>
      <c r="VHE94" s="317"/>
      <c r="VHF94" s="317"/>
      <c r="VHG94" s="317"/>
      <c r="VHH94" s="317"/>
      <c r="VHI94" s="317"/>
      <c r="VHJ94" s="317"/>
      <c r="VHK94" s="317"/>
      <c r="VHL94" s="317"/>
      <c r="VHM94" s="317"/>
      <c r="VHN94" s="317"/>
      <c r="VHO94" s="317"/>
      <c r="VHP94" s="317"/>
      <c r="VHQ94" s="317"/>
      <c r="VHR94" s="317"/>
      <c r="VHS94" s="317"/>
      <c r="VHT94" s="317"/>
      <c r="VHU94" s="317"/>
      <c r="VHV94" s="317"/>
      <c r="VHW94" s="317"/>
      <c r="VHX94" s="317"/>
      <c r="VHY94" s="317"/>
      <c r="VHZ94" s="317"/>
      <c r="VIA94" s="317"/>
      <c r="VIB94" s="317"/>
      <c r="VIC94" s="317"/>
      <c r="VID94" s="317"/>
      <c r="VIE94" s="317"/>
      <c r="VIF94" s="317"/>
      <c r="VIG94" s="317"/>
      <c r="VIH94" s="317"/>
      <c r="VII94" s="317"/>
      <c r="VIJ94" s="317"/>
      <c r="VIK94" s="317"/>
      <c r="VIL94" s="317"/>
      <c r="VIM94" s="317"/>
      <c r="VIN94" s="317"/>
      <c r="VIO94" s="317"/>
      <c r="VIP94" s="317"/>
      <c r="VIQ94" s="317"/>
      <c r="VIR94" s="317"/>
      <c r="VIS94" s="317"/>
      <c r="VIT94" s="317"/>
      <c r="VIU94" s="317"/>
      <c r="VIV94" s="317"/>
      <c r="VIW94" s="317"/>
      <c r="VIX94" s="317"/>
      <c r="VIY94" s="317"/>
      <c r="VIZ94" s="317"/>
      <c r="VJA94" s="317"/>
      <c r="VJB94" s="317"/>
      <c r="VJC94" s="317"/>
      <c r="VJD94" s="317"/>
      <c r="VJE94" s="317"/>
      <c r="VJF94" s="317"/>
      <c r="VJG94" s="317"/>
      <c r="VJH94" s="317"/>
      <c r="VJI94" s="317"/>
      <c r="VJJ94" s="317"/>
      <c r="VJK94" s="317"/>
      <c r="VJL94" s="317"/>
      <c r="VJM94" s="317"/>
      <c r="VJN94" s="317"/>
      <c r="VJO94" s="317"/>
      <c r="VJP94" s="317"/>
      <c r="VJQ94" s="317"/>
      <c r="VJR94" s="317"/>
      <c r="VJS94" s="317"/>
      <c r="VJT94" s="317"/>
      <c r="VJU94" s="317"/>
      <c r="VJV94" s="317"/>
      <c r="VJW94" s="317"/>
      <c r="VJX94" s="317"/>
      <c r="VJY94" s="317"/>
      <c r="VJZ94" s="317"/>
      <c r="VKA94" s="317"/>
      <c r="VKB94" s="317"/>
      <c r="VKC94" s="317"/>
      <c r="VKD94" s="317"/>
      <c r="VKE94" s="317"/>
      <c r="VKF94" s="317"/>
      <c r="VKG94" s="317"/>
      <c r="VKH94" s="317"/>
      <c r="VKI94" s="317"/>
      <c r="VKJ94" s="317"/>
      <c r="VKK94" s="317"/>
      <c r="VKL94" s="317"/>
      <c r="VKM94" s="317"/>
      <c r="VKN94" s="317"/>
      <c r="VKO94" s="317"/>
      <c r="VKP94" s="317"/>
      <c r="VKQ94" s="317"/>
      <c r="VKR94" s="317"/>
      <c r="VKS94" s="317"/>
      <c r="VKT94" s="317"/>
      <c r="VKU94" s="317"/>
      <c r="VKV94" s="317"/>
      <c r="VKW94" s="317"/>
      <c r="VKX94" s="317"/>
      <c r="VKY94" s="317"/>
      <c r="VKZ94" s="317"/>
      <c r="VLA94" s="317"/>
      <c r="VLB94" s="317"/>
      <c r="VLC94" s="317"/>
      <c r="VLD94" s="317"/>
      <c r="VLE94" s="317"/>
      <c r="VLF94" s="317"/>
      <c r="VLG94" s="317"/>
      <c r="VLH94" s="317"/>
      <c r="VLI94" s="317"/>
      <c r="VLJ94" s="317"/>
      <c r="VLK94" s="317"/>
      <c r="VLL94" s="317"/>
      <c r="VLM94" s="317"/>
      <c r="VLN94" s="317"/>
      <c r="VLO94" s="317"/>
      <c r="VLP94" s="317"/>
      <c r="VLQ94" s="317"/>
      <c r="VLR94" s="317"/>
      <c r="VLS94" s="317"/>
      <c r="VLT94" s="317"/>
      <c r="VLU94" s="317"/>
      <c r="VLV94" s="317"/>
      <c r="VLW94" s="317"/>
      <c r="VLX94" s="317"/>
      <c r="VLY94" s="317"/>
      <c r="VLZ94" s="317"/>
      <c r="VMA94" s="317"/>
      <c r="VMB94" s="317"/>
      <c r="VMC94" s="317"/>
      <c r="VMD94" s="317"/>
      <c r="VME94" s="317"/>
      <c r="VMF94" s="317"/>
      <c r="VMG94" s="317"/>
      <c r="VMH94" s="317"/>
      <c r="VMI94" s="317"/>
      <c r="VMJ94" s="317"/>
      <c r="VMK94" s="317"/>
      <c r="VML94" s="317"/>
      <c r="VMM94" s="317"/>
      <c r="VMN94" s="317"/>
      <c r="VMO94" s="317"/>
      <c r="VMP94" s="317"/>
      <c r="VMQ94" s="317"/>
      <c r="VMR94" s="317"/>
      <c r="VMS94" s="317"/>
      <c r="VMT94" s="317"/>
      <c r="VMU94" s="317"/>
      <c r="VMV94" s="317"/>
      <c r="VMW94" s="317"/>
      <c r="VMX94" s="317"/>
      <c r="VMY94" s="317"/>
      <c r="VMZ94" s="317"/>
      <c r="VNA94" s="317"/>
      <c r="VNB94" s="317"/>
      <c r="VNC94" s="317"/>
      <c r="VND94" s="317"/>
      <c r="VNE94" s="317"/>
      <c r="VNF94" s="317"/>
      <c r="VNG94" s="317"/>
      <c r="VNH94" s="317"/>
      <c r="VNI94" s="317"/>
      <c r="VNJ94" s="317"/>
      <c r="VNK94" s="317"/>
      <c r="VNL94" s="317"/>
      <c r="VNM94" s="317"/>
      <c r="VNN94" s="317"/>
      <c r="VNO94" s="317"/>
      <c r="VNP94" s="317"/>
      <c r="VNQ94" s="317"/>
      <c r="VNR94" s="317"/>
      <c r="VNS94" s="317"/>
      <c r="VNT94" s="317"/>
      <c r="VNU94" s="317"/>
      <c r="VNV94" s="317"/>
      <c r="VNW94" s="317"/>
      <c r="VNX94" s="317"/>
      <c r="VNY94" s="317"/>
      <c r="VNZ94" s="317"/>
      <c r="VOA94" s="317"/>
      <c r="VOB94" s="317"/>
      <c r="VOC94" s="317"/>
      <c r="VOD94" s="317"/>
      <c r="VOE94" s="317"/>
      <c r="VOF94" s="317"/>
      <c r="VOG94" s="317"/>
      <c r="VOH94" s="317"/>
      <c r="VOI94" s="317"/>
      <c r="VOJ94" s="317"/>
      <c r="VOK94" s="317"/>
      <c r="VOL94" s="317"/>
      <c r="VOM94" s="317"/>
      <c r="VON94" s="317"/>
      <c r="VOO94" s="317"/>
      <c r="VOP94" s="317"/>
      <c r="VOQ94" s="317"/>
      <c r="VOR94" s="317"/>
      <c r="VOS94" s="317"/>
      <c r="VOT94" s="317"/>
      <c r="VOU94" s="317"/>
      <c r="VOV94" s="317"/>
      <c r="VOW94" s="317"/>
      <c r="VOX94" s="317"/>
      <c r="VOY94" s="317"/>
      <c r="VOZ94" s="317"/>
      <c r="VPA94" s="317"/>
      <c r="VPB94" s="317"/>
      <c r="VPC94" s="317"/>
      <c r="VPD94" s="317"/>
      <c r="VPE94" s="317"/>
      <c r="VPF94" s="317"/>
      <c r="VPG94" s="317"/>
      <c r="VPH94" s="317"/>
      <c r="VPI94" s="317"/>
      <c r="VPJ94" s="317"/>
      <c r="VPK94" s="317"/>
      <c r="VPL94" s="317"/>
      <c r="VPM94" s="317"/>
      <c r="VPN94" s="317"/>
      <c r="VPO94" s="317"/>
      <c r="VPP94" s="317"/>
      <c r="VPQ94" s="317"/>
      <c r="VPR94" s="317"/>
      <c r="VPS94" s="317"/>
      <c r="VPT94" s="317"/>
      <c r="VPU94" s="317"/>
      <c r="VPV94" s="317"/>
      <c r="VPW94" s="317"/>
      <c r="VPX94" s="317"/>
      <c r="VPY94" s="317"/>
      <c r="VPZ94" s="317"/>
      <c r="VQA94" s="317"/>
      <c r="VQB94" s="317"/>
      <c r="VQC94" s="317"/>
      <c r="VQD94" s="317"/>
      <c r="VQE94" s="317"/>
      <c r="VQF94" s="317"/>
      <c r="VQG94" s="317"/>
      <c r="VQH94" s="317"/>
      <c r="VQI94" s="317"/>
      <c r="VQJ94" s="317"/>
      <c r="VQK94" s="317"/>
      <c r="VQL94" s="317"/>
      <c r="VQM94" s="317"/>
      <c r="VQN94" s="317"/>
      <c r="VQO94" s="317"/>
      <c r="VQP94" s="317"/>
      <c r="VQQ94" s="317"/>
      <c r="VQR94" s="317"/>
      <c r="VQS94" s="317"/>
      <c r="VQT94" s="317"/>
      <c r="VQU94" s="317"/>
      <c r="VQV94" s="317"/>
      <c r="VQW94" s="317"/>
      <c r="VQX94" s="317"/>
      <c r="VQY94" s="317"/>
      <c r="VQZ94" s="317"/>
      <c r="VRA94" s="317"/>
      <c r="VRB94" s="317"/>
      <c r="VRC94" s="317"/>
      <c r="VRD94" s="317"/>
      <c r="VRE94" s="317"/>
      <c r="VRF94" s="317"/>
      <c r="VRG94" s="317"/>
      <c r="VRH94" s="317"/>
      <c r="VRI94" s="317"/>
      <c r="VRJ94" s="317"/>
      <c r="VRK94" s="317"/>
      <c r="VRL94" s="317"/>
      <c r="VRM94" s="317"/>
      <c r="VRN94" s="317"/>
      <c r="VRO94" s="317"/>
      <c r="VRP94" s="317"/>
      <c r="VRQ94" s="317"/>
      <c r="VRR94" s="317"/>
      <c r="VRS94" s="317"/>
      <c r="VRT94" s="317"/>
      <c r="VRU94" s="317"/>
      <c r="VRV94" s="317"/>
      <c r="VRW94" s="317"/>
      <c r="VRX94" s="317"/>
      <c r="VRY94" s="317"/>
      <c r="VRZ94" s="317"/>
      <c r="VSA94" s="317"/>
      <c r="VSB94" s="317"/>
      <c r="VSC94" s="317"/>
      <c r="VSD94" s="317"/>
      <c r="VSE94" s="317"/>
      <c r="VSF94" s="317"/>
      <c r="VSG94" s="317"/>
      <c r="VSH94" s="317"/>
      <c r="VSI94" s="317"/>
      <c r="VSJ94" s="317"/>
      <c r="VSK94" s="317"/>
      <c r="VSL94" s="317"/>
      <c r="VSM94" s="317"/>
      <c r="VSN94" s="317"/>
      <c r="VSO94" s="317"/>
      <c r="VSP94" s="317"/>
      <c r="VSQ94" s="317"/>
      <c r="VSR94" s="317"/>
      <c r="VSS94" s="317"/>
      <c r="VST94" s="317"/>
      <c r="VSU94" s="317"/>
      <c r="VSV94" s="317"/>
      <c r="VSW94" s="317"/>
      <c r="VSX94" s="317"/>
      <c r="VSY94" s="317"/>
      <c r="VSZ94" s="317"/>
      <c r="VTA94" s="317"/>
      <c r="VTB94" s="317"/>
      <c r="VTC94" s="317"/>
      <c r="VTD94" s="317"/>
      <c r="VTE94" s="317"/>
      <c r="VTF94" s="317"/>
      <c r="VTG94" s="317"/>
      <c r="VTH94" s="317"/>
      <c r="VTI94" s="317"/>
      <c r="VTJ94" s="317"/>
      <c r="VTK94" s="317"/>
      <c r="VTL94" s="317"/>
      <c r="VTM94" s="317"/>
      <c r="VTN94" s="317"/>
      <c r="VTO94" s="317"/>
      <c r="VTP94" s="317"/>
      <c r="VTQ94" s="317"/>
      <c r="VTR94" s="317"/>
      <c r="VTS94" s="317"/>
      <c r="VTT94" s="317"/>
      <c r="VTU94" s="317"/>
      <c r="VTV94" s="317"/>
      <c r="VTW94" s="317"/>
      <c r="VTX94" s="317"/>
      <c r="VTY94" s="317"/>
      <c r="VTZ94" s="317"/>
      <c r="VUA94" s="317"/>
      <c r="VUB94" s="317"/>
      <c r="VUC94" s="317"/>
      <c r="VUD94" s="317"/>
      <c r="VUE94" s="317"/>
      <c r="VUF94" s="317"/>
      <c r="VUG94" s="317"/>
      <c r="VUH94" s="317"/>
      <c r="VUI94" s="317"/>
      <c r="VUJ94" s="317"/>
      <c r="VUK94" s="317"/>
      <c r="VUL94" s="317"/>
      <c r="VUM94" s="317"/>
      <c r="VUN94" s="317"/>
      <c r="VUO94" s="317"/>
      <c r="VUP94" s="317"/>
      <c r="VUQ94" s="317"/>
      <c r="VUR94" s="317"/>
      <c r="VUS94" s="317"/>
      <c r="VUT94" s="317"/>
      <c r="VUU94" s="317"/>
      <c r="VUV94" s="317"/>
      <c r="VUW94" s="317"/>
      <c r="VUX94" s="317"/>
      <c r="VUY94" s="317"/>
      <c r="VUZ94" s="317"/>
      <c r="VVA94" s="317"/>
      <c r="VVB94" s="317"/>
      <c r="VVC94" s="317"/>
      <c r="VVD94" s="317"/>
      <c r="VVE94" s="317"/>
      <c r="VVF94" s="317"/>
      <c r="VVG94" s="317"/>
      <c r="VVH94" s="317"/>
      <c r="VVI94" s="317"/>
      <c r="VVJ94" s="317"/>
      <c r="VVK94" s="317"/>
      <c r="VVL94" s="317"/>
      <c r="VVM94" s="317"/>
      <c r="VVN94" s="317"/>
      <c r="VVO94" s="317"/>
      <c r="VVP94" s="317"/>
      <c r="VVQ94" s="317"/>
      <c r="VVR94" s="317"/>
      <c r="VVS94" s="317"/>
      <c r="VVT94" s="317"/>
      <c r="VVU94" s="317"/>
      <c r="VVV94" s="317"/>
      <c r="VVW94" s="317"/>
      <c r="VVX94" s="317"/>
      <c r="VVY94" s="317"/>
      <c r="VVZ94" s="317"/>
      <c r="VWA94" s="317"/>
      <c r="VWB94" s="317"/>
      <c r="VWC94" s="317"/>
      <c r="VWD94" s="317"/>
      <c r="VWE94" s="317"/>
      <c r="VWF94" s="317"/>
      <c r="VWG94" s="317"/>
      <c r="VWH94" s="317"/>
      <c r="VWI94" s="317"/>
      <c r="VWJ94" s="317"/>
      <c r="VWK94" s="317"/>
      <c r="VWL94" s="317"/>
      <c r="VWM94" s="317"/>
      <c r="VWN94" s="317"/>
      <c r="VWO94" s="317"/>
      <c r="VWP94" s="317"/>
      <c r="VWQ94" s="317"/>
      <c r="VWR94" s="317"/>
      <c r="VWS94" s="317"/>
      <c r="VWT94" s="317"/>
      <c r="VWU94" s="317"/>
      <c r="VWV94" s="317"/>
      <c r="VWW94" s="317"/>
      <c r="VWX94" s="317"/>
      <c r="VWY94" s="317"/>
      <c r="VWZ94" s="317"/>
      <c r="VXA94" s="317"/>
      <c r="VXB94" s="317"/>
      <c r="VXC94" s="317"/>
      <c r="VXD94" s="317"/>
      <c r="VXE94" s="317"/>
      <c r="VXF94" s="317"/>
      <c r="VXG94" s="317"/>
      <c r="VXH94" s="317"/>
      <c r="VXI94" s="317"/>
      <c r="VXJ94" s="317"/>
      <c r="VXK94" s="317"/>
      <c r="VXL94" s="317"/>
      <c r="VXM94" s="317"/>
      <c r="VXN94" s="317"/>
      <c r="VXO94" s="317"/>
      <c r="VXP94" s="317"/>
      <c r="VXQ94" s="317"/>
      <c r="VXR94" s="317"/>
      <c r="VXS94" s="317"/>
      <c r="VXT94" s="317"/>
      <c r="VXU94" s="317"/>
      <c r="VXV94" s="317"/>
      <c r="VXW94" s="317"/>
      <c r="VXX94" s="317"/>
      <c r="VXY94" s="317"/>
      <c r="VXZ94" s="317"/>
      <c r="VYA94" s="317"/>
      <c r="VYB94" s="317"/>
      <c r="VYC94" s="317"/>
      <c r="VYD94" s="317"/>
      <c r="VYE94" s="317"/>
      <c r="VYF94" s="317"/>
      <c r="VYG94" s="317"/>
      <c r="VYH94" s="317"/>
      <c r="VYI94" s="317"/>
      <c r="VYJ94" s="317"/>
      <c r="VYK94" s="317"/>
      <c r="VYL94" s="317"/>
      <c r="VYM94" s="317"/>
      <c r="VYN94" s="317"/>
      <c r="VYO94" s="317"/>
      <c r="VYP94" s="317"/>
      <c r="VYQ94" s="317"/>
      <c r="VYR94" s="317"/>
      <c r="VYS94" s="317"/>
      <c r="VYT94" s="317"/>
      <c r="VYU94" s="317"/>
      <c r="VYV94" s="317"/>
      <c r="VYW94" s="317"/>
      <c r="VYX94" s="317"/>
      <c r="VYY94" s="317"/>
      <c r="VYZ94" s="317"/>
      <c r="VZA94" s="317"/>
      <c r="VZB94" s="317"/>
      <c r="VZC94" s="317"/>
      <c r="VZD94" s="317"/>
      <c r="VZE94" s="317"/>
      <c r="VZF94" s="317"/>
      <c r="VZG94" s="317"/>
      <c r="VZH94" s="317"/>
      <c r="VZI94" s="317"/>
      <c r="VZJ94" s="317"/>
      <c r="VZK94" s="317"/>
      <c r="VZL94" s="317"/>
      <c r="VZM94" s="317"/>
      <c r="VZN94" s="317"/>
      <c r="VZO94" s="317"/>
      <c r="VZP94" s="317"/>
      <c r="VZQ94" s="317"/>
      <c r="VZR94" s="317"/>
      <c r="VZS94" s="317"/>
      <c r="VZT94" s="317"/>
      <c r="VZU94" s="317"/>
      <c r="VZV94" s="317"/>
      <c r="VZW94" s="317"/>
      <c r="VZX94" s="317"/>
      <c r="VZY94" s="317"/>
      <c r="VZZ94" s="317"/>
      <c r="WAA94" s="317"/>
      <c r="WAB94" s="317"/>
      <c r="WAC94" s="317"/>
      <c r="WAD94" s="317"/>
      <c r="WAE94" s="317"/>
      <c r="WAF94" s="317"/>
      <c r="WAG94" s="317"/>
      <c r="WAH94" s="317"/>
      <c r="WAI94" s="317"/>
      <c r="WAJ94" s="317"/>
      <c r="WAK94" s="317"/>
      <c r="WAL94" s="317"/>
      <c r="WAM94" s="317"/>
      <c r="WAN94" s="317"/>
      <c r="WAO94" s="317"/>
      <c r="WAP94" s="317"/>
      <c r="WAQ94" s="317"/>
      <c r="WAR94" s="317"/>
      <c r="WAS94" s="317"/>
      <c r="WAT94" s="317"/>
      <c r="WAU94" s="317"/>
      <c r="WAV94" s="317"/>
      <c r="WAW94" s="317"/>
      <c r="WAX94" s="317"/>
      <c r="WAY94" s="317"/>
      <c r="WAZ94" s="317"/>
      <c r="WBA94" s="317"/>
      <c r="WBB94" s="317"/>
      <c r="WBC94" s="317"/>
      <c r="WBD94" s="317"/>
      <c r="WBE94" s="317"/>
      <c r="WBF94" s="317"/>
      <c r="WBG94" s="317"/>
      <c r="WBH94" s="317"/>
      <c r="WBI94" s="317"/>
      <c r="WBJ94" s="317"/>
      <c r="WBK94" s="317"/>
      <c r="WBL94" s="317"/>
      <c r="WBM94" s="317"/>
      <c r="WBN94" s="317"/>
      <c r="WBO94" s="317"/>
      <c r="WBP94" s="317"/>
      <c r="WBQ94" s="317"/>
      <c r="WBR94" s="317"/>
      <c r="WBS94" s="317"/>
      <c r="WBT94" s="317"/>
      <c r="WBU94" s="317"/>
      <c r="WBV94" s="317"/>
      <c r="WBW94" s="317"/>
      <c r="WBX94" s="317"/>
      <c r="WBY94" s="317"/>
      <c r="WBZ94" s="317"/>
      <c r="WCA94" s="317"/>
      <c r="WCB94" s="317"/>
      <c r="WCC94" s="317"/>
      <c r="WCD94" s="317"/>
      <c r="WCE94" s="317"/>
      <c r="WCF94" s="317"/>
      <c r="WCG94" s="317"/>
      <c r="WCH94" s="317"/>
      <c r="WCI94" s="317"/>
      <c r="WCJ94" s="317"/>
      <c r="WCK94" s="317"/>
      <c r="WCL94" s="317"/>
      <c r="WCM94" s="317"/>
      <c r="WCN94" s="317"/>
      <c r="WCO94" s="317"/>
      <c r="WCP94" s="317"/>
      <c r="WCQ94" s="317"/>
      <c r="WCR94" s="317"/>
      <c r="WCS94" s="317"/>
      <c r="WCT94" s="317"/>
      <c r="WCU94" s="317"/>
      <c r="WCV94" s="317"/>
      <c r="WCW94" s="317"/>
      <c r="WCX94" s="317"/>
      <c r="WCY94" s="317"/>
      <c r="WCZ94" s="317"/>
      <c r="WDA94" s="317"/>
      <c r="WDB94" s="317"/>
      <c r="WDC94" s="317"/>
      <c r="WDD94" s="317"/>
      <c r="WDE94" s="317"/>
      <c r="WDF94" s="317"/>
      <c r="WDG94" s="317"/>
      <c r="WDH94" s="317"/>
      <c r="WDI94" s="317"/>
      <c r="WDJ94" s="317"/>
      <c r="WDK94" s="317"/>
      <c r="WDL94" s="317"/>
      <c r="WDM94" s="317"/>
      <c r="WDN94" s="317"/>
      <c r="WDO94" s="317"/>
      <c r="WDP94" s="317"/>
      <c r="WDQ94" s="317"/>
      <c r="WDR94" s="317"/>
      <c r="WDS94" s="317"/>
      <c r="WDT94" s="317"/>
      <c r="WDU94" s="317"/>
      <c r="WDV94" s="317"/>
      <c r="WDW94" s="317"/>
      <c r="WDX94" s="317"/>
      <c r="WDY94" s="317"/>
      <c r="WDZ94" s="317"/>
      <c r="WEA94" s="317"/>
      <c r="WEB94" s="317"/>
      <c r="WEC94" s="317"/>
      <c r="WED94" s="317"/>
      <c r="WEE94" s="317"/>
      <c r="WEF94" s="317"/>
      <c r="WEG94" s="317"/>
      <c r="WEH94" s="317"/>
      <c r="WEI94" s="317"/>
      <c r="WEJ94" s="317"/>
      <c r="WEK94" s="317"/>
      <c r="WEL94" s="317"/>
      <c r="WEM94" s="317"/>
      <c r="WEN94" s="317"/>
      <c r="WEO94" s="317"/>
      <c r="WEP94" s="317"/>
      <c r="WEQ94" s="317"/>
      <c r="WER94" s="317"/>
      <c r="WES94" s="317"/>
      <c r="WET94" s="317"/>
      <c r="WEU94" s="317"/>
      <c r="WEV94" s="317"/>
      <c r="WEW94" s="317"/>
      <c r="WEX94" s="317"/>
      <c r="WEY94" s="317"/>
      <c r="WEZ94" s="317"/>
      <c r="WFA94" s="317"/>
      <c r="WFB94" s="317"/>
      <c r="WFC94" s="317"/>
      <c r="WFD94" s="317"/>
      <c r="WFE94" s="317"/>
      <c r="WFF94" s="317"/>
      <c r="WFG94" s="317"/>
      <c r="WFH94" s="317"/>
      <c r="WFI94" s="317"/>
      <c r="WFJ94" s="317"/>
      <c r="WFK94" s="317"/>
      <c r="WFL94" s="317"/>
      <c r="WFM94" s="317"/>
      <c r="WFN94" s="317"/>
      <c r="WFO94" s="317"/>
      <c r="WFP94" s="317"/>
      <c r="WFQ94" s="317"/>
      <c r="WFR94" s="317"/>
      <c r="WFS94" s="317"/>
      <c r="WFT94" s="317"/>
      <c r="WFU94" s="317"/>
      <c r="WFV94" s="317"/>
      <c r="WFW94" s="317"/>
      <c r="WFX94" s="317"/>
      <c r="WFY94" s="317"/>
      <c r="WFZ94" s="317"/>
      <c r="WGA94" s="317"/>
      <c r="WGB94" s="317"/>
      <c r="WGC94" s="317"/>
      <c r="WGD94" s="317"/>
      <c r="WGE94" s="317"/>
      <c r="WGF94" s="317"/>
      <c r="WGG94" s="317"/>
      <c r="WGH94" s="317"/>
      <c r="WGI94" s="317"/>
      <c r="WGJ94" s="317"/>
      <c r="WGK94" s="317"/>
      <c r="WGL94" s="317"/>
      <c r="WGM94" s="317"/>
      <c r="WGN94" s="317"/>
      <c r="WGO94" s="317"/>
      <c r="WGP94" s="317"/>
      <c r="WGQ94" s="317"/>
      <c r="WGR94" s="317"/>
      <c r="WGS94" s="317"/>
      <c r="WGT94" s="317"/>
      <c r="WGU94" s="317"/>
      <c r="WGV94" s="317"/>
      <c r="WGW94" s="317"/>
      <c r="WGX94" s="317"/>
      <c r="WGY94" s="317"/>
      <c r="WGZ94" s="317"/>
      <c r="WHA94" s="317"/>
      <c r="WHB94" s="317"/>
      <c r="WHC94" s="317"/>
      <c r="WHD94" s="317"/>
      <c r="WHE94" s="317"/>
      <c r="WHF94" s="317"/>
      <c r="WHG94" s="317"/>
      <c r="WHH94" s="317"/>
      <c r="WHI94" s="317"/>
      <c r="WHJ94" s="317"/>
      <c r="WHK94" s="317"/>
      <c r="WHL94" s="317"/>
      <c r="WHM94" s="317"/>
      <c r="WHN94" s="317"/>
      <c r="WHO94" s="317"/>
      <c r="WHP94" s="317"/>
      <c r="WHQ94" s="317"/>
      <c r="WHR94" s="317"/>
      <c r="WHS94" s="317"/>
      <c r="WHT94" s="317"/>
      <c r="WHU94" s="317"/>
      <c r="WHV94" s="317"/>
      <c r="WHW94" s="317"/>
      <c r="WHX94" s="317"/>
      <c r="WHY94" s="317"/>
      <c r="WHZ94" s="317"/>
      <c r="WIA94" s="317"/>
      <c r="WIB94" s="317"/>
      <c r="WIC94" s="317"/>
      <c r="WID94" s="317"/>
      <c r="WIE94" s="317"/>
      <c r="WIF94" s="317"/>
      <c r="WIG94" s="317"/>
      <c r="WIH94" s="317"/>
      <c r="WII94" s="317"/>
      <c r="WIJ94" s="317"/>
      <c r="WIK94" s="317"/>
      <c r="WIL94" s="317"/>
      <c r="WIM94" s="317"/>
      <c r="WIN94" s="317"/>
      <c r="WIO94" s="317"/>
      <c r="WIP94" s="317"/>
      <c r="WIQ94" s="317"/>
      <c r="WIR94" s="317"/>
      <c r="WIS94" s="317"/>
      <c r="WIT94" s="317"/>
      <c r="WIU94" s="317"/>
      <c r="WIV94" s="317"/>
      <c r="WIW94" s="317"/>
      <c r="WIX94" s="317"/>
      <c r="WIY94" s="317"/>
      <c r="WIZ94" s="317"/>
      <c r="WJA94" s="317"/>
      <c r="WJB94" s="317"/>
      <c r="WJC94" s="317"/>
      <c r="WJD94" s="317"/>
      <c r="WJE94" s="317"/>
      <c r="WJF94" s="317"/>
      <c r="WJG94" s="317"/>
      <c r="WJH94" s="317"/>
      <c r="WJI94" s="317"/>
      <c r="WJJ94" s="317"/>
      <c r="WJK94" s="317"/>
      <c r="WJL94" s="317"/>
      <c r="WJM94" s="317"/>
      <c r="WJN94" s="317"/>
      <c r="WJO94" s="317"/>
      <c r="WJP94" s="317"/>
      <c r="WJQ94" s="317"/>
      <c r="WJR94" s="317"/>
      <c r="WJS94" s="317"/>
      <c r="WJT94" s="317"/>
      <c r="WJU94" s="317"/>
      <c r="WJV94" s="317"/>
      <c r="WJW94" s="317"/>
      <c r="WJX94" s="317"/>
      <c r="WJY94" s="317"/>
      <c r="WJZ94" s="317"/>
      <c r="WKA94" s="317"/>
      <c r="WKB94" s="317"/>
      <c r="WKC94" s="317"/>
      <c r="WKD94" s="317"/>
      <c r="WKE94" s="317"/>
      <c r="WKF94" s="317"/>
      <c r="WKG94" s="317"/>
      <c r="WKH94" s="317"/>
      <c r="WKI94" s="317"/>
      <c r="WKJ94" s="317"/>
      <c r="WKK94" s="317"/>
      <c r="WKL94" s="317"/>
      <c r="WKM94" s="317"/>
      <c r="WKN94" s="317"/>
      <c r="WKO94" s="317"/>
      <c r="WKP94" s="317"/>
      <c r="WKQ94" s="317"/>
      <c r="WKR94" s="317"/>
      <c r="WKS94" s="317"/>
      <c r="WKT94" s="317"/>
      <c r="WKU94" s="317"/>
      <c r="WKV94" s="317"/>
      <c r="WKW94" s="317"/>
      <c r="WKX94" s="317"/>
      <c r="WKY94" s="317"/>
      <c r="WKZ94" s="317"/>
      <c r="WLA94" s="317"/>
      <c r="WLB94" s="317"/>
      <c r="WLC94" s="317"/>
      <c r="WLD94" s="317"/>
      <c r="WLE94" s="317"/>
      <c r="WLF94" s="317"/>
      <c r="WLG94" s="317"/>
      <c r="WLH94" s="317"/>
      <c r="WLI94" s="317"/>
      <c r="WLJ94" s="317"/>
      <c r="WLK94" s="317"/>
      <c r="WLL94" s="317"/>
      <c r="WLM94" s="317"/>
      <c r="WLN94" s="317"/>
      <c r="WLO94" s="317"/>
      <c r="WLP94" s="317"/>
      <c r="WLQ94" s="317"/>
      <c r="WLR94" s="317"/>
      <c r="WLS94" s="317"/>
      <c r="WLT94" s="317"/>
      <c r="WLU94" s="317"/>
      <c r="WLV94" s="317"/>
      <c r="WLW94" s="317"/>
      <c r="WLX94" s="317"/>
      <c r="WLY94" s="317"/>
      <c r="WLZ94" s="317"/>
      <c r="WMA94" s="317"/>
      <c r="WMB94" s="317"/>
      <c r="WMC94" s="317"/>
      <c r="WMD94" s="317"/>
      <c r="WME94" s="317"/>
      <c r="WMF94" s="317"/>
      <c r="WMG94" s="317"/>
      <c r="WMH94" s="317"/>
      <c r="WMI94" s="317"/>
      <c r="WMJ94" s="317"/>
      <c r="WMK94" s="317"/>
      <c r="WML94" s="317"/>
      <c r="WMM94" s="317"/>
      <c r="WMN94" s="317"/>
      <c r="WMO94" s="317"/>
      <c r="WMP94" s="317"/>
      <c r="WMQ94" s="317"/>
      <c r="WMR94" s="317"/>
      <c r="WMS94" s="317"/>
      <c r="WMT94" s="317"/>
      <c r="WMU94" s="317"/>
      <c r="WMV94" s="317"/>
      <c r="WMW94" s="317"/>
      <c r="WMX94" s="317"/>
      <c r="WMY94" s="317"/>
      <c r="WMZ94" s="317"/>
      <c r="WNA94" s="317"/>
      <c r="WNB94" s="317"/>
      <c r="WNC94" s="317"/>
      <c r="WND94" s="317"/>
      <c r="WNE94" s="317"/>
      <c r="WNF94" s="317"/>
      <c r="WNG94" s="317"/>
      <c r="WNH94" s="317"/>
      <c r="WNI94" s="317"/>
      <c r="WNJ94" s="317"/>
      <c r="WNK94" s="317"/>
      <c r="WNL94" s="317"/>
      <c r="WNM94" s="317"/>
      <c r="WNN94" s="317"/>
      <c r="WNO94" s="317"/>
      <c r="WNP94" s="317"/>
      <c r="WNQ94" s="317"/>
      <c r="WNR94" s="317"/>
      <c r="WNS94" s="317"/>
      <c r="WNT94" s="317"/>
      <c r="WNU94" s="317"/>
      <c r="WNV94" s="317"/>
      <c r="WNW94" s="317"/>
      <c r="WNX94" s="317"/>
      <c r="WNY94" s="317"/>
      <c r="WNZ94" s="317"/>
      <c r="WOA94" s="317"/>
      <c r="WOB94" s="317"/>
      <c r="WOC94" s="317"/>
      <c r="WOD94" s="317"/>
      <c r="WOE94" s="317"/>
      <c r="WOF94" s="317"/>
      <c r="WOG94" s="317"/>
      <c r="WOH94" s="317"/>
      <c r="WOI94" s="317"/>
      <c r="WOJ94" s="317"/>
      <c r="WOK94" s="317"/>
      <c r="WOL94" s="317"/>
      <c r="WOM94" s="317"/>
      <c r="WON94" s="317"/>
      <c r="WOO94" s="317"/>
      <c r="WOP94" s="317"/>
      <c r="WOQ94" s="317"/>
      <c r="WOR94" s="317"/>
      <c r="WOS94" s="317"/>
      <c r="WOT94" s="317"/>
      <c r="WOU94" s="317"/>
      <c r="WOV94" s="317"/>
      <c r="WOW94" s="317"/>
      <c r="WOX94" s="317"/>
      <c r="WOY94" s="317"/>
      <c r="WOZ94" s="317"/>
      <c r="WPA94" s="317"/>
      <c r="WPB94" s="317"/>
      <c r="WPC94" s="317"/>
      <c r="WPD94" s="317"/>
      <c r="WPE94" s="317"/>
      <c r="WPF94" s="317"/>
      <c r="WPG94" s="317"/>
      <c r="WPH94" s="317"/>
      <c r="WPI94" s="317"/>
      <c r="WPJ94" s="317"/>
      <c r="WPK94" s="317"/>
      <c r="WPL94" s="317"/>
      <c r="WPM94" s="317"/>
      <c r="WPN94" s="317"/>
      <c r="WPO94" s="317"/>
      <c r="WPP94" s="317"/>
      <c r="WPQ94" s="317"/>
      <c r="WPR94" s="317"/>
      <c r="WPS94" s="317"/>
      <c r="WPT94" s="317"/>
      <c r="WPU94" s="317"/>
      <c r="WPV94" s="317"/>
      <c r="WPW94" s="317"/>
      <c r="WPX94" s="317"/>
      <c r="WPY94" s="317"/>
      <c r="WPZ94" s="317"/>
      <c r="WQA94" s="317"/>
      <c r="WQB94" s="317"/>
      <c r="WQC94" s="317"/>
      <c r="WQD94" s="317"/>
      <c r="WQE94" s="317"/>
      <c r="WQF94" s="317"/>
      <c r="WQG94" s="317"/>
      <c r="WQH94" s="317"/>
      <c r="WQI94" s="317"/>
      <c r="WQJ94" s="317"/>
      <c r="WQK94" s="317"/>
      <c r="WQL94" s="317"/>
      <c r="WQM94" s="317"/>
      <c r="WQN94" s="317"/>
      <c r="WQO94" s="317"/>
      <c r="WQP94" s="317"/>
      <c r="WQQ94" s="317"/>
      <c r="WQR94" s="317"/>
      <c r="WQS94" s="317"/>
      <c r="WQT94" s="317"/>
      <c r="WQU94" s="317"/>
      <c r="WQV94" s="317"/>
      <c r="WQW94" s="317"/>
      <c r="WQX94" s="317"/>
      <c r="WQY94" s="317"/>
      <c r="WQZ94" s="317"/>
      <c r="WRA94" s="317"/>
      <c r="WRB94" s="317"/>
      <c r="WRC94" s="317"/>
      <c r="WRD94" s="317"/>
      <c r="WRE94" s="317"/>
      <c r="WRF94" s="317"/>
      <c r="WRG94" s="317"/>
      <c r="WRH94" s="317"/>
      <c r="WRI94" s="317"/>
      <c r="WRJ94" s="317"/>
      <c r="WRK94" s="317"/>
      <c r="WRL94" s="317"/>
      <c r="WRM94" s="317"/>
      <c r="WRN94" s="317"/>
      <c r="WRO94" s="317"/>
      <c r="WRP94" s="317"/>
      <c r="WRQ94" s="317"/>
      <c r="WRR94" s="317"/>
      <c r="WRS94" s="317"/>
      <c r="WRT94" s="317"/>
      <c r="WRU94" s="317"/>
      <c r="WRV94" s="317"/>
      <c r="WRW94" s="317"/>
      <c r="WRX94" s="317"/>
      <c r="WRY94" s="317"/>
      <c r="WRZ94" s="317"/>
      <c r="WSA94" s="317"/>
      <c r="WSB94" s="317"/>
      <c r="WSC94" s="317"/>
      <c r="WSD94" s="317"/>
      <c r="WSE94" s="317"/>
      <c r="WSF94" s="317"/>
      <c r="WSG94" s="317"/>
      <c r="WSH94" s="317"/>
      <c r="WSI94" s="317"/>
      <c r="WSJ94" s="317"/>
      <c r="WSK94" s="317"/>
      <c r="WSL94" s="317"/>
      <c r="WSM94" s="317"/>
      <c r="WSN94" s="317"/>
      <c r="WSO94" s="317"/>
      <c r="WSP94" s="317"/>
      <c r="WSQ94" s="317"/>
      <c r="WSR94" s="317"/>
      <c r="WSS94" s="317"/>
      <c r="WST94" s="317"/>
      <c r="WSU94" s="317"/>
      <c r="WSV94" s="317"/>
      <c r="WSW94" s="317"/>
      <c r="WSX94" s="317"/>
      <c r="WSY94" s="317"/>
      <c r="WSZ94" s="317"/>
      <c r="WTA94" s="317"/>
      <c r="WTB94" s="317"/>
      <c r="WTC94" s="317"/>
      <c r="WTD94" s="317"/>
      <c r="WTE94" s="317"/>
      <c r="WTF94" s="317"/>
      <c r="WTG94" s="317"/>
      <c r="WTH94" s="317"/>
      <c r="WTI94" s="317"/>
      <c r="WTJ94" s="317"/>
      <c r="WTK94" s="317"/>
      <c r="WTL94" s="317"/>
      <c r="WTM94" s="317"/>
      <c r="WTN94" s="317"/>
      <c r="WTO94" s="317"/>
      <c r="WTP94" s="317"/>
      <c r="WTQ94" s="317"/>
      <c r="WTR94" s="317"/>
      <c r="WTS94" s="317"/>
      <c r="WTT94" s="317"/>
      <c r="WTU94" s="317"/>
      <c r="WTV94" s="317"/>
      <c r="WTW94" s="317"/>
      <c r="WTX94" s="317"/>
      <c r="WTY94" s="317"/>
      <c r="WTZ94" s="317"/>
      <c r="WUA94" s="317"/>
      <c r="WUB94" s="317"/>
      <c r="WUC94" s="317"/>
      <c r="WUD94" s="317"/>
      <c r="WUE94" s="317"/>
      <c r="WUF94" s="317"/>
      <c r="WUG94" s="317"/>
      <c r="WUH94" s="317"/>
      <c r="WUI94" s="317"/>
      <c r="WUJ94" s="317"/>
      <c r="WUK94" s="317"/>
      <c r="WUL94" s="317"/>
      <c r="WUM94" s="317"/>
      <c r="WUN94" s="317"/>
      <c r="WUO94" s="317"/>
      <c r="WUP94" s="317"/>
      <c r="WUQ94" s="317"/>
      <c r="WUR94" s="317"/>
      <c r="WUS94" s="317"/>
      <c r="WUT94" s="317"/>
      <c r="WUU94" s="317"/>
      <c r="WUV94" s="317"/>
      <c r="WUW94" s="317"/>
      <c r="WUX94" s="317"/>
      <c r="WUY94" s="317"/>
      <c r="WUZ94" s="317"/>
      <c r="WVA94" s="317"/>
      <c r="WVB94" s="317"/>
      <c r="WVC94" s="317"/>
      <c r="WVD94" s="317"/>
      <c r="WVE94" s="317"/>
      <c r="WVF94" s="317"/>
      <c r="WVG94" s="317"/>
      <c r="WVH94" s="317"/>
      <c r="WVI94" s="317"/>
      <c r="WVJ94" s="317"/>
      <c r="WVK94" s="317"/>
      <c r="WVL94" s="317"/>
      <c r="WVM94" s="317"/>
      <c r="WVN94" s="317"/>
      <c r="WVO94" s="317"/>
      <c r="WVP94" s="317"/>
      <c r="WVQ94" s="317"/>
      <c r="WVR94" s="317"/>
      <c r="WVS94" s="317"/>
      <c r="WVT94" s="317"/>
      <c r="WVU94" s="317"/>
      <c r="WVV94" s="317"/>
      <c r="WVW94" s="317"/>
      <c r="WVX94" s="317"/>
      <c r="WVY94" s="317"/>
      <c r="WVZ94" s="317"/>
      <c r="WWA94" s="317"/>
      <c r="WWB94" s="317"/>
      <c r="WWC94" s="317"/>
      <c r="WWD94" s="317"/>
      <c r="WWE94" s="317"/>
      <c r="WWF94" s="317"/>
      <c r="WWG94" s="317"/>
      <c r="WWH94" s="317"/>
      <c r="WWI94" s="317"/>
      <c r="WWJ94" s="317"/>
      <c r="WWK94" s="317"/>
      <c r="WWL94" s="317"/>
      <c r="WWM94" s="317"/>
      <c r="WWN94" s="317"/>
      <c r="WWO94" s="317"/>
      <c r="WWP94" s="317"/>
      <c r="WWQ94" s="317"/>
      <c r="WWR94" s="317"/>
      <c r="WWS94" s="317"/>
      <c r="WWT94" s="317"/>
      <c r="WWU94" s="317"/>
      <c r="WWV94" s="317"/>
      <c r="WWW94" s="317"/>
      <c r="WWX94" s="317"/>
      <c r="WWY94" s="317"/>
      <c r="WWZ94" s="317"/>
      <c r="WXA94" s="317"/>
      <c r="WXB94" s="317"/>
      <c r="WXC94" s="317"/>
      <c r="WXD94" s="317"/>
      <c r="WXE94" s="317"/>
      <c r="WXF94" s="317"/>
      <c r="WXG94" s="317"/>
      <c r="WXH94" s="317"/>
      <c r="WXI94" s="317"/>
      <c r="WXJ94" s="317"/>
      <c r="WXK94" s="317"/>
      <c r="WXL94" s="317"/>
      <c r="WXM94" s="317"/>
      <c r="WXN94" s="317"/>
      <c r="WXO94" s="317"/>
      <c r="WXP94" s="317"/>
      <c r="WXQ94" s="317"/>
      <c r="WXR94" s="317"/>
      <c r="WXS94" s="317"/>
      <c r="WXT94" s="317"/>
      <c r="WXU94" s="317"/>
      <c r="WXV94" s="317"/>
      <c r="WXW94" s="317"/>
      <c r="WXX94" s="317"/>
      <c r="WXY94" s="317"/>
      <c r="WXZ94" s="317"/>
      <c r="WYA94" s="317"/>
      <c r="WYB94" s="317"/>
      <c r="WYC94" s="317"/>
      <c r="WYD94" s="317"/>
      <c r="WYE94" s="317"/>
      <c r="WYF94" s="317"/>
      <c r="WYG94" s="317"/>
      <c r="WYH94" s="317"/>
      <c r="WYI94" s="317"/>
      <c r="WYJ94" s="317"/>
      <c r="WYK94" s="317"/>
      <c r="WYL94" s="317"/>
      <c r="WYM94" s="317"/>
      <c r="WYN94" s="317"/>
      <c r="WYO94" s="317"/>
      <c r="WYP94" s="317"/>
      <c r="WYQ94" s="317"/>
      <c r="WYR94" s="317"/>
      <c r="WYS94" s="317"/>
      <c r="WYT94" s="317"/>
      <c r="WYU94" s="317"/>
      <c r="WYV94" s="317"/>
      <c r="WYW94" s="317"/>
      <c r="WYX94" s="317"/>
      <c r="WYY94" s="317"/>
      <c r="WYZ94" s="317"/>
      <c r="WZA94" s="317"/>
      <c r="WZB94" s="317"/>
      <c r="WZC94" s="317"/>
      <c r="WZD94" s="317"/>
      <c r="WZE94" s="317"/>
      <c r="WZF94" s="317"/>
      <c r="WZG94" s="317"/>
      <c r="WZH94" s="317"/>
      <c r="WZI94" s="317"/>
      <c r="WZJ94" s="317"/>
      <c r="WZK94" s="317"/>
      <c r="WZL94" s="317"/>
      <c r="WZM94" s="317"/>
      <c r="WZN94" s="317"/>
      <c r="WZO94" s="317"/>
      <c r="WZP94" s="317"/>
      <c r="WZQ94" s="317"/>
      <c r="WZR94" s="317"/>
      <c r="WZS94" s="317"/>
      <c r="WZT94" s="317"/>
      <c r="WZU94" s="317"/>
      <c r="WZV94" s="317"/>
      <c r="WZW94" s="317"/>
      <c r="WZX94" s="317"/>
      <c r="WZY94" s="317"/>
      <c r="WZZ94" s="317"/>
      <c r="XAA94" s="317"/>
      <c r="XAB94" s="317"/>
      <c r="XAC94" s="317"/>
      <c r="XAD94" s="317"/>
      <c r="XAE94" s="317"/>
      <c r="XAF94" s="317"/>
      <c r="XAG94" s="317"/>
      <c r="XAH94" s="317"/>
      <c r="XAI94" s="317"/>
      <c r="XAJ94" s="317"/>
      <c r="XAK94" s="317"/>
      <c r="XAL94" s="317"/>
      <c r="XAM94" s="317"/>
      <c r="XAN94" s="317"/>
      <c r="XAO94" s="317"/>
      <c r="XAP94" s="317"/>
      <c r="XAQ94" s="317"/>
      <c r="XAR94" s="317"/>
      <c r="XAS94" s="317"/>
      <c r="XAT94" s="317"/>
      <c r="XAU94" s="317"/>
      <c r="XAV94" s="317"/>
      <c r="XAW94" s="317"/>
      <c r="XAX94" s="317"/>
      <c r="XAY94" s="317"/>
      <c r="XAZ94" s="317"/>
      <c r="XBA94" s="317"/>
      <c r="XBB94" s="317"/>
      <c r="XBC94" s="317"/>
      <c r="XBD94" s="317"/>
      <c r="XBE94" s="317"/>
      <c r="XBF94" s="317"/>
      <c r="XBG94" s="317"/>
      <c r="XBH94" s="317"/>
      <c r="XBI94" s="317"/>
      <c r="XBJ94" s="317"/>
      <c r="XBK94" s="317"/>
      <c r="XBL94" s="317"/>
      <c r="XBM94" s="317"/>
      <c r="XBN94" s="317"/>
      <c r="XBO94" s="317"/>
      <c r="XBP94" s="317"/>
      <c r="XBQ94" s="317"/>
      <c r="XBR94" s="317"/>
      <c r="XBS94" s="317"/>
      <c r="XBT94" s="317"/>
      <c r="XBU94" s="317"/>
      <c r="XBV94" s="317"/>
      <c r="XBW94" s="317"/>
      <c r="XBX94" s="317"/>
      <c r="XBY94" s="317"/>
      <c r="XBZ94" s="317"/>
      <c r="XCA94" s="317"/>
      <c r="XCB94" s="317"/>
      <c r="XCC94" s="317"/>
      <c r="XCD94" s="317"/>
      <c r="XCE94" s="317"/>
      <c r="XCF94" s="317"/>
      <c r="XCG94" s="317"/>
      <c r="XCH94" s="317"/>
      <c r="XCI94" s="317"/>
      <c r="XCJ94" s="317"/>
      <c r="XCK94" s="317"/>
      <c r="XCL94" s="317"/>
      <c r="XCM94" s="317"/>
      <c r="XCN94" s="317"/>
      <c r="XCO94" s="317"/>
      <c r="XCP94" s="317"/>
      <c r="XCQ94" s="317"/>
      <c r="XCR94" s="317"/>
      <c r="XCS94" s="317"/>
      <c r="XCT94" s="317"/>
      <c r="XCU94" s="317"/>
      <c r="XCV94" s="317"/>
      <c r="XCW94" s="317"/>
      <c r="XCX94" s="317"/>
      <c r="XCY94" s="317"/>
      <c r="XCZ94" s="317"/>
      <c r="XDA94" s="317"/>
      <c r="XDB94" s="317"/>
      <c r="XDC94" s="317"/>
      <c r="XDD94" s="317"/>
      <c r="XDE94" s="317"/>
      <c r="XDF94" s="317"/>
      <c r="XDG94" s="317"/>
      <c r="XDH94" s="317"/>
      <c r="XDI94" s="317"/>
      <c r="XDJ94" s="317"/>
      <c r="XDK94" s="317"/>
      <c r="XDL94" s="317"/>
      <c r="XDM94" s="317"/>
      <c r="XDN94" s="317"/>
      <c r="XDO94" s="317"/>
      <c r="XDP94" s="317"/>
      <c r="XDQ94" s="317"/>
      <c r="XDR94" s="317"/>
      <c r="XDS94" s="317"/>
      <c r="XDT94" s="317"/>
      <c r="XDU94" s="317"/>
      <c r="XDV94" s="317"/>
      <c r="XDW94" s="317"/>
      <c r="XDX94" s="317"/>
      <c r="XDY94" s="317"/>
      <c r="XDZ94" s="317"/>
      <c r="XEA94" s="317"/>
      <c r="XEB94" s="317"/>
      <c r="XEC94" s="317"/>
      <c r="XED94" s="317"/>
      <c r="XEE94" s="317"/>
      <c r="XEF94" s="317"/>
      <c r="XEG94" s="317"/>
      <c r="XEH94" s="317"/>
      <c r="XEI94" s="317"/>
      <c r="XEJ94" s="317"/>
      <c r="XEK94" s="317"/>
      <c r="XEL94" s="317"/>
      <c r="XEM94" s="317"/>
      <c r="XEN94" s="317"/>
      <c r="XEO94" s="317"/>
      <c r="XEP94" s="317"/>
      <c r="XEQ94" s="317"/>
      <c r="XER94" s="317"/>
      <c r="XES94" s="317"/>
      <c r="XET94" s="317"/>
      <c r="XEU94" s="317"/>
      <c r="XEV94" s="317"/>
      <c r="XEW94" s="317"/>
      <c r="XEX94" s="317"/>
      <c r="XEY94" s="317"/>
      <c r="XEZ94" s="317"/>
      <c r="XFA94" s="317"/>
      <c r="XFB94" s="317"/>
      <c r="XFC94" s="317"/>
      <c r="XFD94" s="317"/>
    </row>
    <row r="95" s="88" customFormat="1" ht="25" customHeight="1" spans="1:74 14505:16384">
      <c r="A95" s="336" t="s">
        <v>118</v>
      </c>
      <c r="B95" s="344" t="s">
        <v>119</v>
      </c>
      <c r="C95" s="314"/>
      <c r="D95" s="356"/>
      <c r="E95" s="356"/>
      <c r="F95" s="356"/>
      <c r="G95" s="356"/>
      <c r="H95" s="356"/>
      <c r="I95" s="315"/>
      <c r="J95" s="314"/>
      <c r="K95" s="314"/>
      <c r="L95" s="314"/>
      <c r="M95" s="314"/>
      <c r="N95" s="314"/>
      <c r="O95" s="316"/>
      <c r="P95" s="316"/>
      <c r="Q95" s="314"/>
      <c r="R95" s="314"/>
      <c r="S95" s="314"/>
      <c r="T95" s="314"/>
      <c r="U95" s="314"/>
      <c r="V95" s="316"/>
      <c r="W95" s="316"/>
      <c r="X95" s="316"/>
      <c r="Y95" s="316"/>
      <c r="Z95" s="316"/>
      <c r="AA95" s="316"/>
      <c r="AB95" s="316"/>
      <c r="AC95" s="316"/>
      <c r="AD95" s="316"/>
      <c r="AE95" s="314"/>
      <c r="AF95" s="314"/>
      <c r="AG95" s="314"/>
      <c r="AH95" s="314"/>
      <c r="AI95" s="314"/>
      <c r="AJ95" s="314"/>
      <c r="AK95" s="316"/>
      <c r="AL95" s="314"/>
      <c r="AM95" s="314"/>
      <c r="AN95" s="314"/>
      <c r="AO95" s="314"/>
      <c r="AP95" s="314"/>
      <c r="AQ95" s="316"/>
      <c r="AR95" s="316"/>
      <c r="AS95" s="314"/>
      <c r="AT95" s="314"/>
      <c r="AU95" s="314"/>
      <c r="AV95" s="314"/>
      <c r="AW95" s="314"/>
      <c r="AX95" s="314"/>
      <c r="AY95" s="316"/>
      <c r="AZ95" s="314"/>
      <c r="BA95" s="314"/>
      <c r="BB95" s="314"/>
      <c r="BC95" s="314"/>
      <c r="BD95" s="314"/>
      <c r="BE95" s="316"/>
      <c r="BF95" s="316"/>
      <c r="BG95" s="314"/>
      <c r="BH95" s="314"/>
      <c r="BI95" s="314"/>
      <c r="BJ95" s="314"/>
      <c r="BK95" s="314"/>
      <c r="BL95" s="314"/>
      <c r="BM95" s="316"/>
      <c r="BN95" s="314"/>
      <c r="BO95" s="314"/>
      <c r="BP95" s="314"/>
      <c r="BQ95" s="314"/>
      <c r="BR95" s="314"/>
      <c r="BS95" s="316"/>
      <c r="BT95" s="316"/>
      <c r="BU95" s="314"/>
      <c r="BV95" s="314"/>
    </row>
    <row r="96" s="88" customFormat="1" ht="25" customHeight="1" spans="1:74 14505:16384">
      <c r="A96" s="338"/>
      <c r="B96" s="344" t="s">
        <v>120</v>
      </c>
      <c r="C96" s="314"/>
      <c r="D96" s="314"/>
      <c r="E96" s="314"/>
      <c r="F96" s="314"/>
      <c r="G96" s="314"/>
      <c r="H96" s="314"/>
      <c r="I96" s="315"/>
      <c r="J96" s="356"/>
      <c r="K96" s="356"/>
      <c r="L96" s="356"/>
      <c r="M96" s="356"/>
      <c r="N96" s="356"/>
      <c r="O96" s="316"/>
      <c r="P96" s="316"/>
      <c r="Q96" s="356"/>
      <c r="R96" s="356"/>
      <c r="S96" s="356"/>
      <c r="T96" s="356"/>
      <c r="U96" s="356"/>
      <c r="V96" s="316"/>
      <c r="W96" s="316"/>
      <c r="X96" s="316"/>
      <c r="Y96" s="316"/>
      <c r="Z96" s="316"/>
      <c r="AA96" s="316"/>
      <c r="AB96" s="316"/>
      <c r="AC96" s="316"/>
      <c r="AD96" s="316"/>
      <c r="AE96" s="314"/>
      <c r="AF96" s="314"/>
      <c r="AG96" s="314"/>
      <c r="AH96" s="314"/>
      <c r="AI96" s="314"/>
      <c r="AJ96" s="314"/>
      <c r="AK96" s="316"/>
      <c r="AL96" s="314"/>
      <c r="AM96" s="314"/>
      <c r="AN96" s="314"/>
      <c r="AO96" s="314"/>
      <c r="AP96" s="314"/>
      <c r="AQ96" s="316"/>
      <c r="AR96" s="316"/>
      <c r="AS96" s="314"/>
      <c r="AT96" s="314"/>
      <c r="AU96" s="314"/>
      <c r="AV96" s="314"/>
      <c r="AW96" s="314"/>
      <c r="AX96" s="314"/>
      <c r="AY96" s="316"/>
      <c r="AZ96" s="314"/>
      <c r="BA96" s="314"/>
      <c r="BB96" s="314"/>
      <c r="BC96" s="314"/>
      <c r="BD96" s="314"/>
      <c r="BE96" s="316"/>
      <c r="BF96" s="316"/>
      <c r="BG96" s="314"/>
      <c r="BH96" s="314"/>
      <c r="BI96" s="314"/>
      <c r="BJ96" s="314"/>
      <c r="BK96" s="314"/>
      <c r="BL96" s="314"/>
      <c r="BM96" s="316"/>
      <c r="BN96" s="314"/>
      <c r="BO96" s="314"/>
      <c r="BP96" s="314"/>
      <c r="BQ96" s="314"/>
      <c r="BR96" s="314"/>
      <c r="BS96" s="316"/>
      <c r="BT96" s="316"/>
      <c r="BU96" s="314"/>
      <c r="BV96" s="314"/>
    </row>
    <row r="97" s="88" customFormat="1" ht="25" customHeight="1" spans="1:74">
      <c r="A97" s="338"/>
      <c r="B97" s="344" t="s">
        <v>121</v>
      </c>
      <c r="C97" s="314"/>
      <c r="D97" s="314"/>
      <c r="E97" s="314"/>
      <c r="F97" s="314"/>
      <c r="G97" s="314"/>
      <c r="H97" s="314"/>
      <c r="I97" s="315"/>
      <c r="J97" s="314"/>
      <c r="K97" s="314"/>
      <c r="L97" s="314"/>
      <c r="M97" s="314"/>
      <c r="N97" s="314"/>
      <c r="O97" s="316"/>
      <c r="P97" s="316"/>
      <c r="Q97" s="314"/>
      <c r="R97" s="314"/>
      <c r="S97" s="314"/>
      <c r="T97" s="356"/>
      <c r="U97" s="356"/>
      <c r="V97" s="316"/>
      <c r="W97" s="316"/>
      <c r="X97" s="316"/>
      <c r="Y97" s="316"/>
      <c r="Z97" s="316"/>
      <c r="AA97" s="316"/>
      <c r="AB97" s="316"/>
      <c r="AC97" s="316"/>
      <c r="AD97" s="316"/>
      <c r="AE97" s="314"/>
      <c r="AF97" s="314"/>
      <c r="AG97" s="314"/>
      <c r="AH97" s="314"/>
      <c r="AI97" s="314"/>
      <c r="AJ97" s="314"/>
      <c r="AK97" s="316"/>
      <c r="AL97" s="314"/>
      <c r="AM97" s="314"/>
      <c r="AN97" s="314"/>
      <c r="AO97" s="314"/>
      <c r="AP97" s="314"/>
      <c r="AQ97" s="316"/>
      <c r="AR97" s="316"/>
      <c r="AS97" s="314"/>
      <c r="AT97" s="314"/>
      <c r="AU97" s="314"/>
      <c r="AV97" s="314"/>
      <c r="AW97" s="314"/>
      <c r="AX97" s="314"/>
      <c r="AY97" s="316"/>
      <c r="AZ97" s="314"/>
      <c r="BA97" s="314"/>
      <c r="BB97" s="314"/>
      <c r="BC97" s="314"/>
      <c r="BD97" s="314"/>
      <c r="BE97" s="316"/>
      <c r="BF97" s="316"/>
      <c r="BG97" s="314"/>
      <c r="BH97" s="314"/>
      <c r="BI97" s="314"/>
      <c r="BJ97" s="314"/>
      <c r="BK97" s="314"/>
      <c r="BL97" s="314"/>
      <c r="BM97" s="316"/>
      <c r="BN97" s="314"/>
      <c r="BO97" s="314"/>
      <c r="BP97" s="314"/>
      <c r="BQ97" s="314"/>
      <c r="BR97" s="314"/>
      <c r="BS97" s="316"/>
      <c r="BT97" s="316"/>
      <c r="BU97" s="314"/>
      <c r="BV97" s="314"/>
    </row>
    <row r="98" s="88" customFormat="1" ht="25" customHeight="1" spans="1:74">
      <c r="A98" s="338"/>
      <c r="B98" s="344" t="s">
        <v>122</v>
      </c>
      <c r="C98" s="314"/>
      <c r="D98" s="314"/>
      <c r="E98" s="314"/>
      <c r="F98" s="314"/>
      <c r="G98" s="314"/>
      <c r="H98" s="314"/>
      <c r="I98" s="315"/>
      <c r="J98" s="314"/>
      <c r="K98" s="314"/>
      <c r="L98" s="314"/>
      <c r="M98" s="314"/>
      <c r="N98" s="314"/>
      <c r="O98" s="316"/>
      <c r="P98" s="316"/>
      <c r="Q98" s="314"/>
      <c r="R98" s="314"/>
      <c r="S98" s="314"/>
      <c r="T98" s="314"/>
      <c r="U98" s="314"/>
      <c r="V98" s="316"/>
      <c r="W98" s="316"/>
      <c r="X98" s="316"/>
      <c r="Y98" s="316"/>
      <c r="Z98" s="316"/>
      <c r="AA98" s="316"/>
      <c r="AB98" s="316"/>
      <c r="AC98" s="316"/>
      <c r="AD98" s="316"/>
      <c r="AE98" s="356"/>
      <c r="AF98" s="356"/>
      <c r="AG98" s="356"/>
      <c r="AH98" s="356"/>
      <c r="AI98" s="356"/>
      <c r="AJ98" s="356"/>
      <c r="AK98" s="316"/>
      <c r="AL98" s="356"/>
      <c r="AM98" s="356"/>
      <c r="AN98" s="356"/>
      <c r="AO98" s="356"/>
      <c r="AP98" s="356"/>
      <c r="AQ98" s="316"/>
      <c r="AR98" s="316"/>
      <c r="AT98" s="314"/>
      <c r="AU98" s="314"/>
      <c r="AV98" s="314"/>
      <c r="AW98" s="314"/>
      <c r="AX98" s="314"/>
      <c r="AY98" s="316"/>
      <c r="AZ98" s="314"/>
      <c r="BA98" s="314"/>
      <c r="BB98" s="314"/>
      <c r="BC98" s="314"/>
      <c r="BD98" s="314"/>
      <c r="BE98" s="316"/>
      <c r="BF98" s="316"/>
      <c r="BG98" s="314"/>
      <c r="BH98" s="314"/>
      <c r="BI98" s="314"/>
      <c r="BJ98" s="314"/>
      <c r="BK98" s="314"/>
      <c r="BL98" s="314"/>
      <c r="BM98" s="316"/>
      <c r="BN98" s="314"/>
      <c r="BO98" s="314"/>
      <c r="BP98" s="314"/>
      <c r="BQ98" s="314"/>
      <c r="BR98" s="314"/>
      <c r="BS98" s="316"/>
      <c r="BT98" s="316"/>
      <c r="BU98" s="314"/>
      <c r="BV98" s="314"/>
    </row>
    <row r="99" s="88" customFormat="1" ht="25" customHeight="1" spans="1:74">
      <c r="A99" s="361"/>
      <c r="B99" s="344" t="s">
        <v>123</v>
      </c>
      <c r="C99" s="314"/>
      <c r="D99" s="314"/>
      <c r="E99" s="314"/>
      <c r="F99" s="314"/>
      <c r="G99" s="314" t="s">
        <v>124</v>
      </c>
      <c r="H99" s="314"/>
      <c r="I99" s="315"/>
      <c r="J99" s="314"/>
      <c r="K99" s="314"/>
      <c r="L99" s="314"/>
      <c r="M99" s="314"/>
      <c r="N99" s="314"/>
      <c r="O99" s="316"/>
      <c r="P99" s="316"/>
      <c r="Q99" s="314"/>
      <c r="R99" s="314"/>
      <c r="S99" s="314"/>
      <c r="T99" s="314"/>
      <c r="U99" s="314"/>
      <c r="V99" s="316"/>
      <c r="W99" s="316"/>
      <c r="X99" s="316"/>
      <c r="Y99" s="316"/>
      <c r="Z99" s="316"/>
      <c r="AA99" s="316"/>
      <c r="AB99" s="316"/>
      <c r="AC99" s="316"/>
      <c r="AD99" s="316"/>
      <c r="AE99" s="314"/>
      <c r="AF99" s="314"/>
      <c r="AG99" s="314"/>
      <c r="AH99" s="314"/>
      <c r="AI99" s="314"/>
      <c r="AJ99" s="314"/>
      <c r="AK99" s="316"/>
      <c r="AL99" s="314"/>
      <c r="AM99" s="314"/>
      <c r="AN99" s="314"/>
      <c r="AO99" s="314"/>
      <c r="AP99" s="314"/>
      <c r="AQ99" s="316"/>
      <c r="AR99" s="316"/>
      <c r="AS99" s="356"/>
      <c r="AT99" s="314"/>
      <c r="AU99" s="314"/>
      <c r="AV99" s="314"/>
      <c r="AW99" s="314"/>
      <c r="AX99" s="314"/>
      <c r="AY99" s="316"/>
      <c r="AZ99" s="314"/>
      <c r="BA99" s="314"/>
      <c r="BB99" s="314"/>
      <c r="BC99" s="314"/>
      <c r="BD99" s="314"/>
      <c r="BE99" s="316"/>
      <c r="BF99" s="316"/>
      <c r="BG99" s="314"/>
      <c r="BH99" s="314"/>
      <c r="BI99" s="314"/>
      <c r="BJ99" s="314"/>
      <c r="BK99" s="314"/>
      <c r="BL99" s="314"/>
      <c r="BM99" s="316"/>
      <c r="BN99" s="314"/>
      <c r="BO99" s="314"/>
      <c r="BP99" s="314"/>
      <c r="BQ99" s="314"/>
      <c r="BR99" s="314"/>
      <c r="BS99" s="316"/>
      <c r="BT99" s="316"/>
      <c r="BU99" s="314"/>
      <c r="BV99" s="314"/>
    </row>
    <row r="100" s="88" customFormat="1" ht="25" customHeight="1" spans="1:74">
      <c r="A100" s="338"/>
      <c r="B100" s="344" t="s">
        <v>125</v>
      </c>
      <c r="C100" s="314"/>
      <c r="D100" s="314"/>
      <c r="E100" s="314"/>
      <c r="F100" s="314"/>
      <c r="G100" s="314"/>
      <c r="H100" s="314"/>
      <c r="I100" s="315"/>
      <c r="J100" s="314"/>
      <c r="K100" s="314"/>
      <c r="L100" s="314"/>
      <c r="M100" s="314"/>
      <c r="N100" s="314"/>
      <c r="O100" s="316"/>
      <c r="P100" s="316"/>
      <c r="Q100" s="314"/>
      <c r="R100" s="314"/>
      <c r="S100" s="314"/>
      <c r="T100" s="314"/>
      <c r="U100" s="314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4"/>
      <c r="AF100" s="314"/>
      <c r="AG100" s="314"/>
      <c r="AH100" s="314"/>
      <c r="AI100" s="314"/>
      <c r="AJ100" s="314"/>
      <c r="AK100" s="316"/>
      <c r="AL100" s="314"/>
      <c r="AM100" s="314"/>
      <c r="AN100" s="314"/>
      <c r="AO100" s="314"/>
      <c r="AP100" s="314"/>
      <c r="AQ100" s="316"/>
      <c r="AR100" s="316"/>
      <c r="AS100" s="356"/>
      <c r="AT100" s="356"/>
      <c r="AU100" s="356"/>
      <c r="AV100" s="356"/>
      <c r="AW100" s="356"/>
      <c r="AX100" s="356"/>
      <c r="AY100" s="316"/>
      <c r="AZ100" s="314"/>
      <c r="BA100" s="314"/>
      <c r="BB100" s="314"/>
      <c r="BC100" s="314"/>
      <c r="BD100" s="314"/>
      <c r="BE100" s="316"/>
      <c r="BF100" s="316"/>
      <c r="BG100" s="314"/>
      <c r="BH100" s="314"/>
      <c r="BI100" s="314"/>
      <c r="BJ100" s="314"/>
      <c r="BK100" s="314"/>
      <c r="BL100" s="314"/>
      <c r="BM100" s="316"/>
      <c r="BN100" s="314"/>
      <c r="BO100" s="314"/>
      <c r="BP100" s="314"/>
      <c r="BQ100" s="314"/>
      <c r="BR100" s="314"/>
      <c r="BS100" s="316"/>
      <c r="BT100" s="316"/>
      <c r="BU100" s="314"/>
      <c r="BV100" s="314"/>
    </row>
    <row r="101" s="88" customFormat="1" ht="25" customHeight="1" spans="1:74">
      <c r="A101" s="338"/>
      <c r="B101" s="344" t="s">
        <v>126</v>
      </c>
      <c r="C101" s="314"/>
      <c r="D101" s="314"/>
      <c r="E101" s="314"/>
      <c r="F101" s="314"/>
      <c r="G101" s="314"/>
      <c r="H101" s="314"/>
      <c r="I101" s="315"/>
      <c r="J101" s="314"/>
      <c r="K101" s="314"/>
      <c r="L101" s="314"/>
      <c r="M101" s="314"/>
      <c r="N101" s="314"/>
      <c r="O101" s="316"/>
      <c r="P101" s="316"/>
      <c r="Q101" s="314"/>
      <c r="R101" s="314"/>
      <c r="S101" s="314"/>
      <c r="T101" s="314"/>
      <c r="U101" s="314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4"/>
      <c r="AF101" s="314"/>
      <c r="AG101" s="314"/>
      <c r="AH101" s="314"/>
      <c r="AI101" s="314"/>
      <c r="AJ101" s="314"/>
      <c r="AK101" s="316"/>
      <c r="AL101" s="314"/>
      <c r="AM101" s="314"/>
      <c r="AN101" s="314"/>
      <c r="AO101" s="314"/>
      <c r="AP101" s="314"/>
      <c r="AQ101" s="316"/>
      <c r="AR101" s="316"/>
      <c r="AS101" s="314"/>
      <c r="AT101" s="314"/>
      <c r="AU101" s="314"/>
      <c r="AV101" s="314"/>
      <c r="AW101" s="314"/>
      <c r="AX101" s="314"/>
      <c r="AY101" s="316"/>
      <c r="AZ101" s="356"/>
      <c r="BA101" s="356"/>
      <c r="BB101" s="356"/>
      <c r="BC101" s="356"/>
      <c r="BD101" s="356"/>
      <c r="BE101" s="316"/>
      <c r="BF101" s="316"/>
      <c r="BG101" s="356"/>
      <c r="BH101" s="356"/>
      <c r="BI101" s="356"/>
      <c r="BJ101" s="356"/>
      <c r="BK101" s="314"/>
      <c r="BL101" s="314"/>
      <c r="BM101" s="316"/>
      <c r="BN101" s="314"/>
      <c r="BO101" s="314"/>
      <c r="BP101" s="314"/>
      <c r="BQ101" s="314"/>
      <c r="BR101" s="314"/>
      <c r="BS101" s="316"/>
      <c r="BT101" s="316"/>
      <c r="BU101" s="314"/>
      <c r="BV101" s="314"/>
    </row>
    <row r="102" s="88" customFormat="1" ht="25" customHeight="1" spans="1:74">
      <c r="A102" s="338"/>
      <c r="B102" s="344" t="s">
        <v>127</v>
      </c>
      <c r="C102" s="314"/>
      <c r="D102" s="314"/>
      <c r="E102" s="314"/>
      <c r="F102" s="314"/>
      <c r="G102" s="314"/>
      <c r="H102" s="314"/>
      <c r="I102" s="315"/>
      <c r="J102" s="314"/>
      <c r="K102" s="314"/>
      <c r="L102" s="314"/>
      <c r="M102" s="314"/>
      <c r="N102" s="314"/>
      <c r="O102" s="316"/>
      <c r="P102" s="316"/>
      <c r="Q102" s="314"/>
      <c r="R102" s="314"/>
      <c r="S102" s="314"/>
      <c r="T102" s="314"/>
      <c r="U102" s="314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4"/>
      <c r="AF102" s="314"/>
      <c r="AG102" s="314"/>
      <c r="AH102" s="314"/>
      <c r="AI102" s="314"/>
      <c r="AJ102" s="314"/>
      <c r="AK102" s="316"/>
      <c r="AL102" s="314"/>
      <c r="AM102" s="314"/>
      <c r="AN102" s="314"/>
      <c r="AO102" s="314"/>
      <c r="AP102" s="314"/>
      <c r="AQ102" s="316"/>
      <c r="AR102" s="316"/>
      <c r="AS102" s="314"/>
      <c r="AT102" s="314"/>
      <c r="AU102" s="314"/>
      <c r="AV102" s="314"/>
      <c r="AW102" s="314"/>
      <c r="AX102" s="314"/>
      <c r="AY102" s="316"/>
      <c r="AZ102" s="314"/>
      <c r="BA102" s="314"/>
      <c r="BB102" s="314"/>
      <c r="BC102" s="314"/>
      <c r="BD102" s="314"/>
      <c r="BE102" s="316"/>
      <c r="BF102" s="316"/>
      <c r="BG102" s="314"/>
      <c r="BH102" s="314"/>
      <c r="BI102" s="314"/>
      <c r="BJ102" s="314"/>
      <c r="BK102" s="356"/>
      <c r="BL102" s="314"/>
      <c r="BM102" s="316"/>
      <c r="BN102" s="314"/>
      <c r="BO102" s="314"/>
      <c r="BP102" s="314"/>
      <c r="BQ102" s="314"/>
      <c r="BR102" s="314"/>
      <c r="BS102" s="316"/>
      <c r="BT102" s="316"/>
      <c r="BU102" s="314"/>
      <c r="BV102" s="314"/>
    </row>
    <row r="103" s="88" customFormat="1" ht="25" customHeight="1" spans="1:74">
      <c r="A103" s="338"/>
      <c r="B103" s="344" t="s">
        <v>128</v>
      </c>
      <c r="C103" s="314"/>
      <c r="D103" s="314"/>
      <c r="E103" s="314"/>
      <c r="F103" s="314"/>
      <c r="G103" s="314"/>
      <c r="H103" s="314"/>
      <c r="I103" s="315"/>
      <c r="J103" s="314"/>
      <c r="K103" s="314"/>
      <c r="L103" s="314"/>
      <c r="M103" s="314"/>
      <c r="N103" s="314"/>
      <c r="O103" s="316"/>
      <c r="P103" s="316"/>
      <c r="Q103" s="314"/>
      <c r="R103" s="314"/>
      <c r="S103" s="314"/>
      <c r="T103" s="314"/>
      <c r="U103" s="314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4"/>
      <c r="AF103" s="314"/>
      <c r="AG103" s="314"/>
      <c r="AH103" s="314"/>
      <c r="AI103" s="314"/>
      <c r="AJ103" s="314"/>
      <c r="AK103" s="316"/>
      <c r="AL103" s="314"/>
      <c r="AM103" s="314"/>
      <c r="AN103" s="314"/>
      <c r="AO103" s="314"/>
      <c r="AP103" s="314"/>
      <c r="AQ103" s="316"/>
      <c r="AR103" s="316"/>
      <c r="AS103" s="314"/>
      <c r="AT103" s="314"/>
      <c r="AU103" s="314"/>
      <c r="AV103" s="314"/>
      <c r="AW103" s="314"/>
      <c r="AX103" s="314"/>
      <c r="AY103" s="316"/>
      <c r="AZ103" s="314"/>
      <c r="BA103" s="314"/>
      <c r="BB103" s="314"/>
      <c r="BC103" s="314"/>
      <c r="BD103" s="314"/>
      <c r="BE103" s="316"/>
      <c r="BF103" s="316"/>
      <c r="BG103" s="314"/>
      <c r="BH103" s="314"/>
      <c r="BI103" s="314"/>
      <c r="BJ103" s="314"/>
      <c r="BK103" s="314"/>
      <c r="BL103" s="356"/>
      <c r="BM103" s="316"/>
      <c r="BN103" s="356"/>
      <c r="BO103" s="356"/>
      <c r="BP103" s="356"/>
      <c r="BQ103" s="356"/>
      <c r="BR103" s="314"/>
      <c r="BS103" s="316"/>
      <c r="BT103" s="316"/>
      <c r="BU103" s="314"/>
      <c r="BV103" s="314"/>
    </row>
    <row r="104" s="88" customFormat="1" ht="25" customHeight="1" spans="1:74">
      <c r="A104" s="338"/>
      <c r="B104" s="344" t="s">
        <v>129</v>
      </c>
      <c r="C104" s="314"/>
      <c r="D104" s="314"/>
      <c r="E104" s="314"/>
      <c r="F104" s="314"/>
      <c r="G104" s="314"/>
      <c r="H104" s="314"/>
      <c r="I104" s="315"/>
      <c r="J104" s="314"/>
      <c r="K104" s="314"/>
      <c r="L104" s="314"/>
      <c r="M104" s="314"/>
      <c r="N104" s="314"/>
      <c r="O104" s="316"/>
      <c r="P104" s="316"/>
      <c r="Q104" s="314"/>
      <c r="R104" s="314"/>
      <c r="S104" s="314"/>
      <c r="T104" s="314"/>
      <c r="U104" s="314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4"/>
      <c r="AF104" s="314"/>
      <c r="AG104" s="314"/>
      <c r="AH104" s="314"/>
      <c r="AI104" s="314"/>
      <c r="AJ104" s="314"/>
      <c r="AK104" s="316"/>
      <c r="AL104" s="314"/>
      <c r="AM104" s="314"/>
      <c r="AN104" s="314"/>
      <c r="AO104" s="314"/>
      <c r="AP104" s="314"/>
      <c r="AQ104" s="316"/>
      <c r="AR104" s="316"/>
      <c r="AS104" s="314"/>
      <c r="AT104" s="314"/>
      <c r="AU104" s="314"/>
      <c r="AV104" s="314"/>
      <c r="AW104" s="314"/>
      <c r="AX104" s="314"/>
      <c r="AY104" s="316"/>
      <c r="AZ104" s="314"/>
      <c r="BA104" s="314"/>
      <c r="BB104" s="314"/>
      <c r="BC104" s="314"/>
      <c r="BD104" s="314"/>
      <c r="BE104" s="316"/>
      <c r="BF104" s="316"/>
      <c r="BG104" s="314"/>
      <c r="BH104" s="314"/>
      <c r="BI104" s="314"/>
      <c r="BJ104" s="314"/>
      <c r="BK104" s="314"/>
      <c r="BL104" s="314"/>
      <c r="BM104" s="316"/>
      <c r="BN104" s="314"/>
      <c r="BO104" s="314"/>
      <c r="BP104" s="314"/>
      <c r="BQ104" s="314"/>
      <c r="BR104" s="356"/>
      <c r="BS104" s="316"/>
      <c r="BT104" s="316"/>
      <c r="BU104" s="314"/>
      <c r="BV104" s="314"/>
    </row>
    <row r="105" s="88" customFormat="1" ht="25" customHeight="1" spans="1:74">
      <c r="A105" s="338"/>
      <c r="B105" s="344" t="s">
        <v>130</v>
      </c>
      <c r="C105" s="314"/>
      <c r="D105" s="314"/>
      <c r="E105" s="314"/>
      <c r="F105" s="314"/>
      <c r="G105" s="314"/>
      <c r="H105" s="314"/>
      <c r="I105" s="315"/>
      <c r="J105" s="314"/>
      <c r="K105" s="314"/>
      <c r="L105" s="314"/>
      <c r="M105" s="314"/>
      <c r="N105" s="314"/>
      <c r="O105" s="316"/>
      <c r="P105" s="316"/>
      <c r="Q105" s="314"/>
      <c r="R105" s="314"/>
      <c r="S105" s="314"/>
      <c r="T105" s="314"/>
      <c r="U105" s="314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4"/>
      <c r="AF105" s="314"/>
      <c r="AG105" s="314"/>
      <c r="AH105" s="314"/>
      <c r="AI105" s="314"/>
      <c r="AJ105" s="314"/>
      <c r="AK105" s="316"/>
      <c r="AL105" s="314"/>
      <c r="AM105" s="314"/>
      <c r="AN105" s="314"/>
      <c r="AO105" s="314"/>
      <c r="AP105" s="314"/>
      <c r="AQ105" s="316"/>
      <c r="AR105" s="316"/>
      <c r="AS105" s="314"/>
      <c r="AT105" s="314"/>
      <c r="AU105" s="314"/>
      <c r="AV105" s="314"/>
      <c r="AW105" s="314"/>
      <c r="AX105" s="314"/>
      <c r="AY105" s="316"/>
      <c r="AZ105" s="314"/>
      <c r="BA105" s="314"/>
      <c r="BB105" s="314"/>
      <c r="BC105" s="314"/>
      <c r="BD105" s="314"/>
      <c r="BE105" s="316"/>
      <c r="BF105" s="316"/>
      <c r="BG105" s="314"/>
      <c r="BH105" s="314"/>
      <c r="BI105" s="314"/>
      <c r="BJ105" s="314"/>
      <c r="BK105" s="314"/>
      <c r="BL105" s="314"/>
      <c r="BM105" s="316"/>
      <c r="BN105" s="314"/>
      <c r="BO105" s="314"/>
      <c r="BP105" s="314"/>
      <c r="BQ105" s="314"/>
      <c r="BR105" s="356"/>
      <c r="BS105" s="316"/>
      <c r="BT105" s="316"/>
      <c r="BU105" s="356"/>
      <c r="BV105" s="356"/>
    </row>
    <row r="106" s="88" customFormat="1" ht="25" customHeight="1" spans="1:74">
      <c r="A106" s="338"/>
      <c r="B106" s="367" t="s">
        <v>131</v>
      </c>
      <c r="C106" s="314"/>
      <c r="D106" s="314"/>
      <c r="E106" s="314"/>
      <c r="F106" s="314"/>
      <c r="G106" s="314"/>
      <c r="H106" s="314"/>
      <c r="I106" s="315"/>
      <c r="J106" s="314"/>
      <c r="K106" s="314"/>
      <c r="L106" s="314"/>
      <c r="M106" s="314"/>
      <c r="N106" s="314"/>
      <c r="O106" s="316"/>
      <c r="P106" s="316"/>
      <c r="Q106" s="314"/>
      <c r="R106" s="314"/>
      <c r="S106" s="314"/>
      <c r="T106" s="314"/>
      <c r="U106" s="314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4"/>
      <c r="AF106" s="314"/>
      <c r="AG106" s="314"/>
      <c r="AH106" s="314"/>
      <c r="AI106" s="314"/>
      <c r="AJ106" s="314"/>
      <c r="AK106" s="316"/>
      <c r="AL106" s="314"/>
      <c r="AM106" s="314"/>
      <c r="AN106" s="314"/>
      <c r="AO106" s="314"/>
      <c r="AP106" s="314"/>
      <c r="AQ106" s="316"/>
      <c r="AR106" s="316"/>
      <c r="AS106" s="314"/>
      <c r="AT106" s="314"/>
      <c r="AU106" s="337"/>
      <c r="AV106" s="314"/>
      <c r="AW106" s="314"/>
      <c r="AX106" s="314"/>
      <c r="AY106" s="316"/>
      <c r="AZ106" s="314"/>
      <c r="BA106" s="314"/>
      <c r="BB106" s="314"/>
      <c r="BC106" s="314"/>
      <c r="BD106" s="314"/>
      <c r="BE106" s="316"/>
      <c r="BF106" s="316"/>
      <c r="BG106" s="314"/>
      <c r="BH106" s="314"/>
      <c r="BI106" s="314"/>
      <c r="BJ106" s="314"/>
      <c r="BK106" s="314"/>
      <c r="BL106" s="314"/>
      <c r="BM106" s="316"/>
      <c r="BN106" s="314"/>
      <c r="BO106" s="314"/>
      <c r="BP106" s="314"/>
      <c r="BQ106" s="314"/>
      <c r="BR106" s="314"/>
      <c r="BS106" s="316"/>
      <c r="BT106" s="316"/>
      <c r="BU106" s="314"/>
      <c r="BV106" s="314"/>
    </row>
    <row r="107" s="88" customFormat="1" ht="25" customHeight="1" spans="1:74">
      <c r="A107" s="338"/>
      <c r="B107" s="367" t="s">
        <v>132</v>
      </c>
      <c r="C107" s="314"/>
      <c r="D107" s="314"/>
      <c r="E107" s="314"/>
      <c r="F107" s="314"/>
      <c r="G107" s="314"/>
      <c r="H107" s="314"/>
      <c r="I107" s="315"/>
      <c r="J107" s="314"/>
      <c r="K107" s="314"/>
      <c r="L107" s="314"/>
      <c r="M107" s="314"/>
      <c r="N107" s="314"/>
      <c r="O107" s="316"/>
      <c r="P107" s="316"/>
      <c r="Q107" s="314"/>
      <c r="R107" s="314"/>
      <c r="S107" s="314"/>
      <c r="T107" s="314"/>
      <c r="U107" s="314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4"/>
      <c r="AF107" s="314"/>
      <c r="AG107" s="314"/>
      <c r="AH107" s="314"/>
      <c r="AI107" s="314"/>
      <c r="AJ107" s="314"/>
      <c r="AK107" s="316"/>
      <c r="AL107" s="314"/>
      <c r="AM107" s="314"/>
      <c r="AN107" s="314"/>
      <c r="AO107" s="314"/>
      <c r="AP107" s="314"/>
      <c r="AQ107" s="316"/>
      <c r="AR107" s="316"/>
      <c r="AS107" s="314"/>
      <c r="AT107" s="314"/>
      <c r="AU107" s="314"/>
      <c r="AV107" s="337"/>
      <c r="AW107" s="314"/>
      <c r="AX107" s="314"/>
      <c r="AY107" s="316"/>
      <c r="AZ107" s="314"/>
      <c r="BA107" s="314"/>
      <c r="BB107" s="314"/>
      <c r="BC107" s="314"/>
      <c r="BD107" s="314"/>
      <c r="BE107" s="316"/>
      <c r="BF107" s="316"/>
      <c r="BG107" s="314"/>
      <c r="BH107" s="314"/>
      <c r="BI107" s="314"/>
      <c r="BJ107" s="314"/>
      <c r="BK107" s="314"/>
      <c r="BL107" s="314"/>
      <c r="BM107" s="316"/>
      <c r="BN107" s="314"/>
      <c r="BO107" s="314"/>
      <c r="BP107" s="314"/>
      <c r="BQ107" s="314"/>
      <c r="BR107" s="314"/>
      <c r="BS107" s="316"/>
      <c r="BT107" s="316"/>
      <c r="BU107" s="314"/>
      <c r="BV107" s="314"/>
    </row>
    <row r="108" s="88" customFormat="1" ht="25" customHeight="1" spans="1:74">
      <c r="A108" s="338"/>
      <c r="B108" s="367" t="s">
        <v>133</v>
      </c>
      <c r="C108" s="314"/>
      <c r="D108" s="314"/>
      <c r="E108" s="314"/>
      <c r="F108" s="314"/>
      <c r="G108" s="314"/>
      <c r="H108" s="314"/>
      <c r="I108" s="315"/>
      <c r="J108" s="314"/>
      <c r="K108" s="314"/>
      <c r="L108" s="314"/>
      <c r="M108" s="314"/>
      <c r="N108" s="314"/>
      <c r="O108" s="316"/>
      <c r="P108" s="316"/>
      <c r="Q108" s="314"/>
      <c r="R108" s="314"/>
      <c r="S108" s="314"/>
      <c r="T108" s="314"/>
      <c r="U108" s="314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4"/>
      <c r="AF108" s="314"/>
      <c r="AG108" s="314"/>
      <c r="AH108" s="314"/>
      <c r="AI108" s="314"/>
      <c r="AJ108" s="314"/>
      <c r="AK108" s="316"/>
      <c r="AL108" s="314"/>
      <c r="AM108" s="314"/>
      <c r="AN108" s="314"/>
      <c r="AO108" s="314"/>
      <c r="AP108" s="314"/>
      <c r="AQ108" s="316"/>
      <c r="AR108" s="316"/>
      <c r="AS108" s="314"/>
      <c r="AT108" s="314"/>
      <c r="AU108" s="314"/>
      <c r="AV108" s="314"/>
      <c r="AW108" s="314"/>
      <c r="AX108" s="314"/>
      <c r="AY108" s="316"/>
      <c r="AZ108" s="314"/>
      <c r="BA108" s="314"/>
      <c r="BB108" s="314"/>
      <c r="BC108" s="314"/>
      <c r="BD108" s="314"/>
      <c r="BE108" s="316"/>
      <c r="BF108" s="316"/>
      <c r="BG108" s="314"/>
      <c r="BH108" s="314"/>
      <c r="BI108" s="314"/>
      <c r="BJ108" s="314"/>
      <c r="BK108" s="314"/>
      <c r="BL108" s="314"/>
      <c r="BM108" s="316"/>
      <c r="BN108" s="337"/>
      <c r="BO108" s="314"/>
      <c r="BP108" s="314"/>
      <c r="BQ108" s="314"/>
      <c r="BR108" s="314"/>
      <c r="BS108" s="316"/>
      <c r="BT108" s="316"/>
      <c r="BU108" s="314"/>
      <c r="BV108" s="314"/>
    </row>
    <row r="109" s="88" customFormat="1" ht="25" customHeight="1" spans="1:74">
      <c r="A109" s="338"/>
      <c r="B109" s="367" t="s">
        <v>134</v>
      </c>
      <c r="C109" s="314"/>
      <c r="D109" s="314"/>
      <c r="E109" s="314"/>
      <c r="F109" s="314"/>
      <c r="G109" s="314"/>
      <c r="H109" s="314"/>
      <c r="I109" s="315"/>
      <c r="J109" s="314"/>
      <c r="K109" s="314"/>
      <c r="L109" s="314"/>
      <c r="M109" s="314"/>
      <c r="N109" s="314"/>
      <c r="O109" s="316"/>
      <c r="P109" s="316"/>
      <c r="Q109" s="314"/>
      <c r="R109" s="314"/>
      <c r="S109" s="314"/>
      <c r="T109" s="314"/>
      <c r="U109" s="314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4"/>
      <c r="AF109" s="314"/>
      <c r="AG109" s="314"/>
      <c r="AH109" s="314"/>
      <c r="AI109" s="314"/>
      <c r="AJ109" s="314"/>
      <c r="AK109" s="316"/>
      <c r="AL109" s="314"/>
      <c r="AM109" s="314"/>
      <c r="AN109" s="314"/>
      <c r="AO109" s="314"/>
      <c r="AP109" s="314"/>
      <c r="AQ109" s="316"/>
      <c r="AR109" s="316"/>
      <c r="AS109" s="314"/>
      <c r="AT109" s="314"/>
      <c r="AU109" s="314"/>
      <c r="AV109" s="314"/>
      <c r="AW109" s="314"/>
      <c r="AX109" s="314"/>
      <c r="AY109" s="316"/>
      <c r="AZ109" s="314"/>
      <c r="BA109" s="314"/>
      <c r="BB109" s="314"/>
      <c r="BC109" s="314"/>
      <c r="BD109" s="314"/>
      <c r="BE109" s="316"/>
      <c r="BF109" s="316"/>
      <c r="BG109" s="314"/>
      <c r="BH109" s="314"/>
      <c r="BI109" s="314"/>
      <c r="BJ109" s="314"/>
      <c r="BK109" s="314"/>
      <c r="BL109" s="314"/>
      <c r="BM109" s="316"/>
      <c r="BN109" s="314"/>
      <c r="BO109" s="314"/>
      <c r="BP109" s="314"/>
      <c r="BQ109" s="314"/>
      <c r="BR109" s="337"/>
      <c r="BS109" s="316"/>
      <c r="BT109" s="316"/>
      <c r="BU109" s="314"/>
      <c r="BV109" s="314"/>
    </row>
    <row r="110" s="88" customFormat="1" ht="25" customHeight="1" spans="1:74">
      <c r="A110" s="368" t="s">
        <v>135</v>
      </c>
      <c r="B110" s="369" t="s">
        <v>136</v>
      </c>
      <c r="C110" s="314"/>
      <c r="D110" s="314"/>
      <c r="E110" s="314"/>
      <c r="F110" s="314"/>
      <c r="G110" s="314"/>
      <c r="H110" s="314"/>
      <c r="I110" s="315"/>
      <c r="J110" s="314"/>
      <c r="K110" s="314"/>
      <c r="L110" s="314"/>
      <c r="M110" s="370"/>
      <c r="N110" s="314"/>
      <c r="O110" s="316"/>
      <c r="P110" s="316"/>
      <c r="Q110" s="314"/>
      <c r="S110" s="314"/>
      <c r="T110" s="314"/>
      <c r="U110" s="314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4"/>
      <c r="AF110" s="314"/>
      <c r="AG110" s="314"/>
      <c r="AH110" s="314"/>
      <c r="AI110" s="314"/>
      <c r="AJ110" s="314"/>
      <c r="AK110" s="316"/>
      <c r="AL110" s="314"/>
      <c r="AM110" s="314"/>
      <c r="AN110" s="314"/>
      <c r="AO110" s="314"/>
      <c r="AP110" s="314"/>
      <c r="AQ110" s="316"/>
      <c r="AR110" s="316"/>
      <c r="AS110" s="314"/>
      <c r="AT110" s="314"/>
      <c r="AU110" s="314"/>
      <c r="AV110" s="314"/>
      <c r="AW110" s="314"/>
      <c r="AX110" s="314"/>
      <c r="AY110" s="316"/>
      <c r="AZ110" s="314"/>
      <c r="BA110" s="314"/>
      <c r="BB110" s="314"/>
      <c r="BC110" s="314"/>
      <c r="BD110" s="314"/>
      <c r="BE110" s="316"/>
      <c r="BF110" s="316"/>
      <c r="BG110" s="314"/>
      <c r="BH110" s="314"/>
      <c r="BI110" s="314"/>
      <c r="BJ110" s="314"/>
      <c r="BK110" s="314"/>
      <c r="BL110" s="314"/>
      <c r="BM110" s="316"/>
      <c r="BN110" s="314"/>
      <c r="BO110" s="314"/>
      <c r="BP110" s="314"/>
      <c r="BQ110" s="314"/>
      <c r="BR110" s="314"/>
      <c r="BS110" s="316"/>
      <c r="BT110" s="316"/>
      <c r="BU110" s="314"/>
      <c r="BV110" s="314"/>
    </row>
    <row r="111" s="88" customFormat="1" ht="25" customHeight="1" spans="1:74">
      <c r="A111" s="371"/>
      <c r="B111" s="369" t="s">
        <v>137</v>
      </c>
      <c r="C111" s="314"/>
      <c r="D111" s="314"/>
      <c r="E111" s="314"/>
      <c r="F111" s="314"/>
      <c r="G111" s="314"/>
      <c r="H111" s="314"/>
      <c r="I111" s="315"/>
      <c r="J111" s="314"/>
      <c r="K111" s="314"/>
      <c r="L111" s="314"/>
      <c r="M111" s="314"/>
      <c r="N111" s="314"/>
      <c r="O111" s="316"/>
      <c r="P111" s="316"/>
      <c r="Q111" s="314"/>
      <c r="R111" s="314"/>
      <c r="S111" s="370"/>
      <c r="T111" s="314"/>
      <c r="U111" s="314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4"/>
      <c r="AF111" s="314"/>
      <c r="AG111" s="314"/>
      <c r="AH111" s="314"/>
      <c r="AI111" s="314"/>
      <c r="AJ111" s="314"/>
      <c r="AK111" s="316"/>
      <c r="AL111" s="314"/>
      <c r="AM111" s="314"/>
      <c r="AN111" s="314"/>
      <c r="AO111" s="314"/>
      <c r="AP111" s="314"/>
      <c r="AQ111" s="316"/>
      <c r="AR111" s="316"/>
      <c r="AS111" s="314"/>
      <c r="AT111" s="314"/>
      <c r="AU111" s="314"/>
      <c r="AV111" s="314"/>
      <c r="AW111" s="314"/>
      <c r="AX111" s="314"/>
      <c r="AY111" s="316"/>
      <c r="AZ111" s="314"/>
      <c r="BA111" s="314"/>
      <c r="BB111" s="314"/>
      <c r="BC111" s="314"/>
      <c r="BD111" s="314"/>
      <c r="BE111" s="316"/>
      <c r="BF111" s="316"/>
      <c r="BG111" s="314"/>
      <c r="BH111" s="314"/>
      <c r="BI111" s="314"/>
      <c r="BJ111" s="314"/>
      <c r="BK111" s="314"/>
      <c r="BL111" s="314"/>
      <c r="BM111" s="316"/>
      <c r="BN111" s="314"/>
      <c r="BO111" s="314"/>
      <c r="BP111" s="314"/>
      <c r="BQ111" s="314"/>
      <c r="BR111" s="314"/>
      <c r="BS111" s="316"/>
      <c r="BT111" s="316"/>
      <c r="BU111" s="314"/>
      <c r="BV111" s="314"/>
    </row>
    <row r="112" s="88" customFormat="1" ht="25" customHeight="1" spans="1:74">
      <c r="A112" s="371"/>
      <c r="B112" s="369" t="s">
        <v>138</v>
      </c>
      <c r="C112" s="314"/>
      <c r="D112" s="314"/>
      <c r="E112" s="314"/>
      <c r="F112" s="314"/>
      <c r="G112" s="314"/>
      <c r="H112" s="314"/>
      <c r="I112" s="315"/>
      <c r="J112" s="314"/>
      <c r="K112" s="314"/>
      <c r="L112" s="314"/>
      <c r="M112" s="314"/>
      <c r="N112" s="314"/>
      <c r="O112" s="316"/>
      <c r="P112" s="316"/>
      <c r="Q112" s="314"/>
      <c r="R112" s="314"/>
      <c r="S112" s="314"/>
      <c r="T112" s="314"/>
      <c r="U112" s="314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4"/>
      <c r="AF112" s="314"/>
      <c r="AG112" s="314"/>
      <c r="AH112" s="314"/>
      <c r="AI112" s="314"/>
      <c r="AJ112" s="314"/>
      <c r="AK112" s="316"/>
      <c r="AL112" s="314"/>
      <c r="AM112" s="372"/>
      <c r="AN112" s="314"/>
      <c r="AO112" s="314"/>
      <c r="AP112" s="314"/>
      <c r="AQ112" s="316"/>
      <c r="AR112" s="316"/>
      <c r="AS112" s="314"/>
      <c r="AT112" s="314"/>
      <c r="AU112" s="314"/>
      <c r="AV112" s="314"/>
      <c r="AW112" s="314"/>
      <c r="AX112" s="314"/>
      <c r="AY112" s="316"/>
      <c r="AZ112" s="314"/>
      <c r="BA112" s="314"/>
      <c r="BB112" s="314"/>
      <c r="BC112" s="314"/>
      <c r="BD112" s="314"/>
      <c r="BE112" s="316"/>
      <c r="BF112" s="316"/>
      <c r="BG112" s="314"/>
      <c r="BH112" s="314"/>
      <c r="BI112" s="314"/>
      <c r="BJ112" s="314"/>
      <c r="BK112" s="314"/>
      <c r="BL112" s="314"/>
      <c r="BM112" s="316"/>
      <c r="BN112" s="314"/>
      <c r="BO112" s="314"/>
      <c r="BP112" s="314"/>
      <c r="BQ112" s="314"/>
      <c r="BR112" s="314"/>
      <c r="BS112" s="316"/>
      <c r="BT112" s="316"/>
      <c r="BU112" s="314"/>
      <c r="BV112" s="314"/>
    </row>
    <row r="113" s="88" customFormat="1" ht="25" customHeight="1" spans="1:74">
      <c r="A113" s="371"/>
      <c r="B113" s="369" t="s">
        <v>139</v>
      </c>
      <c r="C113" s="314"/>
      <c r="D113" s="314"/>
      <c r="E113" s="314"/>
      <c r="F113" s="314"/>
      <c r="G113" s="314"/>
      <c r="H113" s="314"/>
      <c r="I113" s="315"/>
      <c r="J113" s="314"/>
      <c r="K113" s="314"/>
      <c r="L113" s="314"/>
      <c r="M113" s="314"/>
      <c r="N113" s="314"/>
      <c r="O113" s="316"/>
      <c r="P113" s="316"/>
      <c r="Q113" s="314"/>
      <c r="R113" s="314"/>
      <c r="S113" s="314"/>
      <c r="T113" s="314"/>
      <c r="U113" s="314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4"/>
      <c r="AF113" s="314"/>
      <c r="AG113" s="314"/>
      <c r="AH113" s="314"/>
      <c r="AI113" s="314"/>
      <c r="AJ113" s="314"/>
      <c r="AK113" s="316"/>
      <c r="AL113" s="314"/>
      <c r="AM113" s="314"/>
      <c r="AN113" s="314"/>
      <c r="AO113" s="314"/>
      <c r="AP113" s="314"/>
      <c r="AQ113" s="316"/>
      <c r="AR113" s="316"/>
      <c r="AS113" s="314"/>
      <c r="AT113" s="314"/>
      <c r="AV113" s="370"/>
      <c r="AW113" s="314"/>
      <c r="AX113" s="314"/>
      <c r="AY113" s="316"/>
      <c r="AZ113" s="314"/>
      <c r="BA113" s="314"/>
      <c r="BB113" s="314"/>
      <c r="BC113" s="314"/>
      <c r="BD113" s="314"/>
      <c r="BE113" s="316"/>
      <c r="BF113" s="316"/>
      <c r="BG113" s="314"/>
      <c r="BH113" s="314"/>
      <c r="BI113" s="314"/>
      <c r="BJ113" s="314"/>
      <c r="BK113" s="314"/>
      <c r="BL113" s="314"/>
      <c r="BM113" s="316"/>
      <c r="BN113" s="314"/>
      <c r="BO113" s="314"/>
      <c r="BP113" s="314"/>
      <c r="BQ113" s="314"/>
      <c r="BR113" s="314"/>
      <c r="BS113" s="316"/>
      <c r="BT113" s="316"/>
      <c r="BU113" s="314"/>
      <c r="BV113" s="314"/>
    </row>
    <row r="114" s="88" customFormat="1" ht="25" customHeight="1" spans="1:74">
      <c r="A114" s="371"/>
      <c r="B114" s="369" t="s">
        <v>140</v>
      </c>
      <c r="C114" s="314"/>
      <c r="D114" s="314"/>
      <c r="E114" s="314"/>
      <c r="F114" s="314"/>
      <c r="G114" s="314"/>
      <c r="H114" s="314"/>
      <c r="I114" s="315"/>
      <c r="J114" s="314"/>
      <c r="K114" s="314"/>
      <c r="L114" s="314"/>
      <c r="M114" s="314"/>
      <c r="N114" s="314"/>
      <c r="O114" s="316"/>
      <c r="P114" s="316"/>
      <c r="Q114" s="314"/>
      <c r="R114" s="314"/>
      <c r="S114" s="314"/>
      <c r="T114" s="314"/>
      <c r="U114" s="314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4"/>
      <c r="AF114" s="314"/>
      <c r="AG114" s="314"/>
      <c r="AH114" s="314"/>
      <c r="AI114" s="314"/>
      <c r="AJ114" s="314"/>
      <c r="AK114" s="316"/>
      <c r="AL114" s="314"/>
      <c r="AM114" s="314"/>
      <c r="AN114" s="314"/>
      <c r="AO114" s="314"/>
      <c r="AP114" s="314"/>
      <c r="AQ114" s="316"/>
      <c r="AR114" s="316"/>
      <c r="AS114" s="314"/>
      <c r="AT114" s="314"/>
      <c r="AU114" s="314"/>
      <c r="AV114" s="314"/>
      <c r="AW114" s="314"/>
      <c r="AX114" s="314"/>
      <c r="AY114" s="316"/>
      <c r="AZ114" s="370"/>
      <c r="BA114" s="314"/>
      <c r="BB114" s="314"/>
      <c r="BC114" s="314"/>
      <c r="BD114" s="314"/>
      <c r="BE114" s="316"/>
      <c r="BF114" s="316"/>
      <c r="BG114" s="314"/>
      <c r="BH114" s="314"/>
      <c r="BI114" s="314"/>
      <c r="BJ114" s="314"/>
      <c r="BK114" s="314"/>
      <c r="BL114" s="314"/>
      <c r="BM114" s="316"/>
      <c r="BN114" s="314"/>
      <c r="BO114" s="314"/>
      <c r="BP114" s="314"/>
      <c r="BQ114" s="314"/>
      <c r="BR114" s="314"/>
      <c r="BS114" s="316"/>
      <c r="BT114" s="316"/>
      <c r="BU114" s="314"/>
      <c r="BV114" s="314"/>
    </row>
    <row r="115" s="88" customFormat="1" ht="25" customHeight="1" spans="1:74">
      <c r="A115" s="371"/>
      <c r="B115" s="369" t="s">
        <v>141</v>
      </c>
      <c r="C115" s="314"/>
      <c r="D115" s="314"/>
      <c r="E115" s="314"/>
      <c r="F115" s="314"/>
      <c r="G115" s="314"/>
      <c r="H115" s="314"/>
      <c r="I115" s="315"/>
      <c r="J115" s="314"/>
      <c r="K115" s="314"/>
      <c r="L115" s="314"/>
      <c r="M115" s="314"/>
      <c r="N115" s="314"/>
      <c r="O115" s="316"/>
      <c r="P115" s="316"/>
      <c r="Q115" s="314"/>
      <c r="R115" s="314"/>
      <c r="S115" s="314"/>
      <c r="T115" s="314"/>
      <c r="U115" s="314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4"/>
      <c r="AF115" s="314"/>
      <c r="AG115" s="314"/>
      <c r="AH115" s="314"/>
      <c r="AI115" s="314"/>
      <c r="AJ115" s="314"/>
      <c r="AK115" s="316"/>
      <c r="AL115" s="314"/>
      <c r="AM115" s="314"/>
      <c r="AN115" s="314"/>
      <c r="AO115" s="314"/>
      <c r="AP115" s="314"/>
      <c r="AQ115" s="316"/>
      <c r="AR115" s="316"/>
      <c r="AS115" s="314"/>
      <c r="AT115" s="314"/>
      <c r="AU115" s="314"/>
      <c r="AV115" s="314"/>
      <c r="AW115" s="314"/>
      <c r="AX115" s="314"/>
      <c r="AY115" s="316"/>
      <c r="AZ115" s="314"/>
      <c r="BA115" s="314"/>
      <c r="BB115" s="370"/>
      <c r="BC115" s="314"/>
      <c r="BD115" s="314"/>
      <c r="BE115" s="316"/>
      <c r="BF115" s="316"/>
      <c r="BG115" s="314"/>
      <c r="BH115" s="314"/>
      <c r="BI115" s="314"/>
      <c r="BJ115" s="314"/>
      <c r="BK115" s="314"/>
      <c r="BL115" s="314"/>
      <c r="BM115" s="316"/>
      <c r="BN115" s="314"/>
      <c r="BO115" s="314"/>
      <c r="BP115" s="314"/>
      <c r="BQ115" s="314"/>
      <c r="BR115" s="314"/>
      <c r="BS115" s="316"/>
      <c r="BT115" s="316"/>
      <c r="BU115" s="314"/>
      <c r="BV115" s="314"/>
    </row>
    <row r="116" s="88" customFormat="1" ht="25" customHeight="1" spans="1:74">
      <c r="A116" s="371"/>
      <c r="B116" s="369" t="s">
        <v>142</v>
      </c>
      <c r="C116" s="314"/>
      <c r="D116" s="314"/>
      <c r="E116" s="314"/>
      <c r="F116" s="314"/>
      <c r="G116" s="314"/>
      <c r="H116" s="314"/>
      <c r="I116" s="315"/>
      <c r="J116" s="314"/>
      <c r="K116" s="314"/>
      <c r="L116" s="314"/>
      <c r="M116" s="314"/>
      <c r="N116" s="314"/>
      <c r="O116" s="316"/>
      <c r="P116" s="316"/>
      <c r="Q116" s="314"/>
      <c r="R116" s="314"/>
      <c r="S116" s="314"/>
      <c r="T116" s="314"/>
      <c r="U116" s="314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4"/>
      <c r="AF116" s="314"/>
      <c r="AG116" s="314"/>
      <c r="AH116" s="314"/>
      <c r="AI116" s="314"/>
      <c r="AJ116" s="314"/>
      <c r="AK116" s="316"/>
      <c r="AL116" s="314"/>
      <c r="AM116" s="314"/>
      <c r="AN116" s="314"/>
      <c r="AO116" s="314"/>
      <c r="AP116" s="314"/>
      <c r="AQ116" s="316"/>
      <c r="AR116" s="316"/>
      <c r="AS116" s="314"/>
      <c r="AT116" s="314"/>
      <c r="AU116" s="314"/>
      <c r="AV116" s="314"/>
      <c r="AW116" s="314"/>
      <c r="AX116" s="314"/>
      <c r="AY116" s="316"/>
      <c r="AZ116" s="314"/>
      <c r="BA116" s="314"/>
      <c r="BB116" s="370"/>
      <c r="BC116" s="314"/>
      <c r="BD116" s="314"/>
      <c r="BE116" s="316"/>
      <c r="BF116" s="316"/>
      <c r="BG116" s="314"/>
      <c r="BH116" s="314"/>
      <c r="BI116" s="314"/>
      <c r="BJ116" s="314"/>
      <c r="BK116" s="314"/>
      <c r="BL116" s="314"/>
      <c r="BM116" s="316"/>
      <c r="BN116" s="314"/>
      <c r="BO116" s="314"/>
      <c r="BP116" s="314"/>
      <c r="BQ116" s="314"/>
      <c r="BR116" s="314"/>
      <c r="BS116" s="316"/>
      <c r="BT116" s="316"/>
      <c r="BU116" s="314"/>
      <c r="BV116" s="314"/>
    </row>
    <row r="117" s="88" customFormat="1" ht="25" customHeight="1" spans="1:74">
      <c r="A117" s="371"/>
      <c r="B117" s="369" t="s">
        <v>143</v>
      </c>
      <c r="C117" s="314"/>
      <c r="D117" s="314"/>
      <c r="E117" s="314"/>
      <c r="F117" s="314"/>
      <c r="G117" s="314"/>
      <c r="H117" s="314"/>
      <c r="I117" s="315"/>
      <c r="J117" s="314"/>
      <c r="K117" s="314"/>
      <c r="L117" s="314"/>
      <c r="M117" s="314"/>
      <c r="N117" s="314"/>
      <c r="O117" s="316"/>
      <c r="P117" s="316"/>
      <c r="Q117" s="314"/>
      <c r="R117" s="314"/>
      <c r="S117" s="314"/>
      <c r="T117" s="314"/>
      <c r="U117" s="314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4"/>
      <c r="AF117" s="314"/>
      <c r="AG117" s="314"/>
      <c r="AH117" s="314"/>
      <c r="AI117" s="314"/>
      <c r="AJ117" s="314"/>
      <c r="AK117" s="316"/>
      <c r="AL117" s="314"/>
      <c r="AM117" s="314"/>
      <c r="AN117" s="314"/>
      <c r="AO117" s="314"/>
      <c r="AP117" s="314"/>
      <c r="AQ117" s="316"/>
      <c r="AR117" s="316"/>
      <c r="AS117" s="314"/>
      <c r="AT117" s="314"/>
      <c r="AU117" s="314"/>
      <c r="AV117" s="314"/>
      <c r="AW117" s="370"/>
      <c r="AX117" s="314"/>
      <c r="AY117" s="316"/>
      <c r="AZ117" s="314"/>
      <c r="BA117" s="314"/>
      <c r="BB117" s="314"/>
      <c r="BC117" s="314"/>
      <c r="BD117" s="314"/>
      <c r="BE117" s="316"/>
      <c r="BF117" s="316"/>
      <c r="BG117" s="314"/>
      <c r="BH117" s="314"/>
      <c r="BI117" s="314"/>
      <c r="BJ117" s="314"/>
      <c r="BK117" s="314"/>
      <c r="BL117" s="314"/>
      <c r="BM117" s="316"/>
      <c r="BN117" s="314"/>
      <c r="BO117" s="314"/>
      <c r="BP117" s="314"/>
      <c r="BQ117" s="314"/>
      <c r="BR117" s="314"/>
      <c r="BS117" s="316"/>
      <c r="BT117" s="316"/>
      <c r="BU117" s="314"/>
      <c r="BV117" s="314"/>
    </row>
    <row r="118" s="32" customFormat="1" ht="25" customHeight="1" spans="1:74">
      <c r="A118" s="371"/>
      <c r="B118" s="373" t="s">
        <v>144</v>
      </c>
      <c r="C118" s="314"/>
      <c r="D118" s="314"/>
      <c r="E118" s="314"/>
      <c r="F118" s="314"/>
      <c r="G118" s="314"/>
      <c r="H118" s="314"/>
      <c r="I118" s="315"/>
      <c r="J118" s="314"/>
      <c r="K118" s="314"/>
      <c r="L118" s="314"/>
      <c r="M118" s="314"/>
      <c r="N118" s="314"/>
      <c r="O118" s="316"/>
      <c r="P118" s="316"/>
      <c r="Q118" s="314"/>
      <c r="R118" s="314"/>
      <c r="S118" s="314"/>
      <c r="T118" s="314"/>
      <c r="U118" s="314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4"/>
      <c r="AF118" s="314"/>
      <c r="AG118" s="314"/>
      <c r="AH118" s="314"/>
      <c r="AI118" s="314"/>
      <c r="AJ118" s="314"/>
      <c r="AK118" s="316"/>
      <c r="AL118" s="314"/>
      <c r="AM118" s="314"/>
      <c r="AN118" s="314"/>
      <c r="AO118" s="314"/>
      <c r="AP118" s="314"/>
      <c r="AQ118" s="316"/>
      <c r="AR118" s="316"/>
      <c r="AS118" s="314"/>
      <c r="AT118" s="314"/>
      <c r="AU118" s="314"/>
      <c r="AV118" s="314"/>
      <c r="AX118" s="374"/>
      <c r="AY118" s="316"/>
      <c r="AZ118" s="314"/>
      <c r="BA118" s="314"/>
      <c r="BB118" s="314"/>
      <c r="BE118" s="316"/>
      <c r="BF118" s="316"/>
      <c r="BG118" s="314"/>
      <c r="BH118" s="314"/>
      <c r="BI118" s="314"/>
      <c r="BJ118" s="314"/>
      <c r="BK118" s="314"/>
      <c r="BL118" s="314"/>
      <c r="BM118" s="316"/>
      <c r="BN118" s="314"/>
      <c r="BO118" s="314"/>
      <c r="BP118" s="314"/>
      <c r="BQ118" s="314"/>
      <c r="BR118" s="314"/>
      <c r="BS118" s="316"/>
      <c r="BT118" s="316"/>
      <c r="BU118" s="314"/>
      <c r="BV118" s="314"/>
    </row>
    <row r="119" s="32" customFormat="1" ht="25" customHeight="1" spans="1:74">
      <c r="A119" s="371"/>
      <c r="B119" s="373" t="s">
        <v>145</v>
      </c>
      <c r="C119" s="314"/>
      <c r="D119" s="314"/>
      <c r="E119" s="314"/>
      <c r="F119" s="314"/>
      <c r="G119" s="314"/>
      <c r="H119" s="314"/>
      <c r="I119" s="315"/>
      <c r="J119" s="314"/>
      <c r="K119" s="314"/>
      <c r="L119" s="314"/>
      <c r="M119" s="314"/>
      <c r="N119" s="314"/>
      <c r="O119" s="316"/>
      <c r="P119" s="316"/>
      <c r="Q119" s="314"/>
      <c r="R119" s="314"/>
      <c r="S119" s="314"/>
      <c r="T119" s="314"/>
      <c r="U119" s="314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4"/>
      <c r="AF119" s="314"/>
      <c r="AG119" s="314"/>
      <c r="AH119" s="314"/>
      <c r="AI119" s="314"/>
      <c r="AJ119" s="314"/>
      <c r="AK119" s="316"/>
      <c r="AL119" s="314"/>
      <c r="AM119" s="314"/>
      <c r="AN119" s="314"/>
      <c r="AO119" s="314"/>
      <c r="AP119" s="314"/>
      <c r="AQ119" s="316"/>
      <c r="AR119" s="316"/>
      <c r="AS119" s="314"/>
      <c r="AT119" s="314"/>
      <c r="AU119" s="314"/>
      <c r="AV119" s="314"/>
      <c r="AX119" s="374"/>
      <c r="AY119" s="316"/>
      <c r="AZ119" s="314"/>
      <c r="BA119" s="314"/>
      <c r="BB119" s="314"/>
      <c r="BE119" s="316"/>
      <c r="BF119" s="316"/>
      <c r="BG119" s="314"/>
      <c r="BH119" s="314"/>
      <c r="BI119" s="314"/>
      <c r="BJ119" s="314"/>
      <c r="BK119" s="314"/>
      <c r="BL119" s="314"/>
      <c r="BM119" s="316"/>
      <c r="BN119" s="314"/>
      <c r="BO119" s="314"/>
      <c r="BP119" s="314"/>
      <c r="BQ119" s="314"/>
      <c r="BR119" s="314"/>
      <c r="BS119" s="316"/>
      <c r="BT119" s="316"/>
      <c r="BU119" s="314"/>
      <c r="BV119" s="314"/>
    </row>
    <row r="120" s="32" customFormat="1" ht="25" customHeight="1" spans="1:74">
      <c r="A120" s="371"/>
      <c r="B120" s="373" t="s">
        <v>146</v>
      </c>
      <c r="C120" s="314"/>
      <c r="D120" s="314"/>
      <c r="E120" s="314"/>
      <c r="F120" s="314"/>
      <c r="G120" s="314"/>
      <c r="H120" s="314"/>
      <c r="I120" s="315"/>
      <c r="J120" s="314"/>
      <c r="K120" s="314"/>
      <c r="L120" s="314"/>
      <c r="M120" s="314"/>
      <c r="N120" s="314"/>
      <c r="O120" s="316"/>
      <c r="P120" s="316"/>
      <c r="Q120" s="314"/>
      <c r="R120" s="314"/>
      <c r="S120" s="314"/>
      <c r="T120" s="314"/>
      <c r="U120" s="314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4"/>
      <c r="AF120" s="314"/>
      <c r="AG120" s="314"/>
      <c r="AH120" s="314"/>
      <c r="AI120" s="314"/>
      <c r="AJ120" s="314"/>
      <c r="AK120" s="316"/>
      <c r="AL120" s="314"/>
      <c r="AM120" s="314"/>
      <c r="AN120" s="314"/>
      <c r="AO120" s="314"/>
      <c r="AP120" s="314"/>
      <c r="AQ120" s="316"/>
      <c r="AR120" s="316"/>
      <c r="AS120" s="314"/>
      <c r="AT120" s="314"/>
      <c r="AU120" s="314"/>
      <c r="AV120" s="314"/>
      <c r="AY120" s="316"/>
      <c r="BA120" s="374"/>
      <c r="BB120" s="314"/>
      <c r="BE120" s="316"/>
      <c r="BF120" s="316"/>
      <c r="BG120" s="314"/>
      <c r="BH120" s="314"/>
      <c r="BI120" s="314"/>
      <c r="BJ120" s="314"/>
      <c r="BK120" s="314"/>
      <c r="BL120" s="314"/>
      <c r="BM120" s="316"/>
      <c r="BN120" s="314"/>
      <c r="BO120" s="314"/>
      <c r="BP120" s="314"/>
      <c r="BQ120" s="314"/>
      <c r="BR120" s="314"/>
      <c r="BS120" s="316"/>
      <c r="BT120" s="316"/>
      <c r="BU120" s="314"/>
      <c r="BV120" s="314"/>
    </row>
    <row r="121" s="32" customFormat="1" ht="25" customHeight="1" spans="1:74">
      <c r="A121" s="371"/>
      <c r="B121" s="373" t="s">
        <v>147</v>
      </c>
      <c r="C121" s="314"/>
      <c r="D121" s="314"/>
      <c r="E121" s="314"/>
      <c r="F121" s="314"/>
      <c r="G121" s="314"/>
      <c r="H121" s="314"/>
      <c r="I121" s="315"/>
      <c r="J121" s="314"/>
      <c r="K121" s="314"/>
      <c r="L121" s="314"/>
      <c r="M121" s="314"/>
      <c r="N121" s="314"/>
      <c r="O121" s="316"/>
      <c r="P121" s="316"/>
      <c r="Q121" s="314"/>
      <c r="R121" s="314"/>
      <c r="S121" s="314"/>
      <c r="T121" s="314"/>
      <c r="U121" s="314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4"/>
      <c r="AF121" s="314"/>
      <c r="AG121" s="314"/>
      <c r="AH121" s="314"/>
      <c r="AI121" s="314"/>
      <c r="AJ121" s="314"/>
      <c r="AK121" s="316"/>
      <c r="AL121" s="314"/>
      <c r="AM121" s="314"/>
      <c r="AN121" s="314"/>
      <c r="AO121" s="314"/>
      <c r="AP121" s="314"/>
      <c r="AQ121" s="316"/>
      <c r="AR121" s="316"/>
      <c r="AS121" s="314"/>
      <c r="AT121" s="314"/>
      <c r="AU121" s="314"/>
      <c r="AV121" s="314"/>
      <c r="AX121" s="374" t="s">
        <v>148</v>
      </c>
      <c r="AY121" s="316"/>
      <c r="BA121" s="314"/>
      <c r="BB121" s="374" t="s">
        <v>149</v>
      </c>
      <c r="BE121" s="316"/>
      <c r="BF121" s="316"/>
      <c r="BG121" s="314"/>
      <c r="BH121" s="314"/>
      <c r="BI121" s="314"/>
      <c r="BJ121" s="314"/>
      <c r="BK121" s="314"/>
      <c r="BL121" s="314"/>
      <c r="BM121" s="316"/>
      <c r="BN121" s="314"/>
      <c r="BO121" s="314"/>
      <c r="BP121" s="314"/>
      <c r="BQ121" s="314"/>
      <c r="BR121" s="314"/>
      <c r="BS121" s="316"/>
      <c r="BT121" s="316"/>
      <c r="BU121" s="314"/>
      <c r="BV121" s="314"/>
    </row>
    <row r="122" s="32" customFormat="1" ht="25" customHeight="1" spans="1:74">
      <c r="A122" s="375"/>
      <c r="B122" s="373" t="s">
        <v>150</v>
      </c>
      <c r="C122" s="314"/>
      <c r="D122" s="314"/>
      <c r="E122" s="314"/>
      <c r="F122" s="314"/>
      <c r="G122" s="314"/>
      <c r="H122" s="314"/>
      <c r="I122" s="315"/>
      <c r="J122" s="314"/>
      <c r="K122" s="314"/>
      <c r="L122" s="314"/>
      <c r="M122" s="314"/>
      <c r="N122" s="314"/>
      <c r="O122" s="316"/>
      <c r="P122" s="316"/>
      <c r="Q122" s="314"/>
      <c r="R122" s="314"/>
      <c r="S122" s="314"/>
      <c r="T122" s="314"/>
      <c r="U122" s="314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4"/>
      <c r="AF122" s="314"/>
      <c r="AG122" s="314"/>
      <c r="AH122" s="314"/>
      <c r="AI122" s="314"/>
      <c r="AJ122" s="314"/>
      <c r="AK122" s="316"/>
      <c r="AL122" s="314"/>
      <c r="AM122" s="314"/>
      <c r="AN122" s="314"/>
      <c r="AO122" s="314"/>
      <c r="AP122" s="314"/>
      <c r="AQ122" s="316"/>
      <c r="AR122" s="316"/>
      <c r="AS122" s="314"/>
      <c r="AT122" s="314"/>
      <c r="AU122" s="314"/>
      <c r="AV122" s="314"/>
      <c r="AX122" s="374"/>
      <c r="AY122" s="316"/>
      <c r="AZ122" s="314"/>
      <c r="BA122" s="314"/>
      <c r="BB122" s="314"/>
      <c r="BC122" s="314"/>
      <c r="BE122" s="316"/>
      <c r="BF122" s="316"/>
      <c r="BI122" s="314"/>
      <c r="BJ122" s="314"/>
      <c r="BK122" s="314"/>
      <c r="BL122" s="314"/>
      <c r="BM122" s="316"/>
      <c r="BN122" s="314"/>
      <c r="BO122" s="314"/>
      <c r="BP122" s="314"/>
      <c r="BQ122" s="314"/>
      <c r="BR122" s="314"/>
      <c r="BS122" s="316"/>
      <c r="BT122" s="316"/>
      <c r="BU122" s="314"/>
      <c r="BV122" s="314"/>
    </row>
    <row r="123" s="88" customFormat="1" ht="25" customHeight="1"/>
    <row r="124" s="88" customFormat="1" ht="25" customHeight="1"/>
    <row r="125" s="88" customFormat="1" ht="25" customHeight="1"/>
    <row r="126" s="88" customFormat="1" ht="25" customHeight="1"/>
    <row r="127" s="88" customFormat="1" ht="25" customHeight="1"/>
    <row r="128" s="88" customFormat="1" ht="25" customHeight="1"/>
    <row r="129" s="88" customFormat="1" ht="25" customHeight="1"/>
    <row r="130" s="88" customFormat="1" ht="25" customHeight="1"/>
    <row r="131" s="88" customFormat="1" ht="25" customHeight="1"/>
    <row r="132" s="88" customFormat="1" ht="25" customHeight="1"/>
    <row r="133" s="88" customFormat="1" ht="25" customHeight="1"/>
    <row r="134" s="88" customFormat="1" ht="25" customHeight="1"/>
    <row r="135" s="88" customFormat="1" ht="25" customHeight="1"/>
    <row r="136" s="88" customFormat="1" ht="25" customHeight="1"/>
    <row r="137" s="88" customFormat="1" ht="25" customHeight="1"/>
    <row r="138" s="88" customFormat="1" ht="25" customHeight="1"/>
    <row r="139" s="88" customFormat="1" ht="25" customHeight="1"/>
    <row r="140" s="88" customFormat="1" ht="25" customHeight="1"/>
    <row r="141" s="88" customFormat="1" ht="25" customHeight="1"/>
    <row r="142" s="88" customFormat="1" ht="25" customHeight="1"/>
    <row r="143" s="88" customFormat="1" ht="25" customHeight="1"/>
    <row r="144" s="88" customFormat="1" ht="25" customHeight="1"/>
    <row r="145" s="88" customFormat="1" ht="25" customHeight="1"/>
    <row r="146" s="88" customFormat="1" ht="25" customHeight="1"/>
    <row r="147" s="88" customFormat="1" ht="25" customHeight="1"/>
    <row r="148" s="88" customFormat="1" ht="25" customHeight="1"/>
    <row r="149" s="88" customFormat="1" ht="25" customHeight="1"/>
    <row r="150" s="88" customFormat="1" ht="25" customHeight="1"/>
    <row r="151" s="88" customFormat="1" ht="25" customHeight="1"/>
    <row r="152" s="88" customFormat="1" ht="25" customHeight="1"/>
    <row r="153" s="88" customFormat="1" ht="25" customHeight="1"/>
    <row r="154" s="88" customFormat="1" ht="25" customHeight="1"/>
    <row r="155" s="88" customFormat="1" ht="25" customHeight="1"/>
    <row r="156" s="88" customFormat="1" ht="25" customHeight="1"/>
    <row r="157" s="88" customFormat="1" ht="25" customHeight="1"/>
    <row r="158" s="88" customFormat="1" ht="25" customHeight="1"/>
    <row r="159" s="88" customFormat="1" ht="25" customHeight="1"/>
    <row r="160" s="88" customFormat="1" ht="25" customHeight="1"/>
    <row r="161" s="88" customFormat="1" ht="25" customHeight="1"/>
    <row r="162" s="88" customFormat="1" ht="25" customHeight="1"/>
    <row r="163" s="88" customFormat="1" ht="25" customHeight="1"/>
    <row r="164" s="88" customFormat="1" ht="25" customHeight="1"/>
    <row r="165" s="88" customFormat="1" ht="25" customHeight="1"/>
    <row r="166" s="88" customFormat="1" ht="25" customHeight="1"/>
    <row r="167" s="88" customFormat="1" ht="25" customHeight="1"/>
    <row r="168" s="88" customFormat="1" ht="25" customHeight="1"/>
    <row r="169" s="88" customFormat="1" ht="25" customHeight="1"/>
    <row r="170" s="88" customFormat="1" ht="25" customHeight="1"/>
    <row r="171" s="88" customFormat="1" ht="25" customHeight="1"/>
    <row r="172" s="88" customFormat="1" ht="25" customHeight="1"/>
    <row r="173" s="88" customFormat="1" ht="25" customHeight="1"/>
    <row r="174" s="88" customFormat="1" ht="25" customHeight="1"/>
    <row r="175" s="88" customFormat="1" ht="25" customHeight="1"/>
    <row r="176" s="88" customFormat="1" ht="25" customHeight="1"/>
    <row r="177" s="88" customFormat="1" ht="25" customHeight="1"/>
    <row r="178" s="88" customFormat="1" ht="25" customHeight="1"/>
    <row r="179" s="88" customFormat="1" ht="25" customHeight="1"/>
    <row r="180" s="88" customFormat="1" ht="25" customHeight="1"/>
    <row r="181" s="88" customFormat="1" ht="25" customHeight="1"/>
    <row r="182" s="88" customFormat="1" ht="25" customHeight="1"/>
    <row r="183" s="88" customFormat="1" ht="25" customHeight="1"/>
    <row r="184" s="88" customFormat="1" ht="25" customHeight="1"/>
    <row r="185" s="88" customFormat="1" ht="25" customHeight="1"/>
    <row r="186" s="88" customFormat="1" ht="25" customHeight="1"/>
    <row r="187" s="88" customFormat="1" ht="25" customHeight="1"/>
    <row r="188" s="88" customFormat="1" ht="25" customHeight="1"/>
    <row r="189" s="88" customFormat="1" ht="25" customHeight="1"/>
    <row r="190" s="88" customFormat="1" ht="25" customHeight="1"/>
    <row r="191" s="88" customFormat="1" ht="25" customHeight="1"/>
    <row r="192" s="88" customFormat="1" ht="25" customHeight="1"/>
    <row r="193" s="88" customFormat="1" ht="25" customHeight="1"/>
    <row r="194" s="88" customFormat="1" ht="25" customHeight="1"/>
    <row r="195" s="88" customFormat="1" ht="25" customHeight="1"/>
    <row r="196" s="88" customFormat="1" ht="25" customHeight="1"/>
    <row r="197" s="88" customFormat="1" ht="25" customHeight="1"/>
    <row r="198" s="88" customFormat="1" ht="25" customHeight="1"/>
    <row r="199" s="88" customFormat="1" ht="25" customHeight="1"/>
    <row r="200" s="88" customFormat="1" ht="25" customHeight="1"/>
    <row r="201" s="88" customFormat="1" ht="25" customHeight="1"/>
    <row r="202" s="88" customFormat="1" ht="25" customHeight="1"/>
    <row r="203" s="88" customFormat="1" ht="25" customHeight="1"/>
    <row r="204" s="88" customFormat="1" ht="25" customHeight="1"/>
    <row r="205" s="88" customFormat="1" ht="25" customHeight="1"/>
    <row r="206" s="88" customFormat="1" ht="25" customHeight="1"/>
    <row r="207" s="88" customFormat="1" ht="25" customHeight="1"/>
    <row r="208" s="88" customFormat="1" ht="25" customHeight="1"/>
    <row r="209" s="88" customFormat="1" ht="25" customHeight="1"/>
    <row r="210" s="88" customFormat="1" ht="25" customHeight="1"/>
    <row r="211" s="88" customFormat="1" ht="25" customHeight="1"/>
    <row r="212" s="88" customFormat="1" ht="25" customHeight="1"/>
    <row r="213" s="88" customFormat="1" ht="25" customHeight="1"/>
    <row r="214" s="88" customFormat="1" ht="25" customHeight="1"/>
    <row r="215" s="88" customFormat="1" ht="25" customHeight="1"/>
    <row r="216" s="88" customFormat="1" ht="25" customHeight="1"/>
    <row r="217" s="88" customFormat="1" ht="25" customHeight="1"/>
    <row r="218" s="88" customFormat="1" ht="25" customHeight="1"/>
    <row r="219" s="88" customFormat="1" ht="25" customHeight="1"/>
    <row r="220" s="88" customFormat="1" ht="25" customHeight="1"/>
    <row r="221" s="88" customFormat="1" ht="25" customHeight="1"/>
    <row r="222" s="88" customFormat="1" ht="25" customHeight="1"/>
    <row r="223" s="88" customFormat="1" ht="25" customHeight="1"/>
    <row r="224" s="88" customFormat="1" ht="25" customHeight="1"/>
    <row r="225" s="88" customFormat="1" ht="25" customHeight="1"/>
    <row r="226" s="88" customFormat="1" ht="25" customHeight="1"/>
    <row r="227" s="88" customFormat="1" ht="25" customHeight="1"/>
    <row r="228" s="88" customFormat="1" ht="25" customHeight="1"/>
    <row r="229" s="88" customFormat="1" ht="25" customHeight="1"/>
    <row r="230" s="88" customFormat="1" ht="25" customHeight="1"/>
    <row r="231" s="88" customFormat="1" ht="25" customHeight="1"/>
    <row r="232" s="88" customFormat="1" ht="25" customHeight="1"/>
    <row r="233" s="88" customFormat="1" ht="25" customHeight="1"/>
    <row r="234" s="88" customFormat="1" ht="25" customHeight="1"/>
    <row r="235" s="88" customFormat="1" ht="25" customHeight="1"/>
    <row r="236" s="88" customFormat="1" ht="25" customHeight="1"/>
    <row r="237" s="88" customFormat="1" ht="25" customHeight="1"/>
    <row r="238" s="88" customFormat="1" ht="25" customHeight="1"/>
    <row r="239" s="88" customFormat="1" ht="25" customHeight="1"/>
    <row r="240" s="88" customFormat="1" ht="25" customHeight="1"/>
    <row r="241" s="88" customFormat="1" ht="25" customHeight="1"/>
    <row r="242" s="88" customFormat="1" ht="25" customHeight="1"/>
    <row r="243" s="88" customFormat="1" ht="25" customHeight="1"/>
    <row r="244" s="88" customFormat="1" ht="25" customHeight="1"/>
    <row r="245" s="88" customFormat="1" ht="25" customHeight="1"/>
    <row r="246" s="88" customFormat="1" ht="25" customHeight="1"/>
    <row r="247" s="88" customFormat="1" ht="25" customHeight="1"/>
    <row r="248" s="88" customFormat="1" ht="25" customHeight="1"/>
    <row r="249" s="88" customFormat="1" ht="25" customHeight="1"/>
    <row r="250" s="88" customFormat="1" ht="25" customHeight="1"/>
    <row r="251" s="88" customFormat="1" ht="25" customHeight="1"/>
    <row r="252" s="88" customFormat="1" ht="25" customHeight="1"/>
    <row r="253" s="88" customFormat="1" ht="25" customHeight="1"/>
    <row r="254" s="88" customFormat="1" ht="25" customHeight="1"/>
    <row r="255" s="88" customFormat="1" ht="25" customHeight="1"/>
    <row r="256" s="88" customFormat="1" ht="25" customHeight="1"/>
    <row r="257" s="88" customFormat="1" ht="25" customHeight="1"/>
    <row r="258" s="88" customFormat="1" ht="25" customHeight="1"/>
    <row r="259" s="88" customFormat="1" ht="25" customHeight="1"/>
    <row r="260" s="88" customFormat="1" ht="25" customHeight="1"/>
    <row r="261" s="88" customFormat="1" ht="25" customHeight="1"/>
    <row r="262" s="88" customFormat="1" ht="25" customHeight="1"/>
    <row r="263" s="88" customFormat="1" ht="25" customHeight="1"/>
    <row r="264" s="88" customFormat="1" ht="25" customHeight="1"/>
    <row r="265" s="88" customFormat="1" ht="25" customHeight="1"/>
    <row r="266" s="88" customFormat="1" ht="25" customHeight="1"/>
    <row r="267" s="88" customFormat="1" ht="25" customHeight="1"/>
    <row r="268" s="88" customFormat="1" ht="25" customHeight="1"/>
    <row r="269" s="88" customFormat="1" ht="25" customHeight="1"/>
    <row r="270" s="88" customFormat="1" ht="25" customHeight="1"/>
    <row r="271" s="88" customFormat="1" ht="25" customHeight="1"/>
    <row r="272" s="88" customFormat="1" ht="25" customHeight="1"/>
    <row r="273" s="88" customFormat="1" ht="25" customHeight="1"/>
    <row r="274" s="88" customFormat="1" ht="25" customHeight="1"/>
    <row r="275" s="88" customFormat="1" ht="25" customHeight="1"/>
    <row r="276" s="88" customFormat="1" ht="25" customHeight="1"/>
    <row r="277" s="88" customFormat="1" ht="25" customHeight="1"/>
    <row r="278" s="88" customFormat="1" ht="25" customHeight="1"/>
    <row r="279" s="88" customFormat="1" ht="25" customHeight="1"/>
    <row r="280" s="88" customFormat="1" ht="25" customHeight="1"/>
    <row r="281" s="88" customFormat="1" ht="25" customHeight="1"/>
    <row r="282" s="88" customFormat="1" ht="25" customHeight="1"/>
    <row r="283" s="88" customFormat="1" ht="25" customHeight="1"/>
    <row r="284" s="88" customFormat="1" ht="25" customHeight="1"/>
    <row r="285" s="88" customFormat="1" ht="25" customHeight="1"/>
    <row r="286" s="88" customFormat="1" ht="25" customHeight="1"/>
    <row r="287" s="88" customFormat="1" ht="25" customHeight="1"/>
    <row r="288" s="88" customFormat="1" ht="25" customHeight="1"/>
    <row r="289" s="88" customFormat="1" ht="25" customHeight="1"/>
  </sheetData>
  <mergeCells count="39">
    <mergeCell ref="A1:BO1"/>
    <mergeCell ref="A2:XFD2"/>
    <mergeCell ref="B3:F3"/>
    <mergeCell ref="G3:L3"/>
    <mergeCell ref="M3:R3"/>
    <mergeCell ref="S3:BO3"/>
    <mergeCell ref="B4:F4"/>
    <mergeCell ref="G4:L4"/>
    <mergeCell ref="M4:R4"/>
    <mergeCell ref="S4:BO4"/>
    <mergeCell ref="B5:F5"/>
    <mergeCell ref="G5:L5"/>
    <mergeCell ref="M5:R5"/>
    <mergeCell ref="S5:BO5"/>
    <mergeCell ref="A6:XFD6"/>
    <mergeCell ref="A7:XFD7"/>
    <mergeCell ref="A8:BR8"/>
    <mergeCell ref="BU8:BV8"/>
    <mergeCell ref="C9:H9"/>
    <mergeCell ref="J9:N9"/>
    <mergeCell ref="Q9:U9"/>
    <mergeCell ref="V9:AB9"/>
    <mergeCell ref="AC9:AJ9"/>
    <mergeCell ref="AL9:AP9"/>
    <mergeCell ref="AS9:AX9"/>
    <mergeCell ref="AZ9:BD9"/>
    <mergeCell ref="BG9:BL9"/>
    <mergeCell ref="BN9:BR9"/>
    <mergeCell ref="BU9:BV9"/>
    <mergeCell ref="A11:A27"/>
    <mergeCell ref="A28:A29"/>
    <mergeCell ref="A30:A34"/>
    <mergeCell ref="A35:A50"/>
    <mergeCell ref="A51:A63"/>
    <mergeCell ref="A64:A75"/>
    <mergeCell ref="A76:A89"/>
    <mergeCell ref="A90:A94"/>
    <mergeCell ref="A95:A109"/>
    <mergeCell ref="A110:A1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8"/>
  <sheetViews>
    <sheetView topLeftCell="A10" workbookViewId="0">
      <selection activeCell="P28" sqref="P28"/>
    </sheetView>
  </sheetViews>
  <sheetFormatPr defaultColWidth="9" defaultRowHeight="14.4"/>
  <cols>
    <col min="1" max="1" width="14.9916666666667" style="88" customWidth="1"/>
    <col min="2" max="2" width="9.38333333333333" style="88" customWidth="1"/>
    <col min="3" max="3" width="37.8166666666667" style="88" customWidth="1"/>
    <col min="4" max="4" width="22.0333333333333" style="88" customWidth="1"/>
    <col min="5" max="5" width="17.6583333333333" style="88" customWidth="1"/>
    <col min="6" max="6" width="15.3166666666667" style="88" customWidth="1"/>
    <col min="7" max="7" width="16.8833333333333" style="88" customWidth="1"/>
    <col min="8" max="13" width="3.38333333333333" style="88" customWidth="1"/>
    <col min="14" max="14" width="3.89166666666667" style="88" customWidth="1"/>
    <col min="15" max="48" width="3.38333333333333" style="88" customWidth="1"/>
    <col min="49" max="63" width="3.38333333333333" style="237" customWidth="1"/>
    <col min="64" max="16384" width="9" style="88"/>
  </cols>
  <sheetData>
    <row r="1" s="234" customFormat="1" ht="60" customHeight="1" spans="1:64">
      <c r="A1" s="238" t="s">
        <v>151</v>
      </c>
      <c r="B1" s="239"/>
      <c r="C1" s="239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39"/>
      <c r="T1" s="241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2"/>
      <c r="AP1" s="243" t="s">
        <v>124</v>
      </c>
      <c r="AQ1" s="243"/>
      <c r="AR1" s="243"/>
      <c r="AS1" s="243"/>
      <c r="AT1" s="243"/>
      <c r="AU1" s="244" t="s">
        <v>124</v>
      </c>
      <c r="AV1" s="244"/>
      <c r="AW1" s="237"/>
      <c r="AX1" s="237"/>
      <c r="AY1" s="237"/>
      <c r="AZ1" s="237"/>
      <c r="BA1" s="237"/>
      <c r="BB1" s="237"/>
      <c r="BC1" s="237"/>
      <c r="BD1" s="237"/>
      <c r="BE1" s="237"/>
      <c r="BF1" s="237"/>
      <c r="BG1" s="237"/>
      <c r="BH1" s="237"/>
      <c r="BI1" s="237"/>
      <c r="BJ1" s="237"/>
      <c r="BK1" s="237"/>
    </row>
    <row r="2" s="235" customFormat="1" ht="27" customHeight="1" spans="1:64">
      <c r="A2" s="245" t="s">
        <v>152</v>
      </c>
      <c r="B2" s="245"/>
      <c r="C2" s="245"/>
      <c r="D2" s="245"/>
      <c r="E2" s="245"/>
      <c r="F2" s="245"/>
      <c r="G2" s="245"/>
      <c r="H2" s="246" t="s">
        <v>153</v>
      </c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6" t="s">
        <v>154</v>
      </c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C2" s="247"/>
      <c r="BD2" s="247"/>
      <c r="BE2" s="247"/>
      <c r="BF2" s="247"/>
      <c r="BG2" s="247"/>
      <c r="BH2" s="247"/>
      <c r="BI2" s="247"/>
      <c r="BJ2" s="247"/>
      <c r="BK2" s="248"/>
      <c r="BL2" s="234"/>
    </row>
    <row r="3" s="235" customFormat="1" ht="26" customHeight="1" spans="1:64">
      <c r="A3" s="249" t="s">
        <v>155</v>
      </c>
      <c r="B3" s="250"/>
      <c r="C3" s="249" t="s">
        <v>156</v>
      </c>
      <c r="D3" s="251" t="s">
        <v>6</v>
      </c>
      <c r="E3" s="252" t="s">
        <v>157</v>
      </c>
      <c r="F3" s="253" t="s">
        <v>158</v>
      </c>
      <c r="G3" s="253" t="s">
        <v>159</v>
      </c>
      <c r="H3" s="246" t="s">
        <v>160</v>
      </c>
      <c r="I3" s="247"/>
      <c r="J3" s="247"/>
      <c r="K3" s="246" t="s">
        <v>161</v>
      </c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8"/>
      <c r="Z3" s="246" t="s">
        <v>162</v>
      </c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8"/>
      <c r="AW3" s="254" t="s">
        <v>163</v>
      </c>
      <c r="AX3" s="255"/>
      <c r="AY3" s="255"/>
      <c r="AZ3" s="255"/>
      <c r="BA3" s="255"/>
      <c r="BB3" s="255"/>
      <c r="BC3" s="255"/>
      <c r="BD3" s="255"/>
      <c r="BE3" s="256"/>
      <c r="BF3" s="237"/>
      <c r="BG3" s="237"/>
      <c r="BH3" s="237"/>
      <c r="BI3" s="237"/>
      <c r="BJ3" s="237"/>
      <c r="BK3" s="237"/>
      <c r="BL3" s="234"/>
    </row>
    <row r="4" s="235" customFormat="1" ht="25" customHeight="1" spans="1:64">
      <c r="A4" s="249"/>
      <c r="B4" s="257"/>
      <c r="C4" s="249"/>
      <c r="D4" s="251"/>
      <c r="E4" s="252"/>
      <c r="F4" s="253"/>
      <c r="G4" s="253"/>
      <c r="H4" s="237">
        <v>8</v>
      </c>
      <c r="I4" s="237">
        <v>9</v>
      </c>
      <c r="J4" s="237">
        <v>10</v>
      </c>
      <c r="K4" s="237">
        <v>11</v>
      </c>
      <c r="L4" s="237">
        <v>12</v>
      </c>
      <c r="M4" s="237">
        <v>13</v>
      </c>
      <c r="N4" s="237">
        <v>14</v>
      </c>
      <c r="O4" s="237">
        <v>15</v>
      </c>
      <c r="P4" s="237">
        <v>16</v>
      </c>
      <c r="Q4" s="237">
        <v>17</v>
      </c>
      <c r="R4" s="237">
        <v>18</v>
      </c>
      <c r="S4" s="237">
        <v>19</v>
      </c>
      <c r="T4" s="237">
        <v>20</v>
      </c>
      <c r="U4" s="237">
        <v>21</v>
      </c>
      <c r="V4" s="237">
        <v>22</v>
      </c>
      <c r="W4" s="237">
        <v>23</v>
      </c>
      <c r="X4" s="237">
        <v>24</v>
      </c>
      <c r="Y4" s="237">
        <v>25</v>
      </c>
      <c r="Z4" s="237">
        <v>26</v>
      </c>
      <c r="AA4" s="237">
        <v>27</v>
      </c>
      <c r="AB4" s="237">
        <v>28</v>
      </c>
      <c r="AC4" s="237">
        <v>29</v>
      </c>
      <c r="AD4" s="237">
        <v>30</v>
      </c>
      <c r="AE4" s="237">
        <v>31</v>
      </c>
      <c r="AF4" s="237">
        <v>1</v>
      </c>
      <c r="AG4" s="237">
        <v>2</v>
      </c>
      <c r="AH4" s="237">
        <v>3</v>
      </c>
      <c r="AI4" s="237">
        <v>4</v>
      </c>
      <c r="AJ4" s="237">
        <v>5</v>
      </c>
      <c r="AK4" s="237">
        <v>6</v>
      </c>
      <c r="AL4" s="237">
        <v>7</v>
      </c>
      <c r="AM4" s="237">
        <v>8</v>
      </c>
      <c r="AN4" s="237">
        <v>9</v>
      </c>
      <c r="AO4" s="237">
        <v>10</v>
      </c>
      <c r="AP4" s="237">
        <v>11</v>
      </c>
      <c r="AQ4" s="237">
        <v>12</v>
      </c>
      <c r="AR4" s="237">
        <v>13</v>
      </c>
      <c r="AS4" s="237">
        <v>14</v>
      </c>
      <c r="AT4" s="237">
        <v>15</v>
      </c>
      <c r="AU4" s="237">
        <v>16</v>
      </c>
      <c r="AV4" s="237">
        <v>17</v>
      </c>
      <c r="AW4" s="237">
        <v>18</v>
      </c>
      <c r="AX4" s="237">
        <v>19</v>
      </c>
      <c r="AY4" s="237">
        <v>20</v>
      </c>
      <c r="AZ4" s="237">
        <v>21</v>
      </c>
      <c r="BA4" s="237">
        <v>22</v>
      </c>
      <c r="BB4" s="237">
        <v>23</v>
      </c>
      <c r="BC4" s="237">
        <v>24</v>
      </c>
      <c r="BD4" s="237">
        <v>25</v>
      </c>
      <c r="BE4" s="237">
        <v>26</v>
      </c>
      <c r="BF4" s="237">
        <v>27</v>
      </c>
      <c r="BG4" s="237">
        <v>28</v>
      </c>
      <c r="BH4" s="237">
        <v>29</v>
      </c>
      <c r="BI4" s="237">
        <v>30</v>
      </c>
      <c r="BJ4" s="237">
        <v>31</v>
      </c>
      <c r="BK4" s="237">
        <v>32</v>
      </c>
      <c r="BL4" s="234"/>
    </row>
    <row r="5" s="234" customFormat="1" ht="31" customHeight="1" spans="1:64">
      <c r="A5" s="258" t="s">
        <v>164</v>
      </c>
      <c r="B5" s="259" t="s">
        <v>165</v>
      </c>
      <c r="C5" s="260" t="s">
        <v>166</v>
      </c>
      <c r="D5" s="261" t="s">
        <v>167</v>
      </c>
      <c r="E5" s="262" t="s">
        <v>168</v>
      </c>
      <c r="F5" s="262">
        <v>46366</v>
      </c>
      <c r="G5" s="262" t="s">
        <v>167</v>
      </c>
      <c r="H5" s="263"/>
      <c r="I5" s="264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</row>
    <row r="6" s="234" customFormat="1" ht="31" customHeight="1" spans="1:64">
      <c r="A6" s="258"/>
      <c r="B6" s="259"/>
      <c r="C6" s="268" t="s">
        <v>169</v>
      </c>
      <c r="D6" s="269" t="s">
        <v>167</v>
      </c>
      <c r="E6" s="270" t="s">
        <v>170</v>
      </c>
      <c r="F6" s="270">
        <v>46032</v>
      </c>
      <c r="G6" s="270" t="s">
        <v>167</v>
      </c>
      <c r="H6" s="264"/>
      <c r="I6" s="264"/>
      <c r="J6" s="263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7"/>
      <c r="AZ6" s="267"/>
      <c r="BA6" s="267"/>
      <c r="BB6" s="267"/>
      <c r="BC6" s="267"/>
      <c r="BD6" s="267"/>
      <c r="BE6" s="267"/>
      <c r="BF6" s="267"/>
      <c r="BG6" s="267"/>
      <c r="BH6" s="267"/>
      <c r="BI6" s="267"/>
      <c r="BJ6" s="267"/>
      <c r="BK6" s="267"/>
    </row>
    <row r="7" s="234" customFormat="1" ht="31" customHeight="1" spans="1:64">
      <c r="A7" s="258"/>
      <c r="B7" s="259"/>
      <c r="C7" s="271" t="s">
        <v>171</v>
      </c>
      <c r="D7" s="272" t="s">
        <v>167</v>
      </c>
      <c r="E7" s="273">
        <v>46034</v>
      </c>
      <c r="F7" s="273">
        <v>46040</v>
      </c>
      <c r="G7" s="273" t="s">
        <v>167</v>
      </c>
      <c r="H7" s="264"/>
      <c r="I7" s="264"/>
      <c r="J7" s="265"/>
      <c r="K7" s="265"/>
      <c r="L7" s="265"/>
      <c r="M7" s="274"/>
      <c r="N7" s="275"/>
      <c r="O7" s="263"/>
      <c r="P7" s="276"/>
      <c r="Q7" s="277"/>
      <c r="R7" s="277"/>
      <c r="S7" s="265"/>
      <c r="T7" s="265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7"/>
      <c r="AZ7" s="267"/>
      <c r="BA7" s="267"/>
      <c r="BB7" s="267"/>
      <c r="BC7" s="267"/>
      <c r="BD7" s="267"/>
      <c r="BE7" s="267"/>
      <c r="BF7" s="267"/>
      <c r="BG7" s="267"/>
      <c r="BH7" s="267"/>
      <c r="BI7" s="267"/>
      <c r="BJ7" s="267"/>
      <c r="BK7" s="267"/>
    </row>
    <row r="8" s="234" customFormat="1" ht="31" customHeight="1" spans="1:64">
      <c r="A8" s="258"/>
      <c r="B8" s="259"/>
      <c r="C8" s="278" t="s">
        <v>172</v>
      </c>
      <c r="D8" s="272" t="s">
        <v>167</v>
      </c>
      <c r="E8" s="273">
        <v>46041</v>
      </c>
      <c r="F8" s="273">
        <v>46048</v>
      </c>
      <c r="G8" s="279" t="s">
        <v>167</v>
      </c>
      <c r="H8" s="264"/>
      <c r="I8" s="264"/>
      <c r="J8" s="264"/>
      <c r="K8" s="265"/>
      <c r="L8" s="265"/>
      <c r="M8" s="265"/>
      <c r="N8" s="265"/>
      <c r="O8" s="265"/>
      <c r="P8" s="265"/>
      <c r="Q8" s="265"/>
      <c r="R8" s="265"/>
      <c r="S8" s="263"/>
      <c r="T8" s="263"/>
      <c r="U8" s="280"/>
      <c r="V8" s="280"/>
      <c r="W8" s="280"/>
      <c r="X8" s="274"/>
      <c r="Y8" s="274"/>
      <c r="Z8" s="277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  <c r="AU8" s="266"/>
      <c r="AV8" s="266"/>
      <c r="AW8" s="266"/>
      <c r="AX8" s="266"/>
      <c r="AY8" s="267"/>
      <c r="AZ8" s="267"/>
      <c r="BA8" s="267"/>
      <c r="BB8" s="267"/>
      <c r="BC8" s="267"/>
      <c r="BD8" s="267"/>
      <c r="BE8" s="267"/>
      <c r="BF8" s="267"/>
      <c r="BG8" s="267"/>
      <c r="BH8" s="267"/>
      <c r="BI8" s="267"/>
      <c r="BJ8" s="267"/>
      <c r="BK8" s="267"/>
    </row>
    <row r="9" s="234" customFormat="1" ht="31" customHeight="1" spans="1:64">
      <c r="A9" s="258"/>
      <c r="B9" s="259"/>
      <c r="C9" s="281" t="s">
        <v>173</v>
      </c>
      <c r="D9" s="282" t="s">
        <v>167</v>
      </c>
      <c r="E9" s="283">
        <v>46048</v>
      </c>
      <c r="F9" s="283">
        <v>46050</v>
      </c>
      <c r="G9" s="279" t="s">
        <v>167</v>
      </c>
      <c r="H9" s="264"/>
      <c r="I9" s="264"/>
      <c r="J9" s="264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6"/>
      <c r="V9" s="266"/>
      <c r="W9" s="266"/>
      <c r="X9" s="266"/>
      <c r="Y9" s="266"/>
      <c r="Z9" s="266"/>
      <c r="AA9" s="274"/>
      <c r="AB9" s="284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7"/>
      <c r="AZ9" s="267"/>
      <c r="BA9" s="267"/>
      <c r="BB9" s="267"/>
      <c r="BC9" s="267"/>
      <c r="BD9" s="267"/>
      <c r="BE9" s="267"/>
      <c r="BF9" s="267"/>
      <c r="BG9" s="267"/>
      <c r="BH9" s="267"/>
      <c r="BI9" s="267"/>
      <c r="BJ9" s="267"/>
      <c r="BK9" s="267"/>
    </row>
    <row r="10" s="234" customFormat="1" ht="31" customHeight="1" spans="1:64">
      <c r="A10" s="258"/>
      <c r="B10" s="259"/>
      <c r="C10" s="285" t="s">
        <v>60</v>
      </c>
      <c r="D10" s="286" t="s">
        <v>167</v>
      </c>
      <c r="E10" s="287">
        <v>46048</v>
      </c>
      <c r="F10" s="287">
        <v>46050</v>
      </c>
      <c r="G10" s="286" t="s">
        <v>167</v>
      </c>
      <c r="H10" s="264"/>
      <c r="I10" s="264"/>
      <c r="J10" s="264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6"/>
      <c r="V10" s="266"/>
      <c r="W10" s="266"/>
      <c r="X10" s="266"/>
      <c r="Y10" s="266"/>
      <c r="Z10" s="263"/>
      <c r="AA10" s="263"/>
      <c r="AB10" s="263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7"/>
      <c r="AZ10" s="267"/>
      <c r="BA10" s="267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</row>
    <row r="11" s="234" customFormat="1" ht="34" customHeight="1" spans="1:64">
      <c r="A11" s="258"/>
      <c r="B11" s="259"/>
      <c r="C11" s="288" t="s">
        <v>174</v>
      </c>
      <c r="D11" s="286" t="s">
        <v>167</v>
      </c>
      <c r="E11" s="287">
        <v>46049</v>
      </c>
      <c r="F11" s="287">
        <v>46050</v>
      </c>
      <c r="G11" s="289" t="s">
        <v>167</v>
      </c>
      <c r="H11" s="264"/>
      <c r="I11" s="264"/>
      <c r="J11" s="264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6"/>
      <c r="V11" s="266"/>
      <c r="W11" s="266"/>
      <c r="X11" s="266"/>
      <c r="Y11" s="266"/>
      <c r="Z11" s="266"/>
      <c r="AA11" s="266"/>
      <c r="AB11" s="263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</row>
    <row r="12" s="234" customFormat="1" ht="31" customHeight="1" spans="1:64">
      <c r="A12" s="258"/>
      <c r="B12" s="259"/>
      <c r="C12" s="285" t="s">
        <v>62</v>
      </c>
      <c r="D12" s="286" t="s">
        <v>167</v>
      </c>
      <c r="E12" s="287">
        <v>46050</v>
      </c>
      <c r="F12" s="287">
        <v>46051</v>
      </c>
      <c r="G12" s="290" t="s">
        <v>167</v>
      </c>
      <c r="H12" s="264"/>
      <c r="I12" s="264"/>
      <c r="J12" s="264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6"/>
      <c r="V12" s="266"/>
      <c r="W12" s="266"/>
      <c r="X12" s="266"/>
      <c r="Y12" s="266"/>
      <c r="Z12" s="266"/>
      <c r="AA12" s="266"/>
      <c r="AB12" s="263"/>
      <c r="AC12" s="284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  <c r="BI12" s="267"/>
      <c r="BJ12" s="267"/>
      <c r="BK12" s="267"/>
    </row>
    <row r="13" s="234" customFormat="1" ht="31" customHeight="1" spans="1:64">
      <c r="A13" s="258"/>
      <c r="B13" s="259"/>
      <c r="C13" s="291" t="s">
        <v>63</v>
      </c>
      <c r="D13" s="286" t="s">
        <v>167</v>
      </c>
      <c r="E13" s="292">
        <v>46048</v>
      </c>
      <c r="F13" s="292">
        <v>46073</v>
      </c>
      <c r="G13" s="292" t="s">
        <v>167</v>
      </c>
      <c r="H13" s="264"/>
      <c r="I13" s="264"/>
      <c r="J13" s="264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6"/>
      <c r="V13" s="266"/>
      <c r="W13" s="266"/>
      <c r="X13" s="266"/>
      <c r="Y13" s="266"/>
      <c r="Z13" s="263"/>
      <c r="AA13" s="263"/>
      <c r="AB13" s="263"/>
      <c r="AC13" s="263"/>
      <c r="AD13" s="263"/>
      <c r="AE13" s="276"/>
      <c r="AF13" s="276"/>
      <c r="AG13" s="276"/>
      <c r="AH13" s="276"/>
      <c r="AI13" s="276"/>
      <c r="AJ13" s="276"/>
      <c r="AK13" s="276"/>
      <c r="AL13" s="276"/>
      <c r="AM13" s="263"/>
      <c r="AN13" s="263"/>
      <c r="AO13" s="263"/>
      <c r="AP13" s="263"/>
      <c r="AQ13" s="263"/>
      <c r="AR13" s="263"/>
      <c r="AS13" s="293"/>
      <c r="AT13" s="293"/>
      <c r="AU13" s="263"/>
      <c r="AV13" s="263"/>
      <c r="AW13" s="263"/>
      <c r="AX13" s="263"/>
      <c r="AY13" s="263"/>
      <c r="AZ13" s="267"/>
      <c r="BA13" s="267"/>
      <c r="BB13" s="267"/>
      <c r="BC13" s="267"/>
      <c r="BD13" s="267"/>
      <c r="BE13" s="267"/>
      <c r="BF13" s="267"/>
      <c r="BG13" s="267"/>
      <c r="BH13" s="267"/>
      <c r="BI13" s="267"/>
      <c r="BJ13" s="267"/>
      <c r="BK13" s="267"/>
    </row>
    <row r="14" s="234" customFormat="1" ht="31" customHeight="1" spans="1:64">
      <c r="A14" s="258"/>
      <c r="B14" s="259"/>
      <c r="C14" s="285" t="s">
        <v>64</v>
      </c>
      <c r="D14" s="286" t="s">
        <v>167</v>
      </c>
      <c r="E14" s="287">
        <v>46051</v>
      </c>
      <c r="F14" s="287">
        <v>46075</v>
      </c>
      <c r="G14" s="292" t="s">
        <v>167</v>
      </c>
      <c r="H14" s="264"/>
      <c r="I14" s="264"/>
      <c r="J14" s="264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6"/>
      <c r="V14" s="266"/>
      <c r="W14" s="266"/>
      <c r="X14" s="266"/>
      <c r="Y14" s="266"/>
      <c r="Z14" s="266"/>
      <c r="AA14" s="266"/>
      <c r="AB14" s="266"/>
      <c r="AC14" s="263"/>
      <c r="AD14" s="263"/>
      <c r="AE14" s="276"/>
      <c r="AF14" s="276"/>
      <c r="AG14" s="276"/>
      <c r="AH14" s="276"/>
      <c r="AI14" s="276"/>
      <c r="AJ14" s="276"/>
      <c r="AK14" s="276"/>
      <c r="AL14" s="276"/>
      <c r="AM14" s="263"/>
      <c r="AN14" s="263"/>
      <c r="AO14" s="263"/>
      <c r="AP14" s="263"/>
      <c r="AQ14" s="263"/>
      <c r="AR14" s="263"/>
      <c r="AS14" s="293"/>
      <c r="AT14" s="293"/>
      <c r="AU14" s="263"/>
      <c r="AV14" s="263"/>
      <c r="AW14" s="263"/>
      <c r="AX14" s="263"/>
      <c r="AY14" s="263"/>
      <c r="AZ14" s="263"/>
      <c r="BA14" s="27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</row>
    <row r="15" s="234" customFormat="1" ht="29" customHeight="1" spans="1:64">
      <c r="A15" s="258"/>
      <c r="B15" s="259"/>
      <c r="C15" s="294" t="s">
        <v>175</v>
      </c>
      <c r="D15" s="272" t="s">
        <v>167</v>
      </c>
      <c r="E15" s="273">
        <v>46075</v>
      </c>
      <c r="F15" s="273">
        <v>46076</v>
      </c>
      <c r="G15" s="273" t="s">
        <v>176</v>
      </c>
      <c r="H15" s="264"/>
      <c r="I15" s="264"/>
      <c r="J15" s="264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7"/>
      <c r="AZ15" s="267"/>
      <c r="BA15" s="263"/>
      <c r="BB15" s="263"/>
      <c r="BC15" s="267"/>
      <c r="BD15" s="267"/>
      <c r="BE15" s="267"/>
      <c r="BF15" s="267"/>
      <c r="BG15" s="267"/>
      <c r="BH15" s="267"/>
      <c r="BI15" s="267"/>
      <c r="BJ15" s="267"/>
      <c r="BK15" s="267"/>
    </row>
    <row r="16" s="234" customFormat="1" ht="31" customHeight="1" spans="1:64">
      <c r="A16" s="258"/>
      <c r="B16" s="259"/>
      <c r="C16" s="281" t="s">
        <v>177</v>
      </c>
      <c r="D16" s="272" t="s">
        <v>167</v>
      </c>
      <c r="E16" s="283">
        <v>46076</v>
      </c>
      <c r="F16" s="283">
        <v>46077</v>
      </c>
      <c r="G16" s="282" t="s">
        <v>167</v>
      </c>
      <c r="H16" s="264"/>
      <c r="I16" s="264"/>
      <c r="J16" s="264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7"/>
      <c r="AZ16" s="267"/>
      <c r="BA16" s="267"/>
      <c r="BB16" s="263"/>
      <c r="BC16" s="263"/>
      <c r="BD16" s="267"/>
      <c r="BE16" s="267"/>
      <c r="BF16" s="267"/>
      <c r="BG16" s="267"/>
      <c r="BH16" s="267"/>
      <c r="BI16" s="267"/>
      <c r="BJ16" s="267"/>
      <c r="BK16" s="267"/>
    </row>
    <row r="17" s="236" customFormat="1" ht="31" customHeight="1" spans="1:63">
      <c r="A17" s="258"/>
      <c r="B17" s="258" t="s">
        <v>178</v>
      </c>
      <c r="C17" s="295" t="s">
        <v>64</v>
      </c>
      <c r="D17" s="296" t="s">
        <v>167</v>
      </c>
      <c r="E17" s="297">
        <v>46077</v>
      </c>
      <c r="F17" s="297">
        <v>46080</v>
      </c>
      <c r="G17" s="298" t="s">
        <v>167</v>
      </c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7"/>
      <c r="AZ17" s="267"/>
      <c r="BA17" s="267"/>
      <c r="BB17" s="267"/>
      <c r="BC17" s="263"/>
      <c r="BD17" s="263"/>
      <c r="BE17" s="263"/>
      <c r="BF17" s="277"/>
      <c r="BG17" s="267"/>
      <c r="BH17" s="267"/>
      <c r="BI17" s="267"/>
      <c r="BJ17" s="267"/>
      <c r="BK17" s="267"/>
    </row>
    <row r="18" s="236" customFormat="1" ht="31" customHeight="1" spans="1:63">
      <c r="A18" s="258"/>
      <c r="B18" s="258"/>
      <c r="C18" s="295" t="s">
        <v>175</v>
      </c>
      <c r="D18" s="296" t="s">
        <v>167</v>
      </c>
      <c r="E18" s="297">
        <v>46079</v>
      </c>
      <c r="F18" s="297">
        <v>46080</v>
      </c>
      <c r="G18" s="298" t="s">
        <v>167</v>
      </c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7"/>
      <c r="AZ18" s="267"/>
      <c r="BA18" s="267"/>
      <c r="BB18" s="267"/>
      <c r="BC18" s="267"/>
      <c r="BD18" s="267"/>
      <c r="BE18" s="263"/>
      <c r="BF18" s="263"/>
      <c r="BG18" s="267"/>
      <c r="BH18" s="267"/>
      <c r="BI18" s="267"/>
      <c r="BJ18" s="267"/>
      <c r="BK18" s="267"/>
    </row>
    <row r="19" s="88" customFormat="1" ht="31" customHeight="1" spans="1:63">
      <c r="A19" s="258"/>
      <c r="B19" s="258"/>
      <c r="C19" s="295" t="s">
        <v>179</v>
      </c>
      <c r="D19" s="296" t="s">
        <v>167</v>
      </c>
      <c r="E19" s="297">
        <v>46081</v>
      </c>
      <c r="F19" s="297">
        <v>46081</v>
      </c>
      <c r="G19" s="298" t="s">
        <v>167</v>
      </c>
      <c r="H19" s="299" t="s">
        <v>124</v>
      </c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7"/>
      <c r="AZ19" s="267"/>
      <c r="BA19" s="267"/>
      <c r="BB19" s="267"/>
      <c r="BC19" s="267"/>
      <c r="BD19" s="267"/>
      <c r="BE19" s="267"/>
      <c r="BF19" s="267"/>
      <c r="BG19" s="263"/>
      <c r="BH19" s="267"/>
      <c r="BI19" s="267"/>
      <c r="BJ19" s="267"/>
      <c r="BK19" s="267"/>
    </row>
    <row r="20" s="88" customFormat="1" ht="31" customHeight="1" spans="1:63">
      <c r="A20" s="258"/>
      <c r="B20" s="258"/>
      <c r="C20" s="295" t="s">
        <v>180</v>
      </c>
      <c r="D20" s="296" t="s">
        <v>167</v>
      </c>
      <c r="E20" s="297">
        <v>46081</v>
      </c>
      <c r="F20" s="297">
        <v>46081</v>
      </c>
      <c r="G20" s="298" t="s">
        <v>167</v>
      </c>
      <c r="H20" s="300" t="s">
        <v>181</v>
      </c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1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3"/>
    </row>
    <row r="21" s="88" customFormat="1" ht="15" spans="1:63">
      <c r="C21" s="295" t="s">
        <v>182</v>
      </c>
      <c r="D21" s="296" t="s">
        <v>124</v>
      </c>
      <c r="E21" s="297" t="s">
        <v>124</v>
      </c>
      <c r="F21" s="297" t="s">
        <v>124</v>
      </c>
      <c r="G21" s="298" t="s">
        <v>124</v>
      </c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4"/>
      <c r="AX21" s="305"/>
      <c r="AY21" s="305"/>
      <c r="AZ21" s="305"/>
      <c r="BA21" s="305"/>
      <c r="BB21" s="305"/>
      <c r="BC21" s="305"/>
      <c r="BD21" s="305"/>
      <c r="BE21" s="305"/>
      <c r="BF21" s="305"/>
      <c r="BG21" s="305"/>
      <c r="BH21" s="305"/>
      <c r="BI21" s="305"/>
      <c r="BJ21" s="305"/>
      <c r="BK21" s="306"/>
    </row>
    <row r="22" s="88" customFormat="1" ht="15" spans="1:63">
      <c r="C22" s="295" t="s">
        <v>182</v>
      </c>
      <c r="D22" s="296" t="s">
        <v>124</v>
      </c>
      <c r="E22" s="297" t="s">
        <v>124</v>
      </c>
      <c r="F22" s="297" t="s">
        <v>124</v>
      </c>
      <c r="G22" s="298" t="s">
        <v>124</v>
      </c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7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9"/>
    </row>
    <row r="23" s="88" customFormat="1"/>
    <row r="24" s="88" customFormat="1"/>
    <row r="25" s="88" customFormat="1"/>
    <row r="26" s="88" customFormat="1"/>
    <row r="27" s="88" customFormat="1"/>
    <row r="28" s="88" customFormat="1"/>
    <row r="29" s="88" customFormat="1"/>
    <row r="30" s="88" customFormat="1"/>
    <row r="31" s="88" customFormat="1"/>
    <row r="32" s="88" customFormat="1"/>
    <row r="33" s="88" customFormat="1"/>
    <row r="34" s="88" customFormat="1"/>
    <row r="35" s="88" customFormat="1"/>
    <row r="36" s="88" customFormat="1"/>
    <row r="37" s="88" customFormat="1"/>
    <row r="38" s="88" customFormat="1"/>
    <row r="39" s="88" customFormat="1"/>
    <row r="40" s="88" customFormat="1"/>
    <row r="41" s="88" customFormat="1"/>
    <row r="42" s="88" customFormat="1"/>
    <row r="43" s="88" customFormat="1"/>
    <row r="44" s="88" customFormat="1"/>
    <row r="45" s="88" customFormat="1"/>
    <row r="46" s="88" customFormat="1"/>
    <row r="47" s="88" customFormat="1"/>
    <row r="48" s="88" customFormat="1"/>
    <row r="49" s="88" customFormat="1"/>
    <row r="50" s="88" customFormat="1"/>
    <row r="51" s="88" customFormat="1"/>
    <row r="52" s="88" customFormat="1"/>
    <row r="53" s="88" customFormat="1"/>
    <row r="54" s="88" customFormat="1"/>
    <row r="55" s="88" customFormat="1"/>
    <row r="56" s="88" customFormat="1"/>
    <row r="57" s="88" customFormat="1"/>
    <row r="58" s="88" customFormat="1"/>
    <row r="59" s="88" customFormat="1"/>
    <row r="60" s="88" customFormat="1"/>
    <row r="61" s="88" customFormat="1"/>
    <row r="62" s="88" customFormat="1"/>
    <row r="63" s="88" customFormat="1"/>
    <row r="64" s="88" customFormat="1"/>
    <row r="65" s="88" customFormat="1"/>
    <row r="66" s="88" customFormat="1"/>
    <row r="67" s="88" customFormat="1"/>
    <row r="68" s="88" customFormat="1"/>
    <row r="69" s="88" customFormat="1"/>
    <row r="70" s="88" customFormat="1"/>
    <row r="71" s="88" customFormat="1"/>
    <row r="72" s="88" customFormat="1"/>
    <row r="73" s="88" customFormat="1"/>
    <row r="74" s="88" customFormat="1"/>
    <row r="75" s="88" customFormat="1"/>
    <row r="76" s="88" customFormat="1"/>
    <row r="77" s="88" customFormat="1"/>
    <row r="78" s="88" customFormat="1"/>
  </sheetData>
  <mergeCells count="21">
    <mergeCell ref="A1:AN1"/>
    <mergeCell ref="AP1:AT1"/>
    <mergeCell ref="AU1:AV1"/>
    <mergeCell ref="A2:G2"/>
    <mergeCell ref="H2:AE2"/>
    <mergeCell ref="AF2:BK2"/>
    <mergeCell ref="H3:J3"/>
    <mergeCell ref="K3:Y3"/>
    <mergeCell ref="Z3:AV3"/>
    <mergeCell ref="AW3:BE3"/>
    <mergeCell ref="A3:A4"/>
    <mergeCell ref="A5:A20"/>
    <mergeCell ref="B3:B4"/>
    <mergeCell ref="B5:B16"/>
    <mergeCell ref="B17:B20"/>
    <mergeCell ref="C3:C4"/>
    <mergeCell ref="D3:D4"/>
    <mergeCell ref="E3:E4"/>
    <mergeCell ref="F3:F4"/>
    <mergeCell ref="G3:G4"/>
    <mergeCell ref="H20:AV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"/>
  <sheetViews>
    <sheetView topLeftCell="A8" workbookViewId="0">
      <selection activeCell="B29" sqref="B29"/>
    </sheetView>
  </sheetViews>
  <sheetFormatPr defaultColWidth="9.14166666666667" defaultRowHeight="15.6"/>
  <cols>
    <col min="1" max="1" width="12.2833333333333" style="226" customWidth="1"/>
    <col min="2" max="2" width="9.14166666666667" style="226"/>
    <col min="3" max="3" width="6.28333333333333" style="226" customWidth="1"/>
    <col min="4" max="4" width="46" style="227" customWidth="1"/>
    <col min="5" max="18" width="9.14166666666667" style="228"/>
    <col min="19" max="21" width="11.575" style="228" customWidth="1"/>
    <col min="22" max="25" width="9.14166666666667" style="228"/>
    <col min="26" max="16384" width="9.14166666666667" style="226"/>
  </cols>
  <sheetData>
    <row r="1" s="226" customFormat="1" spans="1:28">
      <c r="A1" s="226" t="s">
        <v>183</v>
      </c>
      <c r="D1" s="228" t="s">
        <v>16</v>
      </c>
      <c r="E1" s="228">
        <v>8</v>
      </c>
      <c r="F1" s="228"/>
      <c r="G1" s="228"/>
      <c r="H1" s="228"/>
      <c r="I1" s="228"/>
      <c r="J1" s="228"/>
      <c r="K1" s="228" t="s">
        <v>17</v>
      </c>
      <c r="L1" s="228">
        <v>9</v>
      </c>
      <c r="M1" s="228"/>
      <c r="N1" s="228"/>
      <c r="O1" s="228"/>
      <c r="P1" s="228"/>
      <c r="Q1" s="228" t="s">
        <v>17</v>
      </c>
      <c r="R1" s="228" t="s">
        <v>17</v>
      </c>
      <c r="S1" s="228">
        <v>10</v>
      </c>
      <c r="T1" s="228"/>
      <c r="U1" s="228"/>
      <c r="V1" s="228"/>
      <c r="W1" s="228"/>
      <c r="X1" s="228"/>
      <c r="Y1" s="228" t="s">
        <v>17</v>
      </c>
    </row>
    <row r="2" s="226" customFormat="1" spans="1:28">
      <c r="A2" s="229" t="s">
        <v>184</v>
      </c>
      <c r="B2" s="226" t="s">
        <v>185</v>
      </c>
      <c r="D2" s="227" t="s">
        <v>20</v>
      </c>
      <c r="E2" s="230">
        <v>44627</v>
      </c>
      <c r="F2" s="230">
        <v>44628</v>
      </c>
      <c r="G2" s="230">
        <v>44629</v>
      </c>
      <c r="H2" s="230">
        <v>44630</v>
      </c>
      <c r="I2" s="230">
        <v>44631</v>
      </c>
      <c r="J2" s="230">
        <v>44632</v>
      </c>
      <c r="K2" s="230">
        <v>44633</v>
      </c>
      <c r="L2" s="230">
        <v>44634</v>
      </c>
      <c r="M2" s="230">
        <v>44635</v>
      </c>
      <c r="N2" s="230">
        <v>44636</v>
      </c>
      <c r="O2" s="230">
        <v>44637</v>
      </c>
      <c r="P2" s="230">
        <v>44638</v>
      </c>
      <c r="Q2" s="230">
        <v>44639</v>
      </c>
      <c r="R2" s="230">
        <v>44640</v>
      </c>
      <c r="S2" s="230">
        <v>44641</v>
      </c>
      <c r="T2" s="230">
        <v>44642</v>
      </c>
      <c r="U2" s="230">
        <v>44643</v>
      </c>
      <c r="V2" s="230">
        <v>44644</v>
      </c>
      <c r="W2" s="230">
        <v>44645</v>
      </c>
      <c r="X2" s="230">
        <v>44646</v>
      </c>
      <c r="Y2" s="230">
        <v>44647</v>
      </c>
      <c r="Z2" s="230">
        <v>44648</v>
      </c>
      <c r="AA2" s="230">
        <v>44649</v>
      </c>
      <c r="AB2" s="230">
        <v>44650</v>
      </c>
    </row>
    <row r="3" s="226" customFormat="1" spans="1:28">
      <c r="A3" s="228"/>
      <c r="B3" s="228" t="s">
        <v>186</v>
      </c>
      <c r="C3" s="228">
        <v>1</v>
      </c>
      <c r="D3" s="231" t="s">
        <v>187</v>
      </c>
      <c r="E3" s="228"/>
      <c r="F3" s="228"/>
      <c r="G3" s="232">
        <v>1</v>
      </c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</row>
    <row r="4" s="226" customFormat="1" spans="1:28">
      <c r="A4" s="228"/>
      <c r="B4" s="228"/>
      <c r="C4" s="228">
        <v>1</v>
      </c>
      <c r="D4" s="231" t="s">
        <v>188</v>
      </c>
      <c r="E4" s="228"/>
      <c r="F4" s="228"/>
      <c r="G4" s="228"/>
      <c r="H4" s="232">
        <v>1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</row>
    <row r="5" s="226" customFormat="1" spans="1:28">
      <c r="A5" s="228"/>
      <c r="B5" s="228"/>
      <c r="C5" s="228">
        <v>2</v>
      </c>
      <c r="D5" s="227" t="s">
        <v>189</v>
      </c>
      <c r="E5" s="228"/>
      <c r="F5" s="228"/>
      <c r="G5" s="228"/>
      <c r="H5" s="228"/>
      <c r="I5" s="232">
        <v>2</v>
      </c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</row>
    <row r="6" s="226" customFormat="1" ht="31.2" spans="1:28">
      <c r="A6" s="228"/>
      <c r="B6" s="228"/>
      <c r="C6" s="228">
        <v>2</v>
      </c>
      <c r="D6" s="231" t="s">
        <v>190</v>
      </c>
      <c r="E6" s="228"/>
      <c r="F6" s="228"/>
      <c r="G6" s="228"/>
      <c r="H6" s="228"/>
      <c r="I6" s="228"/>
      <c r="J6" s="228"/>
      <c r="K6" s="228"/>
      <c r="L6" s="228"/>
      <c r="M6" s="228"/>
      <c r="N6" s="232">
        <v>2</v>
      </c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</row>
    <row r="7" s="226" customFormat="1" spans="1:28">
      <c r="A7" s="228"/>
      <c r="B7" s="228"/>
      <c r="C7" s="228">
        <v>2</v>
      </c>
      <c r="D7" s="231" t="s">
        <v>191</v>
      </c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32">
        <v>2</v>
      </c>
      <c r="P7" s="228"/>
      <c r="Q7" s="228"/>
      <c r="R7" s="228"/>
      <c r="S7" s="228"/>
      <c r="T7" s="228"/>
      <c r="U7" s="228"/>
      <c r="V7" s="228"/>
      <c r="W7" s="228"/>
      <c r="X7" s="228"/>
      <c r="Y7" s="228"/>
    </row>
    <row r="8" s="226" customFormat="1" spans="1:28">
      <c r="A8" s="228"/>
      <c r="B8" s="228"/>
      <c r="C8" s="228">
        <v>2</v>
      </c>
      <c r="D8" s="231" t="s">
        <v>191</v>
      </c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32">
        <v>2</v>
      </c>
      <c r="Q8" s="228"/>
      <c r="R8" s="228"/>
      <c r="S8" s="228"/>
      <c r="T8" s="228"/>
      <c r="U8" s="228"/>
      <c r="V8" s="228"/>
      <c r="W8" s="228"/>
      <c r="X8" s="228"/>
      <c r="Y8" s="228"/>
    </row>
    <row r="9" s="226" customFormat="1" spans="1:28">
      <c r="A9" s="228"/>
      <c r="B9" s="228"/>
      <c r="C9" s="228">
        <v>20</v>
      </c>
      <c r="D9" s="231" t="s">
        <v>192</v>
      </c>
      <c r="E9" s="228"/>
      <c r="F9" s="228"/>
      <c r="G9" s="228">
        <v>1</v>
      </c>
      <c r="H9" s="228">
        <v>1</v>
      </c>
      <c r="I9" s="228"/>
      <c r="J9" s="228">
        <v>2</v>
      </c>
      <c r="K9" s="228">
        <v>2</v>
      </c>
      <c r="L9" s="228">
        <v>2</v>
      </c>
      <c r="M9" s="228">
        <v>2</v>
      </c>
      <c r="N9" s="228"/>
      <c r="O9" s="228"/>
      <c r="P9" s="228"/>
      <c r="Q9" s="228">
        <v>2</v>
      </c>
      <c r="R9" s="228">
        <v>2</v>
      </c>
      <c r="S9" s="228" t="s">
        <v>193</v>
      </c>
      <c r="T9" s="228" t="s">
        <v>193</v>
      </c>
      <c r="U9" s="228" t="s">
        <v>193</v>
      </c>
      <c r="V9" s="228"/>
      <c r="W9" s="228"/>
      <c r="X9" s="228"/>
      <c r="Y9" s="228"/>
    </row>
    <row r="10" s="226" customFormat="1" spans="1:28">
      <c r="A10" s="228"/>
      <c r="B10" s="228"/>
      <c r="C10" s="228"/>
      <c r="D10" s="231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</row>
    <row r="11" s="226" customFormat="1" spans="1:28">
      <c r="A11" s="228"/>
      <c r="B11" s="228" t="s">
        <v>194</v>
      </c>
      <c r="C11" s="228">
        <v>1</v>
      </c>
      <c r="D11" s="231" t="s">
        <v>187</v>
      </c>
      <c r="E11" s="228"/>
      <c r="F11" s="228"/>
      <c r="G11" s="228"/>
      <c r="H11" s="228"/>
      <c r="I11" s="228"/>
      <c r="J11" s="228"/>
      <c r="K11" s="228"/>
      <c r="L11" s="228"/>
      <c r="M11" s="228"/>
      <c r="N11" s="233">
        <v>1</v>
      </c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</row>
    <row r="12" s="226" customFormat="1" spans="1:28">
      <c r="A12" s="228"/>
      <c r="B12" s="228"/>
      <c r="C12" s="228">
        <v>1</v>
      </c>
      <c r="D12" s="231" t="s">
        <v>188</v>
      </c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33">
        <v>1</v>
      </c>
      <c r="P12" s="228"/>
      <c r="Q12" s="228"/>
      <c r="R12" s="228"/>
      <c r="S12" s="228"/>
      <c r="T12" s="228"/>
      <c r="U12" s="228"/>
      <c r="V12" s="228"/>
      <c r="W12" s="228"/>
      <c r="X12" s="228"/>
      <c r="Y12" s="228"/>
    </row>
    <row r="13" s="226" customFormat="1" spans="1:28">
      <c r="A13" s="228"/>
      <c r="B13" s="228"/>
      <c r="C13" s="228">
        <v>2</v>
      </c>
      <c r="D13" s="227" t="s">
        <v>189</v>
      </c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33">
        <v>2</v>
      </c>
      <c r="Q13" s="228"/>
      <c r="R13" s="228"/>
      <c r="S13" s="228"/>
      <c r="T13" s="228"/>
      <c r="U13" s="228"/>
      <c r="V13" s="228"/>
      <c r="W13" s="228"/>
      <c r="X13" s="228"/>
      <c r="Y13" s="228"/>
    </row>
    <row r="14" s="226" customFormat="1" ht="31.2" spans="1:28">
      <c r="A14" s="228"/>
      <c r="B14" s="228"/>
      <c r="C14" s="228">
        <v>2</v>
      </c>
      <c r="D14" s="231" t="s">
        <v>190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33">
        <v>2</v>
      </c>
      <c r="V14" s="228"/>
      <c r="W14" s="228"/>
      <c r="X14" s="228"/>
      <c r="Y14" s="228"/>
    </row>
    <row r="15" s="226" customFormat="1" spans="1:28">
      <c r="A15" s="228"/>
      <c r="B15" s="228"/>
      <c r="C15" s="228">
        <v>2</v>
      </c>
      <c r="D15" s="231" t="s">
        <v>191</v>
      </c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33">
        <v>2</v>
      </c>
      <c r="W15" s="228"/>
      <c r="X15" s="228"/>
      <c r="Y15" s="228"/>
    </row>
    <row r="16" s="226" customFormat="1" spans="1:28">
      <c r="A16" s="228"/>
      <c r="B16" s="228"/>
      <c r="C16" s="228">
        <v>2</v>
      </c>
      <c r="D16" s="231" t="s">
        <v>191</v>
      </c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33">
        <v>2</v>
      </c>
      <c r="X16" s="228"/>
      <c r="Y16" s="228"/>
    </row>
    <row r="17" s="226" customFormat="1" spans="2:28">
      <c r="B17" s="228"/>
      <c r="C17" s="228">
        <v>20</v>
      </c>
      <c r="D17" s="227" t="s">
        <v>195</v>
      </c>
      <c r="E17" s="228"/>
      <c r="F17" s="228"/>
      <c r="G17" s="228"/>
      <c r="H17" s="228"/>
      <c r="I17" s="228"/>
      <c r="J17" s="228"/>
      <c r="K17" s="228"/>
      <c r="L17" s="228"/>
      <c r="M17" s="228"/>
      <c r="N17" s="228">
        <v>1</v>
      </c>
      <c r="O17" s="228">
        <v>1</v>
      </c>
      <c r="P17" s="228"/>
      <c r="Q17" s="228">
        <v>2</v>
      </c>
      <c r="R17" s="228">
        <v>2</v>
      </c>
      <c r="S17" s="228">
        <v>2</v>
      </c>
      <c r="T17" s="228">
        <v>2</v>
      </c>
      <c r="U17" s="228"/>
      <c r="V17" s="228"/>
      <c r="W17" s="228"/>
      <c r="X17" s="228">
        <v>2</v>
      </c>
      <c r="Y17" s="228">
        <v>2</v>
      </c>
      <c r="Z17" s="228">
        <v>2</v>
      </c>
      <c r="AA17" s="228">
        <v>2</v>
      </c>
      <c r="AB17" s="228">
        <v>2</v>
      </c>
    </row>
    <row r="18" s="226" customFormat="1" spans="2:28">
      <c r="D18" s="227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</row>
    <row r="19" s="226" customFormat="1" spans="2:28">
      <c r="D19" s="227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 s="226" customFormat="1" spans="2:28">
      <c r="D20" s="227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</row>
    <row r="21" s="226" customFormat="1" spans="2:28">
      <c r="B21" s="226" t="s">
        <v>196</v>
      </c>
      <c r="D21" s="231" t="s">
        <v>197</v>
      </c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</row>
    <row r="22" s="226" customFormat="1" spans="2:28">
      <c r="D22" s="231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</row>
    <row r="23" s="226" customFormat="1" spans="2:28">
      <c r="D23" s="231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 s="226" customFormat="1" spans="2:28">
      <c r="D24" s="231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</row>
    <row r="25" s="226" customFormat="1" spans="2:28">
      <c r="D25" s="231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</row>
    <row r="26" s="226" customFormat="1" spans="2:28">
      <c r="D26" s="231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</row>
    <row r="27" s="226" customFormat="1" spans="2:28">
      <c r="D27" s="231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</row>
    <row r="28" s="226" customFormat="1" spans="2:28">
      <c r="D28" s="231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</row>
    <row r="29" s="226" customFormat="1" ht="114" customHeight="1" spans="2:28">
      <c r="B29" s="226" t="s">
        <v>198</v>
      </c>
      <c r="D29" s="231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</row>
  </sheetData>
  <mergeCells count="7">
    <mergeCell ref="E1:J1"/>
    <mergeCell ref="L1:P1"/>
    <mergeCell ref="S1:X1"/>
    <mergeCell ref="A2:A16"/>
    <mergeCell ref="B3:B9"/>
    <mergeCell ref="B11:B17"/>
    <mergeCell ref="D21:D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45"/>
  <sheetViews>
    <sheetView topLeftCell="A21" workbookViewId="0">
      <selection activeCell="A4" sqref="A4:AL11"/>
    </sheetView>
  </sheetViews>
  <sheetFormatPr defaultColWidth="9" defaultRowHeight="14.4"/>
  <cols>
    <col min="1" max="1" width="47.65" style="1" customWidth="1"/>
    <col min="2" max="2" width="63.65" style="1" customWidth="1"/>
    <col min="3" max="3" width="6.19166666666667" style="1" customWidth="1"/>
    <col min="4" max="4" width="7.775" style="1" customWidth="1"/>
    <col min="5" max="7" width="6.98333333333333" style="1" customWidth="1"/>
    <col min="8" max="8" width="22.2166666666667" style="1" customWidth="1"/>
    <col min="9" max="69" width="6.98333333333333" style="1" customWidth="1"/>
    <col min="70" max="78" width="8.09166666666667" style="1" customWidth="1"/>
    <col min="79" max="16384" width="9" style="1"/>
  </cols>
  <sheetData>
    <row r="1" s="1" customFormat="1" spans="1:38">
      <c r="A1" s="161" t="s">
        <v>199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</row>
    <row r="2" s="1" customFormat="1" spans="1:38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2"/>
    </row>
    <row r="3" s="1" customFormat="1" ht="9" customHeight="1" spans="1:38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2"/>
    </row>
    <row r="4" s="1" customFormat="1" spans="1:38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</row>
    <row r="5" s="1" customFormat="1" spans="1:38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</row>
    <row r="6" s="1" customFormat="1" spans="1:38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</row>
    <row r="7" s="1" customFormat="1" spans="1:38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</row>
    <row r="8" s="1" customFormat="1" spans="1:3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</row>
    <row r="9" s="1" customFormat="1" spans="1:38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</row>
    <row r="10" s="1" customFormat="1" spans="1:38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</row>
    <row r="11" s="1" customFormat="1" ht="133" customHeight="1" spans="1:38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</row>
    <row r="12" s="1" customFormat="1" ht="22.2" spans="1:38">
      <c r="A12" s="164" t="s">
        <v>200</v>
      </c>
      <c r="B12" s="165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</row>
    <row r="13" s="1" customFormat="1" ht="17.4" spans="1:38">
      <c r="A13" s="166" t="s">
        <v>201</v>
      </c>
      <c r="B13" s="167"/>
      <c r="C13" s="168"/>
      <c r="D13" s="168"/>
      <c r="E13" s="168"/>
      <c r="F13" s="168"/>
      <c r="G13" s="168"/>
      <c r="H13" s="168"/>
    </row>
    <row r="14" s="1" customFormat="1" ht="60" customHeight="1" spans="1:38">
      <c r="A14" s="166" t="s">
        <v>202</v>
      </c>
      <c r="B14" s="169" t="s">
        <v>203</v>
      </c>
      <c r="C14" s="170"/>
      <c r="D14" s="170"/>
      <c r="E14" s="170"/>
      <c r="F14" s="170"/>
      <c r="G14" s="170"/>
      <c r="H14" s="170"/>
    </row>
    <row r="15" s="1" customFormat="1" ht="26" customHeight="1" spans="1:38">
      <c r="A15" s="166" t="s">
        <v>204</v>
      </c>
      <c r="B15" s="171" t="s">
        <v>205</v>
      </c>
      <c r="C15" s="172"/>
      <c r="D15" s="172"/>
      <c r="E15" s="172"/>
      <c r="F15" s="172"/>
      <c r="G15" s="172"/>
      <c r="H15" s="172"/>
    </row>
    <row r="16" s="1" customFormat="1" ht="23" customHeight="1" spans="1:38">
      <c r="A16" s="166" t="s">
        <v>206</v>
      </c>
      <c r="B16" s="171" t="s">
        <v>207</v>
      </c>
      <c r="C16" s="172"/>
      <c r="D16" s="172"/>
      <c r="E16" s="172"/>
      <c r="F16" s="172"/>
      <c r="G16" s="172"/>
      <c r="H16" s="172"/>
    </row>
    <row r="17" s="1" customFormat="1" ht="17.4" spans="1:78">
      <c r="A17" s="166" t="s">
        <v>208</v>
      </c>
      <c r="B17" s="171" t="s">
        <v>209</v>
      </c>
      <c r="C17" s="172"/>
      <c r="D17" s="172"/>
      <c r="E17" s="172"/>
      <c r="F17" s="172"/>
      <c r="G17" s="172"/>
      <c r="H17" s="172"/>
    </row>
    <row r="18" s="1" customFormat="1" ht="17.4" spans="1:78">
      <c r="A18" s="173" t="s">
        <v>210</v>
      </c>
      <c r="B18" s="174" t="s">
        <v>211</v>
      </c>
      <c r="C18" s="175"/>
      <c r="D18" s="175"/>
      <c r="E18" s="175"/>
      <c r="F18" s="175"/>
      <c r="G18" s="175"/>
      <c r="H18" s="175"/>
      <c r="I18" s="176"/>
      <c r="J18" s="176"/>
      <c r="K18" s="176"/>
      <c r="L18" s="176"/>
      <c r="M18" s="176"/>
      <c r="N18" s="176"/>
      <c r="O18" s="176"/>
      <c r="P18" s="176"/>
      <c r="Q18" s="176"/>
    </row>
    <row r="19" s="1" customFormat="1" ht="17.4" spans="1:78">
      <c r="A19" s="173" t="s">
        <v>212</v>
      </c>
      <c r="B19" s="174" t="s">
        <v>213</v>
      </c>
      <c r="C19" s="175"/>
      <c r="D19" s="175"/>
      <c r="E19" s="175"/>
      <c r="F19" s="175"/>
      <c r="G19" s="175"/>
      <c r="H19" s="175"/>
      <c r="I19" s="176"/>
      <c r="J19" s="176"/>
      <c r="K19" s="176"/>
      <c r="L19" s="176"/>
      <c r="M19" s="176"/>
      <c r="N19" s="176"/>
      <c r="O19" s="176"/>
      <c r="P19" s="176"/>
      <c r="Q19" s="176"/>
    </row>
    <row r="20" s="1" customFormat="1" ht="17.4" spans="1:78">
      <c r="A20" s="173" t="s">
        <v>214</v>
      </c>
      <c r="B20" s="174" t="s">
        <v>215</v>
      </c>
      <c r="C20" s="175"/>
      <c r="D20" s="175"/>
      <c r="E20" s="175"/>
      <c r="F20" s="175"/>
      <c r="G20" s="175"/>
      <c r="H20" s="175"/>
      <c r="I20" s="176"/>
      <c r="J20" s="176"/>
      <c r="K20" s="176"/>
      <c r="L20" s="176"/>
      <c r="M20" s="176"/>
      <c r="N20" s="176"/>
      <c r="O20" s="176"/>
      <c r="P20" s="176"/>
      <c r="Q20" s="176"/>
    </row>
    <row r="21" s="1" customFormat="1" ht="17.4" spans="1:78">
      <c r="A21" s="173" t="s">
        <v>216</v>
      </c>
      <c r="B21" s="177" t="s">
        <v>217</v>
      </c>
      <c r="C21" s="175"/>
      <c r="D21" s="175"/>
      <c r="E21" s="175"/>
      <c r="F21" s="175"/>
      <c r="G21" s="175"/>
      <c r="H21" s="175"/>
      <c r="I21" s="176"/>
      <c r="J21" s="176"/>
      <c r="K21" s="176"/>
      <c r="L21" s="176"/>
      <c r="M21" s="176"/>
      <c r="N21" s="176"/>
      <c r="O21" s="176"/>
      <c r="P21" s="176"/>
      <c r="Q21" s="176"/>
    </row>
    <row r="22" s="1" customFormat="1" ht="17.4" spans="1:78">
      <c r="A22" s="173" t="s">
        <v>218</v>
      </c>
      <c r="B22" s="177" t="s">
        <v>219</v>
      </c>
      <c r="C22" s="175"/>
      <c r="D22" s="175"/>
      <c r="E22" s="175"/>
      <c r="F22" s="175"/>
      <c r="G22" s="175"/>
      <c r="H22" s="175"/>
      <c r="I22" s="176"/>
      <c r="J22" s="176"/>
      <c r="K22" s="176"/>
      <c r="L22" s="176"/>
      <c r="M22" s="176"/>
      <c r="N22" s="176"/>
      <c r="O22" s="176"/>
      <c r="P22" s="176"/>
      <c r="Q22" s="176"/>
    </row>
    <row r="23" s="1" customFormat="1" ht="23" customHeight="1" spans="1:78">
      <c r="A23" s="173" t="s">
        <v>220</v>
      </c>
      <c r="B23" s="174" t="s">
        <v>221</v>
      </c>
      <c r="C23" s="175"/>
      <c r="D23" s="175"/>
      <c r="E23" s="175"/>
      <c r="F23" s="175"/>
      <c r="G23" s="175"/>
      <c r="H23" s="175"/>
      <c r="I23" s="176"/>
      <c r="J23" s="176"/>
      <c r="K23" s="176"/>
      <c r="L23" s="176"/>
      <c r="M23" s="176"/>
      <c r="N23" s="176"/>
      <c r="O23" s="176"/>
      <c r="P23" s="176"/>
      <c r="Q23" s="176"/>
    </row>
    <row r="24" s="1" customFormat="1" ht="24" customHeight="1" spans="1:78">
      <c r="A24" s="173" t="s">
        <v>222</v>
      </c>
      <c r="B24" s="174" t="s">
        <v>223</v>
      </c>
      <c r="C24" s="175"/>
      <c r="D24" s="175"/>
      <c r="E24" s="175"/>
      <c r="F24" s="175"/>
      <c r="G24" s="175"/>
      <c r="H24" s="175"/>
      <c r="I24" s="176"/>
      <c r="J24" s="176"/>
      <c r="K24" s="176"/>
      <c r="L24" s="176"/>
      <c r="M24" s="176"/>
      <c r="N24" s="176"/>
      <c r="O24" s="176"/>
      <c r="P24" s="176"/>
      <c r="Q24" s="176"/>
    </row>
    <row r="25" s="1" customFormat="1" ht="17.4" spans="1:78">
      <c r="A25" s="173" t="s">
        <v>224</v>
      </c>
      <c r="B25" s="174" t="s">
        <v>225</v>
      </c>
      <c r="C25" s="175"/>
      <c r="D25" s="175"/>
      <c r="E25" s="175"/>
      <c r="F25" s="175"/>
      <c r="G25" s="175"/>
      <c r="H25" s="175"/>
      <c r="I25" s="176"/>
      <c r="J25" s="176"/>
      <c r="K25" s="176"/>
      <c r="L25" s="176"/>
      <c r="M25" s="176"/>
      <c r="N25" s="176"/>
      <c r="O25" s="176"/>
      <c r="P25" s="176"/>
      <c r="Q25" s="176"/>
    </row>
    <row r="26" s="1" customFormat="1" ht="17.4" spans="1:78">
      <c r="A26" s="173" t="s">
        <v>226</v>
      </c>
      <c r="B26" s="174" t="s">
        <v>227</v>
      </c>
      <c r="C26" s="175"/>
      <c r="D26" s="175"/>
      <c r="E26" s="175"/>
      <c r="F26" s="175"/>
      <c r="G26" s="175"/>
      <c r="H26" s="175"/>
      <c r="I26" s="176"/>
      <c r="J26" s="176"/>
      <c r="K26" s="176"/>
      <c r="L26" s="176"/>
      <c r="M26" s="176"/>
      <c r="N26" s="176"/>
      <c r="O26" s="176"/>
      <c r="P26" s="176"/>
      <c r="Q26" s="176"/>
    </row>
    <row r="27" s="1" customFormat="1" ht="17.4" spans="1:78">
      <c r="A27" s="173" t="s">
        <v>228</v>
      </c>
      <c r="B27" s="178" t="s">
        <v>229</v>
      </c>
      <c r="C27" s="175"/>
      <c r="D27" s="175"/>
      <c r="E27" s="175"/>
      <c r="F27" s="175"/>
      <c r="G27" s="175"/>
      <c r="H27" s="175"/>
      <c r="I27" s="176"/>
      <c r="J27" s="176"/>
      <c r="K27" s="176"/>
      <c r="L27" s="176"/>
      <c r="M27" s="176"/>
      <c r="N27" s="176"/>
      <c r="O27" s="176"/>
      <c r="P27" s="176"/>
      <c r="Q27" s="176"/>
    </row>
    <row r="28" s="1" customFormat="1" ht="17.4" spans="1:78">
      <c r="A28" s="173" t="s">
        <v>230</v>
      </c>
      <c r="B28" s="174"/>
      <c r="C28" s="179"/>
      <c r="D28" s="179"/>
      <c r="E28" s="179"/>
      <c r="F28" s="179"/>
      <c r="G28" s="179"/>
      <c r="H28" s="176"/>
      <c r="I28" s="176"/>
      <c r="J28" s="176"/>
      <c r="K28" s="176"/>
      <c r="L28" s="176"/>
      <c r="M28" s="176"/>
      <c r="N28" s="176"/>
      <c r="O28" s="176"/>
      <c r="P28" s="176"/>
      <c r="Q28" s="176"/>
    </row>
    <row r="29" s="1" customFormat="1" ht="17.4" spans="1:78">
      <c r="A29" s="179"/>
      <c r="B29" s="179"/>
      <c r="C29" s="179"/>
      <c r="D29" s="179"/>
      <c r="E29" s="179"/>
      <c r="F29" s="179"/>
      <c r="G29" s="179"/>
      <c r="H29" s="176"/>
      <c r="I29" s="176"/>
      <c r="J29" s="176"/>
      <c r="K29" s="176"/>
      <c r="L29" s="176"/>
      <c r="M29" s="176"/>
      <c r="N29" s="176"/>
      <c r="O29" s="176"/>
      <c r="P29" s="176"/>
      <c r="Q29" s="176"/>
    </row>
    <row r="30" s="1" customFormat="1" ht="19.2" spans="1:78">
      <c r="A30" s="180" t="s">
        <v>16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 t="s">
        <v>35</v>
      </c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 t="s">
        <v>42</v>
      </c>
      <c r="BJ30" s="181"/>
      <c r="BK30" s="181"/>
      <c r="BL30" s="181"/>
      <c r="BM30" s="181"/>
      <c r="BN30" s="181"/>
      <c r="BO30" s="181"/>
      <c r="BP30" s="181"/>
      <c r="BQ30" s="181"/>
      <c r="BR30" s="182"/>
      <c r="BS30" s="182"/>
      <c r="BT30" s="182"/>
      <c r="BU30" s="182"/>
      <c r="BV30" s="182"/>
      <c r="BW30" s="182"/>
      <c r="BX30" s="182"/>
      <c r="BY30" s="182"/>
      <c r="BZ30" s="182"/>
    </row>
    <row r="31" s="160" customFormat="1" ht="20" customHeight="1" spans="1:78">
      <c r="A31" s="183" t="s">
        <v>231</v>
      </c>
      <c r="B31" s="184" t="s">
        <v>155</v>
      </c>
      <c r="C31" s="184">
        <v>44572</v>
      </c>
      <c r="D31" s="184">
        <v>44573</v>
      </c>
      <c r="E31" s="184">
        <v>44574</v>
      </c>
      <c r="F31" s="184">
        <v>44575</v>
      </c>
      <c r="G31" s="184">
        <v>44576</v>
      </c>
      <c r="H31" s="185">
        <v>44577</v>
      </c>
      <c r="I31" s="184">
        <v>44578</v>
      </c>
      <c r="J31" s="186">
        <v>44579</v>
      </c>
      <c r="K31" s="184">
        <v>44580</v>
      </c>
      <c r="L31" s="184">
        <v>44581</v>
      </c>
      <c r="M31" s="184">
        <v>44582</v>
      </c>
      <c r="N31" s="185">
        <v>44583</v>
      </c>
      <c r="O31" s="185">
        <v>44584</v>
      </c>
      <c r="P31" s="184">
        <v>44585</v>
      </c>
      <c r="Q31" s="186">
        <v>44586</v>
      </c>
      <c r="R31" s="184">
        <v>44587</v>
      </c>
      <c r="S31" s="184">
        <v>44588</v>
      </c>
      <c r="T31" s="184">
        <v>44589</v>
      </c>
      <c r="U31" s="185">
        <v>44590</v>
      </c>
      <c r="V31" s="185">
        <v>44591</v>
      </c>
      <c r="W31" s="185">
        <v>44592</v>
      </c>
      <c r="X31" s="185">
        <v>44593</v>
      </c>
      <c r="Y31" s="185">
        <v>44594</v>
      </c>
      <c r="Z31" s="185">
        <v>44595</v>
      </c>
      <c r="AA31" s="185">
        <v>44596</v>
      </c>
      <c r="AB31" s="184">
        <v>44597</v>
      </c>
      <c r="AC31" s="184">
        <v>44598</v>
      </c>
      <c r="AD31" s="184">
        <v>44599</v>
      </c>
      <c r="AE31" s="186">
        <v>44600</v>
      </c>
      <c r="AF31" s="184">
        <v>44601</v>
      </c>
      <c r="AG31" s="184">
        <v>44602</v>
      </c>
      <c r="AH31" s="184">
        <v>44603</v>
      </c>
      <c r="AI31" s="184">
        <v>44604</v>
      </c>
      <c r="AJ31" s="185">
        <v>44605</v>
      </c>
      <c r="AK31" s="184">
        <v>44606</v>
      </c>
      <c r="AL31" s="186">
        <v>44607</v>
      </c>
      <c r="AM31" s="184">
        <v>44608</v>
      </c>
      <c r="AN31" s="184">
        <v>44609</v>
      </c>
      <c r="AO31" s="184">
        <v>44610</v>
      </c>
      <c r="AP31" s="185">
        <v>44611</v>
      </c>
      <c r="AQ31" s="185">
        <v>44612</v>
      </c>
      <c r="AR31" s="187">
        <v>44613</v>
      </c>
      <c r="AS31" s="186">
        <v>44614</v>
      </c>
      <c r="AT31" s="184">
        <v>44615</v>
      </c>
      <c r="AU31" s="184">
        <v>44616</v>
      </c>
      <c r="AV31" s="184">
        <v>44617</v>
      </c>
      <c r="AW31" s="184">
        <v>44618</v>
      </c>
      <c r="AX31" s="185">
        <v>44619</v>
      </c>
      <c r="AY31" s="184">
        <v>44620</v>
      </c>
      <c r="AZ31" s="186">
        <v>44621</v>
      </c>
      <c r="BA31" s="184">
        <v>44622</v>
      </c>
      <c r="BB31" s="184">
        <v>44623</v>
      </c>
      <c r="BC31" s="184">
        <v>44624</v>
      </c>
      <c r="BD31" s="185">
        <v>44625</v>
      </c>
      <c r="BE31" s="185">
        <v>44626</v>
      </c>
      <c r="BF31" s="184">
        <v>44627</v>
      </c>
      <c r="BG31" s="186">
        <v>44628</v>
      </c>
      <c r="BH31" s="184">
        <v>44629</v>
      </c>
      <c r="BI31" s="184">
        <v>44630</v>
      </c>
      <c r="BJ31" s="184">
        <v>44631</v>
      </c>
      <c r="BK31" s="188">
        <v>44632</v>
      </c>
      <c r="BL31" s="189">
        <v>44633</v>
      </c>
      <c r="BM31" s="188">
        <v>44634</v>
      </c>
      <c r="BN31" s="190">
        <v>44635</v>
      </c>
      <c r="BO31" s="188">
        <v>44636</v>
      </c>
      <c r="BP31" s="188">
        <v>44637</v>
      </c>
      <c r="BQ31" s="188">
        <v>44638</v>
      </c>
      <c r="BR31" s="189">
        <v>44639</v>
      </c>
      <c r="BS31" s="189">
        <v>44640</v>
      </c>
      <c r="BT31" s="188">
        <v>44641</v>
      </c>
      <c r="BU31" s="190">
        <v>44642</v>
      </c>
      <c r="BV31" s="188">
        <v>44643</v>
      </c>
      <c r="BW31" s="188">
        <v>44644</v>
      </c>
      <c r="BX31" s="188">
        <v>44645</v>
      </c>
      <c r="BY31" s="188">
        <v>44646</v>
      </c>
      <c r="BZ31" s="189">
        <v>44647</v>
      </c>
    </row>
    <row r="32" s="1" customFormat="1" ht="19.2" spans="1:78">
      <c r="A32" s="191" t="s">
        <v>232</v>
      </c>
      <c r="B32" s="192" t="s">
        <v>119</v>
      </c>
      <c r="C32" s="193"/>
      <c r="D32" s="193"/>
      <c r="E32" s="193"/>
      <c r="F32" s="193"/>
      <c r="G32" s="193"/>
      <c r="H32" s="194"/>
      <c r="I32" s="195"/>
      <c r="J32" s="196"/>
      <c r="K32" s="195"/>
      <c r="L32" s="195"/>
      <c r="M32" s="195"/>
      <c r="N32" s="194"/>
      <c r="O32" s="194"/>
      <c r="P32" s="195"/>
      <c r="Q32" s="196"/>
      <c r="R32" s="195"/>
      <c r="S32" s="195"/>
      <c r="T32" s="195"/>
      <c r="U32" s="197" t="s">
        <v>18</v>
      </c>
      <c r="V32" s="198"/>
      <c r="W32" s="198"/>
      <c r="X32" s="198"/>
      <c r="Y32" s="198"/>
      <c r="Z32" s="198"/>
      <c r="AA32" s="199"/>
      <c r="AB32" s="195"/>
      <c r="AC32" s="195"/>
      <c r="AD32" s="195"/>
      <c r="AE32" s="196"/>
      <c r="AF32" s="195"/>
      <c r="AG32" s="195"/>
      <c r="AH32" s="195"/>
      <c r="AI32" s="195"/>
      <c r="AJ32" s="194"/>
      <c r="AK32" s="195"/>
      <c r="AL32" s="196"/>
      <c r="AM32" s="195"/>
      <c r="AN32" s="195"/>
      <c r="AO32" s="195"/>
      <c r="AP32" s="194"/>
      <c r="AQ32" s="194"/>
      <c r="AR32" s="195"/>
      <c r="AS32" s="196"/>
      <c r="AT32" s="195"/>
      <c r="AU32" s="195"/>
      <c r="AV32" s="195"/>
      <c r="AW32" s="195"/>
      <c r="AX32" s="194"/>
      <c r="AY32" s="195"/>
      <c r="AZ32" s="196"/>
      <c r="BA32" s="195"/>
      <c r="BB32" s="195"/>
      <c r="BC32" s="195"/>
      <c r="BD32" s="194"/>
      <c r="BE32" s="194"/>
      <c r="BF32" s="195"/>
      <c r="BG32" s="196"/>
      <c r="BH32" s="195"/>
      <c r="BI32" s="195"/>
      <c r="BJ32" s="195"/>
      <c r="BK32" s="195"/>
      <c r="BL32" s="194"/>
      <c r="BM32" s="195"/>
      <c r="BN32" s="196"/>
      <c r="BO32" s="195"/>
      <c r="BP32" s="195"/>
      <c r="BQ32" s="195"/>
      <c r="BR32" s="200"/>
      <c r="BS32" s="200"/>
      <c r="BT32" s="182"/>
      <c r="BU32" s="201"/>
      <c r="BV32" s="182"/>
      <c r="BW32" s="182"/>
      <c r="BX32" s="182"/>
      <c r="BY32" s="182"/>
      <c r="BZ32" s="200"/>
    </row>
    <row r="33" s="1" customFormat="1" ht="19.2" spans="1:78">
      <c r="A33" s="202"/>
      <c r="B33" s="192" t="s">
        <v>120</v>
      </c>
      <c r="C33" s="203"/>
      <c r="D33" s="203"/>
      <c r="E33" s="203"/>
      <c r="F33" s="203"/>
      <c r="G33" s="203"/>
      <c r="H33" s="204"/>
      <c r="I33" s="205"/>
      <c r="J33" s="205"/>
      <c r="K33" s="205"/>
      <c r="L33" s="205"/>
      <c r="M33" s="205"/>
      <c r="N33" s="204"/>
      <c r="O33" s="204"/>
      <c r="P33" s="205"/>
      <c r="Q33" s="205"/>
      <c r="R33" s="205"/>
      <c r="S33" s="205"/>
      <c r="T33" s="205"/>
      <c r="U33" s="206"/>
      <c r="V33" s="207"/>
      <c r="W33" s="207"/>
      <c r="X33" s="207"/>
      <c r="Y33" s="207"/>
      <c r="Z33" s="207"/>
      <c r="AA33" s="208"/>
      <c r="AB33" s="203"/>
      <c r="AC33" s="203"/>
      <c r="AD33" s="203"/>
      <c r="AE33" s="209"/>
      <c r="AF33" s="203"/>
      <c r="AG33" s="203"/>
      <c r="AH33" s="203"/>
      <c r="AI33" s="203"/>
      <c r="AJ33" s="204"/>
      <c r="AK33" s="203"/>
      <c r="AL33" s="209"/>
      <c r="AM33" s="203"/>
      <c r="AN33" s="203"/>
      <c r="AO33" s="203"/>
      <c r="AP33" s="204"/>
      <c r="AQ33" s="204"/>
      <c r="AR33" s="203"/>
      <c r="AS33" s="209"/>
      <c r="AT33" s="203"/>
      <c r="AU33" s="203"/>
      <c r="AV33" s="203"/>
      <c r="AW33" s="203"/>
      <c r="AX33" s="204"/>
      <c r="AY33" s="203"/>
      <c r="AZ33" s="209"/>
      <c r="BA33" s="203"/>
      <c r="BB33" s="203"/>
      <c r="BC33" s="203"/>
      <c r="BD33" s="204"/>
      <c r="BE33" s="204"/>
      <c r="BF33" s="203"/>
      <c r="BG33" s="209"/>
      <c r="BH33" s="203"/>
      <c r="BI33" s="203"/>
      <c r="BJ33" s="203"/>
      <c r="BK33" s="203"/>
      <c r="BL33" s="204"/>
      <c r="BM33" s="203"/>
      <c r="BN33" s="209"/>
      <c r="BO33" s="203"/>
      <c r="BP33" s="203"/>
      <c r="BQ33" s="203"/>
      <c r="BR33" s="200"/>
      <c r="BS33" s="200"/>
      <c r="BT33" s="182"/>
      <c r="BU33" s="201"/>
      <c r="BV33" s="182"/>
      <c r="BW33" s="182"/>
      <c r="BX33" s="182"/>
      <c r="BY33" s="182"/>
      <c r="BZ33" s="200"/>
    </row>
    <row r="34" s="1" customFormat="1" ht="19.2" spans="1:78">
      <c r="A34" s="202"/>
      <c r="B34" s="210" t="s">
        <v>121</v>
      </c>
      <c r="C34" s="203"/>
      <c r="D34" s="203"/>
      <c r="E34" s="203"/>
      <c r="F34" s="203"/>
      <c r="G34" s="203"/>
      <c r="H34" s="204"/>
      <c r="I34" s="203"/>
      <c r="J34" s="211"/>
      <c r="K34" s="203"/>
      <c r="L34" s="203"/>
      <c r="M34" s="203"/>
      <c r="N34" s="204"/>
      <c r="O34" s="204"/>
      <c r="P34" s="203"/>
      <c r="Q34" s="209"/>
      <c r="R34" s="203"/>
      <c r="S34" s="205"/>
      <c r="T34" s="205"/>
      <c r="U34" s="206"/>
      <c r="V34" s="207"/>
      <c r="W34" s="207"/>
      <c r="X34" s="207"/>
      <c r="Y34" s="207"/>
      <c r="Z34" s="207"/>
      <c r="AA34" s="208"/>
      <c r="AB34" s="203"/>
      <c r="AC34" s="203"/>
      <c r="AD34" s="203"/>
      <c r="AE34" s="209"/>
      <c r="AF34" s="203"/>
      <c r="AG34" s="203"/>
      <c r="AH34" s="203"/>
      <c r="AI34" s="203"/>
      <c r="AJ34" s="204"/>
      <c r="AK34" s="203"/>
      <c r="AL34" s="209"/>
      <c r="AM34" s="203"/>
      <c r="AN34" s="203"/>
      <c r="AO34" s="203"/>
      <c r="AP34" s="204"/>
      <c r="AQ34" s="204"/>
      <c r="AR34" s="203"/>
      <c r="AS34" s="209"/>
      <c r="AT34" s="203"/>
      <c r="AU34" s="203"/>
      <c r="AV34" s="203"/>
      <c r="AW34" s="203"/>
      <c r="AX34" s="204"/>
      <c r="AY34" s="203"/>
      <c r="AZ34" s="209"/>
      <c r="BA34" s="203"/>
      <c r="BB34" s="203"/>
      <c r="BC34" s="203"/>
      <c r="BD34" s="204"/>
      <c r="BE34" s="204"/>
      <c r="BF34" s="203"/>
      <c r="BG34" s="209"/>
      <c r="BH34" s="203"/>
      <c r="BI34" s="203"/>
      <c r="BJ34" s="203"/>
      <c r="BK34" s="203"/>
      <c r="BL34" s="204"/>
      <c r="BM34" s="203"/>
      <c r="BN34" s="209"/>
      <c r="BO34" s="203"/>
      <c r="BP34" s="203"/>
      <c r="BQ34" s="203"/>
      <c r="BR34" s="200"/>
      <c r="BS34" s="200"/>
      <c r="BT34" s="182"/>
      <c r="BU34" s="201"/>
      <c r="BV34" s="182"/>
      <c r="BW34" s="182"/>
      <c r="BX34" s="182"/>
      <c r="BY34" s="182"/>
      <c r="BZ34" s="200"/>
    </row>
    <row r="35" s="1" customFormat="1" ht="19.2" spans="1:78">
      <c r="A35" s="202"/>
      <c r="B35" s="192" t="s">
        <v>233</v>
      </c>
      <c r="C35" s="203"/>
      <c r="D35" s="203"/>
      <c r="E35" s="203"/>
      <c r="F35" s="203"/>
      <c r="G35" s="203"/>
      <c r="H35" s="204"/>
      <c r="I35" s="203"/>
      <c r="J35" s="209"/>
      <c r="K35" s="203"/>
      <c r="L35" s="203"/>
      <c r="M35" s="203"/>
      <c r="N35" s="204"/>
      <c r="O35" s="204"/>
      <c r="P35" s="203"/>
      <c r="Q35" s="209"/>
      <c r="R35" s="203"/>
      <c r="S35" s="203"/>
      <c r="T35" s="203"/>
      <c r="U35" s="206"/>
      <c r="V35" s="207"/>
      <c r="W35" s="207"/>
      <c r="X35" s="207"/>
      <c r="Y35" s="207"/>
      <c r="Z35" s="207"/>
      <c r="AA35" s="208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12"/>
      <c r="AM35" s="205"/>
      <c r="AN35" s="205"/>
      <c r="AO35" s="205"/>
      <c r="AP35" s="205"/>
      <c r="AQ35" s="205"/>
      <c r="AR35" s="205"/>
      <c r="AS35" s="209"/>
      <c r="AT35" s="203"/>
      <c r="AU35" s="203"/>
      <c r="AV35" s="203"/>
      <c r="AW35" s="203"/>
      <c r="AX35" s="204"/>
      <c r="AY35" s="203"/>
      <c r="AZ35" s="209"/>
      <c r="BA35" s="203"/>
      <c r="BB35" s="203"/>
      <c r="BC35" s="203"/>
      <c r="BD35" s="204"/>
      <c r="BE35" s="204"/>
      <c r="BF35" s="203"/>
      <c r="BG35" s="209"/>
      <c r="BH35" s="203"/>
      <c r="BI35" s="203"/>
      <c r="BJ35" s="203"/>
      <c r="BK35" s="203"/>
      <c r="BL35" s="204"/>
      <c r="BM35" s="203"/>
      <c r="BN35" s="209"/>
      <c r="BO35" s="203"/>
      <c r="BP35" s="203"/>
      <c r="BQ35" s="203"/>
      <c r="BR35" s="200"/>
      <c r="BS35" s="200"/>
      <c r="BT35" s="182"/>
      <c r="BU35" s="201"/>
      <c r="BV35" s="182"/>
      <c r="BW35" s="182"/>
      <c r="BX35" s="182"/>
      <c r="BY35" s="182"/>
      <c r="BZ35" s="200"/>
    </row>
    <row r="36" s="1" customFormat="1" ht="19.2" spans="1:78">
      <c r="A36" s="202"/>
      <c r="B36" s="192" t="s">
        <v>125</v>
      </c>
      <c r="C36" s="213"/>
      <c r="D36" s="213"/>
      <c r="E36" s="213"/>
      <c r="F36" s="213"/>
      <c r="G36" s="213"/>
      <c r="H36" s="214"/>
      <c r="I36" s="213"/>
      <c r="J36" s="215"/>
      <c r="K36" s="213"/>
      <c r="L36" s="213"/>
      <c r="M36" s="213"/>
      <c r="N36" s="204"/>
      <c r="O36" s="204"/>
      <c r="P36" s="203"/>
      <c r="Q36" s="209"/>
      <c r="R36" s="203"/>
      <c r="S36" s="203"/>
      <c r="T36" s="203"/>
      <c r="U36" s="206"/>
      <c r="V36" s="207"/>
      <c r="W36" s="207"/>
      <c r="X36" s="207"/>
      <c r="Y36" s="207"/>
      <c r="Z36" s="207"/>
      <c r="AA36" s="208"/>
      <c r="AB36" s="203"/>
      <c r="AC36" s="203"/>
      <c r="AD36" s="203"/>
      <c r="AE36" s="209"/>
      <c r="AF36" s="203"/>
      <c r="AG36" s="203"/>
      <c r="AH36" s="203"/>
      <c r="AI36" s="203"/>
      <c r="AJ36" s="204"/>
      <c r="AK36" s="203"/>
      <c r="AL36" s="209"/>
      <c r="AM36" s="203"/>
      <c r="AN36" s="203"/>
      <c r="AO36" s="203"/>
      <c r="AP36" s="204"/>
      <c r="AQ36" s="204"/>
      <c r="AR36" s="205"/>
      <c r="AS36" s="205"/>
      <c r="AT36" s="205"/>
      <c r="AU36" s="205"/>
      <c r="AV36" s="205"/>
      <c r="AW36" s="205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4"/>
      <c r="BM36" s="203"/>
      <c r="BN36" s="209"/>
      <c r="BO36" s="203"/>
      <c r="BP36" s="203"/>
      <c r="BQ36" s="203"/>
      <c r="BR36" s="200"/>
      <c r="BS36" s="200"/>
      <c r="BT36" s="182"/>
      <c r="BU36" s="201"/>
      <c r="BV36" s="182"/>
      <c r="BW36" s="182"/>
      <c r="BX36" s="182"/>
      <c r="BY36" s="182"/>
      <c r="BZ36" s="200"/>
    </row>
    <row r="37" s="1" customFormat="1" ht="19.2" spans="1:78">
      <c r="A37" s="202"/>
      <c r="B37" s="192" t="s">
        <v>126</v>
      </c>
      <c r="C37" s="213"/>
      <c r="D37" s="213"/>
      <c r="E37" s="213"/>
      <c r="F37" s="213"/>
      <c r="G37" s="213"/>
      <c r="H37" s="214"/>
      <c r="I37" s="213"/>
      <c r="J37" s="215"/>
      <c r="K37" s="213"/>
      <c r="L37" s="213"/>
      <c r="M37" s="213"/>
      <c r="N37" s="204"/>
      <c r="O37" s="204"/>
      <c r="P37" s="203"/>
      <c r="Q37" s="209"/>
      <c r="R37" s="203"/>
      <c r="S37" s="203"/>
      <c r="T37" s="203"/>
      <c r="U37" s="206"/>
      <c r="V37" s="207"/>
      <c r="W37" s="207"/>
      <c r="X37" s="207"/>
      <c r="Y37" s="207"/>
      <c r="Z37" s="207"/>
      <c r="AA37" s="208"/>
      <c r="AB37" s="203"/>
      <c r="AC37" s="203"/>
      <c r="AD37" s="203"/>
      <c r="AE37" s="209"/>
      <c r="AF37" s="203"/>
      <c r="AG37" s="203"/>
      <c r="AH37" s="203"/>
      <c r="AI37" s="203"/>
      <c r="AJ37" s="204"/>
      <c r="AK37" s="203"/>
      <c r="AL37" s="209"/>
      <c r="AM37" s="203"/>
      <c r="AN37" s="203"/>
      <c r="AO37" s="203"/>
      <c r="AP37" s="204"/>
      <c r="AQ37" s="204"/>
      <c r="AR37" s="203"/>
      <c r="AS37" s="203"/>
      <c r="AT37" s="203"/>
      <c r="AU37" s="203"/>
      <c r="AV37" s="203"/>
      <c r="AW37" s="203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3"/>
      <c r="BK37" s="203"/>
      <c r="BL37" s="204"/>
      <c r="BM37" s="203"/>
      <c r="BN37" s="209"/>
      <c r="BO37" s="203"/>
      <c r="BP37" s="203"/>
      <c r="BQ37" s="203"/>
      <c r="BR37" s="200"/>
      <c r="BS37" s="200"/>
      <c r="BT37" s="182"/>
      <c r="BU37" s="201"/>
      <c r="BV37" s="182"/>
      <c r="BW37" s="182"/>
      <c r="BX37" s="182"/>
      <c r="BY37" s="182"/>
      <c r="BZ37" s="200"/>
    </row>
    <row r="38" s="1" customFormat="1" ht="19.2" spans="1:78">
      <c r="A38" s="202"/>
      <c r="B38" s="210" t="s">
        <v>127</v>
      </c>
      <c r="C38" s="203"/>
      <c r="D38" s="203"/>
      <c r="E38" s="203"/>
      <c r="F38" s="203"/>
      <c r="G38" s="203"/>
      <c r="H38" s="204"/>
      <c r="I38" s="203"/>
      <c r="J38" s="209"/>
      <c r="K38" s="203"/>
      <c r="L38" s="203"/>
      <c r="M38" s="213"/>
      <c r="N38" s="214"/>
      <c r="O38" s="214"/>
      <c r="P38" s="213"/>
      <c r="Q38" s="215"/>
      <c r="R38" s="213"/>
      <c r="S38" s="213"/>
      <c r="T38" s="203"/>
      <c r="U38" s="206"/>
      <c r="V38" s="207"/>
      <c r="W38" s="207"/>
      <c r="X38" s="207"/>
      <c r="Y38" s="207"/>
      <c r="Z38" s="207"/>
      <c r="AA38" s="208"/>
      <c r="AB38" s="203"/>
      <c r="AC38" s="203"/>
      <c r="AD38" s="203"/>
      <c r="AE38" s="209"/>
      <c r="AF38" s="203"/>
      <c r="AG38" s="203"/>
      <c r="AH38" s="203"/>
      <c r="AI38" s="203"/>
      <c r="AJ38" s="204"/>
      <c r="AK38" s="203"/>
      <c r="AL38" s="209"/>
      <c r="AM38" s="203"/>
      <c r="AN38" s="203"/>
      <c r="AO38" s="203"/>
      <c r="AP38" s="204"/>
      <c r="AQ38" s="204"/>
      <c r="AR38" s="203"/>
      <c r="AS38" s="209"/>
      <c r="AT38" s="203"/>
      <c r="AU38" s="203"/>
      <c r="AV38" s="203"/>
      <c r="AW38" s="203"/>
      <c r="AX38" s="204"/>
      <c r="AY38" s="203"/>
      <c r="AZ38" s="209"/>
      <c r="BA38" s="203"/>
      <c r="BB38" s="203"/>
      <c r="BC38" s="203"/>
      <c r="BD38" s="204"/>
      <c r="BE38" s="204"/>
      <c r="BF38" s="203"/>
      <c r="BG38" s="209"/>
      <c r="BH38" s="203"/>
      <c r="BI38" s="203"/>
      <c r="BJ38" s="205"/>
      <c r="BK38" s="203"/>
      <c r="BL38" s="204"/>
      <c r="BM38" s="203"/>
      <c r="BN38" s="209"/>
      <c r="BO38" s="203"/>
      <c r="BP38" s="203"/>
      <c r="BQ38" s="203"/>
      <c r="BR38" s="200"/>
      <c r="BS38" s="200"/>
      <c r="BT38" s="182"/>
      <c r="BU38" s="201"/>
      <c r="BV38" s="182"/>
      <c r="BW38" s="182"/>
      <c r="BX38" s="182"/>
      <c r="BY38" s="182"/>
      <c r="BZ38" s="200"/>
    </row>
    <row r="39" s="1" customFormat="1" ht="19.2" spans="1:78">
      <c r="A39" s="202"/>
      <c r="B39" s="192" t="s">
        <v>128</v>
      </c>
      <c r="C39" s="203"/>
      <c r="D39" s="203"/>
      <c r="E39" s="203"/>
      <c r="F39" s="203"/>
      <c r="G39" s="203"/>
      <c r="H39" s="204"/>
      <c r="I39" s="203"/>
      <c r="J39" s="209"/>
      <c r="K39" s="203"/>
      <c r="L39" s="203"/>
      <c r="M39" s="213"/>
      <c r="N39" s="214"/>
      <c r="O39" s="214"/>
      <c r="P39" s="213"/>
      <c r="Q39" s="215"/>
      <c r="R39" s="213"/>
      <c r="S39" s="213"/>
      <c r="T39" s="203"/>
      <c r="U39" s="206"/>
      <c r="V39" s="207"/>
      <c r="W39" s="207"/>
      <c r="X39" s="207"/>
      <c r="Y39" s="207"/>
      <c r="Z39" s="207"/>
      <c r="AA39" s="208"/>
      <c r="AB39" s="203"/>
      <c r="AC39" s="203"/>
      <c r="AD39" s="203"/>
      <c r="AE39" s="209"/>
      <c r="AF39" s="203"/>
      <c r="AG39" s="203"/>
      <c r="AH39" s="203"/>
      <c r="AI39" s="203"/>
      <c r="AJ39" s="204"/>
      <c r="AK39" s="203"/>
      <c r="AL39" s="209"/>
      <c r="AM39" s="203"/>
      <c r="AN39" s="203"/>
      <c r="AO39" s="203"/>
      <c r="AP39" s="204"/>
      <c r="AQ39" s="204"/>
      <c r="AR39" s="203"/>
      <c r="AS39" s="209"/>
      <c r="AT39" s="203"/>
      <c r="AU39" s="203"/>
      <c r="AV39" s="203"/>
      <c r="AW39" s="203"/>
      <c r="AX39" s="204"/>
      <c r="AY39" s="203"/>
      <c r="AZ39" s="209"/>
      <c r="BA39" s="203"/>
      <c r="BB39" s="203"/>
      <c r="BC39" s="203"/>
      <c r="BD39" s="204"/>
      <c r="BE39" s="204"/>
      <c r="BF39" s="203"/>
      <c r="BG39" s="209"/>
      <c r="BH39" s="203"/>
      <c r="BI39" s="203"/>
      <c r="BJ39" s="203"/>
      <c r="BK39" s="216"/>
      <c r="BL39" s="204"/>
      <c r="BM39" s="216"/>
      <c r="BN39" s="216"/>
      <c r="BO39" s="216"/>
      <c r="BP39" s="216"/>
      <c r="BQ39" s="203"/>
      <c r="BR39" s="200"/>
      <c r="BS39" s="200"/>
      <c r="BT39" s="182"/>
      <c r="BU39" s="201"/>
      <c r="BV39" s="182"/>
      <c r="BW39" s="182"/>
      <c r="BX39" s="182"/>
      <c r="BY39" s="182"/>
      <c r="BZ39" s="200"/>
    </row>
    <row r="40" s="1" customFormat="1" ht="19" customHeight="1" spans="1:78">
      <c r="A40" s="202"/>
      <c r="B40" s="217" t="s">
        <v>129</v>
      </c>
      <c r="C40" s="203"/>
      <c r="D40" s="203"/>
      <c r="E40" s="203"/>
      <c r="F40" s="203"/>
      <c r="G40" s="203"/>
      <c r="H40" s="204"/>
      <c r="I40" s="203"/>
      <c r="J40" s="209"/>
      <c r="K40" s="203"/>
      <c r="L40" s="203"/>
      <c r="M40" s="213"/>
      <c r="N40" s="214"/>
      <c r="O40" s="214"/>
      <c r="P40" s="213"/>
      <c r="Q40" s="215"/>
      <c r="R40" s="213"/>
      <c r="S40" s="213"/>
      <c r="T40" s="203"/>
      <c r="U40" s="206"/>
      <c r="V40" s="207"/>
      <c r="W40" s="207"/>
      <c r="X40" s="207"/>
      <c r="Y40" s="207"/>
      <c r="Z40" s="207"/>
      <c r="AA40" s="208"/>
      <c r="AB40" s="203"/>
      <c r="AC40" s="203"/>
      <c r="AD40" s="203"/>
      <c r="AE40" s="209"/>
      <c r="AF40" s="203"/>
      <c r="AG40" s="203"/>
      <c r="AH40" s="203"/>
      <c r="AI40" s="203"/>
      <c r="AJ40" s="204"/>
      <c r="AK40" s="203"/>
      <c r="AL40" s="209"/>
      <c r="AM40" s="203"/>
      <c r="AN40" s="203"/>
      <c r="AO40" s="203"/>
      <c r="AP40" s="204"/>
      <c r="AQ40" s="204"/>
      <c r="AR40" s="203"/>
      <c r="AS40" s="209"/>
      <c r="AT40" s="203"/>
      <c r="AU40" s="203"/>
      <c r="AV40" s="203"/>
      <c r="AW40" s="203"/>
      <c r="AX40" s="204"/>
      <c r="AY40" s="203"/>
      <c r="AZ40" s="209"/>
      <c r="BA40" s="203"/>
      <c r="BB40" s="203"/>
      <c r="BC40" s="203"/>
      <c r="BD40" s="204"/>
      <c r="BE40" s="204"/>
      <c r="BF40" s="203"/>
      <c r="BG40" s="209"/>
      <c r="BH40" s="203"/>
      <c r="BI40" s="203"/>
      <c r="BJ40" s="203"/>
      <c r="BK40" s="203"/>
      <c r="BL40" s="204"/>
      <c r="BM40" s="203"/>
      <c r="BN40" s="209"/>
      <c r="BO40" s="203"/>
      <c r="BP40" s="203"/>
      <c r="BQ40" s="205"/>
      <c r="BR40" s="200"/>
      <c r="BS40" s="200"/>
      <c r="BT40" s="182"/>
      <c r="BU40" s="201"/>
      <c r="BV40" s="182"/>
      <c r="BW40" s="182"/>
      <c r="BX40" s="182"/>
      <c r="BY40" s="182"/>
      <c r="BZ40" s="200"/>
    </row>
    <row r="41" s="1" customFormat="1" ht="19" customHeight="1" spans="1:78">
      <c r="A41" s="218"/>
      <c r="B41" s="192" t="s">
        <v>130</v>
      </c>
      <c r="C41" s="203"/>
      <c r="D41" s="203"/>
      <c r="E41" s="203"/>
      <c r="F41" s="203"/>
      <c r="G41" s="203"/>
      <c r="H41" s="204"/>
      <c r="I41" s="203"/>
      <c r="J41" s="209"/>
      <c r="K41" s="203"/>
      <c r="L41" s="203"/>
      <c r="M41" s="213"/>
      <c r="N41" s="214"/>
      <c r="O41" s="214"/>
      <c r="P41" s="213"/>
      <c r="Q41" s="215"/>
      <c r="R41" s="213"/>
      <c r="S41" s="213"/>
      <c r="T41" s="203"/>
      <c r="U41" s="206"/>
      <c r="V41" s="207"/>
      <c r="W41" s="207"/>
      <c r="X41" s="207"/>
      <c r="Y41" s="207"/>
      <c r="Z41" s="207"/>
      <c r="AA41" s="208"/>
      <c r="AB41" s="203"/>
      <c r="AC41" s="203"/>
      <c r="AD41" s="203"/>
      <c r="AE41" s="209"/>
      <c r="AF41" s="203"/>
      <c r="AG41" s="203"/>
      <c r="AH41" s="203"/>
      <c r="AI41" s="203"/>
      <c r="AJ41" s="204"/>
      <c r="AK41" s="203"/>
      <c r="AL41" s="209"/>
      <c r="AM41" s="203"/>
      <c r="AN41" s="203"/>
      <c r="AO41" s="203"/>
      <c r="AP41" s="204"/>
      <c r="AQ41" s="204"/>
      <c r="AR41" s="203"/>
      <c r="AS41" s="209"/>
      <c r="AT41" s="203"/>
      <c r="AU41" s="203"/>
      <c r="AV41" s="203"/>
      <c r="AW41" s="203"/>
      <c r="AX41" s="204"/>
      <c r="AY41" s="203"/>
      <c r="AZ41" s="209"/>
      <c r="BA41" s="203"/>
      <c r="BB41" s="203"/>
      <c r="BC41" s="203"/>
      <c r="BD41" s="204"/>
      <c r="BE41" s="204"/>
      <c r="BF41" s="203"/>
      <c r="BG41" s="209"/>
      <c r="BH41" s="203"/>
      <c r="BI41" s="203"/>
      <c r="BJ41" s="203"/>
      <c r="BK41" s="203"/>
      <c r="BL41" s="204"/>
      <c r="BM41" s="203"/>
      <c r="BN41" s="209"/>
      <c r="BO41" s="203"/>
      <c r="BP41" s="203"/>
      <c r="BQ41" s="205"/>
      <c r="BR41" s="219"/>
      <c r="BS41" s="219"/>
      <c r="BT41" s="219"/>
      <c r="BU41" s="219"/>
      <c r="BV41" s="219"/>
      <c r="BW41" s="219"/>
      <c r="BX41" s="219"/>
      <c r="BY41" s="219"/>
      <c r="BZ41" s="219"/>
    </row>
    <row r="42" s="1" customFormat="1" ht="19.2" spans="1:78">
      <c r="A42" s="220" t="s">
        <v>234</v>
      </c>
      <c r="B42" s="221" t="s">
        <v>235</v>
      </c>
      <c r="C42" s="203"/>
      <c r="D42" s="203"/>
      <c r="E42" s="203"/>
      <c r="F42" s="203"/>
      <c r="G42" s="203"/>
      <c r="H42" s="204"/>
      <c r="I42" s="203"/>
      <c r="J42" s="209"/>
      <c r="K42" s="203"/>
      <c r="L42" s="203"/>
      <c r="M42" s="203"/>
      <c r="N42" s="204"/>
      <c r="O42" s="204"/>
      <c r="P42" s="203"/>
      <c r="Q42" s="209"/>
      <c r="R42" s="203"/>
      <c r="S42" s="203"/>
      <c r="T42" s="203"/>
      <c r="U42" s="206"/>
      <c r="V42" s="207"/>
      <c r="W42" s="207"/>
      <c r="X42" s="207"/>
      <c r="Y42" s="207"/>
      <c r="Z42" s="207"/>
      <c r="AA42" s="208"/>
      <c r="AB42" s="203"/>
      <c r="AC42" s="203"/>
      <c r="AD42" s="203"/>
      <c r="AE42" s="209"/>
      <c r="AF42" s="203"/>
      <c r="AG42" s="203"/>
      <c r="AH42" s="203"/>
      <c r="AI42" s="203"/>
      <c r="AJ42" s="204"/>
      <c r="AK42" s="203"/>
      <c r="AL42" s="209"/>
      <c r="AM42" s="203"/>
      <c r="AN42" s="203"/>
      <c r="AO42" s="203"/>
      <c r="AP42" s="204"/>
      <c r="AQ42" s="204"/>
      <c r="AR42" s="203"/>
      <c r="AS42" s="209"/>
      <c r="AT42" s="205"/>
      <c r="AU42" s="203"/>
      <c r="AV42" s="203"/>
      <c r="AW42" s="203"/>
      <c r="AX42" s="204"/>
      <c r="AY42" s="203"/>
      <c r="AZ42" s="209"/>
      <c r="BA42" s="203"/>
      <c r="BB42" s="203"/>
      <c r="BC42" s="203"/>
      <c r="BD42" s="204"/>
      <c r="BE42" s="204"/>
      <c r="BF42" s="203"/>
      <c r="BG42" s="209"/>
      <c r="BH42" s="203"/>
      <c r="BI42" s="203"/>
      <c r="BJ42" s="203"/>
      <c r="BK42" s="203"/>
      <c r="BL42" s="204"/>
      <c r="BM42" s="203"/>
      <c r="BN42" s="209"/>
      <c r="BO42" s="203"/>
      <c r="BP42" s="203"/>
      <c r="BQ42" s="203"/>
      <c r="BR42" s="200"/>
      <c r="BS42" s="200"/>
      <c r="BT42" s="182"/>
      <c r="BU42" s="201"/>
      <c r="BV42" s="182"/>
      <c r="BW42" s="182"/>
      <c r="BX42" s="182"/>
      <c r="BY42" s="182"/>
      <c r="BZ42" s="200"/>
    </row>
    <row r="43" s="1" customFormat="1" ht="19.2" spans="1:78">
      <c r="A43" s="220"/>
      <c r="B43" s="221" t="s">
        <v>236</v>
      </c>
      <c r="C43" s="203"/>
      <c r="D43" s="203"/>
      <c r="E43" s="203"/>
      <c r="F43" s="203"/>
      <c r="G43" s="203"/>
      <c r="H43" s="204"/>
      <c r="I43" s="203"/>
      <c r="J43" s="209"/>
      <c r="K43" s="203"/>
      <c r="L43" s="203"/>
      <c r="M43" s="203"/>
      <c r="N43" s="204"/>
      <c r="O43" s="204"/>
      <c r="P43" s="203"/>
      <c r="Q43" s="209"/>
      <c r="R43" s="203"/>
      <c r="S43" s="203"/>
      <c r="T43" s="203"/>
      <c r="U43" s="206"/>
      <c r="V43" s="207"/>
      <c r="W43" s="207"/>
      <c r="X43" s="207"/>
      <c r="Y43" s="207"/>
      <c r="Z43" s="207"/>
      <c r="AA43" s="208"/>
      <c r="AB43" s="203"/>
      <c r="AC43" s="203"/>
      <c r="AD43" s="203"/>
      <c r="AE43" s="209"/>
      <c r="AF43" s="203"/>
      <c r="AG43" s="203"/>
      <c r="AH43" s="203"/>
      <c r="AI43" s="203"/>
      <c r="AJ43" s="204"/>
      <c r="AK43" s="203"/>
      <c r="AL43" s="209"/>
      <c r="AM43" s="203"/>
      <c r="AN43" s="203"/>
      <c r="AO43" s="203"/>
      <c r="AP43" s="204"/>
      <c r="AQ43" s="204"/>
      <c r="AR43" s="203"/>
      <c r="AS43" s="209"/>
      <c r="AT43" s="203"/>
      <c r="AU43" s="216"/>
      <c r="AV43" s="203"/>
      <c r="AW43" s="203"/>
      <c r="AX43" s="204"/>
      <c r="AY43" s="203"/>
      <c r="AZ43" s="209"/>
      <c r="BA43" s="203"/>
      <c r="BB43" s="203"/>
      <c r="BC43" s="203"/>
      <c r="BD43" s="204"/>
      <c r="BE43" s="204"/>
      <c r="BF43" s="203"/>
      <c r="BG43" s="209"/>
      <c r="BH43" s="203"/>
      <c r="BI43" s="203"/>
      <c r="BJ43" s="203"/>
      <c r="BK43" s="203"/>
      <c r="BL43" s="204"/>
      <c r="BM43" s="203"/>
      <c r="BN43" s="209"/>
      <c r="BO43" s="203"/>
      <c r="BP43" s="203"/>
      <c r="BQ43" s="203"/>
      <c r="BR43" s="200"/>
      <c r="BS43" s="200"/>
      <c r="BT43" s="182"/>
      <c r="BU43" s="201"/>
      <c r="BV43" s="182"/>
      <c r="BW43" s="182"/>
      <c r="BX43" s="182"/>
      <c r="BY43" s="182"/>
      <c r="BZ43" s="200"/>
    </row>
    <row r="44" s="1" customFormat="1" ht="19.2" spans="1:78">
      <c r="A44" s="220"/>
      <c r="B44" s="221" t="s">
        <v>133</v>
      </c>
      <c r="C44" s="222"/>
      <c r="D44" s="222"/>
      <c r="E44" s="222"/>
      <c r="F44" s="222"/>
      <c r="G44" s="222"/>
      <c r="H44" s="223"/>
      <c r="I44" s="222"/>
      <c r="J44" s="224"/>
      <c r="K44" s="222"/>
      <c r="L44" s="222"/>
      <c r="M44" s="222"/>
      <c r="N44" s="223"/>
      <c r="O44" s="223"/>
      <c r="P44" s="222"/>
      <c r="Q44" s="224"/>
      <c r="R44" s="222"/>
      <c r="S44" s="222"/>
      <c r="T44" s="222"/>
      <c r="U44" s="206"/>
      <c r="V44" s="207"/>
      <c r="W44" s="207"/>
      <c r="X44" s="207"/>
      <c r="Y44" s="207"/>
      <c r="Z44" s="207"/>
      <c r="AA44" s="208"/>
      <c r="AB44" s="222"/>
      <c r="AC44" s="222"/>
      <c r="AD44" s="222"/>
      <c r="AE44" s="224"/>
      <c r="AF44" s="222"/>
      <c r="AG44" s="222"/>
      <c r="AH44" s="203"/>
      <c r="AI44" s="222"/>
      <c r="AJ44" s="223"/>
      <c r="AK44" s="222"/>
      <c r="AL44" s="209"/>
      <c r="AM44" s="222"/>
      <c r="AN44" s="222"/>
      <c r="AO44" s="222"/>
      <c r="AP44" s="223"/>
      <c r="AQ44" s="223"/>
      <c r="AR44" s="222"/>
      <c r="AS44" s="224"/>
      <c r="AT44" s="203"/>
      <c r="AU44" s="222"/>
      <c r="AV44" s="222"/>
      <c r="AW44" s="222"/>
      <c r="AX44" s="223"/>
      <c r="AY44" s="222"/>
      <c r="AZ44" s="224"/>
      <c r="BA44" s="203"/>
      <c r="BB44" s="203"/>
      <c r="BC44" s="203"/>
      <c r="BD44" s="204"/>
      <c r="BE44" s="204"/>
      <c r="BF44" s="203"/>
      <c r="BG44" s="209"/>
      <c r="BH44" s="203"/>
      <c r="BI44" s="203"/>
      <c r="BJ44" s="203"/>
      <c r="BK44" s="203"/>
      <c r="BL44" s="204"/>
      <c r="BM44" s="216"/>
      <c r="BN44" s="209"/>
      <c r="BO44" s="203"/>
      <c r="BP44" s="203"/>
      <c r="BQ44" s="203"/>
      <c r="BR44" s="200"/>
      <c r="BS44" s="200"/>
      <c r="BT44" s="182"/>
      <c r="BU44" s="201"/>
      <c r="BV44" s="182"/>
      <c r="BW44" s="182"/>
      <c r="BX44" s="182"/>
      <c r="BY44" s="182"/>
      <c r="BZ44" s="200"/>
    </row>
    <row r="45" s="1" customFormat="1" ht="19.2" spans="1:78">
      <c r="A45" s="220"/>
      <c r="B45" s="217" t="s">
        <v>237</v>
      </c>
      <c r="C45" s="222"/>
      <c r="D45" s="222"/>
      <c r="E45" s="222"/>
      <c r="F45" s="222"/>
      <c r="G45" s="222"/>
      <c r="H45" s="223"/>
      <c r="I45" s="222"/>
      <c r="J45" s="224"/>
      <c r="K45" s="222"/>
      <c r="L45" s="222"/>
      <c r="M45" s="222"/>
      <c r="N45" s="223"/>
      <c r="O45" s="223"/>
      <c r="P45" s="222"/>
      <c r="Q45" s="224"/>
      <c r="R45" s="222"/>
      <c r="S45" s="222"/>
      <c r="T45" s="222"/>
      <c r="U45" s="206"/>
      <c r="V45" s="207"/>
      <c r="W45" s="207"/>
      <c r="X45" s="207"/>
      <c r="Y45" s="207"/>
      <c r="Z45" s="207"/>
      <c r="AA45" s="208"/>
      <c r="AB45" s="222"/>
      <c r="AC45" s="222"/>
      <c r="AD45" s="222"/>
      <c r="AE45" s="224"/>
      <c r="AF45" s="222"/>
      <c r="AG45" s="222"/>
      <c r="AH45" s="203"/>
      <c r="AI45" s="203"/>
      <c r="AJ45" s="204"/>
      <c r="AK45" s="203"/>
      <c r="AL45" s="209"/>
      <c r="AM45" s="203"/>
      <c r="AN45" s="203"/>
      <c r="AO45" s="203"/>
      <c r="AP45" s="204"/>
      <c r="AQ45" s="204"/>
      <c r="AR45" s="203"/>
      <c r="AS45" s="209"/>
      <c r="AT45" s="203"/>
      <c r="AU45" s="203"/>
      <c r="AV45" s="203"/>
      <c r="AW45" s="203"/>
      <c r="AX45" s="204"/>
      <c r="AY45" s="203"/>
      <c r="AZ45" s="209"/>
      <c r="BA45" s="203"/>
      <c r="BB45" s="203"/>
      <c r="BC45" s="203"/>
      <c r="BD45" s="204"/>
      <c r="BE45" s="204"/>
      <c r="BF45" s="203"/>
      <c r="BG45" s="209"/>
      <c r="BH45" s="203"/>
      <c r="BI45" s="203"/>
      <c r="BJ45" s="203"/>
      <c r="BK45" s="203"/>
      <c r="BL45" s="204"/>
      <c r="BM45" s="203"/>
      <c r="BN45" s="209"/>
      <c r="BO45" s="203"/>
      <c r="BP45" s="203"/>
      <c r="BQ45" s="216"/>
      <c r="BR45" s="225"/>
      <c r="BS45" s="225"/>
      <c r="BT45" s="225"/>
      <c r="BU45" s="225"/>
      <c r="BV45" s="225"/>
      <c r="BW45" s="225"/>
      <c r="BX45" s="225"/>
      <c r="BY45" s="225"/>
      <c r="BZ45" s="225"/>
    </row>
  </sheetData>
  <mergeCells count="15"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A32:A41"/>
    <mergeCell ref="A42:A45"/>
    <mergeCell ref="A1:V3"/>
    <mergeCell ref="A4:AL11"/>
    <mergeCell ref="U32:AA45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13" workbookViewId="0">
      <pane xSplit="1" topLeftCell="B1" activePane="topRight" state="frozen"/>
      <selection/>
      <selection pane="topRight" activeCell="D4" sqref="D4"/>
    </sheetView>
  </sheetViews>
  <sheetFormatPr defaultColWidth="8.1" defaultRowHeight="15.6" outlineLevelCol="6"/>
  <cols>
    <col min="1" max="1" width="17.6666666666667" style="155" customWidth="1"/>
    <col min="2" max="7" width="32.375" style="155" customWidth="1"/>
    <col min="8" max="19" width="17.6666666666667" style="155" customWidth="1"/>
    <col min="20" max="252" width="8.1" style="155"/>
    <col min="253" max="16384" width="8.1" style="11"/>
  </cols>
  <sheetData>
    <row r="1" s="153" customFormat="1" ht="39" customHeight="1" spans="1:7">
      <c r="A1" s="153" t="s">
        <v>238</v>
      </c>
    </row>
    <row r="2" s="154" customFormat="1" ht="39" customHeight="1" spans="1:7">
      <c r="A2" s="154" t="s">
        <v>239</v>
      </c>
      <c r="B2" s="156"/>
      <c r="C2" s="156"/>
      <c r="D2" s="156"/>
      <c r="E2" s="156"/>
      <c r="F2" s="156"/>
    </row>
    <row r="3" s="153" customFormat="1" ht="25" customHeight="1" spans="1:7">
      <c r="A3" s="153" t="s">
        <v>240</v>
      </c>
    </row>
    <row r="4" s="153" customFormat="1" ht="174" customHeight="1" spans="1:7">
      <c r="A4" s="153" t="s">
        <v>241</v>
      </c>
    </row>
    <row r="5" s="153" customFormat="1" ht="123" customHeight="1" spans="1:7">
      <c r="A5" s="153" t="s">
        <v>242</v>
      </c>
    </row>
    <row r="6" s="153" customFormat="1" ht="43" customHeight="1" spans="1:7">
      <c r="A6" s="153" t="s">
        <v>243</v>
      </c>
    </row>
    <row r="7" s="153" customFormat="1" ht="41" customHeight="1" spans="1:7">
      <c r="A7" s="153" t="s">
        <v>244</v>
      </c>
      <c r="C7" s="157"/>
      <c r="E7" s="157"/>
    </row>
    <row r="8" s="153" customFormat="1" ht="41" customHeight="1" spans="1:7">
      <c r="A8" s="153" t="s">
        <v>245</v>
      </c>
      <c r="F8" s="158"/>
    </row>
    <row r="9" s="153" customFormat="1" ht="25" customHeight="1" spans="1:7">
      <c r="A9" s="153" t="s">
        <v>246</v>
      </c>
      <c r="G9" s="159"/>
    </row>
    <row r="10" s="153" customFormat="1" ht="25" customHeight="1" spans="1:7">
      <c r="A10" s="153" t="s">
        <v>247</v>
      </c>
    </row>
    <row r="11" s="153" customFormat="1" ht="25" customHeight="1" spans="1:7">
      <c r="A11" s="153" t="s">
        <v>248</v>
      </c>
    </row>
    <row r="12" s="153" customFormat="1" ht="211" customHeight="1" spans="1:7">
      <c r="A12" s="153" t="s">
        <v>249</v>
      </c>
    </row>
    <row r="13" s="153" customFormat="1" ht="263" customHeight="1" spans="1:7">
      <c r="A13" s="153" t="s">
        <v>250</v>
      </c>
    </row>
    <row r="14" s="153" customFormat="1" ht="144" customHeight="1" spans="1:7">
      <c r="A14" s="153" t="s">
        <v>251</v>
      </c>
    </row>
    <row r="15" s="153" customFormat="1" ht="147" customHeight="1" spans="1:7">
      <c r="A15" s="153" t="s">
        <v>252</v>
      </c>
      <c r="B15" s="153" t="s">
        <v>253</v>
      </c>
    </row>
  </sheetData>
  <sheetProtection formatCells="0" insertHyperlinks="0" autoFilter="0"/>
  <mergeCells count="1">
    <mergeCell ref="B15:G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9" sqref="$A1:$XFD9"/>
    </sheetView>
  </sheetViews>
  <sheetFormatPr defaultColWidth="9" defaultRowHeight="15.6"/>
  <cols>
    <col min="1" max="1" width="12.5" style="125" customWidth="1"/>
    <col min="2" max="2" width="15.0833333333333" style="125" customWidth="1"/>
    <col min="3" max="3" width="16.125" style="125" customWidth="1"/>
    <col min="4" max="4" width="12.125" style="125" customWidth="1"/>
    <col min="5" max="5" width="16.425" style="126" customWidth="1"/>
    <col min="6" max="6" width="15.875" style="125" customWidth="1"/>
    <col min="7" max="7" width="13.6083333333333" style="125" customWidth="1"/>
    <col min="8" max="9" width="11.9416666666667" style="125" customWidth="1"/>
    <col min="10" max="10" width="12.0833333333333" style="125" customWidth="1"/>
    <col min="11" max="11" width="12.6416666666667" style="127" customWidth="1"/>
    <col min="12" max="12" width="15.375" style="125" customWidth="1"/>
    <col min="13" max="256" width="9" style="125"/>
  </cols>
  <sheetData>
    <row r="1" ht="34" customHeight="1" spans="1:11">
      <c r="A1" s="128" t="s">
        <v>254</v>
      </c>
      <c r="B1" s="129"/>
      <c r="C1" s="129"/>
      <c r="D1" s="129"/>
      <c r="E1" s="130"/>
      <c r="F1" s="130"/>
      <c r="G1" s="131"/>
    </row>
    <row r="2" ht="34" customHeight="1" spans="1:11">
      <c r="A2" s="132" t="s">
        <v>255</v>
      </c>
      <c r="B2" s="133" t="s">
        <v>256</v>
      </c>
      <c r="C2" s="134" t="s">
        <v>257</v>
      </c>
      <c r="D2" s="133" t="s">
        <v>258</v>
      </c>
      <c r="E2" s="135" t="s">
        <v>259</v>
      </c>
      <c r="F2" s="135" t="s">
        <v>260</v>
      </c>
      <c r="G2" s="136"/>
    </row>
    <row r="3" ht="34" customHeight="1" spans="1:11">
      <c r="A3" s="119" t="s">
        <v>5</v>
      </c>
      <c r="B3" s="137">
        <v>5</v>
      </c>
      <c r="C3" s="137">
        <v>1</v>
      </c>
      <c r="D3" s="137">
        <v>20</v>
      </c>
      <c r="E3" s="138">
        <f>C3*1500/D3</f>
        <v>75</v>
      </c>
      <c r="F3" s="138">
        <v>20</v>
      </c>
      <c r="G3" s="136"/>
    </row>
    <row r="4" ht="34" customHeight="1" spans="1:11">
      <c r="A4" s="119" t="s">
        <v>261</v>
      </c>
      <c r="B4" s="137">
        <v>5</v>
      </c>
      <c r="C4" s="137">
        <v>1</v>
      </c>
      <c r="D4" s="137">
        <v>20</v>
      </c>
      <c r="E4" s="138">
        <f>C4*1500/D4</f>
        <v>75</v>
      </c>
      <c r="F4" s="138">
        <v>20</v>
      </c>
      <c r="G4" s="138"/>
    </row>
    <row r="6" s="122" customFormat="1" ht="49.55" customHeight="1" spans="1:11">
      <c r="A6" s="139" t="s">
        <v>262</v>
      </c>
      <c r="B6" s="139"/>
      <c r="C6" s="139"/>
      <c r="D6" s="139"/>
      <c r="E6" s="140" t="s">
        <v>263</v>
      </c>
      <c r="F6" s="141"/>
      <c r="G6" s="141"/>
      <c r="H6" s="141"/>
      <c r="I6" s="141"/>
      <c r="J6" s="141"/>
      <c r="K6" s="142"/>
    </row>
    <row r="7" s="123" customFormat="1" ht="42" customHeight="1" spans="1:11">
      <c r="A7" s="143" t="s">
        <v>264</v>
      </c>
      <c r="B7" s="143" t="s">
        <v>241</v>
      </c>
      <c r="C7" s="143" t="s">
        <v>265</v>
      </c>
      <c r="D7" s="143" t="s">
        <v>266</v>
      </c>
      <c r="E7" s="144" t="s">
        <v>243</v>
      </c>
      <c r="F7" s="145" t="s">
        <v>267</v>
      </c>
      <c r="G7" s="145" t="s">
        <v>245</v>
      </c>
      <c r="H7" s="145" t="s">
        <v>259</v>
      </c>
      <c r="I7" s="145" t="s">
        <v>268</v>
      </c>
      <c r="J7" s="145" t="s">
        <v>269</v>
      </c>
      <c r="K7" s="146" t="s">
        <v>270</v>
      </c>
    </row>
    <row r="8" s="124" customFormat="1" ht="66" customHeight="1" spans="1:11">
      <c r="A8" s="147"/>
      <c r="B8" s="148"/>
      <c r="C8" s="119" t="s">
        <v>271</v>
      </c>
      <c r="D8" s="119" t="s">
        <v>5</v>
      </c>
      <c r="E8" s="149">
        <v>25</v>
      </c>
      <c r="F8" s="150">
        <f>E8*0.15</f>
        <v>3.75</v>
      </c>
      <c r="G8" s="150">
        <v>4.75</v>
      </c>
      <c r="H8" s="150">
        <f>E3/6.5</f>
        <v>11.5384615384615</v>
      </c>
      <c r="I8" s="150">
        <f>F3/6.5</f>
        <v>3.07692307692308</v>
      </c>
      <c r="J8" s="150">
        <f>E8-F8-G8-H8-I8</f>
        <v>1.88461538461538</v>
      </c>
      <c r="K8" s="151">
        <f>J8/E8</f>
        <v>0.0753846153846154</v>
      </c>
    </row>
    <row r="9" s="124" customFormat="1" ht="66" customHeight="1" spans="1:11">
      <c r="A9" s="147"/>
      <c r="B9" s="152"/>
      <c r="C9" s="119" t="s">
        <v>271</v>
      </c>
      <c r="D9" s="119" t="s">
        <v>261</v>
      </c>
      <c r="E9" s="149">
        <v>25</v>
      </c>
      <c r="F9" s="150">
        <f>E9*0.15</f>
        <v>3.75</v>
      </c>
      <c r="G9" s="150">
        <v>4.75</v>
      </c>
      <c r="H9" s="150">
        <f>E4/6.5</f>
        <v>11.5384615384615</v>
      </c>
      <c r="I9" s="150">
        <f>F4/6.5</f>
        <v>3.07692307692308</v>
      </c>
      <c r="J9" s="150">
        <f>E9-F9-G9-H9-I9</f>
        <v>1.88461538461538</v>
      </c>
      <c r="K9" s="151">
        <f>J9/E9</f>
        <v>0.0753846153846154</v>
      </c>
    </row>
  </sheetData>
  <sheetProtection formatCells="0" insertHyperlinks="0" autoFilter="0"/>
  <mergeCells count="3">
    <mergeCell ref="A1:G1"/>
    <mergeCell ref="A6:D6"/>
    <mergeCell ref="E6:K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7"/>
  <sheetViews>
    <sheetView workbookViewId="0">
      <pane ySplit="4" topLeftCell="A60" activePane="bottomLeft" state="frozen"/>
      <selection/>
      <selection pane="bottomLeft" activeCell="F81" sqref="F81"/>
    </sheetView>
  </sheetViews>
  <sheetFormatPr defaultColWidth="9" defaultRowHeight="15"/>
  <cols>
    <col min="1" max="1" width="14.5" style="89" customWidth="1"/>
    <col min="2" max="2" width="16" style="89" customWidth="1"/>
    <col min="3" max="5" width="13.5" style="89" customWidth="1"/>
    <col min="6" max="6" width="13.5" style="90" customWidth="1"/>
    <col min="7" max="7" width="13.5" style="91" customWidth="1"/>
    <col min="8" max="8" width="13.5" style="92" customWidth="1"/>
    <col min="9" max="9" width="13.5" style="93" customWidth="1"/>
    <col min="10" max="11" width="13.5" style="92" customWidth="1"/>
    <col min="12" max="16384" width="9" style="88"/>
  </cols>
  <sheetData>
    <row r="1" s="88" customFormat="1" ht="31" customHeight="1" spans="1:11">
      <c r="A1" s="94" t="s">
        <v>241</v>
      </c>
      <c r="B1" s="95" t="s">
        <v>255</v>
      </c>
      <c r="C1" s="96"/>
      <c r="D1" s="96"/>
      <c r="E1" s="96"/>
      <c r="F1" s="97"/>
      <c r="G1" s="96"/>
      <c r="H1" s="98" t="s">
        <v>272</v>
      </c>
      <c r="I1" s="99">
        <v>0.05</v>
      </c>
      <c r="J1" s="98">
        <v>25</v>
      </c>
      <c r="K1" s="100">
        <f>J1*('1.2 产品定价'!I8+'1.2 产品定价'!H8+'1.2 产品定价'!G8*0.15)</f>
        <v>383.197115384615</v>
      </c>
    </row>
    <row r="2" s="88" customFormat="1" ht="31" customHeight="1" spans="1:11">
      <c r="A2" s="101"/>
      <c r="B2" s="102" t="s">
        <v>5</v>
      </c>
      <c r="C2" s="103"/>
      <c r="D2" s="103"/>
      <c r="E2" s="103"/>
      <c r="F2" s="104"/>
      <c r="G2" s="103"/>
      <c r="H2" s="105" t="s">
        <v>273</v>
      </c>
      <c r="I2" s="106">
        <v>30</v>
      </c>
      <c r="J2" s="106" t="s">
        <v>274</v>
      </c>
      <c r="K2" s="107">
        <v>900</v>
      </c>
    </row>
    <row r="3" s="88" customFormat="1" ht="31" customHeight="1" spans="1:11">
      <c r="A3" s="108"/>
      <c r="B3" s="109">
        <v>1000</v>
      </c>
      <c r="C3" s="109"/>
      <c r="D3" s="109"/>
      <c r="E3" s="109"/>
      <c r="F3" s="110"/>
      <c r="G3" s="109"/>
      <c r="H3" s="106" t="s">
        <v>275</v>
      </c>
      <c r="I3" s="106" t="s">
        <v>274</v>
      </c>
      <c r="J3" s="106" t="s">
        <v>276</v>
      </c>
      <c r="K3" s="107">
        <f>(1000/'1.2 产品定价'!D4*'1.2 产品定价'!C4)*35*0.83</f>
        <v>1452.5</v>
      </c>
    </row>
    <row r="4" s="88" customFormat="1" ht="38" customHeight="1" spans="1:11">
      <c r="A4" s="111" t="s">
        <v>277</v>
      </c>
      <c r="B4" s="112" t="s">
        <v>278</v>
      </c>
      <c r="C4" s="112" t="s">
        <v>279</v>
      </c>
      <c r="D4" s="112" t="s">
        <v>280</v>
      </c>
      <c r="E4" s="112" t="s">
        <v>281</v>
      </c>
      <c r="F4" s="113" t="s">
        <v>282</v>
      </c>
      <c r="G4" s="112" t="s">
        <v>283</v>
      </c>
      <c r="H4" s="112" t="s">
        <v>284</v>
      </c>
      <c r="I4" s="112" t="s">
        <v>285</v>
      </c>
      <c r="J4" s="112" t="s">
        <v>286</v>
      </c>
      <c r="K4" s="112" t="s">
        <v>287</v>
      </c>
    </row>
    <row r="5" s="88" customFormat="1" ht="18" customHeight="1" spans="1:11">
      <c r="A5" s="112" t="s">
        <v>288</v>
      </c>
      <c r="B5" s="112">
        <v>1</v>
      </c>
      <c r="C5" s="112">
        <f>B3-B5</f>
        <v>999</v>
      </c>
      <c r="D5" s="114">
        <v>2</v>
      </c>
      <c r="E5" s="114">
        <f>B3-D5</f>
        <v>998</v>
      </c>
      <c r="F5" s="113">
        <v>13.99</v>
      </c>
      <c r="G5" s="115">
        <v>3.528</v>
      </c>
      <c r="H5" s="116">
        <f>G5*D5</f>
        <v>7.056</v>
      </c>
      <c r="I5" s="92">
        <v>20.95</v>
      </c>
      <c r="J5" s="117">
        <f>D5/B5</f>
        <v>2</v>
      </c>
      <c r="K5" s="118">
        <f>H5-I5</f>
        <v>-13.894</v>
      </c>
    </row>
    <row r="6" s="88" customFormat="1" ht="18" customHeight="1" spans="1:11">
      <c r="A6" s="112" t="s">
        <v>289</v>
      </c>
      <c r="B6" s="112">
        <v>1</v>
      </c>
      <c r="C6" s="112">
        <f>C5-B6</f>
        <v>998</v>
      </c>
      <c r="D6" s="114">
        <v>1</v>
      </c>
      <c r="E6" s="114">
        <f>E5-D6</f>
        <v>997</v>
      </c>
      <c r="F6" s="113">
        <v>13.99</v>
      </c>
      <c r="G6" s="115">
        <v>3.528</v>
      </c>
      <c r="H6" s="116">
        <f t="shared" ref="H6:H12" si="0">G6*D6</f>
        <v>3.528</v>
      </c>
      <c r="I6" s="92">
        <v>18.32</v>
      </c>
      <c r="J6" s="117">
        <f t="shared" ref="J6:J12" si="1">D6/B6</f>
        <v>1</v>
      </c>
      <c r="K6" s="118">
        <f t="shared" ref="K6:K12" si="2">H6-I6</f>
        <v>-14.792</v>
      </c>
    </row>
    <row r="7" s="88" customFormat="1" ht="18" customHeight="1" spans="1:11">
      <c r="A7" s="112" t="s">
        <v>290</v>
      </c>
      <c r="B7" s="112">
        <v>1</v>
      </c>
      <c r="C7" s="112">
        <f t="shared" ref="C7:C38" si="3">C6-B7</f>
        <v>997</v>
      </c>
      <c r="D7" s="114">
        <v>0</v>
      </c>
      <c r="E7" s="114">
        <f t="shared" ref="E7:E49" si="4">E6-D7</f>
        <v>997</v>
      </c>
      <c r="F7" s="113">
        <v>13.99</v>
      </c>
      <c r="G7" s="115">
        <v>3.528</v>
      </c>
      <c r="H7" s="116">
        <f t="shared" si="0"/>
        <v>0</v>
      </c>
      <c r="I7" s="92">
        <v>4.72</v>
      </c>
      <c r="J7" s="117">
        <f t="shared" si="1"/>
        <v>0</v>
      </c>
      <c r="K7" s="118">
        <f t="shared" si="2"/>
        <v>-4.72</v>
      </c>
    </row>
    <row r="8" s="88" customFormat="1" spans="1:11">
      <c r="A8" s="89" t="s">
        <v>291</v>
      </c>
      <c r="B8" s="119">
        <v>1</v>
      </c>
      <c r="C8" s="112">
        <f t="shared" si="3"/>
        <v>996</v>
      </c>
      <c r="D8" s="91">
        <v>1</v>
      </c>
      <c r="E8" s="114">
        <f t="shared" si="4"/>
        <v>996</v>
      </c>
      <c r="F8" s="113">
        <v>13.99</v>
      </c>
      <c r="G8" s="115">
        <v>3.528</v>
      </c>
      <c r="H8" s="116">
        <f t="shared" si="0"/>
        <v>3.528</v>
      </c>
      <c r="I8" s="92">
        <v>20.26</v>
      </c>
      <c r="J8" s="117">
        <f t="shared" si="1"/>
        <v>1</v>
      </c>
      <c r="K8" s="118">
        <f t="shared" si="2"/>
        <v>-16.732</v>
      </c>
    </row>
    <row r="9" s="88" customFormat="1" spans="1:11">
      <c r="A9" s="89" t="s">
        <v>292</v>
      </c>
      <c r="B9" s="119">
        <v>1</v>
      </c>
      <c r="C9" s="112">
        <f t="shared" si="3"/>
        <v>995</v>
      </c>
      <c r="D9" s="91">
        <v>3</v>
      </c>
      <c r="E9" s="114">
        <f t="shared" si="4"/>
        <v>993</v>
      </c>
      <c r="F9" s="113">
        <v>13.99</v>
      </c>
      <c r="G9" s="115">
        <v>3.528</v>
      </c>
      <c r="H9" s="116">
        <f t="shared" si="0"/>
        <v>10.584</v>
      </c>
      <c r="I9" s="92">
        <v>26</v>
      </c>
      <c r="J9" s="117">
        <f t="shared" si="1"/>
        <v>3</v>
      </c>
      <c r="K9" s="118">
        <f t="shared" si="2"/>
        <v>-15.416</v>
      </c>
    </row>
    <row r="10" s="88" customFormat="1" spans="1:11">
      <c r="A10" s="89" t="s">
        <v>293</v>
      </c>
      <c r="B10" s="119">
        <v>1</v>
      </c>
      <c r="C10" s="112">
        <f t="shared" si="3"/>
        <v>994</v>
      </c>
      <c r="D10" s="91">
        <v>3</v>
      </c>
      <c r="E10" s="114">
        <f t="shared" si="4"/>
        <v>990</v>
      </c>
      <c r="F10" s="113">
        <v>13.99</v>
      </c>
      <c r="G10" s="115">
        <v>3.528</v>
      </c>
      <c r="H10" s="116">
        <f t="shared" si="0"/>
        <v>10.584</v>
      </c>
      <c r="I10" s="92">
        <v>23.48</v>
      </c>
      <c r="J10" s="117">
        <f t="shared" si="1"/>
        <v>3</v>
      </c>
      <c r="K10" s="118">
        <f t="shared" si="2"/>
        <v>-12.896</v>
      </c>
    </row>
    <row r="11" s="88" customFormat="1" spans="1:11">
      <c r="A11" s="89" t="s">
        <v>294</v>
      </c>
      <c r="B11" s="119">
        <v>1</v>
      </c>
      <c r="C11" s="112">
        <f t="shared" si="3"/>
        <v>993</v>
      </c>
      <c r="D11" s="91">
        <v>9</v>
      </c>
      <c r="E11" s="114">
        <f t="shared" si="4"/>
        <v>981</v>
      </c>
      <c r="F11" s="113">
        <v>13.99</v>
      </c>
      <c r="G11" s="115">
        <v>3.528</v>
      </c>
      <c r="H11" s="116">
        <f t="shared" si="0"/>
        <v>31.752</v>
      </c>
      <c r="I11" s="92">
        <v>20.61</v>
      </c>
      <c r="J11" s="117">
        <f t="shared" si="1"/>
        <v>9</v>
      </c>
      <c r="K11" s="118">
        <f t="shared" si="2"/>
        <v>11.142</v>
      </c>
    </row>
    <row r="12" s="88" customFormat="1" spans="1:11">
      <c r="A12" s="89" t="s">
        <v>295</v>
      </c>
      <c r="B12" s="119">
        <v>1</v>
      </c>
      <c r="C12" s="112">
        <f t="shared" si="3"/>
        <v>992</v>
      </c>
      <c r="D12" s="91">
        <v>5</v>
      </c>
      <c r="E12" s="114">
        <f t="shared" si="4"/>
        <v>976</v>
      </c>
      <c r="F12" s="113">
        <v>13.99</v>
      </c>
      <c r="G12" s="115">
        <v>3.528</v>
      </c>
      <c r="H12" s="116">
        <f t="shared" si="0"/>
        <v>17.64</v>
      </c>
      <c r="I12" s="92">
        <v>19.58</v>
      </c>
      <c r="J12" s="117">
        <f t="shared" ref="J12:J49" si="5">D12/B12</f>
        <v>5</v>
      </c>
      <c r="K12" s="118">
        <f t="shared" si="2"/>
        <v>-1.94</v>
      </c>
    </row>
    <row r="13" s="88" customFormat="1" spans="1:11">
      <c r="A13" s="89" t="s">
        <v>296</v>
      </c>
      <c r="B13" s="119">
        <v>2</v>
      </c>
      <c r="C13" s="112">
        <f t="shared" si="3"/>
        <v>990</v>
      </c>
      <c r="D13" s="91">
        <v>9</v>
      </c>
      <c r="E13" s="114">
        <f t="shared" si="4"/>
        <v>967</v>
      </c>
      <c r="F13" s="113">
        <v>13.99</v>
      </c>
      <c r="G13" s="115">
        <v>3.528</v>
      </c>
      <c r="H13" s="116">
        <f t="shared" ref="H13:H49" si="6">G13*D13</f>
        <v>31.752</v>
      </c>
      <c r="I13" s="92">
        <v>20.38</v>
      </c>
      <c r="J13" s="117">
        <f t="shared" si="5"/>
        <v>4.5</v>
      </c>
      <c r="K13" s="118">
        <f t="shared" ref="K13:K49" si="7">H13-I13</f>
        <v>11.372</v>
      </c>
    </row>
    <row r="14" s="88" customFormat="1" spans="1:11">
      <c r="A14" s="89" t="s">
        <v>297</v>
      </c>
      <c r="B14" s="119">
        <v>5</v>
      </c>
      <c r="C14" s="112">
        <f t="shared" si="3"/>
        <v>985</v>
      </c>
      <c r="D14" s="91">
        <v>4</v>
      </c>
      <c r="E14" s="114">
        <f t="shared" si="4"/>
        <v>963</v>
      </c>
      <c r="F14" s="113">
        <v>13.99</v>
      </c>
      <c r="G14" s="115">
        <v>3.528</v>
      </c>
      <c r="H14" s="116">
        <f t="shared" si="6"/>
        <v>14.112</v>
      </c>
      <c r="I14" s="92">
        <v>20.3</v>
      </c>
      <c r="J14" s="117">
        <f t="shared" si="5"/>
        <v>0.8</v>
      </c>
      <c r="K14" s="118">
        <f t="shared" si="7"/>
        <v>-6.188</v>
      </c>
    </row>
    <row r="15" s="88" customFormat="1" spans="1:11">
      <c r="A15" s="89" t="s">
        <v>298</v>
      </c>
      <c r="B15" s="119">
        <v>5</v>
      </c>
      <c r="C15" s="112">
        <f t="shared" si="3"/>
        <v>980</v>
      </c>
      <c r="D15" s="91">
        <v>9</v>
      </c>
      <c r="E15" s="114">
        <f t="shared" si="4"/>
        <v>954</v>
      </c>
      <c r="F15" s="113">
        <v>13.99</v>
      </c>
      <c r="G15" s="115">
        <v>3.528</v>
      </c>
      <c r="H15" s="116">
        <f t="shared" si="6"/>
        <v>31.752</v>
      </c>
      <c r="I15" s="92">
        <v>20.22</v>
      </c>
      <c r="J15" s="117">
        <f t="shared" si="5"/>
        <v>1.8</v>
      </c>
      <c r="K15" s="118">
        <f t="shared" si="7"/>
        <v>11.532</v>
      </c>
    </row>
    <row r="16" s="88" customFormat="1" spans="1:11">
      <c r="A16" s="89" t="s">
        <v>299</v>
      </c>
      <c r="B16" s="119">
        <v>5</v>
      </c>
      <c r="C16" s="112">
        <f t="shared" si="3"/>
        <v>975</v>
      </c>
      <c r="D16" s="91">
        <v>9</v>
      </c>
      <c r="E16" s="114">
        <f t="shared" si="4"/>
        <v>945</v>
      </c>
      <c r="F16" s="113">
        <v>13.99</v>
      </c>
      <c r="G16" s="115">
        <v>3.528</v>
      </c>
      <c r="H16" s="116">
        <f t="shared" si="6"/>
        <v>31.752</v>
      </c>
      <c r="I16" s="92">
        <v>19.49</v>
      </c>
      <c r="J16" s="117">
        <f t="shared" si="5"/>
        <v>1.8</v>
      </c>
      <c r="K16" s="118">
        <f t="shared" si="7"/>
        <v>12.262</v>
      </c>
    </row>
    <row r="17" s="88" customFormat="1" spans="1:11">
      <c r="A17" s="89" t="s">
        <v>300</v>
      </c>
      <c r="B17" s="119">
        <v>5</v>
      </c>
      <c r="C17" s="112">
        <f t="shared" si="3"/>
        <v>970</v>
      </c>
      <c r="D17" s="91">
        <v>8</v>
      </c>
      <c r="E17" s="114">
        <f t="shared" si="4"/>
        <v>937</v>
      </c>
      <c r="F17" s="113">
        <v>13.99</v>
      </c>
      <c r="G17" s="115">
        <v>3.528</v>
      </c>
      <c r="H17" s="116">
        <f t="shared" si="6"/>
        <v>28.224</v>
      </c>
      <c r="I17" s="92">
        <v>19.53</v>
      </c>
      <c r="J17" s="117">
        <f t="shared" si="5"/>
        <v>1.6</v>
      </c>
      <c r="K17" s="118">
        <f t="shared" si="7"/>
        <v>8.694</v>
      </c>
    </row>
    <row r="18" s="88" customFormat="1" spans="1:11">
      <c r="A18" s="89" t="s">
        <v>301</v>
      </c>
      <c r="B18" s="119">
        <v>5</v>
      </c>
      <c r="C18" s="112">
        <f t="shared" si="3"/>
        <v>965</v>
      </c>
      <c r="D18" s="91">
        <v>23</v>
      </c>
      <c r="E18" s="114">
        <f t="shared" si="4"/>
        <v>914</v>
      </c>
      <c r="F18" s="113">
        <v>13.99</v>
      </c>
      <c r="G18" s="115">
        <v>3.528</v>
      </c>
      <c r="H18" s="116">
        <f t="shared" si="6"/>
        <v>81.144</v>
      </c>
      <c r="I18" s="92">
        <v>18.89</v>
      </c>
      <c r="J18" s="117">
        <f t="shared" si="5"/>
        <v>4.6</v>
      </c>
      <c r="K18" s="118">
        <f t="shared" si="7"/>
        <v>62.254</v>
      </c>
    </row>
    <row r="19" s="88" customFormat="1" spans="1:11">
      <c r="A19" s="89" t="s">
        <v>302</v>
      </c>
      <c r="B19" s="119">
        <v>5</v>
      </c>
      <c r="C19" s="112">
        <f t="shared" si="3"/>
        <v>960</v>
      </c>
      <c r="D19" s="91">
        <v>17</v>
      </c>
      <c r="E19" s="114">
        <f t="shared" si="4"/>
        <v>897</v>
      </c>
      <c r="F19" s="113">
        <v>13.99</v>
      </c>
      <c r="G19" s="115">
        <v>3.528</v>
      </c>
      <c r="H19" s="116">
        <f t="shared" si="6"/>
        <v>59.976</v>
      </c>
      <c r="I19" s="92">
        <v>20.37</v>
      </c>
      <c r="J19" s="117">
        <f t="shared" si="5"/>
        <v>3.4</v>
      </c>
      <c r="K19" s="118">
        <f t="shared" si="7"/>
        <v>39.606</v>
      </c>
    </row>
    <row r="20" s="88" customFormat="1" spans="1:11">
      <c r="A20" s="89" t="s">
        <v>303</v>
      </c>
      <c r="B20" s="119">
        <v>5</v>
      </c>
      <c r="C20" s="112">
        <f t="shared" si="3"/>
        <v>955</v>
      </c>
      <c r="D20" s="91">
        <v>11</v>
      </c>
      <c r="E20" s="114">
        <f t="shared" si="4"/>
        <v>886</v>
      </c>
      <c r="F20" s="113">
        <v>13.99</v>
      </c>
      <c r="G20" s="115">
        <v>3.528</v>
      </c>
      <c r="H20" s="116">
        <f t="shared" si="6"/>
        <v>38.808</v>
      </c>
      <c r="I20" s="92">
        <v>22.15</v>
      </c>
      <c r="J20" s="117">
        <f t="shared" si="5"/>
        <v>2.2</v>
      </c>
      <c r="K20" s="118">
        <f t="shared" si="7"/>
        <v>16.658</v>
      </c>
    </row>
    <row r="21" s="88" customFormat="1" spans="1:11">
      <c r="A21" s="89" t="s">
        <v>304</v>
      </c>
      <c r="B21" s="119">
        <v>5</v>
      </c>
      <c r="C21" s="112">
        <f t="shared" si="3"/>
        <v>950</v>
      </c>
      <c r="D21" s="91">
        <v>12</v>
      </c>
      <c r="E21" s="114">
        <f t="shared" si="4"/>
        <v>874</v>
      </c>
      <c r="F21" s="113">
        <v>13.99</v>
      </c>
      <c r="G21" s="115">
        <v>3.528</v>
      </c>
      <c r="H21" s="116">
        <f t="shared" si="6"/>
        <v>42.336</v>
      </c>
      <c r="I21" s="92">
        <v>20.65</v>
      </c>
      <c r="J21" s="117">
        <f t="shared" si="5"/>
        <v>2.4</v>
      </c>
      <c r="K21" s="118">
        <f t="shared" si="7"/>
        <v>21.686</v>
      </c>
    </row>
    <row r="22" s="88" customFormat="1" spans="1:11">
      <c r="A22" s="89" t="s">
        <v>305</v>
      </c>
      <c r="B22" s="119">
        <v>5</v>
      </c>
      <c r="C22" s="112">
        <f t="shared" si="3"/>
        <v>945</v>
      </c>
      <c r="D22" s="91">
        <v>9</v>
      </c>
      <c r="E22" s="114">
        <f t="shared" si="4"/>
        <v>865</v>
      </c>
      <c r="F22" s="113">
        <v>13.99</v>
      </c>
      <c r="G22" s="115">
        <v>3.528</v>
      </c>
      <c r="H22" s="116">
        <f t="shared" si="6"/>
        <v>31.752</v>
      </c>
      <c r="I22" s="92">
        <v>19.25</v>
      </c>
      <c r="J22" s="117">
        <f t="shared" si="5"/>
        <v>1.8</v>
      </c>
      <c r="K22" s="118">
        <f t="shared" si="7"/>
        <v>12.502</v>
      </c>
    </row>
    <row r="23" s="88" customFormat="1" spans="1:11">
      <c r="A23" s="89" t="s">
        <v>306</v>
      </c>
      <c r="B23" s="119">
        <v>5</v>
      </c>
      <c r="C23" s="112">
        <f t="shared" si="3"/>
        <v>940</v>
      </c>
      <c r="D23" s="91">
        <v>11</v>
      </c>
      <c r="E23" s="114">
        <f t="shared" si="4"/>
        <v>854</v>
      </c>
      <c r="F23" s="113">
        <v>13.99</v>
      </c>
      <c r="G23" s="115">
        <v>3.528</v>
      </c>
      <c r="H23" s="116">
        <f t="shared" si="6"/>
        <v>38.808</v>
      </c>
      <c r="I23" s="92">
        <v>19.79</v>
      </c>
      <c r="J23" s="117">
        <f t="shared" si="5"/>
        <v>2.2</v>
      </c>
      <c r="K23" s="118">
        <f t="shared" si="7"/>
        <v>19.018</v>
      </c>
    </row>
    <row r="24" s="88" customFormat="1" spans="1:11">
      <c r="A24" s="89" t="s">
        <v>307</v>
      </c>
      <c r="B24" s="119">
        <v>10</v>
      </c>
      <c r="C24" s="112">
        <f t="shared" si="3"/>
        <v>930</v>
      </c>
      <c r="D24" s="91">
        <v>14</v>
      </c>
      <c r="E24" s="114">
        <f t="shared" si="4"/>
        <v>840</v>
      </c>
      <c r="F24" s="113">
        <v>13.99</v>
      </c>
      <c r="G24" s="115">
        <v>3.528</v>
      </c>
      <c r="H24" s="116">
        <f t="shared" si="6"/>
        <v>49.392</v>
      </c>
      <c r="I24" s="92">
        <v>20.18</v>
      </c>
      <c r="J24" s="117">
        <f t="shared" si="5"/>
        <v>1.4</v>
      </c>
      <c r="K24" s="118">
        <f t="shared" si="7"/>
        <v>29.212</v>
      </c>
    </row>
    <row r="25" s="88" customFormat="1" spans="1:11">
      <c r="A25" s="89" t="s">
        <v>308</v>
      </c>
      <c r="B25" s="119">
        <v>10</v>
      </c>
      <c r="C25" s="112">
        <f t="shared" si="3"/>
        <v>920</v>
      </c>
      <c r="D25" s="91">
        <v>18</v>
      </c>
      <c r="E25" s="114">
        <f t="shared" si="4"/>
        <v>822</v>
      </c>
      <c r="F25" s="113">
        <v>13.99</v>
      </c>
      <c r="G25" s="115">
        <v>3.528</v>
      </c>
      <c r="H25" s="116">
        <f t="shared" si="6"/>
        <v>63.504</v>
      </c>
      <c r="I25" s="92">
        <v>19.49</v>
      </c>
      <c r="J25" s="117">
        <f t="shared" si="5"/>
        <v>1.8</v>
      </c>
      <c r="K25" s="118">
        <f t="shared" si="7"/>
        <v>44.014</v>
      </c>
    </row>
    <row r="26" spans="1:11">
      <c r="A26" s="89" t="s">
        <v>309</v>
      </c>
      <c r="B26" s="119">
        <v>10</v>
      </c>
      <c r="C26" s="112">
        <f t="shared" si="3"/>
        <v>910</v>
      </c>
      <c r="D26" s="91">
        <v>19</v>
      </c>
      <c r="E26" s="114">
        <f t="shared" si="4"/>
        <v>803</v>
      </c>
      <c r="F26" s="113">
        <v>13.99</v>
      </c>
      <c r="G26" s="115">
        <v>3.528</v>
      </c>
      <c r="H26" s="116">
        <f t="shared" si="6"/>
        <v>67.032</v>
      </c>
      <c r="I26" s="92">
        <v>0</v>
      </c>
      <c r="J26" s="117">
        <f t="shared" si="5"/>
        <v>1.9</v>
      </c>
      <c r="K26" s="118">
        <f t="shared" si="7"/>
        <v>67.032</v>
      </c>
    </row>
    <row r="27" spans="1:11">
      <c r="A27" s="89" t="s">
        <v>310</v>
      </c>
      <c r="B27" s="119">
        <v>10</v>
      </c>
      <c r="C27" s="112">
        <f t="shared" si="3"/>
        <v>900</v>
      </c>
      <c r="D27" s="91">
        <v>21</v>
      </c>
      <c r="E27" s="114">
        <f t="shared" si="4"/>
        <v>782</v>
      </c>
      <c r="F27" s="113">
        <v>13.99</v>
      </c>
      <c r="G27" s="115">
        <v>3.528</v>
      </c>
      <c r="H27" s="116">
        <f t="shared" si="6"/>
        <v>74.088</v>
      </c>
      <c r="I27" s="92">
        <v>0</v>
      </c>
      <c r="J27" s="117">
        <f t="shared" si="5"/>
        <v>2.1</v>
      </c>
      <c r="K27" s="118">
        <f t="shared" si="7"/>
        <v>74.088</v>
      </c>
    </row>
    <row r="28" spans="1:11">
      <c r="A28" s="89" t="s">
        <v>311</v>
      </c>
      <c r="B28" s="119">
        <v>10</v>
      </c>
      <c r="C28" s="112">
        <f t="shared" si="3"/>
        <v>890</v>
      </c>
      <c r="D28" s="91">
        <v>22</v>
      </c>
      <c r="E28" s="114">
        <f t="shared" si="4"/>
        <v>760</v>
      </c>
      <c r="F28" s="113">
        <v>13.99</v>
      </c>
      <c r="G28" s="115">
        <v>3.528</v>
      </c>
      <c r="H28" s="116">
        <f t="shared" si="6"/>
        <v>77.616</v>
      </c>
      <c r="I28" s="92">
        <v>0</v>
      </c>
      <c r="J28" s="117">
        <f t="shared" si="5"/>
        <v>2.2</v>
      </c>
      <c r="K28" s="118">
        <f t="shared" si="7"/>
        <v>77.616</v>
      </c>
    </row>
    <row r="29" spans="1:11">
      <c r="A29" s="89" t="s">
        <v>312</v>
      </c>
      <c r="B29" s="119">
        <v>15</v>
      </c>
      <c r="C29" s="112">
        <f t="shared" si="3"/>
        <v>875</v>
      </c>
      <c r="D29" s="91">
        <v>29</v>
      </c>
      <c r="E29" s="114">
        <f t="shared" si="4"/>
        <v>731</v>
      </c>
      <c r="F29" s="92">
        <v>15.99</v>
      </c>
      <c r="G29" s="116">
        <v>5.228</v>
      </c>
      <c r="H29" s="116">
        <f t="shared" si="6"/>
        <v>151.612</v>
      </c>
      <c r="I29" s="92">
        <v>0</v>
      </c>
      <c r="J29" s="117">
        <f t="shared" si="5"/>
        <v>1.93333333333333</v>
      </c>
      <c r="K29" s="118">
        <f t="shared" si="7"/>
        <v>151.612</v>
      </c>
    </row>
    <row r="30" spans="1:11">
      <c r="A30" s="89" t="s">
        <v>313</v>
      </c>
      <c r="B30" s="119">
        <v>15</v>
      </c>
      <c r="C30" s="112">
        <f t="shared" si="3"/>
        <v>860</v>
      </c>
      <c r="D30" s="91">
        <v>18</v>
      </c>
      <c r="E30" s="114">
        <f t="shared" si="4"/>
        <v>713</v>
      </c>
      <c r="F30" s="92">
        <v>15.99</v>
      </c>
      <c r="G30" s="116">
        <v>5.228</v>
      </c>
      <c r="H30" s="116">
        <f t="shared" si="6"/>
        <v>94.104</v>
      </c>
      <c r="I30" s="92">
        <v>0</v>
      </c>
      <c r="J30" s="117">
        <f t="shared" si="5"/>
        <v>1.2</v>
      </c>
      <c r="K30" s="118">
        <f t="shared" si="7"/>
        <v>94.104</v>
      </c>
    </row>
    <row r="31" spans="1:11">
      <c r="A31" s="89" t="s">
        <v>314</v>
      </c>
      <c r="B31" s="119">
        <v>15</v>
      </c>
      <c r="C31" s="112">
        <f t="shared" si="3"/>
        <v>845</v>
      </c>
      <c r="D31" s="91">
        <v>40</v>
      </c>
      <c r="E31" s="114">
        <f t="shared" si="4"/>
        <v>673</v>
      </c>
      <c r="F31" s="92">
        <v>15.99</v>
      </c>
      <c r="G31" s="116">
        <v>5.228</v>
      </c>
      <c r="H31" s="116">
        <f t="shared" si="6"/>
        <v>209.12</v>
      </c>
      <c r="I31" s="92">
        <v>0</v>
      </c>
      <c r="J31" s="117">
        <f t="shared" si="5"/>
        <v>2.66666666666667</v>
      </c>
      <c r="K31" s="118">
        <f t="shared" si="7"/>
        <v>209.12</v>
      </c>
    </row>
    <row r="32" spans="1:11">
      <c r="A32" s="89" t="s">
        <v>315</v>
      </c>
      <c r="B32" s="119">
        <v>15</v>
      </c>
      <c r="C32" s="112">
        <f t="shared" si="3"/>
        <v>830</v>
      </c>
      <c r="D32" s="91">
        <v>28</v>
      </c>
      <c r="E32" s="114">
        <f t="shared" si="4"/>
        <v>645</v>
      </c>
      <c r="F32" s="92">
        <v>16.99</v>
      </c>
      <c r="G32" s="116">
        <v>6.078</v>
      </c>
      <c r="H32" s="116">
        <f t="shared" si="6"/>
        <v>170.184</v>
      </c>
      <c r="I32" s="92">
        <v>0</v>
      </c>
      <c r="J32" s="117">
        <f t="shared" si="5"/>
        <v>1.86666666666667</v>
      </c>
      <c r="K32" s="118">
        <f t="shared" si="7"/>
        <v>170.184</v>
      </c>
    </row>
    <row r="33" spans="1:11">
      <c r="A33" s="89" t="s">
        <v>316</v>
      </c>
      <c r="B33" s="119">
        <v>15</v>
      </c>
      <c r="C33" s="112">
        <f t="shared" si="3"/>
        <v>815</v>
      </c>
      <c r="D33" s="91">
        <v>26</v>
      </c>
      <c r="E33" s="114">
        <f t="shared" si="4"/>
        <v>619</v>
      </c>
      <c r="F33" s="92">
        <v>16.99</v>
      </c>
      <c r="G33" s="116">
        <v>6.078</v>
      </c>
      <c r="H33" s="116">
        <f t="shared" si="6"/>
        <v>158.028</v>
      </c>
      <c r="I33" s="92">
        <v>0</v>
      </c>
      <c r="J33" s="117">
        <f t="shared" si="5"/>
        <v>1.73333333333333</v>
      </c>
      <c r="K33" s="118">
        <f t="shared" si="7"/>
        <v>158.028</v>
      </c>
    </row>
    <row r="34" spans="1:11">
      <c r="A34" s="89" t="s">
        <v>317</v>
      </c>
      <c r="B34" s="119">
        <v>15</v>
      </c>
      <c r="C34" s="112">
        <f t="shared" si="3"/>
        <v>800</v>
      </c>
      <c r="D34" s="91">
        <v>21</v>
      </c>
      <c r="E34" s="114">
        <f t="shared" si="4"/>
        <v>598</v>
      </c>
      <c r="F34" s="92">
        <v>16.99</v>
      </c>
      <c r="G34" s="116">
        <v>6.078</v>
      </c>
      <c r="H34" s="116">
        <f t="shared" si="6"/>
        <v>127.638</v>
      </c>
      <c r="I34" s="92">
        <v>0</v>
      </c>
      <c r="J34" s="117">
        <f t="shared" si="5"/>
        <v>1.4</v>
      </c>
      <c r="K34" s="118">
        <f t="shared" si="7"/>
        <v>127.638</v>
      </c>
    </row>
    <row r="35" spans="1:11">
      <c r="A35" s="89" t="s">
        <v>318</v>
      </c>
      <c r="B35" s="119">
        <v>15</v>
      </c>
      <c r="C35" s="112">
        <f t="shared" si="3"/>
        <v>785</v>
      </c>
      <c r="D35" s="91">
        <v>35</v>
      </c>
      <c r="E35" s="114">
        <f t="shared" si="4"/>
        <v>563</v>
      </c>
      <c r="F35" s="92">
        <v>16.99</v>
      </c>
      <c r="G35" s="116">
        <v>6.078</v>
      </c>
      <c r="H35" s="116">
        <f t="shared" si="6"/>
        <v>212.73</v>
      </c>
      <c r="I35" s="92">
        <v>0</v>
      </c>
      <c r="J35" s="117">
        <f t="shared" si="5"/>
        <v>2.33333333333333</v>
      </c>
      <c r="K35" s="118">
        <f t="shared" si="7"/>
        <v>212.73</v>
      </c>
    </row>
    <row r="36" spans="1:11">
      <c r="A36" s="89" t="s">
        <v>319</v>
      </c>
      <c r="B36" s="119">
        <v>15</v>
      </c>
      <c r="C36" s="112">
        <f t="shared" si="3"/>
        <v>770</v>
      </c>
      <c r="D36" s="91">
        <v>27</v>
      </c>
      <c r="E36" s="114">
        <f t="shared" si="4"/>
        <v>536</v>
      </c>
      <c r="F36" s="92">
        <v>16.99</v>
      </c>
      <c r="G36" s="116">
        <v>6.078</v>
      </c>
      <c r="H36" s="116">
        <f t="shared" si="6"/>
        <v>164.106</v>
      </c>
      <c r="I36" s="92">
        <v>0</v>
      </c>
      <c r="J36" s="117">
        <f t="shared" si="5"/>
        <v>1.8</v>
      </c>
      <c r="K36" s="118">
        <f t="shared" si="7"/>
        <v>164.106</v>
      </c>
    </row>
    <row r="37" spans="1:11">
      <c r="A37" s="89" t="s">
        <v>320</v>
      </c>
      <c r="B37" s="119">
        <v>20</v>
      </c>
      <c r="C37" s="112">
        <f t="shared" si="3"/>
        <v>750</v>
      </c>
      <c r="D37" s="91">
        <v>24</v>
      </c>
      <c r="E37" s="114">
        <f t="shared" si="4"/>
        <v>512</v>
      </c>
      <c r="F37" s="92">
        <v>16.99</v>
      </c>
      <c r="G37" s="116">
        <v>6.078</v>
      </c>
      <c r="H37" s="116">
        <f t="shared" si="6"/>
        <v>145.872</v>
      </c>
      <c r="I37" s="92">
        <v>0</v>
      </c>
      <c r="J37" s="117">
        <f t="shared" si="5"/>
        <v>1.2</v>
      </c>
      <c r="K37" s="118">
        <f t="shared" si="7"/>
        <v>145.872</v>
      </c>
    </row>
    <row r="38" spans="1:11">
      <c r="A38" s="89" t="s">
        <v>321</v>
      </c>
      <c r="B38" s="119">
        <v>20</v>
      </c>
      <c r="C38" s="112">
        <f t="shared" si="3"/>
        <v>730</v>
      </c>
      <c r="D38" s="91">
        <v>35</v>
      </c>
      <c r="E38" s="114">
        <f t="shared" si="4"/>
        <v>477</v>
      </c>
      <c r="F38" s="92">
        <v>16.99</v>
      </c>
      <c r="G38" s="116">
        <v>6.078</v>
      </c>
      <c r="H38" s="116">
        <f t="shared" si="6"/>
        <v>212.73</v>
      </c>
      <c r="I38" s="92">
        <v>0</v>
      </c>
      <c r="J38" s="117">
        <f t="shared" si="5"/>
        <v>1.75</v>
      </c>
      <c r="K38" s="118">
        <f t="shared" si="7"/>
        <v>212.73</v>
      </c>
    </row>
    <row r="39" spans="1:11">
      <c r="A39" s="89" t="s">
        <v>322</v>
      </c>
      <c r="B39" s="119">
        <v>20</v>
      </c>
      <c r="C39" s="112">
        <f t="shared" ref="C39:C74" si="8">C38-B39</f>
        <v>710</v>
      </c>
      <c r="D39" s="91">
        <v>25</v>
      </c>
      <c r="E39" s="114">
        <f t="shared" si="4"/>
        <v>452</v>
      </c>
      <c r="F39" s="92">
        <v>17.99</v>
      </c>
      <c r="G39" s="116">
        <v>6.928</v>
      </c>
      <c r="H39" s="116">
        <f t="shared" si="6"/>
        <v>173.2</v>
      </c>
      <c r="I39" s="92">
        <v>0</v>
      </c>
      <c r="J39" s="117">
        <f t="shared" si="5"/>
        <v>1.25</v>
      </c>
      <c r="K39" s="118">
        <f t="shared" si="7"/>
        <v>173.2</v>
      </c>
    </row>
    <row r="40" spans="1:11">
      <c r="A40" s="89" t="s">
        <v>323</v>
      </c>
      <c r="B40" s="119">
        <v>20</v>
      </c>
      <c r="C40" s="112">
        <f t="shared" si="8"/>
        <v>690</v>
      </c>
      <c r="D40" s="91">
        <v>31</v>
      </c>
      <c r="E40" s="114">
        <f t="shared" si="4"/>
        <v>421</v>
      </c>
      <c r="F40" s="90">
        <v>17.99</v>
      </c>
      <c r="G40" s="116">
        <v>6.928</v>
      </c>
      <c r="H40" s="116">
        <f t="shared" si="6"/>
        <v>214.768</v>
      </c>
      <c r="I40" s="92">
        <v>0</v>
      </c>
      <c r="J40" s="117">
        <f t="shared" si="5"/>
        <v>1.55</v>
      </c>
      <c r="K40" s="118">
        <f t="shared" si="7"/>
        <v>214.768</v>
      </c>
    </row>
    <row r="41" spans="1:11">
      <c r="A41" s="89" t="s">
        <v>324</v>
      </c>
      <c r="B41" s="119">
        <v>20</v>
      </c>
      <c r="C41" s="112">
        <f t="shared" si="8"/>
        <v>670</v>
      </c>
      <c r="D41" s="91">
        <v>24</v>
      </c>
      <c r="E41" s="114">
        <f t="shared" si="4"/>
        <v>397</v>
      </c>
      <c r="F41" s="90">
        <v>17.99</v>
      </c>
      <c r="G41" s="116">
        <v>6.928</v>
      </c>
      <c r="H41" s="116">
        <f t="shared" si="6"/>
        <v>166.272</v>
      </c>
      <c r="I41" s="92">
        <v>0</v>
      </c>
      <c r="J41" s="117">
        <f t="shared" si="5"/>
        <v>1.2</v>
      </c>
      <c r="K41" s="118">
        <f t="shared" si="7"/>
        <v>166.272</v>
      </c>
    </row>
    <row r="42" spans="1:11">
      <c r="A42" s="89" t="s">
        <v>325</v>
      </c>
      <c r="B42" s="119">
        <v>20</v>
      </c>
      <c r="C42" s="112">
        <f t="shared" si="8"/>
        <v>650</v>
      </c>
      <c r="D42" s="91">
        <v>29</v>
      </c>
      <c r="E42" s="114">
        <f t="shared" si="4"/>
        <v>368</v>
      </c>
      <c r="F42" s="90">
        <v>17.99</v>
      </c>
      <c r="G42" s="116">
        <v>6.928</v>
      </c>
      <c r="H42" s="116">
        <f t="shared" si="6"/>
        <v>200.912</v>
      </c>
      <c r="I42" s="92">
        <v>0</v>
      </c>
      <c r="J42" s="117">
        <f t="shared" si="5"/>
        <v>1.45</v>
      </c>
      <c r="K42" s="118">
        <f t="shared" si="7"/>
        <v>200.912</v>
      </c>
    </row>
    <row r="43" spans="1:11">
      <c r="A43" s="89" t="s">
        <v>326</v>
      </c>
      <c r="B43" s="119">
        <v>20</v>
      </c>
      <c r="C43" s="112">
        <f t="shared" si="8"/>
        <v>630</v>
      </c>
      <c r="D43" s="91">
        <v>29</v>
      </c>
      <c r="E43" s="114">
        <f t="shared" si="4"/>
        <v>339</v>
      </c>
      <c r="F43" s="90">
        <v>17.99</v>
      </c>
      <c r="G43" s="116">
        <v>6.928</v>
      </c>
      <c r="H43" s="116">
        <f t="shared" si="6"/>
        <v>200.912</v>
      </c>
      <c r="I43" s="92">
        <v>0</v>
      </c>
      <c r="J43" s="117">
        <f t="shared" si="5"/>
        <v>1.45</v>
      </c>
      <c r="K43" s="118">
        <f t="shared" si="7"/>
        <v>200.912</v>
      </c>
    </row>
    <row r="44" spans="1:11">
      <c r="A44" s="89" t="s">
        <v>327</v>
      </c>
      <c r="B44" s="119">
        <v>20</v>
      </c>
      <c r="C44" s="112">
        <f t="shared" si="8"/>
        <v>610</v>
      </c>
      <c r="D44" s="91">
        <v>47</v>
      </c>
      <c r="E44" s="114">
        <f t="shared" si="4"/>
        <v>292</v>
      </c>
      <c r="F44" s="90">
        <v>17.99</v>
      </c>
      <c r="G44" s="116">
        <v>6.928</v>
      </c>
      <c r="H44" s="116">
        <f t="shared" si="6"/>
        <v>325.616</v>
      </c>
      <c r="I44" s="92">
        <v>0</v>
      </c>
      <c r="J44" s="117">
        <f t="shared" si="5"/>
        <v>2.35</v>
      </c>
      <c r="K44" s="118">
        <f t="shared" si="7"/>
        <v>325.616</v>
      </c>
    </row>
    <row r="45" spans="1:11">
      <c r="A45" s="89" t="s">
        <v>328</v>
      </c>
      <c r="B45" s="89">
        <v>20</v>
      </c>
      <c r="C45" s="112">
        <f t="shared" si="8"/>
        <v>590</v>
      </c>
      <c r="D45" s="91">
        <v>49</v>
      </c>
      <c r="E45" s="114">
        <f t="shared" si="4"/>
        <v>243</v>
      </c>
      <c r="F45" s="90">
        <v>17.99</v>
      </c>
      <c r="G45" s="116">
        <v>6.928</v>
      </c>
      <c r="H45" s="116">
        <f t="shared" si="6"/>
        <v>339.472</v>
      </c>
      <c r="I45" s="92">
        <v>0</v>
      </c>
      <c r="J45" s="117">
        <f t="shared" si="5"/>
        <v>2.45</v>
      </c>
      <c r="K45" s="118">
        <f t="shared" si="7"/>
        <v>339.472</v>
      </c>
    </row>
    <row r="46" spans="1:11">
      <c r="A46" s="89" t="s">
        <v>329</v>
      </c>
      <c r="B46" s="89">
        <v>20</v>
      </c>
      <c r="C46" s="112">
        <f t="shared" si="8"/>
        <v>570</v>
      </c>
      <c r="D46" s="91">
        <v>39</v>
      </c>
      <c r="E46" s="114">
        <f t="shared" si="4"/>
        <v>204</v>
      </c>
      <c r="F46" s="90">
        <v>19.99</v>
      </c>
      <c r="G46" s="116">
        <v>8.628</v>
      </c>
      <c r="H46" s="116">
        <f t="shared" si="6"/>
        <v>336.492</v>
      </c>
      <c r="I46" s="92">
        <v>0</v>
      </c>
      <c r="J46" s="117">
        <f t="shared" si="5"/>
        <v>1.95</v>
      </c>
      <c r="K46" s="118">
        <f t="shared" si="7"/>
        <v>336.492</v>
      </c>
    </row>
    <row r="47" spans="1:11">
      <c r="A47" s="89" t="s">
        <v>330</v>
      </c>
      <c r="B47" s="89">
        <v>20</v>
      </c>
      <c r="C47" s="112">
        <f t="shared" si="8"/>
        <v>550</v>
      </c>
      <c r="D47" s="91">
        <v>27</v>
      </c>
      <c r="E47" s="114">
        <f t="shared" si="4"/>
        <v>177</v>
      </c>
      <c r="F47" s="90">
        <v>21.99</v>
      </c>
      <c r="G47" s="116">
        <v>10.328</v>
      </c>
      <c r="H47" s="116">
        <f t="shared" si="6"/>
        <v>278.856</v>
      </c>
      <c r="I47" s="92">
        <v>0</v>
      </c>
      <c r="J47" s="117">
        <f t="shared" si="5"/>
        <v>1.35</v>
      </c>
      <c r="K47" s="118">
        <f t="shared" si="7"/>
        <v>278.856</v>
      </c>
    </row>
    <row r="48" spans="1:11">
      <c r="A48" s="89" t="s">
        <v>331</v>
      </c>
      <c r="B48" s="89">
        <v>25</v>
      </c>
      <c r="C48" s="112">
        <f t="shared" si="8"/>
        <v>525</v>
      </c>
      <c r="D48" s="91">
        <v>32</v>
      </c>
      <c r="E48" s="114">
        <f t="shared" si="4"/>
        <v>145</v>
      </c>
      <c r="F48" s="90">
        <v>21.99</v>
      </c>
      <c r="G48" s="116">
        <v>10.328</v>
      </c>
      <c r="H48" s="116">
        <f t="shared" si="6"/>
        <v>330.496</v>
      </c>
      <c r="I48" s="92">
        <v>0</v>
      </c>
      <c r="J48" s="117">
        <f t="shared" si="5"/>
        <v>1.28</v>
      </c>
      <c r="K48" s="118">
        <f t="shared" si="7"/>
        <v>330.496</v>
      </c>
    </row>
    <row r="49" spans="1:11">
      <c r="A49" s="89" t="s">
        <v>332</v>
      </c>
      <c r="B49" s="89">
        <v>25</v>
      </c>
      <c r="C49" s="112">
        <f t="shared" si="8"/>
        <v>500</v>
      </c>
      <c r="D49" s="91">
        <v>18</v>
      </c>
      <c r="E49" s="114">
        <f t="shared" si="4"/>
        <v>127</v>
      </c>
      <c r="F49" s="90">
        <v>21.99</v>
      </c>
      <c r="G49" s="116">
        <v>10.328</v>
      </c>
      <c r="H49" s="116">
        <f t="shared" si="6"/>
        <v>185.904</v>
      </c>
      <c r="I49" s="92">
        <v>0</v>
      </c>
      <c r="J49" s="117">
        <f t="shared" si="5"/>
        <v>0.72</v>
      </c>
      <c r="K49" s="118">
        <f t="shared" si="7"/>
        <v>185.904</v>
      </c>
    </row>
    <row r="50" spans="1:11">
      <c r="A50" s="89" t="s">
        <v>333</v>
      </c>
      <c r="B50" s="89">
        <v>25</v>
      </c>
      <c r="C50" s="112">
        <f t="shared" si="8"/>
        <v>475</v>
      </c>
      <c r="D50" s="91">
        <v>18</v>
      </c>
      <c r="E50" s="114">
        <f t="shared" ref="E50:E74" si="9">E49-D50</f>
        <v>109</v>
      </c>
      <c r="F50" s="90">
        <v>21.99</v>
      </c>
      <c r="G50" s="116">
        <v>10.328</v>
      </c>
      <c r="H50" s="116">
        <f t="shared" ref="H50:H74" si="10">G50*D50</f>
        <v>185.904</v>
      </c>
      <c r="I50" s="92">
        <v>0</v>
      </c>
      <c r="J50" s="117">
        <f t="shared" ref="J50:J74" si="11">D50/B50</f>
        <v>0.72</v>
      </c>
      <c r="K50" s="118">
        <f t="shared" ref="K50:K74" si="12">H50-I50</f>
        <v>185.904</v>
      </c>
    </row>
    <row r="51" spans="1:11">
      <c r="A51" s="89" t="s">
        <v>334</v>
      </c>
      <c r="B51" s="89">
        <v>25</v>
      </c>
      <c r="C51" s="112">
        <f t="shared" si="8"/>
        <v>450</v>
      </c>
      <c r="D51" s="91">
        <v>18</v>
      </c>
      <c r="E51" s="114">
        <f t="shared" si="9"/>
        <v>91</v>
      </c>
      <c r="F51" s="90">
        <v>21.99</v>
      </c>
      <c r="G51" s="116">
        <v>10.328</v>
      </c>
      <c r="H51" s="116">
        <f t="shared" si="10"/>
        <v>185.904</v>
      </c>
      <c r="I51" s="92">
        <v>0</v>
      </c>
      <c r="J51" s="117">
        <f t="shared" si="11"/>
        <v>0.72</v>
      </c>
      <c r="K51" s="118">
        <f t="shared" si="12"/>
        <v>185.904</v>
      </c>
    </row>
    <row r="52" spans="1:11">
      <c r="A52" s="89" t="s">
        <v>335</v>
      </c>
      <c r="B52" s="89">
        <v>25</v>
      </c>
      <c r="C52" s="112">
        <f t="shared" si="8"/>
        <v>425</v>
      </c>
      <c r="D52" s="91">
        <v>18</v>
      </c>
      <c r="E52" s="114">
        <f t="shared" si="9"/>
        <v>73</v>
      </c>
      <c r="F52" s="90">
        <v>21.99</v>
      </c>
      <c r="G52" s="116">
        <v>10.328</v>
      </c>
      <c r="H52" s="116">
        <f t="shared" si="10"/>
        <v>185.904</v>
      </c>
      <c r="I52" s="92">
        <v>0</v>
      </c>
      <c r="J52" s="117">
        <f t="shared" si="11"/>
        <v>0.72</v>
      </c>
      <c r="K52" s="118">
        <f t="shared" si="12"/>
        <v>185.904</v>
      </c>
    </row>
    <row r="53" spans="1:11">
      <c r="A53" s="89" t="s">
        <v>336</v>
      </c>
      <c r="B53" s="89">
        <v>25</v>
      </c>
      <c r="C53" s="112">
        <f t="shared" si="8"/>
        <v>400</v>
      </c>
      <c r="D53" s="91">
        <v>18</v>
      </c>
      <c r="E53" s="114">
        <f t="shared" si="9"/>
        <v>55</v>
      </c>
      <c r="F53" s="90">
        <v>21.99</v>
      </c>
      <c r="G53" s="116">
        <v>10.328</v>
      </c>
      <c r="H53" s="116">
        <f t="shared" si="10"/>
        <v>185.904</v>
      </c>
      <c r="I53" s="92">
        <v>0</v>
      </c>
      <c r="J53" s="117">
        <f t="shared" si="11"/>
        <v>0.72</v>
      </c>
      <c r="K53" s="118">
        <f t="shared" si="12"/>
        <v>185.904</v>
      </c>
    </row>
    <row r="54" spans="1:11">
      <c r="A54" s="89" t="s">
        <v>337</v>
      </c>
      <c r="B54" s="89">
        <v>25</v>
      </c>
      <c r="C54" s="112">
        <f t="shared" si="8"/>
        <v>375</v>
      </c>
      <c r="D54" s="91">
        <v>18</v>
      </c>
      <c r="E54" s="114">
        <f t="shared" si="9"/>
        <v>37</v>
      </c>
      <c r="F54" s="90">
        <v>21.99</v>
      </c>
      <c r="G54" s="116">
        <v>10.328</v>
      </c>
      <c r="H54" s="116">
        <f t="shared" si="10"/>
        <v>185.904</v>
      </c>
      <c r="I54" s="92">
        <v>0</v>
      </c>
      <c r="J54" s="117">
        <f t="shared" si="11"/>
        <v>0.72</v>
      </c>
      <c r="K54" s="118">
        <f t="shared" si="12"/>
        <v>185.904</v>
      </c>
    </row>
    <row r="55" spans="1:11">
      <c r="A55" s="89" t="s">
        <v>338</v>
      </c>
      <c r="B55" s="89">
        <v>30</v>
      </c>
      <c r="C55" s="112">
        <f t="shared" si="8"/>
        <v>345</v>
      </c>
      <c r="D55" s="91">
        <v>18</v>
      </c>
      <c r="E55" s="114">
        <f t="shared" si="9"/>
        <v>19</v>
      </c>
      <c r="F55" s="90">
        <v>21.99</v>
      </c>
      <c r="G55" s="116">
        <v>10.328</v>
      </c>
      <c r="H55" s="116">
        <f t="shared" si="10"/>
        <v>185.904</v>
      </c>
      <c r="I55" s="92">
        <v>0</v>
      </c>
      <c r="J55" s="117">
        <f t="shared" si="11"/>
        <v>0.6</v>
      </c>
      <c r="K55" s="118">
        <f t="shared" si="12"/>
        <v>185.904</v>
      </c>
    </row>
    <row r="56" spans="1:11">
      <c r="A56" s="89" t="s">
        <v>339</v>
      </c>
      <c r="B56" s="89">
        <v>30</v>
      </c>
      <c r="C56" s="112">
        <f t="shared" si="8"/>
        <v>315</v>
      </c>
      <c r="D56" s="91">
        <v>18</v>
      </c>
      <c r="E56" s="114">
        <f t="shared" si="9"/>
        <v>1</v>
      </c>
      <c r="F56" s="90">
        <v>21.99</v>
      </c>
      <c r="G56" s="116">
        <v>10.328</v>
      </c>
      <c r="H56" s="116">
        <f t="shared" si="10"/>
        <v>185.904</v>
      </c>
      <c r="I56" s="92">
        <v>0</v>
      </c>
      <c r="J56" s="117">
        <f t="shared" si="11"/>
        <v>0.6</v>
      </c>
      <c r="K56" s="118">
        <f t="shared" si="12"/>
        <v>185.904</v>
      </c>
    </row>
    <row r="57" spans="1:11">
      <c r="A57" s="89" t="s">
        <v>340</v>
      </c>
      <c r="B57" s="89">
        <v>30</v>
      </c>
      <c r="C57" s="112">
        <f t="shared" si="8"/>
        <v>285</v>
      </c>
      <c r="D57" s="91">
        <v>18</v>
      </c>
      <c r="E57" s="114">
        <f t="shared" si="9"/>
        <v>-17</v>
      </c>
      <c r="F57" s="90">
        <v>21.99</v>
      </c>
      <c r="G57" s="116">
        <v>10.328</v>
      </c>
      <c r="H57" s="116">
        <f t="shared" si="10"/>
        <v>185.904</v>
      </c>
      <c r="I57" s="92">
        <v>0</v>
      </c>
      <c r="J57" s="117">
        <f t="shared" si="11"/>
        <v>0.6</v>
      </c>
      <c r="K57" s="118">
        <f t="shared" si="12"/>
        <v>185.904</v>
      </c>
    </row>
    <row r="58" spans="1:11">
      <c r="A58" s="89" t="s">
        <v>341</v>
      </c>
      <c r="B58" s="89">
        <v>30</v>
      </c>
      <c r="C58" s="112">
        <f t="shared" si="8"/>
        <v>255</v>
      </c>
      <c r="D58" s="91">
        <v>18</v>
      </c>
      <c r="E58" s="114">
        <f t="shared" si="9"/>
        <v>-35</v>
      </c>
      <c r="F58" s="90">
        <v>21.99</v>
      </c>
      <c r="G58" s="116">
        <v>10.328</v>
      </c>
      <c r="H58" s="116">
        <f t="shared" si="10"/>
        <v>185.904</v>
      </c>
      <c r="I58" s="92">
        <v>0</v>
      </c>
      <c r="J58" s="117">
        <f t="shared" si="11"/>
        <v>0.6</v>
      </c>
      <c r="K58" s="118">
        <f t="shared" si="12"/>
        <v>185.904</v>
      </c>
    </row>
    <row r="59" spans="1:11">
      <c r="A59" s="89" t="s">
        <v>342</v>
      </c>
      <c r="B59" s="89">
        <v>30</v>
      </c>
      <c r="C59" s="112">
        <f t="shared" si="8"/>
        <v>225</v>
      </c>
      <c r="D59" s="91">
        <v>18</v>
      </c>
      <c r="E59" s="114">
        <f t="shared" si="9"/>
        <v>-53</v>
      </c>
      <c r="F59" s="90">
        <v>21.99</v>
      </c>
      <c r="G59" s="116">
        <v>10.328</v>
      </c>
      <c r="H59" s="116">
        <f t="shared" si="10"/>
        <v>185.904</v>
      </c>
      <c r="I59" s="92">
        <v>0</v>
      </c>
      <c r="J59" s="117">
        <f t="shared" si="11"/>
        <v>0.6</v>
      </c>
      <c r="K59" s="118">
        <f t="shared" si="12"/>
        <v>185.904</v>
      </c>
    </row>
    <row r="60" spans="1:11">
      <c r="A60" s="89" t="s">
        <v>343</v>
      </c>
      <c r="B60" s="89">
        <v>30</v>
      </c>
      <c r="C60" s="112">
        <f t="shared" si="8"/>
        <v>195</v>
      </c>
      <c r="D60" s="91">
        <v>18</v>
      </c>
      <c r="E60" s="114">
        <f t="shared" si="9"/>
        <v>-71</v>
      </c>
      <c r="F60" s="90">
        <v>21.99</v>
      </c>
      <c r="G60" s="116">
        <v>10.328</v>
      </c>
      <c r="H60" s="116">
        <f t="shared" si="10"/>
        <v>185.904</v>
      </c>
      <c r="I60" s="92">
        <v>0</v>
      </c>
      <c r="J60" s="117">
        <f t="shared" si="11"/>
        <v>0.6</v>
      </c>
      <c r="K60" s="118">
        <f t="shared" si="12"/>
        <v>185.904</v>
      </c>
    </row>
    <row r="61" spans="1:11">
      <c r="A61" s="89" t="s">
        <v>344</v>
      </c>
      <c r="B61" s="89">
        <v>30</v>
      </c>
      <c r="C61" s="112">
        <f t="shared" si="8"/>
        <v>165</v>
      </c>
      <c r="D61" s="91">
        <v>18</v>
      </c>
      <c r="E61" s="114">
        <f t="shared" si="9"/>
        <v>-89</v>
      </c>
      <c r="F61" s="90">
        <v>21.99</v>
      </c>
      <c r="G61" s="116">
        <v>10.328</v>
      </c>
      <c r="H61" s="116">
        <f t="shared" si="10"/>
        <v>185.904</v>
      </c>
      <c r="I61" s="92">
        <v>0</v>
      </c>
      <c r="J61" s="117">
        <f t="shared" si="11"/>
        <v>0.6</v>
      </c>
      <c r="K61" s="118">
        <f t="shared" si="12"/>
        <v>185.904</v>
      </c>
    </row>
    <row r="62" spans="1:11">
      <c r="A62" s="89" t="s">
        <v>345</v>
      </c>
      <c r="B62" s="89">
        <v>30</v>
      </c>
      <c r="C62" s="112">
        <f t="shared" si="8"/>
        <v>135</v>
      </c>
      <c r="D62" s="91">
        <v>18</v>
      </c>
      <c r="E62" s="114">
        <f t="shared" si="9"/>
        <v>-107</v>
      </c>
      <c r="F62" s="90">
        <v>21.99</v>
      </c>
      <c r="G62" s="116">
        <v>10.328</v>
      </c>
      <c r="H62" s="116">
        <f t="shared" si="10"/>
        <v>185.904</v>
      </c>
      <c r="I62" s="92">
        <v>0</v>
      </c>
      <c r="J62" s="117">
        <f t="shared" si="11"/>
        <v>0.6</v>
      </c>
      <c r="K62" s="118">
        <f t="shared" si="12"/>
        <v>185.904</v>
      </c>
    </row>
    <row r="63" spans="1:11">
      <c r="A63" s="89" t="s">
        <v>346</v>
      </c>
      <c r="B63" s="89">
        <v>30</v>
      </c>
      <c r="C63" s="112">
        <f t="shared" si="8"/>
        <v>105</v>
      </c>
      <c r="D63" s="91">
        <v>18</v>
      </c>
      <c r="E63" s="114">
        <f t="shared" si="9"/>
        <v>-125</v>
      </c>
      <c r="F63" s="90">
        <v>21.99</v>
      </c>
      <c r="G63" s="116">
        <v>10.328</v>
      </c>
      <c r="H63" s="116">
        <f t="shared" si="10"/>
        <v>185.904</v>
      </c>
      <c r="I63" s="92">
        <v>0</v>
      </c>
      <c r="J63" s="117">
        <f t="shared" si="11"/>
        <v>0.6</v>
      </c>
      <c r="K63" s="118">
        <f t="shared" si="12"/>
        <v>185.904</v>
      </c>
    </row>
    <row r="64" spans="1:11">
      <c r="A64" s="89" t="s">
        <v>347</v>
      </c>
      <c r="B64" s="89">
        <v>15</v>
      </c>
      <c r="C64" s="112">
        <f t="shared" si="8"/>
        <v>90</v>
      </c>
      <c r="D64" s="91">
        <v>18</v>
      </c>
      <c r="E64" s="114">
        <f t="shared" si="9"/>
        <v>-143</v>
      </c>
      <c r="F64" s="90">
        <v>21.99</v>
      </c>
      <c r="G64" s="116">
        <v>10.328</v>
      </c>
      <c r="H64" s="116">
        <f t="shared" si="10"/>
        <v>185.904</v>
      </c>
      <c r="I64" s="92">
        <v>0</v>
      </c>
      <c r="J64" s="117">
        <f t="shared" si="11"/>
        <v>1.2</v>
      </c>
      <c r="K64" s="118">
        <f t="shared" si="12"/>
        <v>185.904</v>
      </c>
    </row>
    <row r="65" spans="1:11">
      <c r="A65" s="89" t="s">
        <v>348</v>
      </c>
      <c r="B65" s="89">
        <v>15</v>
      </c>
      <c r="C65" s="112">
        <f t="shared" si="8"/>
        <v>75</v>
      </c>
      <c r="D65" s="91">
        <v>18</v>
      </c>
      <c r="E65" s="114">
        <f t="shared" si="9"/>
        <v>-161</v>
      </c>
      <c r="F65" s="90">
        <v>21.99</v>
      </c>
      <c r="G65" s="116">
        <v>10.328</v>
      </c>
      <c r="H65" s="116">
        <f t="shared" si="10"/>
        <v>185.904</v>
      </c>
      <c r="I65" s="92">
        <v>0</v>
      </c>
      <c r="J65" s="117">
        <f t="shared" si="11"/>
        <v>1.2</v>
      </c>
      <c r="K65" s="118">
        <f t="shared" si="12"/>
        <v>185.904</v>
      </c>
    </row>
    <row r="66" spans="1:11">
      <c r="A66" s="89" t="s">
        <v>349</v>
      </c>
      <c r="B66" s="89">
        <v>15</v>
      </c>
      <c r="C66" s="112">
        <f t="shared" si="8"/>
        <v>60</v>
      </c>
      <c r="D66" s="91">
        <v>18</v>
      </c>
      <c r="E66" s="114">
        <f t="shared" si="9"/>
        <v>-179</v>
      </c>
      <c r="F66" s="90">
        <v>21.99</v>
      </c>
      <c r="G66" s="116">
        <v>10.328</v>
      </c>
      <c r="H66" s="116">
        <f t="shared" si="10"/>
        <v>185.904</v>
      </c>
      <c r="I66" s="92">
        <v>0</v>
      </c>
      <c r="J66" s="117">
        <f t="shared" si="11"/>
        <v>1.2</v>
      </c>
      <c r="K66" s="118">
        <f t="shared" si="12"/>
        <v>185.904</v>
      </c>
    </row>
    <row r="67" spans="1:11">
      <c r="A67" s="89" t="s">
        <v>350</v>
      </c>
      <c r="B67" s="89">
        <v>15</v>
      </c>
      <c r="C67" s="112">
        <f t="shared" si="8"/>
        <v>45</v>
      </c>
      <c r="D67" s="91">
        <v>18</v>
      </c>
      <c r="E67" s="114">
        <f t="shared" si="9"/>
        <v>-197</v>
      </c>
      <c r="F67" s="90">
        <v>21.99</v>
      </c>
      <c r="G67" s="116">
        <v>10.328</v>
      </c>
      <c r="H67" s="116">
        <f t="shared" si="10"/>
        <v>185.904</v>
      </c>
      <c r="I67" s="92">
        <v>0</v>
      </c>
      <c r="J67" s="117">
        <f t="shared" si="11"/>
        <v>1.2</v>
      </c>
      <c r="K67" s="118">
        <f t="shared" si="12"/>
        <v>185.904</v>
      </c>
    </row>
    <row r="68" spans="1:11">
      <c r="A68" s="89" t="s">
        <v>351</v>
      </c>
      <c r="B68" s="89">
        <v>15</v>
      </c>
      <c r="C68" s="112">
        <f t="shared" si="8"/>
        <v>30</v>
      </c>
      <c r="D68" s="91">
        <v>18</v>
      </c>
      <c r="E68" s="114">
        <f t="shared" si="9"/>
        <v>-215</v>
      </c>
      <c r="F68" s="90">
        <v>21.99</v>
      </c>
      <c r="G68" s="116">
        <v>10.328</v>
      </c>
      <c r="H68" s="116">
        <f t="shared" si="10"/>
        <v>185.904</v>
      </c>
      <c r="I68" s="92">
        <v>0</v>
      </c>
      <c r="J68" s="117">
        <f t="shared" si="11"/>
        <v>1.2</v>
      </c>
      <c r="K68" s="118">
        <f t="shared" si="12"/>
        <v>185.904</v>
      </c>
    </row>
    <row r="69" spans="1:11">
      <c r="A69" s="89" t="s">
        <v>352</v>
      </c>
      <c r="B69" s="89">
        <v>5</v>
      </c>
      <c r="C69" s="112">
        <f t="shared" si="8"/>
        <v>25</v>
      </c>
      <c r="D69" s="91">
        <v>18</v>
      </c>
      <c r="E69" s="114">
        <f t="shared" si="9"/>
        <v>-233</v>
      </c>
      <c r="F69" s="90">
        <v>21.99</v>
      </c>
      <c r="G69" s="116">
        <v>10.328</v>
      </c>
      <c r="H69" s="116">
        <f t="shared" si="10"/>
        <v>185.904</v>
      </c>
      <c r="I69" s="92">
        <v>0</v>
      </c>
      <c r="J69" s="117">
        <f t="shared" si="11"/>
        <v>3.6</v>
      </c>
      <c r="K69" s="118">
        <f t="shared" si="12"/>
        <v>185.904</v>
      </c>
    </row>
    <row r="70" spans="1:11">
      <c r="A70" s="89" t="s">
        <v>353</v>
      </c>
      <c r="B70" s="89">
        <v>5</v>
      </c>
      <c r="C70" s="112">
        <f t="shared" si="8"/>
        <v>20</v>
      </c>
      <c r="D70" s="91">
        <v>18</v>
      </c>
      <c r="E70" s="114">
        <f t="shared" si="9"/>
        <v>-251</v>
      </c>
      <c r="F70" s="90">
        <v>21.99</v>
      </c>
      <c r="G70" s="116">
        <v>10.328</v>
      </c>
      <c r="H70" s="116">
        <f t="shared" si="10"/>
        <v>185.904</v>
      </c>
      <c r="I70" s="92">
        <v>0</v>
      </c>
      <c r="J70" s="117">
        <f t="shared" si="11"/>
        <v>3.6</v>
      </c>
      <c r="K70" s="118">
        <f t="shared" si="12"/>
        <v>185.904</v>
      </c>
    </row>
    <row r="71" spans="1:11">
      <c r="A71" s="89" t="s">
        <v>354</v>
      </c>
      <c r="B71" s="89">
        <v>5</v>
      </c>
      <c r="C71" s="112">
        <f t="shared" si="8"/>
        <v>15</v>
      </c>
      <c r="D71" s="91">
        <v>18</v>
      </c>
      <c r="E71" s="114">
        <f t="shared" si="9"/>
        <v>-269</v>
      </c>
      <c r="F71" s="90">
        <v>21.99</v>
      </c>
      <c r="G71" s="116">
        <v>10.328</v>
      </c>
      <c r="H71" s="116">
        <f t="shared" si="10"/>
        <v>185.904</v>
      </c>
      <c r="I71" s="92">
        <v>0</v>
      </c>
      <c r="J71" s="117">
        <f t="shared" si="11"/>
        <v>3.6</v>
      </c>
      <c r="K71" s="118">
        <f t="shared" si="12"/>
        <v>185.904</v>
      </c>
    </row>
    <row r="72" spans="1:11">
      <c r="A72" s="89" t="s">
        <v>355</v>
      </c>
      <c r="B72" s="89">
        <v>5</v>
      </c>
      <c r="C72" s="112">
        <f t="shared" si="8"/>
        <v>10</v>
      </c>
      <c r="D72" s="91">
        <v>18</v>
      </c>
      <c r="E72" s="114">
        <f t="shared" si="9"/>
        <v>-287</v>
      </c>
      <c r="F72" s="90">
        <v>21.99</v>
      </c>
      <c r="G72" s="116">
        <v>10.328</v>
      </c>
      <c r="H72" s="116">
        <f t="shared" si="10"/>
        <v>185.904</v>
      </c>
      <c r="I72" s="92">
        <v>0</v>
      </c>
      <c r="J72" s="117">
        <f t="shared" si="11"/>
        <v>3.6</v>
      </c>
      <c r="K72" s="118">
        <f t="shared" si="12"/>
        <v>185.904</v>
      </c>
    </row>
    <row r="73" spans="1:11">
      <c r="A73" s="89" t="s">
        <v>356</v>
      </c>
      <c r="B73" s="89">
        <v>5</v>
      </c>
      <c r="C73" s="112">
        <f t="shared" si="8"/>
        <v>5</v>
      </c>
      <c r="D73" s="91">
        <v>18</v>
      </c>
      <c r="E73" s="114">
        <f t="shared" si="9"/>
        <v>-305</v>
      </c>
      <c r="F73" s="90">
        <v>21.99</v>
      </c>
      <c r="G73" s="116">
        <v>10.328</v>
      </c>
      <c r="H73" s="116">
        <f t="shared" si="10"/>
        <v>185.904</v>
      </c>
      <c r="I73" s="92">
        <v>0</v>
      </c>
      <c r="J73" s="117">
        <f t="shared" si="11"/>
        <v>3.6</v>
      </c>
      <c r="K73" s="118">
        <f t="shared" si="12"/>
        <v>185.904</v>
      </c>
    </row>
    <row r="74" spans="1:11">
      <c r="A74" s="89" t="s">
        <v>357</v>
      </c>
      <c r="B74" s="89">
        <v>5</v>
      </c>
      <c r="C74" s="112">
        <f t="shared" si="8"/>
        <v>0</v>
      </c>
      <c r="D74" s="91">
        <v>18</v>
      </c>
      <c r="E74" s="114">
        <f t="shared" si="9"/>
        <v>-323</v>
      </c>
      <c r="F74" s="90">
        <v>21.99</v>
      </c>
      <c r="G74" s="116">
        <v>10.328</v>
      </c>
      <c r="H74" s="116">
        <f t="shared" si="10"/>
        <v>185.904</v>
      </c>
      <c r="I74" s="92">
        <v>0</v>
      </c>
      <c r="J74" s="117">
        <f t="shared" si="11"/>
        <v>3.6</v>
      </c>
      <c r="K74" s="118">
        <f t="shared" si="12"/>
        <v>185.904</v>
      </c>
    </row>
    <row r="75" spans="1:11">
      <c r="G75" s="116"/>
      <c r="H75" s="116"/>
      <c r="I75" s="92"/>
      <c r="J75" s="120"/>
      <c r="K75" s="116"/>
    </row>
    <row r="76" spans="1:11">
      <c r="G76" s="116"/>
      <c r="H76" s="116"/>
      <c r="I76" s="92"/>
      <c r="J76" s="120"/>
      <c r="K76" s="116"/>
    </row>
    <row r="77" spans="1:11">
      <c r="G77" s="116"/>
      <c r="H77" s="116"/>
      <c r="I77" s="92"/>
      <c r="J77" s="120"/>
      <c r="K77" s="116"/>
    </row>
    <row r="78" spans="1:11">
      <c r="G78" s="116"/>
      <c r="H78" s="116"/>
      <c r="I78" s="92"/>
      <c r="J78" s="120"/>
      <c r="K78" s="116"/>
    </row>
    <row r="79" spans="1:11">
      <c r="G79" s="116"/>
      <c r="H79" s="116"/>
      <c r="I79" s="92"/>
      <c r="J79" s="120"/>
    </row>
    <row r="80" spans="1:11">
      <c r="G80" s="116"/>
      <c r="H80" s="116"/>
      <c r="I80" s="92"/>
      <c r="J80" s="120"/>
    </row>
    <row r="81" spans="7:10">
      <c r="G81" s="116"/>
      <c r="H81" s="116"/>
      <c r="I81" s="92"/>
      <c r="J81" s="120"/>
    </row>
    <row r="82" spans="7:10">
      <c r="G82" s="116"/>
      <c r="H82" s="116"/>
      <c r="I82" s="92"/>
      <c r="J82" s="120"/>
    </row>
    <row r="83" spans="7:10">
      <c r="G83" s="116"/>
      <c r="H83" s="116"/>
      <c r="I83" s="92"/>
      <c r="J83" s="120"/>
    </row>
    <row r="84" spans="7:10">
      <c r="G84" s="116"/>
      <c r="H84" s="116"/>
      <c r="I84" s="92"/>
      <c r="J84" s="120"/>
    </row>
    <row r="85" spans="7:10">
      <c r="G85" s="116"/>
      <c r="H85" s="116"/>
      <c r="I85" s="92"/>
      <c r="J85" s="120"/>
    </row>
    <row r="86" spans="7:10">
      <c r="G86" s="116"/>
      <c r="H86" s="116"/>
      <c r="I86" s="92"/>
      <c r="J86" s="121"/>
    </row>
    <row r="87" spans="7:10">
      <c r="G87" s="116"/>
      <c r="H87" s="116"/>
      <c r="I87" s="92"/>
      <c r="J87" s="121"/>
    </row>
    <row r="88" spans="7:10">
      <c r="G88" s="116"/>
      <c r="H88" s="116"/>
      <c r="I88" s="92"/>
      <c r="J88" s="121"/>
    </row>
    <row r="89" spans="7:10">
      <c r="G89" s="116"/>
      <c r="H89" s="116"/>
      <c r="I89" s="92"/>
      <c r="J89" s="121"/>
    </row>
    <row r="90" spans="7:10">
      <c r="G90" s="116"/>
      <c r="H90" s="116"/>
      <c r="I90" s="92"/>
      <c r="J90" s="121"/>
    </row>
    <row r="91" spans="7:10">
      <c r="G91" s="116"/>
      <c r="H91" s="116"/>
      <c r="I91" s="92"/>
      <c r="J91" s="121"/>
    </row>
    <row r="92" spans="7:10">
      <c r="G92" s="116"/>
      <c r="H92" s="116"/>
      <c r="I92" s="92"/>
      <c r="J92" s="121"/>
    </row>
    <row r="93" spans="7:10">
      <c r="G93" s="116"/>
      <c r="H93" s="116"/>
      <c r="I93" s="92"/>
      <c r="J93" s="121"/>
    </row>
    <row r="94" spans="7:10">
      <c r="G94" s="116"/>
      <c r="H94" s="116"/>
      <c r="I94" s="92"/>
      <c r="J94" s="121"/>
    </row>
    <row r="95" spans="7:10">
      <c r="G95" s="116"/>
      <c r="H95" s="116"/>
      <c r="I95" s="92"/>
      <c r="J95" s="121"/>
    </row>
    <row r="96" spans="7:10">
      <c r="G96" s="116"/>
      <c r="H96" s="116"/>
      <c r="I96" s="92"/>
      <c r="J96" s="121"/>
    </row>
    <row r="97" spans="7:10">
      <c r="G97" s="116"/>
      <c r="H97" s="116"/>
      <c r="I97" s="92"/>
      <c r="J97" s="121"/>
    </row>
    <row r="98" spans="7:10">
      <c r="G98" s="116"/>
      <c r="H98" s="116"/>
      <c r="I98" s="92"/>
      <c r="J98" s="121"/>
    </row>
    <row r="99" spans="7:10">
      <c r="G99" s="116"/>
      <c r="H99" s="116"/>
      <c r="I99" s="92"/>
      <c r="J99" s="121"/>
    </row>
    <row r="100" spans="7:10">
      <c r="G100" s="116"/>
      <c r="H100" s="116"/>
      <c r="I100" s="92"/>
      <c r="J100" s="121"/>
    </row>
    <row r="101" spans="7:10">
      <c r="G101" s="116"/>
      <c r="H101" s="116"/>
      <c r="I101" s="92"/>
      <c r="J101" s="121"/>
    </row>
    <row r="102" spans="7:10">
      <c r="G102" s="116"/>
      <c r="H102" s="116"/>
      <c r="I102" s="92"/>
      <c r="J102" s="121"/>
    </row>
    <row r="103" spans="7:10">
      <c r="G103" s="116"/>
      <c r="H103" s="116"/>
      <c r="I103" s="92"/>
      <c r="J103" s="121"/>
    </row>
    <row r="104" spans="7:10">
      <c r="G104" s="116"/>
      <c r="H104" s="116"/>
      <c r="J104" s="121"/>
    </row>
    <row r="105" spans="7:10">
      <c r="G105" s="116"/>
      <c r="H105" s="116"/>
      <c r="J105" s="121"/>
    </row>
    <row r="106" spans="7:10">
      <c r="G106" s="116"/>
      <c r="H106" s="116"/>
      <c r="J106" s="121"/>
    </row>
    <row r="107" spans="7:10">
      <c r="G107" s="116"/>
      <c r="H107" s="116"/>
      <c r="J107" s="121"/>
    </row>
    <row r="108" spans="7:10">
      <c r="G108" s="116"/>
      <c r="H108" s="116"/>
      <c r="J108" s="121"/>
    </row>
    <row r="109" spans="7:10">
      <c r="G109" s="116"/>
      <c r="H109" s="116"/>
      <c r="J109" s="121"/>
    </row>
    <row r="110" spans="7:10">
      <c r="G110" s="116"/>
      <c r="H110" s="116"/>
      <c r="J110" s="121"/>
    </row>
    <row r="111" spans="7:10">
      <c r="G111" s="116"/>
      <c r="J111" s="121"/>
    </row>
    <row r="112" spans="7:10">
      <c r="G112" s="116"/>
    </row>
    <row r="113" spans="7:7">
      <c r="G113" s="116"/>
    </row>
    <row r="114" spans="7:7">
      <c r="G114" s="116"/>
    </row>
    <row r="115" spans="7:7">
      <c r="G115" s="116"/>
    </row>
    <row r="116" spans="7:7">
      <c r="G116" s="116"/>
    </row>
    <row r="117" spans="7:7">
      <c r="G117" s="116"/>
    </row>
    <row r="118" spans="7:7">
      <c r="G118" s="116"/>
    </row>
    <row r="119" spans="7:7">
      <c r="G119" s="116"/>
    </row>
    <row r="120" spans="7:7">
      <c r="G120" s="116"/>
    </row>
    <row r="121" spans="7:7">
      <c r="G121" s="116"/>
    </row>
    <row r="122" spans="7:7">
      <c r="G122" s="116"/>
    </row>
    <row r="123" spans="7:7">
      <c r="G123" s="116"/>
    </row>
    <row r="124" spans="7:7">
      <c r="G124" s="116"/>
    </row>
    <row r="125" spans="7:7">
      <c r="G125" s="116"/>
    </row>
    <row r="126" spans="7:7">
      <c r="G126" s="116"/>
    </row>
    <row r="127" spans="7:7">
      <c r="G127" s="116"/>
    </row>
    <row r="128" spans="7:7">
      <c r="G128" s="116"/>
    </row>
    <row r="129" spans="7:7">
      <c r="G129" s="116"/>
    </row>
    <row r="130" spans="7:7">
      <c r="G130" s="116"/>
    </row>
    <row r="131" spans="7:7">
      <c r="G131" s="116"/>
    </row>
    <row r="132" spans="7:7">
      <c r="G132" s="116"/>
    </row>
    <row r="133" spans="7:7">
      <c r="G133" s="116"/>
    </row>
    <row r="134" spans="7:7">
      <c r="G134" s="116"/>
    </row>
    <row r="135" spans="7:7">
      <c r="G135" s="116"/>
    </row>
    <row r="136" spans="7:7">
      <c r="G136" s="116"/>
    </row>
    <row r="137" spans="7:7">
      <c r="G137" s="116"/>
    </row>
  </sheetData>
  <sheetProtection formatCells="0" insertHyperlinks="0" autoFilter="0"/>
  <mergeCells count="3">
    <mergeCell ref="B1:G1"/>
    <mergeCell ref="B2:G2"/>
    <mergeCell ref="B3:G3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zoomScale="80" zoomScaleNormal="80" topLeftCell="A48" workbookViewId="0">
      <selection activeCell="F40" sqref="A40:F94"/>
    </sheetView>
  </sheetViews>
  <sheetFormatPr defaultColWidth="9" defaultRowHeight="15.6" outlineLevelCol="5"/>
  <cols>
    <col min="1" max="6" width="42.875" customWidth="1"/>
    <col min="7" max="252" width="9" style="73"/>
  </cols>
  <sheetData>
    <row r="1" ht="22" customHeight="1" spans="1:6">
      <c r="A1" s="74" t="s">
        <v>358</v>
      </c>
      <c r="B1" s="74"/>
      <c r="C1" s="75" t="s">
        <v>359</v>
      </c>
      <c r="D1" s="74" t="s">
        <v>360</v>
      </c>
      <c r="E1" s="74"/>
      <c r="F1" s="76" t="s">
        <v>361</v>
      </c>
    </row>
    <row r="2" ht="214" customHeight="1" spans="1:6">
      <c r="A2" s="77" t="s">
        <v>362</v>
      </c>
      <c r="B2" s="78"/>
      <c r="C2" s="77" t="s">
        <v>363</v>
      </c>
      <c r="D2" s="77" t="s">
        <v>364</v>
      </c>
      <c r="E2" s="77"/>
      <c r="F2" s="79" t="s">
        <v>365</v>
      </c>
    </row>
    <row r="3" ht="44" customHeight="1" spans="1:6">
      <c r="A3" s="74" t="s">
        <v>366</v>
      </c>
      <c r="B3" s="74"/>
      <c r="C3" s="75" t="s">
        <v>359</v>
      </c>
      <c r="D3" s="80" t="s">
        <v>367</v>
      </c>
      <c r="E3" s="80"/>
      <c r="F3" s="81" t="s">
        <v>359</v>
      </c>
    </row>
    <row r="4" ht="46" customHeight="1" spans="1:6">
      <c r="A4" s="82" t="s">
        <v>368</v>
      </c>
      <c r="B4" s="83" t="s">
        <v>369</v>
      </c>
      <c r="C4" s="83"/>
      <c r="D4" s="82" t="s">
        <v>368</v>
      </c>
      <c r="E4" s="83" t="s">
        <v>369</v>
      </c>
      <c r="F4" s="83"/>
    </row>
    <row r="5" ht="86" customHeight="1" spans="1:6">
      <c r="A5" s="84" t="s">
        <v>370</v>
      </c>
      <c r="B5" s="84" t="s">
        <v>371</v>
      </c>
      <c r="C5" s="85" t="s">
        <v>372</v>
      </c>
      <c r="D5" s="84" t="s">
        <v>370</v>
      </c>
      <c r="E5" s="84" t="s">
        <v>371</v>
      </c>
      <c r="F5" s="86" t="s">
        <v>373</v>
      </c>
    </row>
    <row r="6" ht="174" spans="1:6">
      <c r="A6" s="84" t="s">
        <v>374</v>
      </c>
      <c r="B6" s="84" t="s">
        <v>375</v>
      </c>
      <c r="C6" s="85"/>
      <c r="D6" s="84" t="s">
        <v>374</v>
      </c>
      <c r="E6" s="84" t="s">
        <v>375</v>
      </c>
      <c r="F6" s="86"/>
    </row>
    <row r="7" ht="87" spans="1:6">
      <c r="A7" s="84" t="s">
        <v>376</v>
      </c>
      <c r="B7" s="84" t="s">
        <v>377</v>
      </c>
      <c r="C7" s="85"/>
      <c r="D7" s="84" t="s">
        <v>376</v>
      </c>
      <c r="E7" s="84" t="s">
        <v>377</v>
      </c>
      <c r="F7" s="86"/>
    </row>
    <row r="8" ht="144" customHeight="1" spans="1:6">
      <c r="A8" s="84" t="s">
        <v>378</v>
      </c>
      <c r="B8" s="84" t="s">
        <v>379</v>
      </c>
      <c r="C8" s="85"/>
      <c r="D8" s="84" t="s">
        <v>378</v>
      </c>
      <c r="E8" s="84" t="s">
        <v>379</v>
      </c>
      <c r="F8" s="86"/>
    </row>
    <row r="9" ht="17.4" spans="1:6">
      <c r="A9" s="82" t="s">
        <v>368</v>
      </c>
      <c r="B9" s="83" t="s">
        <v>380</v>
      </c>
      <c r="C9" s="83"/>
      <c r="D9" s="82" t="s">
        <v>368</v>
      </c>
      <c r="E9" s="83" t="s">
        <v>380</v>
      </c>
      <c r="F9" s="83"/>
    </row>
    <row r="10" ht="17.4" spans="1:6">
      <c r="A10" s="84" t="s">
        <v>370</v>
      </c>
      <c r="B10" s="84" t="s">
        <v>381</v>
      </c>
      <c r="C10" s="86" t="s">
        <v>382</v>
      </c>
      <c r="D10" s="84" t="s">
        <v>370</v>
      </c>
      <c r="E10" s="84" t="s">
        <v>381</v>
      </c>
      <c r="F10" s="85" t="s">
        <v>383</v>
      </c>
    </row>
    <row r="11" ht="104.4" spans="1:6">
      <c r="A11" s="84" t="s">
        <v>374</v>
      </c>
      <c r="B11" s="84" t="s">
        <v>384</v>
      </c>
      <c r="C11" s="86"/>
      <c r="D11" s="84" t="s">
        <v>374</v>
      </c>
      <c r="E11" s="84" t="s">
        <v>385</v>
      </c>
      <c r="F11" s="85"/>
    </row>
    <row r="12" ht="34.8" spans="1:6">
      <c r="A12" s="84" t="s">
        <v>386</v>
      </c>
      <c r="B12" s="84" t="s">
        <v>387</v>
      </c>
      <c r="C12" s="86"/>
      <c r="D12" s="84" t="s">
        <v>386</v>
      </c>
      <c r="E12" s="84" t="s">
        <v>387</v>
      </c>
      <c r="F12" s="85"/>
    </row>
    <row r="13" ht="107" customHeight="1" spans="1:6">
      <c r="A13" s="84" t="s">
        <v>378</v>
      </c>
      <c r="B13" s="84" t="s">
        <v>388</v>
      </c>
      <c r="C13" s="86"/>
      <c r="D13" s="84" t="s">
        <v>378</v>
      </c>
      <c r="E13" s="84"/>
      <c r="F13" s="85"/>
    </row>
    <row r="14" ht="17.4" spans="1:6">
      <c r="A14" s="82" t="s">
        <v>368</v>
      </c>
      <c r="B14" s="83" t="s">
        <v>389</v>
      </c>
      <c r="C14" s="83"/>
      <c r="D14" s="82" t="s">
        <v>368</v>
      </c>
      <c r="E14" s="83" t="s">
        <v>389</v>
      </c>
      <c r="F14" s="83"/>
    </row>
    <row r="15" ht="46" customHeight="1" spans="1:6">
      <c r="A15" s="84" t="s">
        <v>370</v>
      </c>
      <c r="B15" s="84" t="s">
        <v>390</v>
      </c>
      <c r="C15" s="85" t="s">
        <v>391</v>
      </c>
      <c r="D15" s="84" t="s">
        <v>370</v>
      </c>
      <c r="E15" s="84"/>
      <c r="F15" s="85" t="s">
        <v>392</v>
      </c>
    </row>
    <row r="16" ht="105" customHeight="1" spans="1:6">
      <c r="A16" s="84" t="s">
        <v>374</v>
      </c>
      <c r="B16" s="84" t="s">
        <v>393</v>
      </c>
      <c r="C16" s="85"/>
      <c r="D16" s="84" t="s">
        <v>374</v>
      </c>
      <c r="E16" s="84"/>
      <c r="F16" s="85"/>
    </row>
    <row r="17" ht="105" customHeight="1" spans="1:6">
      <c r="A17" s="84" t="s">
        <v>386</v>
      </c>
      <c r="B17" s="84" t="s">
        <v>394</v>
      </c>
      <c r="C17" s="85"/>
      <c r="D17" s="84" t="s">
        <v>386</v>
      </c>
      <c r="E17" s="84"/>
      <c r="F17" s="85"/>
    </row>
    <row r="18" ht="105" customHeight="1" spans="1:6">
      <c r="A18" s="84" t="s">
        <v>378</v>
      </c>
      <c r="B18" s="84"/>
      <c r="C18" s="85"/>
      <c r="D18" s="84" t="s">
        <v>378</v>
      </c>
      <c r="E18" s="84"/>
      <c r="F18" s="85"/>
    </row>
    <row r="19" ht="17.4" spans="1:6">
      <c r="A19" s="82" t="s">
        <v>368</v>
      </c>
      <c r="B19" s="83" t="s">
        <v>395</v>
      </c>
      <c r="C19" s="83"/>
      <c r="D19" s="82" t="s">
        <v>368</v>
      </c>
      <c r="E19" s="83" t="s">
        <v>395</v>
      </c>
      <c r="F19" s="83"/>
    </row>
    <row r="20" ht="69" customHeight="1" spans="1:6">
      <c r="A20" s="84" t="s">
        <v>370</v>
      </c>
      <c r="B20" s="84" t="s">
        <v>396</v>
      </c>
      <c r="C20" s="85" t="s">
        <v>397</v>
      </c>
      <c r="D20" s="84" t="s">
        <v>370</v>
      </c>
      <c r="E20" s="84" t="s">
        <v>398</v>
      </c>
      <c r="F20" s="85" t="s">
        <v>399</v>
      </c>
    </row>
    <row r="21" ht="132" customHeight="1" spans="1:6">
      <c r="A21" s="84" t="s">
        <v>374</v>
      </c>
      <c r="B21" s="84" t="s">
        <v>400</v>
      </c>
      <c r="C21" s="85"/>
      <c r="D21" s="84" t="s">
        <v>374</v>
      </c>
      <c r="E21" s="84"/>
      <c r="F21" s="85"/>
    </row>
    <row r="22" ht="132" customHeight="1" spans="1:6">
      <c r="A22" s="84" t="s">
        <v>386</v>
      </c>
      <c r="B22" s="84"/>
      <c r="C22" s="85"/>
      <c r="D22" s="84" t="s">
        <v>386</v>
      </c>
      <c r="E22" s="84"/>
      <c r="F22" s="85"/>
    </row>
    <row r="23" ht="132" customHeight="1" spans="1:6">
      <c r="A23" s="84" t="s">
        <v>378</v>
      </c>
      <c r="B23" s="84"/>
      <c r="C23" s="85"/>
      <c r="D23" s="84" t="s">
        <v>378</v>
      </c>
      <c r="E23" s="84"/>
      <c r="F23" s="85"/>
    </row>
    <row r="24" ht="17.4" spans="1:6">
      <c r="A24" s="87"/>
      <c r="B24" s="87"/>
      <c r="C24" s="87"/>
      <c r="D24" s="87"/>
      <c r="E24" s="87"/>
      <c r="F24" s="87"/>
    </row>
    <row r="25" ht="17.4" spans="1:6">
      <c r="A25" s="82" t="s">
        <v>368</v>
      </c>
      <c r="B25" s="83" t="s">
        <v>401</v>
      </c>
      <c r="C25" s="83"/>
      <c r="D25" s="82" t="s">
        <v>368</v>
      </c>
      <c r="E25" s="83" t="s">
        <v>401</v>
      </c>
      <c r="F25" s="83"/>
    </row>
    <row r="26" ht="69" customHeight="1" spans="1:6">
      <c r="A26" s="84" t="s">
        <v>370</v>
      </c>
      <c r="B26" s="84" t="s">
        <v>402</v>
      </c>
      <c r="C26" s="85" t="s">
        <v>403</v>
      </c>
      <c r="D26" s="84" t="s">
        <v>370</v>
      </c>
      <c r="E26" s="84" t="s">
        <v>404</v>
      </c>
      <c r="F26" s="85" t="s">
        <v>392</v>
      </c>
    </row>
    <row r="27" ht="140" customHeight="1" spans="1:6">
      <c r="A27" s="84" t="s">
        <v>374</v>
      </c>
      <c r="B27" s="84"/>
      <c r="C27" s="85"/>
      <c r="D27" s="84" t="s">
        <v>374</v>
      </c>
      <c r="E27" s="84"/>
      <c r="F27" s="85"/>
    </row>
    <row r="28" ht="140" customHeight="1" spans="1:6">
      <c r="A28" s="84" t="s">
        <v>386</v>
      </c>
      <c r="B28" s="84"/>
      <c r="C28" s="85"/>
      <c r="D28" s="84" t="s">
        <v>386</v>
      </c>
      <c r="E28" s="84"/>
      <c r="F28" s="85"/>
    </row>
    <row r="29" ht="140" customHeight="1" spans="1:6">
      <c r="A29" s="84" t="s">
        <v>378</v>
      </c>
      <c r="B29" s="84"/>
      <c r="C29" s="85"/>
      <c r="D29" s="84" t="s">
        <v>378</v>
      </c>
      <c r="E29" s="84"/>
      <c r="F29" s="85"/>
    </row>
    <row r="30" ht="17.4" spans="1:6">
      <c r="A30" s="82" t="s">
        <v>368</v>
      </c>
      <c r="B30" s="83" t="s">
        <v>405</v>
      </c>
      <c r="C30" s="83"/>
      <c r="D30" s="82" t="s">
        <v>368</v>
      </c>
      <c r="E30" s="83" t="s">
        <v>405</v>
      </c>
      <c r="F30" s="83"/>
    </row>
    <row r="31" ht="75" customHeight="1" spans="1:6">
      <c r="A31" s="84" t="s">
        <v>370</v>
      </c>
      <c r="B31" s="84" t="s">
        <v>402</v>
      </c>
      <c r="C31" s="85" t="s">
        <v>406</v>
      </c>
      <c r="D31" s="84" t="s">
        <v>370</v>
      </c>
      <c r="E31" s="84" t="s">
        <v>398</v>
      </c>
      <c r="F31" s="85" t="s">
        <v>399</v>
      </c>
    </row>
    <row r="32" ht="131" customHeight="1" spans="1:6">
      <c r="A32" s="84" t="s">
        <v>374</v>
      </c>
      <c r="B32" s="84"/>
      <c r="C32" s="85"/>
      <c r="D32" s="84" t="s">
        <v>374</v>
      </c>
      <c r="E32" s="84"/>
      <c r="F32" s="85"/>
    </row>
    <row r="33" ht="131" customHeight="1" spans="1:6">
      <c r="A33" s="84" t="s">
        <v>386</v>
      </c>
      <c r="B33" s="84"/>
      <c r="C33" s="85"/>
      <c r="D33" s="84" t="s">
        <v>386</v>
      </c>
      <c r="E33" s="84"/>
      <c r="F33" s="85"/>
    </row>
    <row r="34" ht="131" customHeight="1" spans="1:6">
      <c r="A34" s="84" t="s">
        <v>378</v>
      </c>
      <c r="B34" s="84"/>
      <c r="C34" s="85"/>
      <c r="D34" s="84" t="s">
        <v>378</v>
      </c>
      <c r="E34" s="84"/>
      <c r="F34" s="85"/>
    </row>
    <row r="35" ht="17.4" spans="1:6">
      <c r="A35" s="87"/>
      <c r="B35" s="87"/>
      <c r="C35" s="87"/>
      <c r="D35" s="87"/>
      <c r="E35" s="87"/>
      <c r="F35" s="87"/>
    </row>
    <row r="36" ht="17.4" spans="1:6">
      <c r="A36" s="87"/>
      <c r="B36" s="87"/>
      <c r="C36" s="87"/>
      <c r="D36" s="87"/>
      <c r="E36" s="87"/>
      <c r="F36" s="87"/>
    </row>
    <row r="37" ht="17.4" spans="1:6">
      <c r="A37" s="87"/>
      <c r="B37" s="87"/>
      <c r="C37" s="87"/>
      <c r="D37" s="87"/>
      <c r="E37" s="87"/>
      <c r="F37" s="87"/>
    </row>
    <row r="38" ht="17.4" spans="1:6">
      <c r="A38" s="87"/>
      <c r="B38" s="87"/>
      <c r="C38" s="87"/>
      <c r="D38" s="87"/>
      <c r="E38" s="87"/>
      <c r="F38" s="87"/>
    </row>
    <row r="39" ht="17.4" spans="1:6">
      <c r="A39" s="87"/>
      <c r="B39" s="87"/>
      <c r="C39" s="87"/>
      <c r="D39" s="87"/>
      <c r="E39" s="87"/>
      <c r="F39" s="87"/>
    </row>
    <row r="40" ht="17.4" spans="1:6">
      <c r="A40" s="87"/>
      <c r="B40" s="87"/>
      <c r="C40" s="87"/>
      <c r="D40" s="87"/>
      <c r="E40" s="87"/>
      <c r="F40" s="87"/>
    </row>
    <row r="41" ht="17.4" spans="1:6">
      <c r="A41" s="87"/>
      <c r="B41" s="87"/>
      <c r="C41" s="87"/>
      <c r="D41" s="87"/>
      <c r="E41" s="87"/>
      <c r="F41" s="87"/>
    </row>
    <row r="42" ht="17.4" spans="1:6">
      <c r="A42" s="87"/>
      <c r="B42" s="87"/>
      <c r="C42" s="87"/>
      <c r="D42" s="87"/>
      <c r="E42" s="87"/>
      <c r="F42" s="87"/>
    </row>
    <row r="43" ht="17.4" spans="1:6">
      <c r="A43" s="87"/>
      <c r="B43" s="87"/>
      <c r="C43" s="87"/>
      <c r="D43" s="87"/>
      <c r="E43" s="87"/>
      <c r="F43" s="87"/>
    </row>
    <row r="44" ht="17.4" spans="1:6">
      <c r="A44" s="87"/>
      <c r="B44" s="87"/>
      <c r="C44" s="87"/>
      <c r="D44" s="87"/>
      <c r="E44" s="87"/>
      <c r="F44" s="87"/>
    </row>
    <row r="45" ht="17.4" spans="1:6">
      <c r="A45" s="87"/>
      <c r="B45" s="87"/>
      <c r="C45" s="87"/>
      <c r="D45" s="87"/>
      <c r="E45" s="87"/>
      <c r="F45" s="87"/>
    </row>
    <row r="46" ht="17.4" spans="1:6">
      <c r="A46" s="87"/>
      <c r="B46" s="87"/>
      <c r="C46" s="87"/>
      <c r="D46" s="87"/>
      <c r="E46" s="87"/>
      <c r="F46" s="87"/>
    </row>
    <row r="47" ht="17.4" spans="1:6">
      <c r="A47" s="87"/>
      <c r="B47" s="87"/>
      <c r="C47" s="87"/>
      <c r="D47" s="87"/>
      <c r="E47" s="87"/>
      <c r="F47" s="87"/>
    </row>
    <row r="48" ht="17.4" spans="1:6">
      <c r="A48" s="87"/>
      <c r="B48" s="87"/>
      <c r="C48" s="87"/>
      <c r="D48" s="87"/>
      <c r="E48" s="87"/>
      <c r="F48" s="87"/>
    </row>
    <row r="49" ht="17.4" spans="1:6">
      <c r="A49" s="87"/>
      <c r="B49" s="87"/>
      <c r="C49" s="87"/>
      <c r="D49" s="87"/>
      <c r="E49" s="87"/>
      <c r="F49" s="87"/>
    </row>
    <row r="50" ht="17.4" spans="1:6">
      <c r="A50" s="87"/>
      <c r="B50" s="87"/>
      <c r="C50" s="87"/>
      <c r="D50" s="87"/>
      <c r="E50" s="87"/>
      <c r="F50" s="87"/>
    </row>
    <row r="51" ht="17.4" spans="1:6">
      <c r="A51" s="87"/>
      <c r="B51" s="87"/>
      <c r="C51" s="87"/>
      <c r="D51" s="87"/>
      <c r="E51" s="87"/>
      <c r="F51" s="87"/>
    </row>
    <row r="52" ht="17.4" spans="1:6">
      <c r="A52" s="87"/>
      <c r="B52" s="87"/>
      <c r="C52" s="87"/>
      <c r="D52" s="87"/>
      <c r="E52" s="87"/>
      <c r="F52" s="87"/>
    </row>
    <row r="53" ht="17.4" spans="1:6">
      <c r="A53" s="87"/>
      <c r="B53" s="87"/>
      <c r="C53" s="87"/>
      <c r="D53" s="87"/>
      <c r="E53" s="87"/>
      <c r="F53" s="87"/>
    </row>
    <row r="54" ht="17.4" spans="1:6">
      <c r="A54" s="87"/>
      <c r="B54" s="87"/>
      <c r="C54" s="87"/>
      <c r="D54" s="87"/>
      <c r="E54" s="87"/>
      <c r="F54" s="87"/>
    </row>
    <row r="55" ht="17.4" spans="1:6">
      <c r="A55" s="87"/>
      <c r="B55" s="87"/>
      <c r="C55" s="87"/>
      <c r="D55" s="87"/>
      <c r="E55" s="87"/>
      <c r="F55" s="87"/>
    </row>
    <row r="56" ht="17.4" spans="1:6">
      <c r="A56" s="87"/>
      <c r="B56" s="87"/>
      <c r="C56" s="87"/>
      <c r="D56" s="87"/>
      <c r="E56" s="87"/>
      <c r="F56" s="87"/>
    </row>
    <row r="57" ht="17.4" spans="1:6">
      <c r="A57" s="87"/>
      <c r="B57" s="87"/>
      <c r="C57" s="87"/>
      <c r="D57" s="87"/>
      <c r="E57" s="87"/>
      <c r="F57" s="87"/>
    </row>
    <row r="58" ht="17.4" spans="1:6">
      <c r="A58" s="87"/>
      <c r="B58" s="87"/>
      <c r="C58" s="87"/>
      <c r="D58" s="87"/>
      <c r="E58" s="87"/>
      <c r="F58" s="87"/>
    </row>
    <row r="59" ht="17.4" spans="1:6">
      <c r="A59" s="87"/>
      <c r="B59" s="87"/>
      <c r="C59" s="87"/>
      <c r="D59" s="87"/>
      <c r="E59" s="87"/>
      <c r="F59" s="87"/>
    </row>
    <row r="60" ht="17.4" spans="1:6">
      <c r="A60" s="87"/>
      <c r="B60" s="87"/>
      <c r="C60" s="87"/>
      <c r="D60" s="87"/>
      <c r="E60" s="87"/>
      <c r="F60" s="87"/>
    </row>
    <row r="61" ht="17.4" spans="1:6">
      <c r="A61" s="87"/>
      <c r="B61" s="87"/>
      <c r="C61" s="87"/>
      <c r="D61" s="87"/>
      <c r="E61" s="87"/>
      <c r="F61" s="87"/>
    </row>
    <row r="62" ht="17.4" spans="1:6">
      <c r="A62" s="87"/>
      <c r="B62" s="87"/>
      <c r="C62" s="87"/>
      <c r="D62" s="87"/>
      <c r="E62" s="87"/>
      <c r="F62" s="87"/>
    </row>
    <row r="63" ht="17.4" spans="1:6">
      <c r="A63" s="87"/>
      <c r="B63" s="87"/>
      <c r="C63" s="87"/>
      <c r="D63" s="87"/>
      <c r="E63" s="87"/>
      <c r="F63" s="87"/>
    </row>
    <row r="64" ht="17.4" spans="1:6">
      <c r="A64" s="87"/>
      <c r="B64" s="87"/>
      <c r="C64" s="87"/>
      <c r="D64" s="87"/>
      <c r="E64" s="87"/>
      <c r="F64" s="87"/>
    </row>
    <row r="65" ht="17.4" spans="1:6">
      <c r="A65" s="87"/>
      <c r="B65" s="87"/>
      <c r="C65" s="87"/>
      <c r="D65" s="87"/>
      <c r="E65" s="87"/>
      <c r="F65" s="87"/>
    </row>
    <row r="66" ht="17.4" spans="1:6">
      <c r="A66" s="87"/>
      <c r="B66" s="87"/>
      <c r="C66" s="87"/>
      <c r="D66" s="87"/>
      <c r="E66" s="87"/>
      <c r="F66" s="87"/>
    </row>
    <row r="67" ht="17.4" spans="1:6">
      <c r="A67" s="87"/>
      <c r="B67" s="87"/>
      <c r="C67" s="87"/>
      <c r="D67" s="87"/>
      <c r="E67" s="87"/>
      <c r="F67" s="87"/>
    </row>
    <row r="68" ht="17.4" spans="1:6">
      <c r="A68" s="87"/>
      <c r="B68" s="87"/>
      <c r="C68" s="87"/>
      <c r="D68" s="87"/>
      <c r="E68" s="87"/>
      <c r="F68" s="87"/>
    </row>
    <row r="69" ht="17.4" spans="1:6">
      <c r="A69" s="87"/>
      <c r="B69" s="87"/>
      <c r="C69" s="87"/>
      <c r="D69" s="87"/>
      <c r="E69" s="87"/>
      <c r="F69" s="87"/>
    </row>
    <row r="70" ht="17.4" spans="1:6">
      <c r="A70" s="87"/>
      <c r="B70" s="87"/>
      <c r="C70" s="87"/>
      <c r="D70" s="87"/>
      <c r="E70" s="87"/>
      <c r="F70" s="87"/>
    </row>
    <row r="71" ht="17.4" spans="1:6">
      <c r="A71" s="87"/>
      <c r="B71" s="87"/>
      <c r="C71" s="87"/>
      <c r="D71" s="87"/>
      <c r="E71" s="87"/>
      <c r="F71" s="87"/>
    </row>
    <row r="72" ht="17.4" spans="1:6">
      <c r="A72" s="87"/>
      <c r="B72" s="87"/>
      <c r="C72" s="87"/>
      <c r="D72" s="87"/>
      <c r="E72" s="87"/>
      <c r="F72" s="87"/>
    </row>
    <row r="73" ht="17.4" spans="1:6">
      <c r="A73" s="87"/>
      <c r="B73" s="87"/>
      <c r="C73" s="87"/>
      <c r="D73" s="87"/>
      <c r="E73" s="87"/>
      <c r="F73" s="87"/>
    </row>
    <row r="74" ht="17.4" spans="1:6">
      <c r="A74" s="87"/>
      <c r="B74" s="87"/>
      <c r="C74" s="87"/>
      <c r="D74" s="87"/>
      <c r="E74" s="87"/>
      <c r="F74" s="87"/>
    </row>
    <row r="75" ht="17.4" spans="1:6">
      <c r="A75" s="87"/>
      <c r="B75" s="87"/>
      <c r="C75" s="87"/>
      <c r="D75" s="87"/>
      <c r="E75" s="87"/>
      <c r="F75" s="87"/>
    </row>
    <row r="76" ht="17.4" spans="1:6">
      <c r="A76" s="87"/>
      <c r="B76" s="87"/>
      <c r="C76" s="87"/>
      <c r="D76" s="87"/>
      <c r="E76" s="87"/>
      <c r="F76" s="87"/>
    </row>
    <row r="77" ht="17.4" spans="1:6">
      <c r="A77" s="87"/>
      <c r="B77" s="87"/>
      <c r="C77" s="87"/>
      <c r="D77" s="87"/>
      <c r="E77" s="87"/>
      <c r="F77" s="87"/>
    </row>
    <row r="78" ht="17.4" spans="1:6">
      <c r="A78" s="87"/>
      <c r="B78" s="87"/>
      <c r="C78" s="87"/>
      <c r="D78" s="87"/>
      <c r="E78" s="87"/>
      <c r="F78" s="87"/>
    </row>
    <row r="79" ht="17.4" spans="1:6">
      <c r="A79" s="87"/>
      <c r="B79" s="87"/>
      <c r="C79" s="87"/>
      <c r="D79" s="87"/>
      <c r="E79" s="87"/>
      <c r="F79" s="87"/>
    </row>
    <row r="80" ht="17.4" spans="1:6">
      <c r="A80" s="87"/>
      <c r="B80" s="87"/>
      <c r="C80" s="87"/>
      <c r="D80" s="87"/>
      <c r="E80" s="87"/>
      <c r="F80" s="87"/>
    </row>
    <row r="81" ht="17.4" spans="1:6">
      <c r="A81" s="87"/>
      <c r="B81" s="87"/>
      <c r="C81" s="87"/>
      <c r="D81" s="87"/>
      <c r="E81" s="87"/>
      <c r="F81" s="87"/>
    </row>
    <row r="82" ht="17.4" spans="1:6">
      <c r="A82" s="87"/>
      <c r="B82" s="87"/>
      <c r="C82" s="87"/>
      <c r="D82" s="87"/>
      <c r="E82" s="87"/>
      <c r="F82" s="87"/>
    </row>
    <row r="83" ht="17.4" spans="1:6">
      <c r="A83" s="87"/>
      <c r="B83" s="87"/>
      <c r="C83" s="87"/>
      <c r="D83" s="87"/>
      <c r="E83" s="87"/>
      <c r="F83" s="87"/>
    </row>
    <row r="84" ht="17.4" spans="1:6">
      <c r="A84" s="87"/>
      <c r="B84" s="87"/>
      <c r="C84" s="87"/>
      <c r="D84" s="87"/>
      <c r="E84" s="87"/>
      <c r="F84" s="87"/>
    </row>
    <row r="85" ht="17.4" spans="1:6">
      <c r="A85" s="87"/>
      <c r="B85" s="87"/>
      <c r="C85" s="87"/>
      <c r="D85" s="87"/>
      <c r="E85" s="87"/>
      <c r="F85" s="87"/>
    </row>
    <row r="86" ht="17.4" spans="1:6">
      <c r="A86" s="87"/>
      <c r="B86" s="87"/>
      <c r="C86" s="87"/>
      <c r="D86" s="87"/>
      <c r="E86" s="87"/>
      <c r="F86" s="87"/>
    </row>
    <row r="87" ht="17.4" spans="1:6">
      <c r="A87" s="87"/>
      <c r="B87" s="87"/>
      <c r="C87" s="87"/>
      <c r="D87" s="87"/>
      <c r="E87" s="87"/>
      <c r="F87" s="87"/>
    </row>
    <row r="88" ht="17.4" spans="1:6">
      <c r="A88" s="87"/>
      <c r="B88" s="87"/>
      <c r="C88" s="87"/>
      <c r="D88" s="87"/>
      <c r="E88" s="87"/>
      <c r="F88" s="87"/>
    </row>
    <row r="89" ht="17.4" spans="1:6">
      <c r="A89" s="87"/>
      <c r="B89" s="87"/>
      <c r="C89" s="87"/>
      <c r="D89" s="87"/>
      <c r="E89" s="87"/>
      <c r="F89" s="87"/>
    </row>
    <row r="90" ht="17.4" spans="1:6">
      <c r="A90" s="87"/>
      <c r="B90" s="87"/>
      <c r="C90" s="87"/>
      <c r="D90" s="87"/>
      <c r="E90" s="87"/>
      <c r="F90" s="87"/>
    </row>
    <row r="91" ht="17.4" spans="1:6">
      <c r="A91" s="87"/>
      <c r="B91" s="87"/>
      <c r="C91" s="87"/>
      <c r="D91" s="87"/>
      <c r="E91" s="87"/>
      <c r="F91" s="87"/>
    </row>
    <row r="92" ht="17.4" spans="1:6">
      <c r="A92" s="87"/>
      <c r="B92" s="87"/>
      <c r="C92" s="87"/>
      <c r="D92" s="87"/>
      <c r="E92" s="87"/>
      <c r="F92" s="87"/>
    </row>
    <row r="93" ht="17.4" spans="1:6">
      <c r="A93" s="87"/>
      <c r="B93" s="87"/>
      <c r="C93" s="87"/>
      <c r="D93" s="87"/>
      <c r="E93" s="87"/>
      <c r="F93" s="87"/>
    </row>
    <row r="94" ht="17.4" spans="1:6">
      <c r="A94" s="87"/>
      <c r="B94" s="87"/>
      <c r="C94" s="87"/>
      <c r="D94" s="87"/>
      <c r="E94" s="87"/>
      <c r="F94" s="87"/>
    </row>
  </sheetData>
  <sheetProtection formatCells="0" insertHyperlinks="0" autoFilter="0"/>
  <mergeCells count="30">
    <mergeCell ref="A1:B1"/>
    <mergeCell ref="D1:E1"/>
    <mergeCell ref="A2:B2"/>
    <mergeCell ref="D2:E2"/>
    <mergeCell ref="A3:B3"/>
    <mergeCell ref="D3:E3"/>
    <mergeCell ref="B4:C4"/>
    <mergeCell ref="E4:F4"/>
    <mergeCell ref="B9:C9"/>
    <mergeCell ref="E9:F9"/>
    <mergeCell ref="B14:C14"/>
    <mergeCell ref="E14:F14"/>
    <mergeCell ref="B19:C19"/>
    <mergeCell ref="E19:F19"/>
    <mergeCell ref="B25:C25"/>
    <mergeCell ref="E25:F25"/>
    <mergeCell ref="B30:C30"/>
    <mergeCell ref="E30:F30"/>
    <mergeCell ref="C5:C8"/>
    <mergeCell ref="C10:C13"/>
    <mergeCell ref="C15:C18"/>
    <mergeCell ref="C20:C23"/>
    <mergeCell ref="C26:C29"/>
    <mergeCell ref="C31:C34"/>
    <mergeCell ref="F5:F8"/>
    <mergeCell ref="F10:F13"/>
    <mergeCell ref="F15:F18"/>
    <mergeCell ref="F20:F23"/>
    <mergeCell ref="F26:F29"/>
    <mergeCell ref="F31:F3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5"/>
  <sheetViews>
    <sheetView zoomScale="115" zoomScaleNormal="115" workbookViewId="0">
      <pane ySplit="3" topLeftCell="A4" activePane="bottomLeft" state="frozen"/>
      <selection/>
      <selection pane="bottomLeft" activeCell="C6" sqref="C6"/>
    </sheetView>
  </sheetViews>
  <sheetFormatPr defaultColWidth="9" defaultRowHeight="17.4"/>
  <cols>
    <col min="1" max="1" width="26.25" style="38"/>
    <col min="2" max="2" width="14.25" style="38" customWidth="1"/>
    <col min="3" max="3" width="13" style="38" customWidth="1"/>
    <col min="4" max="4" width="14.375" style="38" customWidth="1"/>
    <col min="5" max="5" width="14.75" style="38" customWidth="1"/>
    <col min="6" max="6" width="18.625" style="38" customWidth="1"/>
    <col min="7" max="7" width="16.25" style="38" customWidth="1"/>
    <col min="8" max="8" width="13.5" style="38"/>
    <col min="9" max="9" width="14.625" style="38" customWidth="1"/>
    <col min="10" max="10" width="13.5" style="38" customWidth="1"/>
    <col min="11" max="11" width="12.625" style="38" customWidth="1"/>
    <col min="12" max="12" width="23.75" style="38"/>
    <col min="13" max="13" width="28.25" style="38"/>
    <col min="14" max="14" width="13.75" style="38" customWidth="1"/>
    <col min="15" max="17" width="9.375" style="38"/>
    <col min="18" max="18" width="5.375" style="38"/>
    <col min="19" max="19" width="17.125" style="38"/>
    <col min="20" max="20" width="20.375" style="38"/>
    <col min="21" max="21" width="18.75" style="38" customWidth="1"/>
    <col min="22" max="22" width="7.625" style="38"/>
    <col min="23" max="23" width="17.125" style="38"/>
    <col min="24" max="24" width="28.25" style="38"/>
    <col min="25" max="26" width="23.75"/>
    <col min="27" max="27" width="17.125"/>
    <col min="28" max="28" width="28.25"/>
    <col min="29" max="29" width="17.25"/>
    <col min="30" max="30" width="7.375"/>
    <col min="31" max="31" width="9.375"/>
    <col min="32" max="32" width="26.25"/>
    <col min="33" max="34" width="9.375"/>
    <col min="35" max="35" width="5.375"/>
    <col min="36" max="36" width="9.375"/>
    <col min="37" max="37" width="5.375"/>
  </cols>
  <sheetData>
    <row r="1" ht="78" customHeight="1" spans="1:21">
      <c r="A1" s="48" t="s">
        <v>407</v>
      </c>
      <c r="B1" s="66" t="s">
        <v>408</v>
      </c>
      <c r="C1" s="66"/>
      <c r="D1" s="66"/>
      <c r="E1" s="66"/>
      <c r="F1" s="66"/>
      <c r="G1" s="66"/>
      <c r="H1" s="66"/>
      <c r="I1" s="66"/>
      <c r="J1" s="66"/>
    </row>
    <row r="2" ht="96" customHeight="1" spans="1:21">
      <c r="A2" s="67" t="s">
        <v>409</v>
      </c>
      <c r="B2" s="67" t="s">
        <v>5</v>
      </c>
      <c r="C2" s="67" t="s">
        <v>239</v>
      </c>
      <c r="D2" s="67" t="s">
        <v>410</v>
      </c>
      <c r="E2" s="67" t="s">
        <v>165</v>
      </c>
      <c r="F2" s="67"/>
      <c r="H2" s="68" t="s">
        <v>411</v>
      </c>
      <c r="I2" s="68" t="s">
        <v>261</v>
      </c>
      <c r="J2" s="68" t="s">
        <v>239</v>
      </c>
      <c r="K2" s="44" t="s">
        <v>412</v>
      </c>
      <c r="L2" s="44" t="s">
        <v>165</v>
      </c>
      <c r="M2" s="44"/>
      <c r="N2" s="69"/>
      <c r="O2" s="49"/>
      <c r="R2" s="49"/>
    </row>
    <row r="3" spans="1:21">
      <c r="A3" s="48" t="s">
        <v>277</v>
      </c>
      <c r="B3" s="48" t="s">
        <v>413</v>
      </c>
      <c r="C3" s="48" t="s">
        <v>414</v>
      </c>
      <c r="D3" s="48" t="s">
        <v>415</v>
      </c>
      <c r="E3" s="48" t="s">
        <v>416</v>
      </c>
      <c r="F3" s="48" t="s">
        <v>417</v>
      </c>
      <c r="H3" s="70" t="s">
        <v>277</v>
      </c>
      <c r="I3" s="70" t="s">
        <v>413</v>
      </c>
      <c r="J3" s="70" t="s">
        <v>418</v>
      </c>
      <c r="K3" s="70" t="s">
        <v>415</v>
      </c>
      <c r="L3" s="70" t="s">
        <v>417</v>
      </c>
      <c r="O3" s="49"/>
      <c r="R3" s="49"/>
      <c r="U3" s="49"/>
    </row>
    <row r="4" spans="1:21">
      <c r="A4" s="49" t="s">
        <v>419</v>
      </c>
      <c r="B4" s="38" t="e">
        <f>VLOOKUP($A4&amp;$B$2,'4.2 产品详情原始数据'!$A:$BG,10,FALSE)</f>
        <v>#N/A</v>
      </c>
      <c r="C4" s="38" t="e">
        <f>VLOOKUP($A4&amp;$B$2,'4.2 产品详情原始数据'!$A:$BG,37,FALSE)</f>
        <v>#N/A</v>
      </c>
      <c r="D4" s="50" t="e">
        <f>VLOOKUP($A4&amp;$B$2,'4.2 产品详情原始数据'!$A:$BG,43,FALSE)</f>
        <v>#N/A</v>
      </c>
      <c r="E4" s="71" t="e">
        <f>VLOOKUP($A4&amp;$B$2,'4.2 产品详情原始数据'!$A:$BG,7,FALSE)</f>
        <v>#N/A</v>
      </c>
      <c r="H4" s="49" t="s">
        <v>419</v>
      </c>
      <c r="I4" s="38" t="e">
        <f>VLOOKUP(H4&amp;$I$2,'4.2 产品详情原始数据'!$A:$BG,10,FALSE)</f>
        <v>#N/A</v>
      </c>
      <c r="J4" s="38" t="e">
        <f>VLOOKUP($H4&amp;$I$2,'4.2 产品详情原始数据'!$A:$BG,37,FALSE)</f>
        <v>#N/A</v>
      </c>
      <c r="K4" s="50" t="e">
        <f>VLOOKUP($H4&amp;$I$2,'4.2 产品详情原始数据'!$A:$BG,43,FALSE)</f>
        <v>#N/A</v>
      </c>
      <c r="O4" s="49"/>
    </row>
    <row r="5" spans="1:21">
      <c r="A5" s="49" t="s">
        <v>420</v>
      </c>
      <c r="B5" s="38" t="e">
        <f>VLOOKUP($A5&amp;$B$2,'4.2 产品详情原始数据'!$A:$BG,10,FALSE)</f>
        <v>#N/A</v>
      </c>
      <c r="C5" s="38" t="e">
        <f>VLOOKUP($A5&amp;$B$2,'4.2 产品详情原始数据'!$A:$BG,37,FALSE)</f>
        <v>#N/A</v>
      </c>
      <c r="D5" s="50" t="e">
        <f>VLOOKUP($A5&amp;$B$2,'4.2 产品详情原始数据'!$A:$BG,43,FALSE)</f>
        <v>#N/A</v>
      </c>
      <c r="E5" s="71" t="e">
        <f>VLOOKUP($A5&amp;$B$2,'4.2 产品详情原始数据'!$A:$BG,7,FALSE)</f>
        <v>#N/A</v>
      </c>
      <c r="H5" s="49" t="s">
        <v>420</v>
      </c>
      <c r="I5" s="38" t="e">
        <f>VLOOKUP(H5&amp;$I$2,'4.2 产品详情原始数据'!$A:$BG,10,FALSE)</f>
        <v>#N/A</v>
      </c>
      <c r="J5" s="38" t="e">
        <f>VLOOKUP($H5&amp;$I$2,'4.2 产品详情原始数据'!$A:$BG,37,FALSE)</f>
        <v>#N/A</v>
      </c>
      <c r="K5" s="50" t="e">
        <f>VLOOKUP($H5&amp;$I$2,'4.2 产品详情原始数据'!$A:$BG,43,FALSE)</f>
        <v>#N/A</v>
      </c>
      <c r="O5" s="49"/>
    </row>
    <row r="6" spans="1:21">
      <c r="A6" s="49" t="s">
        <v>421</v>
      </c>
      <c r="B6" s="38" t="e">
        <f>VLOOKUP($A6&amp;$B$2,'4.2 产品详情原始数据'!$A:$BG,10,FALSE)</f>
        <v>#N/A</v>
      </c>
      <c r="C6" s="38" t="e">
        <f>VLOOKUP($A6&amp;$B$2,'4.2 产品详情原始数据'!$A:$BG,37,FALSE)</f>
        <v>#N/A</v>
      </c>
      <c r="D6" s="50" t="e">
        <f>VLOOKUP($A6&amp;$B$2,'4.2 产品详情原始数据'!$A:$BG,43,FALSE)</f>
        <v>#N/A</v>
      </c>
      <c r="E6" s="71" t="e">
        <f>VLOOKUP($A6&amp;$B$2,'4.2 产品详情原始数据'!$A:$BG,7,FALSE)</f>
        <v>#N/A</v>
      </c>
      <c r="H6" s="49" t="s">
        <v>421</v>
      </c>
      <c r="I6" s="38" t="e">
        <f>VLOOKUP(H6&amp;$I$2,'4.2 产品详情原始数据'!$A:$BG,10,FALSE)</f>
        <v>#N/A</v>
      </c>
      <c r="J6" s="38" t="e">
        <f>VLOOKUP($H6&amp;$I$2,'4.2 产品详情原始数据'!$A:$BG,37,FALSE)</f>
        <v>#N/A</v>
      </c>
      <c r="K6" s="50" t="e">
        <f>VLOOKUP($H6&amp;$I$2,'4.2 产品详情原始数据'!$A:$BG,43,FALSE)</f>
        <v>#N/A</v>
      </c>
    </row>
    <row r="7" spans="1:21">
      <c r="A7" s="49" t="s">
        <v>422</v>
      </c>
      <c r="B7" s="38" t="e">
        <f>VLOOKUP($A7&amp;$B$2,'4.2 产品详情原始数据'!$A:$BG,10,FALSE)</f>
        <v>#N/A</v>
      </c>
      <c r="C7" s="38" t="e">
        <f>VLOOKUP($A7&amp;$B$2,'4.2 产品详情原始数据'!$A:$BG,37,FALSE)</f>
        <v>#N/A</v>
      </c>
      <c r="D7" s="50" t="e">
        <f>VLOOKUP($A7&amp;$B$2,'4.2 产品详情原始数据'!$A:$BG,43,FALSE)</f>
        <v>#N/A</v>
      </c>
      <c r="E7" s="71" t="e">
        <f>VLOOKUP($A7&amp;$B$2,'4.2 产品详情原始数据'!$A:$BG,7,FALSE)</f>
        <v>#N/A</v>
      </c>
      <c r="H7" s="49" t="s">
        <v>422</v>
      </c>
      <c r="I7" s="38" t="e">
        <f>VLOOKUP(H7&amp;$I$2,'4.2 产品详情原始数据'!$A:$BG,10,FALSE)</f>
        <v>#N/A</v>
      </c>
      <c r="J7" s="38" t="e">
        <f>VLOOKUP($H7&amp;$I$2,'4.2 产品详情原始数据'!$A:$BG,37,FALSE)</f>
        <v>#N/A</v>
      </c>
      <c r="K7" s="50" t="e">
        <f>VLOOKUP($H7&amp;$I$2,'4.2 产品详情原始数据'!$A:$BG,43,FALSE)</f>
        <v>#N/A</v>
      </c>
    </row>
    <row r="8" spans="1:21">
      <c r="A8" s="49" t="s">
        <v>423</v>
      </c>
      <c r="B8" s="38" t="e">
        <f>VLOOKUP($A8&amp;$B$2,'4.2 产品详情原始数据'!$A:$BG,10,FALSE)</f>
        <v>#N/A</v>
      </c>
      <c r="C8" s="38" t="e">
        <f>VLOOKUP($A8&amp;$B$2,'4.2 产品详情原始数据'!$A:$BG,37,FALSE)</f>
        <v>#N/A</v>
      </c>
      <c r="D8" s="50" t="e">
        <f>VLOOKUP($A8&amp;$B$2,'4.2 产品详情原始数据'!$A:$BG,43,FALSE)</f>
        <v>#N/A</v>
      </c>
      <c r="E8" s="71" t="e">
        <f>VLOOKUP($A8&amp;$B$2,'4.2 产品详情原始数据'!$A:$BG,7,FALSE)</f>
        <v>#N/A</v>
      </c>
      <c r="H8" s="49" t="s">
        <v>423</v>
      </c>
      <c r="I8" s="38" t="e">
        <f>VLOOKUP(H8&amp;$I$2,'4.2 产品详情原始数据'!$A:$BG,10,FALSE)</f>
        <v>#N/A</v>
      </c>
      <c r="J8" s="38" t="e">
        <f>VLOOKUP($H8&amp;$I$2,'4.2 产品详情原始数据'!$A:$BG,37,FALSE)</f>
        <v>#N/A</v>
      </c>
      <c r="K8" s="50" t="e">
        <f>VLOOKUP($H8&amp;$I$2,'4.2 产品详情原始数据'!$A:$BG,43,FALSE)</f>
        <v>#N/A</v>
      </c>
    </row>
    <row r="9" spans="1:21">
      <c r="A9" s="49" t="s">
        <v>424</v>
      </c>
      <c r="B9" s="38" t="e">
        <f>VLOOKUP($A9&amp;$B$2,'4.2 产品详情原始数据'!$A:$BG,10,FALSE)</f>
        <v>#N/A</v>
      </c>
      <c r="C9" s="38" t="e">
        <f>VLOOKUP($A9&amp;$B$2,'4.2 产品详情原始数据'!$A:$BG,37,FALSE)</f>
        <v>#N/A</v>
      </c>
      <c r="D9" s="50" t="e">
        <f>VLOOKUP($A9&amp;$B$2,'4.2 产品详情原始数据'!$A:$BG,43,FALSE)</f>
        <v>#N/A</v>
      </c>
      <c r="E9" s="71" t="e">
        <f>VLOOKUP($A9&amp;$B$2,'4.2 产品详情原始数据'!$A:$BG,7,FALSE)</f>
        <v>#N/A</v>
      </c>
      <c r="H9" s="49" t="s">
        <v>424</v>
      </c>
      <c r="I9" s="38" t="e">
        <f>VLOOKUP(H9&amp;$I$2,'4.2 产品详情原始数据'!$A:$BG,10,FALSE)</f>
        <v>#N/A</v>
      </c>
      <c r="J9" s="38" t="e">
        <f>VLOOKUP($H9&amp;$I$2,'4.2 产品详情原始数据'!$A:$BG,37,FALSE)</f>
        <v>#N/A</v>
      </c>
      <c r="K9" s="50" t="e">
        <f>VLOOKUP($H9&amp;$I$2,'4.2 产品详情原始数据'!$A:$BG,43,FALSE)</f>
        <v>#N/A</v>
      </c>
    </row>
    <row r="10" spans="1:21">
      <c r="A10" s="49" t="s">
        <v>425</v>
      </c>
      <c r="B10" s="38" t="e">
        <f>VLOOKUP($A10&amp;$B$2,'4.2 产品详情原始数据'!$A:$BG,10,FALSE)</f>
        <v>#N/A</v>
      </c>
      <c r="C10" s="38" t="e">
        <f>VLOOKUP($A10&amp;$B$2,'4.2 产品详情原始数据'!$A:$BG,37,FALSE)</f>
        <v>#N/A</v>
      </c>
      <c r="D10" s="50" t="e">
        <f>VLOOKUP($A10&amp;$B$2,'4.2 产品详情原始数据'!$A:$BG,43,FALSE)</f>
        <v>#N/A</v>
      </c>
      <c r="E10" s="71" t="e">
        <f>VLOOKUP($A10&amp;$B$2,'4.2 产品详情原始数据'!$A:$BG,7,FALSE)</f>
        <v>#N/A</v>
      </c>
      <c r="H10" s="49" t="s">
        <v>425</v>
      </c>
      <c r="I10" s="38" t="e">
        <f>VLOOKUP(H10&amp;$I$2,'4.2 产品详情原始数据'!$A:$BG,10,FALSE)</f>
        <v>#N/A</v>
      </c>
      <c r="J10" s="38" t="e">
        <f>VLOOKUP($H10&amp;$I$2,'4.2 产品详情原始数据'!$A:$BG,37,FALSE)</f>
        <v>#N/A</v>
      </c>
      <c r="K10" s="50" t="e">
        <f>VLOOKUP($H10&amp;$I$2,'4.2 产品详情原始数据'!$A:$BG,43,FALSE)</f>
        <v>#N/A</v>
      </c>
    </row>
    <row r="11" spans="1:21">
      <c r="A11" s="49" t="s">
        <v>426</v>
      </c>
      <c r="B11" s="38" t="e">
        <f>VLOOKUP($A11&amp;$B$2,'4.2 产品详情原始数据'!$A:$BG,10,FALSE)</f>
        <v>#N/A</v>
      </c>
      <c r="C11" s="38" t="e">
        <f>VLOOKUP($A11&amp;$B$2,'4.2 产品详情原始数据'!$A:$BG,37,FALSE)</f>
        <v>#N/A</v>
      </c>
      <c r="D11" s="50" t="e">
        <f>VLOOKUP($A11&amp;$B$2,'4.2 产品详情原始数据'!$A:$BG,43,FALSE)</f>
        <v>#N/A</v>
      </c>
      <c r="E11" s="71" t="e">
        <f>VLOOKUP($A11&amp;$B$2,'4.2 产品详情原始数据'!$A:$BG,7,FALSE)</f>
        <v>#N/A</v>
      </c>
      <c r="H11" s="49" t="s">
        <v>426</v>
      </c>
      <c r="I11" s="38" t="e">
        <f>VLOOKUP(H11&amp;$I$2,'4.2 产品详情原始数据'!$A:$BG,10,FALSE)</f>
        <v>#N/A</v>
      </c>
      <c r="J11" s="38" t="e">
        <f>VLOOKUP($H11&amp;$I$2,'4.2 产品详情原始数据'!$A:$BG,37,FALSE)</f>
        <v>#N/A</v>
      </c>
      <c r="K11" s="50" t="e">
        <f>VLOOKUP($H11&amp;$I$2,'4.2 产品详情原始数据'!$A:$BG,43,FALSE)</f>
        <v>#N/A</v>
      </c>
    </row>
    <row r="12" spans="1:21">
      <c r="A12" s="49" t="s">
        <v>427</v>
      </c>
      <c r="B12" s="38" t="e">
        <f>VLOOKUP($A12&amp;$B$2,'4.2 产品详情原始数据'!$A:$BG,10,FALSE)</f>
        <v>#N/A</v>
      </c>
      <c r="C12" s="38" t="e">
        <f>VLOOKUP($A12&amp;$B$2,'4.2 产品详情原始数据'!$A:$BG,37,FALSE)</f>
        <v>#N/A</v>
      </c>
      <c r="D12" s="50" t="e">
        <f>VLOOKUP($A12&amp;$B$2,'4.2 产品详情原始数据'!$A:$BG,43,FALSE)</f>
        <v>#N/A</v>
      </c>
      <c r="E12" s="71" t="e">
        <f>VLOOKUP($A12&amp;$B$2,'4.2 产品详情原始数据'!$A:$BG,7,FALSE)</f>
        <v>#N/A</v>
      </c>
      <c r="H12" s="49" t="s">
        <v>427</v>
      </c>
      <c r="I12" s="38" t="e">
        <f>VLOOKUP(H12&amp;$I$2,'4.2 产品详情原始数据'!$A:$BG,10,FALSE)</f>
        <v>#N/A</v>
      </c>
      <c r="J12" s="38" t="e">
        <f>VLOOKUP($H12&amp;$I$2,'4.2 产品详情原始数据'!$A:$BG,37,FALSE)</f>
        <v>#N/A</v>
      </c>
      <c r="K12" s="50" t="e">
        <f>VLOOKUP($H12&amp;$I$2,'4.2 产品详情原始数据'!$A:$BG,43,FALSE)</f>
        <v>#N/A</v>
      </c>
    </row>
    <row r="13" spans="1:21">
      <c r="A13" s="49" t="s">
        <v>428</v>
      </c>
      <c r="B13" s="38" t="e">
        <f>VLOOKUP($A13&amp;$B$2,'4.2 产品详情原始数据'!$A:$BG,10,FALSE)</f>
        <v>#N/A</v>
      </c>
      <c r="C13" s="38" t="e">
        <f>VLOOKUP($A13&amp;$B$2,'4.2 产品详情原始数据'!$A:$BG,37,FALSE)</f>
        <v>#N/A</v>
      </c>
      <c r="D13" s="50" t="e">
        <f>VLOOKUP($A13&amp;$B$2,'4.2 产品详情原始数据'!$A:$BG,43,FALSE)</f>
        <v>#N/A</v>
      </c>
      <c r="E13" s="71" t="e">
        <f>VLOOKUP($A13&amp;$B$2,'4.2 产品详情原始数据'!$A:$BG,7,FALSE)</f>
        <v>#N/A</v>
      </c>
      <c r="H13" s="49" t="s">
        <v>428</v>
      </c>
      <c r="I13" s="38" t="e">
        <f>VLOOKUP(H13&amp;$I$2,'4.2 产品详情原始数据'!$A:$BG,10,FALSE)</f>
        <v>#N/A</v>
      </c>
      <c r="J13" s="38" t="e">
        <f>VLOOKUP($H13&amp;$I$2,'4.2 产品详情原始数据'!$A:$BG,37,FALSE)</f>
        <v>#N/A</v>
      </c>
      <c r="K13" s="50" t="e">
        <f>VLOOKUP($H13&amp;$I$2,'4.2 产品详情原始数据'!$A:$BG,43,FALSE)</f>
        <v>#N/A</v>
      </c>
    </row>
    <row r="14" spans="1:21">
      <c r="A14" s="49" t="s">
        <v>429</v>
      </c>
      <c r="B14" s="38" t="e">
        <f>VLOOKUP($A14&amp;$B$2,'4.2 产品详情原始数据'!$A:$BG,10,FALSE)</f>
        <v>#N/A</v>
      </c>
      <c r="C14" s="38" t="e">
        <f>VLOOKUP($A14&amp;$B$2,'4.2 产品详情原始数据'!$A:$BG,37,FALSE)</f>
        <v>#N/A</v>
      </c>
      <c r="D14" s="50" t="e">
        <f>VLOOKUP($A14&amp;$B$2,'4.2 产品详情原始数据'!$A:$BG,43,FALSE)</f>
        <v>#N/A</v>
      </c>
      <c r="E14" s="71" t="e">
        <f>VLOOKUP($A14&amp;$B$2,'4.2 产品详情原始数据'!$A:$BG,7,FALSE)</f>
        <v>#N/A</v>
      </c>
      <c r="H14" s="49" t="s">
        <v>429</v>
      </c>
      <c r="I14" s="38" t="e">
        <f>VLOOKUP(H14&amp;$I$2,'4.2 产品详情原始数据'!$A:$BG,10,FALSE)</f>
        <v>#N/A</v>
      </c>
      <c r="J14" s="38" t="e">
        <f>VLOOKUP($H14&amp;$I$2,'4.2 产品详情原始数据'!$A:$BG,37,FALSE)</f>
        <v>#N/A</v>
      </c>
      <c r="K14" s="50" t="e">
        <f>VLOOKUP($H14&amp;$I$2,'4.2 产品详情原始数据'!$A:$BG,43,FALSE)</f>
        <v>#N/A</v>
      </c>
    </row>
    <row r="15" spans="1:21">
      <c r="A15" s="49" t="s">
        <v>430</v>
      </c>
      <c r="B15" s="38" t="e">
        <f>VLOOKUP($A15&amp;$B$2,'4.2 产品详情原始数据'!$A:$BG,10,FALSE)</f>
        <v>#N/A</v>
      </c>
      <c r="C15" s="38" t="e">
        <f>VLOOKUP($A15&amp;$B$2,'4.2 产品详情原始数据'!$A:$BG,37,FALSE)</f>
        <v>#N/A</v>
      </c>
      <c r="D15" s="50" t="e">
        <f>VLOOKUP($A15&amp;$B$2,'4.2 产品详情原始数据'!$A:$BG,43,FALSE)</f>
        <v>#N/A</v>
      </c>
      <c r="E15" s="71" t="e">
        <f>VLOOKUP($A15&amp;$B$2,'4.2 产品详情原始数据'!$A:$BG,7,FALSE)</f>
        <v>#N/A</v>
      </c>
      <c r="H15" s="49" t="s">
        <v>430</v>
      </c>
      <c r="I15" s="38" t="e">
        <f>VLOOKUP(H15&amp;$I$2,'4.2 产品详情原始数据'!$A:$BG,10,FALSE)</f>
        <v>#N/A</v>
      </c>
      <c r="J15" s="38" t="e">
        <f>VLOOKUP($H15&amp;$I$2,'4.2 产品详情原始数据'!$A:$BG,37,FALSE)</f>
        <v>#N/A</v>
      </c>
      <c r="K15" s="50" t="e">
        <f>VLOOKUP($H15&amp;$I$2,'4.2 产品详情原始数据'!$A:$BG,43,FALSE)</f>
        <v>#N/A</v>
      </c>
    </row>
    <row r="16" spans="1:21">
      <c r="A16" s="49" t="s">
        <v>431</v>
      </c>
      <c r="B16" s="38" t="e">
        <f>VLOOKUP($A16&amp;$B$2,'4.2 产品详情原始数据'!$A:$BG,10,FALSE)</f>
        <v>#N/A</v>
      </c>
      <c r="C16" s="38" t="e">
        <f>VLOOKUP($A16&amp;$B$2,'4.2 产品详情原始数据'!$A:$BG,37,FALSE)</f>
        <v>#N/A</v>
      </c>
      <c r="D16" s="50" t="e">
        <f>VLOOKUP($A16&amp;$B$2,'4.2 产品详情原始数据'!$A:$BG,43,FALSE)</f>
        <v>#N/A</v>
      </c>
      <c r="E16" s="71" t="e">
        <f>VLOOKUP($A16&amp;$B$2,'4.2 产品详情原始数据'!$A:$BG,7,FALSE)</f>
        <v>#N/A</v>
      </c>
      <c r="H16" s="49" t="s">
        <v>431</v>
      </c>
      <c r="I16" s="38" t="e">
        <f>VLOOKUP(H16&amp;$I$2,'4.2 产品详情原始数据'!$A:$BG,10,FALSE)</f>
        <v>#N/A</v>
      </c>
      <c r="J16" s="38" t="e">
        <f>VLOOKUP($H16&amp;$I$2,'4.2 产品详情原始数据'!$A:$BG,37,FALSE)</f>
        <v>#N/A</v>
      </c>
      <c r="K16" s="50" t="e">
        <f>VLOOKUP($H16&amp;$I$2,'4.2 产品详情原始数据'!$A:$BG,43,FALSE)</f>
        <v>#N/A</v>
      </c>
    </row>
    <row r="17" spans="1:11">
      <c r="A17" s="49" t="s">
        <v>432</v>
      </c>
      <c r="B17" s="38" t="e">
        <f>VLOOKUP($A17&amp;$B$2,'4.2 产品详情原始数据'!$A:$BG,10,FALSE)</f>
        <v>#N/A</v>
      </c>
      <c r="C17" s="38" t="e">
        <f>VLOOKUP($A17&amp;$B$2,'4.2 产品详情原始数据'!$A:$BG,37,FALSE)</f>
        <v>#N/A</v>
      </c>
      <c r="D17" s="50" t="e">
        <f>VLOOKUP($A17&amp;$B$2,'4.2 产品详情原始数据'!$A:$BG,43,FALSE)</f>
        <v>#N/A</v>
      </c>
      <c r="E17" s="71" t="e">
        <f>VLOOKUP($A17&amp;$B$2,'4.2 产品详情原始数据'!$A:$BG,7,FALSE)</f>
        <v>#N/A</v>
      </c>
      <c r="H17" s="49" t="s">
        <v>432</v>
      </c>
      <c r="I17" s="38" t="e">
        <f>VLOOKUP(H17&amp;$I$2,'4.2 产品详情原始数据'!$A:$BG,10,FALSE)</f>
        <v>#N/A</v>
      </c>
      <c r="J17" s="38" t="e">
        <f>VLOOKUP($H17&amp;$I$2,'4.2 产品详情原始数据'!$A:$BG,37,FALSE)</f>
        <v>#N/A</v>
      </c>
      <c r="K17" s="50" t="e">
        <f>VLOOKUP($H17&amp;$I$2,'4.2 产品详情原始数据'!$A:$BG,43,FALSE)</f>
        <v>#N/A</v>
      </c>
    </row>
    <row r="18" spans="1:11">
      <c r="A18" s="49" t="s">
        <v>433</v>
      </c>
      <c r="B18" s="38" t="e">
        <f>VLOOKUP($A18&amp;$B$2,'4.2 产品详情原始数据'!$A:$BG,10,FALSE)</f>
        <v>#N/A</v>
      </c>
      <c r="C18" s="38" t="e">
        <f>VLOOKUP($A18&amp;$B$2,'4.2 产品详情原始数据'!$A:$BG,37,FALSE)</f>
        <v>#N/A</v>
      </c>
      <c r="D18" s="50" t="e">
        <f>VLOOKUP($A18&amp;$B$2,'4.2 产品详情原始数据'!$A:$BG,43,FALSE)</f>
        <v>#N/A</v>
      </c>
      <c r="E18" s="71" t="e">
        <f>VLOOKUP($A18&amp;$B$2,'4.2 产品详情原始数据'!$A:$BG,7,FALSE)</f>
        <v>#N/A</v>
      </c>
      <c r="H18" s="49" t="s">
        <v>433</v>
      </c>
      <c r="I18" s="38" t="e">
        <f>VLOOKUP(H18&amp;$I$2,'4.2 产品详情原始数据'!$A:$BG,10,FALSE)</f>
        <v>#N/A</v>
      </c>
      <c r="J18" s="38" t="e">
        <f>VLOOKUP($H18&amp;$I$2,'4.2 产品详情原始数据'!$A:$BG,37,FALSE)</f>
        <v>#N/A</v>
      </c>
      <c r="K18" s="50" t="e">
        <f>VLOOKUP($H18&amp;$I$2,'4.2 产品详情原始数据'!$A:$BG,43,FALSE)</f>
        <v>#N/A</v>
      </c>
    </row>
    <row r="19" spans="1:11">
      <c r="A19" s="49" t="s">
        <v>434</v>
      </c>
      <c r="B19" s="38" t="e">
        <f>VLOOKUP($A19&amp;$B$2,'4.2 产品详情原始数据'!$A:$BG,10,FALSE)</f>
        <v>#N/A</v>
      </c>
      <c r="C19" s="38" t="e">
        <f>VLOOKUP($A19&amp;$B$2,'4.2 产品详情原始数据'!$A:$BG,37,FALSE)</f>
        <v>#N/A</v>
      </c>
      <c r="D19" s="50" t="e">
        <f>VLOOKUP($A19&amp;$B$2,'4.2 产品详情原始数据'!$A:$BG,43,FALSE)</f>
        <v>#N/A</v>
      </c>
      <c r="E19" s="71" t="e">
        <f>VLOOKUP($A19&amp;$B$2,'4.2 产品详情原始数据'!$A:$BG,7,FALSE)</f>
        <v>#N/A</v>
      </c>
      <c r="H19" s="49" t="s">
        <v>434</v>
      </c>
      <c r="I19" s="38" t="e">
        <f>VLOOKUP(H19&amp;$I$2,'4.2 产品详情原始数据'!$A:$BG,10,FALSE)</f>
        <v>#N/A</v>
      </c>
      <c r="J19" s="38" t="e">
        <f>VLOOKUP($H19&amp;$I$2,'4.2 产品详情原始数据'!$A:$BG,37,FALSE)</f>
        <v>#N/A</v>
      </c>
      <c r="K19" s="50" t="e">
        <f>VLOOKUP($H19&amp;$I$2,'4.2 产品详情原始数据'!$A:$BG,43,FALSE)</f>
        <v>#N/A</v>
      </c>
    </row>
    <row r="20" spans="1:11">
      <c r="A20" s="49" t="s">
        <v>435</v>
      </c>
      <c r="B20" s="38" t="e">
        <f>VLOOKUP($A20&amp;$B$2,'4.2 产品详情原始数据'!$A:$BG,10,FALSE)</f>
        <v>#N/A</v>
      </c>
      <c r="C20" s="38" t="e">
        <f>VLOOKUP($A20&amp;$B$2,'4.2 产品详情原始数据'!$A:$BG,37,FALSE)</f>
        <v>#N/A</v>
      </c>
      <c r="D20" s="50" t="e">
        <f>VLOOKUP($A20&amp;$B$2,'4.2 产品详情原始数据'!$A:$BG,43,FALSE)</f>
        <v>#N/A</v>
      </c>
      <c r="E20" s="71" t="e">
        <f>VLOOKUP($A20&amp;$B$2,'4.2 产品详情原始数据'!$A:$BG,7,FALSE)</f>
        <v>#N/A</v>
      </c>
      <c r="H20" s="49" t="s">
        <v>435</v>
      </c>
      <c r="I20" s="38" t="e">
        <f>VLOOKUP(H20&amp;$I$2,'4.2 产品详情原始数据'!$A:$BG,10,FALSE)</f>
        <v>#N/A</v>
      </c>
      <c r="J20" s="38" t="e">
        <f>VLOOKUP($H20&amp;$I$2,'4.2 产品详情原始数据'!$A:$BG,37,FALSE)</f>
        <v>#N/A</v>
      </c>
      <c r="K20" s="50" t="e">
        <f>VLOOKUP($H20&amp;$I$2,'4.2 产品详情原始数据'!$A:$BG,43,FALSE)</f>
        <v>#N/A</v>
      </c>
    </row>
    <row r="21" spans="1:11">
      <c r="A21" s="49" t="s">
        <v>436</v>
      </c>
      <c r="B21" s="38" t="e">
        <f>VLOOKUP($A21&amp;$B$2,'4.2 产品详情原始数据'!$A:$BG,10,FALSE)</f>
        <v>#N/A</v>
      </c>
      <c r="C21" s="38" t="e">
        <f>VLOOKUP($A21&amp;$B$2,'4.2 产品详情原始数据'!$A:$BG,37,FALSE)</f>
        <v>#N/A</v>
      </c>
      <c r="D21" s="50" t="e">
        <f>VLOOKUP($A21&amp;$B$2,'4.2 产品详情原始数据'!$A:$BG,43,FALSE)</f>
        <v>#N/A</v>
      </c>
      <c r="E21" s="71" t="e">
        <f>VLOOKUP($A21&amp;$B$2,'4.2 产品详情原始数据'!$A:$BG,7,FALSE)</f>
        <v>#N/A</v>
      </c>
      <c r="H21" s="49" t="s">
        <v>436</v>
      </c>
      <c r="I21" s="38" t="e">
        <f>VLOOKUP(H21&amp;$I$2,'4.2 产品详情原始数据'!$A:$BG,10,FALSE)</f>
        <v>#N/A</v>
      </c>
      <c r="J21" s="38" t="e">
        <f>VLOOKUP($H21&amp;$I$2,'4.2 产品详情原始数据'!$A:$BG,37,FALSE)</f>
        <v>#N/A</v>
      </c>
      <c r="K21" s="50" t="e">
        <f>VLOOKUP($H21&amp;$I$2,'4.2 产品详情原始数据'!$A:$BG,43,FALSE)</f>
        <v>#N/A</v>
      </c>
    </row>
    <row r="22" spans="1:11">
      <c r="A22" s="49" t="s">
        <v>437</v>
      </c>
      <c r="B22" s="38" t="e">
        <f>VLOOKUP($A22&amp;$B$2,'4.2 产品详情原始数据'!$A:$BG,10,FALSE)</f>
        <v>#N/A</v>
      </c>
      <c r="C22" s="38" t="e">
        <f>VLOOKUP($A22&amp;$B$2,'4.2 产品详情原始数据'!$A:$BG,37,FALSE)</f>
        <v>#N/A</v>
      </c>
      <c r="D22" s="50" t="e">
        <f>VLOOKUP($A22&amp;$B$2,'4.2 产品详情原始数据'!$A:$BG,43,FALSE)</f>
        <v>#N/A</v>
      </c>
      <c r="E22" s="71" t="e">
        <f>VLOOKUP($A22&amp;$B$2,'4.2 产品详情原始数据'!$A:$BG,7,FALSE)</f>
        <v>#N/A</v>
      </c>
      <c r="H22" s="49" t="s">
        <v>437</v>
      </c>
      <c r="I22" s="38" t="e">
        <f>VLOOKUP(H22&amp;$I$2,'4.2 产品详情原始数据'!$A:$BG,10,FALSE)</f>
        <v>#N/A</v>
      </c>
      <c r="J22" s="38" t="e">
        <f>VLOOKUP($H22&amp;$I$2,'4.2 产品详情原始数据'!$A:$BG,37,FALSE)</f>
        <v>#N/A</v>
      </c>
      <c r="K22" s="50" t="e">
        <f>VLOOKUP($H22&amp;$I$2,'4.2 产品详情原始数据'!$A:$BG,43,FALSE)</f>
        <v>#N/A</v>
      </c>
    </row>
    <row r="23" spans="1:11">
      <c r="A23" s="49" t="s">
        <v>438</v>
      </c>
      <c r="B23" s="38" t="e">
        <f>VLOOKUP($A23&amp;$B$2,'4.2 产品详情原始数据'!$A:$BG,10,FALSE)</f>
        <v>#N/A</v>
      </c>
      <c r="C23" s="38" t="e">
        <f>VLOOKUP($A23&amp;$B$2,'4.2 产品详情原始数据'!$A:$BG,37,FALSE)</f>
        <v>#N/A</v>
      </c>
      <c r="D23" s="50" t="e">
        <f>VLOOKUP($A23&amp;$B$2,'4.2 产品详情原始数据'!$A:$BG,43,FALSE)</f>
        <v>#N/A</v>
      </c>
      <c r="E23" s="71" t="e">
        <f>VLOOKUP($A23&amp;$B$2,'4.2 产品详情原始数据'!$A:$BG,7,FALSE)</f>
        <v>#N/A</v>
      </c>
      <c r="H23" s="49" t="s">
        <v>438</v>
      </c>
      <c r="I23" s="38" t="e">
        <f>VLOOKUP(H23&amp;$I$2,'4.2 产品详情原始数据'!$A:$BG,10,FALSE)</f>
        <v>#N/A</v>
      </c>
      <c r="J23" s="38" t="e">
        <f>VLOOKUP($H23&amp;$I$2,'4.2 产品详情原始数据'!$A:$BG,37,FALSE)</f>
        <v>#N/A</v>
      </c>
      <c r="K23" s="50" t="e">
        <f>VLOOKUP($H23&amp;$I$2,'4.2 产品详情原始数据'!$A:$BG,43,FALSE)</f>
        <v>#N/A</v>
      </c>
    </row>
    <row r="24" spans="1:11">
      <c r="A24" s="49" t="s">
        <v>439</v>
      </c>
      <c r="B24" s="38" t="e">
        <f>VLOOKUP($A24&amp;$B$2,'4.2 产品详情原始数据'!$A:$BG,10,FALSE)</f>
        <v>#N/A</v>
      </c>
      <c r="C24" s="38" t="e">
        <f>VLOOKUP($A24&amp;$B$2,'4.2 产品详情原始数据'!$A:$BG,37,FALSE)</f>
        <v>#N/A</v>
      </c>
      <c r="D24" s="50" t="e">
        <f>VLOOKUP($A24&amp;$B$2,'4.2 产品详情原始数据'!$A:$BG,43,FALSE)</f>
        <v>#N/A</v>
      </c>
      <c r="E24" s="71" t="e">
        <f>VLOOKUP($A24&amp;$B$2,'4.2 产品详情原始数据'!$A:$BG,7,FALSE)</f>
        <v>#N/A</v>
      </c>
      <c r="H24" s="49" t="s">
        <v>439</v>
      </c>
      <c r="I24" s="38" t="e">
        <f>VLOOKUP(H24&amp;$I$2,'4.2 产品详情原始数据'!$A:$BG,10,FALSE)</f>
        <v>#N/A</v>
      </c>
      <c r="J24" s="38" t="e">
        <f>VLOOKUP($H24&amp;$I$2,'4.2 产品详情原始数据'!$A:$BG,37,FALSE)</f>
        <v>#N/A</v>
      </c>
      <c r="K24" s="50" t="e">
        <f>VLOOKUP($H24&amp;$I$2,'4.2 产品详情原始数据'!$A:$BG,43,FALSE)</f>
        <v>#N/A</v>
      </c>
    </row>
    <row r="25" spans="1:11">
      <c r="A25" s="49" t="s">
        <v>440</v>
      </c>
      <c r="B25" s="38" t="e">
        <f>VLOOKUP($A25&amp;$B$2,'4.2 产品详情原始数据'!$A:$BG,10,FALSE)</f>
        <v>#N/A</v>
      </c>
      <c r="C25" s="38" t="e">
        <f>VLOOKUP($A25&amp;$B$2,'4.2 产品详情原始数据'!$A:$BG,37,FALSE)</f>
        <v>#N/A</v>
      </c>
      <c r="D25" s="50" t="e">
        <f>VLOOKUP($A25&amp;$B$2,'4.2 产品详情原始数据'!$A:$BG,43,FALSE)</f>
        <v>#N/A</v>
      </c>
      <c r="E25" s="71" t="e">
        <f>VLOOKUP($A25&amp;$B$2,'4.2 产品详情原始数据'!$A:$BG,7,FALSE)</f>
        <v>#N/A</v>
      </c>
      <c r="H25" s="49" t="s">
        <v>440</v>
      </c>
      <c r="I25" s="38" t="e">
        <f>VLOOKUP(H25&amp;$I$2,'4.2 产品详情原始数据'!$A:$BG,10,FALSE)</f>
        <v>#N/A</v>
      </c>
      <c r="J25" s="38" t="e">
        <f>VLOOKUP($H25&amp;$I$2,'4.2 产品详情原始数据'!$A:$BG,37,FALSE)</f>
        <v>#N/A</v>
      </c>
      <c r="K25" s="50" t="e">
        <f>VLOOKUP($H25&amp;$I$2,'4.2 产品详情原始数据'!$A:$BG,43,FALSE)</f>
        <v>#N/A</v>
      </c>
    </row>
    <row r="26" spans="1:11">
      <c r="A26" s="49" t="s">
        <v>441</v>
      </c>
      <c r="B26" s="38" t="e">
        <f>VLOOKUP($A26&amp;$B$2,'4.2 产品详情原始数据'!$A:$BG,10,FALSE)</f>
        <v>#N/A</v>
      </c>
      <c r="C26" s="38" t="e">
        <f>VLOOKUP($A26&amp;$B$2,'4.2 产品详情原始数据'!$A:$BG,37,FALSE)</f>
        <v>#N/A</v>
      </c>
      <c r="D26" s="50" t="e">
        <f>VLOOKUP($A26&amp;$B$2,'4.2 产品详情原始数据'!$A:$BG,43,FALSE)</f>
        <v>#N/A</v>
      </c>
      <c r="E26" s="71" t="e">
        <f>VLOOKUP($A26&amp;$B$2,'4.2 产品详情原始数据'!$A:$BG,7,FALSE)</f>
        <v>#N/A</v>
      </c>
      <c r="H26" s="49" t="s">
        <v>441</v>
      </c>
      <c r="I26" s="38" t="e">
        <f>VLOOKUP(H26&amp;$I$2,'4.2 产品详情原始数据'!$A:$BG,10,FALSE)</f>
        <v>#N/A</v>
      </c>
      <c r="J26" s="38" t="e">
        <f>VLOOKUP($H26&amp;$I$2,'4.2 产品详情原始数据'!$A:$BG,37,FALSE)</f>
        <v>#N/A</v>
      </c>
      <c r="K26" s="50" t="e">
        <f>VLOOKUP($H26&amp;$I$2,'4.2 产品详情原始数据'!$A:$BG,43,FALSE)</f>
        <v>#N/A</v>
      </c>
    </row>
    <row r="27" spans="1:11">
      <c r="A27" s="49" t="s">
        <v>442</v>
      </c>
      <c r="B27" s="38" t="e">
        <f>VLOOKUP($A27&amp;$B$2,'4.2 产品详情原始数据'!$A:$BG,10,FALSE)</f>
        <v>#N/A</v>
      </c>
      <c r="C27" s="38" t="e">
        <f>VLOOKUP($A27&amp;$B$2,'4.2 产品详情原始数据'!$A:$BG,37,FALSE)</f>
        <v>#N/A</v>
      </c>
      <c r="D27" s="50" t="e">
        <f>VLOOKUP($A27&amp;$B$2,'4.2 产品详情原始数据'!$A:$BG,43,FALSE)</f>
        <v>#N/A</v>
      </c>
      <c r="E27" s="71" t="e">
        <f>VLOOKUP($A27&amp;$B$2,'4.2 产品详情原始数据'!$A:$BG,7,FALSE)</f>
        <v>#N/A</v>
      </c>
      <c r="H27" s="49" t="s">
        <v>442</v>
      </c>
      <c r="I27" s="38" t="e">
        <f>VLOOKUP(H27&amp;$I$2,'4.2 产品详情原始数据'!$A:$BG,10,FALSE)</f>
        <v>#N/A</v>
      </c>
      <c r="J27" s="38" t="e">
        <f>VLOOKUP($H27&amp;$I$2,'4.2 产品详情原始数据'!$A:$BG,37,FALSE)</f>
        <v>#N/A</v>
      </c>
      <c r="K27" s="50" t="e">
        <f>VLOOKUP($H27&amp;$I$2,'4.2 产品详情原始数据'!$A:$BG,43,FALSE)</f>
        <v>#N/A</v>
      </c>
    </row>
    <row r="28" spans="1:11">
      <c r="A28" s="49" t="s">
        <v>443</v>
      </c>
      <c r="B28" s="38" t="e">
        <f>VLOOKUP($A28&amp;$B$2,'4.2 产品详情原始数据'!$A:$BG,10,FALSE)</f>
        <v>#N/A</v>
      </c>
      <c r="C28" s="38" t="e">
        <f>VLOOKUP($A28&amp;$B$2,'4.2 产品详情原始数据'!$A:$BG,37,FALSE)</f>
        <v>#N/A</v>
      </c>
      <c r="D28" s="50" t="e">
        <f>VLOOKUP($A28&amp;$B$2,'4.2 产品详情原始数据'!$A:$BG,43,FALSE)</f>
        <v>#N/A</v>
      </c>
      <c r="E28" s="71" t="e">
        <f>VLOOKUP($A28&amp;$B$2,'4.2 产品详情原始数据'!$A:$BG,7,FALSE)</f>
        <v>#N/A</v>
      </c>
      <c r="H28" s="49" t="s">
        <v>443</v>
      </c>
      <c r="I28" s="38" t="e">
        <f>VLOOKUP(H28&amp;$I$2,'4.2 产品详情原始数据'!$A:$BG,10,FALSE)</f>
        <v>#N/A</v>
      </c>
      <c r="J28" s="38" t="e">
        <f>VLOOKUP($H28&amp;$I$2,'4.2 产品详情原始数据'!$A:$BG,37,FALSE)</f>
        <v>#N/A</v>
      </c>
      <c r="K28" s="50" t="e">
        <f>VLOOKUP($H28&amp;$I$2,'4.2 产品详情原始数据'!$A:$BG,43,FALSE)</f>
        <v>#N/A</v>
      </c>
    </row>
    <row r="29" spans="1:11">
      <c r="A29" s="49" t="s">
        <v>444</v>
      </c>
      <c r="B29" s="38" t="e">
        <f>VLOOKUP($A29&amp;$B$2,'4.2 产品详情原始数据'!$A:$BG,10,FALSE)</f>
        <v>#N/A</v>
      </c>
      <c r="C29" s="38" t="e">
        <f>VLOOKUP($A29&amp;$B$2,'4.2 产品详情原始数据'!$A:$BG,37,FALSE)</f>
        <v>#N/A</v>
      </c>
      <c r="D29" s="50" t="e">
        <f>VLOOKUP($A29&amp;$B$2,'4.2 产品详情原始数据'!$A:$BG,43,FALSE)</f>
        <v>#N/A</v>
      </c>
      <c r="E29" s="71" t="e">
        <f>VLOOKUP($A29&amp;$B$2,'4.2 产品详情原始数据'!$A:$BG,7,FALSE)</f>
        <v>#N/A</v>
      </c>
      <c r="H29" s="49" t="s">
        <v>444</v>
      </c>
      <c r="I29" s="38" t="e">
        <f>VLOOKUP(H29&amp;$I$2,'4.2 产品详情原始数据'!$A:$BG,10,FALSE)</f>
        <v>#N/A</v>
      </c>
      <c r="J29" s="38" t="e">
        <f>VLOOKUP($H29&amp;$I$2,'4.2 产品详情原始数据'!$A:$BG,37,FALSE)</f>
        <v>#N/A</v>
      </c>
      <c r="K29" s="50" t="e">
        <f>VLOOKUP($H29&amp;$I$2,'4.2 产品详情原始数据'!$A:$BG,43,FALSE)</f>
        <v>#N/A</v>
      </c>
    </row>
    <row r="30" spans="1:11">
      <c r="A30" s="49" t="s">
        <v>445</v>
      </c>
      <c r="B30" s="38" t="e">
        <f>VLOOKUP($A30&amp;$B$2,'4.2 产品详情原始数据'!$A:$BG,10,FALSE)</f>
        <v>#N/A</v>
      </c>
      <c r="C30" s="38" t="e">
        <f>VLOOKUP($A30&amp;$B$2,'4.2 产品详情原始数据'!$A:$BG,37,FALSE)</f>
        <v>#N/A</v>
      </c>
      <c r="D30" s="50" t="e">
        <f>VLOOKUP($A30&amp;$B$2,'4.2 产品详情原始数据'!$A:$BG,43,FALSE)</f>
        <v>#N/A</v>
      </c>
      <c r="E30" s="71" t="e">
        <f>VLOOKUP($A30&amp;$B$2,'4.2 产品详情原始数据'!$A:$BG,7,FALSE)</f>
        <v>#N/A</v>
      </c>
      <c r="H30" s="49" t="s">
        <v>445</v>
      </c>
      <c r="I30" s="38" t="e">
        <f>VLOOKUP(H30&amp;$I$2,'4.2 产品详情原始数据'!$A:$BG,10,FALSE)</f>
        <v>#N/A</v>
      </c>
      <c r="J30" s="38" t="e">
        <f>VLOOKUP($H30&amp;$I$2,'4.2 产品详情原始数据'!$A:$BG,37,FALSE)</f>
        <v>#N/A</v>
      </c>
      <c r="K30" s="50" t="e">
        <f>VLOOKUP($H30&amp;$I$2,'4.2 产品详情原始数据'!$A:$BG,43,FALSE)</f>
        <v>#N/A</v>
      </c>
    </row>
    <row r="31" spans="1:11">
      <c r="A31" s="49" t="s">
        <v>446</v>
      </c>
      <c r="B31" s="38" t="e">
        <f>VLOOKUP($A31&amp;$B$2,'4.2 产品详情原始数据'!$A:$BG,10,FALSE)</f>
        <v>#N/A</v>
      </c>
      <c r="C31" s="38" t="e">
        <f>VLOOKUP($A31&amp;$B$2,'4.2 产品详情原始数据'!$A:$BG,37,FALSE)</f>
        <v>#N/A</v>
      </c>
      <c r="D31" s="50" t="e">
        <f>VLOOKUP($A31&amp;$B$2,'4.2 产品详情原始数据'!$A:$BG,43,FALSE)</f>
        <v>#N/A</v>
      </c>
      <c r="E31" s="71" t="e">
        <f>VLOOKUP($A31&amp;$B$2,'4.2 产品详情原始数据'!$A:$BG,7,FALSE)</f>
        <v>#N/A</v>
      </c>
      <c r="H31" s="49" t="s">
        <v>446</v>
      </c>
      <c r="I31" s="38" t="e">
        <f>VLOOKUP(H31&amp;$I$2,'4.2 产品详情原始数据'!$A:$BG,10,FALSE)</f>
        <v>#N/A</v>
      </c>
      <c r="J31" s="38" t="e">
        <f>VLOOKUP($H31&amp;$I$2,'4.2 产品详情原始数据'!$A:$BG,37,FALSE)</f>
        <v>#N/A</v>
      </c>
      <c r="K31" s="50" t="e">
        <f>VLOOKUP($H31&amp;$I$2,'4.2 产品详情原始数据'!$A:$BG,43,FALSE)</f>
        <v>#N/A</v>
      </c>
    </row>
    <row r="32" spans="1:11">
      <c r="A32" s="49" t="s">
        <v>447</v>
      </c>
      <c r="B32" s="38" t="e">
        <f>VLOOKUP($A32&amp;$B$2,'4.2 产品详情原始数据'!$A:$BG,10,FALSE)</f>
        <v>#N/A</v>
      </c>
      <c r="C32" s="38" t="e">
        <f>VLOOKUP($A32&amp;$B$2,'4.2 产品详情原始数据'!$A:$BG,37,FALSE)</f>
        <v>#N/A</v>
      </c>
      <c r="D32" s="50" t="e">
        <f>VLOOKUP($A32&amp;$B$2,'4.2 产品详情原始数据'!$A:$BG,43,FALSE)</f>
        <v>#N/A</v>
      </c>
      <c r="E32" s="71" t="e">
        <f>VLOOKUP($A32&amp;$B$2,'4.2 产品详情原始数据'!$A:$BG,7,FALSE)</f>
        <v>#N/A</v>
      </c>
      <c r="H32" s="49" t="s">
        <v>447</v>
      </c>
      <c r="I32" s="38" t="e">
        <f>VLOOKUP(H32&amp;$I$2,'4.2 产品详情原始数据'!$A:$BG,10,FALSE)</f>
        <v>#N/A</v>
      </c>
      <c r="J32" s="38" t="e">
        <f>VLOOKUP($H32&amp;$I$2,'4.2 产品详情原始数据'!$A:$BG,37,FALSE)</f>
        <v>#N/A</v>
      </c>
      <c r="K32" s="50" t="e">
        <f>VLOOKUP($H32&amp;$I$2,'4.2 产品详情原始数据'!$A:$BG,43,FALSE)</f>
        <v>#N/A</v>
      </c>
    </row>
    <row r="33" spans="1:11">
      <c r="A33" s="49" t="s">
        <v>448</v>
      </c>
      <c r="B33" s="38" t="e">
        <f>VLOOKUP($A33&amp;$B$2,'4.2 产品详情原始数据'!$A:$BG,10,FALSE)</f>
        <v>#N/A</v>
      </c>
      <c r="C33" s="38" t="e">
        <f>VLOOKUP($A33&amp;$B$2,'4.2 产品详情原始数据'!$A:$BG,37,FALSE)</f>
        <v>#N/A</v>
      </c>
      <c r="D33" s="50" t="e">
        <f>VLOOKUP($A33&amp;$B$2,'4.2 产品详情原始数据'!$A:$BG,43,FALSE)</f>
        <v>#N/A</v>
      </c>
      <c r="E33" s="71" t="e">
        <f>VLOOKUP($A33&amp;$B$2,'4.2 产品详情原始数据'!$A:$BG,7,FALSE)</f>
        <v>#N/A</v>
      </c>
      <c r="H33" s="49" t="s">
        <v>448</v>
      </c>
      <c r="I33" s="38" t="e">
        <f>VLOOKUP(H33&amp;$I$2,'4.2 产品详情原始数据'!$A:$BG,10,FALSE)</f>
        <v>#N/A</v>
      </c>
      <c r="J33" s="38" t="e">
        <f>VLOOKUP($H33&amp;$I$2,'4.2 产品详情原始数据'!$A:$BG,37,FALSE)</f>
        <v>#N/A</v>
      </c>
      <c r="K33" s="50" t="e">
        <f>VLOOKUP($H33&amp;$I$2,'4.2 产品详情原始数据'!$A:$BG,43,FALSE)</f>
        <v>#N/A</v>
      </c>
    </row>
    <row r="34" spans="1:11">
      <c r="A34" s="49" t="s">
        <v>449</v>
      </c>
      <c r="B34" s="38" t="e">
        <f>VLOOKUP($A34&amp;$B$2,'4.2 产品详情原始数据'!$A:$BG,10,FALSE)</f>
        <v>#N/A</v>
      </c>
      <c r="C34" s="38" t="e">
        <f>VLOOKUP($A34&amp;$B$2,'4.2 产品详情原始数据'!$A:$BG,37,FALSE)</f>
        <v>#N/A</v>
      </c>
      <c r="D34" s="50" t="e">
        <f>VLOOKUP($A34&amp;$B$2,'4.2 产品详情原始数据'!$A:$BG,43,FALSE)</f>
        <v>#N/A</v>
      </c>
      <c r="E34" s="71" t="e">
        <f>VLOOKUP($A34&amp;$B$2,'4.2 产品详情原始数据'!$A:$BG,7,FALSE)</f>
        <v>#N/A</v>
      </c>
      <c r="H34" s="49" t="s">
        <v>449</v>
      </c>
      <c r="I34" s="38" t="e">
        <f>VLOOKUP(H34&amp;$I$2,'4.2 产品详情原始数据'!$A:$BG,10,FALSE)</f>
        <v>#N/A</v>
      </c>
      <c r="J34" s="38" t="e">
        <f>VLOOKUP($H34&amp;$I$2,'4.2 产品详情原始数据'!$A:$BG,37,FALSE)</f>
        <v>#N/A</v>
      </c>
      <c r="K34" s="50" t="e">
        <f>VLOOKUP($H34&amp;$I$2,'4.2 产品详情原始数据'!$A:$BG,43,FALSE)</f>
        <v>#N/A</v>
      </c>
    </row>
    <row r="35" spans="1:11">
      <c r="A35" s="49" t="s">
        <v>450</v>
      </c>
      <c r="B35" s="38" t="e">
        <f>VLOOKUP($A35&amp;$B$2,'4.2 产品详情原始数据'!$A:$BG,10,FALSE)</f>
        <v>#N/A</v>
      </c>
      <c r="C35" s="38" t="e">
        <f>VLOOKUP($A35&amp;$B$2,'4.2 产品详情原始数据'!$A:$BG,37,FALSE)</f>
        <v>#N/A</v>
      </c>
      <c r="D35" s="50" t="e">
        <f>VLOOKUP($A35&amp;$B$2,'4.2 产品详情原始数据'!$A:$BG,43,FALSE)</f>
        <v>#N/A</v>
      </c>
      <c r="E35" s="71" t="e">
        <f>VLOOKUP($A35&amp;$B$2,'4.2 产品详情原始数据'!$A:$BG,7,FALSE)</f>
        <v>#N/A</v>
      </c>
      <c r="H35" s="49" t="s">
        <v>450</v>
      </c>
      <c r="I35" s="38" t="e">
        <f>VLOOKUP(H35&amp;$I$2,'4.2 产品详情原始数据'!$A:$BG,10,FALSE)</f>
        <v>#N/A</v>
      </c>
      <c r="J35" s="38" t="e">
        <f>VLOOKUP($H35&amp;$I$2,'4.2 产品详情原始数据'!$A:$BG,37,FALSE)</f>
        <v>#N/A</v>
      </c>
      <c r="K35" s="50" t="e">
        <f>VLOOKUP($H35&amp;$I$2,'4.2 产品详情原始数据'!$A:$BG,43,FALSE)</f>
        <v>#N/A</v>
      </c>
    </row>
    <row r="36" spans="1:11">
      <c r="A36" s="49" t="s">
        <v>451</v>
      </c>
      <c r="B36" s="38" t="e">
        <f>VLOOKUP($A36&amp;$B$2,'4.2 产品详情原始数据'!$A:$BG,10,FALSE)</f>
        <v>#N/A</v>
      </c>
      <c r="C36" s="38" t="e">
        <f>VLOOKUP($A36&amp;$B$2,'4.2 产品详情原始数据'!$A:$BG,37,FALSE)</f>
        <v>#N/A</v>
      </c>
      <c r="D36" s="50" t="e">
        <f>VLOOKUP($A36&amp;$B$2,'4.2 产品详情原始数据'!$A:$BG,43,FALSE)</f>
        <v>#N/A</v>
      </c>
      <c r="E36" s="71" t="e">
        <f>VLOOKUP($A36&amp;$B$2,'4.2 产品详情原始数据'!$A:$BG,7,FALSE)</f>
        <v>#N/A</v>
      </c>
      <c r="H36" s="49" t="s">
        <v>451</v>
      </c>
      <c r="I36" s="38" t="e">
        <f>VLOOKUP(H36&amp;$I$2,'4.2 产品详情原始数据'!$A:$BG,10,FALSE)</f>
        <v>#N/A</v>
      </c>
      <c r="J36" s="38" t="e">
        <f>VLOOKUP($H36&amp;$I$2,'4.2 产品详情原始数据'!$A:$BG,37,FALSE)</f>
        <v>#N/A</v>
      </c>
      <c r="K36" s="50" t="e">
        <f>VLOOKUP($H36&amp;$I$2,'4.2 产品详情原始数据'!$A:$BG,43,FALSE)</f>
        <v>#N/A</v>
      </c>
    </row>
    <row r="37" spans="1:11">
      <c r="A37" s="49" t="s">
        <v>452</v>
      </c>
      <c r="B37" s="38" t="e">
        <f>VLOOKUP($A37&amp;$B$2,'4.2 产品详情原始数据'!$A:$BG,10,FALSE)</f>
        <v>#N/A</v>
      </c>
      <c r="C37" s="38" t="e">
        <f>VLOOKUP($A37&amp;$B$2,'4.2 产品详情原始数据'!$A:$BG,37,FALSE)</f>
        <v>#N/A</v>
      </c>
      <c r="D37" s="50" t="e">
        <f>VLOOKUP($A37&amp;$B$2,'4.2 产品详情原始数据'!$A:$BG,43,FALSE)</f>
        <v>#N/A</v>
      </c>
      <c r="E37" s="71" t="e">
        <f>VLOOKUP($A37&amp;$B$2,'4.2 产品详情原始数据'!$A:$BG,7,FALSE)</f>
        <v>#N/A</v>
      </c>
      <c r="H37" s="49" t="s">
        <v>452</v>
      </c>
      <c r="I37" s="38" t="e">
        <f>VLOOKUP(H37&amp;$I$2,'4.2 产品详情原始数据'!$A:$BG,10,FALSE)</f>
        <v>#N/A</v>
      </c>
      <c r="J37" s="38" t="e">
        <f>VLOOKUP($H37&amp;$I$2,'4.2 产品详情原始数据'!$A:$BG,37,FALSE)</f>
        <v>#N/A</v>
      </c>
      <c r="K37" s="50" t="e">
        <f>VLOOKUP($H37&amp;$I$2,'4.2 产品详情原始数据'!$A:$BG,43,FALSE)</f>
        <v>#N/A</v>
      </c>
    </row>
    <row r="38" spans="1:11">
      <c r="A38" s="49" t="s">
        <v>453</v>
      </c>
      <c r="B38" s="38" t="e">
        <f>VLOOKUP($A38&amp;$B$2,'4.2 产品详情原始数据'!$A:$BG,10,FALSE)</f>
        <v>#N/A</v>
      </c>
      <c r="C38" s="38" t="e">
        <f>VLOOKUP($A38&amp;$B$2,'4.2 产品详情原始数据'!$A:$BG,37,FALSE)</f>
        <v>#N/A</v>
      </c>
      <c r="D38" s="50" t="e">
        <f>VLOOKUP($A38&amp;$B$2,'4.2 产品详情原始数据'!$A:$BG,43,FALSE)</f>
        <v>#N/A</v>
      </c>
      <c r="E38" s="71" t="e">
        <f>VLOOKUP($A38&amp;$B$2,'4.2 产品详情原始数据'!$A:$BG,7,FALSE)</f>
        <v>#N/A</v>
      </c>
      <c r="H38" s="49" t="s">
        <v>453</v>
      </c>
      <c r="I38" s="38" t="e">
        <f>VLOOKUP(H38&amp;$I$2,'4.2 产品详情原始数据'!$A:$BG,10,FALSE)</f>
        <v>#N/A</v>
      </c>
      <c r="J38" s="38" t="e">
        <f>VLOOKUP($H38&amp;$I$2,'4.2 产品详情原始数据'!$A:$BG,37,FALSE)</f>
        <v>#N/A</v>
      </c>
      <c r="K38" s="50" t="e">
        <f>VLOOKUP($H38&amp;$I$2,'4.2 产品详情原始数据'!$A:$BG,43,FALSE)</f>
        <v>#N/A</v>
      </c>
    </row>
    <row r="39" spans="1:11">
      <c r="A39" s="49" t="s">
        <v>454</v>
      </c>
      <c r="B39" s="38" t="e">
        <f>VLOOKUP($A39&amp;$B$2,'4.2 产品详情原始数据'!$A:$BG,10,FALSE)</f>
        <v>#N/A</v>
      </c>
      <c r="C39" s="38" t="e">
        <f>VLOOKUP($A39&amp;$B$2,'4.2 产品详情原始数据'!$A:$BG,37,FALSE)</f>
        <v>#N/A</v>
      </c>
      <c r="D39" s="50" t="e">
        <f>VLOOKUP($A39&amp;$B$2,'4.2 产品详情原始数据'!$A:$BG,43,FALSE)</f>
        <v>#N/A</v>
      </c>
      <c r="E39" s="71" t="e">
        <f>VLOOKUP($A39&amp;$B$2,'4.2 产品详情原始数据'!$A:$BG,7,FALSE)</f>
        <v>#N/A</v>
      </c>
      <c r="H39" s="49" t="s">
        <v>454</v>
      </c>
      <c r="I39" s="38" t="e">
        <f>VLOOKUP(H39&amp;$I$2,'4.2 产品详情原始数据'!$A:$BG,10,FALSE)</f>
        <v>#N/A</v>
      </c>
      <c r="J39" s="38" t="e">
        <f>VLOOKUP($H39&amp;$I$2,'4.2 产品详情原始数据'!$A:$BG,37,FALSE)</f>
        <v>#N/A</v>
      </c>
      <c r="K39" s="50" t="e">
        <f>VLOOKUP($H39&amp;$I$2,'4.2 产品详情原始数据'!$A:$BG,43,FALSE)</f>
        <v>#N/A</v>
      </c>
    </row>
    <row r="40" spans="1:11">
      <c r="A40" s="49" t="s">
        <v>455</v>
      </c>
      <c r="B40" s="38" t="e">
        <f>VLOOKUP($A40&amp;$B$2,'4.2 产品详情原始数据'!$A:$BG,10,FALSE)</f>
        <v>#N/A</v>
      </c>
      <c r="C40" s="38" t="e">
        <f>VLOOKUP($A40&amp;$B$2,'4.2 产品详情原始数据'!$A:$BG,37,FALSE)</f>
        <v>#N/A</v>
      </c>
      <c r="D40" s="50" t="e">
        <f>VLOOKUP($A40&amp;$B$2,'4.2 产品详情原始数据'!$A:$BG,43,FALSE)</f>
        <v>#N/A</v>
      </c>
      <c r="E40" s="71" t="e">
        <f>VLOOKUP($A40&amp;$B$2,'4.2 产品详情原始数据'!$A:$BG,7,FALSE)</f>
        <v>#N/A</v>
      </c>
      <c r="H40" s="49" t="s">
        <v>455</v>
      </c>
      <c r="I40" s="38" t="e">
        <f>VLOOKUP(H40&amp;$I$2,'4.2 产品详情原始数据'!$A:$BG,10,FALSE)</f>
        <v>#N/A</v>
      </c>
      <c r="J40" s="38" t="e">
        <f>VLOOKUP($H40&amp;$I$2,'4.2 产品详情原始数据'!$A:$BG,37,FALSE)</f>
        <v>#N/A</v>
      </c>
      <c r="K40" s="50" t="e">
        <f>VLOOKUP($H40&amp;$I$2,'4.2 产品详情原始数据'!$A:$BG,43,FALSE)</f>
        <v>#N/A</v>
      </c>
    </row>
    <row r="41" spans="1:11">
      <c r="A41" s="49" t="s">
        <v>456</v>
      </c>
      <c r="B41" s="38" t="e">
        <f>VLOOKUP($A41&amp;$B$2,'4.2 产品详情原始数据'!$A:$BG,10,FALSE)</f>
        <v>#N/A</v>
      </c>
      <c r="C41" s="38" t="e">
        <f>VLOOKUP($A41&amp;$B$2,'4.2 产品详情原始数据'!$A:$BG,37,FALSE)</f>
        <v>#N/A</v>
      </c>
      <c r="D41" s="50" t="e">
        <f>VLOOKUP($A41&amp;$B$2,'4.2 产品详情原始数据'!$A:$BG,43,FALSE)</f>
        <v>#N/A</v>
      </c>
      <c r="E41" s="71" t="e">
        <f>VLOOKUP($A41&amp;$B$2,'4.2 产品详情原始数据'!$A:$BG,7,FALSE)</f>
        <v>#N/A</v>
      </c>
      <c r="H41" s="49" t="s">
        <v>456</v>
      </c>
      <c r="I41" s="38" t="e">
        <f>VLOOKUP(H41&amp;$I$2,'4.2 产品详情原始数据'!$A:$BG,10,FALSE)</f>
        <v>#N/A</v>
      </c>
      <c r="J41" s="38" t="e">
        <f>VLOOKUP($H41&amp;$I$2,'4.2 产品详情原始数据'!$A:$BG,37,FALSE)</f>
        <v>#N/A</v>
      </c>
      <c r="K41" s="50" t="e">
        <f>VLOOKUP($H41&amp;$I$2,'4.2 产品详情原始数据'!$A:$BG,43,FALSE)</f>
        <v>#N/A</v>
      </c>
    </row>
    <row r="42" spans="1:11">
      <c r="A42" s="49" t="s">
        <v>457</v>
      </c>
      <c r="B42" s="38" t="e">
        <f>VLOOKUP($A42&amp;$B$2,'4.2 产品详情原始数据'!$A:$BG,10,FALSE)</f>
        <v>#N/A</v>
      </c>
      <c r="C42" s="38" t="e">
        <f>VLOOKUP($A42&amp;$B$2,'4.2 产品详情原始数据'!$A:$BG,37,FALSE)</f>
        <v>#N/A</v>
      </c>
      <c r="D42" s="50" t="e">
        <f>VLOOKUP($A42&amp;$B$2,'4.2 产品详情原始数据'!$A:$BG,43,FALSE)</f>
        <v>#N/A</v>
      </c>
      <c r="E42" s="71" t="e">
        <f>VLOOKUP($A42&amp;$B$2,'4.2 产品详情原始数据'!$A:$BG,7,FALSE)</f>
        <v>#N/A</v>
      </c>
      <c r="H42" s="49" t="s">
        <v>457</v>
      </c>
      <c r="I42" s="38" t="e">
        <f>VLOOKUP(H42&amp;$I$2,'4.2 产品详情原始数据'!$A:$BG,10,FALSE)</f>
        <v>#N/A</v>
      </c>
      <c r="J42" s="38" t="e">
        <f>VLOOKUP($H42&amp;$I$2,'4.2 产品详情原始数据'!$A:$BG,37,FALSE)</f>
        <v>#N/A</v>
      </c>
      <c r="K42" s="50" t="e">
        <f>VLOOKUP($H42&amp;$I$2,'4.2 产品详情原始数据'!$A:$BG,43,FALSE)</f>
        <v>#N/A</v>
      </c>
    </row>
    <row r="43" spans="1:11">
      <c r="A43" s="49" t="s">
        <v>458</v>
      </c>
      <c r="B43" s="38" t="e">
        <f>VLOOKUP($A43&amp;$B$2,'4.2 产品详情原始数据'!$A:$BG,10,FALSE)</f>
        <v>#N/A</v>
      </c>
      <c r="C43" s="38" t="e">
        <f>VLOOKUP($A43&amp;$B$2,'4.2 产品详情原始数据'!$A:$BG,37,FALSE)</f>
        <v>#N/A</v>
      </c>
      <c r="D43" s="50" t="e">
        <f>VLOOKUP($A43&amp;$B$2,'4.2 产品详情原始数据'!$A:$BG,43,FALSE)</f>
        <v>#N/A</v>
      </c>
      <c r="E43" s="71" t="e">
        <f>VLOOKUP($A43&amp;$B$2,'4.2 产品详情原始数据'!$A:$BG,7,FALSE)</f>
        <v>#N/A</v>
      </c>
      <c r="H43" s="49" t="s">
        <v>458</v>
      </c>
      <c r="I43" s="38" t="e">
        <f>VLOOKUP(H43&amp;$I$2,'4.2 产品详情原始数据'!$A:$BG,10,FALSE)</f>
        <v>#N/A</v>
      </c>
      <c r="J43" s="38" t="e">
        <f>VLOOKUP($H43&amp;$I$2,'4.2 产品详情原始数据'!$A:$BG,37,FALSE)</f>
        <v>#N/A</v>
      </c>
      <c r="K43" s="50" t="e">
        <f>VLOOKUP($H43&amp;$I$2,'4.2 产品详情原始数据'!$A:$BG,43,FALSE)</f>
        <v>#N/A</v>
      </c>
    </row>
    <row r="44" spans="1:11">
      <c r="A44" s="49" t="s">
        <v>459</v>
      </c>
      <c r="B44" s="38" t="e">
        <f>VLOOKUP($A44&amp;$B$2,'4.2 产品详情原始数据'!$A:$BG,10,FALSE)</f>
        <v>#N/A</v>
      </c>
      <c r="C44" s="38" t="e">
        <f>VLOOKUP($A44&amp;$B$2,'4.2 产品详情原始数据'!$A:$BG,37,FALSE)</f>
        <v>#N/A</v>
      </c>
      <c r="D44" s="50" t="e">
        <f>VLOOKUP($A44&amp;$B$2,'4.2 产品详情原始数据'!$A:$BG,43,FALSE)</f>
        <v>#N/A</v>
      </c>
      <c r="E44" s="71" t="e">
        <f>VLOOKUP($A44&amp;$B$2,'4.2 产品详情原始数据'!$A:$BG,7,FALSE)</f>
        <v>#N/A</v>
      </c>
      <c r="H44" s="49" t="s">
        <v>459</v>
      </c>
      <c r="I44" s="38" t="e">
        <f>VLOOKUP(H44&amp;$I$2,'4.2 产品详情原始数据'!$A:$BG,10,FALSE)</f>
        <v>#N/A</v>
      </c>
      <c r="J44" s="38" t="e">
        <f>VLOOKUP($H44&amp;$I$2,'4.2 产品详情原始数据'!$A:$BG,37,FALSE)</f>
        <v>#N/A</v>
      </c>
      <c r="K44" s="50" t="e">
        <f>VLOOKUP($H44&amp;$I$2,'4.2 产品详情原始数据'!$A:$BG,43,FALSE)</f>
        <v>#N/A</v>
      </c>
    </row>
    <row r="45" spans="1:11">
      <c r="A45" s="49" t="s">
        <v>460</v>
      </c>
      <c r="B45" s="38" t="e">
        <f>VLOOKUP($A45&amp;$B$2,'4.2 产品详情原始数据'!$A:$BG,10,FALSE)</f>
        <v>#N/A</v>
      </c>
      <c r="C45" s="38" t="e">
        <f>VLOOKUP($A45&amp;$B$2,'4.2 产品详情原始数据'!$A:$BG,37,FALSE)</f>
        <v>#N/A</v>
      </c>
      <c r="D45" s="50" t="e">
        <f>VLOOKUP($A45&amp;$B$2,'4.2 产品详情原始数据'!$A:$BG,43,FALSE)</f>
        <v>#N/A</v>
      </c>
      <c r="E45" s="71" t="e">
        <f>VLOOKUP($A45&amp;$B$2,'4.2 产品详情原始数据'!$A:$BG,7,FALSE)</f>
        <v>#N/A</v>
      </c>
      <c r="H45" s="49" t="s">
        <v>460</v>
      </c>
      <c r="I45" s="38" t="e">
        <f>VLOOKUP(H45&amp;$I$2,'4.2 产品详情原始数据'!$A:$BG,10,FALSE)</f>
        <v>#N/A</v>
      </c>
      <c r="J45" s="38" t="e">
        <f>VLOOKUP($H45&amp;$I$2,'4.2 产品详情原始数据'!$A:$BG,37,FALSE)</f>
        <v>#N/A</v>
      </c>
      <c r="K45" s="50" t="e">
        <f>VLOOKUP($H45&amp;$I$2,'4.2 产品详情原始数据'!$A:$BG,43,FALSE)</f>
        <v>#N/A</v>
      </c>
    </row>
    <row r="46" spans="1:11">
      <c r="A46" s="49" t="s">
        <v>461</v>
      </c>
      <c r="B46" s="38" t="e">
        <f>VLOOKUP($A46&amp;$B$2,'4.2 产品详情原始数据'!$A:$BG,10,FALSE)</f>
        <v>#N/A</v>
      </c>
      <c r="C46" s="38" t="e">
        <f>VLOOKUP($A46&amp;$B$2,'4.2 产品详情原始数据'!$A:$BG,37,FALSE)</f>
        <v>#N/A</v>
      </c>
      <c r="D46" s="50" t="e">
        <f>VLOOKUP($A46&amp;$B$2,'4.2 产品详情原始数据'!$A:$BG,43,FALSE)</f>
        <v>#N/A</v>
      </c>
      <c r="E46" s="71" t="e">
        <f>VLOOKUP($A46&amp;$B$2,'4.2 产品详情原始数据'!$A:$BG,7,FALSE)</f>
        <v>#N/A</v>
      </c>
      <c r="H46" s="49" t="s">
        <v>461</v>
      </c>
      <c r="I46" s="38" t="e">
        <f>VLOOKUP(H46&amp;$I$2,'4.2 产品详情原始数据'!$A:$BG,10,FALSE)</f>
        <v>#N/A</v>
      </c>
      <c r="J46" s="38" t="e">
        <f>VLOOKUP($H46&amp;$I$2,'4.2 产品详情原始数据'!$A:$BG,37,FALSE)</f>
        <v>#N/A</v>
      </c>
      <c r="K46" s="50" t="e">
        <f>VLOOKUP($H46&amp;$I$2,'4.2 产品详情原始数据'!$A:$BG,43,FALSE)</f>
        <v>#N/A</v>
      </c>
    </row>
    <row r="47" spans="1:11">
      <c r="A47" s="49" t="s">
        <v>462</v>
      </c>
      <c r="B47" s="38" t="e">
        <f>VLOOKUP($A47&amp;$B$2,'4.2 产品详情原始数据'!$A:$BG,10,FALSE)</f>
        <v>#N/A</v>
      </c>
      <c r="C47" s="38" t="e">
        <f>VLOOKUP($A47&amp;$B$2,'4.2 产品详情原始数据'!$A:$BG,37,FALSE)</f>
        <v>#N/A</v>
      </c>
      <c r="D47" s="50" t="e">
        <f>VLOOKUP($A47&amp;$B$2,'4.2 产品详情原始数据'!$A:$BG,43,FALSE)</f>
        <v>#N/A</v>
      </c>
      <c r="E47" s="71" t="e">
        <f>VLOOKUP($A47&amp;$B$2,'4.2 产品详情原始数据'!$A:$BG,7,FALSE)</f>
        <v>#N/A</v>
      </c>
      <c r="H47" s="49" t="s">
        <v>462</v>
      </c>
      <c r="I47" s="38" t="e">
        <f>VLOOKUP(H47&amp;$I$2,'4.2 产品详情原始数据'!$A:$BG,10,FALSE)</f>
        <v>#N/A</v>
      </c>
      <c r="J47" s="38" t="e">
        <f>VLOOKUP($H47&amp;$I$2,'4.2 产品详情原始数据'!$A:$BG,37,FALSE)</f>
        <v>#N/A</v>
      </c>
      <c r="K47" s="50" t="e">
        <f>VLOOKUP($H47&amp;$I$2,'4.2 产品详情原始数据'!$A:$BG,43,FALSE)</f>
        <v>#N/A</v>
      </c>
    </row>
    <row r="48" spans="1:11">
      <c r="A48" s="49" t="s">
        <v>463</v>
      </c>
      <c r="B48" s="38" t="e">
        <f>VLOOKUP($A48&amp;$B$2,'4.2 产品详情原始数据'!$A:$BG,10,FALSE)</f>
        <v>#N/A</v>
      </c>
      <c r="C48" s="38" t="e">
        <f>VLOOKUP($A48&amp;$B$2,'4.2 产品详情原始数据'!$A:$BG,37,FALSE)</f>
        <v>#N/A</v>
      </c>
      <c r="D48" s="50" t="e">
        <f>VLOOKUP($A48&amp;$B$2,'4.2 产品详情原始数据'!$A:$BG,43,FALSE)</f>
        <v>#N/A</v>
      </c>
      <c r="E48" s="71" t="e">
        <f>VLOOKUP($A48&amp;$B$2,'4.2 产品详情原始数据'!$A:$BG,7,FALSE)</f>
        <v>#N/A</v>
      </c>
      <c r="H48" s="49" t="s">
        <v>463</v>
      </c>
      <c r="I48" s="38" t="e">
        <f>VLOOKUP(H48&amp;$I$2,'4.2 产品详情原始数据'!$A:$BG,10,FALSE)</f>
        <v>#N/A</v>
      </c>
      <c r="J48" s="38" t="e">
        <f>VLOOKUP($H48&amp;$I$2,'4.2 产品详情原始数据'!$A:$BG,37,FALSE)</f>
        <v>#N/A</v>
      </c>
      <c r="K48" s="50" t="e">
        <f>VLOOKUP($H48&amp;$I$2,'4.2 产品详情原始数据'!$A:$BG,43,FALSE)</f>
        <v>#N/A</v>
      </c>
    </row>
    <row r="49" spans="1:11">
      <c r="A49" s="49" t="s">
        <v>464</v>
      </c>
      <c r="B49" s="38" t="e">
        <f>VLOOKUP($A49&amp;$B$2,'4.2 产品详情原始数据'!$A:$BG,10,FALSE)</f>
        <v>#N/A</v>
      </c>
      <c r="C49" s="38" t="e">
        <f>VLOOKUP($A49&amp;$B$2,'4.2 产品详情原始数据'!$A:$BG,37,FALSE)</f>
        <v>#N/A</v>
      </c>
      <c r="D49" s="50" t="e">
        <f>VLOOKUP($A49&amp;$B$2,'4.2 产品详情原始数据'!$A:$BG,43,FALSE)</f>
        <v>#N/A</v>
      </c>
      <c r="E49" s="71" t="e">
        <f>VLOOKUP($A49&amp;$B$2,'4.2 产品详情原始数据'!$A:$BG,7,FALSE)</f>
        <v>#N/A</v>
      </c>
      <c r="H49" s="49" t="s">
        <v>464</v>
      </c>
      <c r="I49" s="38" t="e">
        <f>VLOOKUP(H49&amp;$I$2,'4.2 产品详情原始数据'!$A:$BG,10,FALSE)</f>
        <v>#N/A</v>
      </c>
      <c r="J49" s="38" t="e">
        <f>VLOOKUP($H49&amp;$I$2,'4.2 产品详情原始数据'!$A:$BG,37,FALSE)</f>
        <v>#N/A</v>
      </c>
      <c r="K49" s="50" t="e">
        <f>VLOOKUP($H49&amp;$I$2,'4.2 产品详情原始数据'!$A:$BG,43,FALSE)</f>
        <v>#N/A</v>
      </c>
    </row>
    <row r="50" spans="1:11">
      <c r="A50" s="49" t="s">
        <v>465</v>
      </c>
      <c r="B50" s="38" t="e">
        <f>VLOOKUP($A50&amp;$B$2,'4.2 产品详情原始数据'!$A:$BG,10,FALSE)</f>
        <v>#N/A</v>
      </c>
      <c r="C50" s="38" t="e">
        <f>VLOOKUP($A50&amp;$B$2,'4.2 产品详情原始数据'!$A:$BG,37,FALSE)</f>
        <v>#N/A</v>
      </c>
      <c r="D50" s="50" t="e">
        <f>VLOOKUP($A50&amp;$B$2,'4.2 产品详情原始数据'!$A:$BG,43,FALSE)</f>
        <v>#N/A</v>
      </c>
      <c r="E50" s="71" t="e">
        <f>VLOOKUP($A50&amp;$B$2,'4.2 产品详情原始数据'!$A:$BG,7,FALSE)</f>
        <v>#N/A</v>
      </c>
      <c r="H50" s="49" t="s">
        <v>465</v>
      </c>
      <c r="I50" s="38" t="e">
        <f>VLOOKUP(H50&amp;$I$2,'4.2 产品详情原始数据'!$A:$BG,10,FALSE)</f>
        <v>#N/A</v>
      </c>
      <c r="J50" s="38" t="e">
        <f>VLOOKUP($H50&amp;$I$2,'4.2 产品详情原始数据'!$A:$BG,37,FALSE)</f>
        <v>#N/A</v>
      </c>
      <c r="K50" s="50" t="e">
        <f>VLOOKUP($H50&amp;$I$2,'4.2 产品详情原始数据'!$A:$BG,43,FALSE)</f>
        <v>#N/A</v>
      </c>
    </row>
    <row r="51" spans="1:11">
      <c r="A51" s="49" t="s">
        <v>466</v>
      </c>
      <c r="B51" s="38" t="e">
        <f>VLOOKUP($A51&amp;$B$2,'4.2 产品详情原始数据'!$A:$BG,10,FALSE)</f>
        <v>#N/A</v>
      </c>
      <c r="C51" s="38" t="e">
        <f>VLOOKUP($A51&amp;$B$2,'4.2 产品详情原始数据'!$A:$BG,37,FALSE)</f>
        <v>#N/A</v>
      </c>
      <c r="D51" s="50" t="e">
        <f>VLOOKUP($A51&amp;$B$2,'4.2 产品详情原始数据'!$A:$BG,43,FALSE)</f>
        <v>#N/A</v>
      </c>
      <c r="E51" s="71" t="e">
        <f>VLOOKUP($A51&amp;$B$2,'4.2 产品详情原始数据'!$A:$BG,7,FALSE)</f>
        <v>#N/A</v>
      </c>
      <c r="H51" s="49" t="s">
        <v>466</v>
      </c>
      <c r="I51" s="38" t="e">
        <f>VLOOKUP(H51&amp;$I$2,'4.2 产品详情原始数据'!$A:$BG,10,FALSE)</f>
        <v>#N/A</v>
      </c>
      <c r="J51" s="38" t="e">
        <f>VLOOKUP($H51&amp;$I$2,'4.2 产品详情原始数据'!$A:$BG,37,FALSE)</f>
        <v>#N/A</v>
      </c>
      <c r="K51" s="50" t="e">
        <f>VLOOKUP($H51&amp;$I$2,'4.2 产品详情原始数据'!$A:$BG,43,FALSE)</f>
        <v>#N/A</v>
      </c>
    </row>
    <row r="52" spans="1:11">
      <c r="A52" s="49" t="s">
        <v>467</v>
      </c>
      <c r="B52" s="38" t="e">
        <f>VLOOKUP($A52&amp;$B$2,'4.2 产品详情原始数据'!$A:$BG,10,FALSE)</f>
        <v>#N/A</v>
      </c>
      <c r="C52" s="38" t="e">
        <f>VLOOKUP($A52&amp;$B$2,'4.2 产品详情原始数据'!$A:$BG,37,FALSE)</f>
        <v>#N/A</v>
      </c>
      <c r="D52" s="50" t="e">
        <f>VLOOKUP($A52&amp;$B$2,'4.2 产品详情原始数据'!$A:$BG,43,FALSE)</f>
        <v>#N/A</v>
      </c>
      <c r="E52" s="71" t="e">
        <f>VLOOKUP($A52&amp;$B$2,'4.2 产品详情原始数据'!$A:$BG,7,FALSE)</f>
        <v>#N/A</v>
      </c>
      <c r="H52" s="49" t="s">
        <v>467</v>
      </c>
      <c r="I52" s="38" t="e">
        <f>VLOOKUP(H52&amp;$I$2,'4.2 产品详情原始数据'!$A:$BG,10,FALSE)</f>
        <v>#N/A</v>
      </c>
      <c r="J52" s="38" t="e">
        <f>VLOOKUP($H52&amp;$I$2,'4.2 产品详情原始数据'!$A:$BG,37,FALSE)</f>
        <v>#N/A</v>
      </c>
      <c r="K52" s="50" t="e">
        <f>VLOOKUP($H52&amp;$I$2,'4.2 产品详情原始数据'!$A:$BG,43,FALSE)</f>
        <v>#N/A</v>
      </c>
    </row>
    <row r="53" spans="1:11">
      <c r="A53" s="49" t="s">
        <v>468</v>
      </c>
      <c r="B53" s="38" t="e">
        <f>VLOOKUP($A53&amp;$B$2,'4.2 产品详情原始数据'!$A:$BG,10,FALSE)</f>
        <v>#N/A</v>
      </c>
      <c r="C53" s="38" t="e">
        <f>VLOOKUP($A53&amp;$B$2,'4.2 产品详情原始数据'!$A:$BG,37,FALSE)</f>
        <v>#N/A</v>
      </c>
      <c r="D53" s="50" t="e">
        <f>VLOOKUP($A53&amp;$B$2,'4.2 产品详情原始数据'!$A:$BG,43,FALSE)</f>
        <v>#N/A</v>
      </c>
      <c r="E53" s="71" t="e">
        <f>VLOOKUP($A53&amp;$B$2,'4.2 产品详情原始数据'!$A:$BG,7,FALSE)</f>
        <v>#N/A</v>
      </c>
      <c r="H53" s="49" t="s">
        <v>468</v>
      </c>
      <c r="I53" s="38" t="e">
        <f>VLOOKUP(H53&amp;$I$2,'4.2 产品详情原始数据'!$A:$BG,10,FALSE)</f>
        <v>#N/A</v>
      </c>
      <c r="J53" s="38" t="e">
        <f>VLOOKUP($H53&amp;$I$2,'4.2 产品详情原始数据'!$A:$BG,37,FALSE)</f>
        <v>#N/A</v>
      </c>
      <c r="K53" s="50" t="e">
        <f>VLOOKUP($H53&amp;$I$2,'4.2 产品详情原始数据'!$A:$BG,43,FALSE)</f>
        <v>#N/A</v>
      </c>
    </row>
    <row r="54" spans="1:11">
      <c r="A54" s="49" t="s">
        <v>469</v>
      </c>
      <c r="B54" s="38" t="e">
        <f>VLOOKUP($A54&amp;$B$2,'4.2 产品详情原始数据'!$A:$BG,10,FALSE)</f>
        <v>#N/A</v>
      </c>
      <c r="C54" s="38" t="e">
        <f>VLOOKUP($A54&amp;$B$2,'4.2 产品详情原始数据'!$A:$BG,37,FALSE)</f>
        <v>#N/A</v>
      </c>
      <c r="D54" s="50" t="e">
        <f>VLOOKUP($A54&amp;$B$2,'4.2 产品详情原始数据'!$A:$BG,43,FALSE)</f>
        <v>#N/A</v>
      </c>
      <c r="E54" s="71" t="e">
        <f>VLOOKUP($A54&amp;$B$2,'4.2 产品详情原始数据'!$A:$BG,7,FALSE)</f>
        <v>#N/A</v>
      </c>
      <c r="H54" s="49" t="s">
        <v>469</v>
      </c>
      <c r="I54" s="38" t="e">
        <f>VLOOKUP(H54&amp;$I$2,'4.2 产品详情原始数据'!$A:$BG,10,FALSE)</f>
        <v>#N/A</v>
      </c>
      <c r="J54" s="38" t="e">
        <f>VLOOKUP($H54&amp;$I$2,'4.2 产品详情原始数据'!$A:$BG,37,FALSE)</f>
        <v>#N/A</v>
      </c>
      <c r="K54" s="50" t="e">
        <f>VLOOKUP($H54&amp;$I$2,'4.2 产品详情原始数据'!$A:$BG,43,FALSE)</f>
        <v>#N/A</v>
      </c>
    </row>
    <row r="55" spans="1:11">
      <c r="A55" s="49" t="s">
        <v>470</v>
      </c>
      <c r="B55" s="38" t="e">
        <f>VLOOKUP($A55&amp;$B$2,'4.2 产品详情原始数据'!$A:$BG,10,FALSE)</f>
        <v>#N/A</v>
      </c>
      <c r="C55" s="38" t="e">
        <f>VLOOKUP($A55&amp;$B$2,'4.2 产品详情原始数据'!$A:$BG,37,FALSE)</f>
        <v>#N/A</v>
      </c>
      <c r="D55" s="50" t="e">
        <f>VLOOKUP($A55&amp;$B$2,'4.2 产品详情原始数据'!$A:$BG,43,FALSE)</f>
        <v>#N/A</v>
      </c>
      <c r="E55" s="71" t="e">
        <f>VLOOKUP($A55&amp;$B$2,'4.2 产品详情原始数据'!$A:$BG,7,FALSE)</f>
        <v>#N/A</v>
      </c>
      <c r="H55" s="49" t="s">
        <v>470</v>
      </c>
      <c r="I55" s="38" t="e">
        <f>VLOOKUP(H55&amp;$I$2,'4.2 产品详情原始数据'!$A:$BG,10,FALSE)</f>
        <v>#N/A</v>
      </c>
      <c r="J55" s="38" t="e">
        <f>VLOOKUP($H55&amp;$I$2,'4.2 产品详情原始数据'!$A:$BG,37,FALSE)</f>
        <v>#N/A</v>
      </c>
      <c r="K55" s="50" t="e">
        <f>VLOOKUP($H55&amp;$I$2,'4.2 产品详情原始数据'!$A:$BG,43,FALSE)</f>
        <v>#N/A</v>
      </c>
    </row>
    <row r="56" spans="1:11">
      <c r="A56" s="49" t="s">
        <v>471</v>
      </c>
      <c r="B56" s="38" t="e">
        <f>VLOOKUP($A56&amp;$B$2,'4.2 产品详情原始数据'!$A:$BG,10,FALSE)</f>
        <v>#N/A</v>
      </c>
      <c r="C56" s="38" t="e">
        <f>VLOOKUP($A56&amp;$B$2,'4.2 产品详情原始数据'!$A:$BG,37,FALSE)</f>
        <v>#N/A</v>
      </c>
      <c r="D56" s="50" t="e">
        <f>VLOOKUP($A56&amp;$B$2,'4.2 产品详情原始数据'!$A:$BG,43,FALSE)</f>
        <v>#N/A</v>
      </c>
      <c r="E56" s="71" t="e">
        <f>VLOOKUP($A56&amp;$B$2,'4.2 产品详情原始数据'!$A:$BG,7,FALSE)</f>
        <v>#N/A</v>
      </c>
      <c r="H56" s="49" t="s">
        <v>471</v>
      </c>
      <c r="I56" s="38" t="e">
        <f>VLOOKUP(H56&amp;$I$2,'4.2 产品详情原始数据'!$A:$BG,10,FALSE)</f>
        <v>#N/A</v>
      </c>
      <c r="J56" s="38" t="e">
        <f>VLOOKUP($H56&amp;$I$2,'4.2 产品详情原始数据'!$A:$BG,37,FALSE)</f>
        <v>#N/A</v>
      </c>
      <c r="K56" s="50" t="e">
        <f>VLOOKUP($H56&amp;$I$2,'4.2 产品详情原始数据'!$A:$BG,43,FALSE)</f>
        <v>#N/A</v>
      </c>
    </row>
    <row r="57" spans="1:11">
      <c r="A57" s="49" t="s">
        <v>472</v>
      </c>
      <c r="B57" s="38" t="e">
        <f>VLOOKUP($A57&amp;$B$2,'4.2 产品详情原始数据'!$A:$BG,10,FALSE)</f>
        <v>#N/A</v>
      </c>
      <c r="C57" s="38" t="e">
        <f>VLOOKUP($A57&amp;$B$2,'4.2 产品详情原始数据'!$A:$BG,37,FALSE)</f>
        <v>#N/A</v>
      </c>
      <c r="D57" s="50" t="e">
        <f>VLOOKUP($A57&amp;$B$2,'4.2 产品详情原始数据'!$A:$BG,43,FALSE)</f>
        <v>#N/A</v>
      </c>
      <c r="E57" s="71" t="e">
        <f>VLOOKUP($A57&amp;$B$2,'4.2 产品详情原始数据'!$A:$BG,7,FALSE)</f>
        <v>#N/A</v>
      </c>
      <c r="H57" s="49" t="s">
        <v>472</v>
      </c>
      <c r="I57" s="38" t="e">
        <f>VLOOKUP(H57&amp;$I$2,'4.2 产品详情原始数据'!$A:$BG,10,FALSE)</f>
        <v>#N/A</v>
      </c>
      <c r="J57" s="38" t="e">
        <f>VLOOKUP($H57&amp;$I$2,'4.2 产品详情原始数据'!$A:$BG,37,FALSE)</f>
        <v>#N/A</v>
      </c>
      <c r="K57" s="50" t="e">
        <f>VLOOKUP($H57&amp;$I$2,'4.2 产品详情原始数据'!$A:$BG,43,FALSE)</f>
        <v>#N/A</v>
      </c>
    </row>
    <row r="58" spans="1:11">
      <c r="A58" s="49"/>
      <c r="D58" s="50"/>
      <c r="E58" s="50"/>
      <c r="H58" s="49"/>
      <c r="K58" s="50"/>
    </row>
    <row r="59" spans="1:11">
      <c r="A59" s="49"/>
      <c r="D59" s="50"/>
      <c r="E59" s="50"/>
      <c r="H59" s="49"/>
      <c r="K59" s="50"/>
    </row>
    <row r="60" spans="1:11">
      <c r="A60" s="49"/>
      <c r="D60" s="50"/>
      <c r="E60" s="50"/>
      <c r="H60" s="49"/>
      <c r="K60" s="50"/>
    </row>
    <row r="61" spans="1:11">
      <c r="A61" s="49"/>
      <c r="D61" s="50"/>
      <c r="E61" s="50"/>
      <c r="H61" s="49"/>
      <c r="K61" s="50"/>
    </row>
    <row r="62" spans="1:11">
      <c r="A62" s="49"/>
      <c r="D62" s="50"/>
      <c r="E62" s="50"/>
      <c r="H62" s="49"/>
      <c r="K62" s="50"/>
    </row>
    <row r="63" spans="1:11">
      <c r="A63" s="49"/>
      <c r="D63" s="50"/>
      <c r="E63" s="50"/>
      <c r="H63" s="49"/>
      <c r="K63" s="50"/>
    </row>
    <row r="64" spans="1:11">
      <c r="A64" s="49"/>
      <c r="D64" s="50"/>
      <c r="E64" s="50"/>
      <c r="H64" s="49"/>
      <c r="K64" s="50"/>
    </row>
    <row r="65" spans="1:35">
      <c r="A65" s="49"/>
      <c r="D65" s="50"/>
      <c r="E65" s="50"/>
      <c r="H65" s="49"/>
      <c r="K65" s="50"/>
    </row>
    <row r="66" spans="1:35">
      <c r="A66" s="49"/>
      <c r="D66" s="50"/>
      <c r="E66" s="50"/>
      <c r="H66" s="49"/>
      <c r="K66" s="50"/>
    </row>
    <row r="67" spans="1:35">
      <c r="A67" s="49"/>
      <c r="D67" s="50"/>
      <c r="E67" s="50"/>
      <c r="H67" s="49"/>
      <c r="K67" s="50"/>
    </row>
    <row r="68" spans="1:35">
      <c r="A68" s="49"/>
      <c r="H68" s="49"/>
    </row>
    <row r="69" spans="1:35">
      <c r="A69" s="49"/>
      <c r="V69"/>
      <c r="W69"/>
      <c r="X69"/>
      <c r="AF69" t="s">
        <v>473</v>
      </c>
      <c r="AG69" t="s">
        <v>474</v>
      </c>
    </row>
    <row r="70" spans="1:35">
      <c r="A70" s="71"/>
      <c r="V70"/>
      <c r="W70"/>
      <c r="X70"/>
      <c r="AF70" t="s">
        <v>475</v>
      </c>
      <c r="AG70" t="s">
        <v>5</v>
      </c>
      <c r="AH70" t="s">
        <v>261</v>
      </c>
      <c r="AI70" t="s">
        <v>476</v>
      </c>
    </row>
    <row r="71" spans="1:35">
      <c r="A71"/>
      <c r="B71"/>
      <c r="C71"/>
      <c r="D71"/>
      <c r="E71"/>
      <c r="F71"/>
      <c r="H71"/>
      <c r="I71"/>
      <c r="J71"/>
      <c r="K71"/>
      <c r="L71"/>
      <c r="M71"/>
      <c r="O71"/>
      <c r="P71"/>
      <c r="Q71"/>
      <c r="R71"/>
      <c r="S71"/>
      <c r="T71"/>
      <c r="V71"/>
      <c r="W71"/>
      <c r="X71"/>
      <c r="AF71" t="s">
        <v>477</v>
      </c>
      <c r="AG71">
        <v>0</v>
      </c>
      <c r="AH71">
        <v>0</v>
      </c>
      <c r="AI71">
        <v>0</v>
      </c>
    </row>
    <row r="72" spans="1:35">
      <c r="A72"/>
      <c r="B72"/>
      <c r="C72"/>
      <c r="D72"/>
      <c r="E72"/>
      <c r="F72"/>
      <c r="H72"/>
      <c r="I72"/>
      <c r="J72"/>
      <c r="K72"/>
      <c r="L72"/>
      <c r="M72"/>
      <c r="O72"/>
      <c r="P72"/>
      <c r="Q72"/>
      <c r="R72"/>
      <c r="S72"/>
      <c r="T72"/>
      <c r="V72"/>
      <c r="W72"/>
      <c r="X72"/>
      <c r="AF72" t="s">
        <v>478</v>
      </c>
      <c r="AG72">
        <v>0</v>
      </c>
      <c r="AH72">
        <v>0</v>
      </c>
      <c r="AI72">
        <v>0</v>
      </c>
    </row>
    <row r="73" spans="1:35">
      <c r="A73"/>
      <c r="B73"/>
      <c r="C73"/>
      <c r="D73"/>
      <c r="E73"/>
      <c r="F73"/>
      <c r="H73"/>
      <c r="I73"/>
      <c r="J73"/>
      <c r="K73"/>
      <c r="L73"/>
      <c r="M73"/>
      <c r="O73"/>
      <c r="P73"/>
      <c r="Q73"/>
      <c r="R73"/>
      <c r="S73"/>
      <c r="T73"/>
      <c r="V73"/>
      <c r="W73"/>
      <c r="X73"/>
      <c r="AF73" t="s">
        <v>479</v>
      </c>
      <c r="AG73">
        <v>0</v>
      </c>
      <c r="AH73">
        <v>0</v>
      </c>
      <c r="AI73">
        <v>0</v>
      </c>
    </row>
    <row r="74" spans="1:35">
      <c r="A74"/>
      <c r="B74"/>
      <c r="C74"/>
      <c r="D74"/>
      <c r="E74"/>
      <c r="F74"/>
      <c r="H74"/>
      <c r="I74"/>
      <c r="J74"/>
      <c r="K74"/>
      <c r="L74"/>
      <c r="M74"/>
      <c r="N74"/>
      <c r="O74"/>
      <c r="P74"/>
      <c r="Q74"/>
      <c r="R74"/>
      <c r="S74"/>
      <c r="T74"/>
      <c r="V74"/>
      <c r="W74"/>
      <c r="X74"/>
      <c r="AF74" t="s">
        <v>419</v>
      </c>
      <c r="AG74">
        <v>29</v>
      </c>
      <c r="AH74">
        <v>25</v>
      </c>
      <c r="AI74">
        <v>54</v>
      </c>
    </row>
    <row r="75" spans="1:35">
      <c r="A75"/>
      <c r="B75"/>
      <c r="C75"/>
      <c r="D75"/>
      <c r="E75"/>
      <c r="F75"/>
      <c r="H75"/>
      <c r="I75"/>
      <c r="J75"/>
      <c r="K75"/>
      <c r="L75"/>
      <c r="M75"/>
      <c r="O75"/>
      <c r="P75"/>
      <c r="Q75"/>
      <c r="R75"/>
      <c r="S75"/>
      <c r="T75"/>
      <c r="V75"/>
      <c r="W75"/>
      <c r="X75"/>
      <c r="AF75" t="s">
        <v>420</v>
      </c>
      <c r="AG75">
        <v>25</v>
      </c>
      <c r="AH75">
        <v>16</v>
      </c>
      <c r="AI75">
        <v>41</v>
      </c>
    </row>
    <row r="76" spans="1:35">
      <c r="A76" t="s">
        <v>473</v>
      </c>
      <c r="B76" t="s">
        <v>474</v>
      </c>
      <c r="C76"/>
      <c r="D76"/>
      <c r="E76"/>
      <c r="F76"/>
      <c r="H76" t="s">
        <v>480</v>
      </c>
      <c r="I76" t="s">
        <v>474</v>
      </c>
      <c r="J76"/>
      <c r="K76"/>
      <c r="L76"/>
      <c r="M76"/>
      <c r="N76" t="s">
        <v>481</v>
      </c>
      <c r="O76" t="s">
        <v>474</v>
      </c>
      <c r="P76"/>
      <c r="Q76"/>
      <c r="R76"/>
      <c r="S76"/>
      <c r="T76"/>
      <c r="V76"/>
      <c r="W76"/>
      <c r="X76"/>
      <c r="AF76" t="s">
        <v>421</v>
      </c>
      <c r="AG76">
        <v>17</v>
      </c>
      <c r="AH76">
        <v>28</v>
      </c>
      <c r="AI76">
        <v>45</v>
      </c>
    </row>
    <row r="77" spans="1:35">
      <c r="A77" t="s">
        <v>475</v>
      </c>
      <c r="B77" t="s">
        <v>5</v>
      </c>
      <c r="C77" t="s">
        <v>261</v>
      </c>
      <c r="D77" t="s">
        <v>476</v>
      </c>
      <c r="E77"/>
      <c r="F77"/>
      <c r="H77" t="s">
        <v>475</v>
      </c>
      <c r="I77" t="s">
        <v>5</v>
      </c>
      <c r="J77" t="s">
        <v>261</v>
      </c>
      <c r="K77" t="s">
        <v>476</v>
      </c>
      <c r="L77"/>
      <c r="M77"/>
      <c r="N77" t="s">
        <v>475</v>
      </c>
      <c r="O77" t="s">
        <v>5</v>
      </c>
      <c r="P77" t="s">
        <v>261</v>
      </c>
      <c r="Q77" t="s">
        <v>476</v>
      </c>
      <c r="R77"/>
      <c r="S77"/>
      <c r="T77"/>
      <c r="V77"/>
      <c r="W77"/>
      <c r="X77"/>
      <c r="AF77" t="s">
        <v>422</v>
      </c>
      <c r="AG77">
        <v>32</v>
      </c>
      <c r="AH77">
        <v>37</v>
      </c>
      <c r="AI77">
        <v>69</v>
      </c>
    </row>
    <row r="78" spans="1:35">
      <c r="A78" t="s">
        <v>477</v>
      </c>
      <c r="B78">
        <v>0</v>
      </c>
      <c r="C78">
        <v>0</v>
      </c>
      <c r="D78">
        <v>0</v>
      </c>
      <c r="E78"/>
      <c r="F78"/>
      <c r="H78" t="s">
        <v>477</v>
      </c>
      <c r="I78">
        <v>0</v>
      </c>
      <c r="J78">
        <v>0</v>
      </c>
      <c r="K78">
        <v>0</v>
      </c>
      <c r="L78"/>
      <c r="M78"/>
      <c r="N78" t="s">
        <v>477</v>
      </c>
      <c r="O78" s="72">
        <v>0</v>
      </c>
      <c r="P78" s="72">
        <v>0</v>
      </c>
      <c r="Q78" s="72">
        <v>0</v>
      </c>
      <c r="R78"/>
      <c r="S78"/>
      <c r="T78"/>
      <c r="V78"/>
      <c r="W78"/>
      <c r="X78"/>
      <c r="AF78" t="s">
        <v>423</v>
      </c>
      <c r="AG78">
        <v>40</v>
      </c>
      <c r="AH78">
        <v>47</v>
      </c>
      <c r="AI78">
        <v>87</v>
      </c>
    </row>
    <row r="79" spans="1:35">
      <c r="A79" t="s">
        <v>478</v>
      </c>
      <c r="B79">
        <v>0</v>
      </c>
      <c r="C79">
        <v>0</v>
      </c>
      <c r="D79">
        <v>0</v>
      </c>
      <c r="E79"/>
      <c r="F79"/>
      <c r="H79" t="s">
        <v>478</v>
      </c>
      <c r="I79">
        <v>0</v>
      </c>
      <c r="J79">
        <v>0</v>
      </c>
      <c r="K79">
        <v>0</v>
      </c>
      <c r="L79"/>
      <c r="M79"/>
      <c r="N79" t="s">
        <v>478</v>
      </c>
      <c r="O79" s="72">
        <v>0</v>
      </c>
      <c r="P79" s="72">
        <v>0</v>
      </c>
      <c r="Q79" s="72">
        <v>0</v>
      </c>
      <c r="R79"/>
      <c r="S79"/>
      <c r="T79"/>
      <c r="V79"/>
      <c r="W79"/>
      <c r="X79"/>
      <c r="AF79" t="s">
        <v>424</v>
      </c>
      <c r="AG79">
        <v>54</v>
      </c>
      <c r="AH79">
        <v>50</v>
      </c>
      <c r="AI79">
        <v>104</v>
      </c>
    </row>
    <row r="80" spans="1:35">
      <c r="A80" t="s">
        <v>479</v>
      </c>
      <c r="B80">
        <v>0</v>
      </c>
      <c r="C80">
        <v>0</v>
      </c>
      <c r="D80">
        <v>0</v>
      </c>
      <c r="E80"/>
      <c r="F80"/>
      <c r="H80" t="s">
        <v>479</v>
      </c>
      <c r="I80">
        <v>0</v>
      </c>
      <c r="J80">
        <v>0</v>
      </c>
      <c r="K80">
        <v>0</v>
      </c>
      <c r="L80"/>
      <c r="M80"/>
      <c r="N80" t="s">
        <v>479</v>
      </c>
      <c r="O80" s="72">
        <v>0</v>
      </c>
      <c r="P80" s="72">
        <v>0</v>
      </c>
      <c r="Q80" s="72">
        <v>0</v>
      </c>
      <c r="R80"/>
      <c r="S80"/>
      <c r="T80"/>
      <c r="V80"/>
      <c r="W80"/>
      <c r="X80"/>
      <c r="AF80" t="s">
        <v>425</v>
      </c>
      <c r="AG80">
        <v>46</v>
      </c>
      <c r="AH80">
        <v>34</v>
      </c>
      <c r="AI80">
        <v>80</v>
      </c>
    </row>
    <row r="81" spans="1:35">
      <c r="A81" t="s">
        <v>419</v>
      </c>
      <c r="B81">
        <v>29</v>
      </c>
      <c r="C81">
        <v>25</v>
      </c>
      <c r="D81">
        <v>54</v>
      </c>
      <c r="E81"/>
      <c r="F81"/>
      <c r="H81" t="s">
        <v>419</v>
      </c>
      <c r="I81">
        <v>2</v>
      </c>
      <c r="J81">
        <v>1</v>
      </c>
      <c r="K81">
        <v>3</v>
      </c>
      <c r="L81"/>
      <c r="M81"/>
      <c r="N81" t="s">
        <v>419</v>
      </c>
      <c r="O81" s="72">
        <v>0.069</v>
      </c>
      <c r="P81" s="72">
        <v>0.04</v>
      </c>
      <c r="Q81" s="72">
        <v>0.109</v>
      </c>
      <c r="R81"/>
      <c r="S81"/>
      <c r="T81"/>
      <c r="V81"/>
      <c r="W81"/>
      <c r="X81"/>
      <c r="AF81" t="s">
        <v>426</v>
      </c>
      <c r="AG81">
        <v>78</v>
      </c>
      <c r="AH81">
        <v>48</v>
      </c>
      <c r="AI81">
        <v>126</v>
      </c>
    </row>
    <row r="82" spans="1:35">
      <c r="A82" t="s">
        <v>420</v>
      </c>
      <c r="B82">
        <v>25</v>
      </c>
      <c r="C82">
        <v>16</v>
      </c>
      <c r="D82">
        <v>41</v>
      </c>
      <c r="E82"/>
      <c r="F82"/>
      <c r="H82" t="s">
        <v>420</v>
      </c>
      <c r="I82">
        <v>1</v>
      </c>
      <c r="J82">
        <v>0</v>
      </c>
      <c r="K82">
        <v>1</v>
      </c>
      <c r="L82"/>
      <c r="M82"/>
      <c r="N82" t="s">
        <v>420</v>
      </c>
      <c r="O82" s="72">
        <v>0.04</v>
      </c>
      <c r="P82" s="72">
        <v>0</v>
      </c>
      <c r="Q82" s="72">
        <v>0.04</v>
      </c>
      <c r="R82"/>
      <c r="S82"/>
      <c r="T82"/>
      <c r="V82"/>
      <c r="W82"/>
      <c r="X82"/>
      <c r="AF82" t="s">
        <v>427</v>
      </c>
      <c r="AG82">
        <v>71</v>
      </c>
      <c r="AH82">
        <v>62</v>
      </c>
      <c r="AI82">
        <v>133</v>
      </c>
    </row>
    <row r="83" spans="1:35">
      <c r="A83" t="s">
        <v>421</v>
      </c>
      <c r="B83">
        <v>17</v>
      </c>
      <c r="C83">
        <v>28</v>
      </c>
      <c r="D83">
        <v>45</v>
      </c>
      <c r="E83"/>
      <c r="F83"/>
      <c r="H83" t="s">
        <v>421</v>
      </c>
      <c r="I83">
        <v>0</v>
      </c>
      <c r="J83">
        <v>1</v>
      </c>
      <c r="K83">
        <v>1</v>
      </c>
      <c r="L83"/>
      <c r="M83"/>
      <c r="N83" t="s">
        <v>421</v>
      </c>
      <c r="O83" s="72">
        <v>0</v>
      </c>
      <c r="P83" s="72">
        <v>0.0357</v>
      </c>
      <c r="Q83" s="72">
        <v>0.0357</v>
      </c>
      <c r="R83"/>
      <c r="S83"/>
      <c r="T83"/>
      <c r="V83"/>
      <c r="W83"/>
      <c r="X83"/>
      <c r="AF83" t="s">
        <v>428</v>
      </c>
      <c r="AG83">
        <v>85</v>
      </c>
      <c r="AH83">
        <v>52</v>
      </c>
      <c r="AI83">
        <v>137</v>
      </c>
    </row>
    <row r="84" spans="1:35">
      <c r="A84" t="s">
        <v>422</v>
      </c>
      <c r="B84">
        <v>32</v>
      </c>
      <c r="C84">
        <v>37</v>
      </c>
      <c r="D84">
        <v>69</v>
      </c>
      <c r="E84"/>
      <c r="F84"/>
      <c r="H84" t="s">
        <v>422</v>
      </c>
      <c r="I84">
        <v>1</v>
      </c>
      <c r="J84">
        <v>5</v>
      </c>
      <c r="K84">
        <v>6</v>
      </c>
      <c r="L84"/>
      <c r="M84"/>
      <c r="N84" t="s">
        <v>422</v>
      </c>
      <c r="O84" s="72">
        <v>0.0312</v>
      </c>
      <c r="P84" s="72">
        <v>0.1351</v>
      </c>
      <c r="Q84" s="72">
        <v>0.1663</v>
      </c>
      <c r="R84"/>
      <c r="S84"/>
      <c r="T84"/>
      <c r="V84"/>
      <c r="W84"/>
      <c r="X84"/>
      <c r="AF84" t="s">
        <v>429</v>
      </c>
      <c r="AG84">
        <v>94</v>
      </c>
      <c r="AH84">
        <v>61</v>
      </c>
      <c r="AI84">
        <v>155</v>
      </c>
    </row>
    <row r="85" spans="1:35">
      <c r="A85" t="s">
        <v>423</v>
      </c>
      <c r="B85">
        <v>40</v>
      </c>
      <c r="C85">
        <v>47</v>
      </c>
      <c r="D85">
        <v>87</v>
      </c>
      <c r="E85"/>
      <c r="F85"/>
      <c r="H85" t="s">
        <v>423</v>
      </c>
      <c r="I85">
        <v>3</v>
      </c>
      <c r="J85">
        <v>2</v>
      </c>
      <c r="K85">
        <v>5</v>
      </c>
      <c r="L85"/>
      <c r="M85"/>
      <c r="N85" t="s">
        <v>423</v>
      </c>
      <c r="O85" s="72">
        <v>0.075</v>
      </c>
      <c r="P85" s="72">
        <v>0.0426</v>
      </c>
      <c r="Q85" s="72">
        <v>0.1176</v>
      </c>
      <c r="R85"/>
      <c r="S85"/>
      <c r="T85"/>
      <c r="V85"/>
      <c r="W85"/>
      <c r="X85"/>
      <c r="AF85" t="s">
        <v>430</v>
      </c>
      <c r="AG85">
        <v>124</v>
      </c>
      <c r="AH85">
        <v>81</v>
      </c>
      <c r="AI85">
        <v>205</v>
      </c>
    </row>
    <row r="86" spans="1:35">
      <c r="A86" t="s">
        <v>424</v>
      </c>
      <c r="B86">
        <v>54</v>
      </c>
      <c r="C86">
        <v>50</v>
      </c>
      <c r="D86">
        <v>104</v>
      </c>
      <c r="E86"/>
      <c r="F86"/>
      <c r="H86" t="s">
        <v>424</v>
      </c>
      <c r="I86">
        <v>3</v>
      </c>
      <c r="J86">
        <v>1</v>
      </c>
      <c r="K86">
        <v>4</v>
      </c>
      <c r="L86"/>
      <c r="M86"/>
      <c r="N86" t="s">
        <v>424</v>
      </c>
      <c r="O86" s="72">
        <v>0.0556</v>
      </c>
      <c r="P86" s="72">
        <v>0.02</v>
      </c>
      <c r="Q86" s="72">
        <v>0.0756</v>
      </c>
      <c r="R86"/>
      <c r="S86"/>
      <c r="T86"/>
      <c r="V86"/>
      <c r="W86"/>
      <c r="X86"/>
      <c r="AF86" t="s">
        <v>431</v>
      </c>
      <c r="AG86">
        <v>149</v>
      </c>
      <c r="AH86">
        <v>90</v>
      </c>
      <c r="AI86">
        <v>239</v>
      </c>
    </row>
    <row r="87" spans="1:35">
      <c r="A87" t="s">
        <v>425</v>
      </c>
      <c r="B87">
        <v>46</v>
      </c>
      <c r="C87">
        <v>34</v>
      </c>
      <c r="D87">
        <v>80</v>
      </c>
      <c r="E87"/>
      <c r="F87"/>
      <c r="H87" t="s">
        <v>425</v>
      </c>
      <c r="I87">
        <v>9</v>
      </c>
      <c r="J87">
        <v>1</v>
      </c>
      <c r="K87">
        <v>10</v>
      </c>
      <c r="L87"/>
      <c r="M87"/>
      <c r="N87" t="s">
        <v>425</v>
      </c>
      <c r="O87" s="72">
        <v>0.1957</v>
      </c>
      <c r="P87" s="72">
        <v>0.0294</v>
      </c>
      <c r="Q87" s="72">
        <v>0.2251</v>
      </c>
      <c r="R87"/>
      <c r="S87"/>
      <c r="T87"/>
      <c r="V87"/>
      <c r="W87"/>
      <c r="X87"/>
      <c r="AF87" t="s">
        <v>432</v>
      </c>
      <c r="AG87">
        <v>203</v>
      </c>
      <c r="AH87">
        <v>129</v>
      </c>
      <c r="AI87">
        <v>332</v>
      </c>
    </row>
    <row r="88" spans="1:35">
      <c r="A88" t="s">
        <v>426</v>
      </c>
      <c r="B88">
        <v>78</v>
      </c>
      <c r="C88">
        <v>48</v>
      </c>
      <c r="D88">
        <v>126</v>
      </c>
      <c r="E88"/>
      <c r="F88"/>
      <c r="H88" t="s">
        <v>426</v>
      </c>
      <c r="I88">
        <v>5</v>
      </c>
      <c r="J88">
        <v>5</v>
      </c>
      <c r="K88">
        <v>10</v>
      </c>
      <c r="L88"/>
      <c r="M88"/>
      <c r="N88" t="s">
        <v>426</v>
      </c>
      <c r="O88" s="72">
        <v>0.0641</v>
      </c>
      <c r="P88" s="72">
        <v>0.1042</v>
      </c>
      <c r="Q88" s="72">
        <v>0.1683</v>
      </c>
      <c r="R88"/>
      <c r="S88"/>
      <c r="T88"/>
      <c r="V88"/>
      <c r="W88"/>
      <c r="X88"/>
      <c r="AF88" t="s">
        <v>433</v>
      </c>
      <c r="AG88">
        <v>138</v>
      </c>
      <c r="AH88">
        <v>77</v>
      </c>
      <c r="AI88">
        <v>215</v>
      </c>
    </row>
    <row r="89" spans="1:35">
      <c r="A89" t="s">
        <v>427</v>
      </c>
      <c r="B89">
        <v>71</v>
      </c>
      <c r="C89">
        <v>62</v>
      </c>
      <c r="D89">
        <v>133</v>
      </c>
      <c r="E89"/>
      <c r="F89"/>
      <c r="H89" t="s">
        <v>427</v>
      </c>
      <c r="I89">
        <v>9</v>
      </c>
      <c r="J89">
        <v>3</v>
      </c>
      <c r="K89">
        <v>12</v>
      </c>
      <c r="L89"/>
      <c r="M89"/>
      <c r="N89" t="s">
        <v>427</v>
      </c>
      <c r="O89" s="72">
        <v>0.1268</v>
      </c>
      <c r="P89" s="72">
        <v>0.0484</v>
      </c>
      <c r="Q89" s="72">
        <v>0.1752</v>
      </c>
      <c r="R89"/>
      <c r="S89"/>
      <c r="T89"/>
      <c r="V89"/>
      <c r="W89"/>
      <c r="X89"/>
      <c r="AF89" t="s">
        <v>434</v>
      </c>
      <c r="AG89">
        <v>142</v>
      </c>
      <c r="AH89">
        <v>62</v>
      </c>
      <c r="AI89">
        <v>204</v>
      </c>
    </row>
    <row r="90" spans="1:35">
      <c r="A90" t="s">
        <v>428</v>
      </c>
      <c r="B90">
        <v>85</v>
      </c>
      <c r="C90">
        <v>52</v>
      </c>
      <c r="D90">
        <v>137</v>
      </c>
      <c r="E90"/>
      <c r="F90"/>
      <c r="H90" t="s">
        <v>428</v>
      </c>
      <c r="I90">
        <v>4</v>
      </c>
      <c r="J90">
        <v>5</v>
      </c>
      <c r="K90">
        <v>9</v>
      </c>
      <c r="L90"/>
      <c r="M90"/>
      <c r="N90" t="s">
        <v>428</v>
      </c>
      <c r="O90" s="72">
        <v>0.0471</v>
      </c>
      <c r="P90" s="72">
        <v>0.0962</v>
      </c>
      <c r="Q90" s="72">
        <v>0.1433</v>
      </c>
      <c r="R90"/>
      <c r="S90"/>
      <c r="T90"/>
      <c r="V90"/>
      <c r="W90"/>
      <c r="X90"/>
      <c r="AF90" t="s">
        <v>435</v>
      </c>
      <c r="AG90">
        <v>122</v>
      </c>
      <c r="AH90">
        <v>61</v>
      </c>
      <c r="AI90">
        <v>183</v>
      </c>
    </row>
    <row r="91" spans="1:35">
      <c r="A91" t="s">
        <v>429</v>
      </c>
      <c r="B91">
        <v>94</v>
      </c>
      <c r="C91">
        <v>61</v>
      </c>
      <c r="D91">
        <v>155</v>
      </c>
      <c r="E91"/>
      <c r="F91"/>
      <c r="H91" t="s">
        <v>429</v>
      </c>
      <c r="I91">
        <v>9</v>
      </c>
      <c r="J91">
        <v>3</v>
      </c>
      <c r="K91">
        <v>12</v>
      </c>
      <c r="L91"/>
      <c r="M91"/>
      <c r="N91" t="s">
        <v>429</v>
      </c>
      <c r="O91" s="72">
        <v>0.0957</v>
      </c>
      <c r="P91" s="72">
        <v>0.0492</v>
      </c>
      <c r="Q91" s="72">
        <v>0.1449</v>
      </c>
      <c r="R91"/>
      <c r="S91"/>
      <c r="T91"/>
      <c r="V91"/>
      <c r="W91"/>
      <c r="X91"/>
      <c r="AF91" t="s">
        <v>436</v>
      </c>
      <c r="AG91">
        <v>102</v>
      </c>
      <c r="AH91">
        <v>58</v>
      </c>
      <c r="AI91">
        <v>160</v>
      </c>
    </row>
    <row r="92" spans="1:35">
      <c r="A92" t="s">
        <v>430</v>
      </c>
      <c r="B92">
        <v>124</v>
      </c>
      <c r="C92">
        <v>81</v>
      </c>
      <c r="D92">
        <v>205</v>
      </c>
      <c r="E92"/>
      <c r="F92"/>
      <c r="H92" t="s">
        <v>430</v>
      </c>
      <c r="I92">
        <v>9</v>
      </c>
      <c r="J92">
        <v>2</v>
      </c>
      <c r="K92">
        <v>11</v>
      </c>
      <c r="L92"/>
      <c r="M92"/>
      <c r="N92" t="s">
        <v>430</v>
      </c>
      <c r="O92" s="72">
        <v>0.0726</v>
      </c>
      <c r="P92" s="72">
        <v>0.0247</v>
      </c>
      <c r="Q92" s="72">
        <v>0.0973</v>
      </c>
      <c r="R92"/>
      <c r="S92"/>
      <c r="T92"/>
      <c r="AF92" t="s">
        <v>437</v>
      </c>
      <c r="AG92">
        <v>172</v>
      </c>
      <c r="AH92">
        <v>67</v>
      </c>
      <c r="AI92">
        <v>239</v>
      </c>
    </row>
    <row r="93" spans="1:35">
      <c r="A93" t="s">
        <v>431</v>
      </c>
      <c r="B93">
        <v>149</v>
      </c>
      <c r="C93">
        <v>90</v>
      </c>
      <c r="D93">
        <v>239</v>
      </c>
      <c r="E93"/>
      <c r="F93"/>
      <c r="H93" t="s">
        <v>431</v>
      </c>
      <c r="I93">
        <v>8</v>
      </c>
      <c r="J93">
        <v>11</v>
      </c>
      <c r="K93">
        <v>19</v>
      </c>
      <c r="L93"/>
      <c r="M93"/>
      <c r="N93" t="s">
        <v>431</v>
      </c>
      <c r="O93" s="72">
        <v>0.0537</v>
      </c>
      <c r="P93" s="72">
        <v>0.1222</v>
      </c>
      <c r="Q93" s="72">
        <v>0.1759</v>
      </c>
      <c r="R93"/>
      <c r="S93"/>
      <c r="T93"/>
      <c r="AF93" t="s">
        <v>476</v>
      </c>
      <c r="AG93">
        <v>1723</v>
      </c>
      <c r="AH93">
        <v>1085</v>
      </c>
      <c r="AI93">
        <v>2808</v>
      </c>
    </row>
    <row r="94" spans="1:35">
      <c r="A94" t="s">
        <v>432</v>
      </c>
      <c r="B94">
        <v>203</v>
      </c>
      <c r="C94">
        <v>129</v>
      </c>
      <c r="D94">
        <v>332</v>
      </c>
      <c r="E94"/>
      <c r="F94"/>
      <c r="H94" t="s">
        <v>432</v>
      </c>
      <c r="I94">
        <v>23</v>
      </c>
      <c r="J94">
        <v>11</v>
      </c>
      <c r="K94">
        <v>34</v>
      </c>
      <c r="L94"/>
      <c r="M94"/>
      <c r="N94" t="s">
        <v>432</v>
      </c>
      <c r="O94" s="72">
        <v>0.1133</v>
      </c>
      <c r="P94" s="72">
        <v>0.0853</v>
      </c>
      <c r="Q94" s="72">
        <v>0.1986</v>
      </c>
      <c r="R94"/>
      <c r="S94"/>
      <c r="T94"/>
    </row>
    <row r="95" spans="1:35">
      <c r="A95" t="s">
        <v>433</v>
      </c>
      <c r="B95">
        <v>138</v>
      </c>
      <c r="C95">
        <v>77</v>
      </c>
      <c r="D95">
        <v>215</v>
      </c>
      <c r="E95"/>
      <c r="F95"/>
      <c r="H95" t="s">
        <v>433</v>
      </c>
      <c r="I95">
        <v>17</v>
      </c>
      <c r="J95">
        <v>10</v>
      </c>
      <c r="K95">
        <v>27</v>
      </c>
      <c r="L95"/>
      <c r="M95"/>
      <c r="N95" t="s">
        <v>433</v>
      </c>
      <c r="O95" s="72">
        <v>0.1232</v>
      </c>
      <c r="P95" s="72">
        <v>0.1299</v>
      </c>
      <c r="Q95" s="72">
        <v>0.2531</v>
      </c>
      <c r="R95"/>
      <c r="S95"/>
      <c r="T95"/>
    </row>
    <row r="96" spans="1:35">
      <c r="A96" t="s">
        <v>434</v>
      </c>
      <c r="B96">
        <v>142</v>
      </c>
      <c r="C96">
        <v>62</v>
      </c>
      <c r="D96">
        <v>204</v>
      </c>
      <c r="E96"/>
      <c r="F96"/>
      <c r="H96" t="s">
        <v>434</v>
      </c>
      <c r="I96">
        <v>11</v>
      </c>
      <c r="J96">
        <v>4</v>
      </c>
      <c r="K96">
        <v>15</v>
      </c>
      <c r="L96"/>
      <c r="M96"/>
      <c r="N96" t="s">
        <v>434</v>
      </c>
      <c r="O96" s="72">
        <v>0.0775</v>
      </c>
      <c r="P96" s="72">
        <v>0.0645</v>
      </c>
      <c r="Q96" s="72">
        <v>0.142</v>
      </c>
      <c r="R96"/>
      <c r="S96"/>
      <c r="T96"/>
    </row>
    <row r="97" spans="1:30">
      <c r="A97" t="s">
        <v>435</v>
      </c>
      <c r="B97">
        <v>122</v>
      </c>
      <c r="C97">
        <v>61</v>
      </c>
      <c r="D97">
        <v>183</v>
      </c>
      <c r="E97"/>
      <c r="F97"/>
      <c r="H97" t="s">
        <v>435</v>
      </c>
      <c r="I97">
        <v>12</v>
      </c>
      <c r="J97">
        <v>4</v>
      </c>
      <c r="K97">
        <v>16</v>
      </c>
      <c r="L97"/>
      <c r="M97"/>
      <c r="N97" t="s">
        <v>435</v>
      </c>
      <c r="O97" s="72">
        <v>0.0984</v>
      </c>
      <c r="P97" s="72">
        <v>0.0656</v>
      </c>
      <c r="Q97" s="72">
        <v>0.164</v>
      </c>
      <c r="R97"/>
      <c r="S97"/>
      <c r="T97"/>
    </row>
    <row r="98" spans="1:30">
      <c r="A98" t="s">
        <v>436</v>
      </c>
      <c r="B98">
        <v>102</v>
      </c>
      <c r="C98">
        <v>58</v>
      </c>
      <c r="D98">
        <v>160</v>
      </c>
      <c r="E98"/>
      <c r="F98"/>
      <c r="H98" t="s">
        <v>436</v>
      </c>
      <c r="I98">
        <v>9</v>
      </c>
      <c r="J98">
        <v>5</v>
      </c>
      <c r="K98">
        <v>14</v>
      </c>
      <c r="L98"/>
      <c r="M98"/>
      <c r="N98" t="s">
        <v>436</v>
      </c>
      <c r="O98" s="72">
        <v>0.0882</v>
      </c>
      <c r="P98" s="72">
        <v>0.0862</v>
      </c>
      <c r="Q98" s="72">
        <v>0.1744</v>
      </c>
      <c r="R98"/>
      <c r="S98"/>
      <c r="T98"/>
    </row>
    <row r="99" spans="1:30">
      <c r="A99" t="s">
        <v>437</v>
      </c>
      <c r="B99">
        <v>172</v>
      </c>
      <c r="C99">
        <v>67</v>
      </c>
      <c r="D99">
        <v>239</v>
      </c>
      <c r="E99"/>
      <c r="F99"/>
      <c r="H99" t="s">
        <v>437</v>
      </c>
      <c r="I99">
        <v>11</v>
      </c>
      <c r="J99">
        <v>5</v>
      </c>
      <c r="K99">
        <v>16</v>
      </c>
      <c r="L99"/>
      <c r="M99"/>
      <c r="N99" t="s">
        <v>437</v>
      </c>
      <c r="O99" s="72">
        <v>0.064</v>
      </c>
      <c r="P99" s="72">
        <v>0.0746</v>
      </c>
      <c r="Q99" s="72">
        <v>0.1386</v>
      </c>
      <c r="R99"/>
      <c r="S99"/>
      <c r="T99"/>
    </row>
    <row r="100" spans="1:30">
      <c r="A100" t="s">
        <v>438</v>
      </c>
      <c r="B100">
        <v>204</v>
      </c>
      <c r="C100">
        <v>81</v>
      </c>
      <c r="D100">
        <v>285</v>
      </c>
      <c r="E100"/>
      <c r="F100"/>
      <c r="H100" t="s">
        <v>438</v>
      </c>
      <c r="I100">
        <v>14</v>
      </c>
      <c r="J100">
        <v>10</v>
      </c>
      <c r="K100">
        <v>24</v>
      </c>
      <c r="L100"/>
      <c r="M100"/>
      <c r="N100" t="s">
        <v>438</v>
      </c>
      <c r="O100" s="72">
        <v>0.0686</v>
      </c>
      <c r="P100" s="72">
        <v>0.1235</v>
      </c>
      <c r="Q100" s="72">
        <v>0.1921</v>
      </c>
      <c r="R100"/>
      <c r="S100"/>
      <c r="T100"/>
    </row>
    <row r="101" spans="1:30">
      <c r="A101" t="s">
        <v>439</v>
      </c>
      <c r="B101">
        <v>165</v>
      </c>
      <c r="C101">
        <v>56</v>
      </c>
      <c r="D101">
        <v>221</v>
      </c>
      <c r="E101"/>
      <c r="F101"/>
      <c r="H101" t="s">
        <v>439</v>
      </c>
      <c r="I101">
        <v>18</v>
      </c>
      <c r="J101">
        <v>5</v>
      </c>
      <c r="K101">
        <v>23</v>
      </c>
      <c r="L101"/>
      <c r="M101"/>
      <c r="N101" t="s">
        <v>439</v>
      </c>
      <c r="O101" s="72">
        <v>0.1091</v>
      </c>
      <c r="P101" s="72">
        <v>0.0893</v>
      </c>
      <c r="Q101" s="72">
        <v>0.1984</v>
      </c>
      <c r="R101"/>
      <c r="S101"/>
      <c r="T101"/>
    </row>
    <row r="102" spans="1:30">
      <c r="A102" t="s">
        <v>440</v>
      </c>
      <c r="B102">
        <v>175</v>
      </c>
      <c r="C102">
        <v>60</v>
      </c>
      <c r="D102">
        <v>235</v>
      </c>
      <c r="E102"/>
      <c r="F102"/>
      <c r="H102" t="s">
        <v>440</v>
      </c>
      <c r="I102">
        <v>19</v>
      </c>
      <c r="J102">
        <v>10</v>
      </c>
      <c r="K102">
        <v>29</v>
      </c>
      <c r="L102"/>
      <c r="M102"/>
      <c r="N102" t="s">
        <v>440</v>
      </c>
      <c r="O102" s="72">
        <v>0.1086</v>
      </c>
      <c r="P102" s="72">
        <v>0.1667</v>
      </c>
      <c r="Q102" s="72">
        <v>0.2753</v>
      </c>
      <c r="R102"/>
      <c r="S102"/>
      <c r="T102"/>
    </row>
    <row r="103" spans="1:30">
      <c r="A103" t="s">
        <v>441</v>
      </c>
      <c r="B103">
        <v>200</v>
      </c>
      <c r="C103">
        <v>71</v>
      </c>
      <c r="D103">
        <v>271</v>
      </c>
      <c r="E103"/>
      <c r="F103"/>
      <c r="H103" t="s">
        <v>441</v>
      </c>
      <c r="I103">
        <v>21</v>
      </c>
      <c r="J103">
        <v>6</v>
      </c>
      <c r="K103">
        <v>27</v>
      </c>
      <c r="L103"/>
      <c r="M103"/>
      <c r="N103" t="s">
        <v>441</v>
      </c>
      <c r="O103" s="72">
        <v>0.105</v>
      </c>
      <c r="P103" s="72">
        <v>0.0845</v>
      </c>
      <c r="Q103" s="72">
        <v>0.1895</v>
      </c>
      <c r="R103"/>
      <c r="S103"/>
      <c r="T103"/>
    </row>
    <row r="104" spans="1:30">
      <c r="A104" t="s">
        <v>442</v>
      </c>
      <c r="B104">
        <v>176</v>
      </c>
      <c r="C104">
        <v>72</v>
      </c>
      <c r="D104">
        <v>248</v>
      </c>
      <c r="E104"/>
      <c r="F104"/>
      <c r="H104" t="s">
        <v>442</v>
      </c>
      <c r="I104">
        <v>22</v>
      </c>
      <c r="J104">
        <v>14</v>
      </c>
      <c r="K104">
        <v>36</v>
      </c>
      <c r="L104"/>
      <c r="M104"/>
      <c r="N104" t="s">
        <v>442</v>
      </c>
      <c r="O104" s="72">
        <v>0.125</v>
      </c>
      <c r="P104" s="72">
        <v>0.1944</v>
      </c>
      <c r="Q104" s="72">
        <v>0.3194</v>
      </c>
      <c r="R104"/>
      <c r="S104"/>
      <c r="T104"/>
    </row>
    <row r="105" spans="1:30">
      <c r="A105" t="s">
        <v>443</v>
      </c>
      <c r="B105">
        <v>187</v>
      </c>
      <c r="C105">
        <v>67</v>
      </c>
      <c r="D105">
        <v>254</v>
      </c>
      <c r="E105"/>
      <c r="F105"/>
      <c r="H105" t="s">
        <v>443</v>
      </c>
      <c r="I105">
        <v>29</v>
      </c>
      <c r="J105">
        <v>7</v>
      </c>
      <c r="K105">
        <v>36</v>
      </c>
      <c r="L105"/>
      <c r="M105"/>
      <c r="N105" t="s">
        <v>443</v>
      </c>
      <c r="O105" s="72">
        <v>0.1551</v>
      </c>
      <c r="P105" s="72">
        <v>0.1045</v>
      </c>
      <c r="Q105" s="72">
        <v>0.2596</v>
      </c>
      <c r="R105"/>
      <c r="S105"/>
      <c r="T105"/>
    </row>
    <row r="106" spans="1:30">
      <c r="A106" t="s">
        <v>444</v>
      </c>
      <c r="B106">
        <v>241</v>
      </c>
      <c r="C106">
        <v>91</v>
      </c>
      <c r="D106">
        <v>332</v>
      </c>
      <c r="E106"/>
      <c r="F106"/>
      <c r="H106" t="s">
        <v>444</v>
      </c>
      <c r="I106">
        <v>18</v>
      </c>
      <c r="J106">
        <v>8</v>
      </c>
      <c r="K106">
        <v>26</v>
      </c>
      <c r="L106"/>
      <c r="M106"/>
      <c r="N106" t="s">
        <v>444</v>
      </c>
      <c r="O106" s="72">
        <v>0.0747</v>
      </c>
      <c r="P106" s="72">
        <v>0.0879</v>
      </c>
      <c r="Q106" s="72">
        <v>0.1626</v>
      </c>
      <c r="R106"/>
      <c r="S106"/>
      <c r="T106"/>
    </row>
    <row r="107" spans="1:30">
      <c r="A107" t="s">
        <v>445</v>
      </c>
      <c r="B107">
        <v>341</v>
      </c>
      <c r="C107">
        <v>125</v>
      </c>
      <c r="D107">
        <v>466</v>
      </c>
      <c r="E107"/>
      <c r="F107"/>
      <c r="H107" t="s">
        <v>445</v>
      </c>
      <c r="I107">
        <v>40</v>
      </c>
      <c r="J107">
        <v>20</v>
      </c>
      <c r="K107">
        <v>60</v>
      </c>
      <c r="L107"/>
      <c r="M107"/>
      <c r="N107" t="s">
        <v>445</v>
      </c>
      <c r="O107" s="72">
        <v>0.1173</v>
      </c>
      <c r="P107" s="72">
        <v>0.16</v>
      </c>
      <c r="Q107" s="72">
        <v>0.2773</v>
      </c>
      <c r="R107"/>
      <c r="S107"/>
      <c r="T107"/>
    </row>
    <row r="108" spans="1:30">
      <c r="A108" t="s">
        <v>446</v>
      </c>
      <c r="B108">
        <v>225</v>
      </c>
      <c r="C108">
        <v>73</v>
      </c>
      <c r="D108">
        <v>298</v>
      </c>
      <c r="E108"/>
      <c r="F108"/>
      <c r="H108" t="s">
        <v>446</v>
      </c>
      <c r="I108">
        <v>28</v>
      </c>
      <c r="J108">
        <v>8</v>
      </c>
      <c r="K108">
        <v>36</v>
      </c>
      <c r="L108"/>
      <c r="M108"/>
      <c r="N108" t="s">
        <v>446</v>
      </c>
      <c r="O108" s="72">
        <v>0.1244</v>
      </c>
      <c r="P108" s="72">
        <v>0.1096</v>
      </c>
      <c r="Q108" s="72">
        <v>0.234</v>
      </c>
      <c r="R108"/>
      <c r="S108"/>
      <c r="T108"/>
    </row>
    <row r="109" spans="1:30">
      <c r="A109" t="s">
        <v>447</v>
      </c>
      <c r="B109">
        <v>235</v>
      </c>
      <c r="C109">
        <v>92</v>
      </c>
      <c r="D109">
        <v>327</v>
      </c>
      <c r="E109"/>
      <c r="F109"/>
      <c r="H109" t="s">
        <v>447</v>
      </c>
      <c r="I109">
        <v>26</v>
      </c>
      <c r="J109">
        <v>10</v>
      </c>
      <c r="K109">
        <v>36</v>
      </c>
      <c r="L109"/>
      <c r="M109"/>
      <c r="N109" t="s">
        <v>447</v>
      </c>
      <c r="O109" s="72">
        <v>0.1106</v>
      </c>
      <c r="P109" s="72">
        <v>0.1087</v>
      </c>
      <c r="Q109" s="72">
        <v>0.2193</v>
      </c>
      <c r="R109"/>
      <c r="S109"/>
      <c r="T109"/>
    </row>
    <row r="110" spans="1:30">
      <c r="A110" t="s">
        <v>448</v>
      </c>
      <c r="B110">
        <v>226</v>
      </c>
      <c r="C110">
        <v>85</v>
      </c>
      <c r="D110">
        <v>311</v>
      </c>
      <c r="E110"/>
      <c r="F110"/>
      <c r="H110" t="s">
        <v>448</v>
      </c>
      <c r="I110">
        <v>21</v>
      </c>
      <c r="J110">
        <v>13</v>
      </c>
      <c r="K110">
        <v>34</v>
      </c>
      <c r="L110"/>
      <c r="M110"/>
      <c r="N110" t="s">
        <v>448</v>
      </c>
      <c r="O110" s="72">
        <v>0.0929</v>
      </c>
      <c r="P110" s="72">
        <v>0.1529</v>
      </c>
      <c r="Q110" s="72">
        <v>0.2458</v>
      </c>
      <c r="R110"/>
      <c r="S110"/>
      <c r="T110"/>
      <c r="V110"/>
      <c r="W110"/>
      <c r="X110"/>
      <c r="AC110" t="s">
        <v>481</v>
      </c>
      <c r="AD110" t="s">
        <v>474</v>
      </c>
    </row>
    <row r="111" spans="1:30">
      <c r="A111" t="s">
        <v>449</v>
      </c>
      <c r="B111">
        <v>220</v>
      </c>
      <c r="C111">
        <v>66</v>
      </c>
      <c r="D111">
        <v>286</v>
      </c>
      <c r="E111"/>
      <c r="F111"/>
      <c r="H111" t="s">
        <v>449</v>
      </c>
      <c r="I111">
        <v>35</v>
      </c>
      <c r="J111">
        <v>7</v>
      </c>
      <c r="K111">
        <v>42</v>
      </c>
      <c r="L111"/>
      <c r="M111"/>
      <c r="N111" t="s">
        <v>449</v>
      </c>
      <c r="O111" s="72">
        <v>0.1591</v>
      </c>
      <c r="P111" s="72">
        <v>0.1061</v>
      </c>
      <c r="Q111" s="72">
        <v>0.2652</v>
      </c>
      <c r="R111"/>
      <c r="S111"/>
      <c r="T111"/>
      <c r="V111"/>
      <c r="W111"/>
      <c r="X111"/>
      <c r="AC111" t="s">
        <v>475</v>
      </c>
      <c r="AD111" t="s">
        <v>476</v>
      </c>
    </row>
    <row r="112" spans="1:30">
      <c r="A112" t="s">
        <v>450</v>
      </c>
      <c r="B112">
        <v>206</v>
      </c>
      <c r="C112">
        <v>74</v>
      </c>
      <c r="D112">
        <v>280</v>
      </c>
      <c r="E112"/>
      <c r="F112"/>
      <c r="H112" t="s">
        <v>450</v>
      </c>
      <c r="I112">
        <v>27</v>
      </c>
      <c r="J112">
        <v>13</v>
      </c>
      <c r="K112">
        <v>40</v>
      </c>
      <c r="L112"/>
      <c r="M112"/>
      <c r="N112" t="s">
        <v>450</v>
      </c>
      <c r="O112" s="72">
        <v>0.1311</v>
      </c>
      <c r="P112" s="72">
        <v>0.1757</v>
      </c>
      <c r="Q112" s="72">
        <v>0.3068</v>
      </c>
      <c r="R112"/>
      <c r="S112"/>
      <c r="T112"/>
      <c r="V112"/>
      <c r="W112"/>
      <c r="X112"/>
      <c r="AC112" t="s">
        <v>476</v>
      </c>
    </row>
    <row r="113" spans="1:24">
      <c r="A113" t="s">
        <v>451</v>
      </c>
      <c r="B113">
        <v>250</v>
      </c>
      <c r="C113">
        <v>77</v>
      </c>
      <c r="D113">
        <v>327</v>
      </c>
      <c r="E113"/>
      <c r="F113"/>
      <c r="H113" t="s">
        <v>451</v>
      </c>
      <c r="I113">
        <v>24</v>
      </c>
      <c r="J113">
        <v>18</v>
      </c>
      <c r="K113">
        <v>42</v>
      </c>
      <c r="L113"/>
      <c r="M113"/>
      <c r="N113" t="s">
        <v>451</v>
      </c>
      <c r="O113" s="72">
        <v>0.096</v>
      </c>
      <c r="P113" s="72">
        <v>0.2338</v>
      </c>
      <c r="Q113" s="72">
        <v>0.3298</v>
      </c>
      <c r="R113"/>
      <c r="S113"/>
      <c r="T113"/>
      <c r="V113"/>
      <c r="W113"/>
      <c r="X113"/>
    </row>
    <row r="114" spans="1:24">
      <c r="A114" t="s">
        <v>452</v>
      </c>
      <c r="B114">
        <v>314</v>
      </c>
      <c r="C114">
        <v>113</v>
      </c>
      <c r="D114">
        <v>427</v>
      </c>
      <c r="E114"/>
      <c r="F114"/>
      <c r="H114" t="s">
        <v>452</v>
      </c>
      <c r="I114">
        <v>35</v>
      </c>
      <c r="J114">
        <v>8</v>
      </c>
      <c r="K114">
        <v>43</v>
      </c>
      <c r="L114"/>
      <c r="M114"/>
      <c r="N114" t="s">
        <v>452</v>
      </c>
      <c r="O114" s="72">
        <v>0.1115</v>
      </c>
      <c r="P114" s="72">
        <v>0.0708</v>
      </c>
      <c r="Q114" s="72">
        <v>0.1823</v>
      </c>
      <c r="R114"/>
      <c r="S114"/>
      <c r="T114"/>
      <c r="V114"/>
      <c r="W114"/>
      <c r="X114"/>
    </row>
    <row r="115" spans="1:24">
      <c r="A115" t="s">
        <v>453</v>
      </c>
      <c r="B115">
        <v>231</v>
      </c>
      <c r="C115">
        <v>85</v>
      </c>
      <c r="D115">
        <v>316</v>
      </c>
      <c r="E115"/>
      <c r="F115"/>
      <c r="H115" t="s">
        <v>453</v>
      </c>
      <c r="I115">
        <v>25</v>
      </c>
      <c r="J115">
        <v>12</v>
      </c>
      <c r="K115">
        <v>37</v>
      </c>
      <c r="L115"/>
      <c r="M115"/>
      <c r="N115" t="s">
        <v>453</v>
      </c>
      <c r="O115" s="72">
        <v>0.1082</v>
      </c>
      <c r="P115" s="72">
        <v>0.1412</v>
      </c>
      <c r="Q115" s="72">
        <v>0.2494</v>
      </c>
      <c r="R115"/>
      <c r="S115"/>
      <c r="T115"/>
      <c r="V115"/>
      <c r="W115"/>
      <c r="X115"/>
    </row>
    <row r="116" spans="1:24">
      <c r="A116" t="s">
        <v>454</v>
      </c>
      <c r="B116">
        <v>214</v>
      </c>
      <c r="C116">
        <v>61</v>
      </c>
      <c r="D116">
        <v>275</v>
      </c>
      <c r="E116"/>
      <c r="F116"/>
      <c r="H116" t="s">
        <v>454</v>
      </c>
      <c r="I116">
        <v>31</v>
      </c>
      <c r="J116">
        <v>14</v>
      </c>
      <c r="K116">
        <v>45</v>
      </c>
      <c r="L116"/>
      <c r="M116"/>
      <c r="N116" t="s">
        <v>454</v>
      </c>
      <c r="O116" s="72">
        <v>0.1449</v>
      </c>
      <c r="P116" s="72">
        <v>0.2295</v>
      </c>
      <c r="Q116" s="72">
        <v>0.3744</v>
      </c>
      <c r="R116"/>
      <c r="S116"/>
      <c r="T116"/>
      <c r="V116"/>
      <c r="W116"/>
      <c r="X116"/>
    </row>
    <row r="117" spans="1:24">
      <c r="A117" t="s">
        <v>455</v>
      </c>
      <c r="B117">
        <v>191</v>
      </c>
      <c r="C117">
        <v>60</v>
      </c>
      <c r="D117">
        <v>251</v>
      </c>
      <c r="E117"/>
      <c r="F117"/>
      <c r="H117" t="s">
        <v>455</v>
      </c>
      <c r="I117">
        <v>24</v>
      </c>
      <c r="J117">
        <v>9</v>
      </c>
      <c r="K117">
        <v>33</v>
      </c>
      <c r="L117"/>
      <c r="M117"/>
      <c r="N117" t="s">
        <v>455</v>
      </c>
      <c r="O117" s="72">
        <v>0.1257</v>
      </c>
      <c r="P117" s="72">
        <v>0.15</v>
      </c>
      <c r="Q117" s="72">
        <v>0.2757</v>
      </c>
      <c r="R117"/>
      <c r="S117"/>
      <c r="T117"/>
      <c r="V117"/>
      <c r="W117"/>
      <c r="X117"/>
    </row>
    <row r="118" spans="1:24">
      <c r="A118" t="s">
        <v>456</v>
      </c>
      <c r="B118">
        <v>191</v>
      </c>
      <c r="C118">
        <v>69</v>
      </c>
      <c r="D118">
        <v>260</v>
      </c>
      <c r="E118"/>
      <c r="F118"/>
      <c r="H118" t="s">
        <v>456</v>
      </c>
      <c r="I118">
        <v>29</v>
      </c>
      <c r="J118">
        <v>6</v>
      </c>
      <c r="K118">
        <v>35</v>
      </c>
      <c r="L118"/>
      <c r="M118"/>
      <c r="N118" t="s">
        <v>456</v>
      </c>
      <c r="O118" s="72">
        <v>0.1518</v>
      </c>
      <c r="P118" s="72">
        <v>0.087</v>
      </c>
      <c r="Q118" s="72">
        <v>0.2388</v>
      </c>
      <c r="R118"/>
      <c r="S118"/>
      <c r="T118"/>
      <c r="V118"/>
      <c r="W118"/>
      <c r="X118"/>
    </row>
    <row r="119" spans="1:24">
      <c r="A119" t="s">
        <v>457</v>
      </c>
      <c r="B119">
        <v>216</v>
      </c>
      <c r="C119">
        <v>69</v>
      </c>
      <c r="D119">
        <v>285</v>
      </c>
      <c r="E119"/>
      <c r="F119"/>
      <c r="H119" t="s">
        <v>457</v>
      </c>
      <c r="I119">
        <v>29</v>
      </c>
      <c r="J119">
        <v>10</v>
      </c>
      <c r="K119">
        <v>39</v>
      </c>
      <c r="L119"/>
      <c r="M119"/>
      <c r="N119" t="s">
        <v>457</v>
      </c>
      <c r="O119" s="72">
        <v>0.1343</v>
      </c>
      <c r="P119" s="72">
        <v>0.1449</v>
      </c>
      <c r="Q119" s="72">
        <v>0.2792</v>
      </c>
      <c r="R119"/>
      <c r="S119"/>
      <c r="T119"/>
      <c r="V119"/>
      <c r="W119"/>
      <c r="X119"/>
    </row>
    <row r="120" spans="1:24">
      <c r="A120" t="s">
        <v>458</v>
      </c>
      <c r="B120">
        <v>353</v>
      </c>
      <c r="C120">
        <v>180</v>
      </c>
      <c r="D120">
        <v>533</v>
      </c>
      <c r="E120"/>
      <c r="F120"/>
      <c r="H120" t="s">
        <v>458</v>
      </c>
      <c r="I120">
        <v>47</v>
      </c>
      <c r="J120">
        <v>36</v>
      </c>
      <c r="K120">
        <v>83</v>
      </c>
      <c r="L120"/>
      <c r="M120"/>
      <c r="N120" t="s">
        <v>458</v>
      </c>
      <c r="O120" s="72">
        <v>0.1331</v>
      </c>
      <c r="P120" s="72">
        <v>0.2</v>
      </c>
      <c r="Q120" s="72">
        <v>0.3331</v>
      </c>
      <c r="R120"/>
      <c r="S120"/>
      <c r="T120"/>
      <c r="V120"/>
      <c r="W120"/>
      <c r="X120"/>
    </row>
    <row r="121" spans="1:24">
      <c r="A121" t="s">
        <v>459</v>
      </c>
      <c r="B121">
        <v>403</v>
      </c>
      <c r="C121">
        <v>221</v>
      </c>
      <c r="D121">
        <v>624</v>
      </c>
      <c r="E121"/>
      <c r="F121"/>
      <c r="H121" t="s">
        <v>459</v>
      </c>
      <c r="I121">
        <v>49</v>
      </c>
      <c r="J121">
        <v>40</v>
      </c>
      <c r="K121">
        <v>89</v>
      </c>
      <c r="L121"/>
      <c r="M121"/>
      <c r="N121" t="s">
        <v>459</v>
      </c>
      <c r="O121" s="72">
        <v>0.1216</v>
      </c>
      <c r="P121" s="72">
        <v>0.181</v>
      </c>
      <c r="Q121" s="72">
        <v>0.3026</v>
      </c>
      <c r="R121"/>
      <c r="S121"/>
      <c r="T121"/>
      <c r="V121"/>
      <c r="W121"/>
      <c r="X121"/>
    </row>
    <row r="122" spans="1:24">
      <c r="A122" t="s">
        <v>460</v>
      </c>
      <c r="B122">
        <v>285</v>
      </c>
      <c r="C122">
        <v>126</v>
      </c>
      <c r="D122">
        <v>411</v>
      </c>
      <c r="E122"/>
      <c r="F122"/>
      <c r="H122" t="s">
        <v>460</v>
      </c>
      <c r="I122">
        <v>38</v>
      </c>
      <c r="J122">
        <v>23</v>
      </c>
      <c r="K122">
        <v>61</v>
      </c>
      <c r="L122"/>
      <c r="M122"/>
      <c r="N122" t="s">
        <v>460</v>
      </c>
      <c r="O122" s="72">
        <v>0.1333</v>
      </c>
      <c r="P122" s="72">
        <v>0.1825</v>
      </c>
      <c r="Q122" s="72">
        <v>0.3158</v>
      </c>
      <c r="R122"/>
      <c r="S122"/>
      <c r="T122"/>
      <c r="V122"/>
      <c r="W122"/>
      <c r="X122"/>
    </row>
    <row r="123" spans="1:24">
      <c r="A123" t="s">
        <v>461</v>
      </c>
      <c r="B123">
        <v>229</v>
      </c>
      <c r="C123">
        <v>119</v>
      </c>
      <c r="D123">
        <v>348</v>
      </c>
      <c r="E123"/>
      <c r="F123"/>
      <c r="H123" t="s">
        <v>461</v>
      </c>
      <c r="I123">
        <v>27</v>
      </c>
      <c r="J123">
        <v>18</v>
      </c>
      <c r="K123">
        <v>45</v>
      </c>
      <c r="L123"/>
      <c r="M123"/>
      <c r="N123" t="s">
        <v>461</v>
      </c>
      <c r="O123" s="72">
        <v>0.1179</v>
      </c>
      <c r="P123" s="72">
        <v>0.1513</v>
      </c>
      <c r="Q123" s="72">
        <v>0.2692</v>
      </c>
      <c r="R123"/>
      <c r="S123"/>
      <c r="T123"/>
      <c r="V123"/>
      <c r="W123"/>
      <c r="X123"/>
    </row>
    <row r="124" spans="1:24">
      <c r="A124" t="s">
        <v>462</v>
      </c>
      <c r="B124">
        <v>208</v>
      </c>
      <c r="C124">
        <v>117</v>
      </c>
      <c r="D124">
        <v>325</v>
      </c>
      <c r="E124"/>
      <c r="F124"/>
      <c r="H124" t="s">
        <v>462</v>
      </c>
      <c r="I124">
        <v>32</v>
      </c>
      <c r="J124">
        <v>26</v>
      </c>
      <c r="K124">
        <v>58</v>
      </c>
      <c r="L124"/>
      <c r="M124"/>
      <c r="N124" t="s">
        <v>462</v>
      </c>
      <c r="O124" s="72">
        <v>0.1538</v>
      </c>
      <c r="P124" s="72">
        <v>0.2222</v>
      </c>
      <c r="Q124" s="72">
        <v>0.376</v>
      </c>
      <c r="R124"/>
      <c r="S124"/>
      <c r="T124"/>
      <c r="V124"/>
      <c r="W124"/>
      <c r="X124"/>
    </row>
    <row r="125" spans="1:24">
      <c r="A125" t="s">
        <v>463</v>
      </c>
      <c r="B125">
        <v>167</v>
      </c>
      <c r="C125">
        <v>115</v>
      </c>
      <c r="D125">
        <v>282</v>
      </c>
      <c r="E125"/>
      <c r="F125"/>
      <c r="H125" t="s">
        <v>463</v>
      </c>
      <c r="I125">
        <v>20</v>
      </c>
      <c r="J125">
        <v>22</v>
      </c>
      <c r="K125">
        <v>42</v>
      </c>
      <c r="L125"/>
      <c r="M125"/>
      <c r="N125" t="s">
        <v>463</v>
      </c>
      <c r="O125" s="72">
        <v>0.1198</v>
      </c>
      <c r="P125" s="72">
        <v>0.1913</v>
      </c>
      <c r="Q125" s="72">
        <v>0.3111</v>
      </c>
      <c r="R125"/>
      <c r="S125"/>
      <c r="T125"/>
      <c r="V125"/>
      <c r="W125"/>
      <c r="X125"/>
    </row>
    <row r="126" spans="1:24">
      <c r="A126" t="s">
        <v>464</v>
      </c>
      <c r="B126">
        <v>160</v>
      </c>
      <c r="C126">
        <v>96</v>
      </c>
      <c r="D126">
        <v>256</v>
      </c>
      <c r="E126"/>
      <c r="F126"/>
      <c r="H126" t="s">
        <v>464</v>
      </c>
      <c r="I126">
        <v>24</v>
      </c>
      <c r="J126">
        <v>12</v>
      </c>
      <c r="K126">
        <v>36</v>
      </c>
      <c r="L126"/>
      <c r="M126"/>
      <c r="N126" t="s">
        <v>464</v>
      </c>
      <c r="O126" s="72">
        <v>0.15</v>
      </c>
      <c r="P126" s="72">
        <v>0.125</v>
      </c>
      <c r="Q126" s="72">
        <v>0.275</v>
      </c>
      <c r="R126"/>
      <c r="S126"/>
      <c r="T126"/>
    </row>
    <row r="127" spans="1:24">
      <c r="A127" t="s">
        <v>465</v>
      </c>
      <c r="B127">
        <v>192</v>
      </c>
      <c r="C127">
        <v>134</v>
      </c>
      <c r="D127">
        <v>326</v>
      </c>
      <c r="E127"/>
      <c r="F127"/>
      <c r="H127" t="s">
        <v>465</v>
      </c>
      <c r="I127">
        <v>10</v>
      </c>
      <c r="J127">
        <v>20</v>
      </c>
      <c r="K127">
        <v>30</v>
      </c>
      <c r="L127"/>
      <c r="M127"/>
      <c r="N127" t="s">
        <v>465</v>
      </c>
      <c r="O127" s="72">
        <v>0.0521</v>
      </c>
      <c r="P127" s="72">
        <v>0.1493</v>
      </c>
      <c r="Q127" s="72">
        <v>0.2014</v>
      </c>
      <c r="R127"/>
      <c r="S127"/>
      <c r="T127"/>
    </row>
    <row r="128" spans="1:24">
      <c r="A128" t="s">
        <v>466</v>
      </c>
      <c r="B128">
        <v>195</v>
      </c>
      <c r="C128">
        <v>132</v>
      </c>
      <c r="D128">
        <v>327</v>
      </c>
      <c r="E128"/>
      <c r="F128"/>
      <c r="H128" t="s">
        <v>466</v>
      </c>
      <c r="I128">
        <v>17</v>
      </c>
      <c r="J128">
        <v>24</v>
      </c>
      <c r="K128">
        <v>41</v>
      </c>
      <c r="L128"/>
      <c r="M128"/>
      <c r="N128" t="s">
        <v>466</v>
      </c>
      <c r="O128" s="72">
        <v>0.0872</v>
      </c>
      <c r="P128" s="72">
        <v>0.1818</v>
      </c>
      <c r="Q128" s="72">
        <v>0.269</v>
      </c>
      <c r="R128"/>
      <c r="S128"/>
      <c r="T128"/>
    </row>
    <row r="129" spans="1:20">
      <c r="A129" t="s">
        <v>467</v>
      </c>
      <c r="B129">
        <v>181</v>
      </c>
      <c r="C129">
        <v>168</v>
      </c>
      <c r="D129">
        <v>349</v>
      </c>
      <c r="E129"/>
      <c r="F129"/>
      <c r="H129" t="s">
        <v>467</v>
      </c>
      <c r="I129">
        <v>19</v>
      </c>
      <c r="J129">
        <v>18</v>
      </c>
      <c r="K129">
        <v>37</v>
      </c>
      <c r="L129"/>
      <c r="M129"/>
      <c r="N129" t="s">
        <v>467</v>
      </c>
      <c r="O129" s="72">
        <v>0.105</v>
      </c>
      <c r="P129" s="72">
        <v>0.1071</v>
      </c>
      <c r="Q129" s="72">
        <v>0.2121</v>
      </c>
      <c r="R129"/>
      <c r="S129"/>
      <c r="T129"/>
    </row>
    <row r="130" spans="1:20">
      <c r="A130" t="s">
        <v>468</v>
      </c>
      <c r="B130">
        <v>116</v>
      </c>
      <c r="C130">
        <v>158</v>
      </c>
      <c r="D130">
        <v>274</v>
      </c>
      <c r="E130"/>
      <c r="F130"/>
      <c r="H130" t="s">
        <v>468</v>
      </c>
      <c r="I130">
        <v>19</v>
      </c>
      <c r="J130">
        <v>38</v>
      </c>
      <c r="K130">
        <v>57</v>
      </c>
      <c r="L130"/>
      <c r="M130"/>
      <c r="N130" t="s">
        <v>468</v>
      </c>
      <c r="O130" s="72">
        <v>0.1638</v>
      </c>
      <c r="P130" s="72">
        <v>0.2405</v>
      </c>
      <c r="Q130" s="72">
        <v>0.4043</v>
      </c>
      <c r="R130"/>
      <c r="S130"/>
      <c r="T130"/>
    </row>
    <row r="131" spans="1:20">
      <c r="A131" t="s">
        <v>469</v>
      </c>
      <c r="B131">
        <v>105</v>
      </c>
      <c r="C131">
        <v>141</v>
      </c>
      <c r="D131">
        <v>246</v>
      </c>
      <c r="E131"/>
      <c r="F131"/>
      <c r="H131" t="s">
        <v>469</v>
      </c>
      <c r="I131">
        <v>18</v>
      </c>
      <c r="J131">
        <v>34</v>
      </c>
      <c r="K131">
        <v>52</v>
      </c>
      <c r="L131"/>
      <c r="M131"/>
      <c r="N131" t="s">
        <v>469</v>
      </c>
      <c r="O131" s="72">
        <v>0.1714</v>
      </c>
      <c r="P131" s="72">
        <v>0.2411</v>
      </c>
      <c r="Q131" s="72">
        <v>0.4125</v>
      </c>
      <c r="R131"/>
      <c r="S131"/>
      <c r="T131"/>
    </row>
    <row r="132" spans="1:20">
      <c r="A132" t="s">
        <v>470</v>
      </c>
      <c r="B132">
        <v>85</v>
      </c>
      <c r="C132">
        <v>142</v>
      </c>
      <c r="D132">
        <v>227</v>
      </c>
      <c r="E132"/>
      <c r="F132"/>
      <c r="H132" t="s">
        <v>470</v>
      </c>
      <c r="I132">
        <v>8</v>
      </c>
      <c r="J132">
        <v>27</v>
      </c>
      <c r="K132">
        <v>35</v>
      </c>
      <c r="L132"/>
      <c r="M132"/>
      <c r="N132" t="s">
        <v>470</v>
      </c>
      <c r="O132" s="72">
        <v>0.0941</v>
      </c>
      <c r="P132" s="72">
        <v>0.1901</v>
      </c>
      <c r="Q132" s="72">
        <v>0.2842</v>
      </c>
      <c r="R132"/>
      <c r="S132"/>
      <c r="T132"/>
    </row>
    <row r="133" spans="1:20">
      <c r="A133" t="s">
        <v>471</v>
      </c>
      <c r="B133">
        <v>0</v>
      </c>
      <c r="C133">
        <v>0</v>
      </c>
      <c r="D133">
        <v>0</v>
      </c>
      <c r="E133"/>
      <c r="F133"/>
      <c r="H133" t="s">
        <v>471</v>
      </c>
      <c r="I133">
        <v>4</v>
      </c>
      <c r="J133">
        <v>28</v>
      </c>
      <c r="K133">
        <v>32</v>
      </c>
      <c r="L133"/>
      <c r="M133"/>
      <c r="N133" t="s">
        <v>471</v>
      </c>
      <c r="O133" s="72">
        <v>0</v>
      </c>
      <c r="P133" s="72">
        <v>0</v>
      </c>
      <c r="Q133" s="72">
        <v>0</v>
      </c>
      <c r="R133"/>
      <c r="S133"/>
      <c r="T133"/>
    </row>
    <row r="134" spans="1:20">
      <c r="A134" t="s">
        <v>472</v>
      </c>
      <c r="B134">
        <v>0</v>
      </c>
      <c r="C134">
        <v>0</v>
      </c>
      <c r="D134">
        <v>0</v>
      </c>
      <c r="E134"/>
      <c r="F134"/>
      <c r="H134" t="s">
        <v>472</v>
      </c>
      <c r="I134">
        <v>0</v>
      </c>
      <c r="J134">
        <v>0</v>
      </c>
      <c r="K134">
        <v>0</v>
      </c>
      <c r="L134"/>
      <c r="M134"/>
      <c r="N134" t="s">
        <v>472</v>
      </c>
      <c r="O134" s="72">
        <v>0</v>
      </c>
      <c r="P134" s="72">
        <v>0</v>
      </c>
      <c r="Q134" s="72">
        <v>0</v>
      </c>
      <c r="R134"/>
      <c r="S134"/>
      <c r="T134"/>
    </row>
    <row r="135" spans="1:20">
      <c r="A135" t="s">
        <v>476</v>
      </c>
      <c r="B135">
        <v>8810</v>
      </c>
      <c r="C135">
        <v>4481</v>
      </c>
      <c r="D135">
        <v>13291</v>
      </c>
      <c r="E135"/>
      <c r="F135"/>
      <c r="H135" t="s">
        <v>476</v>
      </c>
      <c r="I135">
        <v>993</v>
      </c>
      <c r="J135">
        <v>653</v>
      </c>
      <c r="K135">
        <v>1646</v>
      </c>
      <c r="L135"/>
      <c r="M135"/>
      <c r="N135" t="s">
        <v>476</v>
      </c>
      <c r="O135" s="72">
        <v>5.4481</v>
      </c>
      <c r="P135" s="72">
        <v>6.338</v>
      </c>
      <c r="Q135" s="72">
        <v>11.7861</v>
      </c>
      <c r="R135"/>
      <c r="S135"/>
      <c r="T135"/>
    </row>
    <row r="136" spans="1:20">
      <c r="A136"/>
      <c r="B136"/>
      <c r="C136"/>
      <c r="D136"/>
      <c r="E136"/>
      <c r="F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>
      <c r="A137"/>
      <c r="B137"/>
      <c r="C137"/>
      <c r="D137"/>
      <c r="E137"/>
      <c r="F137"/>
      <c r="N137"/>
      <c r="O137"/>
      <c r="P137"/>
      <c r="Q137"/>
      <c r="R137"/>
    </row>
    <row r="138" spans="1:20">
      <c r="A138"/>
      <c r="B138"/>
      <c r="C138"/>
      <c r="D138"/>
      <c r="N138"/>
      <c r="O138"/>
      <c r="P138"/>
      <c r="Q138"/>
      <c r="R138"/>
    </row>
    <row r="139" spans="1:20">
      <c r="A139"/>
      <c r="B139"/>
      <c r="C139"/>
      <c r="D139"/>
      <c r="N139"/>
      <c r="O139"/>
      <c r="P139"/>
      <c r="Q139"/>
      <c r="R139"/>
    </row>
    <row r="140" spans="1:20">
      <c r="A140"/>
      <c r="B140"/>
      <c r="C140"/>
      <c r="D140"/>
      <c r="N140"/>
      <c r="O140"/>
      <c r="P140"/>
      <c r="Q140"/>
      <c r="R140"/>
    </row>
    <row r="141" spans="1:20">
      <c r="A141"/>
      <c r="B141"/>
      <c r="C141"/>
      <c r="D141"/>
      <c r="N141"/>
      <c r="O141"/>
      <c r="P141"/>
      <c r="Q141"/>
      <c r="R141"/>
    </row>
    <row r="142" spans="1:20">
      <c r="A142"/>
      <c r="B142"/>
      <c r="C142"/>
      <c r="D142"/>
      <c r="N142"/>
      <c r="O142"/>
      <c r="P142"/>
      <c r="Q142"/>
      <c r="R142"/>
    </row>
    <row r="143" spans="1:20">
      <c r="A143"/>
      <c r="B143"/>
      <c r="C143"/>
      <c r="D143"/>
      <c r="N143"/>
      <c r="O143"/>
      <c r="P143"/>
      <c r="Q143"/>
      <c r="R143"/>
    </row>
    <row r="144" spans="1:20">
      <c r="A144"/>
      <c r="B144"/>
      <c r="C144"/>
      <c r="D144"/>
      <c r="N144"/>
      <c r="O144"/>
      <c r="P144"/>
      <c r="Q144"/>
      <c r="R144"/>
    </row>
    <row r="145" spans="1:18">
      <c r="A145"/>
      <c r="B145"/>
      <c r="C145"/>
      <c r="D145"/>
      <c r="N145"/>
      <c r="O145"/>
      <c r="P145"/>
      <c r="Q145"/>
      <c r="R145"/>
    </row>
    <row r="146" spans="1:18">
      <c r="A146"/>
      <c r="B146"/>
      <c r="C146"/>
      <c r="D146"/>
      <c r="N146"/>
      <c r="O146"/>
      <c r="P146"/>
      <c r="Q146"/>
      <c r="R146"/>
    </row>
    <row r="147" spans="1:18">
      <c r="A147"/>
      <c r="B147"/>
      <c r="C147"/>
      <c r="D147"/>
      <c r="N147"/>
      <c r="O147"/>
      <c r="P147"/>
      <c r="Q147"/>
      <c r="R147"/>
    </row>
    <row r="148" spans="1:18">
      <c r="A148"/>
      <c r="B148"/>
      <c r="C148"/>
      <c r="D148"/>
      <c r="N148"/>
      <c r="O148"/>
      <c r="P148"/>
      <c r="Q148"/>
      <c r="R148"/>
    </row>
    <row r="149" spans="1:18">
      <c r="A149"/>
      <c r="B149"/>
      <c r="C149"/>
      <c r="D149"/>
      <c r="N149"/>
      <c r="O149"/>
      <c r="P149"/>
      <c r="Q149"/>
      <c r="R149"/>
    </row>
    <row r="150" spans="1:18">
      <c r="A150"/>
      <c r="B150"/>
      <c r="C150"/>
      <c r="D150"/>
      <c r="N150"/>
      <c r="O150"/>
      <c r="P150"/>
      <c r="Q150"/>
      <c r="R150"/>
    </row>
    <row r="151" spans="1:18">
      <c r="A151"/>
      <c r="B151"/>
      <c r="C151"/>
      <c r="D151"/>
      <c r="N151"/>
      <c r="O151"/>
      <c r="P151"/>
      <c r="Q151"/>
      <c r="R151"/>
    </row>
    <row r="152" spans="1:18">
      <c r="A152"/>
      <c r="B152"/>
      <c r="C152"/>
      <c r="D152"/>
      <c r="N152"/>
      <c r="O152"/>
      <c r="P152"/>
      <c r="Q152"/>
      <c r="R152"/>
    </row>
    <row r="153" spans="1:18">
      <c r="A153"/>
      <c r="B153"/>
      <c r="C153"/>
      <c r="D153"/>
      <c r="N153"/>
      <c r="O153"/>
      <c r="P153"/>
      <c r="Q153"/>
      <c r="R153"/>
    </row>
    <row r="154" spans="1:18">
      <c r="A154"/>
      <c r="B154"/>
      <c r="C154"/>
      <c r="D154"/>
      <c r="N154"/>
      <c r="O154"/>
      <c r="P154"/>
      <c r="Q154"/>
      <c r="R154"/>
    </row>
    <row r="155" spans="1:18">
      <c r="A155"/>
      <c r="B155"/>
      <c r="C155"/>
      <c r="D155"/>
      <c r="N155"/>
      <c r="O155"/>
      <c r="P155"/>
      <c r="Q155"/>
      <c r="R155"/>
    </row>
    <row r="156" spans="1:18">
      <c r="A156"/>
      <c r="B156"/>
      <c r="C156"/>
      <c r="D156"/>
      <c r="N156"/>
      <c r="O156"/>
      <c r="P156"/>
      <c r="Q156"/>
      <c r="R156"/>
    </row>
    <row r="157" spans="1:18">
      <c r="A157"/>
      <c r="B157"/>
      <c r="C157"/>
      <c r="D157"/>
      <c r="N157"/>
      <c r="O157"/>
      <c r="P157"/>
      <c r="Q157"/>
      <c r="R157"/>
    </row>
    <row r="158" spans="1:18">
      <c r="A158"/>
      <c r="B158"/>
      <c r="C158"/>
      <c r="D158"/>
      <c r="N158"/>
      <c r="O158"/>
      <c r="P158"/>
      <c r="Q158"/>
      <c r="R158"/>
    </row>
    <row r="159" spans="1:18">
      <c r="A159"/>
      <c r="B159"/>
      <c r="C159"/>
      <c r="D159"/>
      <c r="N159"/>
      <c r="O159"/>
      <c r="P159"/>
      <c r="Q159"/>
      <c r="R159"/>
    </row>
    <row r="160" spans="1:18">
      <c r="A160"/>
      <c r="B160"/>
      <c r="C160"/>
      <c r="D160"/>
      <c r="N160"/>
      <c r="O160"/>
      <c r="P160"/>
      <c r="Q160"/>
      <c r="R160"/>
    </row>
    <row r="161" spans="1:18">
      <c r="A161"/>
      <c r="B161"/>
      <c r="C161"/>
      <c r="D161"/>
      <c r="N161"/>
      <c r="O161"/>
      <c r="P161"/>
      <c r="Q161"/>
      <c r="R161"/>
    </row>
    <row r="162" spans="1:18">
      <c r="A162"/>
      <c r="B162"/>
      <c r="C162"/>
      <c r="D162"/>
      <c r="N162"/>
      <c r="O162"/>
      <c r="P162"/>
      <c r="Q162"/>
      <c r="R162"/>
    </row>
    <row r="163" spans="1:18">
      <c r="A163"/>
      <c r="B163"/>
      <c r="C163"/>
      <c r="D163"/>
      <c r="N163"/>
      <c r="O163"/>
      <c r="P163"/>
      <c r="Q163"/>
      <c r="R163"/>
    </row>
    <row r="164" spans="1:18">
      <c r="A164"/>
      <c r="B164"/>
      <c r="C164"/>
      <c r="D164"/>
      <c r="N164"/>
      <c r="O164"/>
      <c r="P164"/>
      <c r="Q164"/>
      <c r="R164"/>
    </row>
    <row r="165" spans="1:18">
      <c r="A165"/>
      <c r="B165"/>
      <c r="C165"/>
      <c r="D165"/>
      <c r="N165"/>
      <c r="O165"/>
      <c r="P165"/>
      <c r="Q165"/>
      <c r="R165"/>
    </row>
    <row r="166" spans="1:18">
      <c r="A166"/>
      <c r="B166"/>
      <c r="C166"/>
      <c r="D166"/>
      <c r="N166"/>
      <c r="O166"/>
      <c r="P166"/>
      <c r="Q166"/>
      <c r="R166"/>
    </row>
    <row r="167" spans="1:18">
      <c r="A167"/>
      <c r="B167"/>
      <c r="C167"/>
      <c r="D167"/>
      <c r="N167"/>
      <c r="O167"/>
      <c r="P167"/>
      <c r="Q167"/>
      <c r="R167"/>
    </row>
    <row r="168" spans="1:18">
      <c r="A168"/>
      <c r="B168"/>
      <c r="C168"/>
      <c r="D168"/>
      <c r="N168"/>
      <c r="O168"/>
      <c r="P168"/>
      <c r="Q168"/>
      <c r="R168"/>
    </row>
    <row r="169" spans="1:18">
      <c r="A169"/>
      <c r="B169"/>
      <c r="C169"/>
      <c r="D169"/>
      <c r="N169"/>
      <c r="O169"/>
      <c r="P169"/>
      <c r="Q169"/>
      <c r="R169"/>
    </row>
    <row r="170" spans="1:18">
      <c r="A170"/>
      <c r="B170"/>
      <c r="C170"/>
      <c r="D170"/>
      <c r="N170"/>
      <c r="O170"/>
      <c r="P170"/>
      <c r="Q170"/>
      <c r="R170"/>
    </row>
    <row r="171" spans="1:18">
      <c r="A171"/>
      <c r="B171"/>
      <c r="C171"/>
      <c r="D171"/>
      <c r="N171"/>
      <c r="O171"/>
      <c r="P171"/>
      <c r="Q171"/>
      <c r="R171"/>
    </row>
    <row r="172" spans="1:18">
      <c r="A172"/>
      <c r="B172"/>
      <c r="C172"/>
      <c r="D172"/>
      <c r="N172"/>
      <c r="O172"/>
      <c r="P172"/>
      <c r="Q172"/>
      <c r="R172"/>
    </row>
    <row r="173" spans="1:18">
      <c r="A173"/>
      <c r="B173"/>
      <c r="C173"/>
      <c r="D173"/>
      <c r="N173"/>
      <c r="O173"/>
      <c r="P173"/>
      <c r="Q173"/>
      <c r="R173"/>
    </row>
    <row r="174" spans="1:18">
      <c r="A174"/>
      <c r="B174"/>
      <c r="C174"/>
      <c r="D174"/>
      <c r="N174"/>
      <c r="O174"/>
      <c r="P174"/>
      <c r="Q174"/>
      <c r="R174"/>
    </row>
    <row r="175" spans="1:18">
      <c r="A175"/>
      <c r="B175"/>
      <c r="C175"/>
      <c r="D175"/>
      <c r="N175"/>
      <c r="O175"/>
      <c r="P175"/>
      <c r="Q175"/>
      <c r="R175"/>
    </row>
    <row r="176" spans="1:18">
      <c r="A176"/>
      <c r="B176"/>
      <c r="C176"/>
      <c r="D176"/>
      <c r="N176"/>
      <c r="O176"/>
      <c r="P176"/>
      <c r="Q176"/>
      <c r="R176"/>
    </row>
    <row r="177" spans="1:18">
      <c r="A177"/>
      <c r="B177"/>
      <c r="C177"/>
      <c r="D177"/>
      <c r="N177"/>
      <c r="O177"/>
      <c r="P177"/>
      <c r="Q177"/>
      <c r="R177"/>
    </row>
    <row r="178" spans="1:18">
      <c r="A178"/>
      <c r="B178"/>
      <c r="C178"/>
      <c r="D178"/>
      <c r="N178"/>
      <c r="O178"/>
      <c r="P178"/>
      <c r="Q178"/>
      <c r="R178"/>
    </row>
    <row r="179" spans="1:18">
      <c r="A179"/>
      <c r="B179"/>
      <c r="C179"/>
      <c r="D179"/>
      <c r="N179"/>
      <c r="O179"/>
      <c r="P179"/>
      <c r="Q179"/>
      <c r="R179"/>
    </row>
    <row r="180" spans="1:18">
      <c r="A180"/>
      <c r="B180"/>
      <c r="C180"/>
      <c r="D180"/>
      <c r="N180"/>
      <c r="O180"/>
      <c r="P180"/>
      <c r="Q180"/>
      <c r="R180"/>
    </row>
    <row r="181" spans="1:18">
      <c r="A181"/>
      <c r="B181"/>
      <c r="C181"/>
      <c r="D181"/>
      <c r="N181"/>
      <c r="O181"/>
      <c r="P181"/>
      <c r="Q181"/>
      <c r="R181"/>
    </row>
    <row r="182" spans="1:18">
      <c r="A182"/>
      <c r="B182"/>
      <c r="C182"/>
      <c r="D182"/>
      <c r="N182"/>
      <c r="O182"/>
      <c r="P182"/>
      <c r="Q182"/>
      <c r="R182"/>
    </row>
    <row r="183" spans="1:18">
      <c r="A183"/>
      <c r="B183"/>
      <c r="C183"/>
      <c r="D183"/>
      <c r="N183"/>
      <c r="O183"/>
      <c r="P183"/>
      <c r="Q183"/>
      <c r="R183"/>
    </row>
    <row r="184" spans="1:18">
      <c r="A184"/>
      <c r="B184"/>
      <c r="C184"/>
      <c r="D184"/>
      <c r="N184"/>
      <c r="O184"/>
      <c r="P184"/>
      <c r="Q184"/>
      <c r="R184"/>
    </row>
    <row r="185" spans="1:18">
      <c r="A185"/>
      <c r="B185"/>
      <c r="C185"/>
      <c r="D185"/>
      <c r="N185"/>
      <c r="O185"/>
      <c r="P185"/>
      <c r="Q185"/>
      <c r="R185"/>
    </row>
    <row r="186" spans="1:18">
      <c r="A186"/>
      <c r="B186"/>
      <c r="C186"/>
      <c r="D186"/>
      <c r="N186"/>
      <c r="O186"/>
      <c r="P186"/>
      <c r="Q186"/>
      <c r="R186"/>
    </row>
    <row r="187" spans="1:18">
      <c r="A187"/>
      <c r="B187"/>
      <c r="C187"/>
      <c r="D187"/>
      <c r="N187"/>
      <c r="O187"/>
      <c r="P187"/>
      <c r="Q187"/>
      <c r="R187"/>
    </row>
    <row r="188" spans="1:18">
      <c r="A188"/>
      <c r="B188"/>
      <c r="C188"/>
      <c r="D188"/>
      <c r="N188"/>
      <c r="O188"/>
      <c r="P188"/>
      <c r="Q188"/>
      <c r="R188"/>
    </row>
    <row r="189" spans="1:18">
      <c r="A189"/>
      <c r="B189"/>
      <c r="C189"/>
      <c r="D189"/>
      <c r="N189"/>
      <c r="O189"/>
      <c r="P189"/>
      <c r="Q189"/>
      <c r="R189"/>
    </row>
    <row r="190" spans="1:18">
      <c r="A190"/>
      <c r="B190"/>
      <c r="C190"/>
      <c r="D190"/>
      <c r="N190"/>
      <c r="O190"/>
      <c r="P190"/>
      <c r="Q190"/>
      <c r="R190"/>
    </row>
    <row r="191" spans="1:18">
      <c r="A191"/>
      <c r="B191"/>
      <c r="C191"/>
      <c r="D191"/>
      <c r="N191"/>
      <c r="O191"/>
      <c r="P191"/>
      <c r="Q191"/>
      <c r="R191"/>
    </row>
    <row r="192" spans="1:18">
      <c r="A192"/>
      <c r="B192"/>
      <c r="C192"/>
      <c r="D192"/>
      <c r="N192"/>
      <c r="O192"/>
      <c r="P192"/>
      <c r="Q192"/>
      <c r="R192"/>
    </row>
    <row r="193" spans="1:18">
      <c r="N193"/>
      <c r="O193"/>
      <c r="P193"/>
      <c r="Q193"/>
      <c r="R193"/>
    </row>
    <row r="194" spans="1:18">
      <c r="A194"/>
      <c r="B194"/>
      <c r="C194"/>
      <c r="D194"/>
      <c r="E194"/>
      <c r="F194"/>
      <c r="N194"/>
      <c r="O194"/>
      <c r="P194"/>
      <c r="Q194"/>
      <c r="R194"/>
    </row>
    <row r="195" spans="1:18">
      <c r="A195"/>
      <c r="B195"/>
      <c r="C195"/>
      <c r="D195"/>
      <c r="E195"/>
      <c r="F195"/>
      <c r="N195"/>
      <c r="O195"/>
      <c r="P195"/>
      <c r="Q195"/>
      <c r="R195"/>
    </row>
    <row r="196" spans="1:18">
      <c r="A196"/>
      <c r="B196"/>
      <c r="C196"/>
      <c r="D196"/>
      <c r="E196"/>
      <c r="F196"/>
      <c r="N196"/>
      <c r="O196"/>
      <c r="P196"/>
      <c r="Q196"/>
      <c r="R196"/>
    </row>
    <row r="197" spans="1:18">
      <c r="A197"/>
      <c r="B197"/>
      <c r="C197"/>
      <c r="D197"/>
      <c r="E197"/>
      <c r="F197"/>
      <c r="N197"/>
      <c r="O197"/>
      <c r="P197"/>
      <c r="Q197"/>
      <c r="R197"/>
    </row>
    <row r="198" spans="1:18">
      <c r="A198"/>
      <c r="B198"/>
      <c r="C198"/>
      <c r="D198"/>
      <c r="E198"/>
      <c r="F198"/>
      <c r="N198"/>
      <c r="O198"/>
      <c r="P198"/>
      <c r="Q198"/>
      <c r="R198"/>
    </row>
    <row r="199" spans="1:18">
      <c r="A199"/>
      <c r="B199"/>
      <c r="C199"/>
      <c r="D199"/>
      <c r="E199"/>
      <c r="F199"/>
      <c r="N199"/>
      <c r="O199"/>
      <c r="P199"/>
      <c r="Q199"/>
      <c r="R199"/>
    </row>
    <row r="200" spans="1:18">
      <c r="A200"/>
      <c r="B200"/>
      <c r="C200"/>
      <c r="D200"/>
      <c r="E200"/>
      <c r="F200"/>
      <c r="N200"/>
      <c r="O200"/>
      <c r="P200"/>
      <c r="Q200"/>
      <c r="R200"/>
    </row>
    <row r="201" spans="1:18">
      <c r="A201"/>
      <c r="B201"/>
      <c r="C201"/>
      <c r="D201"/>
      <c r="E201"/>
      <c r="F201"/>
      <c r="N201"/>
      <c r="O201"/>
      <c r="P201"/>
      <c r="Q201"/>
      <c r="R201"/>
    </row>
    <row r="202" spans="1:18">
      <c r="A202"/>
      <c r="B202"/>
      <c r="C202"/>
      <c r="D202"/>
      <c r="E202"/>
      <c r="F202"/>
      <c r="N202"/>
      <c r="O202"/>
      <c r="P202"/>
      <c r="Q202"/>
      <c r="R202"/>
    </row>
    <row r="203" spans="1:18">
      <c r="A203"/>
      <c r="B203"/>
      <c r="C203"/>
      <c r="D203"/>
      <c r="E203"/>
      <c r="F203"/>
      <c r="N203"/>
      <c r="O203"/>
      <c r="P203"/>
      <c r="Q203"/>
      <c r="R203"/>
    </row>
    <row r="204" spans="1:18">
      <c r="A204"/>
      <c r="B204"/>
      <c r="C204"/>
      <c r="D204"/>
      <c r="E204"/>
      <c r="F204"/>
      <c r="N204"/>
      <c r="O204"/>
      <c r="P204"/>
      <c r="Q204"/>
      <c r="R204"/>
    </row>
    <row r="205" spans="1:18">
      <c r="A205"/>
      <c r="B205"/>
      <c r="C205"/>
      <c r="D205"/>
      <c r="E205"/>
      <c r="F205"/>
      <c r="N205"/>
      <c r="O205"/>
      <c r="P205"/>
      <c r="Q205"/>
      <c r="R205"/>
    </row>
    <row r="206" spans="1:18">
      <c r="A206"/>
      <c r="B206"/>
      <c r="C206"/>
      <c r="D206"/>
      <c r="E206"/>
      <c r="F206"/>
      <c r="N206"/>
      <c r="O206"/>
      <c r="P206"/>
      <c r="Q206"/>
      <c r="R206"/>
    </row>
    <row r="207" spans="1:18">
      <c r="A207"/>
      <c r="B207"/>
      <c r="C207"/>
      <c r="D207"/>
      <c r="E207"/>
      <c r="F207"/>
      <c r="N207"/>
      <c r="O207"/>
      <c r="P207"/>
      <c r="Q207"/>
      <c r="R207"/>
    </row>
    <row r="208" spans="1:18">
      <c r="A208"/>
      <c r="B208"/>
      <c r="C208"/>
      <c r="D208"/>
      <c r="E208"/>
      <c r="F208"/>
      <c r="N208"/>
      <c r="O208"/>
      <c r="P208"/>
      <c r="Q208"/>
      <c r="R208"/>
    </row>
    <row r="209" spans="1:18">
      <c r="A209"/>
      <c r="B209"/>
      <c r="C209"/>
      <c r="D209"/>
      <c r="E209"/>
      <c r="F209"/>
      <c r="N209"/>
      <c r="O209"/>
      <c r="P209"/>
      <c r="Q209"/>
      <c r="R209"/>
    </row>
    <row r="210" spans="1:18">
      <c r="A210"/>
      <c r="B210"/>
      <c r="C210"/>
      <c r="D210"/>
      <c r="E210"/>
      <c r="F210"/>
      <c r="N210"/>
      <c r="O210"/>
      <c r="P210"/>
      <c r="Q210"/>
      <c r="R210"/>
    </row>
    <row r="211" spans="1:18">
      <c r="A211"/>
      <c r="B211"/>
      <c r="C211"/>
      <c r="D211"/>
      <c r="E211"/>
      <c r="F211"/>
      <c r="N211"/>
      <c r="O211"/>
      <c r="P211"/>
      <c r="Q211"/>
      <c r="R211"/>
    </row>
    <row r="212" spans="1:18">
      <c r="A212"/>
      <c r="B212"/>
      <c r="C212"/>
      <c r="D212"/>
      <c r="E212"/>
      <c r="F212"/>
      <c r="N212"/>
      <c r="O212"/>
      <c r="P212"/>
      <c r="Q212"/>
      <c r="R212"/>
    </row>
    <row r="213" spans="1:18">
      <c r="A213"/>
      <c r="B213"/>
      <c r="C213"/>
      <c r="D213"/>
      <c r="E213"/>
      <c r="F213"/>
      <c r="N213"/>
      <c r="O213"/>
      <c r="P213"/>
      <c r="Q213"/>
      <c r="R213"/>
    </row>
    <row r="214" spans="1:18">
      <c r="A214"/>
      <c r="B214"/>
      <c r="C214"/>
      <c r="D214"/>
      <c r="E214"/>
      <c r="F214"/>
      <c r="N214"/>
      <c r="O214"/>
      <c r="P214"/>
      <c r="Q214"/>
      <c r="R214"/>
    </row>
    <row r="215" spans="1:18">
      <c r="A215"/>
      <c r="B215"/>
      <c r="C215"/>
      <c r="D215"/>
      <c r="E215"/>
      <c r="F215"/>
      <c r="N215"/>
      <c r="O215"/>
      <c r="P215"/>
      <c r="Q215"/>
      <c r="R215"/>
    </row>
    <row r="216" spans="1:18">
      <c r="A216"/>
      <c r="B216"/>
      <c r="C216"/>
      <c r="D216"/>
      <c r="E216"/>
      <c r="F216"/>
      <c r="N216"/>
      <c r="O216"/>
      <c r="P216"/>
      <c r="Q216"/>
      <c r="R216"/>
    </row>
    <row r="217" spans="1:18">
      <c r="A217"/>
      <c r="B217"/>
      <c r="C217"/>
      <c r="D217"/>
      <c r="E217"/>
      <c r="F217"/>
      <c r="N217"/>
      <c r="O217"/>
      <c r="P217"/>
      <c r="Q217"/>
      <c r="R217"/>
    </row>
    <row r="218" spans="1:18">
      <c r="A218"/>
      <c r="B218"/>
      <c r="C218"/>
      <c r="D218"/>
      <c r="E218"/>
      <c r="F218"/>
      <c r="N218"/>
      <c r="O218"/>
      <c r="P218"/>
      <c r="Q218"/>
      <c r="R218"/>
    </row>
    <row r="219" spans="1:18">
      <c r="A219"/>
      <c r="B219"/>
      <c r="C219"/>
      <c r="D219"/>
      <c r="E219"/>
      <c r="F219"/>
      <c r="N219"/>
      <c r="O219"/>
      <c r="P219"/>
      <c r="Q219"/>
      <c r="R219"/>
    </row>
    <row r="220" spans="1:18">
      <c r="A220"/>
      <c r="B220"/>
      <c r="C220"/>
      <c r="D220"/>
      <c r="E220"/>
      <c r="F220"/>
      <c r="N220"/>
      <c r="O220"/>
      <c r="P220"/>
      <c r="Q220"/>
      <c r="R220"/>
    </row>
    <row r="221" spans="1:18">
      <c r="A221"/>
      <c r="B221"/>
      <c r="C221"/>
      <c r="D221"/>
      <c r="E221"/>
      <c r="F221"/>
      <c r="N221"/>
      <c r="O221"/>
      <c r="P221"/>
      <c r="Q221"/>
      <c r="R221"/>
    </row>
    <row r="222" spans="1:18">
      <c r="A222"/>
      <c r="B222"/>
      <c r="C222"/>
      <c r="D222"/>
      <c r="E222"/>
      <c r="F222"/>
      <c r="N222"/>
      <c r="O222"/>
      <c r="P222"/>
      <c r="Q222"/>
      <c r="R222"/>
    </row>
    <row r="223" spans="1:18">
      <c r="A223"/>
      <c r="B223"/>
      <c r="C223"/>
      <c r="D223"/>
      <c r="E223"/>
      <c r="F223"/>
      <c r="N223"/>
      <c r="O223"/>
      <c r="P223"/>
      <c r="Q223"/>
      <c r="R223"/>
    </row>
    <row r="224" spans="1:18">
      <c r="A224"/>
      <c r="B224"/>
      <c r="C224"/>
      <c r="D224"/>
      <c r="E224"/>
      <c r="F224"/>
      <c r="N224"/>
      <c r="O224"/>
      <c r="P224"/>
      <c r="Q224"/>
      <c r="R224"/>
    </row>
    <row r="225" spans="1:18">
      <c r="A225"/>
      <c r="B225"/>
      <c r="C225"/>
      <c r="D225"/>
      <c r="E225"/>
      <c r="F225"/>
      <c r="N225"/>
      <c r="O225"/>
      <c r="P225"/>
      <c r="Q225"/>
      <c r="R225"/>
    </row>
    <row r="226" spans="1:18">
      <c r="A226"/>
      <c r="B226"/>
      <c r="C226"/>
      <c r="D226"/>
      <c r="E226"/>
      <c r="F226"/>
      <c r="N226"/>
      <c r="O226"/>
      <c r="P226"/>
      <c r="Q226"/>
      <c r="R226"/>
    </row>
    <row r="227" spans="1:18">
      <c r="A227"/>
      <c r="B227"/>
      <c r="C227"/>
      <c r="D227"/>
      <c r="E227"/>
      <c r="F227"/>
      <c r="N227"/>
      <c r="O227"/>
      <c r="P227"/>
      <c r="Q227"/>
      <c r="R227"/>
    </row>
    <row r="228" spans="1:18">
      <c r="A228"/>
      <c r="B228"/>
      <c r="C228"/>
      <c r="D228"/>
      <c r="E228"/>
      <c r="F228"/>
      <c r="N228"/>
      <c r="O228"/>
      <c r="P228"/>
      <c r="Q228"/>
      <c r="R228"/>
    </row>
    <row r="229" spans="1:18">
      <c r="A229"/>
      <c r="B229"/>
      <c r="C229"/>
      <c r="D229"/>
      <c r="E229"/>
      <c r="F229"/>
      <c r="N229"/>
      <c r="O229"/>
      <c r="P229"/>
      <c r="Q229"/>
      <c r="R229"/>
    </row>
    <row r="230" spans="1:18">
      <c r="A230"/>
      <c r="B230"/>
      <c r="C230"/>
      <c r="D230"/>
      <c r="E230"/>
      <c r="F230"/>
      <c r="N230"/>
      <c r="O230"/>
      <c r="P230"/>
      <c r="Q230"/>
      <c r="R230"/>
    </row>
    <row r="231" spans="1:18">
      <c r="A231"/>
      <c r="B231"/>
      <c r="C231"/>
      <c r="D231"/>
      <c r="E231"/>
      <c r="F231"/>
      <c r="N231"/>
      <c r="O231"/>
      <c r="P231"/>
      <c r="Q231"/>
      <c r="R231"/>
    </row>
    <row r="232" spans="1:18">
      <c r="A232"/>
      <c r="B232"/>
      <c r="C232"/>
      <c r="D232"/>
      <c r="E232"/>
      <c r="F232"/>
      <c r="N232"/>
      <c r="O232"/>
      <c r="P232"/>
      <c r="Q232"/>
      <c r="R232"/>
    </row>
    <row r="233" spans="1:18">
      <c r="A233"/>
      <c r="B233"/>
      <c r="C233"/>
      <c r="D233"/>
      <c r="E233"/>
      <c r="F233"/>
      <c r="N233"/>
      <c r="O233"/>
      <c r="P233"/>
      <c r="Q233"/>
      <c r="R233"/>
    </row>
    <row r="234" spans="1:18">
      <c r="A234"/>
      <c r="B234"/>
      <c r="C234"/>
      <c r="D234"/>
      <c r="E234"/>
      <c r="F234"/>
      <c r="N234"/>
      <c r="O234"/>
      <c r="P234"/>
      <c r="Q234"/>
      <c r="R234"/>
    </row>
    <row r="235" spans="1:18">
      <c r="A235"/>
      <c r="B235"/>
      <c r="C235"/>
      <c r="D235"/>
      <c r="E235"/>
      <c r="F235"/>
      <c r="N235"/>
      <c r="O235"/>
      <c r="P235"/>
      <c r="Q235"/>
      <c r="R235"/>
    </row>
    <row r="236" spans="1:18">
      <c r="A236"/>
      <c r="B236"/>
      <c r="C236"/>
      <c r="D236"/>
      <c r="E236"/>
      <c r="F236"/>
      <c r="N236"/>
      <c r="O236"/>
      <c r="P236"/>
      <c r="Q236"/>
      <c r="R236"/>
    </row>
    <row r="237" spans="1:18">
      <c r="A237"/>
      <c r="B237"/>
      <c r="C237"/>
      <c r="D237"/>
      <c r="E237"/>
      <c r="F237"/>
      <c r="N237"/>
      <c r="O237"/>
      <c r="P237"/>
      <c r="Q237"/>
      <c r="R237"/>
    </row>
    <row r="238" spans="1:18">
      <c r="A238"/>
      <c r="B238"/>
      <c r="C238"/>
      <c r="D238"/>
      <c r="E238"/>
      <c r="F238"/>
      <c r="N238"/>
      <c r="O238"/>
      <c r="P238"/>
      <c r="Q238"/>
      <c r="R238"/>
    </row>
    <row r="239" spans="1:18">
      <c r="A239"/>
      <c r="B239"/>
      <c r="C239"/>
      <c r="D239"/>
      <c r="E239"/>
      <c r="F239"/>
      <c r="N239"/>
      <c r="O239"/>
      <c r="P239"/>
      <c r="Q239"/>
      <c r="R239"/>
    </row>
    <row r="240" spans="1:18">
      <c r="A240"/>
      <c r="B240"/>
      <c r="C240"/>
      <c r="D240"/>
      <c r="E240"/>
      <c r="F240"/>
      <c r="N240"/>
      <c r="O240"/>
      <c r="P240"/>
      <c r="Q240"/>
      <c r="R240"/>
    </row>
    <row r="241" spans="1:18">
      <c r="A241"/>
      <c r="B241"/>
      <c r="C241"/>
      <c r="D241"/>
      <c r="E241"/>
      <c r="F241"/>
      <c r="N241"/>
      <c r="O241"/>
      <c r="P241"/>
      <c r="Q241"/>
      <c r="R241"/>
    </row>
    <row r="242" spans="1:18">
      <c r="A242"/>
      <c r="B242"/>
      <c r="C242"/>
      <c r="D242"/>
      <c r="E242"/>
      <c r="F242"/>
      <c r="N242"/>
      <c r="O242"/>
      <c r="P242"/>
      <c r="Q242"/>
      <c r="R242"/>
    </row>
    <row r="243" spans="1:18">
      <c r="A243"/>
      <c r="B243"/>
      <c r="C243"/>
      <c r="D243"/>
      <c r="E243"/>
      <c r="F243"/>
      <c r="N243"/>
      <c r="O243"/>
      <c r="P243"/>
      <c r="Q243"/>
      <c r="R243"/>
    </row>
    <row r="244" spans="1:18">
      <c r="A244"/>
      <c r="B244"/>
      <c r="C244"/>
      <c r="D244"/>
      <c r="E244"/>
      <c r="F244"/>
      <c r="N244"/>
      <c r="O244"/>
      <c r="P244"/>
      <c r="Q244"/>
      <c r="R244"/>
    </row>
    <row r="245" spans="1:18">
      <c r="A245"/>
      <c r="B245"/>
      <c r="C245"/>
      <c r="D245"/>
      <c r="E245"/>
      <c r="F245"/>
    </row>
    <row r="246" spans="1:18">
      <c r="A246"/>
      <c r="B246"/>
      <c r="C246"/>
      <c r="D246"/>
      <c r="E246"/>
      <c r="F246"/>
    </row>
    <row r="247" spans="1:18">
      <c r="A247"/>
      <c r="B247"/>
      <c r="C247"/>
      <c r="D247"/>
      <c r="E247"/>
      <c r="F247"/>
    </row>
    <row r="248" spans="1:18">
      <c r="A248"/>
      <c r="B248"/>
      <c r="C248"/>
      <c r="D248"/>
      <c r="E248"/>
      <c r="F248"/>
    </row>
    <row r="249" spans="1:18">
      <c r="A249"/>
      <c r="B249"/>
      <c r="C249"/>
      <c r="D249"/>
      <c r="E249"/>
      <c r="F249"/>
    </row>
    <row r="250" spans="1:18">
      <c r="A250"/>
      <c r="B250"/>
      <c r="C250"/>
      <c r="D250"/>
      <c r="E250"/>
      <c r="F250"/>
    </row>
    <row r="251" spans="1:18">
      <c r="A251"/>
      <c r="B251"/>
      <c r="C251"/>
      <c r="D251"/>
      <c r="E251"/>
      <c r="F251"/>
    </row>
    <row r="252" spans="1:18">
      <c r="A252"/>
      <c r="B252"/>
      <c r="C252"/>
      <c r="D252"/>
      <c r="E252"/>
      <c r="F252"/>
    </row>
    <row r="253" spans="1:18">
      <c r="A253"/>
      <c r="B253"/>
      <c r="C253"/>
      <c r="D253"/>
      <c r="E253"/>
      <c r="F253"/>
    </row>
    <row r="254" spans="1:18">
      <c r="A254"/>
      <c r="B254"/>
      <c r="C254"/>
      <c r="D254"/>
      <c r="E254"/>
      <c r="F254"/>
    </row>
    <row r="255" spans="1:18">
      <c r="A255"/>
      <c r="B255"/>
      <c r="C255"/>
      <c r="D255"/>
      <c r="E255"/>
      <c r="F255"/>
    </row>
  </sheetData>
  <sheetProtection formatCells="0" insertHyperlinks="0" autoFilter="0"/>
  <mergeCells count="1">
    <mergeCell ref="B1:J1"/>
  </mergeCells>
  <conditionalFormatting sqref="B4:B6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{f068c27f-2007-4729-966a-6f03ab2d2565}</x14:id>
        </ext>
      </extLst>
    </cfRule>
  </conditionalFormatting>
  <conditionalFormatting sqref="C4:C6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{785d8785-09a9-404e-97d1-99301f6b88ee}</x14:id>
        </ext>
      </extLst>
    </cfRule>
  </conditionalFormatting>
  <conditionalFormatting sqref="D4:D5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{4e89f164-0113-4f71-8bfc-916ede293c08}</x14:id>
        </ext>
      </extLst>
    </cfRule>
  </conditionalFormatting>
  <conditionalFormatting sqref="I4:I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{cc16900d-73c8-48a1-9de9-5c2a92af518b}</x14:id>
        </ext>
      </extLst>
    </cfRule>
  </conditionalFormatting>
  <conditionalFormatting sqref="I57:I6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{3ebcefd5-9fb3-4c57-a754-d709ca3aaeba}</x14:id>
        </ext>
      </extLst>
    </cfRule>
  </conditionalFormatting>
  <conditionalFormatting sqref="J4:J6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{2f65b9f4-295d-443e-8398-ce560ba6bead}</x14:id>
        </ext>
      </extLst>
    </cfRule>
  </conditionalFormatting>
  <conditionalFormatting sqref="K4:K5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{d641f203-6021-4805-a346-202cdc51a2cc}</x14:id>
        </ext>
      </extLs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{649c60d0-cd2f-49d0-b2e1-0e3b7a3edeec}</x14:id>
        </ext>
      </extLst>
    </cfRule>
  </conditionalFormatting>
  <conditionalFormatting sqref="D1:D70 D193 D256:D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{5456e248-12ee-4513-b9b3-e1281e19d532}</x14:id>
        </ext>
      </extLst>
    </cfRule>
  </conditionalFormatting>
  <pageMargins left="0.75" right="0.75" top="1" bottom="1" header="0.5" footer="0.5"/>
  <headerFooter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68c27f-2007-4729-966a-6f03ab2d25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B4:B67</xm:sqref>
        </x14:conditionalFormatting>
        <x14:conditionalFormatting xmlns:xm="http://schemas.microsoft.com/office/excel/2006/main">
          <x14:cfRule type="dataBar" id="{785d8785-09a9-404e-97d1-99301f6b8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C4:C67</xm:sqref>
        </x14:conditionalFormatting>
        <x14:conditionalFormatting xmlns:xm="http://schemas.microsoft.com/office/excel/2006/main">
          <x14:cfRule type="dataBar" id="{4e89f164-0113-4f71-8bfc-916ede293c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D4:D58</xm:sqref>
        </x14:conditionalFormatting>
        <x14:conditionalFormatting xmlns:xm="http://schemas.microsoft.com/office/excel/2006/main">
          <x14:cfRule type="dataBar" id="{cc16900d-73c8-48a1-9de9-5c2a92af5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I4:I56</xm:sqref>
        </x14:conditionalFormatting>
        <x14:conditionalFormatting xmlns:xm="http://schemas.microsoft.com/office/excel/2006/main">
          <x14:cfRule type="dataBar" id="{3ebcefd5-9fb3-4c57-a754-d709ca3aae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I57:I67</xm:sqref>
        </x14:conditionalFormatting>
        <x14:conditionalFormatting xmlns:xm="http://schemas.microsoft.com/office/excel/2006/main">
          <x14:cfRule type="dataBar" id="{2f65b9f4-295d-443e-8398-ce560ba6be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J4:J67</xm:sqref>
        </x14:conditionalFormatting>
        <x14:conditionalFormatting xmlns:xm="http://schemas.microsoft.com/office/excel/2006/main">
          <x14:cfRule type="dataBar" id="{d641f203-6021-4805-a346-202cdc51a2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9c60d0-cd2f-49d0-b2e1-0e3b7a3ede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K4:K57</xm:sqref>
        </x14:conditionalFormatting>
        <x14:conditionalFormatting xmlns:xm="http://schemas.microsoft.com/office/excel/2006/main">
          <x14:cfRule type="dataBar" id="{5456e248-12ee-4513-b9b3-e1281e19d5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D1:D70 D193 D256:D1048576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5"/>
  <sheetViews>
    <sheetView workbookViewId="0">
      <pane ySplit="4" topLeftCell="A49" activePane="bottomLeft" state="frozen"/>
      <selection/>
      <selection pane="bottomLeft" activeCell="A7" sqref="A7"/>
    </sheetView>
  </sheetViews>
  <sheetFormatPr defaultColWidth="9" defaultRowHeight="15.6"/>
  <cols>
    <col min="1" max="1" width="15.125" customWidth="1"/>
    <col min="2" max="17" width="16" customWidth="1"/>
  </cols>
  <sheetData>
    <row r="1" ht="18" spans="1:47">
      <c r="A1" s="55"/>
      <c r="B1" s="56" t="s">
        <v>5</v>
      </c>
      <c r="C1" s="57"/>
      <c r="D1" s="57"/>
      <c r="E1" s="57"/>
      <c r="F1" s="57"/>
      <c r="G1" s="57"/>
      <c r="H1" s="57"/>
      <c r="I1" s="57"/>
      <c r="J1" s="58" t="s">
        <v>261</v>
      </c>
      <c r="K1" s="58"/>
      <c r="L1" s="58"/>
      <c r="M1" s="58"/>
      <c r="N1" s="58"/>
      <c r="O1" s="58"/>
      <c r="P1" s="58"/>
      <c r="Q1" s="58"/>
      <c r="S1" s="59" t="s">
        <v>482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ht="91" customHeight="1" spans="1:47">
      <c r="A2" s="55"/>
      <c r="B2" s="60"/>
      <c r="C2" s="61"/>
      <c r="D2" s="61"/>
      <c r="E2" s="61"/>
      <c r="F2" s="61"/>
      <c r="G2" s="61"/>
      <c r="H2" s="61"/>
      <c r="I2" s="61"/>
      <c r="J2" s="58"/>
      <c r="K2" s="58"/>
      <c r="L2" s="58"/>
      <c r="M2" s="58"/>
      <c r="N2" s="58"/>
      <c r="O2" s="58"/>
      <c r="P2" s="58"/>
      <c r="Q2" s="58"/>
      <c r="S2" s="59">
        <v>7</v>
      </c>
      <c r="T2" s="59">
        <v>8</v>
      </c>
      <c r="U2" s="59">
        <v>9</v>
      </c>
      <c r="V2" s="59">
        <v>10</v>
      </c>
      <c r="W2" s="59">
        <v>11</v>
      </c>
      <c r="X2" s="59">
        <v>12</v>
      </c>
      <c r="Y2" s="59">
        <v>13</v>
      </c>
      <c r="Z2" s="59">
        <v>14</v>
      </c>
      <c r="AA2" s="59">
        <v>15</v>
      </c>
      <c r="AB2" s="59">
        <v>16</v>
      </c>
      <c r="AC2" s="59">
        <v>17</v>
      </c>
      <c r="AD2" s="59">
        <v>18</v>
      </c>
      <c r="AE2" s="59">
        <v>19</v>
      </c>
      <c r="AF2" s="59">
        <v>20</v>
      </c>
      <c r="AG2" s="59">
        <v>21</v>
      </c>
      <c r="AH2" s="59">
        <v>22</v>
      </c>
      <c r="AI2" s="59">
        <v>23</v>
      </c>
      <c r="AJ2" s="59">
        <v>24</v>
      </c>
      <c r="AK2" s="59">
        <v>25</v>
      </c>
      <c r="AL2" s="59">
        <v>26</v>
      </c>
      <c r="AM2" s="59">
        <v>27</v>
      </c>
      <c r="AN2" s="59">
        <v>28</v>
      </c>
      <c r="AO2" s="59">
        <v>29</v>
      </c>
      <c r="AP2" s="59">
        <v>30</v>
      </c>
      <c r="AQ2" s="59">
        <v>31</v>
      </c>
      <c r="AR2" s="59">
        <v>32</v>
      </c>
      <c r="AS2" s="59">
        <v>33</v>
      </c>
      <c r="AT2" s="59">
        <v>34</v>
      </c>
      <c r="AU2" s="59">
        <v>35</v>
      </c>
    </row>
    <row r="3" ht="18" spans="1:47">
      <c r="A3" s="62"/>
      <c r="B3" s="13" t="s">
        <v>483</v>
      </c>
      <c r="C3" s="14"/>
      <c r="D3" s="13" t="s">
        <v>484</v>
      </c>
      <c r="E3" s="14"/>
      <c r="F3" s="13" t="s">
        <v>485</v>
      </c>
      <c r="G3" s="14"/>
      <c r="H3" s="17" t="s">
        <v>486</v>
      </c>
      <c r="I3" s="17"/>
      <c r="J3" s="13" t="s">
        <v>483</v>
      </c>
      <c r="K3" s="14"/>
      <c r="L3" s="13" t="s">
        <v>484</v>
      </c>
      <c r="M3" s="14"/>
      <c r="N3" s="13" t="s">
        <v>485</v>
      </c>
      <c r="O3" s="14"/>
      <c r="P3" s="17" t="s">
        <v>486</v>
      </c>
      <c r="Q3" s="17"/>
    </row>
    <row r="4" ht="19.2" spans="1:47">
      <c r="A4" s="63" t="s">
        <v>277</v>
      </c>
      <c r="B4" s="64" t="s">
        <v>487</v>
      </c>
      <c r="C4" s="64" t="s">
        <v>488</v>
      </c>
      <c r="D4" s="64" t="s">
        <v>487</v>
      </c>
      <c r="E4" s="64" t="s">
        <v>488</v>
      </c>
      <c r="F4" s="64" t="s">
        <v>487</v>
      </c>
      <c r="G4" s="64" t="s">
        <v>488</v>
      </c>
      <c r="H4" s="64" t="s">
        <v>487</v>
      </c>
      <c r="I4" s="64" t="s">
        <v>488</v>
      </c>
      <c r="J4" s="64" t="s">
        <v>487</v>
      </c>
      <c r="K4" s="64" t="s">
        <v>488</v>
      </c>
      <c r="L4" s="64" t="s">
        <v>487</v>
      </c>
      <c r="M4" s="64" t="s">
        <v>488</v>
      </c>
      <c r="N4" s="64" t="s">
        <v>487</v>
      </c>
      <c r="O4" s="64" t="s">
        <v>488</v>
      </c>
      <c r="P4" s="64" t="s">
        <v>487</v>
      </c>
      <c r="Q4" s="64" t="s">
        <v>488</v>
      </c>
    </row>
    <row r="5" ht="17.4" spans="1:47">
      <c r="A5" s="65" t="s">
        <v>489</v>
      </c>
      <c r="B5" s="59" t="str">
        <f>_xlfn.IFNA(IF(VLOOKUP($B$1&amp;$A5,'4.1 关键词原始数据'!$A:$N,S$2,FALSE)=0," ",VLOOKUP($B$1&amp;$A5,'4.1 关键词原始数据'!$A:$N,S$2,FALSE))," ")</f>
        <v> </v>
      </c>
      <c r="C5" s="59" t="str">
        <f>_xlfn.IFNA(IF(VLOOKUP($B$1&amp;$A5,'4.1 关键词原始数据'!$A:$N,T$2,FALSE)=0," ",VLOOKUP($B$1&amp;$A5,'4.1 关键词原始数据'!$A:$N,T$2,FALSE))," ")</f>
        <v>3-7-2</v>
      </c>
      <c r="D5" s="59" t="str">
        <f>_xlfn.IFNA(IF(VLOOKUP($B$1&amp;$A5,'4.1 关键词原始数据'!$A:$N,U$2,FALSE)=0," ",VLOOKUP($B$1&amp;$A5,'4.1 关键词原始数据'!$A:$N,U$2,FALSE))," ")</f>
        <v> </v>
      </c>
      <c r="E5" s="59" t="str">
        <f>_xlfn.IFNA(IF(VLOOKUP($B$1&amp;$A5,'4.1 关键词原始数据'!$A:$N,V$2,FALSE)=0," ",VLOOKUP($B$1&amp;$A5,'4.1 关键词原始数据'!$A:$N,V$2,FALSE))," ")</f>
        <v> </v>
      </c>
      <c r="F5" s="59" t="str">
        <f>_xlfn.IFNA(IF(VLOOKUP($B$1&amp;$A5,'4.1 关键词原始数据'!$A:$N,W$2,FALSE)=0," ",VLOOKUP($B$1&amp;$A5,'4.1 关键词原始数据'!$A:$N,W$2,FALSE))," ")</f>
        <v> </v>
      </c>
      <c r="G5" s="59" t="str">
        <f>_xlfn.IFNA(IF(VLOOKUP($B$1&amp;$A5,'4.1 关键词原始数据'!$A:$N,X$2,FALSE)=0," ",VLOOKUP($B$1&amp;$A5,'4.1 关键词原始数据'!$A:$N,X$2,FALSE))," ")</f>
        <v>1-17-1</v>
      </c>
      <c r="H5" s="59" t="str">
        <f>_xlfn.IFNA(IF(VLOOKUP($B$1&amp;$A5,'4.1 关键词原始数据'!$A:$N,Y$2,FALSE)=0," ",VLOOKUP($B$1&amp;$A5,'4.1 关键词原始数据'!$A:$N,Y$2,FALSE))," ")</f>
        <v> </v>
      </c>
      <c r="I5" s="59" t="str">
        <f>_xlfn.IFNA(IF(VLOOKUP($B$1&amp;$A5,'4.1 关键词原始数据'!$A:$N,Z$2,FALSE)=0," ",VLOOKUP($B$1&amp;$A5,'4.1 关键词原始数据'!$A:$N,Z$2,FALSE))," ")</f>
        <v> </v>
      </c>
      <c r="J5" s="59" t="str">
        <f>_xlfn.IFNA(IF(VLOOKUP($J$1&amp;$A5,'4.1 关键词原始数据'!$A:$N,S$2,FALSE)=0," ",VLOOKUP($J$1&amp;$A5,'4.1 关键词原始数据'!$A:$N,S$2,FALSE))," ")</f>
        <v> </v>
      </c>
      <c r="K5" s="59" t="str">
        <f>_xlfn.IFNA(IF(VLOOKUP($J$1&amp;$A5,'4.1 关键词原始数据'!$A:$N,T$2,FALSE)=0," ",VLOOKUP($J$1&amp;$A5,'4.1 关键词原始数据'!$A:$N,T$2,FALSE))," ")</f>
        <v> </v>
      </c>
      <c r="L5" s="59" t="str">
        <f>_xlfn.IFNA(IF(VLOOKUP($J$1&amp;$A5,'4.1 关键词原始数据'!$A:$N,U$2,FALSE)=0," ",VLOOKUP($J$1&amp;$A5,'4.1 关键词原始数据'!$A:$N,U$2,FALSE))," ")</f>
        <v> </v>
      </c>
      <c r="M5" s="59" t="str">
        <f>_xlfn.IFNA(IF(VLOOKUP($J$1&amp;$A5,'4.1 关键词原始数据'!$A:$N,V$2,FALSE)=0," ",VLOOKUP($J$1&amp;$A5,'4.1 关键词原始数据'!$A:$N,V$2,FALSE))," ")</f>
        <v> </v>
      </c>
      <c r="N5" s="59" t="str">
        <f>_xlfn.IFNA(IF(VLOOKUP($J$1&amp;$A5,'4.1 关键词原始数据'!$A:$N,W$2,FALSE)=0," ",VLOOKUP($J$1&amp;$A5,'4.1 关键词原始数据'!$A:$N,W$2,FALSE))," ")</f>
        <v> </v>
      </c>
      <c r="O5" s="59" t="str">
        <f>_xlfn.IFNA(IF(VLOOKUP($J$1&amp;$A5,'4.1 关键词原始数据'!$A:$N,X$2,FALSE)=0," ",VLOOKUP($J$1&amp;$A5,'4.1 关键词原始数据'!$A:$N,X$2,FALSE))," ")</f>
        <v> </v>
      </c>
      <c r="P5" s="59" t="str">
        <f>_xlfn.IFNA(IF(VLOOKUP($J$1&amp;$A5,'4.1 关键词原始数据'!$A:$N,Y$2,FALSE)=0," ",VLOOKUP($J$1&amp;$A5,'4.1 关键词原始数据'!$A:$N,Y$2,FALSE))," ")</f>
        <v> </v>
      </c>
      <c r="Q5" s="59" t="str">
        <f>_xlfn.IFNA(IF(VLOOKUP($J$1&amp;$A5,'4.1 关键词原始数据'!$A:$N,Z$2,FALSE)=0," ",VLOOKUP($J$1&amp;$A5,'4.1 关键词原始数据'!$A:$N,Z$2,FALSE))," ")</f>
        <v> </v>
      </c>
    </row>
    <row r="6" ht="17.4" spans="1:47">
      <c r="A6" s="65" t="s">
        <v>490</v>
      </c>
      <c r="B6" s="59" t="str">
        <f>_xlfn.IFNA(IF(VLOOKUP($B$1&amp;$A6,'4.1 关键词原始数据'!$A:$N,S$2,FALSE)=0," ",VLOOKUP($B$1&amp;$A6,'4.1 关键词原始数据'!$A:$N,S$2,FALSE))," ")</f>
        <v> </v>
      </c>
      <c r="C6" s="59" t="str">
        <f>_xlfn.IFNA(IF(VLOOKUP($B$1&amp;$A6,'4.1 关键词原始数据'!$A:$N,T$2,FALSE)=0," ",VLOOKUP($B$1&amp;$A6,'4.1 关键词原始数据'!$A:$N,T$2,FALSE))," ")</f>
        <v> </v>
      </c>
      <c r="D6" s="59" t="str">
        <f>_xlfn.IFNA(IF(VLOOKUP($B$1&amp;$A6,'4.1 关键词原始数据'!$A:$N,U$2,FALSE)=0," ",VLOOKUP($B$1&amp;$A6,'4.1 关键词原始数据'!$A:$N,U$2,FALSE))," ")</f>
        <v> </v>
      </c>
      <c r="E6" s="59" t="str">
        <f>_xlfn.IFNA(IF(VLOOKUP($B$1&amp;$A6,'4.1 关键词原始数据'!$A:$N,V$2,FALSE)=0," ",VLOOKUP($B$1&amp;$A6,'4.1 关键词原始数据'!$A:$N,V$2,FALSE))," ")</f>
        <v> </v>
      </c>
      <c r="F6" s="59" t="str">
        <f>_xlfn.IFNA(IF(VLOOKUP($B$1&amp;$A6,'4.1 关键词原始数据'!$A:$N,W$2,FALSE)=0," ",VLOOKUP($B$1&amp;$A6,'4.1 关键词原始数据'!$A:$N,W$2,FALSE))," ")</f>
        <v> </v>
      </c>
      <c r="G6" s="59" t="str">
        <f>_xlfn.IFNA(IF(VLOOKUP($B$1&amp;$A6,'4.1 关键词原始数据'!$A:$N,X$2,FALSE)=0," ",VLOOKUP($B$1&amp;$A6,'4.1 关键词原始数据'!$A:$N,X$2,FALSE))," ")</f>
        <v> </v>
      </c>
      <c r="H6" s="59" t="str">
        <f>_xlfn.IFNA(IF(VLOOKUP($B$1&amp;$A6,'4.1 关键词原始数据'!$A:$N,Y$2,FALSE)=0," ",VLOOKUP($B$1&amp;$A6,'4.1 关键词原始数据'!$A:$N,Y$2,FALSE))," ")</f>
        <v> </v>
      </c>
      <c r="I6" s="59" t="str">
        <f>_xlfn.IFNA(IF(VLOOKUP($B$1&amp;$A6,'4.1 关键词原始数据'!$A:$N,Z$2,FALSE)=0," ",VLOOKUP($B$1&amp;$A6,'4.1 关键词原始数据'!$A:$N,Z$2,FALSE))," ")</f>
        <v> </v>
      </c>
      <c r="J6" s="59" t="str">
        <f>_xlfn.IFNA(IF(VLOOKUP($J$1&amp;$A6,'4.1 关键词原始数据'!$A:$N,S$2,FALSE)=0," ",VLOOKUP($J$1&amp;$A6,'4.1 关键词原始数据'!$A:$N,S$2,FALSE))," ")</f>
        <v> </v>
      </c>
      <c r="K6" s="59" t="str">
        <f>_xlfn.IFNA(IF(VLOOKUP($J$1&amp;$A6,'4.1 关键词原始数据'!$A:$N,T$2,FALSE)=0," ",VLOOKUP($J$1&amp;$A6,'4.1 关键词原始数据'!$A:$N,T$2,FALSE))," ")</f>
        <v> </v>
      </c>
      <c r="L6" s="59" t="str">
        <f>_xlfn.IFNA(IF(VLOOKUP($J$1&amp;$A6,'4.1 关键词原始数据'!$A:$N,U$2,FALSE)=0," ",VLOOKUP($J$1&amp;$A6,'4.1 关键词原始数据'!$A:$N,U$2,FALSE))," ")</f>
        <v> </v>
      </c>
      <c r="M6" s="59" t="str">
        <f>_xlfn.IFNA(IF(VLOOKUP($J$1&amp;$A6,'4.1 关键词原始数据'!$A:$N,V$2,FALSE)=0," ",VLOOKUP($J$1&amp;$A6,'4.1 关键词原始数据'!$A:$N,V$2,FALSE))," ")</f>
        <v> </v>
      </c>
      <c r="N6" s="59" t="str">
        <f>_xlfn.IFNA(IF(VLOOKUP($J$1&amp;$A6,'4.1 关键词原始数据'!$A:$N,W$2,FALSE)=0," ",VLOOKUP($J$1&amp;$A6,'4.1 关键词原始数据'!$A:$N,W$2,FALSE))," ")</f>
        <v> </v>
      </c>
      <c r="O6" s="59" t="str">
        <f>_xlfn.IFNA(IF(VLOOKUP($J$1&amp;$A6,'4.1 关键词原始数据'!$A:$N,X$2,FALSE)=0," ",VLOOKUP($J$1&amp;$A6,'4.1 关键词原始数据'!$A:$N,X$2,FALSE))," ")</f>
        <v> </v>
      </c>
      <c r="P6" s="59" t="str">
        <f>_xlfn.IFNA(IF(VLOOKUP($J$1&amp;$A6,'4.1 关键词原始数据'!$A:$N,Y$2,FALSE)=0," ",VLOOKUP($J$1&amp;$A6,'4.1 关键词原始数据'!$A:$N,Y$2,FALSE))," ")</f>
        <v> </v>
      </c>
      <c r="Q6" s="59" t="str">
        <f>_xlfn.IFNA(IF(VLOOKUP($J$1&amp;$A6,'4.1 关键词原始数据'!$A:$N,Z$2,FALSE)=0," ",VLOOKUP($J$1&amp;$A6,'4.1 关键词原始数据'!$A:$N,Z$2,FALSE))," ")</f>
        <v> </v>
      </c>
    </row>
    <row r="7" ht="17.4" spans="1:47">
      <c r="A7" s="65" t="s">
        <v>491</v>
      </c>
      <c r="B7" s="59" t="str">
        <f>_xlfn.IFNA(IF(VLOOKUP($B$1&amp;$A7,'4.1 关键词原始数据'!$A:$N,S$2,FALSE)=0," ",VLOOKUP($B$1&amp;$A7,'4.1 关键词原始数据'!$A:$N,S$2,FALSE))," ")</f>
        <v> </v>
      </c>
      <c r="C7" s="59" t="str">
        <f>_xlfn.IFNA(IF(VLOOKUP($B$1&amp;$A7,'4.1 关键词原始数据'!$A:$N,T$2,FALSE)=0," ",VLOOKUP($B$1&amp;$A7,'4.1 关键词原始数据'!$A:$N,T$2,FALSE))," ")</f>
        <v>2-12-4</v>
      </c>
      <c r="D7" s="59" t="str">
        <f>_xlfn.IFNA(IF(VLOOKUP($B$1&amp;$A7,'4.1 关键词原始数据'!$A:$N,U$2,FALSE)=0," ",VLOOKUP($B$1&amp;$A7,'4.1 关键词原始数据'!$A:$N,U$2,FALSE))," ")</f>
        <v> </v>
      </c>
      <c r="E7" s="59" t="str">
        <f>_xlfn.IFNA(IF(VLOOKUP($B$1&amp;$A7,'4.1 关键词原始数据'!$A:$N,V$2,FALSE)=0," ",VLOOKUP($B$1&amp;$A7,'4.1 关键词原始数据'!$A:$N,V$2,FALSE))," ")</f>
        <v>2-4-4</v>
      </c>
      <c r="F7" s="59" t="str">
        <f>_xlfn.IFNA(IF(VLOOKUP($B$1&amp;$A7,'4.1 关键词原始数据'!$A:$N,W$2,FALSE)=0," ",VLOOKUP($B$1&amp;$A7,'4.1 关键词原始数据'!$A:$N,W$2,FALSE))," ")</f>
        <v> </v>
      </c>
      <c r="G7" s="59" t="str">
        <f>_xlfn.IFNA(IF(VLOOKUP($B$1&amp;$A7,'4.1 关键词原始数据'!$A:$N,X$2,FALSE)=0," ",VLOOKUP($B$1&amp;$A7,'4.1 关键词原始数据'!$A:$N,X$2,FALSE))," ")</f>
        <v> </v>
      </c>
      <c r="H7" s="59" t="str">
        <f>_xlfn.IFNA(IF(VLOOKUP($B$1&amp;$A7,'4.1 关键词原始数据'!$A:$N,Y$2,FALSE)=0," ",VLOOKUP($B$1&amp;$A7,'4.1 关键词原始数据'!$A:$N,Y$2,FALSE))," ")</f>
        <v> </v>
      </c>
      <c r="I7" s="59" t="str">
        <f>_xlfn.IFNA(IF(VLOOKUP($B$1&amp;$A7,'4.1 关键词原始数据'!$A:$N,Z$2,FALSE)=0," ",VLOOKUP($B$1&amp;$A7,'4.1 关键词原始数据'!$A:$N,Z$2,FALSE))," ")</f>
        <v> </v>
      </c>
      <c r="J7" s="59" t="str">
        <f>_xlfn.IFNA(IF(VLOOKUP($J$1&amp;$A7,'4.1 关键词原始数据'!$A:$N,S$2,FALSE)=0," ",VLOOKUP($J$1&amp;$A7,'4.1 关键词原始数据'!$A:$N,S$2,FALSE))," ")</f>
        <v> </v>
      </c>
      <c r="K7" s="59" t="str">
        <f>_xlfn.IFNA(IF(VLOOKUP($J$1&amp;$A7,'4.1 关键词原始数据'!$A:$N,T$2,FALSE)=0," ",VLOOKUP($J$1&amp;$A7,'4.1 关键词原始数据'!$A:$N,T$2,FALSE))," ")</f>
        <v> </v>
      </c>
      <c r="L7" s="59" t="str">
        <f>_xlfn.IFNA(IF(VLOOKUP($J$1&amp;$A7,'4.1 关键词原始数据'!$A:$N,U$2,FALSE)=0," ",VLOOKUP($J$1&amp;$A7,'4.1 关键词原始数据'!$A:$N,U$2,FALSE))," ")</f>
        <v> </v>
      </c>
      <c r="M7" s="59" t="str">
        <f>_xlfn.IFNA(IF(VLOOKUP($J$1&amp;$A7,'4.1 关键词原始数据'!$A:$N,V$2,FALSE)=0," ",VLOOKUP($J$1&amp;$A7,'4.1 关键词原始数据'!$A:$N,V$2,FALSE))," ")</f>
        <v> </v>
      </c>
      <c r="N7" s="59" t="str">
        <f>_xlfn.IFNA(IF(VLOOKUP($J$1&amp;$A7,'4.1 关键词原始数据'!$A:$N,W$2,FALSE)=0," ",VLOOKUP($J$1&amp;$A7,'4.1 关键词原始数据'!$A:$N,W$2,FALSE))," ")</f>
        <v> </v>
      </c>
      <c r="O7" s="59" t="str">
        <f>_xlfn.IFNA(IF(VLOOKUP($J$1&amp;$A7,'4.1 关键词原始数据'!$A:$N,X$2,FALSE)=0," ",VLOOKUP($J$1&amp;$A7,'4.1 关键词原始数据'!$A:$N,X$2,FALSE))," ")</f>
        <v> </v>
      </c>
      <c r="P7" s="59" t="str">
        <f>_xlfn.IFNA(IF(VLOOKUP($J$1&amp;$A7,'4.1 关键词原始数据'!$A:$N,Y$2,FALSE)=0," ",VLOOKUP($J$1&amp;$A7,'4.1 关键词原始数据'!$A:$N,Y$2,FALSE))," ")</f>
        <v> </v>
      </c>
      <c r="Q7" s="59" t="str">
        <f>_xlfn.IFNA(IF(VLOOKUP($J$1&amp;$A7,'4.1 关键词原始数据'!$A:$N,Z$2,FALSE)=0," ",VLOOKUP($J$1&amp;$A7,'4.1 关键词原始数据'!$A:$N,Z$2,FALSE))," ")</f>
        <v> </v>
      </c>
    </row>
    <row r="8" ht="17.4" spans="1:47">
      <c r="A8" s="65" t="s">
        <v>492</v>
      </c>
      <c r="B8" s="59" t="str">
        <f>_xlfn.IFNA(IF(VLOOKUP($B$1&amp;$A8,'4.1 关键词原始数据'!$A:$N,S$2,FALSE)=0," ",VLOOKUP($B$1&amp;$A8,'4.1 关键词原始数据'!$A:$N,S$2,FALSE))," ")</f>
        <v> </v>
      </c>
      <c r="C8" s="59" t="str">
        <f>_xlfn.IFNA(IF(VLOOKUP($B$1&amp;$A8,'4.1 关键词原始数据'!$A:$N,T$2,FALSE)=0," ",VLOOKUP($B$1&amp;$A8,'4.1 关键词原始数据'!$A:$N,T$2,FALSE))," ")</f>
        <v> </v>
      </c>
      <c r="D8" s="59" t="str">
        <f>_xlfn.IFNA(IF(VLOOKUP($B$1&amp;$A8,'4.1 关键词原始数据'!$A:$N,U$2,FALSE)=0," ",VLOOKUP($B$1&amp;$A8,'4.1 关键词原始数据'!$A:$N,U$2,FALSE))," ")</f>
        <v> </v>
      </c>
      <c r="E8" s="59" t="str">
        <f>_xlfn.IFNA(IF(VLOOKUP($B$1&amp;$A8,'4.1 关键词原始数据'!$A:$N,V$2,FALSE)=0," ",VLOOKUP($B$1&amp;$A8,'4.1 关键词原始数据'!$A:$N,V$2,FALSE))," ")</f>
        <v> </v>
      </c>
      <c r="F8" s="59" t="str">
        <f>_xlfn.IFNA(IF(VLOOKUP($B$1&amp;$A8,'4.1 关键词原始数据'!$A:$N,W$2,FALSE)=0," ",VLOOKUP($B$1&amp;$A8,'4.1 关键词原始数据'!$A:$N,W$2,FALSE))," ")</f>
        <v> </v>
      </c>
      <c r="G8" s="59" t="str">
        <f>_xlfn.IFNA(IF(VLOOKUP($B$1&amp;$A8,'4.1 关键词原始数据'!$A:$N,X$2,FALSE)=0," ",VLOOKUP($B$1&amp;$A8,'4.1 关键词原始数据'!$A:$N,X$2,FALSE))," ")</f>
        <v> </v>
      </c>
      <c r="H8" s="59" t="str">
        <f>_xlfn.IFNA(IF(VLOOKUP($B$1&amp;$A8,'4.1 关键词原始数据'!$A:$N,Y$2,FALSE)=0," ",VLOOKUP($B$1&amp;$A8,'4.1 关键词原始数据'!$A:$N,Y$2,FALSE))," ")</f>
        <v> </v>
      </c>
      <c r="I8" s="59" t="str">
        <f>_xlfn.IFNA(IF(VLOOKUP($B$1&amp;$A8,'4.1 关键词原始数据'!$A:$N,Z$2,FALSE)=0," ",VLOOKUP($B$1&amp;$A8,'4.1 关键词原始数据'!$A:$N,Z$2,FALSE))," ")</f>
        <v> </v>
      </c>
      <c r="J8" s="59" t="str">
        <f>_xlfn.IFNA(IF(VLOOKUP($J$1&amp;$A8,'4.1 关键词原始数据'!$A:$N,S$2,FALSE)=0," ",VLOOKUP($J$1&amp;$A8,'4.1 关键词原始数据'!$A:$N,S$2,FALSE))," ")</f>
        <v> </v>
      </c>
      <c r="K8" s="59" t="str">
        <f>_xlfn.IFNA(IF(VLOOKUP($J$1&amp;$A8,'4.1 关键词原始数据'!$A:$N,T$2,FALSE)=0," ",VLOOKUP($J$1&amp;$A8,'4.1 关键词原始数据'!$A:$N,T$2,FALSE))," ")</f>
        <v> </v>
      </c>
      <c r="L8" s="59" t="str">
        <f>_xlfn.IFNA(IF(VLOOKUP($J$1&amp;$A8,'4.1 关键词原始数据'!$A:$N,U$2,FALSE)=0," ",VLOOKUP($J$1&amp;$A8,'4.1 关键词原始数据'!$A:$N,U$2,FALSE))," ")</f>
        <v> </v>
      </c>
      <c r="M8" s="59" t="str">
        <f>_xlfn.IFNA(IF(VLOOKUP($J$1&amp;$A8,'4.1 关键词原始数据'!$A:$N,V$2,FALSE)=0," ",VLOOKUP($J$1&amp;$A8,'4.1 关键词原始数据'!$A:$N,V$2,FALSE))," ")</f>
        <v> </v>
      </c>
      <c r="N8" s="59" t="str">
        <f>_xlfn.IFNA(IF(VLOOKUP($J$1&amp;$A8,'4.1 关键词原始数据'!$A:$N,W$2,FALSE)=0," ",VLOOKUP($J$1&amp;$A8,'4.1 关键词原始数据'!$A:$N,W$2,FALSE))," ")</f>
        <v> </v>
      </c>
      <c r="O8" s="59" t="str">
        <f>_xlfn.IFNA(IF(VLOOKUP($J$1&amp;$A8,'4.1 关键词原始数据'!$A:$N,X$2,FALSE)=0," ",VLOOKUP($J$1&amp;$A8,'4.1 关键词原始数据'!$A:$N,X$2,FALSE))," ")</f>
        <v> </v>
      </c>
      <c r="P8" s="59" t="str">
        <f>_xlfn.IFNA(IF(VLOOKUP($J$1&amp;$A8,'4.1 关键词原始数据'!$A:$N,Y$2,FALSE)=0," ",VLOOKUP($J$1&amp;$A8,'4.1 关键词原始数据'!$A:$N,Y$2,FALSE))," ")</f>
        <v> </v>
      </c>
      <c r="Q8" s="59" t="str">
        <f>_xlfn.IFNA(IF(VLOOKUP($J$1&amp;$A8,'4.1 关键词原始数据'!$A:$N,Z$2,FALSE)=0," ",VLOOKUP($J$1&amp;$A8,'4.1 关键词原始数据'!$A:$N,Z$2,FALSE))," ")</f>
        <v> </v>
      </c>
    </row>
    <row r="9" ht="17.4" spans="1:47">
      <c r="A9" s="65" t="s">
        <v>493</v>
      </c>
      <c r="B9" s="59" t="str">
        <f>_xlfn.IFNA(IF(VLOOKUP($B$1&amp;$A9,'4.1 关键词原始数据'!$A:$N,S$2,FALSE)=0," ",VLOOKUP($B$1&amp;$A9,'4.1 关键词原始数据'!$A:$N,S$2,FALSE))," ")</f>
        <v> </v>
      </c>
      <c r="C9" s="59" t="str">
        <f>_xlfn.IFNA(IF(VLOOKUP($B$1&amp;$A9,'4.1 关键词原始数据'!$A:$N,T$2,FALSE)=0," ",VLOOKUP($B$1&amp;$A9,'4.1 关键词原始数据'!$A:$N,T$2,FALSE))," ")</f>
        <v>2-14-4</v>
      </c>
      <c r="D9" s="59" t="str">
        <f>_xlfn.IFNA(IF(VLOOKUP($B$1&amp;$A9,'4.1 关键词原始数据'!$A:$N,U$2,FALSE)=0," ",VLOOKUP($B$1&amp;$A9,'4.1 关键词原始数据'!$A:$N,U$2,FALSE))," ")</f>
        <v> </v>
      </c>
      <c r="E9" s="59" t="str">
        <f>_xlfn.IFNA(IF(VLOOKUP($B$1&amp;$A9,'4.1 关键词原始数据'!$A:$N,V$2,FALSE)=0," ",VLOOKUP($B$1&amp;$A9,'4.1 关键词原始数据'!$A:$N,V$2,FALSE))," ")</f>
        <v> </v>
      </c>
      <c r="F9" s="59" t="str">
        <f>_xlfn.IFNA(IF(VLOOKUP($B$1&amp;$A9,'4.1 关键词原始数据'!$A:$N,W$2,FALSE)=0," ",VLOOKUP($B$1&amp;$A9,'4.1 关键词原始数据'!$A:$N,W$2,FALSE))," ")</f>
        <v> </v>
      </c>
      <c r="G9" s="59" t="str">
        <f>_xlfn.IFNA(IF(VLOOKUP($B$1&amp;$A9,'4.1 关键词原始数据'!$A:$N,X$2,FALSE)=0," ",VLOOKUP($B$1&amp;$A9,'4.1 关键词原始数据'!$A:$N,X$2,FALSE))," ")</f>
        <v>2-7-4</v>
      </c>
      <c r="H9" s="59" t="str">
        <f>_xlfn.IFNA(IF(VLOOKUP($B$1&amp;$A9,'4.1 关键词原始数据'!$A:$N,Y$2,FALSE)=0," ",VLOOKUP($B$1&amp;$A9,'4.1 关键词原始数据'!$A:$N,Y$2,FALSE))," ")</f>
        <v> </v>
      </c>
      <c r="I9" s="59" t="str">
        <f>_xlfn.IFNA(IF(VLOOKUP($B$1&amp;$A9,'4.1 关键词原始数据'!$A:$N,Z$2,FALSE)=0," ",VLOOKUP($B$1&amp;$A9,'4.1 关键词原始数据'!$A:$N,Z$2,FALSE))," ")</f>
        <v> </v>
      </c>
      <c r="J9" s="59" t="str">
        <f>_xlfn.IFNA(IF(VLOOKUP($J$1&amp;$A9,'4.1 关键词原始数据'!$A:$N,S$2,FALSE)=0," ",VLOOKUP($J$1&amp;$A9,'4.1 关键词原始数据'!$A:$N,S$2,FALSE))," ")</f>
        <v> </v>
      </c>
      <c r="K9" s="59" t="str">
        <f>_xlfn.IFNA(IF(VLOOKUP($J$1&amp;$A9,'4.1 关键词原始数据'!$A:$N,T$2,FALSE)=0," ",VLOOKUP($J$1&amp;$A9,'4.1 关键词原始数据'!$A:$N,T$2,FALSE))," ")</f>
        <v> </v>
      </c>
      <c r="L9" s="59" t="str">
        <f>_xlfn.IFNA(IF(VLOOKUP($J$1&amp;$A9,'4.1 关键词原始数据'!$A:$N,U$2,FALSE)=0," ",VLOOKUP($J$1&amp;$A9,'4.1 关键词原始数据'!$A:$N,U$2,FALSE))," ")</f>
        <v> </v>
      </c>
      <c r="M9" s="59" t="str">
        <f>_xlfn.IFNA(IF(VLOOKUP($J$1&amp;$A9,'4.1 关键词原始数据'!$A:$N,V$2,FALSE)=0," ",VLOOKUP($J$1&amp;$A9,'4.1 关键词原始数据'!$A:$N,V$2,FALSE))," ")</f>
        <v>3-16-4</v>
      </c>
      <c r="N9" s="59" t="str">
        <f>_xlfn.IFNA(IF(VLOOKUP($J$1&amp;$A9,'4.1 关键词原始数据'!$A:$N,W$2,FALSE)=0," ",VLOOKUP($J$1&amp;$A9,'4.1 关键词原始数据'!$A:$N,W$2,FALSE))," ")</f>
        <v> </v>
      </c>
      <c r="O9" s="59" t="str">
        <f>_xlfn.IFNA(IF(VLOOKUP($J$1&amp;$A9,'4.1 关键词原始数据'!$A:$N,X$2,FALSE)=0," ",VLOOKUP($J$1&amp;$A9,'4.1 关键词原始数据'!$A:$N,X$2,FALSE))," ")</f>
        <v> </v>
      </c>
      <c r="P9" s="59" t="str">
        <f>_xlfn.IFNA(IF(VLOOKUP($J$1&amp;$A9,'4.1 关键词原始数据'!$A:$N,Y$2,FALSE)=0," ",VLOOKUP($J$1&amp;$A9,'4.1 关键词原始数据'!$A:$N,Y$2,FALSE))," ")</f>
        <v> </v>
      </c>
      <c r="Q9" s="59" t="str">
        <f>_xlfn.IFNA(IF(VLOOKUP($J$1&amp;$A9,'4.1 关键词原始数据'!$A:$N,Z$2,FALSE)=0," ",VLOOKUP($J$1&amp;$A9,'4.1 关键词原始数据'!$A:$N,Z$2,FALSE))," ")</f>
        <v> </v>
      </c>
    </row>
    <row r="10" ht="17.4" spans="1:47">
      <c r="A10" s="65" t="s">
        <v>494</v>
      </c>
      <c r="B10" s="59" t="str">
        <f>_xlfn.IFNA(IF(VLOOKUP($B$1&amp;$A10,'4.1 关键词原始数据'!$A:$N,S$2,FALSE)=0," ",VLOOKUP($B$1&amp;$A10,'4.1 关键词原始数据'!$A:$N,S$2,FALSE))," ")</f>
        <v> </v>
      </c>
      <c r="C10" s="59" t="str">
        <f>_xlfn.IFNA(IF(VLOOKUP($B$1&amp;$A10,'4.1 关键词原始数据'!$A:$N,T$2,FALSE)=0," ",VLOOKUP($B$1&amp;$A10,'4.1 关键词原始数据'!$A:$N,T$2,FALSE))," ")</f>
        <v> </v>
      </c>
      <c r="D10" s="59" t="str">
        <f>_xlfn.IFNA(IF(VLOOKUP($B$1&amp;$A10,'4.1 关键词原始数据'!$A:$N,U$2,FALSE)=0," ",VLOOKUP($B$1&amp;$A10,'4.1 关键词原始数据'!$A:$N,U$2,FALSE))," ")</f>
        <v> </v>
      </c>
      <c r="E10" s="59" t="str">
        <f>_xlfn.IFNA(IF(VLOOKUP($B$1&amp;$A10,'4.1 关键词原始数据'!$A:$N,V$2,FALSE)=0," ",VLOOKUP($B$1&amp;$A10,'4.1 关键词原始数据'!$A:$N,V$2,FALSE))," ")</f>
        <v> </v>
      </c>
      <c r="F10" s="59" t="str">
        <f>_xlfn.IFNA(IF(VLOOKUP($B$1&amp;$A10,'4.1 关键词原始数据'!$A:$N,W$2,FALSE)=0," ",VLOOKUP($B$1&amp;$A10,'4.1 关键词原始数据'!$A:$N,W$2,FALSE))," ")</f>
        <v> </v>
      </c>
      <c r="G10" s="59" t="str">
        <f>_xlfn.IFNA(IF(VLOOKUP($B$1&amp;$A10,'4.1 关键词原始数据'!$A:$N,X$2,FALSE)=0," ",VLOOKUP($B$1&amp;$A10,'4.1 关键词原始数据'!$A:$N,X$2,FALSE))," ")</f>
        <v> </v>
      </c>
      <c r="H10" s="59" t="str">
        <f>_xlfn.IFNA(IF(VLOOKUP($B$1&amp;$A10,'4.1 关键词原始数据'!$A:$N,Y$2,FALSE)=0," ",VLOOKUP($B$1&amp;$A10,'4.1 关键词原始数据'!$A:$N,Y$2,FALSE))," ")</f>
        <v> </v>
      </c>
      <c r="I10" s="59" t="str">
        <f>_xlfn.IFNA(IF(VLOOKUP($B$1&amp;$A10,'4.1 关键词原始数据'!$A:$N,Z$2,FALSE)=0," ",VLOOKUP($B$1&amp;$A10,'4.1 关键词原始数据'!$A:$N,Z$2,FALSE))," ")</f>
        <v> </v>
      </c>
      <c r="J10" s="59" t="str">
        <f>_xlfn.IFNA(IF(VLOOKUP($J$1&amp;$A10,'4.1 关键词原始数据'!$A:$N,S$2,FALSE)=0," ",VLOOKUP($J$1&amp;$A10,'4.1 关键词原始数据'!$A:$N,S$2,FALSE))," ")</f>
        <v> </v>
      </c>
      <c r="K10" s="59" t="str">
        <f>_xlfn.IFNA(IF(VLOOKUP($J$1&amp;$A10,'4.1 关键词原始数据'!$A:$N,T$2,FALSE)=0," ",VLOOKUP($J$1&amp;$A10,'4.1 关键词原始数据'!$A:$N,T$2,FALSE))," ")</f>
        <v> </v>
      </c>
      <c r="L10" s="59" t="str">
        <f>_xlfn.IFNA(IF(VLOOKUP($J$1&amp;$A10,'4.1 关键词原始数据'!$A:$N,U$2,FALSE)=0," ",VLOOKUP($J$1&amp;$A10,'4.1 关键词原始数据'!$A:$N,U$2,FALSE))," ")</f>
        <v> </v>
      </c>
      <c r="M10" s="59" t="str">
        <f>_xlfn.IFNA(IF(VLOOKUP($J$1&amp;$A10,'4.1 关键词原始数据'!$A:$N,V$2,FALSE)=0," ",VLOOKUP($J$1&amp;$A10,'4.1 关键词原始数据'!$A:$N,V$2,FALSE))," ")</f>
        <v> </v>
      </c>
      <c r="N10" s="59" t="str">
        <f>_xlfn.IFNA(IF(VLOOKUP($J$1&amp;$A10,'4.1 关键词原始数据'!$A:$N,W$2,FALSE)=0," ",VLOOKUP($J$1&amp;$A10,'4.1 关键词原始数据'!$A:$N,W$2,FALSE))," ")</f>
        <v> </v>
      </c>
      <c r="O10" s="59" t="str">
        <f>_xlfn.IFNA(IF(VLOOKUP($J$1&amp;$A10,'4.1 关键词原始数据'!$A:$N,X$2,FALSE)=0," ",VLOOKUP($J$1&amp;$A10,'4.1 关键词原始数据'!$A:$N,X$2,FALSE))," ")</f>
        <v> </v>
      </c>
      <c r="P10" s="59" t="str">
        <f>_xlfn.IFNA(IF(VLOOKUP($J$1&amp;$A10,'4.1 关键词原始数据'!$A:$N,Y$2,FALSE)=0," ",VLOOKUP($J$1&amp;$A10,'4.1 关键词原始数据'!$A:$N,Y$2,FALSE))," ")</f>
        <v> </v>
      </c>
      <c r="Q10" s="59" t="str">
        <f>_xlfn.IFNA(IF(VLOOKUP($J$1&amp;$A10,'4.1 关键词原始数据'!$A:$N,Z$2,FALSE)=0," ",VLOOKUP($J$1&amp;$A10,'4.1 关键词原始数据'!$A:$N,Z$2,FALSE))," ")</f>
        <v> </v>
      </c>
    </row>
    <row r="11" ht="17.4" spans="1:47">
      <c r="A11" s="65" t="s">
        <v>495</v>
      </c>
      <c r="B11" s="59" t="str">
        <f>_xlfn.IFNA(IF(VLOOKUP($B$1&amp;$A11,'4.1 关键词原始数据'!$A:$N,S$2,FALSE)=0," ",VLOOKUP($B$1&amp;$A11,'4.1 关键词原始数据'!$A:$N,S$2,FALSE))," ")</f>
        <v> </v>
      </c>
      <c r="C11" s="59" t="str">
        <f>_xlfn.IFNA(IF(VLOOKUP($B$1&amp;$A11,'4.1 关键词原始数据'!$A:$N,T$2,FALSE)=0," ",VLOOKUP($B$1&amp;$A11,'4.1 关键词原始数据'!$A:$N,T$2,FALSE))," ")</f>
        <v>3-12-4</v>
      </c>
      <c r="D11" s="59" t="str">
        <f>_xlfn.IFNA(IF(VLOOKUP($B$1&amp;$A11,'4.1 关键词原始数据'!$A:$N,U$2,FALSE)=0," ",VLOOKUP($B$1&amp;$A11,'4.1 关键词原始数据'!$A:$N,U$2,FALSE))," ")</f>
        <v> </v>
      </c>
      <c r="E11" s="59" t="str">
        <f>_xlfn.IFNA(IF(VLOOKUP($B$1&amp;$A11,'4.1 关键词原始数据'!$A:$N,V$2,FALSE)=0," ",VLOOKUP($B$1&amp;$A11,'4.1 关键词原始数据'!$A:$N,V$2,FALSE))," ")</f>
        <v> </v>
      </c>
      <c r="F11" s="59" t="str">
        <f>_xlfn.IFNA(IF(VLOOKUP($B$1&amp;$A11,'4.1 关键词原始数据'!$A:$N,W$2,FALSE)=0," ",VLOOKUP($B$1&amp;$A11,'4.1 关键词原始数据'!$A:$N,W$2,FALSE))," ")</f>
        <v> </v>
      </c>
      <c r="G11" s="59" t="str">
        <f>_xlfn.IFNA(IF(VLOOKUP($B$1&amp;$A11,'4.1 关键词原始数据'!$A:$N,X$2,FALSE)=0," ",VLOOKUP($B$1&amp;$A11,'4.1 关键词原始数据'!$A:$N,X$2,FALSE))," ")</f>
        <v>1-16-4</v>
      </c>
      <c r="H11" s="59" t="str">
        <f>_xlfn.IFNA(IF(VLOOKUP($B$1&amp;$A11,'4.1 关键词原始数据'!$A:$N,Y$2,FALSE)=0," ",VLOOKUP($B$1&amp;$A11,'4.1 关键词原始数据'!$A:$N,Y$2,FALSE))," ")</f>
        <v> </v>
      </c>
      <c r="I11" s="59" t="str">
        <f>_xlfn.IFNA(IF(VLOOKUP($B$1&amp;$A11,'4.1 关键词原始数据'!$A:$N,Z$2,FALSE)=0," ",VLOOKUP($B$1&amp;$A11,'4.1 关键词原始数据'!$A:$N,Z$2,FALSE))," ")</f>
        <v> </v>
      </c>
      <c r="J11" s="59" t="str">
        <f>_xlfn.IFNA(IF(VLOOKUP($J$1&amp;$A11,'4.1 关键词原始数据'!$A:$N,S$2,FALSE)=0," ",VLOOKUP($J$1&amp;$A11,'4.1 关键词原始数据'!$A:$N,S$2,FALSE))," ")</f>
        <v> </v>
      </c>
      <c r="K11" s="59" t="str">
        <f>_xlfn.IFNA(IF(VLOOKUP($J$1&amp;$A11,'4.1 关键词原始数据'!$A:$N,T$2,FALSE)=0," ",VLOOKUP($J$1&amp;$A11,'4.1 关键词原始数据'!$A:$N,T$2,FALSE))," ")</f>
        <v> </v>
      </c>
      <c r="L11" s="59" t="str">
        <f>_xlfn.IFNA(IF(VLOOKUP($J$1&amp;$A11,'4.1 关键词原始数据'!$A:$N,U$2,FALSE)=0," ",VLOOKUP($J$1&amp;$A11,'4.1 关键词原始数据'!$A:$N,U$2,FALSE))," ")</f>
        <v> </v>
      </c>
      <c r="M11" s="59" t="str">
        <f>_xlfn.IFNA(IF(VLOOKUP($J$1&amp;$A11,'4.1 关键词原始数据'!$A:$N,V$2,FALSE)=0," ",VLOOKUP($J$1&amp;$A11,'4.1 关键词原始数据'!$A:$N,V$2,FALSE))," ")</f>
        <v>4-12-4</v>
      </c>
      <c r="N11" s="59" t="str">
        <f>_xlfn.IFNA(IF(VLOOKUP($J$1&amp;$A11,'4.1 关键词原始数据'!$A:$N,W$2,FALSE)=0," ",VLOOKUP($J$1&amp;$A11,'4.1 关键词原始数据'!$A:$N,W$2,FALSE))," ")</f>
        <v> </v>
      </c>
      <c r="O11" s="59" t="str">
        <f>_xlfn.IFNA(IF(VLOOKUP($J$1&amp;$A11,'4.1 关键词原始数据'!$A:$N,X$2,FALSE)=0," ",VLOOKUP($J$1&amp;$A11,'4.1 关键词原始数据'!$A:$N,X$2,FALSE))," ")</f>
        <v> </v>
      </c>
      <c r="P11" s="59" t="str">
        <f>_xlfn.IFNA(IF(VLOOKUP($J$1&amp;$A11,'4.1 关键词原始数据'!$A:$N,Y$2,FALSE)=0," ",VLOOKUP($J$1&amp;$A11,'4.1 关键词原始数据'!$A:$N,Y$2,FALSE))," ")</f>
        <v> </v>
      </c>
      <c r="Q11" s="59" t="str">
        <f>_xlfn.IFNA(IF(VLOOKUP($J$1&amp;$A11,'4.1 关键词原始数据'!$A:$N,Z$2,FALSE)=0," ",VLOOKUP($J$1&amp;$A11,'4.1 关键词原始数据'!$A:$N,Z$2,FALSE))," ")</f>
        <v> </v>
      </c>
    </row>
    <row r="12" ht="17.4" spans="1:47">
      <c r="A12" s="65" t="s">
        <v>496</v>
      </c>
      <c r="B12" s="59" t="str">
        <f>_xlfn.IFNA(IF(VLOOKUP($B$1&amp;$A12,'4.1 关键词原始数据'!$A:$N,S$2,FALSE)=0," ",VLOOKUP($B$1&amp;$A12,'4.1 关键词原始数据'!$A:$N,S$2,FALSE))," ")</f>
        <v> </v>
      </c>
      <c r="C12" s="59" t="str">
        <f>_xlfn.IFNA(IF(VLOOKUP($B$1&amp;$A12,'4.1 关键词原始数据'!$A:$N,T$2,FALSE)=0," ",VLOOKUP($B$1&amp;$A12,'4.1 关键词原始数据'!$A:$N,T$2,FALSE))," ")</f>
        <v> </v>
      </c>
      <c r="D12" s="59" t="str">
        <f>_xlfn.IFNA(IF(VLOOKUP($B$1&amp;$A12,'4.1 关键词原始数据'!$A:$N,U$2,FALSE)=0," ",VLOOKUP($B$1&amp;$A12,'4.1 关键词原始数据'!$A:$N,U$2,FALSE))," ")</f>
        <v> </v>
      </c>
      <c r="E12" s="59" t="str">
        <f>_xlfn.IFNA(IF(VLOOKUP($B$1&amp;$A12,'4.1 关键词原始数据'!$A:$N,V$2,FALSE)=0," ",VLOOKUP($B$1&amp;$A12,'4.1 关键词原始数据'!$A:$N,V$2,FALSE))," ")</f>
        <v> </v>
      </c>
      <c r="F12" s="59" t="str">
        <f>_xlfn.IFNA(IF(VLOOKUP($B$1&amp;$A12,'4.1 关键词原始数据'!$A:$N,W$2,FALSE)=0," ",VLOOKUP($B$1&amp;$A12,'4.1 关键词原始数据'!$A:$N,W$2,FALSE))," ")</f>
        <v> </v>
      </c>
      <c r="G12" s="59" t="str">
        <f>_xlfn.IFNA(IF(VLOOKUP($B$1&amp;$A12,'4.1 关键词原始数据'!$A:$N,X$2,FALSE)=0," ",VLOOKUP($B$1&amp;$A12,'4.1 关键词原始数据'!$A:$N,X$2,FALSE))," ")</f>
        <v> </v>
      </c>
      <c r="H12" s="59" t="str">
        <f>_xlfn.IFNA(IF(VLOOKUP($B$1&amp;$A12,'4.1 关键词原始数据'!$A:$N,Y$2,FALSE)=0," ",VLOOKUP($B$1&amp;$A12,'4.1 关键词原始数据'!$A:$N,Y$2,FALSE))," ")</f>
        <v> </v>
      </c>
      <c r="I12" s="59" t="str">
        <f>_xlfn.IFNA(IF(VLOOKUP($B$1&amp;$A12,'4.1 关键词原始数据'!$A:$N,Z$2,FALSE)=0," ",VLOOKUP($B$1&amp;$A12,'4.1 关键词原始数据'!$A:$N,Z$2,FALSE))," ")</f>
        <v> </v>
      </c>
      <c r="J12" s="59" t="str">
        <f>_xlfn.IFNA(IF(VLOOKUP($J$1&amp;$A12,'4.1 关键词原始数据'!$A:$N,S$2,FALSE)=0," ",VLOOKUP($J$1&amp;$A12,'4.1 关键词原始数据'!$A:$N,S$2,FALSE))," ")</f>
        <v> </v>
      </c>
      <c r="K12" s="59" t="str">
        <f>_xlfn.IFNA(IF(VLOOKUP($J$1&amp;$A12,'4.1 关键词原始数据'!$A:$N,T$2,FALSE)=0," ",VLOOKUP($J$1&amp;$A12,'4.1 关键词原始数据'!$A:$N,T$2,FALSE))," ")</f>
        <v> </v>
      </c>
      <c r="L12" s="59" t="str">
        <f>_xlfn.IFNA(IF(VLOOKUP($J$1&amp;$A12,'4.1 关键词原始数据'!$A:$N,U$2,FALSE)=0," ",VLOOKUP($J$1&amp;$A12,'4.1 关键词原始数据'!$A:$N,U$2,FALSE))," ")</f>
        <v> </v>
      </c>
      <c r="M12" s="59" t="str">
        <f>_xlfn.IFNA(IF(VLOOKUP($J$1&amp;$A12,'4.1 关键词原始数据'!$A:$N,V$2,FALSE)=0," ",VLOOKUP($J$1&amp;$A12,'4.1 关键词原始数据'!$A:$N,V$2,FALSE))," ")</f>
        <v> </v>
      </c>
      <c r="N12" s="59" t="str">
        <f>_xlfn.IFNA(IF(VLOOKUP($J$1&amp;$A12,'4.1 关键词原始数据'!$A:$N,W$2,FALSE)=0," ",VLOOKUP($J$1&amp;$A12,'4.1 关键词原始数据'!$A:$N,W$2,FALSE))," ")</f>
        <v> </v>
      </c>
      <c r="O12" s="59" t="str">
        <f>_xlfn.IFNA(IF(VLOOKUP($J$1&amp;$A12,'4.1 关键词原始数据'!$A:$N,X$2,FALSE)=0," ",VLOOKUP($J$1&amp;$A12,'4.1 关键词原始数据'!$A:$N,X$2,FALSE))," ")</f>
        <v> </v>
      </c>
      <c r="P12" s="59" t="str">
        <f>_xlfn.IFNA(IF(VLOOKUP($J$1&amp;$A12,'4.1 关键词原始数据'!$A:$N,Y$2,FALSE)=0," ",VLOOKUP($J$1&amp;$A12,'4.1 关键词原始数据'!$A:$N,Y$2,FALSE))," ")</f>
        <v> </v>
      </c>
      <c r="Q12" s="59" t="str">
        <f>_xlfn.IFNA(IF(VLOOKUP($J$1&amp;$A12,'4.1 关键词原始数据'!$A:$N,Z$2,FALSE)=0," ",VLOOKUP($J$1&amp;$A12,'4.1 关键词原始数据'!$A:$N,Z$2,FALSE))," ")</f>
        <v> </v>
      </c>
    </row>
    <row r="13" ht="17.4" spans="1:47">
      <c r="A13" s="65" t="s">
        <v>497</v>
      </c>
      <c r="B13" s="59" t="str">
        <f>_xlfn.IFNA(IF(VLOOKUP($B$1&amp;$A13,'4.1 关键词原始数据'!$A:$N,S$2,FALSE)=0," ",VLOOKUP($B$1&amp;$A13,'4.1 关键词原始数据'!$A:$N,S$2,FALSE))," ")</f>
        <v> </v>
      </c>
      <c r="C13" s="59" t="str">
        <f>_xlfn.IFNA(IF(VLOOKUP($B$1&amp;$A13,'4.1 关键词原始数据'!$A:$N,T$2,FALSE)=0," ",VLOOKUP($B$1&amp;$A13,'4.1 关键词原始数据'!$A:$N,T$2,FALSE))," ")</f>
        <v>3-11-1</v>
      </c>
      <c r="D13" s="59" t="str">
        <f>_xlfn.IFNA(IF(VLOOKUP($B$1&amp;$A13,'4.1 关键词原始数据'!$A:$N,U$2,FALSE)=0," ",VLOOKUP($B$1&amp;$A13,'4.1 关键词原始数据'!$A:$N,U$2,FALSE))," ")</f>
        <v> </v>
      </c>
      <c r="E13" s="59" t="str">
        <f>_xlfn.IFNA(IF(VLOOKUP($B$1&amp;$A13,'4.1 关键词原始数据'!$A:$N,V$2,FALSE)=0," ",VLOOKUP($B$1&amp;$A13,'4.1 关键词原始数据'!$A:$N,V$2,FALSE))," ")</f>
        <v>5-11-2</v>
      </c>
      <c r="F13" s="59" t="str">
        <f>_xlfn.IFNA(IF(VLOOKUP($B$1&amp;$A13,'4.1 关键词原始数据'!$A:$N,W$2,FALSE)=0," ",VLOOKUP($B$1&amp;$A13,'4.1 关键词原始数据'!$A:$N,W$2,FALSE))," ")</f>
        <v> </v>
      </c>
      <c r="G13" s="59" t="str">
        <f>_xlfn.IFNA(IF(VLOOKUP($B$1&amp;$A13,'4.1 关键词原始数据'!$A:$N,X$2,FALSE)=0," ",VLOOKUP($B$1&amp;$A13,'4.1 关键词原始数据'!$A:$N,X$2,FALSE))," ")</f>
        <v>1-17-4</v>
      </c>
      <c r="H13" s="59" t="str">
        <f>_xlfn.IFNA(IF(VLOOKUP($B$1&amp;$A13,'4.1 关键词原始数据'!$A:$N,Y$2,FALSE)=0," ",VLOOKUP($B$1&amp;$A13,'4.1 关键词原始数据'!$A:$N,Y$2,FALSE))," ")</f>
        <v> </v>
      </c>
      <c r="I13" s="59" t="str">
        <f>_xlfn.IFNA(IF(VLOOKUP($B$1&amp;$A13,'4.1 关键词原始数据'!$A:$N,Z$2,FALSE)=0," ",VLOOKUP($B$1&amp;$A13,'4.1 关键词原始数据'!$A:$N,Z$2,FALSE))," ")</f>
        <v> </v>
      </c>
      <c r="J13" s="59" t="str">
        <f>_xlfn.IFNA(IF(VLOOKUP($J$1&amp;$A13,'4.1 关键词原始数据'!$A:$N,S$2,FALSE)=0," ",VLOOKUP($J$1&amp;$A13,'4.1 关键词原始数据'!$A:$N,S$2,FALSE))," ")</f>
        <v> </v>
      </c>
      <c r="K13" s="59" t="str">
        <f>_xlfn.IFNA(IF(VLOOKUP($J$1&amp;$A13,'4.1 关键词原始数据'!$A:$N,T$2,FALSE)=0," ",VLOOKUP($J$1&amp;$A13,'4.1 关键词原始数据'!$A:$N,T$2,FALSE))," ")</f>
        <v> </v>
      </c>
      <c r="L13" s="59" t="str">
        <f>_xlfn.IFNA(IF(VLOOKUP($J$1&amp;$A13,'4.1 关键词原始数据'!$A:$N,U$2,FALSE)=0," ",VLOOKUP($J$1&amp;$A13,'4.1 关键词原始数据'!$A:$N,U$2,FALSE))," ")</f>
        <v> </v>
      </c>
      <c r="M13" s="59" t="str">
        <f>_xlfn.IFNA(IF(VLOOKUP($J$1&amp;$A13,'4.1 关键词原始数据'!$A:$N,V$2,FALSE)=0," ",VLOOKUP($J$1&amp;$A13,'4.1 关键词原始数据'!$A:$N,V$2,FALSE))," ")</f>
        <v> </v>
      </c>
      <c r="N13" s="59" t="str">
        <f>_xlfn.IFNA(IF(VLOOKUP($J$1&amp;$A13,'4.1 关键词原始数据'!$A:$N,W$2,FALSE)=0," ",VLOOKUP($J$1&amp;$A13,'4.1 关键词原始数据'!$A:$N,W$2,FALSE))," ")</f>
        <v> </v>
      </c>
      <c r="O13" s="59" t="str">
        <f>_xlfn.IFNA(IF(VLOOKUP($J$1&amp;$A13,'4.1 关键词原始数据'!$A:$N,X$2,FALSE)=0," ",VLOOKUP($J$1&amp;$A13,'4.1 关键词原始数据'!$A:$N,X$2,FALSE))," ")</f>
        <v> </v>
      </c>
      <c r="P13" s="59" t="str">
        <f>_xlfn.IFNA(IF(VLOOKUP($J$1&amp;$A13,'4.1 关键词原始数据'!$A:$N,Y$2,FALSE)=0," ",VLOOKUP($J$1&amp;$A13,'4.1 关键词原始数据'!$A:$N,Y$2,FALSE))," ")</f>
        <v> </v>
      </c>
      <c r="Q13" s="59" t="str">
        <f>_xlfn.IFNA(IF(VLOOKUP($J$1&amp;$A13,'4.1 关键词原始数据'!$A:$N,Z$2,FALSE)=0," ",VLOOKUP($J$1&amp;$A13,'4.1 关键词原始数据'!$A:$N,Z$2,FALSE))," ")</f>
        <v> </v>
      </c>
    </row>
    <row r="14" ht="17.4" spans="1:47">
      <c r="A14" s="65" t="s">
        <v>498</v>
      </c>
      <c r="B14" s="59" t="str">
        <f>_xlfn.IFNA(IF(VLOOKUP($B$1&amp;$A14,'4.1 关键词原始数据'!$A:$N,S$2,FALSE)=0," ",VLOOKUP($B$1&amp;$A14,'4.1 关键词原始数据'!$A:$N,S$2,FALSE))," ")</f>
        <v> </v>
      </c>
      <c r="C14" s="59" t="str">
        <f>_xlfn.IFNA(IF(VLOOKUP($B$1&amp;$A14,'4.1 关键词原始数据'!$A:$N,T$2,FALSE)=0," ",VLOOKUP($B$1&amp;$A14,'4.1 关键词原始数据'!$A:$N,T$2,FALSE))," ")</f>
        <v> </v>
      </c>
      <c r="D14" s="59" t="str">
        <f>_xlfn.IFNA(IF(VLOOKUP($B$1&amp;$A14,'4.1 关键词原始数据'!$A:$N,U$2,FALSE)=0," ",VLOOKUP($B$1&amp;$A14,'4.1 关键词原始数据'!$A:$N,U$2,FALSE))," ")</f>
        <v> </v>
      </c>
      <c r="E14" s="59" t="str">
        <f>_xlfn.IFNA(IF(VLOOKUP($B$1&amp;$A14,'4.1 关键词原始数据'!$A:$N,V$2,FALSE)=0," ",VLOOKUP($B$1&amp;$A14,'4.1 关键词原始数据'!$A:$N,V$2,FALSE))," ")</f>
        <v> </v>
      </c>
      <c r="F14" s="59" t="str">
        <f>_xlfn.IFNA(IF(VLOOKUP($B$1&amp;$A14,'4.1 关键词原始数据'!$A:$N,W$2,FALSE)=0," ",VLOOKUP($B$1&amp;$A14,'4.1 关键词原始数据'!$A:$N,W$2,FALSE))," ")</f>
        <v> </v>
      </c>
      <c r="G14" s="59" t="str">
        <f>_xlfn.IFNA(IF(VLOOKUP($B$1&amp;$A14,'4.1 关键词原始数据'!$A:$N,X$2,FALSE)=0," ",VLOOKUP($B$1&amp;$A14,'4.1 关键词原始数据'!$A:$N,X$2,FALSE))," ")</f>
        <v> </v>
      </c>
      <c r="H14" s="59" t="str">
        <f>_xlfn.IFNA(IF(VLOOKUP($B$1&amp;$A14,'4.1 关键词原始数据'!$A:$N,Y$2,FALSE)=0," ",VLOOKUP($B$1&amp;$A14,'4.1 关键词原始数据'!$A:$N,Y$2,FALSE))," ")</f>
        <v> </v>
      </c>
      <c r="I14" s="59" t="str">
        <f>_xlfn.IFNA(IF(VLOOKUP($B$1&amp;$A14,'4.1 关键词原始数据'!$A:$N,Z$2,FALSE)=0," ",VLOOKUP($B$1&amp;$A14,'4.1 关键词原始数据'!$A:$N,Z$2,FALSE))," ")</f>
        <v> </v>
      </c>
      <c r="J14" s="59" t="str">
        <f>_xlfn.IFNA(IF(VLOOKUP($J$1&amp;$A14,'4.1 关键词原始数据'!$A:$N,S$2,FALSE)=0," ",VLOOKUP($J$1&amp;$A14,'4.1 关键词原始数据'!$A:$N,S$2,FALSE))," ")</f>
        <v> </v>
      </c>
      <c r="K14" s="59" t="str">
        <f>_xlfn.IFNA(IF(VLOOKUP($J$1&amp;$A14,'4.1 关键词原始数据'!$A:$N,T$2,FALSE)=0," ",VLOOKUP($J$1&amp;$A14,'4.1 关键词原始数据'!$A:$N,T$2,FALSE))," ")</f>
        <v> </v>
      </c>
      <c r="L14" s="59" t="str">
        <f>_xlfn.IFNA(IF(VLOOKUP($J$1&amp;$A14,'4.1 关键词原始数据'!$A:$N,U$2,FALSE)=0," ",VLOOKUP($J$1&amp;$A14,'4.1 关键词原始数据'!$A:$N,U$2,FALSE))," ")</f>
        <v> </v>
      </c>
      <c r="M14" s="59" t="str">
        <f>_xlfn.IFNA(IF(VLOOKUP($J$1&amp;$A14,'4.1 关键词原始数据'!$A:$N,V$2,FALSE)=0," ",VLOOKUP($J$1&amp;$A14,'4.1 关键词原始数据'!$A:$N,V$2,FALSE))," ")</f>
        <v> </v>
      </c>
      <c r="N14" s="59" t="str">
        <f>_xlfn.IFNA(IF(VLOOKUP($J$1&amp;$A14,'4.1 关键词原始数据'!$A:$N,W$2,FALSE)=0," ",VLOOKUP($J$1&amp;$A14,'4.1 关键词原始数据'!$A:$N,W$2,FALSE))," ")</f>
        <v> </v>
      </c>
      <c r="O14" s="59" t="str">
        <f>_xlfn.IFNA(IF(VLOOKUP($J$1&amp;$A14,'4.1 关键词原始数据'!$A:$N,X$2,FALSE)=0," ",VLOOKUP($J$1&amp;$A14,'4.1 关键词原始数据'!$A:$N,X$2,FALSE))," ")</f>
        <v> </v>
      </c>
      <c r="P14" s="59" t="str">
        <f>_xlfn.IFNA(IF(VLOOKUP($J$1&amp;$A14,'4.1 关键词原始数据'!$A:$N,Y$2,FALSE)=0," ",VLOOKUP($J$1&amp;$A14,'4.1 关键词原始数据'!$A:$N,Y$2,FALSE))," ")</f>
        <v> </v>
      </c>
      <c r="Q14" s="59" t="str">
        <f>_xlfn.IFNA(IF(VLOOKUP($J$1&amp;$A14,'4.1 关键词原始数据'!$A:$N,Z$2,FALSE)=0," ",VLOOKUP($J$1&amp;$A14,'4.1 关键词原始数据'!$A:$N,Z$2,FALSE))," ")</f>
        <v> </v>
      </c>
    </row>
    <row r="15" ht="17.4" spans="1:47">
      <c r="A15" s="65" t="s">
        <v>499</v>
      </c>
      <c r="B15" s="59" t="str">
        <f>_xlfn.IFNA(IF(VLOOKUP($B$1&amp;$A15,'4.1 关键词原始数据'!$A:$N,S$2,FALSE)=0," ",VLOOKUP($B$1&amp;$A15,'4.1 关键词原始数据'!$A:$N,S$2,FALSE))," ")</f>
        <v> </v>
      </c>
      <c r="C15" s="59" t="str">
        <f>_xlfn.IFNA(IF(VLOOKUP($B$1&amp;$A15,'4.1 关键词原始数据'!$A:$N,T$2,FALSE)=0," ",VLOOKUP($B$1&amp;$A15,'4.1 关键词原始数据'!$A:$N,T$2,FALSE))," ")</f>
        <v>3-12-3</v>
      </c>
      <c r="D15" s="59" t="str">
        <f>_xlfn.IFNA(IF(VLOOKUP($B$1&amp;$A15,'4.1 关键词原始数据'!$A:$N,U$2,FALSE)=0," ",VLOOKUP($B$1&amp;$A15,'4.1 关键词原始数据'!$A:$N,U$2,FALSE))," ")</f>
        <v> </v>
      </c>
      <c r="E15" s="59" t="str">
        <f>_xlfn.IFNA(IF(VLOOKUP($B$1&amp;$A15,'4.1 关键词原始数据'!$A:$N,V$2,FALSE)=0," ",VLOOKUP($B$1&amp;$A15,'4.1 关键词原始数据'!$A:$N,V$2,FALSE))," ")</f>
        <v> </v>
      </c>
      <c r="F15" s="59" t="str">
        <f>_xlfn.IFNA(IF(VLOOKUP($B$1&amp;$A15,'4.1 关键词原始数据'!$A:$N,W$2,FALSE)=0," ",VLOOKUP($B$1&amp;$A15,'4.1 关键词原始数据'!$A:$N,W$2,FALSE))," ")</f>
        <v> </v>
      </c>
      <c r="G15" s="59" t="str">
        <f>_xlfn.IFNA(IF(VLOOKUP($B$1&amp;$A15,'4.1 关键词原始数据'!$A:$N,X$2,FALSE)=0," ",VLOOKUP($B$1&amp;$A15,'4.1 关键词原始数据'!$A:$N,X$2,FALSE))," ")</f>
        <v>2-3-1</v>
      </c>
      <c r="H15" s="59" t="str">
        <f>_xlfn.IFNA(IF(VLOOKUP($B$1&amp;$A15,'4.1 关键词原始数据'!$A:$N,Y$2,FALSE)=0," ",VLOOKUP($B$1&amp;$A15,'4.1 关键词原始数据'!$A:$N,Y$2,FALSE))," ")</f>
        <v> </v>
      </c>
      <c r="I15" s="59" t="str">
        <f>_xlfn.IFNA(IF(VLOOKUP($B$1&amp;$A15,'4.1 关键词原始数据'!$A:$N,Z$2,FALSE)=0," ",VLOOKUP($B$1&amp;$A15,'4.1 关键词原始数据'!$A:$N,Z$2,FALSE))," ")</f>
        <v> </v>
      </c>
      <c r="J15" s="59" t="str">
        <f>_xlfn.IFNA(IF(VLOOKUP($J$1&amp;$A15,'4.1 关键词原始数据'!$A:$N,S$2,FALSE)=0," ",VLOOKUP($J$1&amp;$A15,'4.1 关键词原始数据'!$A:$N,S$2,FALSE))," ")</f>
        <v> </v>
      </c>
      <c r="K15" s="59" t="str">
        <f>_xlfn.IFNA(IF(VLOOKUP($J$1&amp;$A15,'4.1 关键词原始数据'!$A:$N,T$2,FALSE)=0," ",VLOOKUP($J$1&amp;$A15,'4.1 关键词原始数据'!$A:$N,T$2,FALSE))," ")</f>
        <v> </v>
      </c>
      <c r="L15" s="59" t="str">
        <f>_xlfn.IFNA(IF(VLOOKUP($J$1&amp;$A15,'4.1 关键词原始数据'!$A:$N,U$2,FALSE)=0," ",VLOOKUP($J$1&amp;$A15,'4.1 关键词原始数据'!$A:$N,U$2,FALSE))," ")</f>
        <v> </v>
      </c>
      <c r="M15" s="59" t="str">
        <f>_xlfn.IFNA(IF(VLOOKUP($J$1&amp;$A15,'4.1 关键词原始数据'!$A:$N,V$2,FALSE)=0," ",VLOOKUP($J$1&amp;$A15,'4.1 关键词原始数据'!$A:$N,V$2,FALSE))," ")</f>
        <v>4-4-4</v>
      </c>
      <c r="N15" s="59" t="str">
        <f>_xlfn.IFNA(IF(VLOOKUP($J$1&amp;$A15,'4.1 关键词原始数据'!$A:$N,W$2,FALSE)=0," ",VLOOKUP($J$1&amp;$A15,'4.1 关键词原始数据'!$A:$N,W$2,FALSE))," ")</f>
        <v> </v>
      </c>
      <c r="O15" s="59" t="str">
        <f>_xlfn.IFNA(IF(VLOOKUP($J$1&amp;$A15,'4.1 关键词原始数据'!$A:$N,X$2,FALSE)=0," ",VLOOKUP($J$1&amp;$A15,'4.1 关键词原始数据'!$A:$N,X$2,FALSE))," ")</f>
        <v> </v>
      </c>
      <c r="P15" s="59" t="str">
        <f>_xlfn.IFNA(IF(VLOOKUP($J$1&amp;$A15,'4.1 关键词原始数据'!$A:$N,Y$2,FALSE)=0," ",VLOOKUP($J$1&amp;$A15,'4.1 关键词原始数据'!$A:$N,Y$2,FALSE))," ")</f>
        <v> </v>
      </c>
      <c r="Q15" s="59" t="str">
        <f>_xlfn.IFNA(IF(VLOOKUP($J$1&amp;$A15,'4.1 关键词原始数据'!$A:$N,Z$2,FALSE)=0," ",VLOOKUP($J$1&amp;$A15,'4.1 关键词原始数据'!$A:$N,Z$2,FALSE))," ")</f>
        <v> </v>
      </c>
    </row>
    <row r="16" ht="17.4" spans="1:47">
      <c r="A16" s="65" t="s">
        <v>500</v>
      </c>
      <c r="B16" s="59" t="str">
        <f>_xlfn.IFNA(IF(VLOOKUP($B$1&amp;$A16,'4.1 关键词原始数据'!$A:$N,S$2,FALSE)=0," ",VLOOKUP($B$1&amp;$A16,'4.1 关键词原始数据'!$A:$N,S$2,FALSE))," ")</f>
        <v> </v>
      </c>
      <c r="C16" s="59" t="str">
        <f>_xlfn.IFNA(IF(VLOOKUP($B$1&amp;$A16,'4.1 关键词原始数据'!$A:$N,T$2,FALSE)=0," ",VLOOKUP($B$1&amp;$A16,'4.1 关键词原始数据'!$A:$N,T$2,FALSE))," ")</f>
        <v> </v>
      </c>
      <c r="D16" s="59" t="str">
        <f>_xlfn.IFNA(IF(VLOOKUP($B$1&amp;$A16,'4.1 关键词原始数据'!$A:$N,U$2,FALSE)=0," ",VLOOKUP($B$1&amp;$A16,'4.1 关键词原始数据'!$A:$N,U$2,FALSE))," ")</f>
        <v> </v>
      </c>
      <c r="E16" s="59" t="str">
        <f>_xlfn.IFNA(IF(VLOOKUP($B$1&amp;$A16,'4.1 关键词原始数据'!$A:$N,V$2,FALSE)=0," ",VLOOKUP($B$1&amp;$A16,'4.1 关键词原始数据'!$A:$N,V$2,FALSE))," ")</f>
        <v> </v>
      </c>
      <c r="F16" s="59" t="str">
        <f>_xlfn.IFNA(IF(VLOOKUP($B$1&amp;$A16,'4.1 关键词原始数据'!$A:$N,W$2,FALSE)=0," ",VLOOKUP($B$1&amp;$A16,'4.1 关键词原始数据'!$A:$N,W$2,FALSE))," ")</f>
        <v> </v>
      </c>
      <c r="G16" s="59" t="str">
        <f>_xlfn.IFNA(IF(VLOOKUP($B$1&amp;$A16,'4.1 关键词原始数据'!$A:$N,X$2,FALSE)=0," ",VLOOKUP($B$1&amp;$A16,'4.1 关键词原始数据'!$A:$N,X$2,FALSE))," ")</f>
        <v> </v>
      </c>
      <c r="H16" s="59" t="str">
        <f>_xlfn.IFNA(IF(VLOOKUP($B$1&amp;$A16,'4.1 关键词原始数据'!$A:$N,Y$2,FALSE)=0," ",VLOOKUP($B$1&amp;$A16,'4.1 关键词原始数据'!$A:$N,Y$2,FALSE))," ")</f>
        <v> </v>
      </c>
      <c r="I16" s="59" t="str">
        <f>_xlfn.IFNA(IF(VLOOKUP($B$1&amp;$A16,'4.1 关键词原始数据'!$A:$N,Z$2,FALSE)=0," ",VLOOKUP($B$1&amp;$A16,'4.1 关键词原始数据'!$A:$N,Z$2,FALSE))," ")</f>
        <v> </v>
      </c>
      <c r="J16" s="59" t="str">
        <f>_xlfn.IFNA(IF(VLOOKUP($J$1&amp;$A16,'4.1 关键词原始数据'!$A:$N,S$2,FALSE)=0," ",VLOOKUP($J$1&amp;$A16,'4.1 关键词原始数据'!$A:$N,S$2,FALSE))," ")</f>
        <v> </v>
      </c>
      <c r="K16" s="59" t="str">
        <f>_xlfn.IFNA(IF(VLOOKUP($J$1&amp;$A16,'4.1 关键词原始数据'!$A:$N,T$2,FALSE)=0," ",VLOOKUP($J$1&amp;$A16,'4.1 关键词原始数据'!$A:$N,T$2,FALSE))," ")</f>
        <v> </v>
      </c>
      <c r="L16" s="59" t="str">
        <f>_xlfn.IFNA(IF(VLOOKUP($J$1&amp;$A16,'4.1 关键词原始数据'!$A:$N,U$2,FALSE)=0," ",VLOOKUP($J$1&amp;$A16,'4.1 关键词原始数据'!$A:$N,U$2,FALSE))," ")</f>
        <v> </v>
      </c>
      <c r="M16" s="59" t="str">
        <f>_xlfn.IFNA(IF(VLOOKUP($J$1&amp;$A16,'4.1 关键词原始数据'!$A:$N,V$2,FALSE)=0," ",VLOOKUP($J$1&amp;$A16,'4.1 关键词原始数据'!$A:$N,V$2,FALSE))," ")</f>
        <v> </v>
      </c>
      <c r="N16" s="59" t="str">
        <f>_xlfn.IFNA(IF(VLOOKUP($J$1&amp;$A16,'4.1 关键词原始数据'!$A:$N,W$2,FALSE)=0," ",VLOOKUP($J$1&amp;$A16,'4.1 关键词原始数据'!$A:$N,W$2,FALSE))," ")</f>
        <v> </v>
      </c>
      <c r="O16" s="59" t="str">
        <f>_xlfn.IFNA(IF(VLOOKUP($J$1&amp;$A16,'4.1 关键词原始数据'!$A:$N,X$2,FALSE)=0," ",VLOOKUP($J$1&amp;$A16,'4.1 关键词原始数据'!$A:$N,X$2,FALSE))," ")</f>
        <v> </v>
      </c>
      <c r="P16" s="59" t="str">
        <f>_xlfn.IFNA(IF(VLOOKUP($J$1&amp;$A16,'4.1 关键词原始数据'!$A:$N,Y$2,FALSE)=0," ",VLOOKUP($J$1&amp;$A16,'4.1 关键词原始数据'!$A:$N,Y$2,FALSE))," ")</f>
        <v> </v>
      </c>
      <c r="Q16" s="59" t="str">
        <f>_xlfn.IFNA(IF(VLOOKUP($J$1&amp;$A16,'4.1 关键词原始数据'!$A:$N,Z$2,FALSE)=0," ",VLOOKUP($J$1&amp;$A16,'4.1 关键词原始数据'!$A:$N,Z$2,FALSE))," ")</f>
        <v> </v>
      </c>
    </row>
    <row r="17" ht="17.4" spans="1:17">
      <c r="A17" s="65" t="s">
        <v>501</v>
      </c>
      <c r="B17" s="59" t="str">
        <f>_xlfn.IFNA(IF(VLOOKUP($B$1&amp;$A17,'4.1 关键词原始数据'!$A:$N,S$2,FALSE)=0," ",VLOOKUP($B$1&amp;$A17,'4.1 关键词原始数据'!$A:$N,S$2,FALSE))," ")</f>
        <v> </v>
      </c>
      <c r="C17" s="59" t="str">
        <f>_xlfn.IFNA(IF(VLOOKUP($B$1&amp;$A17,'4.1 关键词原始数据'!$A:$N,T$2,FALSE)=0," ",VLOOKUP($B$1&amp;$A17,'4.1 关键词原始数据'!$A:$N,T$2,FALSE))," ")</f>
        <v>3-14-3</v>
      </c>
      <c r="D17" s="59" t="str">
        <f>_xlfn.IFNA(IF(VLOOKUP($B$1&amp;$A17,'4.1 关键词原始数据'!$A:$N,U$2,FALSE)=0," ",VLOOKUP($B$1&amp;$A17,'4.1 关键词原始数据'!$A:$N,U$2,FALSE))," ")</f>
        <v> </v>
      </c>
      <c r="E17" s="59" t="str">
        <f>_xlfn.IFNA(IF(VLOOKUP($B$1&amp;$A17,'4.1 关键词原始数据'!$A:$N,V$2,FALSE)=0," ",VLOOKUP($B$1&amp;$A17,'4.1 关键词原始数据'!$A:$N,V$2,FALSE))," ")</f>
        <v> </v>
      </c>
      <c r="F17" s="59" t="str">
        <f>_xlfn.IFNA(IF(VLOOKUP($B$1&amp;$A17,'4.1 关键词原始数据'!$A:$N,W$2,FALSE)=0," ",VLOOKUP($B$1&amp;$A17,'4.1 关键词原始数据'!$A:$N,W$2,FALSE))," ")</f>
        <v> </v>
      </c>
      <c r="G17" s="59" t="str">
        <f>_xlfn.IFNA(IF(VLOOKUP($B$1&amp;$A17,'4.1 关键词原始数据'!$A:$N,X$2,FALSE)=0," ",VLOOKUP($B$1&amp;$A17,'4.1 关键词原始数据'!$A:$N,X$2,FALSE))," ")</f>
        <v>1-15-4</v>
      </c>
      <c r="H17" s="59" t="str">
        <f>_xlfn.IFNA(IF(VLOOKUP($B$1&amp;$A17,'4.1 关键词原始数据'!$A:$N,Y$2,FALSE)=0," ",VLOOKUP($B$1&amp;$A17,'4.1 关键词原始数据'!$A:$N,Y$2,FALSE))," ")</f>
        <v> </v>
      </c>
      <c r="I17" s="59" t="str">
        <f>_xlfn.IFNA(IF(VLOOKUP($B$1&amp;$A17,'4.1 关键词原始数据'!$A:$N,Z$2,FALSE)=0," ",VLOOKUP($B$1&amp;$A17,'4.1 关键词原始数据'!$A:$N,Z$2,FALSE))," ")</f>
        <v> </v>
      </c>
      <c r="J17" s="59" t="str">
        <f>_xlfn.IFNA(IF(VLOOKUP($J$1&amp;$A17,'4.1 关键词原始数据'!$A:$N,S$2,FALSE)=0," ",VLOOKUP($J$1&amp;$A17,'4.1 关键词原始数据'!$A:$N,S$2,FALSE))," ")</f>
        <v> </v>
      </c>
      <c r="K17" s="59" t="str">
        <f>_xlfn.IFNA(IF(VLOOKUP($J$1&amp;$A17,'4.1 关键词原始数据'!$A:$N,T$2,FALSE)=0," ",VLOOKUP($J$1&amp;$A17,'4.1 关键词原始数据'!$A:$N,T$2,FALSE))," ")</f>
        <v> </v>
      </c>
      <c r="L17" s="59" t="str">
        <f>_xlfn.IFNA(IF(VLOOKUP($J$1&amp;$A17,'4.1 关键词原始数据'!$A:$N,U$2,FALSE)=0," ",VLOOKUP($J$1&amp;$A17,'4.1 关键词原始数据'!$A:$N,U$2,FALSE))," ")</f>
        <v> </v>
      </c>
      <c r="M17" s="59" t="str">
        <f>_xlfn.IFNA(IF(VLOOKUP($J$1&amp;$A17,'4.1 关键词原始数据'!$A:$N,V$2,FALSE)=0," ",VLOOKUP($J$1&amp;$A17,'4.1 关键词原始数据'!$A:$N,V$2,FALSE))," ")</f>
        <v>3-2-3</v>
      </c>
      <c r="N17" s="59" t="str">
        <f>_xlfn.IFNA(IF(VLOOKUP($J$1&amp;$A17,'4.1 关键词原始数据'!$A:$N,W$2,FALSE)=0," ",VLOOKUP($J$1&amp;$A17,'4.1 关键词原始数据'!$A:$N,W$2,FALSE))," ")</f>
        <v> </v>
      </c>
      <c r="O17" s="59" t="str">
        <f>_xlfn.IFNA(IF(VLOOKUP($J$1&amp;$A17,'4.1 关键词原始数据'!$A:$N,X$2,FALSE)=0," ",VLOOKUP($J$1&amp;$A17,'4.1 关键词原始数据'!$A:$N,X$2,FALSE))," ")</f>
        <v> </v>
      </c>
      <c r="P17" s="59" t="str">
        <f>_xlfn.IFNA(IF(VLOOKUP($J$1&amp;$A17,'4.1 关键词原始数据'!$A:$N,Y$2,FALSE)=0," ",VLOOKUP($J$1&amp;$A17,'4.1 关键词原始数据'!$A:$N,Y$2,FALSE))," ")</f>
        <v> </v>
      </c>
      <c r="Q17" s="59" t="str">
        <f>_xlfn.IFNA(IF(VLOOKUP($J$1&amp;$A17,'4.1 关键词原始数据'!$A:$N,Z$2,FALSE)=0," ",VLOOKUP($J$1&amp;$A17,'4.1 关键词原始数据'!$A:$N,Z$2,FALSE))," ")</f>
        <v> </v>
      </c>
    </row>
    <row r="18" ht="17.4" spans="1:17">
      <c r="A18" s="65" t="s">
        <v>502</v>
      </c>
      <c r="B18" s="59" t="str">
        <f>_xlfn.IFNA(IF(VLOOKUP($B$1&amp;$A18,'4.1 关键词原始数据'!$A:$N,S$2,FALSE)=0," ",VLOOKUP($B$1&amp;$A18,'4.1 关键词原始数据'!$A:$N,S$2,FALSE))," ")</f>
        <v> </v>
      </c>
      <c r="C18" s="59" t="str">
        <f>_xlfn.IFNA(IF(VLOOKUP($B$1&amp;$A18,'4.1 关键词原始数据'!$A:$N,T$2,FALSE)=0," ",VLOOKUP($B$1&amp;$A18,'4.1 关键词原始数据'!$A:$N,T$2,FALSE))," ")</f>
        <v> </v>
      </c>
      <c r="D18" s="59" t="str">
        <f>_xlfn.IFNA(IF(VLOOKUP($B$1&amp;$A18,'4.1 关键词原始数据'!$A:$N,U$2,FALSE)=0," ",VLOOKUP($B$1&amp;$A18,'4.1 关键词原始数据'!$A:$N,U$2,FALSE))," ")</f>
        <v> </v>
      </c>
      <c r="E18" s="59" t="str">
        <f>_xlfn.IFNA(IF(VLOOKUP($B$1&amp;$A18,'4.1 关键词原始数据'!$A:$N,V$2,FALSE)=0," ",VLOOKUP($B$1&amp;$A18,'4.1 关键词原始数据'!$A:$N,V$2,FALSE))," ")</f>
        <v> </v>
      </c>
      <c r="F18" s="59" t="str">
        <f>_xlfn.IFNA(IF(VLOOKUP($B$1&amp;$A18,'4.1 关键词原始数据'!$A:$N,W$2,FALSE)=0," ",VLOOKUP($B$1&amp;$A18,'4.1 关键词原始数据'!$A:$N,W$2,FALSE))," ")</f>
        <v> </v>
      </c>
      <c r="G18" s="59" t="str">
        <f>_xlfn.IFNA(IF(VLOOKUP($B$1&amp;$A18,'4.1 关键词原始数据'!$A:$N,X$2,FALSE)=0," ",VLOOKUP($B$1&amp;$A18,'4.1 关键词原始数据'!$A:$N,X$2,FALSE))," ")</f>
        <v> </v>
      </c>
      <c r="H18" s="59" t="str">
        <f>_xlfn.IFNA(IF(VLOOKUP($B$1&amp;$A18,'4.1 关键词原始数据'!$A:$N,Y$2,FALSE)=0," ",VLOOKUP($B$1&amp;$A18,'4.1 关键词原始数据'!$A:$N,Y$2,FALSE))," ")</f>
        <v> </v>
      </c>
      <c r="I18" s="59" t="str">
        <f>_xlfn.IFNA(IF(VLOOKUP($B$1&amp;$A18,'4.1 关键词原始数据'!$A:$N,Z$2,FALSE)=0," ",VLOOKUP($B$1&amp;$A18,'4.1 关键词原始数据'!$A:$N,Z$2,FALSE))," ")</f>
        <v> </v>
      </c>
      <c r="J18" s="59" t="str">
        <f>_xlfn.IFNA(IF(VLOOKUP($J$1&amp;$A18,'4.1 关键词原始数据'!$A:$N,S$2,FALSE)=0," ",VLOOKUP($J$1&amp;$A18,'4.1 关键词原始数据'!$A:$N,S$2,FALSE))," ")</f>
        <v> </v>
      </c>
      <c r="K18" s="59" t="str">
        <f>_xlfn.IFNA(IF(VLOOKUP($J$1&amp;$A18,'4.1 关键词原始数据'!$A:$N,T$2,FALSE)=0," ",VLOOKUP($J$1&amp;$A18,'4.1 关键词原始数据'!$A:$N,T$2,FALSE))," ")</f>
        <v> </v>
      </c>
      <c r="L18" s="59" t="str">
        <f>_xlfn.IFNA(IF(VLOOKUP($J$1&amp;$A18,'4.1 关键词原始数据'!$A:$N,U$2,FALSE)=0," ",VLOOKUP($J$1&amp;$A18,'4.1 关键词原始数据'!$A:$N,U$2,FALSE))," ")</f>
        <v> </v>
      </c>
      <c r="M18" s="59" t="str">
        <f>_xlfn.IFNA(IF(VLOOKUP($J$1&amp;$A18,'4.1 关键词原始数据'!$A:$N,V$2,FALSE)=0," ",VLOOKUP($J$1&amp;$A18,'4.1 关键词原始数据'!$A:$N,V$2,FALSE))," ")</f>
        <v> </v>
      </c>
      <c r="N18" s="59" t="str">
        <f>_xlfn.IFNA(IF(VLOOKUP($J$1&amp;$A18,'4.1 关键词原始数据'!$A:$N,W$2,FALSE)=0," ",VLOOKUP($J$1&amp;$A18,'4.1 关键词原始数据'!$A:$N,W$2,FALSE))," ")</f>
        <v> </v>
      </c>
      <c r="O18" s="59" t="str">
        <f>_xlfn.IFNA(IF(VLOOKUP($J$1&amp;$A18,'4.1 关键词原始数据'!$A:$N,X$2,FALSE)=0," ",VLOOKUP($J$1&amp;$A18,'4.1 关键词原始数据'!$A:$N,X$2,FALSE))," ")</f>
        <v> </v>
      </c>
      <c r="P18" s="59" t="str">
        <f>_xlfn.IFNA(IF(VLOOKUP($J$1&amp;$A18,'4.1 关键词原始数据'!$A:$N,Y$2,FALSE)=0," ",VLOOKUP($J$1&amp;$A18,'4.1 关键词原始数据'!$A:$N,Y$2,FALSE))," ")</f>
        <v> </v>
      </c>
      <c r="Q18" s="59" t="str">
        <f>_xlfn.IFNA(IF(VLOOKUP($J$1&amp;$A18,'4.1 关键词原始数据'!$A:$N,Z$2,FALSE)=0," ",VLOOKUP($J$1&amp;$A18,'4.1 关键词原始数据'!$A:$N,Z$2,FALSE))," ")</f>
        <v> </v>
      </c>
    </row>
    <row r="19" ht="17.4" spans="1:17">
      <c r="A19" s="65" t="s">
        <v>503</v>
      </c>
      <c r="B19" s="59" t="str">
        <f>_xlfn.IFNA(IF(VLOOKUP($B$1&amp;$A19,'4.1 关键词原始数据'!$A:$N,S$2,FALSE)=0," ",VLOOKUP($B$1&amp;$A19,'4.1 关键词原始数据'!$A:$N,S$2,FALSE))," ")</f>
        <v> </v>
      </c>
      <c r="C19" s="59" t="str">
        <f>_xlfn.IFNA(IF(VLOOKUP($B$1&amp;$A19,'4.1 关键词原始数据'!$A:$N,T$2,FALSE)=0," ",VLOOKUP($B$1&amp;$A19,'4.1 关键词原始数据'!$A:$N,T$2,FALSE))," ")</f>
        <v>3-16-3</v>
      </c>
      <c r="D19" s="59" t="str">
        <f>_xlfn.IFNA(IF(VLOOKUP($B$1&amp;$A19,'4.1 关键词原始数据'!$A:$N,U$2,FALSE)=0," ",VLOOKUP($B$1&amp;$A19,'4.1 关键词原始数据'!$A:$N,U$2,FALSE))," ")</f>
        <v> </v>
      </c>
      <c r="E19" s="59" t="str">
        <f>_xlfn.IFNA(IF(VLOOKUP($B$1&amp;$A19,'4.1 关键词原始数据'!$A:$N,V$2,FALSE)=0," ",VLOOKUP($B$1&amp;$A19,'4.1 关键词原始数据'!$A:$N,V$2,FALSE))," ")</f>
        <v> </v>
      </c>
      <c r="F19" s="59" t="str">
        <f>_xlfn.IFNA(IF(VLOOKUP($B$1&amp;$A19,'4.1 关键词原始数据'!$A:$N,W$2,FALSE)=0," ",VLOOKUP($B$1&amp;$A19,'4.1 关键词原始数据'!$A:$N,W$2,FALSE))," ")</f>
        <v> </v>
      </c>
      <c r="G19" s="59" t="str">
        <f>_xlfn.IFNA(IF(VLOOKUP($B$1&amp;$A19,'4.1 关键词原始数据'!$A:$N,X$2,FALSE)=0," ",VLOOKUP($B$1&amp;$A19,'4.1 关键词原始数据'!$A:$N,X$2,FALSE))," ")</f>
        <v>1-15-4</v>
      </c>
      <c r="H19" s="59" t="str">
        <f>_xlfn.IFNA(IF(VLOOKUP($B$1&amp;$A19,'4.1 关键词原始数据'!$A:$N,Y$2,FALSE)=0," ",VLOOKUP($B$1&amp;$A19,'4.1 关键词原始数据'!$A:$N,Y$2,FALSE))," ")</f>
        <v> </v>
      </c>
      <c r="I19" s="59" t="str">
        <f>_xlfn.IFNA(IF(VLOOKUP($B$1&amp;$A19,'4.1 关键词原始数据'!$A:$N,Z$2,FALSE)=0," ",VLOOKUP($B$1&amp;$A19,'4.1 关键词原始数据'!$A:$N,Z$2,FALSE))," ")</f>
        <v> </v>
      </c>
      <c r="J19" s="59" t="str">
        <f>_xlfn.IFNA(IF(VLOOKUP($J$1&amp;$A19,'4.1 关键词原始数据'!$A:$N,S$2,FALSE)=0," ",VLOOKUP($J$1&amp;$A19,'4.1 关键词原始数据'!$A:$N,S$2,FALSE))," ")</f>
        <v> </v>
      </c>
      <c r="K19" s="59" t="str">
        <f>_xlfn.IFNA(IF(VLOOKUP($J$1&amp;$A19,'4.1 关键词原始数据'!$A:$N,T$2,FALSE)=0," ",VLOOKUP($J$1&amp;$A19,'4.1 关键词原始数据'!$A:$N,T$2,FALSE))," ")</f>
        <v> </v>
      </c>
      <c r="L19" s="59" t="str">
        <f>_xlfn.IFNA(IF(VLOOKUP($J$1&amp;$A19,'4.1 关键词原始数据'!$A:$N,U$2,FALSE)=0," ",VLOOKUP($J$1&amp;$A19,'4.1 关键词原始数据'!$A:$N,U$2,FALSE))," ")</f>
        <v> </v>
      </c>
      <c r="M19" s="59" t="str">
        <f>_xlfn.IFNA(IF(VLOOKUP($J$1&amp;$A19,'4.1 关键词原始数据'!$A:$N,V$2,FALSE)=0," ",VLOOKUP($J$1&amp;$A19,'4.1 关键词原始数据'!$A:$N,V$2,FALSE))," ")</f>
        <v>3-11-2</v>
      </c>
      <c r="N19" s="59" t="str">
        <f>_xlfn.IFNA(IF(VLOOKUP($J$1&amp;$A19,'4.1 关键词原始数据'!$A:$N,W$2,FALSE)=0," ",VLOOKUP($J$1&amp;$A19,'4.1 关键词原始数据'!$A:$N,W$2,FALSE))," ")</f>
        <v> </v>
      </c>
      <c r="O19" s="59" t="str">
        <f>_xlfn.IFNA(IF(VLOOKUP($J$1&amp;$A19,'4.1 关键词原始数据'!$A:$N,X$2,FALSE)=0," ",VLOOKUP($J$1&amp;$A19,'4.1 关键词原始数据'!$A:$N,X$2,FALSE))," ")</f>
        <v> </v>
      </c>
      <c r="P19" s="59" t="str">
        <f>_xlfn.IFNA(IF(VLOOKUP($J$1&amp;$A19,'4.1 关键词原始数据'!$A:$N,Y$2,FALSE)=0," ",VLOOKUP($J$1&amp;$A19,'4.1 关键词原始数据'!$A:$N,Y$2,FALSE))," ")</f>
        <v> </v>
      </c>
      <c r="Q19" s="59" t="str">
        <f>_xlfn.IFNA(IF(VLOOKUP($J$1&amp;$A19,'4.1 关键词原始数据'!$A:$N,Z$2,FALSE)=0," ",VLOOKUP($J$1&amp;$A19,'4.1 关键词原始数据'!$A:$N,Z$2,FALSE))," ")</f>
        <v> </v>
      </c>
    </row>
    <row r="20" ht="17.4" spans="1:17">
      <c r="A20" s="65" t="s">
        <v>504</v>
      </c>
      <c r="B20" s="59" t="str">
        <f>_xlfn.IFNA(IF(VLOOKUP($B$1&amp;$A20,'4.1 关键词原始数据'!$A:$N,S$2,FALSE)=0," ",VLOOKUP($B$1&amp;$A20,'4.1 关键词原始数据'!$A:$N,S$2,FALSE))," ")</f>
        <v> </v>
      </c>
      <c r="C20" s="59" t="str">
        <f>_xlfn.IFNA(IF(VLOOKUP($B$1&amp;$A20,'4.1 关键词原始数据'!$A:$N,T$2,FALSE)=0," ",VLOOKUP($B$1&amp;$A20,'4.1 关键词原始数据'!$A:$N,T$2,FALSE))," ")</f>
        <v>4-2-3</v>
      </c>
      <c r="D20" s="59" t="str">
        <f>_xlfn.IFNA(IF(VLOOKUP($B$1&amp;$A20,'4.1 关键词原始数据'!$A:$N,U$2,FALSE)=0," ",VLOOKUP($B$1&amp;$A20,'4.1 关键词原始数据'!$A:$N,U$2,FALSE))," ")</f>
        <v> </v>
      </c>
      <c r="E20" s="59" t="str">
        <f>_xlfn.IFNA(IF(VLOOKUP($B$1&amp;$A20,'4.1 关键词原始数据'!$A:$N,V$2,FALSE)=0," ",VLOOKUP($B$1&amp;$A20,'4.1 关键词原始数据'!$A:$N,V$2,FALSE))," ")</f>
        <v> </v>
      </c>
      <c r="F20" s="59" t="str">
        <f>_xlfn.IFNA(IF(VLOOKUP($B$1&amp;$A20,'4.1 关键词原始数据'!$A:$N,W$2,FALSE)=0," ",VLOOKUP($B$1&amp;$A20,'4.1 关键词原始数据'!$A:$N,W$2,FALSE))," ")</f>
        <v>2-7-3</v>
      </c>
      <c r="G20" s="59" t="str">
        <f>_xlfn.IFNA(IF(VLOOKUP($B$1&amp;$A20,'4.1 关键词原始数据'!$A:$N,X$2,FALSE)=0," ",VLOOKUP($B$1&amp;$A20,'4.1 关键词原始数据'!$A:$N,X$2,FALSE))," ")</f>
        <v>1-15-1</v>
      </c>
      <c r="H20" s="59" t="str">
        <f>_xlfn.IFNA(IF(VLOOKUP($B$1&amp;$A20,'4.1 关键词原始数据'!$A:$N,Y$2,FALSE)=0," ",VLOOKUP($B$1&amp;$A20,'4.1 关键词原始数据'!$A:$N,Y$2,FALSE))," ")</f>
        <v> </v>
      </c>
      <c r="I20" s="59" t="str">
        <f>_xlfn.IFNA(IF(VLOOKUP($B$1&amp;$A20,'4.1 关键词原始数据'!$A:$N,Z$2,FALSE)=0," ",VLOOKUP($B$1&amp;$A20,'4.1 关键词原始数据'!$A:$N,Z$2,FALSE))," ")</f>
        <v> </v>
      </c>
      <c r="J20" s="59" t="str">
        <f>_xlfn.IFNA(IF(VLOOKUP($J$1&amp;$A20,'4.1 关键词原始数据'!$A:$N,S$2,FALSE)=0," ",VLOOKUP($J$1&amp;$A20,'4.1 关键词原始数据'!$A:$N,S$2,FALSE))," ")</f>
        <v> </v>
      </c>
      <c r="K20" s="59" t="str">
        <f>_xlfn.IFNA(IF(VLOOKUP($J$1&amp;$A20,'4.1 关键词原始数据'!$A:$N,T$2,FALSE)=0," ",VLOOKUP($J$1&amp;$A20,'4.1 关键词原始数据'!$A:$N,T$2,FALSE))," ")</f>
        <v> </v>
      </c>
      <c r="L20" s="59" t="str">
        <f>_xlfn.IFNA(IF(VLOOKUP($J$1&amp;$A20,'4.1 关键词原始数据'!$A:$N,U$2,FALSE)=0," ",VLOOKUP($J$1&amp;$A20,'4.1 关键词原始数据'!$A:$N,U$2,FALSE))," ")</f>
        <v> </v>
      </c>
      <c r="M20" s="59" t="str">
        <f>_xlfn.IFNA(IF(VLOOKUP($J$1&amp;$A20,'4.1 关键词原始数据'!$A:$N,V$2,FALSE)=0," ",VLOOKUP($J$1&amp;$A20,'4.1 关键词原始数据'!$A:$N,V$2,FALSE))," ")</f>
        <v>3-14-1</v>
      </c>
      <c r="N20" s="59" t="str">
        <f>_xlfn.IFNA(IF(VLOOKUP($J$1&amp;$A20,'4.1 关键词原始数据'!$A:$N,W$2,FALSE)=0," ",VLOOKUP($J$1&amp;$A20,'4.1 关键词原始数据'!$A:$N,W$2,FALSE))," ")</f>
        <v> </v>
      </c>
      <c r="O20" s="59" t="str">
        <f>_xlfn.IFNA(IF(VLOOKUP($J$1&amp;$A20,'4.1 关键词原始数据'!$A:$N,X$2,FALSE)=0," ",VLOOKUP($J$1&amp;$A20,'4.1 关键词原始数据'!$A:$N,X$2,FALSE))," ")</f>
        <v> </v>
      </c>
      <c r="P20" s="59" t="str">
        <f>_xlfn.IFNA(IF(VLOOKUP($J$1&amp;$A20,'4.1 关键词原始数据'!$A:$N,Y$2,FALSE)=0," ",VLOOKUP($J$1&amp;$A20,'4.1 关键词原始数据'!$A:$N,Y$2,FALSE))," ")</f>
        <v> </v>
      </c>
      <c r="Q20" s="59" t="str">
        <f>_xlfn.IFNA(IF(VLOOKUP($J$1&amp;$A20,'4.1 关键词原始数据'!$A:$N,Z$2,FALSE)=0," ",VLOOKUP($J$1&amp;$A20,'4.1 关键词原始数据'!$A:$N,Z$2,FALSE))," ")</f>
        <v> </v>
      </c>
    </row>
    <row r="21" ht="17.4" spans="1:17">
      <c r="A21" s="65" t="s">
        <v>505</v>
      </c>
      <c r="B21" s="59" t="str">
        <f>_xlfn.IFNA(IF(VLOOKUP($B$1&amp;$A21,'4.1 关键词原始数据'!$A:$N,S$2,FALSE)=0," ",VLOOKUP($B$1&amp;$A21,'4.1 关键词原始数据'!$A:$N,S$2,FALSE))," ")</f>
        <v> </v>
      </c>
      <c r="C21" s="59" t="str">
        <f>_xlfn.IFNA(IF(VLOOKUP($B$1&amp;$A21,'4.1 关键词原始数据'!$A:$N,T$2,FALSE)=0," ",VLOOKUP($B$1&amp;$A21,'4.1 关键词原始数据'!$A:$N,T$2,FALSE))," ")</f>
        <v> </v>
      </c>
      <c r="D21" s="59" t="str">
        <f>_xlfn.IFNA(IF(VLOOKUP($B$1&amp;$A21,'4.1 关键词原始数据'!$A:$N,U$2,FALSE)=0," ",VLOOKUP($B$1&amp;$A21,'4.1 关键词原始数据'!$A:$N,U$2,FALSE))," ")</f>
        <v> </v>
      </c>
      <c r="E21" s="59" t="str">
        <f>_xlfn.IFNA(IF(VLOOKUP($B$1&amp;$A21,'4.1 关键词原始数据'!$A:$N,V$2,FALSE)=0," ",VLOOKUP($B$1&amp;$A21,'4.1 关键词原始数据'!$A:$N,V$2,FALSE))," ")</f>
        <v> </v>
      </c>
      <c r="F21" s="59" t="str">
        <f>_xlfn.IFNA(IF(VLOOKUP($B$1&amp;$A21,'4.1 关键词原始数据'!$A:$N,W$2,FALSE)=0," ",VLOOKUP($B$1&amp;$A21,'4.1 关键词原始数据'!$A:$N,W$2,FALSE))," ")</f>
        <v> </v>
      </c>
      <c r="G21" s="59" t="str">
        <f>_xlfn.IFNA(IF(VLOOKUP($B$1&amp;$A21,'4.1 关键词原始数据'!$A:$N,X$2,FALSE)=0," ",VLOOKUP($B$1&amp;$A21,'4.1 关键词原始数据'!$A:$N,X$2,FALSE))," ")</f>
        <v> </v>
      </c>
      <c r="H21" s="59" t="str">
        <f>_xlfn.IFNA(IF(VLOOKUP($B$1&amp;$A21,'4.1 关键词原始数据'!$A:$N,Y$2,FALSE)=0," ",VLOOKUP($B$1&amp;$A21,'4.1 关键词原始数据'!$A:$N,Y$2,FALSE))," ")</f>
        <v> </v>
      </c>
      <c r="I21" s="59" t="str">
        <f>_xlfn.IFNA(IF(VLOOKUP($B$1&amp;$A21,'4.1 关键词原始数据'!$A:$N,Z$2,FALSE)=0," ",VLOOKUP($B$1&amp;$A21,'4.1 关键词原始数据'!$A:$N,Z$2,FALSE))," ")</f>
        <v> </v>
      </c>
      <c r="J21" s="59" t="str">
        <f>_xlfn.IFNA(IF(VLOOKUP($J$1&amp;$A21,'4.1 关键词原始数据'!$A:$N,S$2,FALSE)=0," ",VLOOKUP($J$1&amp;$A21,'4.1 关键词原始数据'!$A:$N,S$2,FALSE))," ")</f>
        <v> </v>
      </c>
      <c r="K21" s="59" t="str">
        <f>_xlfn.IFNA(IF(VLOOKUP($J$1&amp;$A21,'4.1 关键词原始数据'!$A:$N,T$2,FALSE)=0," ",VLOOKUP($J$1&amp;$A21,'4.1 关键词原始数据'!$A:$N,T$2,FALSE))," ")</f>
        <v> </v>
      </c>
      <c r="L21" s="59" t="str">
        <f>_xlfn.IFNA(IF(VLOOKUP($J$1&amp;$A21,'4.1 关键词原始数据'!$A:$N,U$2,FALSE)=0," ",VLOOKUP($J$1&amp;$A21,'4.1 关键词原始数据'!$A:$N,U$2,FALSE))," ")</f>
        <v> </v>
      </c>
      <c r="M21" s="59" t="str">
        <f>_xlfn.IFNA(IF(VLOOKUP($J$1&amp;$A21,'4.1 关键词原始数据'!$A:$N,V$2,FALSE)=0," ",VLOOKUP($J$1&amp;$A21,'4.1 关键词原始数据'!$A:$N,V$2,FALSE))," ")</f>
        <v> </v>
      </c>
      <c r="N21" s="59" t="str">
        <f>_xlfn.IFNA(IF(VLOOKUP($J$1&amp;$A21,'4.1 关键词原始数据'!$A:$N,W$2,FALSE)=0," ",VLOOKUP($J$1&amp;$A21,'4.1 关键词原始数据'!$A:$N,W$2,FALSE))," ")</f>
        <v> </v>
      </c>
      <c r="O21" s="59" t="str">
        <f>_xlfn.IFNA(IF(VLOOKUP($J$1&amp;$A21,'4.1 关键词原始数据'!$A:$N,X$2,FALSE)=0," ",VLOOKUP($J$1&amp;$A21,'4.1 关键词原始数据'!$A:$N,X$2,FALSE))," ")</f>
        <v> </v>
      </c>
      <c r="P21" s="59" t="str">
        <f>_xlfn.IFNA(IF(VLOOKUP($J$1&amp;$A21,'4.1 关键词原始数据'!$A:$N,Y$2,FALSE)=0," ",VLOOKUP($J$1&amp;$A21,'4.1 关键词原始数据'!$A:$N,Y$2,FALSE))," ")</f>
        <v> </v>
      </c>
      <c r="Q21" s="59" t="str">
        <f>_xlfn.IFNA(IF(VLOOKUP($J$1&amp;$A21,'4.1 关键词原始数据'!$A:$N,Z$2,FALSE)=0," ",VLOOKUP($J$1&amp;$A21,'4.1 关键词原始数据'!$A:$N,Z$2,FALSE))," ")</f>
        <v> </v>
      </c>
    </row>
    <row r="22" ht="17.4" spans="1:17">
      <c r="A22" s="65" t="s">
        <v>506</v>
      </c>
      <c r="B22" s="59" t="str">
        <f>_xlfn.IFNA(IF(VLOOKUP($B$1&amp;$A22,'4.1 关键词原始数据'!$A:$N,S$2,FALSE)=0," ",VLOOKUP($B$1&amp;$A22,'4.1 关键词原始数据'!$A:$N,S$2,FALSE))," ")</f>
        <v> </v>
      </c>
      <c r="C22" s="59" t="str">
        <f>_xlfn.IFNA(IF(VLOOKUP($B$1&amp;$A22,'4.1 关键词原始数据'!$A:$N,T$2,FALSE)=0," ",VLOOKUP($B$1&amp;$A22,'4.1 关键词原始数据'!$A:$N,T$2,FALSE))," ")</f>
        <v> </v>
      </c>
      <c r="D22" s="59" t="str">
        <f>_xlfn.IFNA(IF(VLOOKUP($B$1&amp;$A22,'4.1 关键词原始数据'!$A:$N,U$2,FALSE)=0," ",VLOOKUP($B$1&amp;$A22,'4.1 关键词原始数据'!$A:$N,U$2,FALSE))," ")</f>
        <v> </v>
      </c>
      <c r="E22" s="59" t="str">
        <f>_xlfn.IFNA(IF(VLOOKUP($B$1&amp;$A22,'4.1 关键词原始数据'!$A:$N,V$2,FALSE)=0," ",VLOOKUP($B$1&amp;$A22,'4.1 关键词原始数据'!$A:$N,V$2,FALSE))," ")</f>
        <v> </v>
      </c>
      <c r="F22" s="59" t="str">
        <f>_xlfn.IFNA(IF(VLOOKUP($B$1&amp;$A22,'4.1 关键词原始数据'!$A:$N,W$2,FALSE)=0," ",VLOOKUP($B$1&amp;$A22,'4.1 关键词原始数据'!$A:$N,W$2,FALSE))," ")</f>
        <v> </v>
      </c>
      <c r="G22" s="59" t="str">
        <f>_xlfn.IFNA(IF(VLOOKUP($B$1&amp;$A22,'4.1 关键词原始数据'!$A:$N,X$2,FALSE)=0," ",VLOOKUP($B$1&amp;$A22,'4.1 关键词原始数据'!$A:$N,X$2,FALSE))," ")</f>
        <v> </v>
      </c>
      <c r="H22" s="59" t="str">
        <f>_xlfn.IFNA(IF(VLOOKUP($B$1&amp;$A22,'4.1 关键词原始数据'!$A:$N,Y$2,FALSE)=0," ",VLOOKUP($B$1&amp;$A22,'4.1 关键词原始数据'!$A:$N,Y$2,FALSE))," ")</f>
        <v> </v>
      </c>
      <c r="I22" s="59" t="str">
        <f>_xlfn.IFNA(IF(VLOOKUP($B$1&amp;$A22,'4.1 关键词原始数据'!$A:$N,Z$2,FALSE)=0," ",VLOOKUP($B$1&amp;$A22,'4.1 关键词原始数据'!$A:$N,Z$2,FALSE))," ")</f>
        <v> </v>
      </c>
      <c r="J22" s="59" t="str">
        <f>_xlfn.IFNA(IF(VLOOKUP($J$1&amp;$A22,'4.1 关键词原始数据'!$A:$N,S$2,FALSE)=0," ",VLOOKUP($J$1&amp;$A22,'4.1 关键词原始数据'!$A:$N,S$2,FALSE))," ")</f>
        <v> </v>
      </c>
      <c r="K22" s="59" t="str">
        <f>_xlfn.IFNA(IF(VLOOKUP($J$1&amp;$A22,'4.1 关键词原始数据'!$A:$N,T$2,FALSE)=0," ",VLOOKUP($J$1&amp;$A22,'4.1 关键词原始数据'!$A:$N,T$2,FALSE))," ")</f>
        <v> </v>
      </c>
      <c r="L22" s="59" t="str">
        <f>_xlfn.IFNA(IF(VLOOKUP($J$1&amp;$A22,'4.1 关键词原始数据'!$A:$N,U$2,FALSE)=0," ",VLOOKUP($J$1&amp;$A22,'4.1 关键词原始数据'!$A:$N,U$2,FALSE))," ")</f>
        <v> </v>
      </c>
      <c r="M22" s="59" t="str">
        <f>_xlfn.IFNA(IF(VLOOKUP($J$1&amp;$A22,'4.1 关键词原始数据'!$A:$N,V$2,FALSE)=0," ",VLOOKUP($J$1&amp;$A22,'4.1 关键词原始数据'!$A:$N,V$2,FALSE))," ")</f>
        <v> </v>
      </c>
      <c r="N22" s="59" t="str">
        <f>_xlfn.IFNA(IF(VLOOKUP($J$1&amp;$A22,'4.1 关键词原始数据'!$A:$N,W$2,FALSE)=0," ",VLOOKUP($J$1&amp;$A22,'4.1 关键词原始数据'!$A:$N,W$2,FALSE))," ")</f>
        <v> </v>
      </c>
      <c r="O22" s="59" t="str">
        <f>_xlfn.IFNA(IF(VLOOKUP($J$1&amp;$A22,'4.1 关键词原始数据'!$A:$N,X$2,FALSE)=0," ",VLOOKUP($J$1&amp;$A22,'4.1 关键词原始数据'!$A:$N,X$2,FALSE))," ")</f>
        <v> </v>
      </c>
      <c r="P22" s="59" t="str">
        <f>_xlfn.IFNA(IF(VLOOKUP($J$1&amp;$A22,'4.1 关键词原始数据'!$A:$N,Y$2,FALSE)=0," ",VLOOKUP($J$1&amp;$A22,'4.1 关键词原始数据'!$A:$N,Y$2,FALSE))," ")</f>
        <v> </v>
      </c>
      <c r="Q22" s="59" t="str">
        <f>_xlfn.IFNA(IF(VLOOKUP($J$1&amp;$A22,'4.1 关键词原始数据'!$A:$N,Z$2,FALSE)=0," ",VLOOKUP($J$1&amp;$A22,'4.1 关键词原始数据'!$A:$N,Z$2,FALSE))," ")</f>
        <v> </v>
      </c>
    </row>
    <row r="23" ht="17.4" spans="1:17">
      <c r="A23" s="65" t="s">
        <v>507</v>
      </c>
      <c r="B23" s="59" t="str">
        <f>_xlfn.IFNA(IF(VLOOKUP($B$1&amp;$A23,'4.1 关键词原始数据'!$A:$N,S$2,FALSE)=0," ",VLOOKUP($B$1&amp;$A23,'4.1 关键词原始数据'!$A:$N,S$2,FALSE))," ")</f>
        <v> </v>
      </c>
      <c r="C23" s="59" t="str">
        <f>_xlfn.IFNA(IF(VLOOKUP($B$1&amp;$A23,'4.1 关键词原始数据'!$A:$N,T$2,FALSE)=0," ",VLOOKUP($B$1&amp;$A23,'4.1 关键词原始数据'!$A:$N,T$2,FALSE))," ")</f>
        <v> </v>
      </c>
      <c r="D23" s="59" t="str">
        <f>_xlfn.IFNA(IF(VLOOKUP($B$1&amp;$A23,'4.1 关键词原始数据'!$A:$N,U$2,FALSE)=0," ",VLOOKUP($B$1&amp;$A23,'4.1 关键词原始数据'!$A:$N,U$2,FALSE))," ")</f>
        <v> </v>
      </c>
      <c r="E23" s="59" t="str">
        <f>_xlfn.IFNA(IF(VLOOKUP($B$1&amp;$A23,'4.1 关键词原始数据'!$A:$N,V$2,FALSE)=0," ",VLOOKUP($B$1&amp;$A23,'4.1 关键词原始数据'!$A:$N,V$2,FALSE))," ")</f>
        <v> </v>
      </c>
      <c r="F23" s="59" t="str">
        <f>_xlfn.IFNA(IF(VLOOKUP($B$1&amp;$A23,'4.1 关键词原始数据'!$A:$N,W$2,FALSE)=0," ",VLOOKUP($B$1&amp;$A23,'4.1 关键词原始数据'!$A:$N,W$2,FALSE))," ")</f>
        <v> </v>
      </c>
      <c r="G23" s="59" t="str">
        <f>_xlfn.IFNA(IF(VLOOKUP($B$1&amp;$A23,'4.1 关键词原始数据'!$A:$N,X$2,FALSE)=0," ",VLOOKUP($B$1&amp;$A23,'4.1 关键词原始数据'!$A:$N,X$2,FALSE))," ")</f>
        <v> </v>
      </c>
      <c r="H23" s="59" t="str">
        <f>_xlfn.IFNA(IF(VLOOKUP($B$1&amp;$A23,'4.1 关键词原始数据'!$A:$N,Y$2,FALSE)=0," ",VLOOKUP($B$1&amp;$A23,'4.1 关键词原始数据'!$A:$N,Y$2,FALSE))," ")</f>
        <v> </v>
      </c>
      <c r="I23" s="59" t="str">
        <f>_xlfn.IFNA(IF(VLOOKUP($B$1&amp;$A23,'4.1 关键词原始数据'!$A:$N,Z$2,FALSE)=0," ",VLOOKUP($B$1&amp;$A23,'4.1 关键词原始数据'!$A:$N,Z$2,FALSE))," ")</f>
        <v> </v>
      </c>
      <c r="J23" s="59" t="str">
        <f>_xlfn.IFNA(IF(VLOOKUP($J$1&amp;$A23,'4.1 关键词原始数据'!$A:$N,S$2,FALSE)=0," ",VLOOKUP($J$1&amp;$A23,'4.1 关键词原始数据'!$A:$N,S$2,FALSE))," ")</f>
        <v> </v>
      </c>
      <c r="K23" s="59" t="str">
        <f>_xlfn.IFNA(IF(VLOOKUP($J$1&amp;$A23,'4.1 关键词原始数据'!$A:$N,T$2,FALSE)=0," ",VLOOKUP($J$1&amp;$A23,'4.1 关键词原始数据'!$A:$N,T$2,FALSE))," ")</f>
        <v> </v>
      </c>
      <c r="L23" s="59" t="str">
        <f>_xlfn.IFNA(IF(VLOOKUP($J$1&amp;$A23,'4.1 关键词原始数据'!$A:$N,U$2,FALSE)=0," ",VLOOKUP($J$1&amp;$A23,'4.1 关键词原始数据'!$A:$N,U$2,FALSE))," ")</f>
        <v> </v>
      </c>
      <c r="M23" s="59" t="str">
        <f>_xlfn.IFNA(IF(VLOOKUP($J$1&amp;$A23,'4.1 关键词原始数据'!$A:$N,V$2,FALSE)=0," ",VLOOKUP($J$1&amp;$A23,'4.1 关键词原始数据'!$A:$N,V$2,FALSE))," ")</f>
        <v> </v>
      </c>
      <c r="N23" s="59" t="str">
        <f>_xlfn.IFNA(IF(VLOOKUP($J$1&amp;$A23,'4.1 关键词原始数据'!$A:$N,W$2,FALSE)=0," ",VLOOKUP($J$1&amp;$A23,'4.1 关键词原始数据'!$A:$N,W$2,FALSE))," ")</f>
        <v> </v>
      </c>
      <c r="O23" s="59" t="str">
        <f>_xlfn.IFNA(IF(VLOOKUP($J$1&amp;$A23,'4.1 关键词原始数据'!$A:$N,X$2,FALSE)=0," ",VLOOKUP($J$1&amp;$A23,'4.1 关键词原始数据'!$A:$N,X$2,FALSE))," ")</f>
        <v> </v>
      </c>
      <c r="P23" s="59" t="str">
        <f>_xlfn.IFNA(IF(VLOOKUP($J$1&amp;$A23,'4.1 关键词原始数据'!$A:$N,Y$2,FALSE)=0," ",VLOOKUP($J$1&amp;$A23,'4.1 关键词原始数据'!$A:$N,Y$2,FALSE))," ")</f>
        <v> </v>
      </c>
      <c r="Q23" s="59" t="str">
        <f>_xlfn.IFNA(IF(VLOOKUP($J$1&amp;$A23,'4.1 关键词原始数据'!$A:$N,Z$2,FALSE)=0," ",VLOOKUP($J$1&amp;$A23,'4.1 关键词原始数据'!$A:$N,Z$2,FALSE))," ")</f>
        <v> </v>
      </c>
    </row>
    <row r="24" ht="17.4" spans="1:17">
      <c r="A24" s="65" t="s">
        <v>508</v>
      </c>
      <c r="B24" s="59" t="str">
        <f>_xlfn.IFNA(IF(VLOOKUP($B$1&amp;$A24,'4.1 关键词原始数据'!$A:$N,S$2,FALSE)=0," ",VLOOKUP($B$1&amp;$A24,'4.1 关键词原始数据'!$A:$N,S$2,FALSE))," ")</f>
        <v> </v>
      </c>
      <c r="C24" s="59" t="str">
        <f>_xlfn.IFNA(IF(VLOOKUP($B$1&amp;$A24,'4.1 关键词原始数据'!$A:$N,T$2,FALSE)=0," ",VLOOKUP($B$1&amp;$A24,'4.1 关键词原始数据'!$A:$N,T$2,FALSE))," ")</f>
        <v> </v>
      </c>
      <c r="D24" s="59" t="str">
        <f>_xlfn.IFNA(IF(VLOOKUP($B$1&amp;$A24,'4.1 关键词原始数据'!$A:$N,U$2,FALSE)=0," ",VLOOKUP($B$1&amp;$A24,'4.1 关键词原始数据'!$A:$N,U$2,FALSE))," ")</f>
        <v> </v>
      </c>
      <c r="E24" s="59" t="str">
        <f>_xlfn.IFNA(IF(VLOOKUP($B$1&amp;$A24,'4.1 关键词原始数据'!$A:$N,V$2,FALSE)=0," ",VLOOKUP($B$1&amp;$A24,'4.1 关键词原始数据'!$A:$N,V$2,FALSE))," ")</f>
        <v> </v>
      </c>
      <c r="F24" s="59" t="str">
        <f>_xlfn.IFNA(IF(VLOOKUP($B$1&amp;$A24,'4.1 关键词原始数据'!$A:$N,W$2,FALSE)=0," ",VLOOKUP($B$1&amp;$A24,'4.1 关键词原始数据'!$A:$N,W$2,FALSE))," ")</f>
        <v> </v>
      </c>
      <c r="G24" s="59" t="str">
        <f>_xlfn.IFNA(IF(VLOOKUP($B$1&amp;$A24,'4.1 关键词原始数据'!$A:$N,X$2,FALSE)=0," ",VLOOKUP($B$1&amp;$A24,'4.1 关键词原始数据'!$A:$N,X$2,FALSE))," ")</f>
        <v> </v>
      </c>
      <c r="H24" s="59" t="str">
        <f>_xlfn.IFNA(IF(VLOOKUP($B$1&amp;$A24,'4.1 关键词原始数据'!$A:$N,Y$2,FALSE)=0," ",VLOOKUP($B$1&amp;$A24,'4.1 关键词原始数据'!$A:$N,Y$2,FALSE))," ")</f>
        <v> </v>
      </c>
      <c r="I24" s="59" t="str">
        <f>_xlfn.IFNA(IF(VLOOKUP($B$1&amp;$A24,'4.1 关键词原始数据'!$A:$N,Z$2,FALSE)=0," ",VLOOKUP($B$1&amp;$A24,'4.1 关键词原始数据'!$A:$N,Z$2,FALSE))," ")</f>
        <v> </v>
      </c>
      <c r="J24" s="59" t="str">
        <f>_xlfn.IFNA(IF(VLOOKUP($J$1&amp;$A24,'4.1 关键词原始数据'!$A:$N,S$2,FALSE)=0," ",VLOOKUP($J$1&amp;$A24,'4.1 关键词原始数据'!$A:$N,S$2,FALSE))," ")</f>
        <v> </v>
      </c>
      <c r="K24" s="59" t="str">
        <f>_xlfn.IFNA(IF(VLOOKUP($J$1&amp;$A24,'4.1 关键词原始数据'!$A:$N,T$2,FALSE)=0," ",VLOOKUP($J$1&amp;$A24,'4.1 关键词原始数据'!$A:$N,T$2,FALSE))," ")</f>
        <v> </v>
      </c>
      <c r="L24" s="59" t="str">
        <f>_xlfn.IFNA(IF(VLOOKUP($J$1&amp;$A24,'4.1 关键词原始数据'!$A:$N,U$2,FALSE)=0," ",VLOOKUP($J$1&amp;$A24,'4.1 关键词原始数据'!$A:$N,U$2,FALSE))," ")</f>
        <v> </v>
      </c>
      <c r="M24" s="59" t="str">
        <f>_xlfn.IFNA(IF(VLOOKUP($J$1&amp;$A24,'4.1 关键词原始数据'!$A:$N,V$2,FALSE)=0," ",VLOOKUP($J$1&amp;$A24,'4.1 关键词原始数据'!$A:$N,V$2,FALSE))," ")</f>
        <v> </v>
      </c>
      <c r="N24" s="59" t="str">
        <f>_xlfn.IFNA(IF(VLOOKUP($J$1&amp;$A24,'4.1 关键词原始数据'!$A:$N,W$2,FALSE)=0," ",VLOOKUP($J$1&amp;$A24,'4.1 关键词原始数据'!$A:$N,W$2,FALSE))," ")</f>
        <v> </v>
      </c>
      <c r="O24" s="59" t="str">
        <f>_xlfn.IFNA(IF(VLOOKUP($J$1&amp;$A24,'4.1 关键词原始数据'!$A:$N,X$2,FALSE)=0," ",VLOOKUP($J$1&amp;$A24,'4.1 关键词原始数据'!$A:$N,X$2,FALSE))," ")</f>
        <v> </v>
      </c>
      <c r="P24" s="59" t="str">
        <f>_xlfn.IFNA(IF(VLOOKUP($J$1&amp;$A24,'4.1 关键词原始数据'!$A:$N,Y$2,FALSE)=0," ",VLOOKUP($J$1&amp;$A24,'4.1 关键词原始数据'!$A:$N,Y$2,FALSE))," ")</f>
        <v> </v>
      </c>
      <c r="Q24" s="59" t="str">
        <f>_xlfn.IFNA(IF(VLOOKUP($J$1&amp;$A24,'4.1 关键词原始数据'!$A:$N,Z$2,FALSE)=0," ",VLOOKUP($J$1&amp;$A24,'4.1 关键词原始数据'!$A:$N,Z$2,FALSE))," ")</f>
        <v> </v>
      </c>
    </row>
    <row r="25" ht="17.4" spans="1:17">
      <c r="A25" s="65" t="s">
        <v>509</v>
      </c>
      <c r="B25" s="59" t="str">
        <f>_xlfn.IFNA(IF(VLOOKUP($B$1&amp;$A25,'4.1 关键词原始数据'!$A:$N,S$2,FALSE)=0," ",VLOOKUP($B$1&amp;$A25,'4.1 关键词原始数据'!$A:$N,S$2,FALSE))," ")</f>
        <v> </v>
      </c>
      <c r="C25" s="59" t="str">
        <f>_xlfn.IFNA(IF(VLOOKUP($B$1&amp;$A25,'4.1 关键词原始数据'!$A:$N,T$2,FALSE)=0," ",VLOOKUP($B$1&amp;$A25,'4.1 关键词原始数据'!$A:$N,T$2,FALSE))," ")</f>
        <v>4-9-3</v>
      </c>
      <c r="D25" s="59" t="str">
        <f>_xlfn.IFNA(IF(VLOOKUP($B$1&amp;$A25,'4.1 关键词原始数据'!$A:$N,U$2,FALSE)=0," ",VLOOKUP($B$1&amp;$A25,'4.1 关键词原始数据'!$A:$N,U$2,FALSE))," ")</f>
        <v> </v>
      </c>
      <c r="E25" s="59" t="str">
        <f>_xlfn.IFNA(IF(VLOOKUP($B$1&amp;$A25,'4.1 关键词原始数据'!$A:$N,V$2,FALSE)=0," ",VLOOKUP($B$1&amp;$A25,'4.1 关键词原始数据'!$A:$N,V$2,FALSE))," ")</f>
        <v> </v>
      </c>
      <c r="F25" s="59" t="str">
        <f>_xlfn.IFNA(IF(VLOOKUP($B$1&amp;$A25,'4.1 关键词原始数据'!$A:$N,W$2,FALSE)=0," ",VLOOKUP($B$1&amp;$A25,'4.1 关键词原始数据'!$A:$N,W$2,FALSE))," ")</f>
        <v> </v>
      </c>
      <c r="G25" s="59" t="str">
        <f>_xlfn.IFNA(IF(VLOOKUP($B$1&amp;$A25,'4.1 关键词原始数据'!$A:$N,X$2,FALSE)=0," ",VLOOKUP($B$1&amp;$A25,'4.1 关键词原始数据'!$A:$N,X$2,FALSE))," ")</f>
        <v>2-1-2</v>
      </c>
      <c r="H25" s="59" t="str">
        <f>_xlfn.IFNA(IF(VLOOKUP($B$1&amp;$A25,'4.1 关键词原始数据'!$A:$N,Y$2,FALSE)=0," ",VLOOKUP($B$1&amp;$A25,'4.1 关键词原始数据'!$A:$N,Y$2,FALSE))," ")</f>
        <v> </v>
      </c>
      <c r="I25" s="59" t="str">
        <f>_xlfn.IFNA(IF(VLOOKUP($B$1&amp;$A25,'4.1 关键词原始数据'!$A:$N,Z$2,FALSE)=0," ",VLOOKUP($B$1&amp;$A25,'4.1 关键词原始数据'!$A:$N,Z$2,FALSE))," ")</f>
        <v> </v>
      </c>
      <c r="J25" s="59" t="str">
        <f>_xlfn.IFNA(IF(VLOOKUP($J$1&amp;$A25,'4.1 关键词原始数据'!$A:$N,S$2,FALSE)=0," ",VLOOKUP($J$1&amp;$A25,'4.1 关键词原始数据'!$A:$N,S$2,FALSE))," ")</f>
        <v> </v>
      </c>
      <c r="K25" s="59" t="str">
        <f>_xlfn.IFNA(IF(VLOOKUP($J$1&amp;$A25,'4.1 关键词原始数据'!$A:$N,T$2,FALSE)=0," ",VLOOKUP($J$1&amp;$A25,'4.1 关键词原始数据'!$A:$N,T$2,FALSE))," ")</f>
        <v> </v>
      </c>
      <c r="L25" s="59" t="str">
        <f>_xlfn.IFNA(IF(VLOOKUP($J$1&amp;$A25,'4.1 关键词原始数据'!$A:$N,U$2,FALSE)=0," ",VLOOKUP($J$1&amp;$A25,'4.1 关键词原始数据'!$A:$N,U$2,FALSE))," ")</f>
        <v> </v>
      </c>
      <c r="M25" s="59" t="str">
        <f>_xlfn.IFNA(IF(VLOOKUP($J$1&amp;$A25,'4.1 关键词原始数据'!$A:$N,V$2,FALSE)=0," ",VLOOKUP($J$1&amp;$A25,'4.1 关键词原始数据'!$A:$N,V$2,FALSE))," ")</f>
        <v>6-4-3</v>
      </c>
      <c r="N25" s="59" t="str">
        <f>_xlfn.IFNA(IF(VLOOKUP($J$1&amp;$A25,'4.1 关键词原始数据'!$A:$N,W$2,FALSE)=0," ",VLOOKUP($J$1&amp;$A25,'4.1 关键词原始数据'!$A:$N,W$2,FALSE))," ")</f>
        <v> </v>
      </c>
      <c r="O25" s="59" t="str">
        <f>_xlfn.IFNA(IF(VLOOKUP($J$1&amp;$A25,'4.1 关键词原始数据'!$A:$N,X$2,FALSE)=0," ",VLOOKUP($J$1&amp;$A25,'4.1 关键词原始数据'!$A:$N,X$2,FALSE))," ")</f>
        <v> </v>
      </c>
      <c r="P25" s="59" t="str">
        <f>_xlfn.IFNA(IF(VLOOKUP($J$1&amp;$A25,'4.1 关键词原始数据'!$A:$N,Y$2,FALSE)=0," ",VLOOKUP($J$1&amp;$A25,'4.1 关键词原始数据'!$A:$N,Y$2,FALSE))," ")</f>
        <v> </v>
      </c>
      <c r="Q25" s="59" t="str">
        <f>_xlfn.IFNA(IF(VLOOKUP($J$1&amp;$A25,'4.1 关键词原始数据'!$A:$N,Z$2,FALSE)=0," ",VLOOKUP($J$1&amp;$A25,'4.1 关键词原始数据'!$A:$N,Z$2,FALSE))," ")</f>
        <v> </v>
      </c>
    </row>
    <row r="26" ht="17.4" spans="1:17">
      <c r="A26" s="65" t="s">
        <v>510</v>
      </c>
      <c r="B26" s="59" t="str">
        <f>_xlfn.IFNA(IF(VLOOKUP($B$1&amp;$A26,'4.1 关键词原始数据'!$A:$N,S$2,FALSE)=0," ",VLOOKUP($B$1&amp;$A26,'4.1 关键词原始数据'!$A:$N,S$2,FALSE))," ")</f>
        <v> </v>
      </c>
      <c r="C26" s="59" t="str">
        <f>_xlfn.IFNA(IF(VLOOKUP($B$1&amp;$A26,'4.1 关键词原始数据'!$A:$N,T$2,FALSE)=0," ",VLOOKUP($B$1&amp;$A26,'4.1 关键词原始数据'!$A:$N,T$2,FALSE))," ")</f>
        <v>4-13-2</v>
      </c>
      <c r="D26" s="59" t="str">
        <f>_xlfn.IFNA(IF(VLOOKUP($B$1&amp;$A26,'4.1 关键词原始数据'!$A:$N,U$2,FALSE)=0," ",VLOOKUP($B$1&amp;$A26,'4.1 关键词原始数据'!$A:$N,U$2,FALSE))," ")</f>
        <v> </v>
      </c>
      <c r="E26" s="59" t="str">
        <f>_xlfn.IFNA(IF(VLOOKUP($B$1&amp;$A26,'4.1 关键词原始数据'!$A:$N,V$2,FALSE)=0," ",VLOOKUP($B$1&amp;$A26,'4.1 关键词原始数据'!$A:$N,V$2,FALSE))," ")</f>
        <v> </v>
      </c>
      <c r="F26" s="59" t="str">
        <f>_xlfn.IFNA(IF(VLOOKUP($B$1&amp;$A26,'4.1 关键词原始数据'!$A:$N,W$2,FALSE)=0," ",VLOOKUP($B$1&amp;$A26,'4.1 关键词原始数据'!$A:$N,W$2,FALSE))," ")</f>
        <v>1-8-4</v>
      </c>
      <c r="G26" s="59" t="str">
        <f>_xlfn.IFNA(IF(VLOOKUP($B$1&amp;$A26,'4.1 关键词原始数据'!$A:$N,X$2,FALSE)=0," ",VLOOKUP($B$1&amp;$A26,'4.1 关键词原始数据'!$A:$N,X$2,FALSE))," ")</f>
        <v>2-5-2</v>
      </c>
      <c r="H26" s="59" t="str">
        <f>_xlfn.IFNA(IF(VLOOKUP($B$1&amp;$A26,'4.1 关键词原始数据'!$A:$N,Y$2,FALSE)=0," ",VLOOKUP($B$1&amp;$A26,'4.1 关键词原始数据'!$A:$N,Y$2,FALSE))," ")</f>
        <v> </v>
      </c>
      <c r="I26" s="59" t="str">
        <f>_xlfn.IFNA(IF(VLOOKUP($B$1&amp;$A26,'4.1 关键词原始数据'!$A:$N,Z$2,FALSE)=0," ",VLOOKUP($B$1&amp;$A26,'4.1 关键词原始数据'!$A:$N,Z$2,FALSE))," ")</f>
        <v> </v>
      </c>
      <c r="J26" s="59" t="str">
        <f>_xlfn.IFNA(IF(VLOOKUP($J$1&amp;$A26,'4.1 关键词原始数据'!$A:$N,S$2,FALSE)=0," ",VLOOKUP($J$1&amp;$A26,'4.1 关键词原始数据'!$A:$N,S$2,FALSE))," ")</f>
        <v> </v>
      </c>
      <c r="K26" s="59" t="str">
        <f>_xlfn.IFNA(IF(VLOOKUP($J$1&amp;$A26,'4.1 关键词原始数据'!$A:$N,T$2,FALSE)=0," ",VLOOKUP($J$1&amp;$A26,'4.1 关键词原始数据'!$A:$N,T$2,FALSE))," ")</f>
        <v> </v>
      </c>
      <c r="L26" s="59" t="str">
        <f>_xlfn.IFNA(IF(VLOOKUP($J$1&amp;$A26,'4.1 关键词原始数据'!$A:$N,U$2,FALSE)=0," ",VLOOKUP($J$1&amp;$A26,'4.1 关键词原始数据'!$A:$N,U$2,FALSE))," ")</f>
        <v> </v>
      </c>
      <c r="M26" s="59" t="str">
        <f>_xlfn.IFNA(IF(VLOOKUP($J$1&amp;$A26,'4.1 关键词原始数据'!$A:$N,V$2,FALSE)=0," ",VLOOKUP($J$1&amp;$A26,'4.1 关键词原始数据'!$A:$N,V$2,FALSE))," ")</f>
        <v> </v>
      </c>
      <c r="N26" s="59" t="str">
        <f>_xlfn.IFNA(IF(VLOOKUP($J$1&amp;$A26,'4.1 关键词原始数据'!$A:$N,W$2,FALSE)=0," ",VLOOKUP($J$1&amp;$A26,'4.1 关键词原始数据'!$A:$N,W$2,FALSE))," ")</f>
        <v> </v>
      </c>
      <c r="O26" s="59" t="str">
        <f>_xlfn.IFNA(IF(VLOOKUP($J$1&amp;$A26,'4.1 关键词原始数据'!$A:$N,X$2,FALSE)=0," ",VLOOKUP($J$1&amp;$A26,'4.1 关键词原始数据'!$A:$N,X$2,FALSE))," ")</f>
        <v> </v>
      </c>
      <c r="P26" s="59" t="str">
        <f>_xlfn.IFNA(IF(VLOOKUP($J$1&amp;$A26,'4.1 关键词原始数据'!$A:$N,Y$2,FALSE)=0," ",VLOOKUP($J$1&amp;$A26,'4.1 关键词原始数据'!$A:$N,Y$2,FALSE))," ")</f>
        <v> </v>
      </c>
      <c r="Q26" s="59" t="str">
        <f>_xlfn.IFNA(IF(VLOOKUP($J$1&amp;$A26,'4.1 关键词原始数据'!$A:$N,Z$2,FALSE)=0," ",VLOOKUP($J$1&amp;$A26,'4.1 关键词原始数据'!$A:$N,Z$2,FALSE))," ")</f>
        <v> </v>
      </c>
    </row>
    <row r="27" ht="17.4" spans="1:17">
      <c r="A27" s="65" t="s">
        <v>511</v>
      </c>
      <c r="B27" s="59" t="str">
        <f>_xlfn.IFNA(IF(VLOOKUP($B$1&amp;$A27,'4.1 关键词原始数据'!$A:$N,S$2,FALSE)=0," ",VLOOKUP($B$1&amp;$A27,'4.1 关键词原始数据'!$A:$N,S$2,FALSE))," ")</f>
        <v> </v>
      </c>
      <c r="C27" s="59" t="str">
        <f>_xlfn.IFNA(IF(VLOOKUP($B$1&amp;$A27,'4.1 关键词原始数据'!$A:$N,T$2,FALSE)=0," ",VLOOKUP($B$1&amp;$A27,'4.1 关键词原始数据'!$A:$N,T$2,FALSE))," ")</f>
        <v>2-13-4</v>
      </c>
      <c r="D27" s="59" t="str">
        <f>_xlfn.IFNA(IF(VLOOKUP($B$1&amp;$A27,'4.1 关键词原始数据'!$A:$N,U$2,FALSE)=0," ",VLOOKUP($B$1&amp;$A27,'4.1 关键词原始数据'!$A:$N,U$2,FALSE))," ")</f>
        <v> </v>
      </c>
      <c r="E27" s="59" t="str">
        <f>_xlfn.IFNA(IF(VLOOKUP($B$1&amp;$A27,'4.1 关键词原始数据'!$A:$N,V$2,FALSE)=0," ",VLOOKUP($B$1&amp;$A27,'4.1 关键词原始数据'!$A:$N,V$2,FALSE))," ")</f>
        <v> </v>
      </c>
      <c r="F27" s="59" t="str">
        <f>_xlfn.IFNA(IF(VLOOKUP($B$1&amp;$A27,'4.1 关键词原始数据'!$A:$N,W$2,FALSE)=0," ",VLOOKUP($B$1&amp;$A27,'4.1 关键词原始数据'!$A:$N,W$2,FALSE))," ")</f>
        <v> </v>
      </c>
      <c r="G27" s="59" t="str">
        <f>_xlfn.IFNA(IF(VLOOKUP($B$1&amp;$A27,'4.1 关键词原始数据'!$A:$N,X$2,FALSE)=0," ",VLOOKUP($B$1&amp;$A27,'4.1 关键词原始数据'!$A:$N,X$2,FALSE))," ")</f>
        <v>1-15-4</v>
      </c>
      <c r="H27" s="59" t="str">
        <f>_xlfn.IFNA(IF(VLOOKUP($B$1&amp;$A27,'4.1 关键词原始数据'!$A:$N,Y$2,FALSE)=0," ",VLOOKUP($B$1&amp;$A27,'4.1 关键词原始数据'!$A:$N,Y$2,FALSE))," ")</f>
        <v> </v>
      </c>
      <c r="I27" s="59" t="str">
        <f>_xlfn.IFNA(IF(VLOOKUP($B$1&amp;$A27,'4.1 关键词原始数据'!$A:$N,Z$2,FALSE)=0," ",VLOOKUP($B$1&amp;$A27,'4.1 关键词原始数据'!$A:$N,Z$2,FALSE))," ")</f>
        <v> </v>
      </c>
      <c r="J27" s="59" t="str">
        <f>_xlfn.IFNA(IF(VLOOKUP($J$1&amp;$A27,'4.1 关键词原始数据'!$A:$N,S$2,FALSE)=0," ",VLOOKUP($J$1&amp;$A27,'4.1 关键词原始数据'!$A:$N,S$2,FALSE))," ")</f>
        <v> </v>
      </c>
      <c r="K27" s="59" t="str">
        <f>_xlfn.IFNA(IF(VLOOKUP($J$1&amp;$A27,'4.1 关键词原始数据'!$A:$N,T$2,FALSE)=0," ",VLOOKUP($J$1&amp;$A27,'4.1 关键词原始数据'!$A:$N,T$2,FALSE))," ")</f>
        <v> </v>
      </c>
      <c r="L27" s="59" t="str">
        <f>_xlfn.IFNA(IF(VLOOKUP($J$1&amp;$A27,'4.1 关键词原始数据'!$A:$N,U$2,FALSE)=0," ",VLOOKUP($J$1&amp;$A27,'4.1 关键词原始数据'!$A:$N,U$2,FALSE))," ")</f>
        <v> </v>
      </c>
      <c r="M27" s="59" t="str">
        <f>_xlfn.IFNA(IF(VLOOKUP($J$1&amp;$A27,'4.1 关键词原始数据'!$A:$N,V$2,FALSE)=0," ",VLOOKUP($J$1&amp;$A27,'4.1 关键词原始数据'!$A:$N,V$2,FALSE))," ")</f>
        <v>7-9-1</v>
      </c>
      <c r="N27" s="59" t="str">
        <f>_xlfn.IFNA(IF(VLOOKUP($J$1&amp;$A27,'4.1 关键词原始数据'!$A:$N,W$2,FALSE)=0," ",VLOOKUP($J$1&amp;$A27,'4.1 关键词原始数据'!$A:$N,W$2,FALSE))," ")</f>
        <v> </v>
      </c>
      <c r="O27" s="59" t="str">
        <f>_xlfn.IFNA(IF(VLOOKUP($J$1&amp;$A27,'4.1 关键词原始数据'!$A:$N,X$2,FALSE)=0," ",VLOOKUP($J$1&amp;$A27,'4.1 关键词原始数据'!$A:$N,X$2,FALSE))," ")</f>
        <v> </v>
      </c>
      <c r="P27" s="59" t="str">
        <f>_xlfn.IFNA(IF(VLOOKUP($J$1&amp;$A27,'4.1 关键词原始数据'!$A:$N,Y$2,FALSE)=0," ",VLOOKUP($J$1&amp;$A27,'4.1 关键词原始数据'!$A:$N,Y$2,FALSE))," ")</f>
        <v> </v>
      </c>
      <c r="Q27" s="59" t="str">
        <f>_xlfn.IFNA(IF(VLOOKUP($J$1&amp;$A27,'4.1 关键词原始数据'!$A:$N,Z$2,FALSE)=0," ",VLOOKUP($J$1&amp;$A27,'4.1 关键词原始数据'!$A:$N,Z$2,FALSE))," ")</f>
        <v> </v>
      </c>
    </row>
    <row r="28" ht="17.4" spans="1:17">
      <c r="A28" s="65" t="s">
        <v>512</v>
      </c>
      <c r="B28" s="59" t="str">
        <f>_xlfn.IFNA(IF(VLOOKUP($B$1&amp;$A28,'4.1 关键词原始数据'!$A:$N,S$2,FALSE)=0," ",VLOOKUP($B$1&amp;$A28,'4.1 关键词原始数据'!$A:$N,S$2,FALSE))," ")</f>
        <v> </v>
      </c>
      <c r="C28" s="59" t="str">
        <f>_xlfn.IFNA(IF(VLOOKUP($B$1&amp;$A28,'4.1 关键词原始数据'!$A:$N,T$2,FALSE)=0," ",VLOOKUP($B$1&amp;$A28,'4.1 关键词原始数据'!$A:$N,T$2,FALSE))," ")</f>
        <v>2-13-3</v>
      </c>
      <c r="D28" s="59" t="str">
        <f>_xlfn.IFNA(IF(VLOOKUP($B$1&amp;$A28,'4.1 关键词原始数据'!$A:$N,U$2,FALSE)=0," ",VLOOKUP($B$1&amp;$A28,'4.1 关键词原始数据'!$A:$N,U$2,FALSE))," ")</f>
        <v> </v>
      </c>
      <c r="E28" s="59" t="str">
        <f>_xlfn.IFNA(IF(VLOOKUP($B$1&amp;$A28,'4.1 关键词原始数据'!$A:$N,V$2,FALSE)=0," ",VLOOKUP($B$1&amp;$A28,'4.1 关键词原始数据'!$A:$N,V$2,FALSE))," ")</f>
        <v> </v>
      </c>
      <c r="F28" s="59" t="str">
        <f>_xlfn.IFNA(IF(VLOOKUP($B$1&amp;$A28,'4.1 关键词原始数据'!$A:$N,W$2,FALSE)=0," ",VLOOKUP($B$1&amp;$A28,'4.1 关键词原始数据'!$A:$N,W$2,FALSE))," ")</f>
        <v> </v>
      </c>
      <c r="G28" s="59" t="str">
        <f>_xlfn.IFNA(IF(VLOOKUP($B$1&amp;$A28,'4.1 关键词原始数据'!$A:$N,X$2,FALSE)=0," ",VLOOKUP($B$1&amp;$A28,'4.1 关键词原始数据'!$A:$N,X$2,FALSE))," ")</f>
        <v>1-16-3</v>
      </c>
      <c r="H28" s="59" t="str">
        <f>_xlfn.IFNA(IF(VLOOKUP($B$1&amp;$A28,'4.1 关键词原始数据'!$A:$N,Y$2,FALSE)=0," ",VLOOKUP($B$1&amp;$A28,'4.1 关键词原始数据'!$A:$N,Y$2,FALSE))," ")</f>
        <v> </v>
      </c>
      <c r="I28" s="59" t="str">
        <f>_xlfn.IFNA(IF(VLOOKUP($B$1&amp;$A28,'4.1 关键词原始数据'!$A:$N,Z$2,FALSE)=0," ",VLOOKUP($B$1&amp;$A28,'4.1 关键词原始数据'!$A:$N,Z$2,FALSE))," ")</f>
        <v> </v>
      </c>
      <c r="J28" s="59" t="str">
        <f>_xlfn.IFNA(IF(VLOOKUP($J$1&amp;$A28,'4.1 关键词原始数据'!$A:$N,S$2,FALSE)=0," ",VLOOKUP($J$1&amp;$A28,'4.1 关键词原始数据'!$A:$N,S$2,FALSE))," ")</f>
        <v> </v>
      </c>
      <c r="K28" s="59" t="str">
        <f>_xlfn.IFNA(IF(VLOOKUP($J$1&amp;$A28,'4.1 关键词原始数据'!$A:$N,T$2,FALSE)=0," ",VLOOKUP($J$1&amp;$A28,'4.1 关键词原始数据'!$A:$N,T$2,FALSE))," ")</f>
        <v> </v>
      </c>
      <c r="L28" s="59" t="str">
        <f>_xlfn.IFNA(IF(VLOOKUP($J$1&amp;$A28,'4.1 关键词原始数据'!$A:$N,U$2,FALSE)=0," ",VLOOKUP($J$1&amp;$A28,'4.1 关键词原始数据'!$A:$N,U$2,FALSE))," ")</f>
        <v> </v>
      </c>
      <c r="M28" s="59" t="str">
        <f>_xlfn.IFNA(IF(VLOOKUP($J$1&amp;$A28,'4.1 关键词原始数据'!$A:$N,V$2,FALSE)=0," ",VLOOKUP($J$1&amp;$A28,'4.1 关键词原始数据'!$A:$N,V$2,FALSE))," ")</f>
        <v> </v>
      </c>
      <c r="N28" s="59" t="str">
        <f>_xlfn.IFNA(IF(VLOOKUP($J$1&amp;$A28,'4.1 关键词原始数据'!$A:$N,W$2,FALSE)=0," ",VLOOKUP($J$1&amp;$A28,'4.1 关键词原始数据'!$A:$N,W$2,FALSE))," ")</f>
        <v> </v>
      </c>
      <c r="O28" s="59" t="str">
        <f>_xlfn.IFNA(IF(VLOOKUP($J$1&amp;$A28,'4.1 关键词原始数据'!$A:$N,X$2,FALSE)=0," ",VLOOKUP($J$1&amp;$A28,'4.1 关键词原始数据'!$A:$N,X$2,FALSE))," ")</f>
        <v> </v>
      </c>
      <c r="P28" s="59" t="str">
        <f>_xlfn.IFNA(IF(VLOOKUP($J$1&amp;$A28,'4.1 关键词原始数据'!$A:$N,Y$2,FALSE)=0," ",VLOOKUP($J$1&amp;$A28,'4.1 关键词原始数据'!$A:$N,Y$2,FALSE))," ")</f>
        <v> </v>
      </c>
      <c r="Q28" s="59" t="str">
        <f>_xlfn.IFNA(IF(VLOOKUP($J$1&amp;$A28,'4.1 关键词原始数据'!$A:$N,Z$2,FALSE)=0," ",VLOOKUP($J$1&amp;$A28,'4.1 关键词原始数据'!$A:$N,Z$2,FALSE))," ")</f>
        <v> </v>
      </c>
    </row>
    <row r="29" ht="17.4" spans="1:17">
      <c r="A29" s="65" t="s">
        <v>513</v>
      </c>
      <c r="B29" s="59" t="str">
        <f>_xlfn.IFNA(IF(VLOOKUP($B$1&amp;$A29,'4.1 关键词原始数据'!$A:$N,S$2,FALSE)=0," ",VLOOKUP($B$1&amp;$A29,'4.1 关键词原始数据'!$A:$N,S$2,FALSE))," ")</f>
        <v> </v>
      </c>
      <c r="C29" s="59" t="str">
        <f>_xlfn.IFNA(IF(VLOOKUP($B$1&amp;$A29,'4.1 关键词原始数据'!$A:$N,T$2,FALSE)=0," ",VLOOKUP($B$1&amp;$A29,'4.1 关键词原始数据'!$A:$N,T$2,FALSE))," ")</f>
        <v>2-7-3</v>
      </c>
      <c r="D29" s="59" t="str">
        <f>_xlfn.IFNA(IF(VLOOKUP($B$1&amp;$A29,'4.1 关键词原始数据'!$A:$N,U$2,FALSE)=0," ",VLOOKUP($B$1&amp;$A29,'4.1 关键词原始数据'!$A:$N,U$2,FALSE))," ")</f>
        <v> </v>
      </c>
      <c r="E29" s="59" t="str">
        <f>_xlfn.IFNA(IF(VLOOKUP($B$1&amp;$A29,'4.1 关键词原始数据'!$A:$N,V$2,FALSE)=0," ",VLOOKUP($B$1&amp;$A29,'4.1 关键词原始数据'!$A:$N,V$2,FALSE))," ")</f>
        <v> </v>
      </c>
      <c r="F29" s="59" t="str">
        <f>_xlfn.IFNA(IF(VLOOKUP($B$1&amp;$A29,'4.1 关键词原始数据'!$A:$N,W$2,FALSE)=0," ",VLOOKUP($B$1&amp;$A29,'4.1 关键词原始数据'!$A:$N,W$2,FALSE))," ")</f>
        <v> </v>
      </c>
      <c r="G29" s="59" t="str">
        <f>_xlfn.IFNA(IF(VLOOKUP($B$1&amp;$A29,'4.1 关键词原始数据'!$A:$N,X$2,FALSE)=0," ",VLOOKUP($B$1&amp;$A29,'4.1 关键词原始数据'!$A:$N,X$2,FALSE))," ")</f>
        <v>1-17-2</v>
      </c>
      <c r="H29" s="59" t="str">
        <f>_xlfn.IFNA(IF(VLOOKUP($B$1&amp;$A29,'4.1 关键词原始数据'!$A:$N,Y$2,FALSE)=0," ",VLOOKUP($B$1&amp;$A29,'4.1 关键词原始数据'!$A:$N,Y$2,FALSE))," ")</f>
        <v> </v>
      </c>
      <c r="I29" s="59" t="str">
        <f>_xlfn.IFNA(IF(VLOOKUP($B$1&amp;$A29,'4.1 关键词原始数据'!$A:$N,Z$2,FALSE)=0," ",VLOOKUP($B$1&amp;$A29,'4.1 关键词原始数据'!$A:$N,Z$2,FALSE))," ")</f>
        <v> </v>
      </c>
      <c r="J29" s="59" t="str">
        <f>_xlfn.IFNA(IF(VLOOKUP($J$1&amp;$A29,'4.1 关键词原始数据'!$A:$N,S$2,FALSE)=0," ",VLOOKUP($J$1&amp;$A29,'4.1 关键词原始数据'!$A:$N,S$2,FALSE))," ")</f>
        <v> </v>
      </c>
      <c r="K29" s="59" t="str">
        <f>_xlfn.IFNA(IF(VLOOKUP($J$1&amp;$A29,'4.1 关键词原始数据'!$A:$N,T$2,FALSE)=0," ",VLOOKUP($J$1&amp;$A29,'4.1 关键词原始数据'!$A:$N,T$2,FALSE))," ")</f>
        <v> </v>
      </c>
      <c r="L29" s="59" t="str">
        <f>_xlfn.IFNA(IF(VLOOKUP($J$1&amp;$A29,'4.1 关键词原始数据'!$A:$N,U$2,FALSE)=0," ",VLOOKUP($J$1&amp;$A29,'4.1 关键词原始数据'!$A:$N,U$2,FALSE))," ")</f>
        <v> </v>
      </c>
      <c r="M29" s="59" t="str">
        <f>_xlfn.IFNA(IF(VLOOKUP($J$1&amp;$A29,'4.1 关键词原始数据'!$A:$N,V$2,FALSE)=0," ",VLOOKUP($J$1&amp;$A29,'4.1 关键词原始数据'!$A:$N,V$2,FALSE))," ")</f>
        <v>6-16-4</v>
      </c>
      <c r="N29" s="59" t="str">
        <f>_xlfn.IFNA(IF(VLOOKUP($J$1&amp;$A29,'4.1 关键词原始数据'!$A:$N,W$2,FALSE)=0," ",VLOOKUP($J$1&amp;$A29,'4.1 关键词原始数据'!$A:$N,W$2,FALSE))," ")</f>
        <v> </v>
      </c>
      <c r="O29" s="59" t="str">
        <f>_xlfn.IFNA(IF(VLOOKUP($J$1&amp;$A29,'4.1 关键词原始数据'!$A:$N,X$2,FALSE)=0," ",VLOOKUP($J$1&amp;$A29,'4.1 关键词原始数据'!$A:$N,X$2,FALSE))," ")</f>
        <v> </v>
      </c>
      <c r="P29" s="59" t="str">
        <f>_xlfn.IFNA(IF(VLOOKUP($J$1&amp;$A29,'4.1 关键词原始数据'!$A:$N,Y$2,FALSE)=0," ",VLOOKUP($J$1&amp;$A29,'4.1 关键词原始数据'!$A:$N,Y$2,FALSE))," ")</f>
        <v> </v>
      </c>
      <c r="Q29" s="59" t="str">
        <f>_xlfn.IFNA(IF(VLOOKUP($J$1&amp;$A29,'4.1 关键词原始数据'!$A:$N,Z$2,FALSE)=0," ",VLOOKUP($J$1&amp;$A29,'4.1 关键词原始数据'!$A:$N,Z$2,FALSE))," ")</f>
        <v> </v>
      </c>
    </row>
    <row r="30" ht="17.4" spans="1:17">
      <c r="A30" s="65" t="s">
        <v>514</v>
      </c>
      <c r="B30" s="59" t="str">
        <f>_xlfn.IFNA(IF(VLOOKUP($B$1&amp;$A30,'4.1 关键词原始数据'!$A:$N,S$2,FALSE)=0," ",VLOOKUP($B$1&amp;$A30,'4.1 关键词原始数据'!$A:$N,S$2,FALSE))," ")</f>
        <v> </v>
      </c>
      <c r="C30" s="59" t="str">
        <f>_xlfn.IFNA(IF(VLOOKUP($B$1&amp;$A30,'4.1 关键词原始数据'!$A:$N,T$2,FALSE)=0," ",VLOOKUP($B$1&amp;$A30,'4.1 关键词原始数据'!$A:$N,T$2,FALSE))," ")</f>
        <v>2-2-2</v>
      </c>
      <c r="D30" s="59" t="str">
        <f>_xlfn.IFNA(IF(VLOOKUP($B$1&amp;$A30,'4.1 关键词原始数据'!$A:$N,U$2,FALSE)=0," ",VLOOKUP($B$1&amp;$A30,'4.1 关键词原始数据'!$A:$N,U$2,FALSE))," ")</f>
        <v> </v>
      </c>
      <c r="E30" s="59" t="str">
        <f>_xlfn.IFNA(IF(VLOOKUP($B$1&amp;$A30,'4.1 关键词原始数据'!$A:$N,V$2,FALSE)=0," ",VLOOKUP($B$1&amp;$A30,'4.1 关键词原始数据'!$A:$N,V$2,FALSE))," ")</f>
        <v> </v>
      </c>
      <c r="F30" s="59" t="str">
        <f>_xlfn.IFNA(IF(VLOOKUP($B$1&amp;$A30,'4.1 关键词原始数据'!$A:$N,W$2,FALSE)=0," ",VLOOKUP($B$1&amp;$A30,'4.1 关键词原始数据'!$A:$N,W$2,FALSE))," ")</f>
        <v> </v>
      </c>
      <c r="G30" s="59" t="str">
        <f>_xlfn.IFNA(IF(VLOOKUP($B$1&amp;$A30,'4.1 关键词原始数据'!$A:$N,X$2,FALSE)=0," ",VLOOKUP($B$1&amp;$A30,'4.1 关键词原始数据'!$A:$N,X$2,FALSE))," ")</f>
        <v>1-16-3</v>
      </c>
      <c r="H30" s="59" t="str">
        <f>_xlfn.IFNA(IF(VLOOKUP($B$1&amp;$A30,'4.1 关键词原始数据'!$A:$N,Y$2,FALSE)=0," ",VLOOKUP($B$1&amp;$A30,'4.1 关键词原始数据'!$A:$N,Y$2,FALSE))," ")</f>
        <v> </v>
      </c>
      <c r="I30" s="59" t="str">
        <f>_xlfn.IFNA(IF(VLOOKUP($B$1&amp;$A30,'4.1 关键词原始数据'!$A:$N,Z$2,FALSE)=0," ",VLOOKUP($B$1&amp;$A30,'4.1 关键词原始数据'!$A:$N,Z$2,FALSE))," ")</f>
        <v> </v>
      </c>
      <c r="J30" s="59" t="str">
        <f>_xlfn.IFNA(IF(VLOOKUP($J$1&amp;$A30,'4.1 关键词原始数据'!$A:$N,S$2,FALSE)=0," ",VLOOKUP($J$1&amp;$A30,'4.1 关键词原始数据'!$A:$N,S$2,FALSE))," ")</f>
        <v> </v>
      </c>
      <c r="K30" s="59" t="str">
        <f>_xlfn.IFNA(IF(VLOOKUP($J$1&amp;$A30,'4.1 关键词原始数据'!$A:$N,T$2,FALSE)=0," ",VLOOKUP($J$1&amp;$A30,'4.1 关键词原始数据'!$A:$N,T$2,FALSE))," ")</f>
        <v> </v>
      </c>
      <c r="L30" s="59" t="str">
        <f>_xlfn.IFNA(IF(VLOOKUP($J$1&amp;$A30,'4.1 关键词原始数据'!$A:$N,U$2,FALSE)=0," ",VLOOKUP($J$1&amp;$A30,'4.1 关键词原始数据'!$A:$N,U$2,FALSE))," ")</f>
        <v> </v>
      </c>
      <c r="M30" s="59" t="str">
        <f>_xlfn.IFNA(IF(VLOOKUP($J$1&amp;$A30,'4.1 关键词原始数据'!$A:$N,V$2,FALSE)=0," ",VLOOKUP($J$1&amp;$A30,'4.1 关键词原始数据'!$A:$N,V$2,FALSE))," ")</f>
        <v> </v>
      </c>
      <c r="N30" s="59" t="str">
        <f>_xlfn.IFNA(IF(VLOOKUP($J$1&amp;$A30,'4.1 关键词原始数据'!$A:$N,W$2,FALSE)=0," ",VLOOKUP($J$1&amp;$A30,'4.1 关键词原始数据'!$A:$N,W$2,FALSE))," ")</f>
        <v> </v>
      </c>
      <c r="O30" s="59" t="str">
        <f>_xlfn.IFNA(IF(VLOOKUP($J$1&amp;$A30,'4.1 关键词原始数据'!$A:$N,X$2,FALSE)=0," ",VLOOKUP($J$1&amp;$A30,'4.1 关键词原始数据'!$A:$N,X$2,FALSE))," ")</f>
        <v> </v>
      </c>
      <c r="P30" s="59" t="str">
        <f>_xlfn.IFNA(IF(VLOOKUP($J$1&amp;$A30,'4.1 关键词原始数据'!$A:$N,Y$2,FALSE)=0," ",VLOOKUP($J$1&amp;$A30,'4.1 关键词原始数据'!$A:$N,Y$2,FALSE))," ")</f>
        <v> </v>
      </c>
      <c r="Q30" s="59" t="str">
        <f>_xlfn.IFNA(IF(VLOOKUP($J$1&amp;$A30,'4.1 关键词原始数据'!$A:$N,Z$2,FALSE)=0," ",VLOOKUP($J$1&amp;$A30,'4.1 关键词原始数据'!$A:$N,Z$2,FALSE))," ")</f>
        <v> </v>
      </c>
    </row>
    <row r="31" ht="17.4" spans="1:17">
      <c r="A31" s="65" t="s">
        <v>515</v>
      </c>
      <c r="B31" s="59" t="str">
        <f>_xlfn.IFNA(IF(VLOOKUP($B$1&amp;$A31,'4.1 关键词原始数据'!$A:$N,S$2,FALSE)=0," ",VLOOKUP($B$1&amp;$A31,'4.1 关键词原始数据'!$A:$N,S$2,FALSE))," ")</f>
        <v> </v>
      </c>
      <c r="C31" s="59" t="str">
        <f>_xlfn.IFNA(IF(VLOOKUP($B$1&amp;$A31,'4.1 关键词原始数据'!$A:$N,T$2,FALSE)=0," ",VLOOKUP($B$1&amp;$A31,'4.1 关键词原始数据'!$A:$N,T$2,FALSE))," ")</f>
        <v>2-8-1</v>
      </c>
      <c r="D31" s="59" t="str">
        <f>_xlfn.IFNA(IF(VLOOKUP($B$1&amp;$A31,'4.1 关键词原始数据'!$A:$N,U$2,FALSE)=0," ",VLOOKUP($B$1&amp;$A31,'4.1 关键词原始数据'!$A:$N,U$2,FALSE))," ")</f>
        <v> </v>
      </c>
      <c r="E31" s="59" t="str">
        <f>_xlfn.IFNA(IF(VLOOKUP($B$1&amp;$A31,'4.1 关键词原始数据'!$A:$N,V$2,FALSE)=0," ",VLOOKUP($B$1&amp;$A31,'4.1 关键词原始数据'!$A:$N,V$2,FALSE))," ")</f>
        <v> </v>
      </c>
      <c r="F31" s="59" t="str">
        <f>_xlfn.IFNA(IF(VLOOKUP($B$1&amp;$A31,'4.1 关键词原始数据'!$A:$N,W$2,FALSE)=0," ",VLOOKUP($B$1&amp;$A31,'4.1 关键词原始数据'!$A:$N,W$2,FALSE))," ")</f>
        <v> </v>
      </c>
      <c r="G31" s="59" t="str">
        <f>_xlfn.IFNA(IF(VLOOKUP($B$1&amp;$A31,'4.1 关键词原始数据'!$A:$N,X$2,FALSE)=0," ",VLOOKUP($B$1&amp;$A31,'4.1 关键词原始数据'!$A:$N,X$2,FALSE))," ")</f>
        <v>1-16-3</v>
      </c>
      <c r="H31" s="59" t="str">
        <f>_xlfn.IFNA(IF(VLOOKUP($B$1&amp;$A31,'4.1 关键词原始数据'!$A:$N,Y$2,FALSE)=0," ",VLOOKUP($B$1&amp;$A31,'4.1 关键词原始数据'!$A:$N,Y$2,FALSE))," ")</f>
        <v> </v>
      </c>
      <c r="I31" s="59" t="str">
        <f>_xlfn.IFNA(IF(VLOOKUP($B$1&amp;$A31,'4.1 关键词原始数据'!$A:$N,Z$2,FALSE)=0," ",VLOOKUP($B$1&amp;$A31,'4.1 关键词原始数据'!$A:$N,Z$2,FALSE))," ")</f>
        <v> </v>
      </c>
      <c r="J31" s="59" t="str">
        <f>_xlfn.IFNA(IF(VLOOKUP($J$1&amp;$A31,'4.1 关键词原始数据'!$A:$N,S$2,FALSE)=0," ",VLOOKUP($J$1&amp;$A31,'4.1 关键词原始数据'!$A:$N,S$2,FALSE))," ")</f>
        <v> </v>
      </c>
      <c r="K31" s="59" t="str">
        <f>_xlfn.IFNA(IF(VLOOKUP($J$1&amp;$A31,'4.1 关键词原始数据'!$A:$N,T$2,FALSE)=0," ",VLOOKUP($J$1&amp;$A31,'4.1 关键词原始数据'!$A:$N,T$2,FALSE))," ")</f>
        <v> </v>
      </c>
      <c r="L31" s="59" t="str">
        <f>_xlfn.IFNA(IF(VLOOKUP($J$1&amp;$A31,'4.1 关键词原始数据'!$A:$N,U$2,FALSE)=0," ",VLOOKUP($J$1&amp;$A31,'4.1 关键词原始数据'!$A:$N,U$2,FALSE))," ")</f>
        <v> </v>
      </c>
      <c r="M31" s="59" t="str">
        <f>_xlfn.IFNA(IF(VLOOKUP($J$1&amp;$A31,'4.1 关键词原始数据'!$A:$N,V$2,FALSE)=0," ",VLOOKUP($J$1&amp;$A31,'4.1 关键词原始数据'!$A:$N,V$2,FALSE))," ")</f>
        <v>6-15-1</v>
      </c>
      <c r="N31" s="59" t="str">
        <f>_xlfn.IFNA(IF(VLOOKUP($J$1&amp;$A31,'4.1 关键词原始数据'!$A:$N,W$2,FALSE)=0," ",VLOOKUP($J$1&amp;$A31,'4.1 关键词原始数据'!$A:$N,W$2,FALSE))," ")</f>
        <v> </v>
      </c>
      <c r="O31" s="59" t="str">
        <f>_xlfn.IFNA(IF(VLOOKUP($J$1&amp;$A31,'4.1 关键词原始数据'!$A:$N,X$2,FALSE)=0," ",VLOOKUP($J$1&amp;$A31,'4.1 关键词原始数据'!$A:$N,X$2,FALSE))," ")</f>
        <v> </v>
      </c>
      <c r="P31" s="59" t="str">
        <f>_xlfn.IFNA(IF(VLOOKUP($J$1&amp;$A31,'4.1 关键词原始数据'!$A:$N,Y$2,FALSE)=0," ",VLOOKUP($J$1&amp;$A31,'4.1 关键词原始数据'!$A:$N,Y$2,FALSE))," ")</f>
        <v> </v>
      </c>
      <c r="Q31" s="59" t="str">
        <f>_xlfn.IFNA(IF(VLOOKUP($J$1&amp;$A31,'4.1 关键词原始数据'!$A:$N,Z$2,FALSE)=0," ",VLOOKUP($J$1&amp;$A31,'4.1 关键词原始数据'!$A:$N,Z$2,FALSE))," ")</f>
        <v> </v>
      </c>
    </row>
    <row r="32" ht="17.4" spans="1:17">
      <c r="A32" s="65" t="s">
        <v>516</v>
      </c>
      <c r="B32" s="59" t="str">
        <f>_xlfn.IFNA(IF(VLOOKUP($B$1&amp;$A32,'4.1 关键词原始数据'!$A:$N,S$2,FALSE)=0," ",VLOOKUP($B$1&amp;$A32,'4.1 关键词原始数据'!$A:$N,S$2,FALSE))," ")</f>
        <v> </v>
      </c>
      <c r="C32" s="59" t="str">
        <f>_xlfn.IFNA(IF(VLOOKUP($B$1&amp;$A32,'4.1 关键词原始数据'!$A:$N,T$2,FALSE)=0," ",VLOOKUP($B$1&amp;$A32,'4.1 关键词原始数据'!$A:$N,T$2,FALSE))," ")</f>
        <v>2-8-2</v>
      </c>
      <c r="D32" s="59" t="str">
        <f>_xlfn.IFNA(IF(VLOOKUP($B$1&amp;$A32,'4.1 关键词原始数据'!$A:$N,U$2,FALSE)=0," ",VLOOKUP($B$1&amp;$A32,'4.1 关键词原始数据'!$A:$N,U$2,FALSE))," ")</f>
        <v> </v>
      </c>
      <c r="E32" s="59" t="str">
        <f>_xlfn.IFNA(IF(VLOOKUP($B$1&amp;$A32,'4.1 关键词原始数据'!$A:$N,V$2,FALSE)=0," ",VLOOKUP($B$1&amp;$A32,'4.1 关键词原始数据'!$A:$N,V$2,FALSE))," ")</f>
        <v> </v>
      </c>
      <c r="F32" s="59" t="str">
        <f>_xlfn.IFNA(IF(VLOOKUP($B$1&amp;$A32,'4.1 关键词原始数据'!$A:$N,W$2,FALSE)=0," ",VLOOKUP($B$1&amp;$A32,'4.1 关键词原始数据'!$A:$N,W$2,FALSE))," ")</f>
        <v> </v>
      </c>
      <c r="G32" s="59" t="str">
        <f>_xlfn.IFNA(IF(VLOOKUP($B$1&amp;$A32,'4.1 关键词原始数据'!$A:$N,X$2,FALSE)=0," ",VLOOKUP($B$1&amp;$A32,'4.1 关键词原始数据'!$A:$N,X$2,FALSE))," ")</f>
        <v>1-15-4</v>
      </c>
      <c r="H32" s="59" t="str">
        <f>_xlfn.IFNA(IF(VLOOKUP($B$1&amp;$A32,'4.1 关键词原始数据'!$A:$N,Y$2,FALSE)=0," ",VLOOKUP($B$1&amp;$A32,'4.1 关键词原始数据'!$A:$N,Y$2,FALSE))," ")</f>
        <v> </v>
      </c>
      <c r="I32" s="59" t="str">
        <f>_xlfn.IFNA(IF(VLOOKUP($B$1&amp;$A32,'4.1 关键词原始数据'!$A:$N,Z$2,FALSE)=0," ",VLOOKUP($B$1&amp;$A32,'4.1 关键词原始数据'!$A:$N,Z$2,FALSE))," ")</f>
        <v> </v>
      </c>
      <c r="J32" s="59" t="str">
        <f>_xlfn.IFNA(IF(VLOOKUP($J$1&amp;$A32,'4.1 关键词原始数据'!$A:$N,S$2,FALSE)=0," ",VLOOKUP($J$1&amp;$A32,'4.1 关键词原始数据'!$A:$N,S$2,FALSE))," ")</f>
        <v> </v>
      </c>
      <c r="K32" s="59" t="str">
        <f>_xlfn.IFNA(IF(VLOOKUP($J$1&amp;$A32,'4.1 关键词原始数据'!$A:$N,T$2,FALSE)=0," ",VLOOKUP($J$1&amp;$A32,'4.1 关键词原始数据'!$A:$N,T$2,FALSE))," ")</f>
        <v> </v>
      </c>
      <c r="L32" s="59" t="str">
        <f>_xlfn.IFNA(IF(VLOOKUP($J$1&amp;$A32,'4.1 关键词原始数据'!$A:$N,U$2,FALSE)=0," ",VLOOKUP($J$1&amp;$A32,'4.1 关键词原始数据'!$A:$N,U$2,FALSE))," ")</f>
        <v> </v>
      </c>
      <c r="M32" s="59" t="str">
        <f>_xlfn.IFNA(IF(VLOOKUP($J$1&amp;$A32,'4.1 关键词原始数据'!$A:$N,V$2,FALSE)=0," ",VLOOKUP($J$1&amp;$A32,'4.1 关键词原始数据'!$A:$N,V$2,FALSE))," ")</f>
        <v>6-14-4</v>
      </c>
      <c r="N32" s="59" t="str">
        <f>_xlfn.IFNA(IF(VLOOKUP($J$1&amp;$A32,'4.1 关键词原始数据'!$A:$N,W$2,FALSE)=0," ",VLOOKUP($J$1&amp;$A32,'4.1 关键词原始数据'!$A:$N,W$2,FALSE))," ")</f>
        <v> </v>
      </c>
      <c r="O32" s="59" t="str">
        <f>_xlfn.IFNA(IF(VLOOKUP($J$1&amp;$A32,'4.1 关键词原始数据'!$A:$N,X$2,FALSE)=0," ",VLOOKUP($J$1&amp;$A32,'4.1 关键词原始数据'!$A:$N,X$2,FALSE))," ")</f>
        <v> </v>
      </c>
      <c r="P32" s="59" t="str">
        <f>_xlfn.IFNA(IF(VLOOKUP($J$1&amp;$A32,'4.1 关键词原始数据'!$A:$N,Y$2,FALSE)=0," ",VLOOKUP($J$1&amp;$A32,'4.1 关键词原始数据'!$A:$N,Y$2,FALSE))," ")</f>
        <v> </v>
      </c>
      <c r="Q32" s="59" t="str">
        <f>_xlfn.IFNA(IF(VLOOKUP($J$1&amp;$A32,'4.1 关键词原始数据'!$A:$N,Z$2,FALSE)=0," ",VLOOKUP($J$1&amp;$A32,'4.1 关键词原始数据'!$A:$N,Z$2,FALSE))," ")</f>
        <v> </v>
      </c>
    </row>
    <row r="33" ht="17.4" spans="1:17">
      <c r="A33" s="65" t="s">
        <v>517</v>
      </c>
      <c r="B33" s="59" t="str">
        <f>_xlfn.IFNA(IF(VLOOKUP($B$1&amp;$A33,'4.1 关键词原始数据'!$A:$N,S$2,FALSE)=0," ",VLOOKUP($B$1&amp;$A33,'4.1 关键词原始数据'!$A:$N,S$2,FALSE))," ")</f>
        <v> </v>
      </c>
      <c r="C33" s="59" t="str">
        <f>_xlfn.IFNA(IF(VLOOKUP($B$1&amp;$A33,'4.1 关键词原始数据'!$A:$N,T$2,FALSE)=0," ",VLOOKUP($B$1&amp;$A33,'4.1 关键词原始数据'!$A:$N,T$2,FALSE))," ")</f>
        <v> </v>
      </c>
      <c r="D33" s="59" t="str">
        <f>_xlfn.IFNA(IF(VLOOKUP($B$1&amp;$A33,'4.1 关键词原始数据'!$A:$N,U$2,FALSE)=0," ",VLOOKUP($B$1&amp;$A33,'4.1 关键词原始数据'!$A:$N,U$2,FALSE))," ")</f>
        <v> </v>
      </c>
      <c r="E33" s="59" t="str">
        <f>_xlfn.IFNA(IF(VLOOKUP($B$1&amp;$A33,'4.1 关键词原始数据'!$A:$N,V$2,FALSE)=0," ",VLOOKUP($B$1&amp;$A33,'4.1 关键词原始数据'!$A:$N,V$2,FALSE))," ")</f>
        <v> </v>
      </c>
      <c r="F33" s="59" t="str">
        <f>_xlfn.IFNA(IF(VLOOKUP($B$1&amp;$A33,'4.1 关键词原始数据'!$A:$N,W$2,FALSE)=0," ",VLOOKUP($B$1&amp;$A33,'4.1 关键词原始数据'!$A:$N,W$2,FALSE))," ")</f>
        <v> </v>
      </c>
      <c r="G33" s="59" t="str">
        <f>_xlfn.IFNA(IF(VLOOKUP($B$1&amp;$A33,'4.1 关键词原始数据'!$A:$N,X$2,FALSE)=0," ",VLOOKUP($B$1&amp;$A33,'4.1 关键词原始数据'!$A:$N,X$2,FALSE))," ")</f>
        <v>1-16-4</v>
      </c>
      <c r="H33" s="59" t="str">
        <f>_xlfn.IFNA(IF(VLOOKUP($B$1&amp;$A33,'4.1 关键词原始数据'!$A:$N,Y$2,FALSE)=0," ",VLOOKUP($B$1&amp;$A33,'4.1 关键词原始数据'!$A:$N,Y$2,FALSE))," ")</f>
        <v> </v>
      </c>
      <c r="I33" s="59" t="str">
        <f>_xlfn.IFNA(IF(VLOOKUP($B$1&amp;$A33,'4.1 关键词原始数据'!$A:$N,Z$2,FALSE)=0," ",VLOOKUP($B$1&amp;$A33,'4.1 关键词原始数据'!$A:$N,Z$2,FALSE))," ")</f>
        <v> </v>
      </c>
      <c r="J33" s="59" t="str">
        <f>_xlfn.IFNA(IF(VLOOKUP($J$1&amp;$A33,'4.1 关键词原始数据'!$A:$N,S$2,FALSE)=0," ",VLOOKUP($J$1&amp;$A33,'4.1 关键词原始数据'!$A:$N,S$2,FALSE))," ")</f>
        <v> </v>
      </c>
      <c r="K33" s="59" t="str">
        <f>_xlfn.IFNA(IF(VLOOKUP($J$1&amp;$A33,'4.1 关键词原始数据'!$A:$N,T$2,FALSE)=0," ",VLOOKUP($J$1&amp;$A33,'4.1 关键词原始数据'!$A:$N,T$2,FALSE))," ")</f>
        <v> </v>
      </c>
      <c r="L33" s="59" t="str">
        <f>_xlfn.IFNA(IF(VLOOKUP($J$1&amp;$A33,'4.1 关键词原始数据'!$A:$N,U$2,FALSE)=0," ",VLOOKUP($J$1&amp;$A33,'4.1 关键词原始数据'!$A:$N,U$2,FALSE))," ")</f>
        <v> </v>
      </c>
      <c r="M33" s="59" t="str">
        <f>_xlfn.IFNA(IF(VLOOKUP($J$1&amp;$A33,'4.1 关键词原始数据'!$A:$N,V$2,FALSE)=0," ",VLOOKUP($J$1&amp;$A33,'4.1 关键词原始数据'!$A:$N,V$2,FALSE))," ")</f>
        <v> </v>
      </c>
      <c r="N33" s="59" t="str">
        <f>_xlfn.IFNA(IF(VLOOKUP($J$1&amp;$A33,'4.1 关键词原始数据'!$A:$N,W$2,FALSE)=0," ",VLOOKUP($J$1&amp;$A33,'4.1 关键词原始数据'!$A:$N,W$2,FALSE))," ")</f>
        <v> </v>
      </c>
      <c r="O33" s="59" t="str">
        <f>_xlfn.IFNA(IF(VLOOKUP($J$1&amp;$A33,'4.1 关键词原始数据'!$A:$N,X$2,FALSE)=0," ",VLOOKUP($J$1&amp;$A33,'4.1 关键词原始数据'!$A:$N,X$2,FALSE))," ")</f>
        <v> </v>
      </c>
      <c r="P33" s="59" t="str">
        <f>_xlfn.IFNA(IF(VLOOKUP($J$1&amp;$A33,'4.1 关键词原始数据'!$A:$N,Y$2,FALSE)=0," ",VLOOKUP($J$1&amp;$A33,'4.1 关键词原始数据'!$A:$N,Y$2,FALSE))," ")</f>
        <v> </v>
      </c>
      <c r="Q33" s="59" t="str">
        <f>_xlfn.IFNA(IF(VLOOKUP($J$1&amp;$A33,'4.1 关键词原始数据'!$A:$N,Z$2,FALSE)=0," ",VLOOKUP($J$1&amp;$A33,'4.1 关键词原始数据'!$A:$N,Z$2,FALSE))," ")</f>
        <v> </v>
      </c>
    </row>
    <row r="34" ht="17.4" spans="1:17">
      <c r="A34" s="65" t="s">
        <v>518</v>
      </c>
      <c r="B34" s="59" t="str">
        <f>_xlfn.IFNA(IF(VLOOKUP($B$1&amp;$A34,'4.1 关键词原始数据'!$A:$N,S$2,FALSE)=0," ",VLOOKUP($B$1&amp;$A34,'4.1 关键词原始数据'!$A:$N,S$2,FALSE))," ")</f>
        <v> </v>
      </c>
      <c r="C34" s="59" t="str">
        <f>_xlfn.IFNA(IF(VLOOKUP($B$1&amp;$A34,'4.1 关键词原始数据'!$A:$N,T$2,FALSE)=0," ",VLOOKUP($B$1&amp;$A34,'4.1 关键词原始数据'!$A:$N,T$2,FALSE))," ")</f>
        <v>2-14-4</v>
      </c>
      <c r="D34" s="59" t="str">
        <f>_xlfn.IFNA(IF(VLOOKUP($B$1&amp;$A34,'4.1 关键词原始数据'!$A:$N,U$2,FALSE)=0," ",VLOOKUP($B$1&amp;$A34,'4.1 关键词原始数据'!$A:$N,U$2,FALSE))," ")</f>
        <v> </v>
      </c>
      <c r="E34" s="59" t="str">
        <f>_xlfn.IFNA(IF(VLOOKUP($B$1&amp;$A34,'4.1 关键词原始数据'!$A:$N,V$2,FALSE)=0," ",VLOOKUP($B$1&amp;$A34,'4.1 关键词原始数据'!$A:$N,V$2,FALSE))," ")</f>
        <v> </v>
      </c>
      <c r="F34" s="59" t="str">
        <f>_xlfn.IFNA(IF(VLOOKUP($B$1&amp;$A34,'4.1 关键词原始数据'!$A:$N,W$2,FALSE)=0," ",VLOOKUP($B$1&amp;$A34,'4.1 关键词原始数据'!$A:$N,W$2,FALSE))," ")</f>
        <v> </v>
      </c>
      <c r="G34" s="59" t="str">
        <f>_xlfn.IFNA(IF(VLOOKUP($B$1&amp;$A34,'4.1 关键词原始数据'!$A:$N,X$2,FALSE)=0," ",VLOOKUP($B$1&amp;$A34,'4.1 关键词原始数据'!$A:$N,X$2,FALSE))," ")</f>
        <v>1-17-1</v>
      </c>
      <c r="H34" s="59" t="str">
        <f>_xlfn.IFNA(IF(VLOOKUP($B$1&amp;$A34,'4.1 关键词原始数据'!$A:$N,Y$2,FALSE)=0," ",VLOOKUP($B$1&amp;$A34,'4.1 关键词原始数据'!$A:$N,Y$2,FALSE))," ")</f>
        <v> </v>
      </c>
      <c r="I34" s="59" t="str">
        <f>_xlfn.IFNA(IF(VLOOKUP($B$1&amp;$A34,'4.1 关键词原始数据'!$A:$N,Z$2,FALSE)=0," ",VLOOKUP($B$1&amp;$A34,'4.1 关键词原始数据'!$A:$N,Z$2,FALSE))," ")</f>
        <v> </v>
      </c>
      <c r="J34" s="59" t="str">
        <f>_xlfn.IFNA(IF(VLOOKUP($J$1&amp;$A34,'4.1 关键词原始数据'!$A:$N,S$2,FALSE)=0," ",VLOOKUP($J$1&amp;$A34,'4.1 关键词原始数据'!$A:$N,S$2,FALSE))," ")</f>
        <v> </v>
      </c>
      <c r="K34" s="59" t="str">
        <f>_xlfn.IFNA(IF(VLOOKUP($J$1&amp;$A34,'4.1 关键词原始数据'!$A:$N,T$2,FALSE)=0," ",VLOOKUP($J$1&amp;$A34,'4.1 关键词原始数据'!$A:$N,T$2,FALSE))," ")</f>
        <v> </v>
      </c>
      <c r="L34" s="59" t="str">
        <f>_xlfn.IFNA(IF(VLOOKUP($J$1&amp;$A34,'4.1 关键词原始数据'!$A:$N,U$2,FALSE)=0," ",VLOOKUP($J$1&amp;$A34,'4.1 关键词原始数据'!$A:$N,U$2,FALSE))," ")</f>
        <v> </v>
      </c>
      <c r="M34" s="59" t="str">
        <f>_xlfn.IFNA(IF(VLOOKUP($J$1&amp;$A34,'4.1 关键词原始数据'!$A:$N,V$2,FALSE)=0," ",VLOOKUP($J$1&amp;$A34,'4.1 关键词原始数据'!$A:$N,V$2,FALSE))," ")</f>
        <v>6-4-2</v>
      </c>
      <c r="N34" s="59" t="str">
        <f>_xlfn.IFNA(IF(VLOOKUP($J$1&amp;$A34,'4.1 关键词原始数据'!$A:$N,W$2,FALSE)=0," ",VLOOKUP($J$1&amp;$A34,'4.1 关键词原始数据'!$A:$N,W$2,FALSE))," ")</f>
        <v> </v>
      </c>
      <c r="O34" s="59" t="str">
        <f>_xlfn.IFNA(IF(VLOOKUP($J$1&amp;$A34,'4.1 关键词原始数据'!$A:$N,X$2,FALSE)=0," ",VLOOKUP($J$1&amp;$A34,'4.1 关键词原始数据'!$A:$N,X$2,FALSE))," ")</f>
        <v> </v>
      </c>
      <c r="P34" s="59" t="str">
        <f>_xlfn.IFNA(IF(VLOOKUP($J$1&amp;$A34,'4.1 关键词原始数据'!$A:$N,Y$2,FALSE)=0," ",VLOOKUP($J$1&amp;$A34,'4.1 关键词原始数据'!$A:$N,Y$2,FALSE))," ")</f>
        <v> </v>
      </c>
      <c r="Q34" s="59" t="str">
        <f>_xlfn.IFNA(IF(VLOOKUP($J$1&amp;$A34,'4.1 关键词原始数据'!$A:$N,Z$2,FALSE)=0," ",VLOOKUP($J$1&amp;$A34,'4.1 关键词原始数据'!$A:$N,Z$2,FALSE))," ")</f>
        <v> </v>
      </c>
    </row>
    <row r="35" ht="17.4" spans="1:17">
      <c r="A35" s="65" t="s">
        <v>519</v>
      </c>
      <c r="B35" s="59" t="str">
        <f>_xlfn.IFNA(IF(VLOOKUP($B$1&amp;$A35,'4.1 关键词原始数据'!$A:$N,S$2,FALSE)=0," ",VLOOKUP($B$1&amp;$A35,'4.1 关键词原始数据'!$A:$N,S$2,FALSE))," ")</f>
        <v> </v>
      </c>
      <c r="C35" s="59" t="str">
        <f>_xlfn.IFNA(IF(VLOOKUP($B$1&amp;$A35,'4.1 关键词原始数据'!$A:$N,T$2,FALSE)=0," ",VLOOKUP($B$1&amp;$A35,'4.1 关键词原始数据'!$A:$N,T$2,FALSE))," ")</f>
        <v>2-11-3</v>
      </c>
      <c r="D35" s="59" t="str">
        <f>_xlfn.IFNA(IF(VLOOKUP($B$1&amp;$A35,'4.1 关键词原始数据'!$A:$N,U$2,FALSE)=0," ",VLOOKUP($B$1&amp;$A35,'4.1 关键词原始数据'!$A:$N,U$2,FALSE))," ")</f>
        <v> </v>
      </c>
      <c r="E35" s="59" t="str">
        <f>_xlfn.IFNA(IF(VLOOKUP($B$1&amp;$A35,'4.1 关键词原始数据'!$A:$N,V$2,FALSE)=0," ",VLOOKUP($B$1&amp;$A35,'4.1 关键词原始数据'!$A:$N,V$2,FALSE))," ")</f>
        <v> </v>
      </c>
      <c r="F35" s="59" t="str">
        <f>_xlfn.IFNA(IF(VLOOKUP($B$1&amp;$A35,'4.1 关键词原始数据'!$A:$N,W$2,FALSE)=0," ",VLOOKUP($B$1&amp;$A35,'4.1 关键词原始数据'!$A:$N,W$2,FALSE))," ")</f>
        <v> </v>
      </c>
      <c r="G35" s="59" t="str">
        <f>_xlfn.IFNA(IF(VLOOKUP($B$1&amp;$A35,'4.1 关键词原始数据'!$A:$N,X$2,FALSE)=0," ",VLOOKUP($B$1&amp;$A35,'4.1 关键词原始数据'!$A:$N,X$2,FALSE))," ")</f>
        <v>1-14-3</v>
      </c>
      <c r="H35" s="59" t="str">
        <f>_xlfn.IFNA(IF(VLOOKUP($B$1&amp;$A35,'4.1 关键词原始数据'!$A:$N,Y$2,FALSE)=0," ",VLOOKUP($B$1&amp;$A35,'4.1 关键词原始数据'!$A:$N,Y$2,FALSE))," ")</f>
        <v> </v>
      </c>
      <c r="I35" s="59" t="str">
        <f>_xlfn.IFNA(IF(VLOOKUP($B$1&amp;$A35,'4.1 关键词原始数据'!$A:$N,Z$2,FALSE)=0," ",VLOOKUP($B$1&amp;$A35,'4.1 关键词原始数据'!$A:$N,Z$2,FALSE))," ")</f>
        <v> </v>
      </c>
      <c r="J35" s="59" t="str">
        <f>_xlfn.IFNA(IF(VLOOKUP($J$1&amp;$A35,'4.1 关键词原始数据'!$A:$N,S$2,FALSE)=0," ",VLOOKUP($J$1&amp;$A35,'4.1 关键词原始数据'!$A:$N,S$2,FALSE))," ")</f>
        <v> </v>
      </c>
      <c r="K35" s="59" t="str">
        <f>_xlfn.IFNA(IF(VLOOKUP($J$1&amp;$A35,'4.1 关键词原始数据'!$A:$N,T$2,FALSE)=0," ",VLOOKUP($J$1&amp;$A35,'4.1 关键词原始数据'!$A:$N,T$2,FALSE))," ")</f>
        <v> </v>
      </c>
      <c r="L35" s="59" t="str">
        <f>_xlfn.IFNA(IF(VLOOKUP($J$1&amp;$A35,'4.1 关键词原始数据'!$A:$N,U$2,FALSE)=0," ",VLOOKUP($J$1&amp;$A35,'4.1 关键词原始数据'!$A:$N,U$2,FALSE))," ")</f>
        <v> </v>
      </c>
      <c r="M35" s="59" t="str">
        <f>_xlfn.IFNA(IF(VLOOKUP($J$1&amp;$A35,'4.1 关键词原始数据'!$A:$N,V$2,FALSE)=0," ",VLOOKUP($J$1&amp;$A35,'4.1 关键词原始数据'!$A:$N,V$2,FALSE))," ")</f>
        <v>5-16-4</v>
      </c>
      <c r="N35" s="59" t="str">
        <f>_xlfn.IFNA(IF(VLOOKUP($J$1&amp;$A35,'4.1 关键词原始数据'!$A:$N,W$2,FALSE)=0," ",VLOOKUP($J$1&amp;$A35,'4.1 关键词原始数据'!$A:$N,W$2,FALSE))," ")</f>
        <v> </v>
      </c>
      <c r="O35" s="59" t="str">
        <f>_xlfn.IFNA(IF(VLOOKUP($J$1&amp;$A35,'4.1 关键词原始数据'!$A:$N,X$2,FALSE)=0," ",VLOOKUP($J$1&amp;$A35,'4.1 关键词原始数据'!$A:$N,X$2,FALSE))," ")</f>
        <v> </v>
      </c>
      <c r="P35" s="59" t="str">
        <f>_xlfn.IFNA(IF(VLOOKUP($J$1&amp;$A35,'4.1 关键词原始数据'!$A:$N,Y$2,FALSE)=0," ",VLOOKUP($J$1&amp;$A35,'4.1 关键词原始数据'!$A:$N,Y$2,FALSE))," ")</f>
        <v> </v>
      </c>
      <c r="Q35" s="59" t="str">
        <f>_xlfn.IFNA(IF(VLOOKUP($J$1&amp;$A35,'4.1 关键词原始数据'!$A:$N,Z$2,FALSE)=0," ",VLOOKUP($J$1&amp;$A35,'4.1 关键词原始数据'!$A:$N,Z$2,FALSE))," ")</f>
        <v> </v>
      </c>
    </row>
    <row r="36" ht="17.4" spans="1:17">
      <c r="A36" s="65" t="s">
        <v>520</v>
      </c>
      <c r="B36" s="59" t="str">
        <f>_xlfn.IFNA(IF(VLOOKUP($B$1&amp;$A36,'4.1 关键词原始数据'!$A:$N,S$2,FALSE)=0," ",VLOOKUP($B$1&amp;$A36,'4.1 关键词原始数据'!$A:$N,S$2,FALSE))," ")</f>
        <v> </v>
      </c>
      <c r="C36" s="59" t="str">
        <f>_xlfn.IFNA(IF(VLOOKUP($B$1&amp;$A36,'4.1 关键词原始数据'!$A:$N,T$2,FALSE)=0," ",VLOOKUP($B$1&amp;$A36,'4.1 关键词原始数据'!$A:$N,T$2,FALSE))," ")</f>
        <v>2-11-3</v>
      </c>
      <c r="D36" s="59" t="str">
        <f>_xlfn.IFNA(IF(VLOOKUP($B$1&amp;$A36,'4.1 关键词原始数据'!$A:$N,U$2,FALSE)=0," ",VLOOKUP($B$1&amp;$A36,'4.1 关键词原始数据'!$A:$N,U$2,FALSE))," ")</f>
        <v> </v>
      </c>
      <c r="E36" s="59" t="str">
        <f>_xlfn.IFNA(IF(VLOOKUP($B$1&amp;$A36,'4.1 关键词原始数据'!$A:$N,V$2,FALSE)=0," ",VLOOKUP($B$1&amp;$A36,'4.1 关键词原始数据'!$A:$N,V$2,FALSE))," ")</f>
        <v> </v>
      </c>
      <c r="F36" s="59" t="str">
        <f>_xlfn.IFNA(IF(VLOOKUP($B$1&amp;$A36,'4.1 关键词原始数据'!$A:$N,W$2,FALSE)=0," ",VLOOKUP($B$1&amp;$A36,'4.1 关键词原始数据'!$A:$N,W$2,FALSE))," ")</f>
        <v> </v>
      </c>
      <c r="G36" s="59" t="str">
        <f>_xlfn.IFNA(IF(VLOOKUP($B$1&amp;$A36,'4.1 关键词原始数据'!$A:$N,X$2,FALSE)=0," ",VLOOKUP($B$1&amp;$A36,'4.1 关键词原始数据'!$A:$N,X$2,FALSE))," ")</f>
        <v>1-14-3</v>
      </c>
      <c r="H36" s="59" t="str">
        <f>_xlfn.IFNA(IF(VLOOKUP($B$1&amp;$A36,'4.1 关键词原始数据'!$A:$N,Y$2,FALSE)=0," ",VLOOKUP($B$1&amp;$A36,'4.1 关键词原始数据'!$A:$N,Y$2,FALSE))," ")</f>
        <v> </v>
      </c>
      <c r="I36" s="59" t="str">
        <f>_xlfn.IFNA(IF(VLOOKUP($B$1&amp;$A36,'4.1 关键词原始数据'!$A:$N,Z$2,FALSE)=0," ",VLOOKUP($B$1&amp;$A36,'4.1 关键词原始数据'!$A:$N,Z$2,FALSE))," ")</f>
        <v> </v>
      </c>
      <c r="J36" s="59" t="str">
        <f>_xlfn.IFNA(IF(VLOOKUP($J$1&amp;$A36,'4.1 关键词原始数据'!$A:$N,S$2,FALSE)=0," ",VLOOKUP($J$1&amp;$A36,'4.1 关键词原始数据'!$A:$N,S$2,FALSE))," ")</f>
        <v> </v>
      </c>
      <c r="K36" s="59" t="str">
        <f>_xlfn.IFNA(IF(VLOOKUP($J$1&amp;$A36,'4.1 关键词原始数据'!$A:$N,T$2,FALSE)=0," ",VLOOKUP($J$1&amp;$A36,'4.1 关键词原始数据'!$A:$N,T$2,FALSE))," ")</f>
        <v> </v>
      </c>
      <c r="L36" s="59" t="str">
        <f>_xlfn.IFNA(IF(VLOOKUP($J$1&amp;$A36,'4.1 关键词原始数据'!$A:$N,U$2,FALSE)=0," ",VLOOKUP($J$1&amp;$A36,'4.1 关键词原始数据'!$A:$N,U$2,FALSE))," ")</f>
        <v> </v>
      </c>
      <c r="M36" s="59" t="str">
        <f>_xlfn.IFNA(IF(VLOOKUP($J$1&amp;$A36,'4.1 关键词原始数据'!$A:$N,V$2,FALSE)=0," ",VLOOKUP($J$1&amp;$A36,'4.1 关键词原始数据'!$A:$N,V$2,FALSE))," ")</f>
        <v>5-9-4</v>
      </c>
      <c r="N36" s="59" t="str">
        <f>_xlfn.IFNA(IF(VLOOKUP($J$1&amp;$A36,'4.1 关键词原始数据'!$A:$N,W$2,FALSE)=0," ",VLOOKUP($J$1&amp;$A36,'4.1 关键词原始数据'!$A:$N,W$2,FALSE))," ")</f>
        <v> </v>
      </c>
      <c r="O36" s="59" t="str">
        <f>_xlfn.IFNA(IF(VLOOKUP($J$1&amp;$A36,'4.1 关键词原始数据'!$A:$N,X$2,FALSE)=0," ",VLOOKUP($J$1&amp;$A36,'4.1 关键词原始数据'!$A:$N,X$2,FALSE))," ")</f>
        <v> </v>
      </c>
      <c r="P36" s="59" t="str">
        <f>_xlfn.IFNA(IF(VLOOKUP($J$1&amp;$A36,'4.1 关键词原始数据'!$A:$N,Y$2,FALSE)=0," ",VLOOKUP($J$1&amp;$A36,'4.1 关键词原始数据'!$A:$N,Y$2,FALSE))," ")</f>
        <v> </v>
      </c>
      <c r="Q36" s="59" t="str">
        <f>_xlfn.IFNA(IF(VLOOKUP($J$1&amp;$A36,'4.1 关键词原始数据'!$A:$N,Z$2,FALSE)=0," ",VLOOKUP($J$1&amp;$A36,'4.1 关键词原始数据'!$A:$N,Z$2,FALSE))," ")</f>
        <v> </v>
      </c>
    </row>
    <row r="37" ht="17.4" spans="1:17">
      <c r="A37" s="65" t="s">
        <v>521</v>
      </c>
      <c r="B37" s="59" t="str">
        <f>_xlfn.IFNA(IF(VLOOKUP($B$1&amp;$A37,'4.1 关键词原始数据'!$A:$N,S$2,FALSE)=0," ",VLOOKUP($B$1&amp;$A37,'4.1 关键词原始数据'!$A:$N,S$2,FALSE))," ")</f>
        <v> </v>
      </c>
      <c r="C37" s="59" t="str">
        <f>_xlfn.IFNA(IF(VLOOKUP($B$1&amp;$A37,'4.1 关键词原始数据'!$A:$N,T$2,FALSE)=0," ",VLOOKUP($B$1&amp;$A37,'4.1 关键词原始数据'!$A:$N,T$2,FALSE))," ")</f>
        <v> </v>
      </c>
      <c r="D37" s="59" t="str">
        <f>_xlfn.IFNA(IF(VLOOKUP($B$1&amp;$A37,'4.1 关键词原始数据'!$A:$N,U$2,FALSE)=0," ",VLOOKUP($B$1&amp;$A37,'4.1 关键词原始数据'!$A:$N,U$2,FALSE))," ")</f>
        <v> </v>
      </c>
      <c r="E37" s="59" t="str">
        <f>_xlfn.IFNA(IF(VLOOKUP($B$1&amp;$A37,'4.1 关键词原始数据'!$A:$N,V$2,FALSE)=0," ",VLOOKUP($B$1&amp;$A37,'4.1 关键词原始数据'!$A:$N,V$2,FALSE))," ")</f>
        <v> </v>
      </c>
      <c r="F37" s="59" t="str">
        <f>_xlfn.IFNA(IF(VLOOKUP($B$1&amp;$A37,'4.1 关键词原始数据'!$A:$N,W$2,FALSE)=0," ",VLOOKUP($B$1&amp;$A37,'4.1 关键词原始数据'!$A:$N,W$2,FALSE))," ")</f>
        <v> </v>
      </c>
      <c r="G37" s="59" t="str">
        <f>_xlfn.IFNA(IF(VLOOKUP($B$1&amp;$A37,'4.1 关键词原始数据'!$A:$N,X$2,FALSE)=0," ",VLOOKUP($B$1&amp;$A37,'4.1 关键词原始数据'!$A:$N,X$2,FALSE))," ")</f>
        <v> </v>
      </c>
      <c r="H37" s="59" t="str">
        <f>_xlfn.IFNA(IF(VLOOKUP($B$1&amp;$A37,'4.1 关键词原始数据'!$A:$N,Y$2,FALSE)=0," ",VLOOKUP($B$1&amp;$A37,'4.1 关键词原始数据'!$A:$N,Y$2,FALSE))," ")</f>
        <v> </v>
      </c>
      <c r="I37" s="59" t="str">
        <f>_xlfn.IFNA(IF(VLOOKUP($B$1&amp;$A37,'4.1 关键词原始数据'!$A:$N,Z$2,FALSE)=0," ",VLOOKUP($B$1&amp;$A37,'4.1 关键词原始数据'!$A:$N,Z$2,FALSE))," ")</f>
        <v> </v>
      </c>
      <c r="J37" s="59" t="str">
        <f>_xlfn.IFNA(IF(VLOOKUP($J$1&amp;$A37,'4.1 关键词原始数据'!$A:$N,S$2,FALSE)=0," ",VLOOKUP($J$1&amp;$A37,'4.1 关键词原始数据'!$A:$N,S$2,FALSE))," ")</f>
        <v> </v>
      </c>
      <c r="K37" s="59" t="str">
        <f>_xlfn.IFNA(IF(VLOOKUP($J$1&amp;$A37,'4.1 关键词原始数据'!$A:$N,T$2,FALSE)=0," ",VLOOKUP($J$1&amp;$A37,'4.1 关键词原始数据'!$A:$N,T$2,FALSE))," ")</f>
        <v> </v>
      </c>
      <c r="L37" s="59" t="str">
        <f>_xlfn.IFNA(IF(VLOOKUP($J$1&amp;$A37,'4.1 关键词原始数据'!$A:$N,U$2,FALSE)=0," ",VLOOKUP($J$1&amp;$A37,'4.1 关键词原始数据'!$A:$N,U$2,FALSE))," ")</f>
        <v> </v>
      </c>
      <c r="M37" s="59" t="str">
        <f>_xlfn.IFNA(IF(VLOOKUP($J$1&amp;$A37,'4.1 关键词原始数据'!$A:$N,V$2,FALSE)=0," ",VLOOKUP($J$1&amp;$A37,'4.1 关键词原始数据'!$A:$N,V$2,FALSE))," ")</f>
        <v> </v>
      </c>
      <c r="N37" s="59" t="str">
        <f>_xlfn.IFNA(IF(VLOOKUP($J$1&amp;$A37,'4.1 关键词原始数据'!$A:$N,W$2,FALSE)=0," ",VLOOKUP($J$1&amp;$A37,'4.1 关键词原始数据'!$A:$N,W$2,FALSE))," ")</f>
        <v> </v>
      </c>
      <c r="O37" s="59" t="str">
        <f>_xlfn.IFNA(IF(VLOOKUP($J$1&amp;$A37,'4.1 关键词原始数据'!$A:$N,X$2,FALSE)=0," ",VLOOKUP($J$1&amp;$A37,'4.1 关键词原始数据'!$A:$N,X$2,FALSE))," ")</f>
        <v> </v>
      </c>
      <c r="P37" s="59" t="str">
        <f>_xlfn.IFNA(IF(VLOOKUP($J$1&amp;$A37,'4.1 关键词原始数据'!$A:$N,Y$2,FALSE)=0," ",VLOOKUP($J$1&amp;$A37,'4.1 关键词原始数据'!$A:$N,Y$2,FALSE))," ")</f>
        <v> </v>
      </c>
      <c r="Q37" s="59" t="str">
        <f>_xlfn.IFNA(IF(VLOOKUP($J$1&amp;$A37,'4.1 关键词原始数据'!$A:$N,Z$2,FALSE)=0," ",VLOOKUP($J$1&amp;$A37,'4.1 关键词原始数据'!$A:$N,Z$2,FALSE))," ")</f>
        <v> </v>
      </c>
    </row>
    <row r="38" ht="17.4" spans="1:17">
      <c r="A38" s="65" t="s">
        <v>522</v>
      </c>
      <c r="B38" s="59" t="str">
        <f>_xlfn.IFNA(IF(VLOOKUP($B$1&amp;$A38,'4.1 关键词原始数据'!$A:$N,S$2,FALSE)=0," ",VLOOKUP($B$1&amp;$A38,'4.1 关键词原始数据'!$A:$N,S$2,FALSE))," ")</f>
        <v> </v>
      </c>
      <c r="C38" s="59" t="str">
        <f>_xlfn.IFNA(IF(VLOOKUP($B$1&amp;$A38,'4.1 关键词原始数据'!$A:$N,T$2,FALSE)=0," ",VLOOKUP($B$1&amp;$A38,'4.1 关键词原始数据'!$A:$N,T$2,FALSE))," ")</f>
        <v> </v>
      </c>
      <c r="D38" s="59" t="str">
        <f>_xlfn.IFNA(IF(VLOOKUP($B$1&amp;$A38,'4.1 关键词原始数据'!$A:$N,U$2,FALSE)=0," ",VLOOKUP($B$1&amp;$A38,'4.1 关键词原始数据'!$A:$N,U$2,FALSE))," ")</f>
        <v> </v>
      </c>
      <c r="E38" s="59" t="str">
        <f>_xlfn.IFNA(IF(VLOOKUP($B$1&amp;$A38,'4.1 关键词原始数据'!$A:$N,V$2,FALSE)=0," ",VLOOKUP($B$1&amp;$A38,'4.1 关键词原始数据'!$A:$N,V$2,FALSE))," ")</f>
        <v> </v>
      </c>
      <c r="F38" s="59" t="str">
        <f>_xlfn.IFNA(IF(VLOOKUP($B$1&amp;$A38,'4.1 关键词原始数据'!$A:$N,W$2,FALSE)=0," ",VLOOKUP($B$1&amp;$A38,'4.1 关键词原始数据'!$A:$N,W$2,FALSE))," ")</f>
        <v> </v>
      </c>
      <c r="G38" s="59" t="str">
        <f>_xlfn.IFNA(IF(VLOOKUP($B$1&amp;$A38,'4.1 关键词原始数据'!$A:$N,X$2,FALSE)=0," ",VLOOKUP($B$1&amp;$A38,'4.1 关键词原始数据'!$A:$N,X$2,FALSE))," ")</f>
        <v> </v>
      </c>
      <c r="H38" s="59" t="str">
        <f>_xlfn.IFNA(IF(VLOOKUP($B$1&amp;$A38,'4.1 关键词原始数据'!$A:$N,Y$2,FALSE)=0," ",VLOOKUP($B$1&amp;$A38,'4.1 关键词原始数据'!$A:$N,Y$2,FALSE))," ")</f>
        <v> </v>
      </c>
      <c r="I38" s="59" t="str">
        <f>_xlfn.IFNA(IF(VLOOKUP($B$1&amp;$A38,'4.1 关键词原始数据'!$A:$N,Z$2,FALSE)=0," ",VLOOKUP($B$1&amp;$A38,'4.1 关键词原始数据'!$A:$N,Z$2,FALSE))," ")</f>
        <v> </v>
      </c>
      <c r="J38" s="59" t="str">
        <f>_xlfn.IFNA(IF(VLOOKUP($J$1&amp;$A38,'4.1 关键词原始数据'!$A:$N,S$2,FALSE)=0," ",VLOOKUP($J$1&amp;$A38,'4.1 关键词原始数据'!$A:$N,S$2,FALSE))," ")</f>
        <v> </v>
      </c>
      <c r="K38" s="59" t="str">
        <f>_xlfn.IFNA(IF(VLOOKUP($J$1&amp;$A38,'4.1 关键词原始数据'!$A:$N,T$2,FALSE)=0," ",VLOOKUP($J$1&amp;$A38,'4.1 关键词原始数据'!$A:$N,T$2,FALSE))," ")</f>
        <v> </v>
      </c>
      <c r="L38" s="59" t="str">
        <f>_xlfn.IFNA(IF(VLOOKUP($J$1&amp;$A38,'4.1 关键词原始数据'!$A:$N,U$2,FALSE)=0," ",VLOOKUP($J$1&amp;$A38,'4.1 关键词原始数据'!$A:$N,U$2,FALSE))," ")</f>
        <v> </v>
      </c>
      <c r="M38" s="59" t="str">
        <f>_xlfn.IFNA(IF(VLOOKUP($J$1&amp;$A38,'4.1 关键词原始数据'!$A:$N,V$2,FALSE)=0," ",VLOOKUP($J$1&amp;$A38,'4.1 关键词原始数据'!$A:$N,V$2,FALSE))," ")</f>
        <v> </v>
      </c>
      <c r="N38" s="59" t="str">
        <f>_xlfn.IFNA(IF(VLOOKUP($J$1&amp;$A38,'4.1 关键词原始数据'!$A:$N,W$2,FALSE)=0," ",VLOOKUP($J$1&amp;$A38,'4.1 关键词原始数据'!$A:$N,W$2,FALSE))," ")</f>
        <v> </v>
      </c>
      <c r="O38" s="59" t="str">
        <f>_xlfn.IFNA(IF(VLOOKUP($J$1&amp;$A38,'4.1 关键词原始数据'!$A:$N,X$2,FALSE)=0," ",VLOOKUP($J$1&amp;$A38,'4.1 关键词原始数据'!$A:$N,X$2,FALSE))," ")</f>
        <v> </v>
      </c>
      <c r="P38" s="59" t="str">
        <f>_xlfn.IFNA(IF(VLOOKUP($J$1&amp;$A38,'4.1 关键词原始数据'!$A:$N,Y$2,FALSE)=0," ",VLOOKUP($J$1&amp;$A38,'4.1 关键词原始数据'!$A:$N,Y$2,FALSE))," ")</f>
        <v> </v>
      </c>
      <c r="Q38" s="59" t="str">
        <f>_xlfn.IFNA(IF(VLOOKUP($J$1&amp;$A38,'4.1 关键词原始数据'!$A:$N,Z$2,FALSE)=0," ",VLOOKUP($J$1&amp;$A38,'4.1 关键词原始数据'!$A:$N,Z$2,FALSE))," ")</f>
        <v> </v>
      </c>
    </row>
    <row r="39" ht="17.4" spans="1:17">
      <c r="A39" s="65" t="s">
        <v>523</v>
      </c>
      <c r="B39" s="59" t="str">
        <f>_xlfn.IFNA(IF(VLOOKUP($B$1&amp;$A39,'4.1 关键词原始数据'!$A:$N,S$2,FALSE)=0," ",VLOOKUP($B$1&amp;$A39,'4.1 关键词原始数据'!$A:$N,S$2,FALSE))," ")</f>
        <v> </v>
      </c>
      <c r="C39" s="59" t="str">
        <f>_xlfn.IFNA(IF(VLOOKUP($B$1&amp;$A39,'4.1 关键词原始数据'!$A:$N,T$2,FALSE)=0," ",VLOOKUP($B$1&amp;$A39,'4.1 关键词原始数据'!$A:$N,T$2,FALSE))," ")</f>
        <v>2-13-2</v>
      </c>
      <c r="D39" s="59" t="str">
        <f>_xlfn.IFNA(IF(VLOOKUP($B$1&amp;$A39,'4.1 关键词原始数据'!$A:$N,U$2,FALSE)=0," ",VLOOKUP($B$1&amp;$A39,'4.1 关键词原始数据'!$A:$N,U$2,FALSE))," ")</f>
        <v> </v>
      </c>
      <c r="E39" s="59" t="str">
        <f>_xlfn.IFNA(IF(VLOOKUP($B$1&amp;$A39,'4.1 关键词原始数据'!$A:$N,V$2,FALSE)=0," ",VLOOKUP($B$1&amp;$A39,'4.1 关键词原始数据'!$A:$N,V$2,FALSE))," ")</f>
        <v> </v>
      </c>
      <c r="F39" s="59" t="str">
        <f>_xlfn.IFNA(IF(VLOOKUP($B$1&amp;$A39,'4.1 关键词原始数据'!$A:$N,W$2,FALSE)=0," ",VLOOKUP($B$1&amp;$A39,'4.1 关键词原始数据'!$A:$N,W$2,FALSE))," ")</f>
        <v> </v>
      </c>
      <c r="G39" s="59" t="str">
        <f>_xlfn.IFNA(IF(VLOOKUP($B$1&amp;$A39,'4.1 关键词原始数据'!$A:$N,X$2,FALSE)=0," ",VLOOKUP($B$1&amp;$A39,'4.1 关键词原始数据'!$A:$N,X$2,FALSE))," ")</f>
        <v>1-14-3</v>
      </c>
      <c r="H39" s="59" t="str">
        <f>_xlfn.IFNA(IF(VLOOKUP($B$1&amp;$A39,'4.1 关键词原始数据'!$A:$N,Y$2,FALSE)=0," ",VLOOKUP($B$1&amp;$A39,'4.1 关键词原始数据'!$A:$N,Y$2,FALSE))," ")</f>
        <v> </v>
      </c>
      <c r="I39" s="59" t="str">
        <f>_xlfn.IFNA(IF(VLOOKUP($B$1&amp;$A39,'4.1 关键词原始数据'!$A:$N,Z$2,FALSE)=0," ",VLOOKUP($B$1&amp;$A39,'4.1 关键词原始数据'!$A:$N,Z$2,FALSE))," ")</f>
        <v> </v>
      </c>
      <c r="J39" s="59" t="str">
        <f>_xlfn.IFNA(IF(VLOOKUP($J$1&amp;$A39,'4.1 关键词原始数据'!$A:$N,S$2,FALSE)=0," ",VLOOKUP($J$1&amp;$A39,'4.1 关键词原始数据'!$A:$N,S$2,FALSE))," ")</f>
        <v> </v>
      </c>
      <c r="K39" s="59" t="str">
        <f>_xlfn.IFNA(IF(VLOOKUP($J$1&amp;$A39,'4.1 关键词原始数据'!$A:$N,T$2,FALSE)=0," ",VLOOKUP($J$1&amp;$A39,'4.1 关键词原始数据'!$A:$N,T$2,FALSE))," ")</f>
        <v> </v>
      </c>
      <c r="L39" s="59" t="str">
        <f>_xlfn.IFNA(IF(VLOOKUP($J$1&amp;$A39,'4.1 关键词原始数据'!$A:$N,U$2,FALSE)=0," ",VLOOKUP($J$1&amp;$A39,'4.1 关键词原始数据'!$A:$N,U$2,FALSE))," ")</f>
        <v> </v>
      </c>
      <c r="M39" s="59" t="str">
        <f>_xlfn.IFNA(IF(VLOOKUP($J$1&amp;$A39,'4.1 关键词原始数据'!$A:$N,V$2,FALSE)=0," ",VLOOKUP($J$1&amp;$A39,'4.1 关键词原始数据'!$A:$N,V$2,FALSE))," ")</f>
        <v>4-14-2</v>
      </c>
      <c r="N39" s="59" t="str">
        <f>_xlfn.IFNA(IF(VLOOKUP($J$1&amp;$A39,'4.1 关键词原始数据'!$A:$N,W$2,FALSE)=0," ",VLOOKUP($J$1&amp;$A39,'4.1 关键词原始数据'!$A:$N,W$2,FALSE))," ")</f>
        <v> </v>
      </c>
      <c r="O39" s="59" t="str">
        <f>_xlfn.IFNA(IF(VLOOKUP($J$1&amp;$A39,'4.1 关键词原始数据'!$A:$N,X$2,FALSE)=0," ",VLOOKUP($J$1&amp;$A39,'4.1 关键词原始数据'!$A:$N,X$2,FALSE))," ")</f>
        <v> </v>
      </c>
      <c r="P39" s="59" t="str">
        <f>_xlfn.IFNA(IF(VLOOKUP($J$1&amp;$A39,'4.1 关键词原始数据'!$A:$N,Y$2,FALSE)=0," ",VLOOKUP($J$1&amp;$A39,'4.1 关键词原始数据'!$A:$N,Y$2,FALSE))," ")</f>
        <v> </v>
      </c>
      <c r="Q39" s="59" t="str">
        <f>_xlfn.IFNA(IF(VLOOKUP($J$1&amp;$A39,'4.1 关键词原始数据'!$A:$N,Z$2,FALSE)=0," ",VLOOKUP($J$1&amp;$A39,'4.1 关键词原始数据'!$A:$N,Z$2,FALSE))," ")</f>
        <v> </v>
      </c>
    </row>
    <row r="40" ht="17.4" spans="1:17">
      <c r="A40" s="65" t="s">
        <v>524</v>
      </c>
      <c r="B40" s="59" t="str">
        <f>_xlfn.IFNA(IF(VLOOKUP($B$1&amp;$A40,'4.1 关键词原始数据'!$A:$N,S$2,FALSE)=0," ",VLOOKUP($B$1&amp;$A40,'4.1 关键词原始数据'!$A:$N,S$2,FALSE))," ")</f>
        <v> </v>
      </c>
      <c r="C40" s="59" t="str">
        <f>_xlfn.IFNA(IF(VLOOKUP($B$1&amp;$A40,'4.1 关键词原始数据'!$A:$N,T$2,FALSE)=0," ",VLOOKUP($B$1&amp;$A40,'4.1 关键词原始数据'!$A:$N,T$2,FALSE))," ")</f>
        <v>2-11-4</v>
      </c>
      <c r="D40" s="59" t="str">
        <f>_xlfn.IFNA(IF(VLOOKUP($B$1&amp;$A40,'4.1 关键词原始数据'!$A:$N,U$2,FALSE)=0," ",VLOOKUP($B$1&amp;$A40,'4.1 关键词原始数据'!$A:$N,U$2,FALSE))," ")</f>
        <v> </v>
      </c>
      <c r="E40" s="59" t="str">
        <f>_xlfn.IFNA(IF(VLOOKUP($B$1&amp;$A40,'4.1 关键词原始数据'!$A:$N,V$2,FALSE)=0," ",VLOOKUP($B$1&amp;$A40,'4.1 关键词原始数据'!$A:$N,V$2,FALSE))," ")</f>
        <v> </v>
      </c>
      <c r="F40" s="59" t="str">
        <f>_xlfn.IFNA(IF(VLOOKUP($B$1&amp;$A40,'4.1 关键词原始数据'!$A:$N,W$2,FALSE)=0," ",VLOOKUP($B$1&amp;$A40,'4.1 关键词原始数据'!$A:$N,W$2,FALSE))," ")</f>
        <v> </v>
      </c>
      <c r="G40" s="59" t="str">
        <f>_xlfn.IFNA(IF(VLOOKUP($B$1&amp;$A40,'4.1 关键词原始数据'!$A:$N,X$2,FALSE)=0," ",VLOOKUP($B$1&amp;$A40,'4.1 关键词原始数据'!$A:$N,X$2,FALSE))," ")</f>
        <v>1-12-2</v>
      </c>
      <c r="H40" s="59" t="str">
        <f>_xlfn.IFNA(IF(VLOOKUP($B$1&amp;$A40,'4.1 关键词原始数据'!$A:$N,Y$2,FALSE)=0," ",VLOOKUP($B$1&amp;$A40,'4.1 关键词原始数据'!$A:$N,Y$2,FALSE))," ")</f>
        <v> </v>
      </c>
      <c r="I40" s="59" t="str">
        <f>_xlfn.IFNA(IF(VLOOKUP($B$1&amp;$A40,'4.1 关键词原始数据'!$A:$N,Z$2,FALSE)=0," ",VLOOKUP($B$1&amp;$A40,'4.1 关键词原始数据'!$A:$N,Z$2,FALSE))," ")</f>
        <v> </v>
      </c>
      <c r="J40" s="59" t="str">
        <f>_xlfn.IFNA(IF(VLOOKUP($J$1&amp;$A40,'4.1 关键词原始数据'!$A:$N,S$2,FALSE)=0," ",VLOOKUP($J$1&amp;$A40,'4.1 关键词原始数据'!$A:$N,S$2,FALSE))," ")</f>
        <v> </v>
      </c>
      <c r="K40" s="59" t="str">
        <f>_xlfn.IFNA(IF(VLOOKUP($J$1&amp;$A40,'4.1 关键词原始数据'!$A:$N,T$2,FALSE)=0," ",VLOOKUP($J$1&amp;$A40,'4.1 关键词原始数据'!$A:$N,T$2,FALSE))," ")</f>
        <v> </v>
      </c>
      <c r="L40" s="59" t="str">
        <f>_xlfn.IFNA(IF(VLOOKUP($J$1&amp;$A40,'4.1 关键词原始数据'!$A:$N,U$2,FALSE)=0," ",VLOOKUP($J$1&amp;$A40,'4.1 关键词原始数据'!$A:$N,U$2,FALSE))," ")</f>
        <v> </v>
      </c>
      <c r="M40" s="59" t="str">
        <f>_xlfn.IFNA(IF(VLOOKUP($J$1&amp;$A40,'4.1 关键词原始数据'!$A:$N,V$2,FALSE)=0," ",VLOOKUP($J$1&amp;$A40,'4.1 关键词原始数据'!$A:$N,V$2,FALSE))," ")</f>
        <v>4-16-3</v>
      </c>
      <c r="N40" s="59" t="str">
        <f>_xlfn.IFNA(IF(VLOOKUP($J$1&amp;$A40,'4.1 关键词原始数据'!$A:$N,W$2,FALSE)=0," ",VLOOKUP($J$1&amp;$A40,'4.1 关键词原始数据'!$A:$N,W$2,FALSE))," ")</f>
        <v> </v>
      </c>
      <c r="O40" s="59" t="str">
        <f>_xlfn.IFNA(IF(VLOOKUP($J$1&amp;$A40,'4.1 关键词原始数据'!$A:$N,X$2,FALSE)=0," ",VLOOKUP($J$1&amp;$A40,'4.1 关键词原始数据'!$A:$N,X$2,FALSE))," ")</f>
        <v> </v>
      </c>
      <c r="P40" s="59" t="str">
        <f>_xlfn.IFNA(IF(VLOOKUP($J$1&amp;$A40,'4.1 关键词原始数据'!$A:$N,Y$2,FALSE)=0," ",VLOOKUP($J$1&amp;$A40,'4.1 关键词原始数据'!$A:$N,Y$2,FALSE))," ")</f>
        <v> </v>
      </c>
      <c r="Q40" s="59" t="str">
        <f>_xlfn.IFNA(IF(VLOOKUP($J$1&amp;$A40,'4.1 关键词原始数据'!$A:$N,Z$2,FALSE)=0," ",VLOOKUP($J$1&amp;$A40,'4.1 关键词原始数据'!$A:$N,Z$2,FALSE))," ")</f>
        <v> </v>
      </c>
    </row>
    <row r="41" ht="17.4" spans="1:17">
      <c r="A41" s="65" t="s">
        <v>525</v>
      </c>
      <c r="B41" s="59" t="str">
        <f>_xlfn.IFNA(IF(VLOOKUP($B$1&amp;$A41,'4.1 关键词原始数据'!$A:$N,S$2,FALSE)=0," ",VLOOKUP($B$1&amp;$A41,'4.1 关键词原始数据'!$A:$N,S$2,FALSE))," ")</f>
        <v> </v>
      </c>
      <c r="C41" s="59" t="str">
        <f>_xlfn.IFNA(IF(VLOOKUP($B$1&amp;$A41,'4.1 关键词原始数据'!$A:$N,T$2,FALSE)=0," ",VLOOKUP($B$1&amp;$A41,'4.1 关键词原始数据'!$A:$N,T$2,FALSE))," ")</f>
        <v>2-9-2</v>
      </c>
      <c r="D41" s="59" t="str">
        <f>_xlfn.IFNA(IF(VLOOKUP($B$1&amp;$A41,'4.1 关键词原始数据'!$A:$N,U$2,FALSE)=0," ",VLOOKUP($B$1&amp;$A41,'4.1 关键词原始数据'!$A:$N,U$2,FALSE))," ")</f>
        <v> </v>
      </c>
      <c r="E41" s="59" t="str">
        <f>_xlfn.IFNA(IF(VLOOKUP($B$1&amp;$A41,'4.1 关键词原始数据'!$A:$N,V$2,FALSE)=0," ",VLOOKUP($B$1&amp;$A41,'4.1 关键词原始数据'!$A:$N,V$2,FALSE))," ")</f>
        <v> </v>
      </c>
      <c r="F41" s="59" t="str">
        <f>_xlfn.IFNA(IF(VLOOKUP($B$1&amp;$A41,'4.1 关键词原始数据'!$A:$N,W$2,FALSE)=0," ",VLOOKUP($B$1&amp;$A41,'4.1 关键词原始数据'!$A:$N,W$2,FALSE))," ")</f>
        <v> </v>
      </c>
      <c r="G41" s="59" t="str">
        <f>_xlfn.IFNA(IF(VLOOKUP($B$1&amp;$A41,'4.1 关键词原始数据'!$A:$N,X$2,FALSE)=0," ",VLOOKUP($B$1&amp;$A41,'4.1 关键词原始数据'!$A:$N,X$2,FALSE))," ")</f>
        <v>1-9-4</v>
      </c>
      <c r="H41" s="59" t="str">
        <f>_xlfn.IFNA(IF(VLOOKUP($B$1&amp;$A41,'4.1 关键词原始数据'!$A:$N,Y$2,FALSE)=0," ",VLOOKUP($B$1&amp;$A41,'4.1 关键词原始数据'!$A:$N,Y$2,FALSE))," ")</f>
        <v> </v>
      </c>
      <c r="I41" s="59" t="str">
        <f>_xlfn.IFNA(IF(VLOOKUP($B$1&amp;$A41,'4.1 关键词原始数据'!$A:$N,Z$2,FALSE)=0," ",VLOOKUP($B$1&amp;$A41,'4.1 关键词原始数据'!$A:$N,Z$2,FALSE))," ")</f>
        <v> </v>
      </c>
      <c r="J41" s="59" t="str">
        <f>_xlfn.IFNA(IF(VLOOKUP($J$1&amp;$A41,'4.1 关键词原始数据'!$A:$N,S$2,FALSE)=0," ",VLOOKUP($J$1&amp;$A41,'4.1 关键词原始数据'!$A:$N,S$2,FALSE))," ")</f>
        <v> </v>
      </c>
      <c r="K41" s="59" t="str">
        <f>_xlfn.IFNA(IF(VLOOKUP($J$1&amp;$A41,'4.1 关键词原始数据'!$A:$N,T$2,FALSE)=0," ",VLOOKUP($J$1&amp;$A41,'4.1 关键词原始数据'!$A:$N,T$2,FALSE))," ")</f>
        <v> </v>
      </c>
      <c r="L41" s="59" t="str">
        <f>_xlfn.IFNA(IF(VLOOKUP($J$1&amp;$A41,'4.1 关键词原始数据'!$A:$N,U$2,FALSE)=0," ",VLOOKUP($J$1&amp;$A41,'4.1 关键词原始数据'!$A:$N,U$2,FALSE))," ")</f>
        <v> </v>
      </c>
      <c r="M41" s="59" t="str">
        <f>_xlfn.IFNA(IF(VLOOKUP($J$1&amp;$A41,'4.1 关键词原始数据'!$A:$N,V$2,FALSE)=0," ",VLOOKUP($J$1&amp;$A41,'4.1 关键词原始数据'!$A:$N,V$2,FALSE))," ")</f>
        <v> </v>
      </c>
      <c r="N41" s="59" t="str">
        <f>_xlfn.IFNA(IF(VLOOKUP($J$1&amp;$A41,'4.1 关键词原始数据'!$A:$N,W$2,FALSE)=0," ",VLOOKUP($J$1&amp;$A41,'4.1 关键词原始数据'!$A:$N,W$2,FALSE))," ")</f>
        <v> </v>
      </c>
      <c r="O41" s="59" t="str">
        <f>_xlfn.IFNA(IF(VLOOKUP($J$1&amp;$A41,'4.1 关键词原始数据'!$A:$N,X$2,FALSE)=0," ",VLOOKUP($J$1&amp;$A41,'4.1 关键词原始数据'!$A:$N,X$2,FALSE))," ")</f>
        <v> </v>
      </c>
      <c r="P41" s="59" t="str">
        <f>_xlfn.IFNA(IF(VLOOKUP($J$1&amp;$A41,'4.1 关键词原始数据'!$A:$N,Y$2,FALSE)=0," ",VLOOKUP($J$1&amp;$A41,'4.1 关键词原始数据'!$A:$N,Y$2,FALSE))," ")</f>
        <v> </v>
      </c>
      <c r="Q41" s="59" t="str">
        <f>_xlfn.IFNA(IF(VLOOKUP($J$1&amp;$A41,'4.1 关键词原始数据'!$A:$N,Z$2,FALSE)=0," ",VLOOKUP($J$1&amp;$A41,'4.1 关键词原始数据'!$A:$N,Z$2,FALSE))," ")</f>
        <v> </v>
      </c>
    </row>
    <row r="42" ht="17.4" spans="1:17">
      <c r="A42" s="65" t="s">
        <v>526</v>
      </c>
      <c r="B42" s="59" t="str">
        <f>_xlfn.IFNA(IF(VLOOKUP($B$1&amp;$A42,'4.1 关键词原始数据'!$A:$N,S$2,FALSE)=0," ",VLOOKUP($B$1&amp;$A42,'4.1 关键词原始数据'!$A:$N,S$2,FALSE))," ")</f>
        <v> </v>
      </c>
      <c r="C42" s="59" t="str">
        <f>_xlfn.IFNA(IF(VLOOKUP($B$1&amp;$A42,'4.1 关键词原始数据'!$A:$N,T$2,FALSE)=0," ",VLOOKUP($B$1&amp;$A42,'4.1 关键词原始数据'!$A:$N,T$2,FALSE))," ")</f>
        <v>2-13-1</v>
      </c>
      <c r="D42" s="59" t="str">
        <f>_xlfn.IFNA(IF(VLOOKUP($B$1&amp;$A42,'4.1 关键词原始数据'!$A:$N,U$2,FALSE)=0," ",VLOOKUP($B$1&amp;$A42,'4.1 关键词原始数据'!$A:$N,U$2,FALSE))," ")</f>
        <v> </v>
      </c>
      <c r="E42" s="59" t="str">
        <f>_xlfn.IFNA(IF(VLOOKUP($B$1&amp;$A42,'4.1 关键词原始数据'!$A:$N,V$2,FALSE)=0," ",VLOOKUP($B$1&amp;$A42,'4.1 关键词原始数据'!$A:$N,V$2,FALSE))," ")</f>
        <v> </v>
      </c>
      <c r="F42" s="59" t="str">
        <f>_xlfn.IFNA(IF(VLOOKUP($B$1&amp;$A42,'4.1 关键词原始数据'!$A:$N,W$2,FALSE)=0," ",VLOOKUP($B$1&amp;$A42,'4.1 关键词原始数据'!$A:$N,W$2,FALSE))," ")</f>
        <v> </v>
      </c>
      <c r="G42" s="59" t="str">
        <f>_xlfn.IFNA(IF(VLOOKUP($B$1&amp;$A42,'4.1 关键词原始数据'!$A:$N,X$2,FALSE)=0," ",VLOOKUP($B$1&amp;$A42,'4.1 关键词原始数据'!$A:$N,X$2,FALSE))," ")</f>
        <v>1-10-1</v>
      </c>
      <c r="H42" s="59" t="str">
        <f>_xlfn.IFNA(IF(VLOOKUP($B$1&amp;$A42,'4.1 关键词原始数据'!$A:$N,Y$2,FALSE)=0," ",VLOOKUP($B$1&amp;$A42,'4.1 关键词原始数据'!$A:$N,Y$2,FALSE))," ")</f>
        <v> </v>
      </c>
      <c r="I42" s="59" t="str">
        <f>_xlfn.IFNA(IF(VLOOKUP($B$1&amp;$A42,'4.1 关键词原始数据'!$A:$N,Z$2,FALSE)=0," ",VLOOKUP($B$1&amp;$A42,'4.1 关键词原始数据'!$A:$N,Z$2,FALSE))," ")</f>
        <v> </v>
      </c>
      <c r="J42" s="59" t="str">
        <f>_xlfn.IFNA(IF(VLOOKUP($J$1&amp;$A42,'4.1 关键词原始数据'!$A:$N,S$2,FALSE)=0," ",VLOOKUP($J$1&amp;$A42,'4.1 关键词原始数据'!$A:$N,S$2,FALSE))," ")</f>
        <v> </v>
      </c>
      <c r="K42" s="59" t="str">
        <f>_xlfn.IFNA(IF(VLOOKUP($J$1&amp;$A42,'4.1 关键词原始数据'!$A:$N,T$2,FALSE)=0," ",VLOOKUP($J$1&amp;$A42,'4.1 关键词原始数据'!$A:$N,T$2,FALSE))," ")</f>
        <v> </v>
      </c>
      <c r="L42" s="59" t="str">
        <f>_xlfn.IFNA(IF(VLOOKUP($J$1&amp;$A42,'4.1 关键词原始数据'!$A:$N,U$2,FALSE)=0," ",VLOOKUP($J$1&amp;$A42,'4.1 关键词原始数据'!$A:$N,U$2,FALSE))," ")</f>
        <v> </v>
      </c>
      <c r="M42" s="59" t="str">
        <f>_xlfn.IFNA(IF(VLOOKUP($J$1&amp;$A42,'4.1 关键词原始数据'!$A:$N,V$2,FALSE)=0," ",VLOOKUP($J$1&amp;$A42,'4.1 关键词原始数据'!$A:$N,V$2,FALSE))," ")</f>
        <v>5-13-4</v>
      </c>
      <c r="N42" s="59" t="str">
        <f>_xlfn.IFNA(IF(VLOOKUP($J$1&amp;$A42,'4.1 关键词原始数据'!$A:$N,W$2,FALSE)=0," ",VLOOKUP($J$1&amp;$A42,'4.1 关键词原始数据'!$A:$N,W$2,FALSE))," ")</f>
        <v> </v>
      </c>
      <c r="O42" s="59" t="str">
        <f>_xlfn.IFNA(IF(VLOOKUP($J$1&amp;$A42,'4.1 关键词原始数据'!$A:$N,X$2,FALSE)=0," ",VLOOKUP($J$1&amp;$A42,'4.1 关键词原始数据'!$A:$N,X$2,FALSE))," ")</f>
        <v> </v>
      </c>
      <c r="P42" s="59" t="str">
        <f>_xlfn.IFNA(IF(VLOOKUP($J$1&amp;$A42,'4.1 关键词原始数据'!$A:$N,Y$2,FALSE)=0," ",VLOOKUP($J$1&amp;$A42,'4.1 关键词原始数据'!$A:$N,Y$2,FALSE))," ")</f>
        <v> </v>
      </c>
      <c r="Q42" s="59" t="str">
        <f>_xlfn.IFNA(IF(VLOOKUP($J$1&amp;$A42,'4.1 关键词原始数据'!$A:$N,Z$2,FALSE)=0," ",VLOOKUP($J$1&amp;$A42,'4.1 关键词原始数据'!$A:$N,Z$2,FALSE))," ")</f>
        <v> </v>
      </c>
    </row>
    <row r="43" ht="17.4" spans="1:17">
      <c r="A43" s="65" t="s">
        <v>527</v>
      </c>
      <c r="B43" s="59" t="str">
        <f>_xlfn.IFNA(IF(VLOOKUP($B$1&amp;$A43,'4.1 关键词原始数据'!$A:$N,S$2,FALSE)=0," ",VLOOKUP($B$1&amp;$A43,'4.1 关键词原始数据'!$A:$N,S$2,FALSE))," ")</f>
        <v> </v>
      </c>
      <c r="C43" s="59" t="str">
        <f>_xlfn.IFNA(IF(VLOOKUP($B$1&amp;$A43,'4.1 关键词原始数据'!$A:$N,T$2,FALSE)=0," ",VLOOKUP($B$1&amp;$A43,'4.1 关键词原始数据'!$A:$N,T$2,FALSE))," ")</f>
        <v> </v>
      </c>
      <c r="D43" s="59" t="str">
        <f>_xlfn.IFNA(IF(VLOOKUP($B$1&amp;$A43,'4.1 关键词原始数据'!$A:$N,U$2,FALSE)=0," ",VLOOKUP($B$1&amp;$A43,'4.1 关键词原始数据'!$A:$N,U$2,FALSE))," ")</f>
        <v> </v>
      </c>
      <c r="E43" s="59" t="str">
        <f>_xlfn.IFNA(IF(VLOOKUP($B$1&amp;$A43,'4.1 关键词原始数据'!$A:$N,V$2,FALSE)=0," ",VLOOKUP($B$1&amp;$A43,'4.1 关键词原始数据'!$A:$N,V$2,FALSE))," ")</f>
        <v> </v>
      </c>
      <c r="F43" s="59" t="str">
        <f>_xlfn.IFNA(IF(VLOOKUP($B$1&amp;$A43,'4.1 关键词原始数据'!$A:$N,W$2,FALSE)=0," ",VLOOKUP($B$1&amp;$A43,'4.1 关键词原始数据'!$A:$N,W$2,FALSE))," ")</f>
        <v> </v>
      </c>
      <c r="G43" s="59" t="str">
        <f>_xlfn.IFNA(IF(VLOOKUP($B$1&amp;$A43,'4.1 关键词原始数据'!$A:$N,X$2,FALSE)=0," ",VLOOKUP($B$1&amp;$A43,'4.1 关键词原始数据'!$A:$N,X$2,FALSE))," ")</f>
        <v>1-13-3</v>
      </c>
      <c r="H43" s="59" t="str">
        <f>_xlfn.IFNA(IF(VLOOKUP($B$1&amp;$A43,'4.1 关键词原始数据'!$A:$N,Y$2,FALSE)=0," ",VLOOKUP($B$1&amp;$A43,'4.1 关键词原始数据'!$A:$N,Y$2,FALSE))," ")</f>
        <v> </v>
      </c>
      <c r="I43" s="59" t="str">
        <f>_xlfn.IFNA(IF(VLOOKUP($B$1&amp;$A43,'4.1 关键词原始数据'!$A:$N,Z$2,FALSE)=0," ",VLOOKUP($B$1&amp;$A43,'4.1 关键词原始数据'!$A:$N,Z$2,FALSE))," ")</f>
        <v> </v>
      </c>
      <c r="J43" s="59" t="str">
        <f>_xlfn.IFNA(IF(VLOOKUP($J$1&amp;$A43,'4.1 关键词原始数据'!$A:$N,S$2,FALSE)=0," ",VLOOKUP($J$1&amp;$A43,'4.1 关键词原始数据'!$A:$N,S$2,FALSE))," ")</f>
        <v> </v>
      </c>
      <c r="K43" s="59" t="str">
        <f>_xlfn.IFNA(IF(VLOOKUP($J$1&amp;$A43,'4.1 关键词原始数据'!$A:$N,T$2,FALSE)=0," ",VLOOKUP($J$1&amp;$A43,'4.1 关键词原始数据'!$A:$N,T$2,FALSE))," ")</f>
        <v> </v>
      </c>
      <c r="L43" s="59" t="str">
        <f>_xlfn.IFNA(IF(VLOOKUP($J$1&amp;$A43,'4.1 关键词原始数据'!$A:$N,U$2,FALSE)=0," ",VLOOKUP($J$1&amp;$A43,'4.1 关键词原始数据'!$A:$N,U$2,FALSE))," ")</f>
        <v> </v>
      </c>
      <c r="M43" s="59" t="str">
        <f>_xlfn.IFNA(IF(VLOOKUP($J$1&amp;$A43,'4.1 关键词原始数据'!$A:$N,V$2,FALSE)=0," ",VLOOKUP($J$1&amp;$A43,'4.1 关键词原始数据'!$A:$N,V$2,FALSE))," ")</f>
        <v>5-16-4</v>
      </c>
      <c r="N43" s="59" t="str">
        <f>_xlfn.IFNA(IF(VLOOKUP($J$1&amp;$A43,'4.1 关键词原始数据'!$A:$N,W$2,FALSE)=0," ",VLOOKUP($J$1&amp;$A43,'4.1 关键词原始数据'!$A:$N,W$2,FALSE))," ")</f>
        <v> </v>
      </c>
      <c r="O43" s="59" t="str">
        <f>_xlfn.IFNA(IF(VLOOKUP($J$1&amp;$A43,'4.1 关键词原始数据'!$A:$N,X$2,FALSE)=0," ",VLOOKUP($J$1&amp;$A43,'4.1 关键词原始数据'!$A:$N,X$2,FALSE))," ")</f>
        <v> </v>
      </c>
      <c r="P43" s="59" t="str">
        <f>_xlfn.IFNA(IF(VLOOKUP($J$1&amp;$A43,'4.1 关键词原始数据'!$A:$N,Y$2,FALSE)=0," ",VLOOKUP($J$1&amp;$A43,'4.1 关键词原始数据'!$A:$N,Y$2,FALSE))," ")</f>
        <v> </v>
      </c>
      <c r="Q43" s="59" t="str">
        <f>_xlfn.IFNA(IF(VLOOKUP($J$1&amp;$A43,'4.1 关键词原始数据'!$A:$N,Z$2,FALSE)=0," ",VLOOKUP($J$1&amp;$A43,'4.1 关键词原始数据'!$A:$N,Z$2,FALSE))," ")</f>
        <v> </v>
      </c>
    </row>
    <row r="44" ht="17.4" spans="1:17">
      <c r="A44" s="65" t="s">
        <v>528</v>
      </c>
      <c r="B44" s="59" t="str">
        <f>_xlfn.IFNA(IF(VLOOKUP($B$1&amp;$A44,'4.1 关键词原始数据'!$A:$N,S$2,FALSE)=0," ",VLOOKUP($B$1&amp;$A44,'4.1 关键词原始数据'!$A:$N,S$2,FALSE))," ")</f>
        <v> </v>
      </c>
      <c r="C44" s="59" t="str">
        <f>_xlfn.IFNA(IF(VLOOKUP($B$1&amp;$A44,'4.1 关键词原始数据'!$A:$N,T$2,FALSE)=0," ",VLOOKUP($B$1&amp;$A44,'4.1 关键词原始数据'!$A:$N,T$2,FALSE))," ")</f>
        <v>4-9-4</v>
      </c>
      <c r="D44" s="59" t="str">
        <f>_xlfn.IFNA(IF(VLOOKUP($B$1&amp;$A44,'4.1 关键词原始数据'!$A:$N,U$2,FALSE)=0," ",VLOOKUP($B$1&amp;$A44,'4.1 关键词原始数据'!$A:$N,U$2,FALSE))," ")</f>
        <v> </v>
      </c>
      <c r="E44" s="59" t="str">
        <f>_xlfn.IFNA(IF(VLOOKUP($B$1&amp;$A44,'4.1 关键词原始数据'!$A:$N,V$2,FALSE)=0," ",VLOOKUP($B$1&amp;$A44,'4.1 关键词原始数据'!$A:$N,V$2,FALSE))," ")</f>
        <v> </v>
      </c>
      <c r="F44" s="59" t="str">
        <f>_xlfn.IFNA(IF(VLOOKUP($B$1&amp;$A44,'4.1 关键词原始数据'!$A:$N,W$2,FALSE)=0," ",VLOOKUP($B$1&amp;$A44,'4.1 关键词原始数据'!$A:$N,W$2,FALSE))," ")</f>
        <v> </v>
      </c>
      <c r="G44" s="59" t="str">
        <f>_xlfn.IFNA(IF(VLOOKUP($B$1&amp;$A44,'4.1 关键词原始数据'!$A:$N,X$2,FALSE)=0," ",VLOOKUP($B$1&amp;$A44,'4.1 关键词原始数据'!$A:$N,X$2,FALSE))," ")</f>
        <v>1-12-2</v>
      </c>
      <c r="H44" s="59" t="str">
        <f>_xlfn.IFNA(IF(VLOOKUP($B$1&amp;$A44,'4.1 关键词原始数据'!$A:$N,Y$2,FALSE)=0," ",VLOOKUP($B$1&amp;$A44,'4.1 关键词原始数据'!$A:$N,Y$2,FALSE))," ")</f>
        <v> </v>
      </c>
      <c r="I44" s="59" t="str">
        <f>_xlfn.IFNA(IF(VLOOKUP($B$1&amp;$A44,'4.1 关键词原始数据'!$A:$N,Z$2,FALSE)=0," ",VLOOKUP($B$1&amp;$A44,'4.1 关键词原始数据'!$A:$N,Z$2,FALSE))," ")</f>
        <v> </v>
      </c>
      <c r="J44" s="59" t="str">
        <f>_xlfn.IFNA(IF(VLOOKUP($J$1&amp;$A44,'4.1 关键词原始数据'!$A:$N,S$2,FALSE)=0," ",VLOOKUP($J$1&amp;$A44,'4.1 关键词原始数据'!$A:$N,S$2,FALSE))," ")</f>
        <v> </v>
      </c>
      <c r="K44" s="59" t="str">
        <f>_xlfn.IFNA(IF(VLOOKUP($J$1&amp;$A44,'4.1 关键词原始数据'!$A:$N,T$2,FALSE)=0," ",VLOOKUP($J$1&amp;$A44,'4.1 关键词原始数据'!$A:$N,T$2,FALSE))," ")</f>
        <v> </v>
      </c>
      <c r="L44" s="59" t="str">
        <f>_xlfn.IFNA(IF(VLOOKUP($J$1&amp;$A44,'4.1 关键词原始数据'!$A:$N,U$2,FALSE)=0," ",VLOOKUP($J$1&amp;$A44,'4.1 关键词原始数据'!$A:$N,U$2,FALSE))," ")</f>
        <v> </v>
      </c>
      <c r="M44" s="59" t="str">
        <f>_xlfn.IFNA(IF(VLOOKUP($J$1&amp;$A44,'4.1 关键词原始数据'!$A:$N,V$2,FALSE)=0," ",VLOOKUP($J$1&amp;$A44,'4.1 关键词原始数据'!$A:$N,V$2,FALSE))," ")</f>
        <v>5-16-3</v>
      </c>
      <c r="N44" s="59" t="str">
        <f>_xlfn.IFNA(IF(VLOOKUP($J$1&amp;$A44,'4.1 关键词原始数据'!$A:$N,W$2,FALSE)=0," ",VLOOKUP($J$1&amp;$A44,'4.1 关键词原始数据'!$A:$N,W$2,FALSE))," ")</f>
        <v> </v>
      </c>
      <c r="O44" s="59" t="str">
        <f>_xlfn.IFNA(IF(VLOOKUP($J$1&amp;$A44,'4.1 关键词原始数据'!$A:$N,X$2,FALSE)=0," ",VLOOKUP($J$1&amp;$A44,'4.1 关键词原始数据'!$A:$N,X$2,FALSE))," ")</f>
        <v> </v>
      </c>
      <c r="P44" s="59" t="str">
        <f>_xlfn.IFNA(IF(VLOOKUP($J$1&amp;$A44,'4.1 关键词原始数据'!$A:$N,Y$2,FALSE)=0," ",VLOOKUP($J$1&amp;$A44,'4.1 关键词原始数据'!$A:$N,Y$2,FALSE))," ")</f>
        <v> </v>
      </c>
      <c r="Q44" s="59" t="str">
        <f>_xlfn.IFNA(IF(VLOOKUP($J$1&amp;$A44,'4.1 关键词原始数据'!$A:$N,Z$2,FALSE)=0," ",VLOOKUP($J$1&amp;$A44,'4.1 关键词原始数据'!$A:$N,Z$2,FALSE))," ")</f>
        <v> </v>
      </c>
    </row>
    <row r="45" ht="17.4" spans="1:17">
      <c r="A45" s="65" t="s">
        <v>529</v>
      </c>
      <c r="B45" s="59" t="str">
        <f>_xlfn.IFNA(IF(VLOOKUP($B$1&amp;$A45,'4.1 关键词原始数据'!$A:$N,S$2,FALSE)=0," ",VLOOKUP($B$1&amp;$A45,'4.1 关键词原始数据'!$A:$N,S$2,FALSE))," ")</f>
        <v> </v>
      </c>
      <c r="C45" s="59" t="str">
        <f>_xlfn.IFNA(IF(VLOOKUP($B$1&amp;$A45,'4.1 关键词原始数据'!$A:$N,T$2,FALSE)=0," ",VLOOKUP($B$1&amp;$A45,'4.1 关键词原始数据'!$A:$N,T$2,FALSE))," ")</f>
        <v>3-13-3</v>
      </c>
      <c r="D45" s="59" t="str">
        <f>_xlfn.IFNA(IF(VLOOKUP($B$1&amp;$A45,'4.1 关键词原始数据'!$A:$N,U$2,FALSE)=0," ",VLOOKUP($B$1&amp;$A45,'4.1 关键词原始数据'!$A:$N,U$2,FALSE))," ")</f>
        <v> </v>
      </c>
      <c r="E45" s="59" t="str">
        <f>_xlfn.IFNA(IF(VLOOKUP($B$1&amp;$A45,'4.1 关键词原始数据'!$A:$N,V$2,FALSE)=0," ",VLOOKUP($B$1&amp;$A45,'4.1 关键词原始数据'!$A:$N,V$2,FALSE))," ")</f>
        <v> </v>
      </c>
      <c r="F45" s="59" t="str">
        <f>_xlfn.IFNA(IF(VLOOKUP($B$1&amp;$A45,'4.1 关键词原始数据'!$A:$N,W$2,FALSE)=0," ",VLOOKUP($B$1&amp;$A45,'4.1 关键词原始数据'!$A:$N,W$2,FALSE))," ")</f>
        <v> </v>
      </c>
      <c r="G45" s="59" t="str">
        <f>_xlfn.IFNA(IF(VLOOKUP($B$1&amp;$A45,'4.1 关键词原始数据'!$A:$N,X$2,FALSE)=0," ",VLOOKUP($B$1&amp;$A45,'4.1 关键词原始数据'!$A:$N,X$2,FALSE))," ")</f>
        <v>1-13-1</v>
      </c>
      <c r="H45" s="59" t="str">
        <f>_xlfn.IFNA(IF(VLOOKUP($B$1&amp;$A45,'4.1 关键词原始数据'!$A:$N,Y$2,FALSE)=0," ",VLOOKUP($B$1&amp;$A45,'4.1 关键词原始数据'!$A:$N,Y$2,FALSE))," ")</f>
        <v> </v>
      </c>
      <c r="I45" s="59" t="str">
        <f>_xlfn.IFNA(IF(VLOOKUP($B$1&amp;$A45,'4.1 关键词原始数据'!$A:$N,Z$2,FALSE)=0," ",VLOOKUP($B$1&amp;$A45,'4.1 关键词原始数据'!$A:$N,Z$2,FALSE))," ")</f>
        <v> </v>
      </c>
      <c r="J45" s="59" t="str">
        <f>_xlfn.IFNA(IF(VLOOKUP($J$1&amp;$A45,'4.1 关键词原始数据'!$A:$N,S$2,FALSE)=0," ",VLOOKUP($J$1&amp;$A45,'4.1 关键词原始数据'!$A:$N,S$2,FALSE))," ")</f>
        <v> </v>
      </c>
      <c r="K45" s="59" t="str">
        <f>_xlfn.IFNA(IF(VLOOKUP($J$1&amp;$A45,'4.1 关键词原始数据'!$A:$N,T$2,FALSE)=0," ",VLOOKUP($J$1&amp;$A45,'4.1 关键词原始数据'!$A:$N,T$2,FALSE))," ")</f>
        <v> </v>
      </c>
      <c r="L45" s="59" t="str">
        <f>_xlfn.IFNA(IF(VLOOKUP($J$1&amp;$A45,'4.1 关键词原始数据'!$A:$N,U$2,FALSE)=0," ",VLOOKUP($J$1&amp;$A45,'4.1 关键词原始数据'!$A:$N,U$2,FALSE))," ")</f>
        <v> </v>
      </c>
      <c r="M45" s="59" t="str">
        <f>_xlfn.IFNA(IF(VLOOKUP($J$1&amp;$A45,'4.1 关键词原始数据'!$A:$N,V$2,FALSE)=0," ",VLOOKUP($J$1&amp;$A45,'4.1 关键词原始数据'!$A:$N,V$2,FALSE))," ")</f>
        <v>4-12-3</v>
      </c>
      <c r="N45" s="59" t="str">
        <f>_xlfn.IFNA(IF(VLOOKUP($J$1&amp;$A45,'4.1 关键词原始数据'!$A:$N,W$2,FALSE)=0," ",VLOOKUP($J$1&amp;$A45,'4.1 关键词原始数据'!$A:$N,W$2,FALSE))," ")</f>
        <v> </v>
      </c>
      <c r="O45" s="59" t="str">
        <f>_xlfn.IFNA(IF(VLOOKUP($J$1&amp;$A45,'4.1 关键词原始数据'!$A:$N,X$2,FALSE)=0," ",VLOOKUP($J$1&amp;$A45,'4.1 关键词原始数据'!$A:$N,X$2,FALSE))," ")</f>
        <v> </v>
      </c>
      <c r="P45" s="59" t="str">
        <f>_xlfn.IFNA(IF(VLOOKUP($J$1&amp;$A45,'4.1 关键词原始数据'!$A:$N,Y$2,FALSE)=0," ",VLOOKUP($J$1&amp;$A45,'4.1 关键词原始数据'!$A:$N,Y$2,FALSE))," ")</f>
        <v> </v>
      </c>
      <c r="Q45" s="59" t="str">
        <f>_xlfn.IFNA(IF(VLOOKUP($J$1&amp;$A45,'4.1 关键词原始数据'!$A:$N,Z$2,FALSE)=0," ",VLOOKUP($J$1&amp;$A45,'4.1 关键词原始数据'!$A:$N,Z$2,FALSE))," ")</f>
        <v> </v>
      </c>
    </row>
    <row r="46" ht="17.4" spans="1:17">
      <c r="A46" s="65" t="s">
        <v>530</v>
      </c>
      <c r="B46" s="59" t="str">
        <f>_xlfn.IFNA(IF(VLOOKUP($B$1&amp;$A46,'4.1 关键词原始数据'!$A:$N,S$2,FALSE)=0," ",VLOOKUP($B$1&amp;$A46,'4.1 关键词原始数据'!$A:$N,S$2,FALSE))," ")</f>
        <v> </v>
      </c>
      <c r="C46" s="59" t="str">
        <f>_xlfn.IFNA(IF(VLOOKUP($B$1&amp;$A46,'4.1 关键词原始数据'!$A:$N,T$2,FALSE)=0," ",VLOOKUP($B$1&amp;$A46,'4.1 关键词原始数据'!$A:$N,T$2,FALSE))," ")</f>
        <v>4-9-4</v>
      </c>
      <c r="D46" s="59" t="str">
        <f>_xlfn.IFNA(IF(VLOOKUP($B$1&amp;$A46,'4.1 关键词原始数据'!$A:$N,U$2,FALSE)=0," ",VLOOKUP($B$1&amp;$A46,'4.1 关键词原始数据'!$A:$N,U$2,FALSE))," ")</f>
        <v> </v>
      </c>
      <c r="E46" s="59" t="str">
        <f>_xlfn.IFNA(IF(VLOOKUP($B$1&amp;$A46,'4.1 关键词原始数据'!$A:$N,V$2,FALSE)=0," ",VLOOKUP($B$1&amp;$A46,'4.1 关键词原始数据'!$A:$N,V$2,FALSE))," ")</f>
        <v> </v>
      </c>
      <c r="F46" s="59" t="str">
        <f>_xlfn.IFNA(IF(VLOOKUP($B$1&amp;$A46,'4.1 关键词原始数据'!$A:$N,W$2,FALSE)=0," ",VLOOKUP($B$1&amp;$A46,'4.1 关键词原始数据'!$A:$N,W$2,FALSE))," ")</f>
        <v> </v>
      </c>
      <c r="G46" s="59" t="str">
        <f>_xlfn.IFNA(IF(VLOOKUP($B$1&amp;$A46,'4.1 关键词原始数据'!$A:$N,X$2,FALSE)=0," ",VLOOKUP($B$1&amp;$A46,'4.1 关键词原始数据'!$A:$N,X$2,FALSE))," ")</f>
        <v>1-10-4</v>
      </c>
      <c r="H46" s="59" t="str">
        <f>_xlfn.IFNA(IF(VLOOKUP($B$1&amp;$A46,'4.1 关键词原始数据'!$A:$N,Y$2,FALSE)=0," ",VLOOKUP($B$1&amp;$A46,'4.1 关键词原始数据'!$A:$N,Y$2,FALSE))," ")</f>
        <v> </v>
      </c>
      <c r="I46" s="59" t="str">
        <f>_xlfn.IFNA(IF(VLOOKUP($B$1&amp;$A46,'4.1 关键词原始数据'!$A:$N,Z$2,FALSE)=0," ",VLOOKUP($B$1&amp;$A46,'4.1 关键词原始数据'!$A:$N,Z$2,FALSE))," ")</f>
        <v> </v>
      </c>
      <c r="J46" s="59" t="str">
        <f>_xlfn.IFNA(IF(VLOOKUP($J$1&amp;$A46,'4.1 关键词原始数据'!$A:$N,S$2,FALSE)=0," ",VLOOKUP($J$1&amp;$A46,'4.1 关键词原始数据'!$A:$N,S$2,FALSE))," ")</f>
        <v> </v>
      </c>
      <c r="K46" s="59" t="str">
        <f>_xlfn.IFNA(IF(VLOOKUP($J$1&amp;$A46,'4.1 关键词原始数据'!$A:$N,T$2,FALSE)=0," ",VLOOKUP($J$1&amp;$A46,'4.1 关键词原始数据'!$A:$N,T$2,FALSE))," ")</f>
        <v> </v>
      </c>
      <c r="L46" s="59" t="str">
        <f>_xlfn.IFNA(IF(VLOOKUP($J$1&amp;$A46,'4.1 关键词原始数据'!$A:$N,U$2,FALSE)=0," ",VLOOKUP($J$1&amp;$A46,'4.1 关键词原始数据'!$A:$N,U$2,FALSE))," ")</f>
        <v> </v>
      </c>
      <c r="M46" s="59" t="str">
        <f>_xlfn.IFNA(IF(VLOOKUP($J$1&amp;$A46,'4.1 关键词原始数据'!$A:$N,V$2,FALSE)=0," ",VLOOKUP($J$1&amp;$A46,'4.1 关键词原始数据'!$A:$N,V$2,FALSE))," ")</f>
        <v>5-11-4</v>
      </c>
      <c r="N46" s="59" t="str">
        <f>_xlfn.IFNA(IF(VLOOKUP($J$1&amp;$A46,'4.1 关键词原始数据'!$A:$N,W$2,FALSE)=0," ",VLOOKUP($J$1&amp;$A46,'4.1 关键词原始数据'!$A:$N,W$2,FALSE))," ")</f>
        <v> </v>
      </c>
      <c r="O46" s="59" t="str">
        <f>_xlfn.IFNA(IF(VLOOKUP($J$1&amp;$A46,'4.1 关键词原始数据'!$A:$N,X$2,FALSE)=0," ",VLOOKUP($J$1&amp;$A46,'4.1 关键词原始数据'!$A:$N,X$2,FALSE))," ")</f>
        <v> </v>
      </c>
      <c r="P46" s="59" t="str">
        <f>_xlfn.IFNA(IF(VLOOKUP($J$1&amp;$A46,'4.1 关键词原始数据'!$A:$N,Y$2,FALSE)=0," ",VLOOKUP($J$1&amp;$A46,'4.1 关键词原始数据'!$A:$N,Y$2,FALSE))," ")</f>
        <v> </v>
      </c>
      <c r="Q46" s="59" t="str">
        <f>_xlfn.IFNA(IF(VLOOKUP($J$1&amp;$A46,'4.1 关键词原始数据'!$A:$N,Z$2,FALSE)=0," ",VLOOKUP($J$1&amp;$A46,'4.1 关键词原始数据'!$A:$N,Z$2,FALSE))," ")</f>
        <v> </v>
      </c>
    </row>
    <row r="47" ht="17.4" spans="1:17">
      <c r="A47" s="65" t="s">
        <v>531</v>
      </c>
      <c r="B47" s="59" t="str">
        <f>_xlfn.IFNA(IF(VLOOKUP($B$1&amp;$A47,'4.1 关键词原始数据'!$A:$N,S$2,FALSE)=0," ",VLOOKUP($B$1&amp;$A47,'4.1 关键词原始数据'!$A:$N,S$2,FALSE))," ")</f>
        <v> </v>
      </c>
      <c r="C47" s="59" t="str">
        <f>_xlfn.IFNA(IF(VLOOKUP($B$1&amp;$A47,'4.1 关键词原始数据'!$A:$N,T$2,FALSE)=0," ",VLOOKUP($B$1&amp;$A47,'4.1 关键词原始数据'!$A:$N,T$2,FALSE))," ")</f>
        <v> </v>
      </c>
      <c r="D47" s="59" t="str">
        <f>_xlfn.IFNA(IF(VLOOKUP($B$1&amp;$A47,'4.1 关键词原始数据'!$A:$N,U$2,FALSE)=0," ",VLOOKUP($B$1&amp;$A47,'4.1 关键词原始数据'!$A:$N,U$2,FALSE))," ")</f>
        <v> </v>
      </c>
      <c r="E47" s="59" t="str">
        <f>_xlfn.IFNA(IF(VLOOKUP($B$1&amp;$A47,'4.1 关键词原始数据'!$A:$N,V$2,FALSE)=0," ",VLOOKUP($B$1&amp;$A47,'4.1 关键词原始数据'!$A:$N,V$2,FALSE))," ")</f>
        <v> </v>
      </c>
      <c r="F47" s="59" t="str">
        <f>_xlfn.IFNA(IF(VLOOKUP($B$1&amp;$A47,'4.1 关键词原始数据'!$A:$N,W$2,FALSE)=0," ",VLOOKUP($B$1&amp;$A47,'4.1 关键词原始数据'!$A:$N,W$2,FALSE))," ")</f>
        <v> </v>
      </c>
      <c r="G47" s="59" t="str">
        <f>_xlfn.IFNA(IF(VLOOKUP($B$1&amp;$A47,'4.1 关键词原始数据'!$A:$N,X$2,FALSE)=0," ",VLOOKUP($B$1&amp;$A47,'4.1 关键词原始数据'!$A:$N,X$2,FALSE))," ")</f>
        <v>1-11-5</v>
      </c>
      <c r="H47" s="59" t="str">
        <f>_xlfn.IFNA(IF(VLOOKUP($B$1&amp;$A47,'4.1 关键词原始数据'!$A:$N,Y$2,FALSE)=0," ",VLOOKUP($B$1&amp;$A47,'4.1 关键词原始数据'!$A:$N,Y$2,FALSE))," ")</f>
        <v> </v>
      </c>
      <c r="I47" s="59" t="str">
        <f>_xlfn.IFNA(IF(VLOOKUP($B$1&amp;$A47,'4.1 关键词原始数据'!$A:$N,Z$2,FALSE)=0," ",VLOOKUP($B$1&amp;$A47,'4.1 关键词原始数据'!$A:$N,Z$2,FALSE))," ")</f>
        <v> </v>
      </c>
      <c r="J47" s="59" t="str">
        <f>_xlfn.IFNA(IF(VLOOKUP($J$1&amp;$A47,'4.1 关键词原始数据'!$A:$N,S$2,FALSE)=0," ",VLOOKUP($J$1&amp;$A47,'4.1 关键词原始数据'!$A:$N,S$2,FALSE))," ")</f>
        <v> </v>
      </c>
      <c r="K47" s="59" t="str">
        <f>_xlfn.IFNA(IF(VLOOKUP($J$1&amp;$A47,'4.1 关键词原始数据'!$A:$N,T$2,FALSE)=0," ",VLOOKUP($J$1&amp;$A47,'4.1 关键词原始数据'!$A:$N,T$2,FALSE))," ")</f>
        <v> </v>
      </c>
      <c r="L47" s="59" t="str">
        <f>_xlfn.IFNA(IF(VLOOKUP($J$1&amp;$A47,'4.1 关键词原始数据'!$A:$N,U$2,FALSE)=0," ",VLOOKUP($J$1&amp;$A47,'4.1 关键词原始数据'!$A:$N,U$2,FALSE))," ")</f>
        <v> </v>
      </c>
      <c r="M47" s="59" t="str">
        <f>_xlfn.IFNA(IF(VLOOKUP($J$1&amp;$A47,'4.1 关键词原始数据'!$A:$N,V$2,FALSE)=0," ",VLOOKUP($J$1&amp;$A47,'4.1 关键词原始数据'!$A:$N,V$2,FALSE))," ")</f>
        <v>5-3-4</v>
      </c>
      <c r="N47" s="59" t="str">
        <f>_xlfn.IFNA(IF(VLOOKUP($J$1&amp;$A47,'4.1 关键词原始数据'!$A:$N,W$2,FALSE)=0," ",VLOOKUP($J$1&amp;$A47,'4.1 关键词原始数据'!$A:$N,W$2,FALSE))," ")</f>
        <v> </v>
      </c>
      <c r="O47" s="59" t="str">
        <f>_xlfn.IFNA(IF(VLOOKUP($J$1&amp;$A47,'4.1 关键词原始数据'!$A:$N,X$2,FALSE)=0," ",VLOOKUP($J$1&amp;$A47,'4.1 关键词原始数据'!$A:$N,X$2,FALSE))," ")</f>
        <v> </v>
      </c>
      <c r="P47" s="59" t="str">
        <f>_xlfn.IFNA(IF(VLOOKUP($J$1&amp;$A47,'4.1 关键词原始数据'!$A:$N,Y$2,FALSE)=0," ",VLOOKUP($J$1&amp;$A47,'4.1 关键词原始数据'!$A:$N,Y$2,FALSE))," ")</f>
        <v> </v>
      </c>
      <c r="Q47" s="59" t="str">
        <f>_xlfn.IFNA(IF(VLOOKUP($J$1&amp;$A47,'4.1 关键词原始数据'!$A:$N,Z$2,FALSE)=0," ",VLOOKUP($J$1&amp;$A47,'4.1 关键词原始数据'!$A:$N,Z$2,FALSE))," ")</f>
        <v> </v>
      </c>
    </row>
    <row r="48" ht="17.4" spans="1:17">
      <c r="A48" s="65" t="s">
        <v>532</v>
      </c>
      <c r="B48" s="59" t="str">
        <f>_xlfn.IFNA(IF(VLOOKUP($B$1&amp;$A48,'4.1 关键词原始数据'!$A:$N,S$2,FALSE)=0," ",VLOOKUP($B$1&amp;$A48,'4.1 关键词原始数据'!$A:$N,S$2,FALSE))," ")</f>
        <v> </v>
      </c>
      <c r="C48" s="59" t="str">
        <f>_xlfn.IFNA(IF(VLOOKUP($B$1&amp;$A48,'4.1 关键词原始数据'!$A:$N,T$2,FALSE)=0," ",VLOOKUP($B$1&amp;$A48,'4.1 关键词原始数据'!$A:$N,T$2,FALSE))," ")</f>
        <v>4-9-2</v>
      </c>
      <c r="D48" s="59" t="str">
        <f>_xlfn.IFNA(IF(VLOOKUP($B$1&amp;$A48,'4.1 关键词原始数据'!$A:$N,U$2,FALSE)=0," ",VLOOKUP($B$1&amp;$A48,'4.1 关键词原始数据'!$A:$N,U$2,FALSE))," ")</f>
        <v> </v>
      </c>
      <c r="E48" s="59" t="str">
        <f>_xlfn.IFNA(IF(VLOOKUP($B$1&amp;$A48,'4.1 关键词原始数据'!$A:$N,V$2,FALSE)=0," ",VLOOKUP($B$1&amp;$A48,'4.1 关键词原始数据'!$A:$N,V$2,FALSE))," ")</f>
        <v> </v>
      </c>
      <c r="F48" s="59" t="str">
        <f>_xlfn.IFNA(IF(VLOOKUP($B$1&amp;$A48,'4.1 关键词原始数据'!$A:$N,W$2,FALSE)=0," ",VLOOKUP($B$1&amp;$A48,'4.1 关键词原始数据'!$A:$N,W$2,FALSE))," ")</f>
        <v> </v>
      </c>
      <c r="G48" s="59" t="str">
        <f>_xlfn.IFNA(IF(VLOOKUP($B$1&amp;$A48,'4.1 关键词原始数据'!$A:$N,X$2,FALSE)=0," ",VLOOKUP($B$1&amp;$A48,'4.1 关键词原始数据'!$A:$N,X$2,FALSE))," ")</f>
        <v>1-10-2</v>
      </c>
      <c r="H48" s="59" t="str">
        <f>_xlfn.IFNA(IF(VLOOKUP($B$1&amp;$A48,'4.1 关键词原始数据'!$A:$N,Y$2,FALSE)=0," ",VLOOKUP($B$1&amp;$A48,'4.1 关键词原始数据'!$A:$N,Y$2,FALSE))," ")</f>
        <v> </v>
      </c>
      <c r="I48" s="59" t="str">
        <f>_xlfn.IFNA(IF(VLOOKUP($B$1&amp;$A48,'4.1 关键词原始数据'!$A:$N,Z$2,FALSE)=0," ",VLOOKUP($B$1&amp;$A48,'4.1 关键词原始数据'!$A:$N,Z$2,FALSE))," ")</f>
        <v> </v>
      </c>
      <c r="J48" s="59" t="str">
        <f>_xlfn.IFNA(IF(VLOOKUP($J$1&amp;$A48,'4.1 关键词原始数据'!$A:$N,S$2,FALSE)=0," ",VLOOKUP($J$1&amp;$A48,'4.1 关键词原始数据'!$A:$N,S$2,FALSE))," ")</f>
        <v> </v>
      </c>
      <c r="K48" s="59" t="str">
        <f>_xlfn.IFNA(IF(VLOOKUP($J$1&amp;$A48,'4.1 关键词原始数据'!$A:$N,T$2,FALSE)=0," ",VLOOKUP($J$1&amp;$A48,'4.1 关键词原始数据'!$A:$N,T$2,FALSE))," ")</f>
        <v> </v>
      </c>
      <c r="L48" s="59" t="str">
        <f>_xlfn.IFNA(IF(VLOOKUP($J$1&amp;$A48,'4.1 关键词原始数据'!$A:$N,U$2,FALSE)=0," ",VLOOKUP($J$1&amp;$A48,'4.1 关键词原始数据'!$A:$N,U$2,FALSE))," ")</f>
        <v> </v>
      </c>
      <c r="M48" s="59" t="str">
        <f>_xlfn.IFNA(IF(VLOOKUP($J$1&amp;$A48,'4.1 关键词原始数据'!$A:$N,V$2,FALSE)=0," ",VLOOKUP($J$1&amp;$A48,'4.1 关键词原始数据'!$A:$N,V$2,FALSE))," ")</f>
        <v>5-11-1</v>
      </c>
      <c r="N48" s="59" t="str">
        <f>_xlfn.IFNA(IF(VLOOKUP($J$1&amp;$A48,'4.1 关键词原始数据'!$A:$N,W$2,FALSE)=0," ",VLOOKUP($J$1&amp;$A48,'4.1 关键词原始数据'!$A:$N,W$2,FALSE))," ")</f>
        <v> </v>
      </c>
      <c r="O48" s="59" t="str">
        <f>_xlfn.IFNA(IF(VLOOKUP($J$1&amp;$A48,'4.1 关键词原始数据'!$A:$N,X$2,FALSE)=0," ",VLOOKUP($J$1&amp;$A48,'4.1 关键词原始数据'!$A:$N,X$2,FALSE))," ")</f>
        <v> </v>
      </c>
      <c r="P48" s="59" t="str">
        <f>_xlfn.IFNA(IF(VLOOKUP($J$1&amp;$A48,'4.1 关键词原始数据'!$A:$N,Y$2,FALSE)=0," ",VLOOKUP($J$1&amp;$A48,'4.1 关键词原始数据'!$A:$N,Y$2,FALSE))," ")</f>
        <v> </v>
      </c>
      <c r="Q48" s="59" t="str">
        <f>_xlfn.IFNA(IF(VLOOKUP($J$1&amp;$A48,'4.1 关键词原始数据'!$A:$N,Z$2,FALSE)=0," ",VLOOKUP($J$1&amp;$A48,'4.1 关键词原始数据'!$A:$N,Z$2,FALSE))," ")</f>
        <v> </v>
      </c>
    </row>
    <row r="49" ht="17.4" spans="1:17">
      <c r="A49" s="65" t="s">
        <v>533</v>
      </c>
      <c r="B49" s="59" t="str">
        <f>_xlfn.IFNA(IF(VLOOKUP($B$1&amp;$A49,'4.1 关键词原始数据'!$A:$N,S$2,FALSE)=0," ",VLOOKUP($B$1&amp;$A49,'4.1 关键词原始数据'!$A:$N,S$2,FALSE))," ")</f>
        <v> </v>
      </c>
      <c r="C49" s="59" t="str">
        <f>_xlfn.IFNA(IF(VLOOKUP($B$1&amp;$A49,'4.1 关键词原始数据'!$A:$N,T$2,FALSE)=0," ",VLOOKUP($B$1&amp;$A49,'4.1 关键词原始数据'!$A:$N,T$2,FALSE))," ")</f>
        <v>4-12-2</v>
      </c>
      <c r="D49" s="59" t="str">
        <f>_xlfn.IFNA(IF(VLOOKUP($B$1&amp;$A49,'4.1 关键词原始数据'!$A:$N,U$2,FALSE)=0," ",VLOOKUP($B$1&amp;$A49,'4.1 关键词原始数据'!$A:$N,U$2,FALSE))," ")</f>
        <v> </v>
      </c>
      <c r="E49" s="59" t="str">
        <f>_xlfn.IFNA(IF(VLOOKUP($B$1&amp;$A49,'4.1 关键词原始数据'!$A:$N,V$2,FALSE)=0," ",VLOOKUP($B$1&amp;$A49,'4.1 关键词原始数据'!$A:$N,V$2,FALSE))," ")</f>
        <v> </v>
      </c>
      <c r="F49" s="59" t="str">
        <f>_xlfn.IFNA(IF(VLOOKUP($B$1&amp;$A49,'4.1 关键词原始数据'!$A:$N,W$2,FALSE)=0," ",VLOOKUP($B$1&amp;$A49,'4.1 关键词原始数据'!$A:$N,W$2,FALSE))," ")</f>
        <v> </v>
      </c>
      <c r="G49" s="59" t="str">
        <f>_xlfn.IFNA(IF(VLOOKUP($B$1&amp;$A49,'4.1 关键词原始数据'!$A:$N,X$2,FALSE)=0," ",VLOOKUP($B$1&amp;$A49,'4.1 关键词原始数据'!$A:$N,X$2,FALSE))," ")</f>
        <v>1-11-4</v>
      </c>
      <c r="H49" s="59" t="str">
        <f>_xlfn.IFNA(IF(VLOOKUP($B$1&amp;$A49,'4.1 关键词原始数据'!$A:$N,Y$2,FALSE)=0," ",VLOOKUP($B$1&amp;$A49,'4.1 关键词原始数据'!$A:$N,Y$2,FALSE))," ")</f>
        <v> </v>
      </c>
      <c r="I49" s="59" t="str">
        <f>_xlfn.IFNA(IF(VLOOKUP($B$1&amp;$A49,'4.1 关键词原始数据'!$A:$N,Z$2,FALSE)=0," ",VLOOKUP($B$1&amp;$A49,'4.1 关键词原始数据'!$A:$N,Z$2,FALSE))," ")</f>
        <v> </v>
      </c>
      <c r="J49" s="59" t="str">
        <f>_xlfn.IFNA(IF(VLOOKUP($J$1&amp;$A49,'4.1 关键词原始数据'!$A:$N,S$2,FALSE)=0," ",VLOOKUP($J$1&amp;$A49,'4.1 关键词原始数据'!$A:$N,S$2,FALSE))," ")</f>
        <v> </v>
      </c>
      <c r="K49" s="59" t="str">
        <f>_xlfn.IFNA(IF(VLOOKUP($J$1&amp;$A49,'4.1 关键词原始数据'!$A:$N,T$2,FALSE)=0," ",VLOOKUP($J$1&amp;$A49,'4.1 关键词原始数据'!$A:$N,T$2,FALSE))," ")</f>
        <v> </v>
      </c>
      <c r="L49" s="59" t="str">
        <f>_xlfn.IFNA(IF(VLOOKUP($J$1&amp;$A49,'4.1 关键词原始数据'!$A:$N,U$2,FALSE)=0," ",VLOOKUP($J$1&amp;$A49,'4.1 关键词原始数据'!$A:$N,U$2,FALSE))," ")</f>
        <v> </v>
      </c>
      <c r="M49" s="59" t="str">
        <f>_xlfn.IFNA(IF(VLOOKUP($J$1&amp;$A49,'4.1 关键词原始数据'!$A:$N,V$2,FALSE)=0," ",VLOOKUP($J$1&amp;$A49,'4.1 关键词原始数据'!$A:$N,V$2,FALSE))," ")</f>
        <v>6-6-2</v>
      </c>
      <c r="N49" s="59" t="str">
        <f>_xlfn.IFNA(IF(VLOOKUP($J$1&amp;$A49,'4.1 关键词原始数据'!$A:$N,W$2,FALSE)=0," ",VLOOKUP($J$1&amp;$A49,'4.1 关键词原始数据'!$A:$N,W$2,FALSE))," ")</f>
        <v> </v>
      </c>
      <c r="O49" s="59" t="str">
        <f>_xlfn.IFNA(IF(VLOOKUP($J$1&amp;$A49,'4.1 关键词原始数据'!$A:$N,X$2,FALSE)=0," ",VLOOKUP($J$1&amp;$A49,'4.1 关键词原始数据'!$A:$N,X$2,FALSE))," ")</f>
        <v> </v>
      </c>
      <c r="P49" s="59" t="str">
        <f>_xlfn.IFNA(IF(VLOOKUP($J$1&amp;$A49,'4.1 关键词原始数据'!$A:$N,Y$2,FALSE)=0," ",VLOOKUP($J$1&amp;$A49,'4.1 关键词原始数据'!$A:$N,Y$2,FALSE))," ")</f>
        <v> </v>
      </c>
      <c r="Q49" s="59" t="str">
        <f>_xlfn.IFNA(IF(VLOOKUP($J$1&amp;$A49,'4.1 关键词原始数据'!$A:$N,Z$2,FALSE)=0," ",VLOOKUP($J$1&amp;$A49,'4.1 关键词原始数据'!$A:$N,Z$2,FALSE))," ")</f>
        <v> </v>
      </c>
    </row>
    <row r="50" ht="17.4" spans="1:17">
      <c r="A50" s="65" t="s">
        <v>534</v>
      </c>
      <c r="B50" s="59" t="str">
        <f>_xlfn.IFNA(IF(VLOOKUP($B$1&amp;$A50,'4.1 关键词原始数据'!$A:$N,S$2,FALSE)=0," ",VLOOKUP($B$1&amp;$A50,'4.1 关键词原始数据'!$A:$N,S$2,FALSE))," ")</f>
        <v> </v>
      </c>
      <c r="C50" s="59" t="str">
        <f>_xlfn.IFNA(IF(VLOOKUP($B$1&amp;$A50,'4.1 关键词原始数据'!$A:$N,T$2,FALSE)=0," ",VLOOKUP($B$1&amp;$A50,'4.1 关键词原始数据'!$A:$N,T$2,FALSE))," ")</f>
        <v>4-10-1</v>
      </c>
      <c r="D50" s="59" t="str">
        <f>_xlfn.IFNA(IF(VLOOKUP($B$1&amp;$A50,'4.1 关键词原始数据'!$A:$N,U$2,FALSE)=0," ",VLOOKUP($B$1&amp;$A50,'4.1 关键词原始数据'!$A:$N,U$2,FALSE))," ")</f>
        <v> </v>
      </c>
      <c r="E50" s="59" t="str">
        <f>_xlfn.IFNA(IF(VLOOKUP($B$1&amp;$A50,'4.1 关键词原始数据'!$A:$N,V$2,FALSE)=0," ",VLOOKUP($B$1&amp;$A50,'4.1 关键词原始数据'!$A:$N,V$2,FALSE))," ")</f>
        <v> </v>
      </c>
      <c r="F50" s="59" t="str">
        <f>_xlfn.IFNA(IF(VLOOKUP($B$1&amp;$A50,'4.1 关键词原始数据'!$A:$N,W$2,FALSE)=0," ",VLOOKUP($B$1&amp;$A50,'4.1 关键词原始数据'!$A:$N,W$2,FALSE))," ")</f>
        <v> </v>
      </c>
      <c r="G50" s="59" t="str">
        <f>_xlfn.IFNA(IF(VLOOKUP($B$1&amp;$A50,'4.1 关键词原始数据'!$A:$N,X$2,FALSE)=0," ",VLOOKUP($B$1&amp;$A50,'4.1 关键词原始数据'!$A:$N,X$2,FALSE))," ")</f>
        <v>1-13-1</v>
      </c>
      <c r="H50" s="59" t="str">
        <f>_xlfn.IFNA(IF(VLOOKUP($B$1&amp;$A50,'4.1 关键词原始数据'!$A:$N,Y$2,FALSE)=0," ",VLOOKUP($B$1&amp;$A50,'4.1 关键词原始数据'!$A:$N,Y$2,FALSE))," ")</f>
        <v> </v>
      </c>
      <c r="I50" s="59" t="str">
        <f>_xlfn.IFNA(IF(VLOOKUP($B$1&amp;$A50,'4.1 关键词原始数据'!$A:$N,Z$2,FALSE)=0," ",VLOOKUP($B$1&amp;$A50,'4.1 关键词原始数据'!$A:$N,Z$2,FALSE))," ")</f>
        <v> </v>
      </c>
      <c r="J50" s="59" t="str">
        <f>_xlfn.IFNA(IF(VLOOKUP($J$1&amp;$A50,'4.1 关键词原始数据'!$A:$N,S$2,FALSE)=0," ",VLOOKUP($J$1&amp;$A50,'4.1 关键词原始数据'!$A:$N,S$2,FALSE))," ")</f>
        <v> </v>
      </c>
      <c r="K50" s="59" t="str">
        <f>_xlfn.IFNA(IF(VLOOKUP($J$1&amp;$A50,'4.1 关键词原始数据'!$A:$N,T$2,FALSE)=0," ",VLOOKUP($J$1&amp;$A50,'4.1 关键词原始数据'!$A:$N,T$2,FALSE))," ")</f>
        <v> </v>
      </c>
      <c r="L50" s="59" t="str">
        <f>_xlfn.IFNA(IF(VLOOKUP($J$1&amp;$A50,'4.1 关键词原始数据'!$A:$N,U$2,FALSE)=0," ",VLOOKUP($J$1&amp;$A50,'4.1 关键词原始数据'!$A:$N,U$2,FALSE))," ")</f>
        <v> </v>
      </c>
      <c r="M50" s="59" t="str">
        <f>_xlfn.IFNA(IF(VLOOKUP($J$1&amp;$A50,'4.1 关键词原始数据'!$A:$N,V$2,FALSE)=0," ",VLOOKUP($J$1&amp;$A50,'4.1 关键词原始数据'!$A:$N,V$2,FALSE))," ")</f>
        <v>6-3-4</v>
      </c>
      <c r="N50" s="59" t="str">
        <f>_xlfn.IFNA(IF(VLOOKUP($J$1&amp;$A50,'4.1 关键词原始数据'!$A:$N,W$2,FALSE)=0," ",VLOOKUP($J$1&amp;$A50,'4.1 关键词原始数据'!$A:$N,W$2,FALSE))," ")</f>
        <v> </v>
      </c>
      <c r="O50" s="59" t="str">
        <f>_xlfn.IFNA(IF(VLOOKUP($J$1&amp;$A50,'4.1 关键词原始数据'!$A:$N,X$2,FALSE)=0," ",VLOOKUP($J$1&amp;$A50,'4.1 关键词原始数据'!$A:$N,X$2,FALSE))," ")</f>
        <v> </v>
      </c>
      <c r="P50" s="59" t="str">
        <f>_xlfn.IFNA(IF(VLOOKUP($J$1&amp;$A50,'4.1 关键词原始数据'!$A:$N,Y$2,FALSE)=0," ",VLOOKUP($J$1&amp;$A50,'4.1 关键词原始数据'!$A:$N,Y$2,FALSE))," ")</f>
        <v> </v>
      </c>
      <c r="Q50" s="59" t="str">
        <f>_xlfn.IFNA(IF(VLOOKUP($J$1&amp;$A50,'4.1 关键词原始数据'!$A:$N,Z$2,FALSE)=0," ",VLOOKUP($J$1&amp;$A50,'4.1 关键词原始数据'!$A:$N,Z$2,FALSE))," ")</f>
        <v> </v>
      </c>
    </row>
    <row r="51" ht="17.4" spans="1:17">
      <c r="A51" s="65" t="s">
        <v>535</v>
      </c>
      <c r="B51" s="59" t="str">
        <f>_xlfn.IFNA(IF(VLOOKUP($B$1&amp;$A51,'4.1 关键词原始数据'!$A:$N,S$2,FALSE)=0," ",VLOOKUP($B$1&amp;$A51,'4.1 关键词原始数据'!$A:$N,S$2,FALSE))," ")</f>
        <v> </v>
      </c>
      <c r="C51" s="59" t="str">
        <f>_xlfn.IFNA(IF(VLOOKUP($B$1&amp;$A51,'4.1 关键词原始数据'!$A:$N,T$2,FALSE)=0," ",VLOOKUP($B$1&amp;$A51,'4.1 关键词原始数据'!$A:$N,T$2,FALSE))," ")</f>
        <v>4-13-5</v>
      </c>
      <c r="D51" s="59" t="str">
        <f>_xlfn.IFNA(IF(VLOOKUP($B$1&amp;$A51,'4.1 关键词原始数据'!$A:$N,U$2,FALSE)=0," ",VLOOKUP($B$1&amp;$A51,'4.1 关键词原始数据'!$A:$N,U$2,FALSE))," ")</f>
        <v> </v>
      </c>
      <c r="E51" s="59" t="str">
        <f>_xlfn.IFNA(IF(VLOOKUP($B$1&amp;$A51,'4.1 关键词原始数据'!$A:$N,V$2,FALSE)=0," ",VLOOKUP($B$1&amp;$A51,'4.1 关键词原始数据'!$A:$N,V$2,FALSE))," ")</f>
        <v> </v>
      </c>
      <c r="F51" s="59" t="str">
        <f>_xlfn.IFNA(IF(VLOOKUP($B$1&amp;$A51,'4.1 关键词原始数据'!$A:$N,W$2,FALSE)=0," ",VLOOKUP($B$1&amp;$A51,'4.1 关键词原始数据'!$A:$N,W$2,FALSE))," ")</f>
        <v> </v>
      </c>
      <c r="G51" s="59" t="str">
        <f>_xlfn.IFNA(IF(VLOOKUP($B$1&amp;$A51,'4.1 关键词原始数据'!$A:$N,X$2,FALSE)=0," ",VLOOKUP($B$1&amp;$A51,'4.1 关键词原始数据'!$A:$N,X$2,FALSE))," ")</f>
        <v>1-13-2</v>
      </c>
      <c r="H51" s="59" t="str">
        <f>_xlfn.IFNA(IF(VLOOKUP($B$1&amp;$A51,'4.1 关键词原始数据'!$A:$N,Y$2,FALSE)=0," ",VLOOKUP($B$1&amp;$A51,'4.1 关键词原始数据'!$A:$N,Y$2,FALSE))," ")</f>
        <v> </v>
      </c>
      <c r="I51" s="59" t="str">
        <f>_xlfn.IFNA(IF(VLOOKUP($B$1&amp;$A51,'4.1 关键词原始数据'!$A:$N,Z$2,FALSE)=0," ",VLOOKUP($B$1&amp;$A51,'4.1 关键词原始数据'!$A:$N,Z$2,FALSE))," ")</f>
        <v> </v>
      </c>
      <c r="J51" s="59" t="str">
        <f>_xlfn.IFNA(IF(VLOOKUP($J$1&amp;$A51,'4.1 关键词原始数据'!$A:$N,S$2,FALSE)=0," ",VLOOKUP($J$1&amp;$A51,'4.1 关键词原始数据'!$A:$N,S$2,FALSE))," ")</f>
        <v> </v>
      </c>
      <c r="K51" s="59" t="str">
        <f>_xlfn.IFNA(IF(VLOOKUP($J$1&amp;$A51,'4.1 关键词原始数据'!$A:$N,T$2,FALSE)=0," ",VLOOKUP($J$1&amp;$A51,'4.1 关键词原始数据'!$A:$N,T$2,FALSE))," ")</f>
        <v> </v>
      </c>
      <c r="L51" s="59" t="str">
        <f>_xlfn.IFNA(IF(VLOOKUP($J$1&amp;$A51,'4.1 关键词原始数据'!$A:$N,U$2,FALSE)=0," ",VLOOKUP($J$1&amp;$A51,'4.1 关键词原始数据'!$A:$N,U$2,FALSE))," ")</f>
        <v> </v>
      </c>
      <c r="M51" s="59" t="str">
        <f>_xlfn.IFNA(IF(VLOOKUP($J$1&amp;$A51,'4.1 关键词原始数据'!$A:$N,V$2,FALSE)=0," ",VLOOKUP($J$1&amp;$A51,'4.1 关键词原始数据'!$A:$N,V$2,FALSE))," ")</f>
        <v>5-9-2</v>
      </c>
      <c r="N51" s="59" t="str">
        <f>_xlfn.IFNA(IF(VLOOKUP($J$1&amp;$A51,'4.1 关键词原始数据'!$A:$N,W$2,FALSE)=0," ",VLOOKUP($J$1&amp;$A51,'4.1 关键词原始数据'!$A:$N,W$2,FALSE))," ")</f>
        <v> </v>
      </c>
      <c r="O51" s="59" t="str">
        <f>_xlfn.IFNA(IF(VLOOKUP($J$1&amp;$A51,'4.1 关键词原始数据'!$A:$N,X$2,FALSE)=0," ",VLOOKUP($J$1&amp;$A51,'4.1 关键词原始数据'!$A:$N,X$2,FALSE))," ")</f>
        <v> </v>
      </c>
      <c r="P51" s="59" t="str">
        <f>_xlfn.IFNA(IF(VLOOKUP($J$1&amp;$A51,'4.1 关键词原始数据'!$A:$N,Y$2,FALSE)=0," ",VLOOKUP($J$1&amp;$A51,'4.1 关键词原始数据'!$A:$N,Y$2,FALSE))," ")</f>
        <v> </v>
      </c>
      <c r="Q51" s="59" t="str">
        <f>_xlfn.IFNA(IF(VLOOKUP($J$1&amp;$A51,'4.1 关键词原始数据'!$A:$N,Z$2,FALSE)=0," ",VLOOKUP($J$1&amp;$A51,'4.1 关键词原始数据'!$A:$N,Z$2,FALSE))," ")</f>
        <v> </v>
      </c>
    </row>
    <row r="52" ht="17.4" spans="1:17">
      <c r="A52" s="65" t="s">
        <v>536</v>
      </c>
      <c r="B52" s="59" t="str">
        <f>_xlfn.IFNA(IF(VLOOKUP($B$1&amp;$A52,'4.1 关键词原始数据'!$A:$N,S$2,FALSE)=0," ",VLOOKUP($B$1&amp;$A52,'4.1 关键词原始数据'!$A:$N,S$2,FALSE))," ")</f>
        <v> </v>
      </c>
      <c r="C52" s="59" t="str">
        <f>_xlfn.IFNA(IF(VLOOKUP($B$1&amp;$A52,'4.1 关键词原始数据'!$A:$N,T$2,FALSE)=0," ",VLOOKUP($B$1&amp;$A52,'4.1 关键词原始数据'!$A:$N,T$2,FALSE))," ")</f>
        <v>5-2-5</v>
      </c>
      <c r="D52" s="59" t="str">
        <f>_xlfn.IFNA(IF(VLOOKUP($B$1&amp;$A52,'4.1 关键词原始数据'!$A:$N,U$2,FALSE)=0," ",VLOOKUP($B$1&amp;$A52,'4.1 关键词原始数据'!$A:$N,U$2,FALSE))," ")</f>
        <v> </v>
      </c>
      <c r="E52" s="59" t="str">
        <f>_xlfn.IFNA(IF(VLOOKUP($B$1&amp;$A52,'4.1 关键词原始数据'!$A:$N,V$2,FALSE)=0," ",VLOOKUP($B$1&amp;$A52,'4.1 关键词原始数据'!$A:$N,V$2,FALSE))," ")</f>
        <v> </v>
      </c>
      <c r="F52" s="59" t="str">
        <f>_xlfn.IFNA(IF(VLOOKUP($B$1&amp;$A52,'4.1 关键词原始数据'!$A:$N,W$2,FALSE)=0," ",VLOOKUP($B$1&amp;$A52,'4.1 关键词原始数据'!$A:$N,W$2,FALSE))," ")</f>
        <v> </v>
      </c>
      <c r="G52" s="59" t="str">
        <f>_xlfn.IFNA(IF(VLOOKUP($B$1&amp;$A52,'4.1 关键词原始数据'!$A:$N,X$2,FALSE)=0," ",VLOOKUP($B$1&amp;$A52,'4.1 关键词原始数据'!$A:$N,X$2,FALSE))," ")</f>
        <v>1-13-5</v>
      </c>
      <c r="H52" s="59" t="str">
        <f>_xlfn.IFNA(IF(VLOOKUP($B$1&amp;$A52,'4.1 关键词原始数据'!$A:$N,Y$2,FALSE)=0," ",VLOOKUP($B$1&amp;$A52,'4.1 关键词原始数据'!$A:$N,Y$2,FALSE))," ")</f>
        <v> </v>
      </c>
      <c r="I52" s="59" t="str">
        <f>_xlfn.IFNA(IF(VLOOKUP($B$1&amp;$A52,'4.1 关键词原始数据'!$A:$N,Z$2,FALSE)=0," ",VLOOKUP($B$1&amp;$A52,'4.1 关键词原始数据'!$A:$N,Z$2,FALSE))," ")</f>
        <v> </v>
      </c>
      <c r="J52" s="59" t="str">
        <f>_xlfn.IFNA(IF(VLOOKUP($J$1&amp;$A52,'4.1 关键词原始数据'!$A:$N,S$2,FALSE)=0," ",VLOOKUP($J$1&amp;$A52,'4.1 关键词原始数据'!$A:$N,S$2,FALSE))," ")</f>
        <v> </v>
      </c>
      <c r="K52" s="59" t="str">
        <f>_xlfn.IFNA(IF(VLOOKUP($J$1&amp;$A52,'4.1 关键词原始数据'!$A:$N,T$2,FALSE)=0," ",VLOOKUP($J$1&amp;$A52,'4.1 关键词原始数据'!$A:$N,T$2,FALSE))," ")</f>
        <v> </v>
      </c>
      <c r="L52" s="59" t="str">
        <f>_xlfn.IFNA(IF(VLOOKUP($J$1&amp;$A52,'4.1 关键词原始数据'!$A:$N,U$2,FALSE)=0," ",VLOOKUP($J$1&amp;$A52,'4.1 关键词原始数据'!$A:$N,U$2,FALSE))," ")</f>
        <v> </v>
      </c>
      <c r="M52" s="59" t="str">
        <f>_xlfn.IFNA(IF(VLOOKUP($J$1&amp;$A52,'4.1 关键词原始数据'!$A:$N,V$2,FALSE)=0," ",VLOOKUP($J$1&amp;$A52,'4.1 关键词原始数据'!$A:$N,V$2,FALSE))," ")</f>
        <v>5-10-1</v>
      </c>
      <c r="N52" s="59" t="str">
        <f>_xlfn.IFNA(IF(VLOOKUP($J$1&amp;$A52,'4.1 关键词原始数据'!$A:$N,W$2,FALSE)=0," ",VLOOKUP($J$1&amp;$A52,'4.1 关键词原始数据'!$A:$N,W$2,FALSE))," ")</f>
        <v> </v>
      </c>
      <c r="O52" s="59" t="str">
        <f>_xlfn.IFNA(IF(VLOOKUP($J$1&amp;$A52,'4.1 关键词原始数据'!$A:$N,X$2,FALSE)=0," ",VLOOKUP($J$1&amp;$A52,'4.1 关键词原始数据'!$A:$N,X$2,FALSE))," ")</f>
        <v> </v>
      </c>
      <c r="P52" s="59" t="str">
        <f>_xlfn.IFNA(IF(VLOOKUP($J$1&amp;$A52,'4.1 关键词原始数据'!$A:$N,Y$2,FALSE)=0," ",VLOOKUP($J$1&amp;$A52,'4.1 关键词原始数据'!$A:$N,Y$2,FALSE))," ")</f>
        <v> </v>
      </c>
      <c r="Q52" s="59" t="str">
        <f>_xlfn.IFNA(IF(VLOOKUP($J$1&amp;$A52,'4.1 关键词原始数据'!$A:$N,Z$2,FALSE)=0," ",VLOOKUP($J$1&amp;$A52,'4.1 关键词原始数据'!$A:$N,Z$2,FALSE))," ")</f>
        <v> </v>
      </c>
    </row>
    <row r="53" ht="17.4" spans="1:17">
      <c r="A53" s="65" t="s">
        <v>537</v>
      </c>
      <c r="B53" s="59" t="str">
        <f>_xlfn.IFNA(IF(VLOOKUP($B$1&amp;$A53,'4.1 关键词原始数据'!$A:$N,S$2,FALSE)=0," ",VLOOKUP($B$1&amp;$A53,'4.1 关键词原始数据'!$A:$N,S$2,FALSE))," ")</f>
        <v> </v>
      </c>
      <c r="C53" s="59" t="str">
        <f>_xlfn.IFNA(IF(VLOOKUP($B$1&amp;$A53,'4.1 关键词原始数据'!$A:$N,T$2,FALSE)=0," ",VLOOKUP($B$1&amp;$A53,'4.1 关键词原始数据'!$A:$N,T$2,FALSE))," ")</f>
        <v>5-3-4</v>
      </c>
      <c r="D53" s="59" t="str">
        <f>_xlfn.IFNA(IF(VLOOKUP($B$1&amp;$A53,'4.1 关键词原始数据'!$A:$N,U$2,FALSE)=0," ",VLOOKUP($B$1&amp;$A53,'4.1 关键词原始数据'!$A:$N,U$2,FALSE))," ")</f>
        <v> </v>
      </c>
      <c r="E53" s="59" t="str">
        <f>_xlfn.IFNA(IF(VLOOKUP($B$1&amp;$A53,'4.1 关键词原始数据'!$A:$N,V$2,FALSE)=0," ",VLOOKUP($B$1&amp;$A53,'4.1 关键词原始数据'!$A:$N,V$2,FALSE))," ")</f>
        <v> </v>
      </c>
      <c r="F53" s="59" t="str">
        <f>_xlfn.IFNA(IF(VLOOKUP($B$1&amp;$A53,'4.1 关键词原始数据'!$A:$N,W$2,FALSE)=0," ",VLOOKUP($B$1&amp;$A53,'4.1 关键词原始数据'!$A:$N,W$2,FALSE))," ")</f>
        <v> </v>
      </c>
      <c r="G53" s="59" t="str">
        <f>_xlfn.IFNA(IF(VLOOKUP($B$1&amp;$A53,'4.1 关键词原始数据'!$A:$N,X$2,FALSE)=0," ",VLOOKUP($B$1&amp;$A53,'4.1 关键词原始数据'!$A:$N,X$2,FALSE))," ")</f>
        <v>1-13-5</v>
      </c>
      <c r="H53" s="59" t="str">
        <f>_xlfn.IFNA(IF(VLOOKUP($B$1&amp;$A53,'4.1 关键词原始数据'!$A:$N,Y$2,FALSE)=0," ",VLOOKUP($B$1&amp;$A53,'4.1 关键词原始数据'!$A:$N,Y$2,FALSE))," ")</f>
        <v> </v>
      </c>
      <c r="I53" s="59" t="str">
        <f>_xlfn.IFNA(IF(VLOOKUP($B$1&amp;$A53,'4.1 关键词原始数据'!$A:$N,Z$2,FALSE)=0," ",VLOOKUP($B$1&amp;$A53,'4.1 关键词原始数据'!$A:$N,Z$2,FALSE))," ")</f>
        <v> </v>
      </c>
      <c r="J53" s="59" t="str">
        <f>_xlfn.IFNA(IF(VLOOKUP($J$1&amp;$A53,'4.1 关键词原始数据'!$A:$N,S$2,FALSE)=0," ",VLOOKUP($J$1&amp;$A53,'4.1 关键词原始数据'!$A:$N,S$2,FALSE))," ")</f>
        <v> </v>
      </c>
      <c r="K53" s="59" t="str">
        <f>_xlfn.IFNA(IF(VLOOKUP($J$1&amp;$A53,'4.1 关键词原始数据'!$A:$N,T$2,FALSE)=0," ",VLOOKUP($J$1&amp;$A53,'4.1 关键词原始数据'!$A:$N,T$2,FALSE))," ")</f>
        <v> </v>
      </c>
      <c r="L53" s="59" t="str">
        <f>_xlfn.IFNA(IF(VLOOKUP($J$1&amp;$A53,'4.1 关键词原始数据'!$A:$N,U$2,FALSE)=0," ",VLOOKUP($J$1&amp;$A53,'4.1 关键词原始数据'!$A:$N,U$2,FALSE))," ")</f>
        <v> </v>
      </c>
      <c r="M53" s="59" t="str">
        <f>_xlfn.IFNA(IF(VLOOKUP($J$1&amp;$A53,'4.1 关键词原始数据'!$A:$N,V$2,FALSE)=0," ",VLOOKUP($J$1&amp;$A53,'4.1 关键词原始数据'!$A:$N,V$2,FALSE))," ")</f>
        <v>6-7-3</v>
      </c>
      <c r="N53" s="59" t="str">
        <f>_xlfn.IFNA(IF(VLOOKUP($J$1&amp;$A53,'4.1 关键词原始数据'!$A:$N,W$2,FALSE)=0," ",VLOOKUP($J$1&amp;$A53,'4.1 关键词原始数据'!$A:$N,W$2,FALSE))," ")</f>
        <v> </v>
      </c>
      <c r="O53" s="59" t="str">
        <f>_xlfn.IFNA(IF(VLOOKUP($J$1&amp;$A53,'4.1 关键词原始数据'!$A:$N,X$2,FALSE)=0," ",VLOOKUP($J$1&amp;$A53,'4.1 关键词原始数据'!$A:$N,X$2,FALSE))," ")</f>
        <v> </v>
      </c>
      <c r="P53" s="59" t="str">
        <f>_xlfn.IFNA(IF(VLOOKUP($J$1&amp;$A53,'4.1 关键词原始数据'!$A:$N,Y$2,FALSE)=0," ",VLOOKUP($J$1&amp;$A53,'4.1 关键词原始数据'!$A:$N,Y$2,FALSE))," ")</f>
        <v> </v>
      </c>
      <c r="Q53" s="59" t="str">
        <f>_xlfn.IFNA(IF(VLOOKUP($J$1&amp;$A53,'4.1 关键词原始数据'!$A:$N,Z$2,FALSE)=0," ",VLOOKUP($J$1&amp;$A53,'4.1 关键词原始数据'!$A:$N,Z$2,FALSE))," ")</f>
        <v> </v>
      </c>
    </row>
    <row r="54" ht="17.4" spans="1:17">
      <c r="A54" s="65" t="s">
        <v>538</v>
      </c>
      <c r="B54" s="59" t="str">
        <f>_xlfn.IFNA(IF(VLOOKUP($B$1&amp;$A54,'4.1 关键词原始数据'!$A:$N,S$2,FALSE)=0," ",VLOOKUP($B$1&amp;$A54,'4.1 关键词原始数据'!$A:$N,S$2,FALSE))," ")</f>
        <v> </v>
      </c>
      <c r="C54" s="59" t="str">
        <f>_xlfn.IFNA(IF(VLOOKUP($B$1&amp;$A54,'4.1 关键词原始数据'!$A:$N,T$2,FALSE)=0," ",VLOOKUP($B$1&amp;$A54,'4.1 关键词原始数据'!$A:$N,T$2,FALSE))," ")</f>
        <v>5-2-3</v>
      </c>
      <c r="D54" s="59" t="str">
        <f>_xlfn.IFNA(IF(VLOOKUP($B$1&amp;$A54,'4.1 关键词原始数据'!$A:$N,U$2,FALSE)=0," ",VLOOKUP($B$1&amp;$A54,'4.1 关键词原始数据'!$A:$N,U$2,FALSE))," ")</f>
        <v> </v>
      </c>
      <c r="E54" s="59" t="str">
        <f>_xlfn.IFNA(IF(VLOOKUP($B$1&amp;$A54,'4.1 关键词原始数据'!$A:$N,V$2,FALSE)=0," ",VLOOKUP($B$1&amp;$A54,'4.1 关键词原始数据'!$A:$N,V$2,FALSE))," ")</f>
        <v> </v>
      </c>
      <c r="F54" s="59" t="str">
        <f>_xlfn.IFNA(IF(VLOOKUP($B$1&amp;$A54,'4.1 关键词原始数据'!$A:$N,W$2,FALSE)=0," ",VLOOKUP($B$1&amp;$A54,'4.1 关键词原始数据'!$A:$N,W$2,FALSE))," ")</f>
        <v> </v>
      </c>
      <c r="G54" s="59" t="str">
        <f>_xlfn.IFNA(IF(VLOOKUP($B$1&amp;$A54,'4.1 关键词原始数据'!$A:$N,X$2,FALSE)=0," ",VLOOKUP($B$1&amp;$A54,'4.1 关键词原始数据'!$A:$N,X$2,FALSE))," ")</f>
        <v>2-2-4</v>
      </c>
      <c r="H54" s="59" t="str">
        <f>_xlfn.IFNA(IF(VLOOKUP($B$1&amp;$A54,'4.1 关键词原始数据'!$A:$N,Y$2,FALSE)=0," ",VLOOKUP($B$1&amp;$A54,'4.1 关键词原始数据'!$A:$N,Y$2,FALSE))," ")</f>
        <v> </v>
      </c>
      <c r="I54" s="59" t="str">
        <f>_xlfn.IFNA(IF(VLOOKUP($B$1&amp;$A54,'4.1 关键词原始数据'!$A:$N,Z$2,FALSE)=0," ",VLOOKUP($B$1&amp;$A54,'4.1 关键词原始数据'!$A:$N,Z$2,FALSE))," ")</f>
        <v> </v>
      </c>
      <c r="J54" s="59" t="str">
        <f>_xlfn.IFNA(IF(VLOOKUP($J$1&amp;$A54,'4.1 关键词原始数据'!$A:$N,S$2,FALSE)=0," ",VLOOKUP($J$1&amp;$A54,'4.1 关键词原始数据'!$A:$N,S$2,FALSE))," ")</f>
        <v> </v>
      </c>
      <c r="K54" s="59" t="str">
        <f>_xlfn.IFNA(IF(VLOOKUP($J$1&amp;$A54,'4.1 关键词原始数据'!$A:$N,T$2,FALSE)=0," ",VLOOKUP($J$1&amp;$A54,'4.1 关键词原始数据'!$A:$N,T$2,FALSE))," ")</f>
        <v> </v>
      </c>
      <c r="L54" s="59" t="str">
        <f>_xlfn.IFNA(IF(VLOOKUP($J$1&amp;$A54,'4.1 关键词原始数据'!$A:$N,U$2,FALSE)=0," ",VLOOKUP($J$1&amp;$A54,'4.1 关键词原始数据'!$A:$N,U$2,FALSE))," ")</f>
        <v> </v>
      </c>
      <c r="M54" s="59" t="str">
        <f>_xlfn.IFNA(IF(VLOOKUP($J$1&amp;$A54,'4.1 关键词原始数据'!$A:$N,V$2,FALSE)=0," ",VLOOKUP($J$1&amp;$A54,'4.1 关键词原始数据'!$A:$N,V$2,FALSE))," ")</f>
        <v>6-11-2</v>
      </c>
      <c r="N54" s="59" t="str">
        <f>_xlfn.IFNA(IF(VLOOKUP($J$1&amp;$A54,'4.1 关键词原始数据'!$A:$N,W$2,FALSE)=0," ",VLOOKUP($J$1&amp;$A54,'4.1 关键词原始数据'!$A:$N,W$2,FALSE))," ")</f>
        <v> </v>
      </c>
      <c r="O54" s="59" t="str">
        <f>_xlfn.IFNA(IF(VLOOKUP($J$1&amp;$A54,'4.1 关键词原始数据'!$A:$N,X$2,FALSE)=0," ",VLOOKUP($J$1&amp;$A54,'4.1 关键词原始数据'!$A:$N,X$2,FALSE))," ")</f>
        <v> </v>
      </c>
      <c r="P54" s="59" t="str">
        <f>_xlfn.IFNA(IF(VLOOKUP($J$1&amp;$A54,'4.1 关键词原始数据'!$A:$N,Y$2,FALSE)=0," ",VLOOKUP($J$1&amp;$A54,'4.1 关键词原始数据'!$A:$N,Y$2,FALSE))," ")</f>
        <v> </v>
      </c>
      <c r="Q54" s="59" t="str">
        <f>_xlfn.IFNA(IF(VLOOKUP($J$1&amp;$A54,'4.1 关键词原始数据'!$A:$N,Z$2,FALSE)=0," ",VLOOKUP($J$1&amp;$A54,'4.1 关键词原始数据'!$A:$N,Z$2,FALSE))," ")</f>
        <v> </v>
      </c>
    </row>
    <row r="55" ht="17.4" spans="1:17">
      <c r="A55" s="65" t="s">
        <v>539</v>
      </c>
      <c r="B55" s="59" t="str">
        <f>_xlfn.IFNA(IF(VLOOKUP($B$1&amp;$A55,'4.1 关键词原始数据'!$A:$N,S$2,FALSE)=0," ",VLOOKUP($B$1&amp;$A55,'4.1 关键词原始数据'!$A:$N,S$2,FALSE))," ")</f>
        <v> </v>
      </c>
      <c r="C55" s="59" t="str">
        <f>_xlfn.IFNA(IF(VLOOKUP($B$1&amp;$A55,'4.1 关键词原始数据'!$A:$N,T$2,FALSE)=0," ",VLOOKUP($B$1&amp;$A55,'4.1 关键词原始数据'!$A:$N,T$2,FALSE))," ")</f>
        <v>4-12-4</v>
      </c>
      <c r="D55" s="59" t="str">
        <f>_xlfn.IFNA(IF(VLOOKUP($B$1&amp;$A55,'4.1 关键词原始数据'!$A:$N,U$2,FALSE)=0," ",VLOOKUP($B$1&amp;$A55,'4.1 关键词原始数据'!$A:$N,U$2,FALSE))," ")</f>
        <v> </v>
      </c>
      <c r="E55" s="59" t="str">
        <f>_xlfn.IFNA(IF(VLOOKUP($B$1&amp;$A55,'4.1 关键词原始数据'!$A:$N,V$2,FALSE)=0," ",VLOOKUP($B$1&amp;$A55,'4.1 关键词原始数据'!$A:$N,V$2,FALSE))," ")</f>
        <v> </v>
      </c>
      <c r="F55" s="59" t="str">
        <f>_xlfn.IFNA(IF(VLOOKUP($B$1&amp;$A55,'4.1 关键词原始数据'!$A:$N,W$2,FALSE)=0," ",VLOOKUP($B$1&amp;$A55,'4.1 关键词原始数据'!$A:$N,W$2,FALSE))," ")</f>
        <v> </v>
      </c>
      <c r="G55" s="59" t="str">
        <f>_xlfn.IFNA(IF(VLOOKUP($B$1&amp;$A55,'4.1 关键词原始数据'!$A:$N,X$2,FALSE)=0," ",VLOOKUP($B$1&amp;$A55,'4.1 关键词原始数据'!$A:$N,X$2,FALSE))," ")</f>
        <v>1-11-5</v>
      </c>
      <c r="H55" s="59" t="str">
        <f>_xlfn.IFNA(IF(VLOOKUP($B$1&amp;$A55,'4.1 关键词原始数据'!$A:$N,Y$2,FALSE)=0," ",VLOOKUP($B$1&amp;$A55,'4.1 关键词原始数据'!$A:$N,Y$2,FALSE))," ")</f>
        <v> </v>
      </c>
      <c r="I55" s="59" t="str">
        <f>_xlfn.IFNA(IF(VLOOKUP($B$1&amp;$A55,'4.1 关键词原始数据'!$A:$N,Z$2,FALSE)=0," ",VLOOKUP($B$1&amp;$A55,'4.1 关键词原始数据'!$A:$N,Z$2,FALSE))," ")</f>
        <v> </v>
      </c>
      <c r="J55" s="59" t="str">
        <f>_xlfn.IFNA(IF(VLOOKUP($J$1&amp;$A55,'4.1 关键词原始数据'!$A:$N,S$2,FALSE)=0," ",VLOOKUP($J$1&amp;$A55,'4.1 关键词原始数据'!$A:$N,S$2,FALSE))," ")</f>
        <v> </v>
      </c>
      <c r="K55" s="59" t="str">
        <f>_xlfn.IFNA(IF(VLOOKUP($J$1&amp;$A55,'4.1 关键词原始数据'!$A:$N,T$2,FALSE)=0," ",VLOOKUP($J$1&amp;$A55,'4.1 关键词原始数据'!$A:$N,T$2,FALSE))," ")</f>
        <v> </v>
      </c>
      <c r="L55" s="59" t="str">
        <f>_xlfn.IFNA(IF(VLOOKUP($J$1&amp;$A55,'4.1 关键词原始数据'!$A:$N,U$2,FALSE)=0," ",VLOOKUP($J$1&amp;$A55,'4.1 关键词原始数据'!$A:$N,U$2,FALSE))," ")</f>
        <v> </v>
      </c>
      <c r="M55" s="59" t="str">
        <f>_xlfn.IFNA(IF(VLOOKUP($J$1&amp;$A55,'4.1 关键词原始数据'!$A:$N,V$2,FALSE)=0," ",VLOOKUP($J$1&amp;$A55,'4.1 关键词原始数据'!$A:$N,V$2,FALSE))," ")</f>
        <v>5-12-1</v>
      </c>
      <c r="N55" s="59" t="str">
        <f>_xlfn.IFNA(IF(VLOOKUP($J$1&amp;$A55,'4.1 关键词原始数据'!$A:$N,W$2,FALSE)=0," ",VLOOKUP($J$1&amp;$A55,'4.1 关键词原始数据'!$A:$N,W$2,FALSE))," ")</f>
        <v> </v>
      </c>
      <c r="O55" s="59" t="str">
        <f>_xlfn.IFNA(IF(VLOOKUP($J$1&amp;$A55,'4.1 关键词原始数据'!$A:$N,X$2,FALSE)=0," ",VLOOKUP($J$1&amp;$A55,'4.1 关键词原始数据'!$A:$N,X$2,FALSE))," ")</f>
        <v> </v>
      </c>
      <c r="P55" s="59" t="str">
        <f>_xlfn.IFNA(IF(VLOOKUP($J$1&amp;$A55,'4.1 关键词原始数据'!$A:$N,Y$2,FALSE)=0," ",VLOOKUP($J$1&amp;$A55,'4.1 关键词原始数据'!$A:$N,Y$2,FALSE))," ")</f>
        <v> </v>
      </c>
      <c r="Q55" s="59" t="str">
        <f>_xlfn.IFNA(IF(VLOOKUP($J$1&amp;$A55,'4.1 关键词原始数据'!$A:$N,Z$2,FALSE)=0," ",VLOOKUP($J$1&amp;$A55,'4.1 关键词原始数据'!$A:$N,Z$2,FALSE))," ")</f>
        <v> </v>
      </c>
    </row>
    <row r="56" ht="17.4" spans="1:17">
      <c r="A56" s="65" t="s">
        <v>540</v>
      </c>
      <c r="B56" s="59" t="str">
        <f>_xlfn.IFNA(IF(VLOOKUP($B$1&amp;$A56,'4.1 关键词原始数据'!$A:$N,S$2,FALSE)=0," ",VLOOKUP($B$1&amp;$A56,'4.1 关键词原始数据'!$A:$N,S$2,FALSE))," ")</f>
        <v> </v>
      </c>
      <c r="C56" s="59" t="str">
        <f>_xlfn.IFNA(IF(VLOOKUP($B$1&amp;$A56,'4.1 关键词原始数据'!$A:$N,T$2,FALSE)=0," ",VLOOKUP($B$1&amp;$A56,'4.1 关键词原始数据'!$A:$N,T$2,FALSE))," ")</f>
        <v>4-13-4</v>
      </c>
      <c r="D56" s="59" t="str">
        <f>_xlfn.IFNA(IF(VLOOKUP($B$1&amp;$A56,'4.1 关键词原始数据'!$A:$N,U$2,FALSE)=0," ",VLOOKUP($B$1&amp;$A56,'4.1 关键词原始数据'!$A:$N,U$2,FALSE))," ")</f>
        <v> </v>
      </c>
      <c r="E56" s="59" t="str">
        <f>_xlfn.IFNA(IF(VLOOKUP($B$1&amp;$A56,'4.1 关键词原始数据'!$A:$N,V$2,FALSE)=0," ",VLOOKUP($B$1&amp;$A56,'4.1 关键词原始数据'!$A:$N,V$2,FALSE))," ")</f>
        <v> </v>
      </c>
      <c r="F56" s="59" t="str">
        <f>_xlfn.IFNA(IF(VLOOKUP($B$1&amp;$A56,'4.1 关键词原始数据'!$A:$N,W$2,FALSE)=0," ",VLOOKUP($B$1&amp;$A56,'4.1 关键词原始数据'!$A:$N,W$2,FALSE))," ")</f>
        <v> </v>
      </c>
      <c r="G56" s="59" t="str">
        <f>_xlfn.IFNA(IF(VLOOKUP($B$1&amp;$A56,'4.1 关键词原始数据'!$A:$N,X$2,FALSE)=0," ",VLOOKUP($B$1&amp;$A56,'4.1 关键词原始数据'!$A:$N,X$2,FALSE))," ")</f>
        <v>1-13-4</v>
      </c>
      <c r="H56" s="59" t="str">
        <f>_xlfn.IFNA(IF(VLOOKUP($B$1&amp;$A56,'4.1 关键词原始数据'!$A:$N,Y$2,FALSE)=0," ",VLOOKUP($B$1&amp;$A56,'4.1 关键词原始数据'!$A:$N,Y$2,FALSE))," ")</f>
        <v> </v>
      </c>
      <c r="I56" s="59" t="str">
        <f>_xlfn.IFNA(IF(VLOOKUP($B$1&amp;$A56,'4.1 关键词原始数据'!$A:$N,Z$2,FALSE)=0," ",VLOOKUP($B$1&amp;$A56,'4.1 关键词原始数据'!$A:$N,Z$2,FALSE))," ")</f>
        <v> </v>
      </c>
      <c r="J56" s="59" t="str">
        <f>_xlfn.IFNA(IF(VLOOKUP($J$1&amp;$A56,'4.1 关键词原始数据'!$A:$N,S$2,FALSE)=0," ",VLOOKUP($J$1&amp;$A56,'4.1 关键词原始数据'!$A:$N,S$2,FALSE))," ")</f>
        <v> </v>
      </c>
      <c r="K56" s="59" t="str">
        <f>_xlfn.IFNA(IF(VLOOKUP($J$1&amp;$A56,'4.1 关键词原始数据'!$A:$N,T$2,FALSE)=0," ",VLOOKUP($J$1&amp;$A56,'4.1 关键词原始数据'!$A:$N,T$2,FALSE))," ")</f>
        <v> </v>
      </c>
      <c r="L56" s="59" t="str">
        <f>_xlfn.IFNA(IF(VLOOKUP($J$1&amp;$A56,'4.1 关键词原始数据'!$A:$N,U$2,FALSE)=0," ",VLOOKUP($J$1&amp;$A56,'4.1 关键词原始数据'!$A:$N,U$2,FALSE))," ")</f>
        <v> </v>
      </c>
      <c r="M56" s="59" t="str">
        <f>_xlfn.IFNA(IF(VLOOKUP($J$1&amp;$A56,'4.1 关键词原始数据'!$A:$N,V$2,FALSE)=0," ",VLOOKUP($J$1&amp;$A56,'4.1 关键词原始数据'!$A:$N,V$2,FALSE))," ")</f>
        <v>6-11-5</v>
      </c>
      <c r="N56" s="59" t="str">
        <f>_xlfn.IFNA(IF(VLOOKUP($J$1&amp;$A56,'4.1 关键词原始数据'!$A:$N,W$2,FALSE)=0," ",VLOOKUP($J$1&amp;$A56,'4.1 关键词原始数据'!$A:$N,W$2,FALSE))," ")</f>
        <v> </v>
      </c>
      <c r="O56" s="59" t="str">
        <f>_xlfn.IFNA(IF(VLOOKUP($J$1&amp;$A56,'4.1 关键词原始数据'!$A:$N,X$2,FALSE)=0," ",VLOOKUP($J$1&amp;$A56,'4.1 关键词原始数据'!$A:$N,X$2,FALSE))," ")</f>
        <v> </v>
      </c>
      <c r="P56" s="59" t="str">
        <f>_xlfn.IFNA(IF(VLOOKUP($J$1&amp;$A56,'4.1 关键词原始数据'!$A:$N,Y$2,FALSE)=0," ",VLOOKUP($J$1&amp;$A56,'4.1 关键词原始数据'!$A:$N,Y$2,FALSE))," ")</f>
        <v> </v>
      </c>
      <c r="Q56" s="59" t="str">
        <f>_xlfn.IFNA(IF(VLOOKUP($J$1&amp;$A56,'4.1 关键词原始数据'!$A:$N,Z$2,FALSE)=0," ",VLOOKUP($J$1&amp;$A56,'4.1 关键词原始数据'!$A:$N,Z$2,FALSE))," ")</f>
        <v> </v>
      </c>
    </row>
    <row r="57" ht="17.4" spans="1:17">
      <c r="A57" s="65" t="s">
        <v>541</v>
      </c>
      <c r="B57" s="59" t="str">
        <f>_xlfn.IFNA(IF(VLOOKUP($B$1&amp;$A57,'4.1 关键词原始数据'!$A:$N,S$2,FALSE)=0," ",VLOOKUP($B$1&amp;$A57,'4.1 关键词原始数据'!$A:$N,S$2,FALSE))," ")</f>
        <v> </v>
      </c>
      <c r="C57" s="59" t="str">
        <f>_xlfn.IFNA(IF(VLOOKUP($B$1&amp;$A57,'4.1 关键词原始数据'!$A:$N,T$2,FALSE)=0," ",VLOOKUP($B$1&amp;$A57,'4.1 关键词原始数据'!$A:$N,T$2,FALSE))," ")</f>
        <v>4-12-3</v>
      </c>
      <c r="D57" s="59" t="str">
        <f>_xlfn.IFNA(IF(VLOOKUP($B$1&amp;$A57,'4.1 关键词原始数据'!$A:$N,U$2,FALSE)=0," ",VLOOKUP($B$1&amp;$A57,'4.1 关键词原始数据'!$A:$N,U$2,FALSE))," ")</f>
        <v> </v>
      </c>
      <c r="E57" s="59" t="str">
        <f>_xlfn.IFNA(IF(VLOOKUP($B$1&amp;$A57,'4.1 关键词原始数据'!$A:$N,V$2,FALSE)=0," ",VLOOKUP($B$1&amp;$A57,'4.1 关键词原始数据'!$A:$N,V$2,FALSE))," ")</f>
        <v> </v>
      </c>
      <c r="F57" s="59" t="str">
        <f>_xlfn.IFNA(IF(VLOOKUP($B$1&amp;$A57,'4.1 关键词原始数据'!$A:$N,W$2,FALSE)=0," ",VLOOKUP($B$1&amp;$A57,'4.1 关键词原始数据'!$A:$N,W$2,FALSE))," ")</f>
        <v> </v>
      </c>
      <c r="G57" s="59" t="str">
        <f>_xlfn.IFNA(IF(VLOOKUP($B$1&amp;$A57,'4.1 关键词原始数据'!$A:$N,X$2,FALSE)=0," ",VLOOKUP($B$1&amp;$A57,'4.1 关键词原始数据'!$A:$N,X$2,FALSE))," ")</f>
        <v>1-13-1</v>
      </c>
      <c r="H57" s="59" t="str">
        <f>_xlfn.IFNA(IF(VLOOKUP($B$1&amp;$A57,'4.1 关键词原始数据'!$A:$N,Y$2,FALSE)=0," ",VLOOKUP($B$1&amp;$A57,'4.1 关键词原始数据'!$A:$N,Y$2,FALSE))," ")</f>
        <v> </v>
      </c>
      <c r="I57" s="59" t="str">
        <f>_xlfn.IFNA(IF(VLOOKUP($B$1&amp;$A57,'4.1 关键词原始数据'!$A:$N,Z$2,FALSE)=0," ",VLOOKUP($B$1&amp;$A57,'4.1 关键词原始数据'!$A:$N,Z$2,FALSE))," ")</f>
        <v> </v>
      </c>
      <c r="J57" s="59" t="str">
        <f>_xlfn.IFNA(IF(VLOOKUP($J$1&amp;$A57,'4.1 关键词原始数据'!$A:$N,S$2,FALSE)=0," ",VLOOKUP($J$1&amp;$A57,'4.1 关键词原始数据'!$A:$N,S$2,FALSE))," ")</f>
        <v> </v>
      </c>
      <c r="K57" s="59" t="str">
        <f>_xlfn.IFNA(IF(VLOOKUP($J$1&amp;$A57,'4.1 关键词原始数据'!$A:$N,T$2,FALSE)=0," ",VLOOKUP($J$1&amp;$A57,'4.1 关键词原始数据'!$A:$N,T$2,FALSE))," ")</f>
        <v> </v>
      </c>
      <c r="L57" s="59" t="str">
        <f>_xlfn.IFNA(IF(VLOOKUP($J$1&amp;$A57,'4.1 关键词原始数据'!$A:$N,U$2,FALSE)=0," ",VLOOKUP($J$1&amp;$A57,'4.1 关键词原始数据'!$A:$N,U$2,FALSE))," ")</f>
        <v> </v>
      </c>
      <c r="M57" s="59" t="str">
        <f>_xlfn.IFNA(IF(VLOOKUP($J$1&amp;$A57,'4.1 关键词原始数据'!$A:$N,V$2,FALSE)=0," ",VLOOKUP($J$1&amp;$A57,'4.1 关键词原始数据'!$A:$N,V$2,FALSE))," ")</f>
        <v>5-12-1</v>
      </c>
      <c r="N57" s="59" t="str">
        <f>_xlfn.IFNA(IF(VLOOKUP($J$1&amp;$A57,'4.1 关键词原始数据'!$A:$N,W$2,FALSE)=0," ",VLOOKUP($J$1&amp;$A57,'4.1 关键词原始数据'!$A:$N,W$2,FALSE))," ")</f>
        <v> </v>
      </c>
      <c r="O57" s="59" t="str">
        <f>_xlfn.IFNA(IF(VLOOKUP($J$1&amp;$A57,'4.1 关键词原始数据'!$A:$N,X$2,FALSE)=0," ",VLOOKUP($J$1&amp;$A57,'4.1 关键词原始数据'!$A:$N,X$2,FALSE))," ")</f>
        <v> </v>
      </c>
      <c r="P57" s="59" t="str">
        <f>_xlfn.IFNA(IF(VLOOKUP($J$1&amp;$A57,'4.1 关键词原始数据'!$A:$N,Y$2,FALSE)=0," ",VLOOKUP($J$1&amp;$A57,'4.1 关键词原始数据'!$A:$N,Y$2,FALSE))," ")</f>
        <v> </v>
      </c>
      <c r="Q57" s="59" t="str">
        <f>_xlfn.IFNA(IF(VLOOKUP($J$1&amp;$A57,'4.1 关键词原始数据'!$A:$N,Z$2,FALSE)=0," ",VLOOKUP($J$1&amp;$A57,'4.1 关键词原始数据'!$A:$N,Z$2,FALSE))," ")</f>
        <v> </v>
      </c>
    </row>
    <row r="58" ht="17.4" spans="1:17">
      <c r="A58" s="65" t="s">
        <v>542</v>
      </c>
      <c r="B58" s="59" t="str">
        <f>_xlfn.IFNA(IF(VLOOKUP($B$1&amp;$A58,'4.1 关键词原始数据'!$A:$N,S$2,FALSE)=0," ",VLOOKUP($B$1&amp;$A58,'4.1 关键词原始数据'!$A:$N,S$2,FALSE))," ")</f>
        <v> </v>
      </c>
      <c r="C58" s="59" t="str">
        <f>_xlfn.IFNA(IF(VLOOKUP($B$1&amp;$A58,'4.1 关键词原始数据'!$A:$N,T$2,FALSE)=0," ",VLOOKUP($B$1&amp;$A58,'4.1 关键词原始数据'!$A:$N,T$2,FALSE))," ")</f>
        <v>4-12-3</v>
      </c>
      <c r="D58" s="59" t="str">
        <f>_xlfn.IFNA(IF(VLOOKUP($B$1&amp;$A58,'4.1 关键词原始数据'!$A:$N,U$2,FALSE)=0," ",VLOOKUP($B$1&amp;$A58,'4.1 关键词原始数据'!$A:$N,U$2,FALSE))," ")</f>
        <v> </v>
      </c>
      <c r="E58" s="59" t="str">
        <f>_xlfn.IFNA(IF(VLOOKUP($B$1&amp;$A58,'4.1 关键词原始数据'!$A:$N,V$2,FALSE)=0," ",VLOOKUP($B$1&amp;$A58,'4.1 关键词原始数据'!$A:$N,V$2,FALSE))," ")</f>
        <v> </v>
      </c>
      <c r="F58" s="59" t="str">
        <f>_xlfn.IFNA(IF(VLOOKUP($B$1&amp;$A58,'4.1 关键词原始数据'!$A:$N,W$2,FALSE)=0," ",VLOOKUP($B$1&amp;$A58,'4.1 关键词原始数据'!$A:$N,W$2,FALSE))," ")</f>
        <v> </v>
      </c>
      <c r="G58" s="59" t="str">
        <f>_xlfn.IFNA(IF(VLOOKUP($B$1&amp;$A58,'4.1 关键词原始数据'!$A:$N,X$2,FALSE)=0," ",VLOOKUP($B$1&amp;$A58,'4.1 关键词原始数据'!$A:$N,X$2,FALSE))," ")</f>
        <v>1-12-2</v>
      </c>
      <c r="H58" s="59" t="str">
        <f>_xlfn.IFNA(IF(VLOOKUP($B$1&amp;$A58,'4.1 关键词原始数据'!$A:$N,Y$2,FALSE)=0," ",VLOOKUP($B$1&amp;$A58,'4.1 关键词原始数据'!$A:$N,Y$2,FALSE))," ")</f>
        <v> </v>
      </c>
      <c r="I58" s="59" t="str">
        <f>_xlfn.IFNA(IF(VLOOKUP($B$1&amp;$A58,'4.1 关键词原始数据'!$A:$N,Z$2,FALSE)=0," ",VLOOKUP($B$1&amp;$A58,'4.1 关键词原始数据'!$A:$N,Z$2,FALSE))," ")</f>
        <v> </v>
      </c>
      <c r="J58" s="59" t="str">
        <f>_xlfn.IFNA(IF(VLOOKUP($J$1&amp;$A58,'4.1 关键词原始数据'!$A:$N,S$2,FALSE)=0," ",VLOOKUP($J$1&amp;$A58,'4.1 关键词原始数据'!$A:$N,S$2,FALSE))," ")</f>
        <v> </v>
      </c>
      <c r="K58" s="59" t="str">
        <f>_xlfn.IFNA(IF(VLOOKUP($J$1&amp;$A58,'4.1 关键词原始数据'!$A:$N,T$2,FALSE)=0," ",VLOOKUP($J$1&amp;$A58,'4.1 关键词原始数据'!$A:$N,T$2,FALSE))," ")</f>
        <v> </v>
      </c>
      <c r="L58" s="59" t="str">
        <f>_xlfn.IFNA(IF(VLOOKUP($J$1&amp;$A58,'4.1 关键词原始数据'!$A:$N,U$2,FALSE)=0," ",VLOOKUP($J$1&amp;$A58,'4.1 关键词原始数据'!$A:$N,U$2,FALSE))," ")</f>
        <v> </v>
      </c>
      <c r="M58" s="59" t="str">
        <f>_xlfn.IFNA(IF(VLOOKUP($J$1&amp;$A58,'4.1 关键词原始数据'!$A:$N,V$2,FALSE)=0," ",VLOOKUP($J$1&amp;$A58,'4.1 关键词原始数据'!$A:$N,V$2,FALSE))," ")</f>
        <v>5-7-2</v>
      </c>
      <c r="N58" s="59" t="str">
        <f>_xlfn.IFNA(IF(VLOOKUP($J$1&amp;$A58,'4.1 关键词原始数据'!$A:$N,W$2,FALSE)=0," ",VLOOKUP($J$1&amp;$A58,'4.1 关键词原始数据'!$A:$N,W$2,FALSE))," ")</f>
        <v> </v>
      </c>
      <c r="O58" s="59" t="str">
        <f>_xlfn.IFNA(IF(VLOOKUP($J$1&amp;$A58,'4.1 关键词原始数据'!$A:$N,X$2,FALSE)=0," ",VLOOKUP($J$1&amp;$A58,'4.1 关键词原始数据'!$A:$N,X$2,FALSE))," ")</f>
        <v> </v>
      </c>
      <c r="P58" s="59" t="str">
        <f>_xlfn.IFNA(IF(VLOOKUP($J$1&amp;$A58,'4.1 关键词原始数据'!$A:$N,Y$2,FALSE)=0," ",VLOOKUP($J$1&amp;$A58,'4.1 关键词原始数据'!$A:$N,Y$2,FALSE))," ")</f>
        <v> </v>
      </c>
      <c r="Q58" s="59" t="str">
        <f>_xlfn.IFNA(IF(VLOOKUP($J$1&amp;$A58,'4.1 关键词原始数据'!$A:$N,Z$2,FALSE)=0," ",VLOOKUP($J$1&amp;$A58,'4.1 关键词原始数据'!$A:$N,Z$2,FALSE))," ")</f>
        <v> </v>
      </c>
    </row>
    <row r="59" ht="17.4" spans="1:17">
      <c r="A59" s="65" t="s">
        <v>543</v>
      </c>
      <c r="B59" s="59" t="str">
        <f>_xlfn.IFNA(IF(VLOOKUP($B$1&amp;$A59,'4.1 关键词原始数据'!$A:$N,S$2,FALSE)=0," ",VLOOKUP($B$1&amp;$A59,'4.1 关键词原始数据'!$A:$N,S$2,FALSE))," ")</f>
        <v> </v>
      </c>
      <c r="C59" s="59" t="str">
        <f>_xlfn.IFNA(IF(VLOOKUP($B$1&amp;$A59,'4.1 关键词原始数据'!$A:$N,T$2,FALSE)=0," ",VLOOKUP($B$1&amp;$A59,'4.1 关键词原始数据'!$A:$N,T$2,FALSE))," ")</f>
        <v>4-12-2</v>
      </c>
      <c r="D59" s="59" t="str">
        <f>_xlfn.IFNA(IF(VLOOKUP($B$1&amp;$A59,'4.1 关键词原始数据'!$A:$N,U$2,FALSE)=0," ",VLOOKUP($B$1&amp;$A59,'4.1 关键词原始数据'!$A:$N,U$2,FALSE))," ")</f>
        <v> </v>
      </c>
      <c r="E59" s="59" t="str">
        <f>_xlfn.IFNA(IF(VLOOKUP($B$1&amp;$A59,'4.1 关键词原始数据'!$A:$N,V$2,FALSE)=0," ",VLOOKUP($B$1&amp;$A59,'4.1 关键词原始数据'!$A:$N,V$2,FALSE))," ")</f>
        <v> </v>
      </c>
      <c r="F59" s="59" t="str">
        <f>_xlfn.IFNA(IF(VLOOKUP($B$1&amp;$A59,'4.1 关键词原始数据'!$A:$N,W$2,FALSE)=0," ",VLOOKUP($B$1&amp;$A59,'4.1 关键词原始数据'!$A:$N,W$2,FALSE))," ")</f>
        <v> </v>
      </c>
      <c r="G59" s="59" t="str">
        <f>_xlfn.IFNA(IF(VLOOKUP($B$1&amp;$A59,'4.1 关键词原始数据'!$A:$N,X$2,FALSE)=0," ",VLOOKUP($B$1&amp;$A59,'4.1 关键词原始数据'!$A:$N,X$2,FALSE))," ")</f>
        <v>1-11-4</v>
      </c>
      <c r="H59" s="59" t="str">
        <f>_xlfn.IFNA(IF(VLOOKUP($B$1&amp;$A59,'4.1 关键词原始数据'!$A:$N,Y$2,FALSE)=0," ",VLOOKUP($B$1&amp;$A59,'4.1 关键词原始数据'!$A:$N,Y$2,FALSE))," ")</f>
        <v> </v>
      </c>
      <c r="I59" s="59" t="str">
        <f>_xlfn.IFNA(IF(VLOOKUP($B$1&amp;$A59,'4.1 关键词原始数据'!$A:$N,Z$2,FALSE)=0," ",VLOOKUP($B$1&amp;$A59,'4.1 关键词原始数据'!$A:$N,Z$2,FALSE))," ")</f>
        <v> </v>
      </c>
      <c r="J59" s="59" t="str">
        <f>_xlfn.IFNA(IF(VLOOKUP($J$1&amp;$A59,'4.1 关键词原始数据'!$A:$N,S$2,FALSE)=0," ",VLOOKUP($J$1&amp;$A59,'4.1 关键词原始数据'!$A:$N,S$2,FALSE))," ")</f>
        <v> </v>
      </c>
      <c r="K59" s="59" t="str">
        <f>_xlfn.IFNA(IF(VLOOKUP($J$1&amp;$A59,'4.1 关键词原始数据'!$A:$N,T$2,FALSE)=0," ",VLOOKUP($J$1&amp;$A59,'4.1 关键词原始数据'!$A:$N,T$2,FALSE))," ")</f>
        <v> </v>
      </c>
      <c r="L59" s="59" t="str">
        <f>_xlfn.IFNA(IF(VLOOKUP($J$1&amp;$A59,'4.1 关键词原始数据'!$A:$N,U$2,FALSE)=0," ",VLOOKUP($J$1&amp;$A59,'4.1 关键词原始数据'!$A:$N,U$2,FALSE))," ")</f>
        <v> </v>
      </c>
      <c r="M59" s="59" t="str">
        <f>_xlfn.IFNA(IF(VLOOKUP($J$1&amp;$A59,'4.1 关键词原始数据'!$A:$N,V$2,FALSE)=0," ",VLOOKUP($J$1&amp;$A59,'4.1 关键词原始数据'!$A:$N,V$2,FALSE))," ")</f>
        <v>5-8-4</v>
      </c>
      <c r="N59" s="59" t="str">
        <f>_xlfn.IFNA(IF(VLOOKUP($J$1&amp;$A59,'4.1 关键词原始数据'!$A:$N,W$2,FALSE)=0," ",VLOOKUP($J$1&amp;$A59,'4.1 关键词原始数据'!$A:$N,W$2,FALSE))," ")</f>
        <v> </v>
      </c>
      <c r="O59" s="59" t="str">
        <f>_xlfn.IFNA(IF(VLOOKUP($J$1&amp;$A59,'4.1 关键词原始数据'!$A:$N,X$2,FALSE)=0," ",VLOOKUP($J$1&amp;$A59,'4.1 关键词原始数据'!$A:$N,X$2,FALSE))," ")</f>
        <v> </v>
      </c>
      <c r="P59" s="59" t="str">
        <f>_xlfn.IFNA(IF(VLOOKUP($J$1&amp;$A59,'4.1 关键词原始数据'!$A:$N,Y$2,FALSE)=0," ",VLOOKUP($J$1&amp;$A59,'4.1 关键词原始数据'!$A:$N,Y$2,FALSE))," ")</f>
        <v> </v>
      </c>
      <c r="Q59" s="59" t="str">
        <f>_xlfn.IFNA(IF(VLOOKUP($J$1&amp;$A59,'4.1 关键词原始数据'!$A:$N,Z$2,FALSE)=0," ",VLOOKUP($J$1&amp;$A59,'4.1 关键词原始数据'!$A:$N,Z$2,FALSE))," ")</f>
        <v> </v>
      </c>
    </row>
    <row r="60" ht="17.4" spans="1:17">
      <c r="A60" s="65" t="s">
        <v>544</v>
      </c>
      <c r="B60" s="59" t="str">
        <f>_xlfn.IFNA(IF(VLOOKUP($B$1&amp;$A60,'4.1 关键词原始数据'!$A:$N,S$2,FALSE)=0," ",VLOOKUP($B$1&amp;$A60,'4.1 关键词原始数据'!$A:$N,S$2,FALSE))," ")</f>
        <v> </v>
      </c>
      <c r="C60" s="59" t="str">
        <f>_xlfn.IFNA(IF(VLOOKUP($B$1&amp;$A60,'4.1 关键词原始数据'!$A:$N,T$2,FALSE)=0," ",VLOOKUP($B$1&amp;$A60,'4.1 关键词原始数据'!$A:$N,T$2,FALSE))," ")</f>
        <v>4-12-1</v>
      </c>
      <c r="D60" s="59" t="str">
        <f>_xlfn.IFNA(IF(VLOOKUP($B$1&amp;$A60,'4.1 关键词原始数据'!$A:$N,U$2,FALSE)=0," ",VLOOKUP($B$1&amp;$A60,'4.1 关键词原始数据'!$A:$N,U$2,FALSE))," ")</f>
        <v> </v>
      </c>
      <c r="E60" s="59" t="str">
        <f>_xlfn.IFNA(IF(VLOOKUP($B$1&amp;$A60,'4.1 关键词原始数据'!$A:$N,V$2,FALSE)=0," ",VLOOKUP($B$1&amp;$A60,'4.1 关键词原始数据'!$A:$N,V$2,FALSE))," ")</f>
        <v> </v>
      </c>
      <c r="F60" s="59" t="str">
        <f>_xlfn.IFNA(IF(VLOOKUP($B$1&amp;$A60,'4.1 关键词原始数据'!$A:$N,W$2,FALSE)=0," ",VLOOKUP($B$1&amp;$A60,'4.1 关键词原始数据'!$A:$N,W$2,FALSE))," ")</f>
        <v> </v>
      </c>
      <c r="G60" s="59" t="str">
        <f>_xlfn.IFNA(IF(VLOOKUP($B$1&amp;$A60,'4.1 关键词原始数据'!$A:$N,X$2,FALSE)=0," ",VLOOKUP($B$1&amp;$A60,'4.1 关键词原始数据'!$A:$N,X$2,FALSE))," ")</f>
        <v>1-12-2</v>
      </c>
      <c r="H60" s="59" t="str">
        <f>_xlfn.IFNA(IF(VLOOKUP($B$1&amp;$A60,'4.1 关键词原始数据'!$A:$N,Y$2,FALSE)=0," ",VLOOKUP($B$1&amp;$A60,'4.1 关键词原始数据'!$A:$N,Y$2,FALSE))," ")</f>
        <v> </v>
      </c>
      <c r="I60" s="59" t="str">
        <f>_xlfn.IFNA(IF(VLOOKUP($B$1&amp;$A60,'4.1 关键词原始数据'!$A:$N,Z$2,FALSE)=0," ",VLOOKUP($B$1&amp;$A60,'4.1 关键词原始数据'!$A:$N,Z$2,FALSE))," ")</f>
        <v> </v>
      </c>
      <c r="J60" s="59" t="str">
        <f>_xlfn.IFNA(IF(VLOOKUP($J$1&amp;$A60,'4.1 关键词原始数据'!$A:$N,S$2,FALSE)=0," ",VLOOKUP($J$1&amp;$A60,'4.1 关键词原始数据'!$A:$N,S$2,FALSE))," ")</f>
        <v> </v>
      </c>
      <c r="K60" s="59" t="str">
        <f>_xlfn.IFNA(IF(VLOOKUP($J$1&amp;$A60,'4.1 关键词原始数据'!$A:$N,T$2,FALSE)=0," ",VLOOKUP($J$1&amp;$A60,'4.1 关键词原始数据'!$A:$N,T$2,FALSE))," ")</f>
        <v> </v>
      </c>
      <c r="L60" s="59" t="str">
        <f>_xlfn.IFNA(IF(VLOOKUP($J$1&amp;$A60,'4.1 关键词原始数据'!$A:$N,U$2,FALSE)=0," ",VLOOKUP($J$1&amp;$A60,'4.1 关键词原始数据'!$A:$N,U$2,FALSE))," ")</f>
        <v> </v>
      </c>
      <c r="M60" s="59" t="str">
        <f>_xlfn.IFNA(IF(VLOOKUP($J$1&amp;$A60,'4.1 关键词原始数据'!$A:$N,V$2,FALSE)=0," ",VLOOKUP($J$1&amp;$A60,'4.1 关键词原始数据'!$A:$N,V$2,FALSE))," ")</f>
        <v>5-9-5</v>
      </c>
      <c r="N60" s="59" t="str">
        <f>_xlfn.IFNA(IF(VLOOKUP($J$1&amp;$A60,'4.1 关键词原始数据'!$A:$N,W$2,FALSE)=0," ",VLOOKUP($J$1&amp;$A60,'4.1 关键词原始数据'!$A:$N,W$2,FALSE))," ")</f>
        <v> </v>
      </c>
      <c r="O60" s="59" t="str">
        <f>_xlfn.IFNA(IF(VLOOKUP($J$1&amp;$A60,'4.1 关键词原始数据'!$A:$N,X$2,FALSE)=0," ",VLOOKUP($J$1&amp;$A60,'4.1 关键词原始数据'!$A:$N,X$2,FALSE))," ")</f>
        <v> </v>
      </c>
      <c r="P60" s="59" t="str">
        <f>_xlfn.IFNA(IF(VLOOKUP($J$1&amp;$A60,'4.1 关键词原始数据'!$A:$N,Y$2,FALSE)=0," ",VLOOKUP($J$1&amp;$A60,'4.1 关键词原始数据'!$A:$N,Y$2,FALSE))," ")</f>
        <v> </v>
      </c>
      <c r="Q60" s="59" t="str">
        <f>_xlfn.IFNA(IF(VLOOKUP($J$1&amp;$A60,'4.1 关键词原始数据'!$A:$N,Z$2,FALSE)=0," ",VLOOKUP($J$1&amp;$A60,'4.1 关键词原始数据'!$A:$N,Z$2,FALSE))," ")</f>
        <v> </v>
      </c>
    </row>
    <row r="61" ht="17.4" spans="1:17">
      <c r="A61" s="65" t="s">
        <v>545</v>
      </c>
      <c r="B61" s="59" t="str">
        <f>_xlfn.IFNA(IF(VLOOKUP($B$1&amp;$A61,'4.1 关键词原始数据'!$A:$N,S$2,FALSE)=0," ",VLOOKUP($B$1&amp;$A61,'4.1 关键词原始数据'!$A:$N,S$2,FALSE))," ")</f>
        <v> </v>
      </c>
      <c r="C61" s="59" t="str">
        <f>_xlfn.IFNA(IF(VLOOKUP($B$1&amp;$A61,'4.1 关键词原始数据'!$A:$N,T$2,FALSE)=0," ",VLOOKUP($B$1&amp;$A61,'4.1 关键词原始数据'!$A:$N,T$2,FALSE))," ")</f>
        <v>4-14-1</v>
      </c>
      <c r="D61" s="59" t="str">
        <f>_xlfn.IFNA(IF(VLOOKUP($B$1&amp;$A61,'4.1 关键词原始数据'!$A:$N,U$2,FALSE)=0," ",VLOOKUP($B$1&amp;$A61,'4.1 关键词原始数据'!$A:$N,U$2,FALSE))," ")</f>
        <v> </v>
      </c>
      <c r="E61" s="59" t="str">
        <f>_xlfn.IFNA(IF(VLOOKUP($B$1&amp;$A61,'4.1 关键词原始数据'!$A:$N,V$2,FALSE)=0," ",VLOOKUP($B$1&amp;$A61,'4.1 关键词原始数据'!$A:$N,V$2,FALSE))," ")</f>
        <v> </v>
      </c>
      <c r="F61" s="59" t="str">
        <f>_xlfn.IFNA(IF(VLOOKUP($B$1&amp;$A61,'4.1 关键词原始数据'!$A:$N,W$2,FALSE)=0," ",VLOOKUP($B$1&amp;$A61,'4.1 关键词原始数据'!$A:$N,W$2,FALSE))," ")</f>
        <v> </v>
      </c>
      <c r="G61" s="59" t="str">
        <f>_xlfn.IFNA(IF(VLOOKUP($B$1&amp;$A61,'4.1 关键词原始数据'!$A:$N,X$2,FALSE)=0," ",VLOOKUP($B$1&amp;$A61,'4.1 关键词原始数据'!$A:$N,X$2,FALSE))," ")</f>
        <v>1-12-1</v>
      </c>
      <c r="H61" s="59" t="str">
        <f>_xlfn.IFNA(IF(VLOOKUP($B$1&amp;$A61,'4.1 关键词原始数据'!$A:$N,Y$2,FALSE)=0," ",VLOOKUP($B$1&amp;$A61,'4.1 关键词原始数据'!$A:$N,Y$2,FALSE))," ")</f>
        <v> </v>
      </c>
      <c r="I61" s="59" t="str">
        <f>_xlfn.IFNA(IF(VLOOKUP($B$1&amp;$A61,'4.1 关键词原始数据'!$A:$N,Z$2,FALSE)=0," ",VLOOKUP($B$1&amp;$A61,'4.1 关键词原始数据'!$A:$N,Z$2,FALSE))," ")</f>
        <v> </v>
      </c>
      <c r="J61" s="59" t="str">
        <f>_xlfn.IFNA(IF(VLOOKUP($J$1&amp;$A61,'4.1 关键词原始数据'!$A:$N,S$2,FALSE)=0," ",VLOOKUP($J$1&amp;$A61,'4.1 关键词原始数据'!$A:$N,S$2,FALSE))," ")</f>
        <v> </v>
      </c>
      <c r="K61" s="59" t="str">
        <f>_xlfn.IFNA(IF(VLOOKUP($J$1&amp;$A61,'4.1 关键词原始数据'!$A:$N,T$2,FALSE)=0," ",VLOOKUP($J$1&amp;$A61,'4.1 关键词原始数据'!$A:$N,T$2,FALSE))," ")</f>
        <v> </v>
      </c>
      <c r="L61" s="59" t="str">
        <f>_xlfn.IFNA(IF(VLOOKUP($J$1&amp;$A61,'4.1 关键词原始数据'!$A:$N,U$2,FALSE)=0," ",VLOOKUP($J$1&amp;$A61,'4.1 关键词原始数据'!$A:$N,U$2,FALSE))," ")</f>
        <v> </v>
      </c>
      <c r="M61" s="59" t="str">
        <f>_xlfn.IFNA(IF(VLOOKUP($J$1&amp;$A61,'4.1 关键词原始数据'!$A:$N,V$2,FALSE)=0," ",VLOOKUP($J$1&amp;$A61,'4.1 关键词原始数据'!$A:$N,V$2,FALSE))," ")</f>
        <v>6-2-2</v>
      </c>
      <c r="N61" s="59" t="str">
        <f>_xlfn.IFNA(IF(VLOOKUP($J$1&amp;$A61,'4.1 关键词原始数据'!$A:$N,W$2,FALSE)=0," ",VLOOKUP($J$1&amp;$A61,'4.1 关键词原始数据'!$A:$N,W$2,FALSE))," ")</f>
        <v> </v>
      </c>
      <c r="O61" s="59" t="str">
        <f>_xlfn.IFNA(IF(VLOOKUP($J$1&amp;$A61,'4.1 关键词原始数据'!$A:$N,X$2,FALSE)=0," ",VLOOKUP($J$1&amp;$A61,'4.1 关键词原始数据'!$A:$N,X$2,FALSE))," ")</f>
        <v> </v>
      </c>
      <c r="P61" s="59" t="str">
        <f>_xlfn.IFNA(IF(VLOOKUP($J$1&amp;$A61,'4.1 关键词原始数据'!$A:$N,Y$2,FALSE)=0," ",VLOOKUP($J$1&amp;$A61,'4.1 关键词原始数据'!$A:$N,Y$2,FALSE))," ")</f>
        <v> </v>
      </c>
      <c r="Q61" s="59" t="str">
        <f>_xlfn.IFNA(IF(VLOOKUP($J$1&amp;$A61,'4.1 关键词原始数据'!$A:$N,Z$2,FALSE)=0," ",VLOOKUP($J$1&amp;$A61,'4.1 关键词原始数据'!$A:$N,Z$2,FALSE))," ")</f>
        <v> </v>
      </c>
    </row>
    <row r="62" ht="17.4" spans="1:17">
      <c r="A62" s="65" t="s">
        <v>546</v>
      </c>
      <c r="B62" s="59" t="str">
        <f>_xlfn.IFNA(IF(VLOOKUP($B$1&amp;$A62,'4.1 关键词原始数据'!$A:$N,S$2,FALSE)=0," ",VLOOKUP($B$1&amp;$A62,'4.1 关键词原始数据'!$A:$N,S$2,FALSE))," ")</f>
        <v> </v>
      </c>
      <c r="C62" s="59" t="str">
        <f>_xlfn.IFNA(IF(VLOOKUP($B$1&amp;$A62,'4.1 关键词原始数据'!$A:$N,T$2,FALSE)=0," ",VLOOKUP($B$1&amp;$A62,'4.1 关键词原始数据'!$A:$N,T$2,FALSE))," ")</f>
        <v>4-12-1</v>
      </c>
      <c r="D62" s="59" t="str">
        <f>_xlfn.IFNA(IF(VLOOKUP($B$1&amp;$A62,'4.1 关键词原始数据'!$A:$N,U$2,FALSE)=0," ",VLOOKUP($B$1&amp;$A62,'4.1 关键词原始数据'!$A:$N,U$2,FALSE))," ")</f>
        <v> </v>
      </c>
      <c r="E62" s="59" t="str">
        <f>_xlfn.IFNA(IF(VLOOKUP($B$1&amp;$A62,'4.1 关键词原始数据'!$A:$N,V$2,FALSE)=0," ",VLOOKUP($B$1&amp;$A62,'4.1 关键词原始数据'!$A:$N,V$2,FALSE))," ")</f>
        <v> </v>
      </c>
      <c r="F62" s="59" t="str">
        <f>_xlfn.IFNA(IF(VLOOKUP($B$1&amp;$A62,'4.1 关键词原始数据'!$A:$N,W$2,FALSE)=0," ",VLOOKUP($B$1&amp;$A62,'4.1 关键词原始数据'!$A:$N,W$2,FALSE))," ")</f>
        <v> </v>
      </c>
      <c r="G62" s="59" t="str">
        <f>_xlfn.IFNA(IF(VLOOKUP($B$1&amp;$A62,'4.1 关键词原始数据'!$A:$N,X$2,FALSE)=0," ",VLOOKUP($B$1&amp;$A62,'4.1 关键词原始数据'!$A:$N,X$2,FALSE))," ")</f>
        <v>1-13-3</v>
      </c>
      <c r="H62" s="59" t="str">
        <f>_xlfn.IFNA(IF(VLOOKUP($B$1&amp;$A62,'4.1 关键词原始数据'!$A:$N,Y$2,FALSE)=0," ",VLOOKUP($B$1&amp;$A62,'4.1 关键词原始数据'!$A:$N,Y$2,FALSE))," ")</f>
        <v> </v>
      </c>
      <c r="I62" s="59" t="str">
        <f>_xlfn.IFNA(IF(VLOOKUP($B$1&amp;$A62,'4.1 关键词原始数据'!$A:$N,Z$2,FALSE)=0," ",VLOOKUP($B$1&amp;$A62,'4.1 关键词原始数据'!$A:$N,Z$2,FALSE))," ")</f>
        <v> </v>
      </c>
      <c r="J62" s="59" t="str">
        <f>_xlfn.IFNA(IF(VLOOKUP($J$1&amp;$A62,'4.1 关键词原始数据'!$A:$N,S$2,FALSE)=0," ",VLOOKUP($J$1&amp;$A62,'4.1 关键词原始数据'!$A:$N,S$2,FALSE))," ")</f>
        <v> </v>
      </c>
      <c r="K62" s="59" t="str">
        <f>_xlfn.IFNA(IF(VLOOKUP($J$1&amp;$A62,'4.1 关键词原始数据'!$A:$N,T$2,FALSE)=0," ",VLOOKUP($J$1&amp;$A62,'4.1 关键词原始数据'!$A:$N,T$2,FALSE))," ")</f>
        <v> </v>
      </c>
      <c r="L62" s="59" t="str">
        <f>_xlfn.IFNA(IF(VLOOKUP($J$1&amp;$A62,'4.1 关键词原始数据'!$A:$N,U$2,FALSE)=0," ",VLOOKUP($J$1&amp;$A62,'4.1 关键词原始数据'!$A:$N,U$2,FALSE))," ")</f>
        <v> </v>
      </c>
      <c r="M62" s="59" t="str">
        <f>_xlfn.IFNA(IF(VLOOKUP($J$1&amp;$A62,'4.1 关键词原始数据'!$A:$N,V$2,FALSE)=0," ",VLOOKUP($J$1&amp;$A62,'4.1 关键词原始数据'!$A:$N,V$2,FALSE))," ")</f>
        <v>5-10-1</v>
      </c>
      <c r="N62" s="59" t="str">
        <f>_xlfn.IFNA(IF(VLOOKUP($J$1&amp;$A62,'4.1 关键词原始数据'!$A:$N,W$2,FALSE)=0," ",VLOOKUP($J$1&amp;$A62,'4.1 关键词原始数据'!$A:$N,W$2,FALSE))," ")</f>
        <v> </v>
      </c>
      <c r="O62" s="59" t="str">
        <f>_xlfn.IFNA(IF(VLOOKUP($J$1&amp;$A62,'4.1 关键词原始数据'!$A:$N,X$2,FALSE)=0," ",VLOOKUP($J$1&amp;$A62,'4.1 关键词原始数据'!$A:$N,X$2,FALSE))," ")</f>
        <v> </v>
      </c>
      <c r="P62" s="59" t="str">
        <f>_xlfn.IFNA(IF(VLOOKUP($J$1&amp;$A62,'4.1 关键词原始数据'!$A:$N,Y$2,FALSE)=0," ",VLOOKUP($J$1&amp;$A62,'4.1 关键词原始数据'!$A:$N,Y$2,FALSE))," ")</f>
        <v> </v>
      </c>
      <c r="Q62" s="59" t="str">
        <f>_xlfn.IFNA(IF(VLOOKUP($J$1&amp;$A62,'4.1 关键词原始数据'!$A:$N,Z$2,FALSE)=0," ",VLOOKUP($J$1&amp;$A62,'4.1 关键词原始数据'!$A:$N,Z$2,FALSE))," ")</f>
        <v> </v>
      </c>
    </row>
    <row r="63" ht="17.4" spans="1:17">
      <c r="A63" s="65" t="s">
        <v>547</v>
      </c>
      <c r="B63" s="59" t="str">
        <f>_xlfn.IFNA(IF(VLOOKUP($B$1&amp;$A63,'4.1 关键词原始数据'!$A:$N,S$2,FALSE)=0," ",VLOOKUP($B$1&amp;$A63,'4.1 关键词原始数据'!$A:$N,S$2,FALSE))," ")</f>
        <v> </v>
      </c>
      <c r="C63" s="59" t="str">
        <f>_xlfn.IFNA(IF(VLOOKUP($B$1&amp;$A63,'4.1 关键词原始数据'!$A:$N,T$2,FALSE)=0," ",VLOOKUP($B$1&amp;$A63,'4.1 关键词原始数据'!$A:$N,T$2,FALSE))," ")</f>
        <v>4-12-1</v>
      </c>
      <c r="D63" s="59" t="str">
        <f>_xlfn.IFNA(IF(VLOOKUP($B$1&amp;$A63,'4.1 关键词原始数据'!$A:$N,U$2,FALSE)=0," ",VLOOKUP($B$1&amp;$A63,'4.1 关键词原始数据'!$A:$N,U$2,FALSE))," ")</f>
        <v> </v>
      </c>
      <c r="E63" s="59" t="str">
        <f>_xlfn.IFNA(IF(VLOOKUP($B$1&amp;$A63,'4.1 关键词原始数据'!$A:$N,V$2,FALSE)=0," ",VLOOKUP($B$1&amp;$A63,'4.1 关键词原始数据'!$A:$N,V$2,FALSE))," ")</f>
        <v> </v>
      </c>
      <c r="F63" s="59" t="str">
        <f>_xlfn.IFNA(IF(VLOOKUP($B$1&amp;$A63,'4.1 关键词原始数据'!$A:$N,W$2,FALSE)=0," ",VLOOKUP($B$1&amp;$A63,'4.1 关键词原始数据'!$A:$N,W$2,FALSE))," ")</f>
        <v> </v>
      </c>
      <c r="G63" s="59" t="str">
        <f>_xlfn.IFNA(IF(VLOOKUP($B$1&amp;$A63,'4.1 关键词原始数据'!$A:$N,X$2,FALSE)=0," ",VLOOKUP($B$1&amp;$A63,'4.1 关键词原始数据'!$A:$N,X$2,FALSE))," ")</f>
        <v>1-9-4</v>
      </c>
      <c r="H63" s="59" t="str">
        <f>_xlfn.IFNA(IF(VLOOKUP($B$1&amp;$A63,'4.1 关键词原始数据'!$A:$N,Y$2,FALSE)=0," ",VLOOKUP($B$1&amp;$A63,'4.1 关键词原始数据'!$A:$N,Y$2,FALSE))," ")</f>
        <v> </v>
      </c>
      <c r="I63" s="59" t="str">
        <f>_xlfn.IFNA(IF(VLOOKUP($B$1&amp;$A63,'4.1 关键词原始数据'!$A:$N,Z$2,FALSE)=0," ",VLOOKUP($B$1&amp;$A63,'4.1 关键词原始数据'!$A:$N,Z$2,FALSE))," ")</f>
        <v> </v>
      </c>
      <c r="J63" s="59" t="str">
        <f>_xlfn.IFNA(IF(VLOOKUP($J$1&amp;$A63,'4.1 关键词原始数据'!$A:$N,S$2,FALSE)=0," ",VLOOKUP($J$1&amp;$A63,'4.1 关键词原始数据'!$A:$N,S$2,FALSE))," ")</f>
        <v> </v>
      </c>
      <c r="K63" s="59" t="str">
        <f>_xlfn.IFNA(IF(VLOOKUP($J$1&amp;$A63,'4.1 关键词原始数据'!$A:$N,T$2,FALSE)=0," ",VLOOKUP($J$1&amp;$A63,'4.1 关键词原始数据'!$A:$N,T$2,FALSE))," ")</f>
        <v> </v>
      </c>
      <c r="L63" s="59" t="str">
        <f>_xlfn.IFNA(IF(VLOOKUP($J$1&amp;$A63,'4.1 关键词原始数据'!$A:$N,U$2,FALSE)=0," ",VLOOKUP($J$1&amp;$A63,'4.1 关键词原始数据'!$A:$N,U$2,FALSE))," ")</f>
        <v> </v>
      </c>
      <c r="M63" s="59" t="str">
        <f>_xlfn.IFNA(IF(VLOOKUP($J$1&amp;$A63,'4.1 关键词原始数据'!$A:$N,V$2,FALSE)=0," ",VLOOKUP($J$1&amp;$A63,'4.1 关键词原始数据'!$A:$N,V$2,FALSE))," ")</f>
        <v> </v>
      </c>
      <c r="N63" s="59" t="str">
        <f>_xlfn.IFNA(IF(VLOOKUP($J$1&amp;$A63,'4.1 关键词原始数据'!$A:$N,W$2,FALSE)=0," ",VLOOKUP($J$1&amp;$A63,'4.1 关键词原始数据'!$A:$N,W$2,FALSE))," ")</f>
        <v> </v>
      </c>
      <c r="O63" s="59" t="str">
        <f>_xlfn.IFNA(IF(VLOOKUP($J$1&amp;$A63,'4.1 关键词原始数据'!$A:$N,X$2,FALSE)=0," ",VLOOKUP($J$1&amp;$A63,'4.1 关键词原始数据'!$A:$N,X$2,FALSE))," ")</f>
        <v> </v>
      </c>
      <c r="P63" s="59" t="str">
        <f>_xlfn.IFNA(IF(VLOOKUP($J$1&amp;$A63,'4.1 关键词原始数据'!$A:$N,Y$2,FALSE)=0," ",VLOOKUP($J$1&amp;$A63,'4.1 关键词原始数据'!$A:$N,Y$2,FALSE))," ")</f>
        <v> </v>
      </c>
      <c r="Q63" s="59" t="str">
        <f>_xlfn.IFNA(IF(VLOOKUP($J$1&amp;$A63,'4.1 关键词原始数据'!$A:$N,Z$2,FALSE)=0," ",VLOOKUP($J$1&amp;$A63,'4.1 关键词原始数据'!$A:$N,Z$2,FALSE))," ")</f>
        <v> </v>
      </c>
    </row>
    <row r="64" ht="17.4" spans="1:17">
      <c r="A64" s="65" t="s">
        <v>548</v>
      </c>
      <c r="B64" s="59" t="str">
        <f>_xlfn.IFNA(IF(VLOOKUP($B$1&amp;$A64,'4.1 关键词原始数据'!$A:$N,S$2,FALSE)=0," ",VLOOKUP($B$1&amp;$A64,'4.1 关键词原始数据'!$A:$N,S$2,FALSE))," ")</f>
        <v> </v>
      </c>
      <c r="C64" s="59" t="str">
        <f>_xlfn.IFNA(IF(VLOOKUP($B$1&amp;$A64,'4.1 关键词原始数据'!$A:$N,T$2,FALSE)=0," ",VLOOKUP($B$1&amp;$A64,'4.1 关键词原始数据'!$A:$N,T$2,FALSE))," ")</f>
        <v>4-12-3</v>
      </c>
      <c r="D64" s="59" t="str">
        <f>_xlfn.IFNA(IF(VLOOKUP($B$1&amp;$A64,'4.1 关键词原始数据'!$A:$N,U$2,FALSE)=0," ",VLOOKUP($B$1&amp;$A64,'4.1 关键词原始数据'!$A:$N,U$2,FALSE))," ")</f>
        <v> </v>
      </c>
      <c r="E64" s="59" t="str">
        <f>_xlfn.IFNA(IF(VLOOKUP($B$1&amp;$A64,'4.1 关键词原始数据'!$A:$N,V$2,FALSE)=0," ",VLOOKUP($B$1&amp;$A64,'4.1 关键词原始数据'!$A:$N,V$2,FALSE))," ")</f>
        <v> </v>
      </c>
      <c r="F64" s="59" t="str">
        <f>_xlfn.IFNA(IF(VLOOKUP($B$1&amp;$A64,'4.1 关键词原始数据'!$A:$N,W$2,FALSE)=0," ",VLOOKUP($B$1&amp;$A64,'4.1 关键词原始数据'!$A:$N,W$2,FALSE))," ")</f>
        <v> </v>
      </c>
      <c r="G64" s="59" t="str">
        <f>_xlfn.IFNA(IF(VLOOKUP($B$1&amp;$A64,'4.1 关键词原始数据'!$A:$N,X$2,FALSE)=0," ",VLOOKUP($B$1&amp;$A64,'4.1 关键词原始数据'!$A:$N,X$2,FALSE))," ")</f>
        <v>1-11-3</v>
      </c>
      <c r="H64" s="59" t="str">
        <f>_xlfn.IFNA(IF(VLOOKUP($B$1&amp;$A64,'4.1 关键词原始数据'!$A:$N,Y$2,FALSE)=0," ",VLOOKUP($B$1&amp;$A64,'4.1 关键词原始数据'!$A:$N,Y$2,FALSE))," ")</f>
        <v> </v>
      </c>
      <c r="I64" s="59" t="str">
        <f>_xlfn.IFNA(IF(VLOOKUP($B$1&amp;$A64,'4.1 关键词原始数据'!$A:$N,Z$2,FALSE)=0," ",VLOOKUP($B$1&amp;$A64,'4.1 关键词原始数据'!$A:$N,Z$2,FALSE))," ")</f>
        <v> </v>
      </c>
      <c r="J64" s="59" t="str">
        <f>_xlfn.IFNA(IF(VLOOKUP($J$1&amp;$A64,'4.1 关键词原始数据'!$A:$N,S$2,FALSE)=0," ",VLOOKUP($J$1&amp;$A64,'4.1 关键词原始数据'!$A:$N,S$2,FALSE))," ")</f>
        <v> </v>
      </c>
      <c r="K64" s="59" t="str">
        <f>_xlfn.IFNA(IF(VLOOKUP($J$1&amp;$A64,'4.1 关键词原始数据'!$A:$N,T$2,FALSE)=0," ",VLOOKUP($J$1&amp;$A64,'4.1 关键词原始数据'!$A:$N,T$2,FALSE))," ")</f>
        <v> </v>
      </c>
      <c r="L64" s="59" t="str">
        <f>_xlfn.IFNA(IF(VLOOKUP($J$1&amp;$A64,'4.1 关键词原始数据'!$A:$N,U$2,FALSE)=0," ",VLOOKUP($J$1&amp;$A64,'4.1 关键词原始数据'!$A:$N,U$2,FALSE))," ")</f>
        <v> </v>
      </c>
      <c r="M64" s="59" t="str">
        <f>_xlfn.IFNA(IF(VLOOKUP($J$1&amp;$A64,'4.1 关键词原始数据'!$A:$N,V$2,FALSE)=0," ",VLOOKUP($J$1&amp;$A64,'4.1 关键词原始数据'!$A:$N,V$2,FALSE))," ")</f>
        <v>5-15-2</v>
      </c>
      <c r="N64" s="59" t="str">
        <f>_xlfn.IFNA(IF(VLOOKUP($J$1&amp;$A64,'4.1 关键词原始数据'!$A:$N,W$2,FALSE)=0," ",VLOOKUP($J$1&amp;$A64,'4.1 关键词原始数据'!$A:$N,W$2,FALSE))," ")</f>
        <v> </v>
      </c>
      <c r="O64" s="59" t="str">
        <f>_xlfn.IFNA(IF(VLOOKUP($J$1&amp;$A64,'4.1 关键词原始数据'!$A:$N,X$2,FALSE)=0," ",VLOOKUP($J$1&amp;$A64,'4.1 关键词原始数据'!$A:$N,X$2,FALSE))," ")</f>
        <v> </v>
      </c>
      <c r="P64" s="59" t="str">
        <f>_xlfn.IFNA(IF(VLOOKUP($J$1&amp;$A64,'4.1 关键词原始数据'!$A:$N,Y$2,FALSE)=0," ",VLOOKUP($J$1&amp;$A64,'4.1 关键词原始数据'!$A:$N,Y$2,FALSE))," ")</f>
        <v> </v>
      </c>
      <c r="Q64" s="59" t="str">
        <f>_xlfn.IFNA(IF(VLOOKUP($J$1&amp;$A64,'4.1 关键词原始数据'!$A:$N,Z$2,FALSE)=0," ",VLOOKUP($J$1&amp;$A64,'4.1 关键词原始数据'!$A:$N,Z$2,FALSE))," ")</f>
        <v> </v>
      </c>
    </row>
    <row r="65" ht="17.4" spans="1:17">
      <c r="A65" s="65" t="s">
        <v>549</v>
      </c>
      <c r="B65" s="59" t="str">
        <f>_xlfn.IFNA(IF(VLOOKUP($B$1&amp;$A65,'4.1 关键词原始数据'!$A:$N,S$2,FALSE)=0," ",VLOOKUP($B$1&amp;$A65,'4.1 关键词原始数据'!$A:$N,S$2,FALSE))," ")</f>
        <v> </v>
      </c>
      <c r="C65" s="59" t="str">
        <f>_xlfn.IFNA(IF(VLOOKUP($B$1&amp;$A65,'4.1 关键词原始数据'!$A:$N,T$2,FALSE)=0," ",VLOOKUP($B$1&amp;$A65,'4.1 关键词原始数据'!$A:$N,T$2,FALSE))," ")</f>
        <v>4-12-4</v>
      </c>
      <c r="D65" s="59" t="str">
        <f>_xlfn.IFNA(IF(VLOOKUP($B$1&amp;$A65,'4.1 关键词原始数据'!$A:$N,U$2,FALSE)=0," ",VLOOKUP($B$1&amp;$A65,'4.1 关键词原始数据'!$A:$N,U$2,FALSE))," ")</f>
        <v> </v>
      </c>
      <c r="E65" s="59" t="str">
        <f>_xlfn.IFNA(IF(VLOOKUP($B$1&amp;$A65,'4.1 关键词原始数据'!$A:$N,V$2,FALSE)=0," ",VLOOKUP($B$1&amp;$A65,'4.1 关键词原始数据'!$A:$N,V$2,FALSE))," ")</f>
        <v> </v>
      </c>
      <c r="F65" s="59" t="str">
        <f>_xlfn.IFNA(IF(VLOOKUP($B$1&amp;$A65,'4.1 关键词原始数据'!$A:$N,W$2,FALSE)=0," ",VLOOKUP($B$1&amp;$A65,'4.1 关键词原始数据'!$A:$N,W$2,FALSE))," ")</f>
        <v> </v>
      </c>
      <c r="G65" s="59" t="str">
        <f>_xlfn.IFNA(IF(VLOOKUP($B$1&amp;$A65,'4.1 关键词原始数据'!$A:$N,X$2,FALSE)=0," ",VLOOKUP($B$1&amp;$A65,'4.1 关键词原始数据'!$A:$N,X$2,FALSE))," ")</f>
        <v>1-13-2</v>
      </c>
      <c r="H65" s="59" t="str">
        <f>_xlfn.IFNA(IF(VLOOKUP($B$1&amp;$A65,'4.1 关键词原始数据'!$A:$N,Y$2,FALSE)=0," ",VLOOKUP($B$1&amp;$A65,'4.1 关键词原始数据'!$A:$N,Y$2,FALSE))," ")</f>
        <v> </v>
      </c>
      <c r="I65" s="59" t="str">
        <f>_xlfn.IFNA(IF(VLOOKUP($B$1&amp;$A65,'4.1 关键词原始数据'!$A:$N,Z$2,FALSE)=0," ",VLOOKUP($B$1&amp;$A65,'4.1 关键词原始数据'!$A:$N,Z$2,FALSE))," ")</f>
        <v> </v>
      </c>
      <c r="J65" s="59" t="str">
        <f>_xlfn.IFNA(IF(VLOOKUP($J$1&amp;$A65,'4.1 关键词原始数据'!$A:$N,S$2,FALSE)=0," ",VLOOKUP($J$1&amp;$A65,'4.1 关键词原始数据'!$A:$N,S$2,FALSE))," ")</f>
        <v> </v>
      </c>
      <c r="K65" s="59" t="str">
        <f>_xlfn.IFNA(IF(VLOOKUP($J$1&amp;$A65,'4.1 关键词原始数据'!$A:$N,T$2,FALSE)=0," ",VLOOKUP($J$1&amp;$A65,'4.1 关键词原始数据'!$A:$N,T$2,FALSE))," ")</f>
        <v> </v>
      </c>
      <c r="L65" s="59" t="str">
        <f>_xlfn.IFNA(IF(VLOOKUP($J$1&amp;$A65,'4.1 关键词原始数据'!$A:$N,U$2,FALSE)=0," ",VLOOKUP($J$1&amp;$A65,'4.1 关键词原始数据'!$A:$N,U$2,FALSE))," ")</f>
        <v> </v>
      </c>
      <c r="M65" s="59" t="str">
        <f>_xlfn.IFNA(IF(VLOOKUP($J$1&amp;$A65,'4.1 关键词原始数据'!$A:$N,V$2,FALSE)=0," ",VLOOKUP($J$1&amp;$A65,'4.1 关键词原始数据'!$A:$N,V$2,FALSE))," ")</f>
        <v>5-14-3</v>
      </c>
      <c r="N65" s="59" t="str">
        <f>_xlfn.IFNA(IF(VLOOKUP($J$1&amp;$A65,'4.1 关键词原始数据'!$A:$N,W$2,FALSE)=0," ",VLOOKUP($J$1&amp;$A65,'4.1 关键词原始数据'!$A:$N,W$2,FALSE))," ")</f>
        <v> </v>
      </c>
      <c r="O65" s="59" t="str">
        <f>_xlfn.IFNA(IF(VLOOKUP($J$1&amp;$A65,'4.1 关键词原始数据'!$A:$N,X$2,FALSE)=0," ",VLOOKUP($J$1&amp;$A65,'4.1 关键词原始数据'!$A:$N,X$2,FALSE))," ")</f>
        <v> </v>
      </c>
      <c r="P65" s="59" t="str">
        <f>_xlfn.IFNA(IF(VLOOKUP($J$1&amp;$A65,'4.1 关键词原始数据'!$A:$N,Y$2,FALSE)=0," ",VLOOKUP($J$1&amp;$A65,'4.1 关键词原始数据'!$A:$N,Y$2,FALSE))," ")</f>
        <v> </v>
      </c>
      <c r="Q65" s="59" t="str">
        <f>_xlfn.IFNA(IF(VLOOKUP($J$1&amp;$A65,'4.1 关键词原始数据'!$A:$N,Z$2,FALSE)=0," ",VLOOKUP($J$1&amp;$A65,'4.1 关键词原始数据'!$A:$N,Z$2,FALSE))," ")</f>
        <v> </v>
      </c>
    </row>
    <row r="66" ht="17.4" spans="1:17">
      <c r="A66" s="65" t="s">
        <v>550</v>
      </c>
      <c r="B66" s="59" t="str">
        <f>_xlfn.IFNA(IF(VLOOKUP($B$1&amp;$A66,'4.1 关键词原始数据'!$A:$N,S$2,FALSE)=0," ",VLOOKUP($B$1&amp;$A66,'4.1 关键词原始数据'!$A:$N,S$2,FALSE))," ")</f>
        <v> </v>
      </c>
      <c r="C66" s="59" t="str">
        <f>_xlfn.IFNA(IF(VLOOKUP($B$1&amp;$A66,'4.1 关键词原始数据'!$A:$N,T$2,FALSE)=0," ",VLOOKUP($B$1&amp;$A66,'4.1 关键词原始数据'!$A:$N,T$2,FALSE))," ")</f>
        <v>2-8-3</v>
      </c>
      <c r="D66" s="59" t="str">
        <f>_xlfn.IFNA(IF(VLOOKUP($B$1&amp;$A66,'4.1 关键词原始数据'!$A:$N,U$2,FALSE)=0," ",VLOOKUP($B$1&amp;$A66,'4.1 关键词原始数据'!$A:$N,U$2,FALSE))," ")</f>
        <v> </v>
      </c>
      <c r="E66" s="59" t="str">
        <f>_xlfn.IFNA(IF(VLOOKUP($B$1&amp;$A66,'4.1 关键词原始数据'!$A:$N,V$2,FALSE)=0," ",VLOOKUP($B$1&amp;$A66,'4.1 关键词原始数据'!$A:$N,V$2,FALSE))," ")</f>
        <v> </v>
      </c>
      <c r="F66" s="59" t="str">
        <f>_xlfn.IFNA(IF(VLOOKUP($B$1&amp;$A66,'4.1 关键词原始数据'!$A:$N,W$2,FALSE)=0," ",VLOOKUP($B$1&amp;$A66,'4.1 关键词原始数据'!$A:$N,W$2,FALSE))," ")</f>
        <v> </v>
      </c>
      <c r="G66" s="59" t="str">
        <f>_xlfn.IFNA(IF(VLOOKUP($B$1&amp;$A66,'4.1 关键词原始数据'!$A:$N,X$2,FALSE)=0," ",VLOOKUP($B$1&amp;$A66,'4.1 关键词原始数据'!$A:$N,X$2,FALSE))," ")</f>
        <v>1-14-2</v>
      </c>
      <c r="H66" s="59" t="str">
        <f>_xlfn.IFNA(IF(VLOOKUP($B$1&amp;$A66,'4.1 关键词原始数据'!$A:$N,Y$2,FALSE)=0," ",VLOOKUP($B$1&amp;$A66,'4.1 关键词原始数据'!$A:$N,Y$2,FALSE))," ")</f>
        <v> </v>
      </c>
      <c r="I66" s="59" t="str">
        <f>_xlfn.IFNA(IF(VLOOKUP($B$1&amp;$A66,'4.1 关键词原始数据'!$A:$N,Z$2,FALSE)=0," ",VLOOKUP($B$1&amp;$A66,'4.1 关键词原始数据'!$A:$N,Z$2,FALSE))," ")</f>
        <v> </v>
      </c>
      <c r="J66" s="59" t="str">
        <f>_xlfn.IFNA(IF(VLOOKUP($J$1&amp;$A66,'4.1 关键词原始数据'!$A:$N,S$2,FALSE)=0," ",VLOOKUP($J$1&amp;$A66,'4.1 关键词原始数据'!$A:$N,S$2,FALSE))," ")</f>
        <v> </v>
      </c>
      <c r="K66" s="59" t="str">
        <f>_xlfn.IFNA(IF(VLOOKUP($J$1&amp;$A66,'4.1 关键词原始数据'!$A:$N,T$2,FALSE)=0," ",VLOOKUP($J$1&amp;$A66,'4.1 关键词原始数据'!$A:$N,T$2,FALSE))," ")</f>
        <v> </v>
      </c>
      <c r="L66" s="59" t="str">
        <f>_xlfn.IFNA(IF(VLOOKUP($J$1&amp;$A66,'4.1 关键词原始数据'!$A:$N,U$2,FALSE)=0," ",VLOOKUP($J$1&amp;$A66,'4.1 关键词原始数据'!$A:$N,U$2,FALSE))," ")</f>
        <v> </v>
      </c>
      <c r="M66" s="59" t="str">
        <f>_xlfn.IFNA(IF(VLOOKUP($J$1&amp;$A66,'4.1 关键词原始数据'!$A:$N,V$2,FALSE)=0," ",VLOOKUP($J$1&amp;$A66,'4.1 关键词原始数据'!$A:$N,V$2,FALSE))," ")</f>
        <v>4-11-2</v>
      </c>
      <c r="N66" s="59" t="str">
        <f>_xlfn.IFNA(IF(VLOOKUP($J$1&amp;$A66,'4.1 关键词原始数据'!$A:$N,W$2,FALSE)=0," ",VLOOKUP($J$1&amp;$A66,'4.1 关键词原始数据'!$A:$N,W$2,FALSE))," ")</f>
        <v> </v>
      </c>
      <c r="O66" s="59" t="str">
        <f>_xlfn.IFNA(IF(VLOOKUP($J$1&amp;$A66,'4.1 关键词原始数据'!$A:$N,X$2,FALSE)=0," ",VLOOKUP($J$1&amp;$A66,'4.1 关键词原始数据'!$A:$N,X$2,FALSE))," ")</f>
        <v> </v>
      </c>
      <c r="P66" s="59" t="str">
        <f>_xlfn.IFNA(IF(VLOOKUP($J$1&amp;$A66,'4.1 关键词原始数据'!$A:$N,Y$2,FALSE)=0," ",VLOOKUP($J$1&amp;$A66,'4.1 关键词原始数据'!$A:$N,Y$2,FALSE))," ")</f>
        <v> </v>
      </c>
      <c r="Q66" s="59" t="str">
        <f>_xlfn.IFNA(IF(VLOOKUP($J$1&amp;$A66,'4.1 关键词原始数据'!$A:$N,Z$2,FALSE)=0," ",VLOOKUP($J$1&amp;$A66,'4.1 关键词原始数据'!$A:$N,Z$2,FALSE))," ")</f>
        <v> </v>
      </c>
    </row>
    <row r="67" ht="17.4" spans="1:17">
      <c r="A67" s="65" t="s">
        <v>551</v>
      </c>
      <c r="B67" s="59" t="str">
        <f>_xlfn.IFNA(IF(VLOOKUP($B$1&amp;$A67,'4.1 关键词原始数据'!$A:$N,S$2,FALSE)=0," ",VLOOKUP($B$1&amp;$A67,'4.1 关键词原始数据'!$A:$N,S$2,FALSE))," ")</f>
        <v> </v>
      </c>
      <c r="C67" s="59" t="str">
        <f>_xlfn.IFNA(IF(VLOOKUP($B$1&amp;$A67,'4.1 关键词原始数据'!$A:$N,T$2,FALSE)=0," ",VLOOKUP($B$1&amp;$A67,'4.1 关键词原始数据'!$A:$N,T$2,FALSE))," ")</f>
        <v>4-2-1</v>
      </c>
      <c r="D67" s="59" t="str">
        <f>_xlfn.IFNA(IF(VLOOKUP($B$1&amp;$A67,'4.1 关键词原始数据'!$A:$N,U$2,FALSE)=0," ",VLOOKUP($B$1&amp;$A67,'4.1 关键词原始数据'!$A:$N,U$2,FALSE))," ")</f>
        <v> </v>
      </c>
      <c r="E67" s="59" t="str">
        <f>_xlfn.IFNA(IF(VLOOKUP($B$1&amp;$A67,'4.1 关键词原始数据'!$A:$N,V$2,FALSE)=0," ",VLOOKUP($B$1&amp;$A67,'4.1 关键词原始数据'!$A:$N,V$2,FALSE))," ")</f>
        <v> </v>
      </c>
      <c r="F67" s="59" t="str">
        <f>_xlfn.IFNA(IF(VLOOKUP($B$1&amp;$A67,'4.1 关键词原始数据'!$A:$N,W$2,FALSE)=0," ",VLOOKUP($B$1&amp;$A67,'4.1 关键词原始数据'!$A:$N,W$2,FALSE))," ")</f>
        <v> </v>
      </c>
      <c r="G67" s="59" t="str">
        <f>_xlfn.IFNA(IF(VLOOKUP($B$1&amp;$A67,'4.1 关键词原始数据'!$A:$N,X$2,FALSE)=0," ",VLOOKUP($B$1&amp;$A67,'4.1 关键词原始数据'!$A:$N,X$2,FALSE))," ")</f>
        <v>1-16-2</v>
      </c>
      <c r="H67" s="59" t="str">
        <f>_xlfn.IFNA(IF(VLOOKUP($B$1&amp;$A67,'4.1 关键词原始数据'!$A:$N,Y$2,FALSE)=0," ",VLOOKUP($B$1&amp;$A67,'4.1 关键词原始数据'!$A:$N,Y$2,FALSE))," ")</f>
        <v> </v>
      </c>
      <c r="I67" s="59" t="str">
        <f>_xlfn.IFNA(IF(VLOOKUP($B$1&amp;$A67,'4.1 关键词原始数据'!$A:$N,Z$2,FALSE)=0," ",VLOOKUP($B$1&amp;$A67,'4.1 关键词原始数据'!$A:$N,Z$2,FALSE))," ")</f>
        <v> </v>
      </c>
      <c r="J67" s="59" t="str">
        <f>_xlfn.IFNA(IF(VLOOKUP($J$1&amp;$A67,'4.1 关键词原始数据'!$A:$N,S$2,FALSE)=0," ",VLOOKUP($J$1&amp;$A67,'4.1 关键词原始数据'!$A:$N,S$2,FALSE))," ")</f>
        <v> </v>
      </c>
      <c r="K67" s="59" t="str">
        <f>_xlfn.IFNA(IF(VLOOKUP($J$1&amp;$A67,'4.1 关键词原始数据'!$A:$N,T$2,FALSE)=0," ",VLOOKUP($J$1&amp;$A67,'4.1 关键词原始数据'!$A:$N,T$2,FALSE))," ")</f>
        <v> </v>
      </c>
      <c r="L67" s="59" t="str">
        <f>_xlfn.IFNA(IF(VLOOKUP($J$1&amp;$A67,'4.1 关键词原始数据'!$A:$N,U$2,FALSE)=0," ",VLOOKUP($J$1&amp;$A67,'4.1 关键词原始数据'!$A:$N,U$2,FALSE))," ")</f>
        <v> </v>
      </c>
      <c r="M67" s="59" t="str">
        <f>_xlfn.IFNA(IF(VLOOKUP($J$1&amp;$A67,'4.1 关键词原始数据'!$A:$N,V$2,FALSE)=0," ",VLOOKUP($J$1&amp;$A67,'4.1 关键词原始数据'!$A:$N,V$2,FALSE))," ")</f>
        <v>6-11-2</v>
      </c>
      <c r="N67" s="59" t="str">
        <f>_xlfn.IFNA(IF(VLOOKUP($J$1&amp;$A67,'4.1 关键词原始数据'!$A:$N,W$2,FALSE)=0," ",VLOOKUP($J$1&amp;$A67,'4.1 关键词原始数据'!$A:$N,W$2,FALSE))," ")</f>
        <v> </v>
      </c>
      <c r="O67" s="59" t="str">
        <f>_xlfn.IFNA(IF(VLOOKUP($J$1&amp;$A67,'4.1 关键词原始数据'!$A:$N,X$2,FALSE)=0," ",VLOOKUP($J$1&amp;$A67,'4.1 关键词原始数据'!$A:$N,X$2,FALSE))," ")</f>
        <v> </v>
      </c>
      <c r="P67" s="59" t="str">
        <f>_xlfn.IFNA(IF(VLOOKUP($J$1&amp;$A67,'4.1 关键词原始数据'!$A:$N,Y$2,FALSE)=0," ",VLOOKUP($J$1&amp;$A67,'4.1 关键词原始数据'!$A:$N,Y$2,FALSE))," ")</f>
        <v> </v>
      </c>
      <c r="Q67" s="59" t="str">
        <f>_xlfn.IFNA(IF(VLOOKUP($J$1&amp;$A67,'4.1 关键词原始数据'!$A:$N,Z$2,FALSE)=0," ",VLOOKUP($J$1&amp;$A67,'4.1 关键词原始数据'!$A:$N,Z$2,FALSE))," ")</f>
        <v> </v>
      </c>
    </row>
    <row r="68" ht="17.4" spans="1:17">
      <c r="A68" s="65" t="s">
        <v>552</v>
      </c>
      <c r="B68" s="59" t="str">
        <f>_xlfn.IFNA(IF(VLOOKUP($B$1&amp;$A68,'4.1 关键词原始数据'!$A:$N,S$2,FALSE)=0," ",VLOOKUP($B$1&amp;$A68,'4.1 关键词原始数据'!$A:$N,S$2,FALSE))," ")</f>
        <v> </v>
      </c>
      <c r="C68" s="59" t="str">
        <f>_xlfn.IFNA(IF(VLOOKUP($B$1&amp;$A68,'4.1 关键词原始数据'!$A:$N,T$2,FALSE)=0," ",VLOOKUP($B$1&amp;$A68,'4.1 关键词原始数据'!$A:$N,T$2,FALSE))," ")</f>
        <v>2-8-1</v>
      </c>
      <c r="D68" s="59" t="str">
        <f>_xlfn.IFNA(IF(VLOOKUP($B$1&amp;$A68,'4.1 关键词原始数据'!$A:$N,U$2,FALSE)=0," ",VLOOKUP($B$1&amp;$A68,'4.1 关键词原始数据'!$A:$N,U$2,FALSE))," ")</f>
        <v> </v>
      </c>
      <c r="E68" s="59" t="str">
        <f>_xlfn.IFNA(IF(VLOOKUP($B$1&amp;$A68,'4.1 关键词原始数据'!$A:$N,V$2,FALSE)=0," ",VLOOKUP($B$1&amp;$A68,'4.1 关键词原始数据'!$A:$N,V$2,FALSE))," ")</f>
        <v> </v>
      </c>
      <c r="F68" s="59" t="str">
        <f>_xlfn.IFNA(IF(VLOOKUP($B$1&amp;$A68,'4.1 关键词原始数据'!$A:$N,W$2,FALSE)=0," ",VLOOKUP($B$1&amp;$A68,'4.1 关键词原始数据'!$A:$N,W$2,FALSE))," ")</f>
        <v> </v>
      </c>
      <c r="G68" s="59" t="str">
        <f>_xlfn.IFNA(IF(VLOOKUP($B$1&amp;$A68,'4.1 关键词原始数据'!$A:$N,X$2,FALSE)=0," ",VLOOKUP($B$1&amp;$A68,'4.1 关键词原始数据'!$A:$N,X$2,FALSE))," ")</f>
        <v>1-15-3</v>
      </c>
      <c r="H68" s="59" t="str">
        <f>_xlfn.IFNA(IF(VLOOKUP($B$1&amp;$A68,'4.1 关键词原始数据'!$A:$N,Y$2,FALSE)=0," ",VLOOKUP($B$1&amp;$A68,'4.1 关键词原始数据'!$A:$N,Y$2,FALSE))," ")</f>
        <v> </v>
      </c>
      <c r="I68" s="59" t="str">
        <f>_xlfn.IFNA(IF(VLOOKUP($B$1&amp;$A68,'4.1 关键词原始数据'!$A:$N,Z$2,FALSE)=0," ",VLOOKUP($B$1&amp;$A68,'4.1 关键词原始数据'!$A:$N,Z$2,FALSE))," ")</f>
        <v> </v>
      </c>
      <c r="J68" s="59" t="str">
        <f>_xlfn.IFNA(IF(VLOOKUP($J$1&amp;$A68,'4.1 关键词原始数据'!$A:$N,S$2,FALSE)=0," ",VLOOKUP($J$1&amp;$A68,'4.1 关键词原始数据'!$A:$N,S$2,FALSE))," ")</f>
        <v> </v>
      </c>
      <c r="K68" s="59" t="str">
        <f>_xlfn.IFNA(IF(VLOOKUP($J$1&amp;$A68,'4.1 关键词原始数据'!$A:$N,T$2,FALSE)=0," ",VLOOKUP($J$1&amp;$A68,'4.1 关键词原始数据'!$A:$N,T$2,FALSE))," ")</f>
        <v> </v>
      </c>
      <c r="L68" s="59" t="str">
        <f>_xlfn.IFNA(IF(VLOOKUP($J$1&amp;$A68,'4.1 关键词原始数据'!$A:$N,U$2,FALSE)=0," ",VLOOKUP($J$1&amp;$A68,'4.1 关键词原始数据'!$A:$N,U$2,FALSE))," ")</f>
        <v> </v>
      </c>
      <c r="M68" s="59" t="str">
        <f>_xlfn.IFNA(IF(VLOOKUP($J$1&amp;$A68,'4.1 关键词原始数据'!$A:$N,V$2,FALSE)=0," ",VLOOKUP($J$1&amp;$A68,'4.1 关键词原始数据'!$A:$N,V$2,FALSE))," ")</f>
        <v>4-16-2</v>
      </c>
      <c r="N68" s="59" t="str">
        <f>_xlfn.IFNA(IF(VLOOKUP($J$1&amp;$A68,'4.1 关键词原始数据'!$A:$N,W$2,FALSE)=0," ",VLOOKUP($J$1&amp;$A68,'4.1 关键词原始数据'!$A:$N,W$2,FALSE))," ")</f>
        <v> </v>
      </c>
      <c r="O68" s="59" t="str">
        <f>_xlfn.IFNA(IF(VLOOKUP($J$1&amp;$A68,'4.1 关键词原始数据'!$A:$N,X$2,FALSE)=0," ",VLOOKUP($J$1&amp;$A68,'4.1 关键词原始数据'!$A:$N,X$2,FALSE))," ")</f>
        <v> </v>
      </c>
      <c r="P68" s="59" t="str">
        <f>_xlfn.IFNA(IF(VLOOKUP($J$1&amp;$A68,'4.1 关键词原始数据'!$A:$N,Y$2,FALSE)=0," ",VLOOKUP($J$1&amp;$A68,'4.1 关键词原始数据'!$A:$N,Y$2,FALSE))," ")</f>
        <v> </v>
      </c>
      <c r="Q68" s="59" t="str">
        <f>_xlfn.IFNA(IF(VLOOKUP($J$1&amp;$A68,'4.1 关键词原始数据'!$A:$N,Z$2,FALSE)=0," ",VLOOKUP($J$1&amp;$A68,'4.1 关键词原始数据'!$A:$N,Z$2,FALSE))," ")</f>
        <v> </v>
      </c>
    </row>
    <row r="69" ht="17.4" spans="1:17">
      <c r="A69" s="65" t="s">
        <v>553</v>
      </c>
      <c r="B69" s="59" t="str">
        <f>_xlfn.IFNA(IF(VLOOKUP($B$1&amp;$A69,'4.1 关键词原始数据'!$A:$N,S$2,FALSE)=0," ",VLOOKUP($B$1&amp;$A69,'4.1 关键词原始数据'!$A:$N,S$2,FALSE))," ")</f>
        <v> </v>
      </c>
      <c r="C69" s="59" t="str">
        <f>_xlfn.IFNA(IF(VLOOKUP($B$1&amp;$A69,'4.1 关键词原始数据'!$A:$N,T$2,FALSE)=0," ",VLOOKUP($B$1&amp;$A69,'4.1 关键词原始数据'!$A:$N,T$2,FALSE))," ")</f>
        <v>2-8-1</v>
      </c>
      <c r="D69" s="59" t="str">
        <f>_xlfn.IFNA(IF(VLOOKUP($B$1&amp;$A69,'4.1 关键词原始数据'!$A:$N,U$2,FALSE)=0," ",VLOOKUP($B$1&amp;$A69,'4.1 关键词原始数据'!$A:$N,U$2,FALSE))," ")</f>
        <v> </v>
      </c>
      <c r="E69" s="59" t="str">
        <f>_xlfn.IFNA(IF(VLOOKUP($B$1&amp;$A69,'4.1 关键词原始数据'!$A:$N,V$2,FALSE)=0," ",VLOOKUP($B$1&amp;$A69,'4.1 关键词原始数据'!$A:$N,V$2,FALSE))," ")</f>
        <v> </v>
      </c>
      <c r="F69" s="59" t="str">
        <f>_xlfn.IFNA(IF(VLOOKUP($B$1&amp;$A69,'4.1 关键词原始数据'!$A:$N,W$2,FALSE)=0," ",VLOOKUP($B$1&amp;$A69,'4.1 关键词原始数据'!$A:$N,W$2,FALSE))," ")</f>
        <v> </v>
      </c>
      <c r="G69" s="59" t="str">
        <f>_xlfn.IFNA(IF(VLOOKUP($B$1&amp;$A69,'4.1 关键词原始数据'!$A:$N,X$2,FALSE)=0," ",VLOOKUP($B$1&amp;$A69,'4.1 关键词原始数据'!$A:$N,X$2,FALSE))," ")</f>
        <v>1-15-3</v>
      </c>
      <c r="H69" s="59" t="str">
        <f>_xlfn.IFNA(IF(VLOOKUP($B$1&amp;$A69,'4.1 关键词原始数据'!$A:$N,Y$2,FALSE)=0," ",VLOOKUP($B$1&amp;$A69,'4.1 关键词原始数据'!$A:$N,Y$2,FALSE))," ")</f>
        <v> </v>
      </c>
      <c r="I69" s="59" t="str">
        <f>_xlfn.IFNA(IF(VLOOKUP($B$1&amp;$A69,'4.1 关键词原始数据'!$A:$N,Z$2,FALSE)=0," ",VLOOKUP($B$1&amp;$A69,'4.1 关键词原始数据'!$A:$N,Z$2,FALSE))," ")</f>
        <v> </v>
      </c>
      <c r="J69" s="59" t="str">
        <f>_xlfn.IFNA(IF(VLOOKUP($J$1&amp;$A69,'4.1 关键词原始数据'!$A:$N,S$2,FALSE)=0," ",VLOOKUP($J$1&amp;$A69,'4.1 关键词原始数据'!$A:$N,S$2,FALSE))," ")</f>
        <v> </v>
      </c>
      <c r="K69" s="59" t="str">
        <f>_xlfn.IFNA(IF(VLOOKUP($J$1&amp;$A69,'4.1 关键词原始数据'!$A:$N,T$2,FALSE)=0," ",VLOOKUP($J$1&amp;$A69,'4.1 关键词原始数据'!$A:$N,T$2,FALSE))," ")</f>
        <v> </v>
      </c>
      <c r="L69" s="59" t="str">
        <f>_xlfn.IFNA(IF(VLOOKUP($J$1&amp;$A69,'4.1 关键词原始数据'!$A:$N,U$2,FALSE)=0," ",VLOOKUP($J$1&amp;$A69,'4.1 关键词原始数据'!$A:$N,U$2,FALSE))," ")</f>
        <v> </v>
      </c>
      <c r="M69" s="59" t="str">
        <f>_xlfn.IFNA(IF(VLOOKUP($J$1&amp;$A69,'4.1 关键词原始数据'!$A:$N,V$2,FALSE)=0," ",VLOOKUP($J$1&amp;$A69,'4.1 关键词原始数据'!$A:$N,V$2,FALSE))," ")</f>
        <v>4-11-2</v>
      </c>
      <c r="N69" s="59" t="str">
        <f>_xlfn.IFNA(IF(VLOOKUP($J$1&amp;$A69,'4.1 关键词原始数据'!$A:$N,W$2,FALSE)=0," ",VLOOKUP($J$1&amp;$A69,'4.1 关键词原始数据'!$A:$N,W$2,FALSE))," ")</f>
        <v> </v>
      </c>
      <c r="O69" s="59" t="str">
        <f>_xlfn.IFNA(IF(VLOOKUP($J$1&amp;$A69,'4.1 关键词原始数据'!$A:$N,X$2,FALSE)=0," ",VLOOKUP($J$1&amp;$A69,'4.1 关键词原始数据'!$A:$N,X$2,FALSE))," ")</f>
        <v> </v>
      </c>
      <c r="P69" s="59" t="str">
        <f>_xlfn.IFNA(IF(VLOOKUP($J$1&amp;$A69,'4.1 关键词原始数据'!$A:$N,Y$2,FALSE)=0," ",VLOOKUP($J$1&amp;$A69,'4.1 关键词原始数据'!$A:$N,Y$2,FALSE))," ")</f>
        <v> </v>
      </c>
      <c r="Q69" s="59" t="str">
        <f>_xlfn.IFNA(IF(VLOOKUP($J$1&amp;$A69,'4.1 关键词原始数据'!$A:$N,Z$2,FALSE)=0," ",VLOOKUP($J$1&amp;$A69,'4.1 关键词原始数据'!$A:$N,Z$2,FALSE))," ")</f>
        <v> </v>
      </c>
    </row>
    <row r="70" ht="17.4" spans="1:17">
      <c r="A70" s="65" t="s">
        <v>554</v>
      </c>
      <c r="B70" s="59" t="str">
        <f>_xlfn.IFNA(IF(VLOOKUP($B$1&amp;$A70,'4.1 关键词原始数据'!$A:$N,S$2,FALSE)=0," ",VLOOKUP($B$1&amp;$A70,'4.1 关键词原始数据'!$A:$N,S$2,FALSE))," ")</f>
        <v> </v>
      </c>
      <c r="C70" s="59" t="str">
        <f>_xlfn.IFNA(IF(VLOOKUP($B$1&amp;$A70,'4.1 关键词原始数据'!$A:$N,T$2,FALSE)=0," ",VLOOKUP($B$1&amp;$A70,'4.1 关键词原始数据'!$A:$N,T$2,FALSE))," ")</f>
        <v>2-7-4</v>
      </c>
      <c r="D70" s="59" t="str">
        <f>_xlfn.IFNA(IF(VLOOKUP($B$1&amp;$A70,'4.1 关键词原始数据'!$A:$N,U$2,FALSE)=0," ",VLOOKUP($B$1&amp;$A70,'4.1 关键词原始数据'!$A:$N,U$2,FALSE))," ")</f>
        <v> </v>
      </c>
      <c r="E70" s="59" t="str">
        <f>_xlfn.IFNA(IF(VLOOKUP($B$1&amp;$A70,'4.1 关键词原始数据'!$A:$N,V$2,FALSE)=0," ",VLOOKUP($B$1&amp;$A70,'4.1 关键词原始数据'!$A:$N,V$2,FALSE))," ")</f>
        <v> </v>
      </c>
      <c r="F70" s="59" t="str">
        <f>_xlfn.IFNA(IF(VLOOKUP($B$1&amp;$A70,'4.1 关键词原始数据'!$A:$N,W$2,FALSE)=0," ",VLOOKUP($B$1&amp;$A70,'4.1 关键词原始数据'!$A:$N,W$2,FALSE))," ")</f>
        <v> </v>
      </c>
      <c r="G70" s="59" t="str">
        <f>_xlfn.IFNA(IF(VLOOKUP($B$1&amp;$A70,'4.1 关键词原始数据'!$A:$N,X$2,FALSE)=0," ",VLOOKUP($B$1&amp;$A70,'4.1 关键词原始数据'!$A:$N,X$2,FALSE))," ")</f>
        <v>1-14-2</v>
      </c>
      <c r="H70" s="59" t="str">
        <f>_xlfn.IFNA(IF(VLOOKUP($B$1&amp;$A70,'4.1 关键词原始数据'!$A:$N,Y$2,FALSE)=0," ",VLOOKUP($B$1&amp;$A70,'4.1 关键词原始数据'!$A:$N,Y$2,FALSE))," ")</f>
        <v> </v>
      </c>
      <c r="I70" s="59" t="str">
        <f>_xlfn.IFNA(IF(VLOOKUP($B$1&amp;$A70,'4.1 关键词原始数据'!$A:$N,Z$2,FALSE)=0," ",VLOOKUP($B$1&amp;$A70,'4.1 关键词原始数据'!$A:$N,Z$2,FALSE))," ")</f>
        <v> </v>
      </c>
      <c r="J70" s="59" t="str">
        <f>_xlfn.IFNA(IF(VLOOKUP($J$1&amp;$A70,'4.1 关键词原始数据'!$A:$N,S$2,FALSE)=0," ",VLOOKUP($J$1&amp;$A70,'4.1 关键词原始数据'!$A:$N,S$2,FALSE))," ")</f>
        <v> </v>
      </c>
      <c r="K70" s="59" t="str">
        <f>_xlfn.IFNA(IF(VLOOKUP($J$1&amp;$A70,'4.1 关键词原始数据'!$A:$N,T$2,FALSE)=0," ",VLOOKUP($J$1&amp;$A70,'4.1 关键词原始数据'!$A:$N,T$2,FALSE))," ")</f>
        <v> </v>
      </c>
      <c r="L70" s="59" t="str">
        <f>_xlfn.IFNA(IF(VLOOKUP($J$1&amp;$A70,'4.1 关键词原始数据'!$A:$N,U$2,FALSE)=0," ",VLOOKUP($J$1&amp;$A70,'4.1 关键词原始数据'!$A:$N,U$2,FALSE))," ")</f>
        <v> </v>
      </c>
      <c r="M70" s="59" t="str">
        <f>_xlfn.IFNA(IF(VLOOKUP($J$1&amp;$A70,'4.1 关键词原始数据'!$A:$N,V$2,FALSE)=0," ",VLOOKUP($J$1&amp;$A70,'4.1 关键词原始数据'!$A:$N,V$2,FALSE))," ")</f>
        <v>4-9-3</v>
      </c>
      <c r="N70" s="59" t="str">
        <f>_xlfn.IFNA(IF(VLOOKUP($J$1&amp;$A70,'4.1 关键词原始数据'!$A:$N,W$2,FALSE)=0," ",VLOOKUP($J$1&amp;$A70,'4.1 关键词原始数据'!$A:$N,W$2,FALSE))," ")</f>
        <v> </v>
      </c>
      <c r="O70" s="59" t="str">
        <f>_xlfn.IFNA(IF(VLOOKUP($J$1&amp;$A70,'4.1 关键词原始数据'!$A:$N,X$2,FALSE)=0," ",VLOOKUP($J$1&amp;$A70,'4.1 关键词原始数据'!$A:$N,X$2,FALSE))," ")</f>
        <v> </v>
      </c>
      <c r="P70" s="59" t="str">
        <f>_xlfn.IFNA(IF(VLOOKUP($J$1&amp;$A70,'4.1 关键词原始数据'!$A:$N,Y$2,FALSE)=0," ",VLOOKUP($J$1&amp;$A70,'4.1 关键词原始数据'!$A:$N,Y$2,FALSE))," ")</f>
        <v> </v>
      </c>
      <c r="Q70" s="59" t="str">
        <f>_xlfn.IFNA(IF(VLOOKUP($J$1&amp;$A70,'4.1 关键词原始数据'!$A:$N,Z$2,FALSE)=0," ",VLOOKUP($J$1&amp;$A70,'4.1 关键词原始数据'!$A:$N,Z$2,FALSE))," ")</f>
        <v> </v>
      </c>
    </row>
    <row r="71" ht="17.4" spans="1:17">
      <c r="A71" s="65" t="s">
        <v>555</v>
      </c>
      <c r="B71" s="59" t="str">
        <f>_xlfn.IFNA(IF(VLOOKUP($B$1&amp;$A71,'4.1 关键词原始数据'!$A:$N,S$2,FALSE)=0," ",VLOOKUP($B$1&amp;$A71,'4.1 关键词原始数据'!$A:$N,S$2,FALSE))," ")</f>
        <v> </v>
      </c>
      <c r="C71" s="59" t="str">
        <f>_xlfn.IFNA(IF(VLOOKUP($B$1&amp;$A71,'4.1 关键词原始数据'!$A:$N,T$2,FALSE)=0," ",VLOOKUP($B$1&amp;$A71,'4.1 关键词原始数据'!$A:$N,T$2,FALSE))," ")</f>
        <v>2-3-1</v>
      </c>
      <c r="D71" s="59" t="str">
        <f>_xlfn.IFNA(IF(VLOOKUP($B$1&amp;$A71,'4.1 关键词原始数据'!$A:$N,U$2,FALSE)=0," ",VLOOKUP($B$1&amp;$A71,'4.1 关键词原始数据'!$A:$N,U$2,FALSE))," ")</f>
        <v> </v>
      </c>
      <c r="E71" s="59" t="str">
        <f>_xlfn.IFNA(IF(VLOOKUP($B$1&amp;$A71,'4.1 关键词原始数据'!$A:$N,V$2,FALSE)=0," ",VLOOKUP($B$1&amp;$A71,'4.1 关键词原始数据'!$A:$N,V$2,FALSE))," ")</f>
        <v> </v>
      </c>
      <c r="F71" s="59" t="str">
        <f>_xlfn.IFNA(IF(VLOOKUP($B$1&amp;$A71,'4.1 关键词原始数据'!$A:$N,W$2,FALSE)=0," ",VLOOKUP($B$1&amp;$A71,'4.1 关键词原始数据'!$A:$N,W$2,FALSE))," ")</f>
        <v> </v>
      </c>
      <c r="G71" s="59" t="str">
        <f>_xlfn.IFNA(IF(VLOOKUP($B$1&amp;$A71,'4.1 关键词原始数据'!$A:$N,X$2,FALSE)=0," ",VLOOKUP($B$1&amp;$A71,'4.1 关键词原始数据'!$A:$N,X$2,FALSE))," ")</f>
        <v>1-14-2</v>
      </c>
      <c r="H71" s="59" t="str">
        <f>_xlfn.IFNA(IF(VLOOKUP($B$1&amp;$A71,'4.1 关键词原始数据'!$A:$N,Y$2,FALSE)=0," ",VLOOKUP($B$1&amp;$A71,'4.1 关键词原始数据'!$A:$N,Y$2,FALSE))," ")</f>
        <v> </v>
      </c>
      <c r="I71" s="59" t="str">
        <f>_xlfn.IFNA(IF(VLOOKUP($B$1&amp;$A71,'4.1 关键词原始数据'!$A:$N,Z$2,FALSE)=0," ",VLOOKUP($B$1&amp;$A71,'4.1 关键词原始数据'!$A:$N,Z$2,FALSE))," ")</f>
        <v> </v>
      </c>
      <c r="J71" s="59" t="str">
        <f>_xlfn.IFNA(IF(VLOOKUP($J$1&amp;$A71,'4.1 关键词原始数据'!$A:$N,S$2,FALSE)=0," ",VLOOKUP($J$1&amp;$A71,'4.1 关键词原始数据'!$A:$N,S$2,FALSE))," ")</f>
        <v> </v>
      </c>
      <c r="K71" s="59" t="str">
        <f>_xlfn.IFNA(IF(VLOOKUP($J$1&amp;$A71,'4.1 关键词原始数据'!$A:$N,T$2,FALSE)=0," ",VLOOKUP($J$1&amp;$A71,'4.1 关键词原始数据'!$A:$N,T$2,FALSE))," ")</f>
        <v> </v>
      </c>
      <c r="L71" s="59" t="str">
        <f>_xlfn.IFNA(IF(VLOOKUP($J$1&amp;$A71,'4.1 关键词原始数据'!$A:$N,U$2,FALSE)=0," ",VLOOKUP($J$1&amp;$A71,'4.1 关键词原始数据'!$A:$N,U$2,FALSE))," ")</f>
        <v> </v>
      </c>
      <c r="M71" s="59" t="str">
        <f>_xlfn.IFNA(IF(VLOOKUP($J$1&amp;$A71,'4.1 关键词原始数据'!$A:$N,V$2,FALSE)=0," ",VLOOKUP($J$1&amp;$A71,'4.1 关键词原始数据'!$A:$N,V$2,FALSE))," ")</f>
        <v>4-14-4</v>
      </c>
      <c r="N71" s="59" t="str">
        <f>_xlfn.IFNA(IF(VLOOKUP($J$1&amp;$A71,'4.1 关键词原始数据'!$A:$N,W$2,FALSE)=0," ",VLOOKUP($J$1&amp;$A71,'4.1 关键词原始数据'!$A:$N,W$2,FALSE))," ")</f>
        <v> </v>
      </c>
      <c r="O71" s="59" t="str">
        <f>_xlfn.IFNA(IF(VLOOKUP($J$1&amp;$A71,'4.1 关键词原始数据'!$A:$N,X$2,FALSE)=0," ",VLOOKUP($J$1&amp;$A71,'4.1 关键词原始数据'!$A:$N,X$2,FALSE))," ")</f>
        <v> </v>
      </c>
      <c r="P71" s="59" t="str">
        <f>_xlfn.IFNA(IF(VLOOKUP($J$1&amp;$A71,'4.1 关键词原始数据'!$A:$N,Y$2,FALSE)=0," ",VLOOKUP($J$1&amp;$A71,'4.1 关键词原始数据'!$A:$N,Y$2,FALSE))," ")</f>
        <v> </v>
      </c>
      <c r="Q71" s="59" t="str">
        <f>_xlfn.IFNA(IF(VLOOKUP($J$1&amp;$A71,'4.1 关键词原始数据'!$A:$N,Z$2,FALSE)=0," ",VLOOKUP($J$1&amp;$A71,'4.1 关键词原始数据'!$A:$N,Z$2,FALSE))," ")</f>
        <v> </v>
      </c>
    </row>
    <row r="72" ht="17.4" spans="1:17">
      <c r="A72" s="65" t="s">
        <v>556</v>
      </c>
      <c r="B72" s="59" t="str">
        <f>_xlfn.IFNA(IF(VLOOKUP($B$1&amp;$A72,'4.1 关键词原始数据'!$A:$N,S$2,FALSE)=0," ",VLOOKUP($B$1&amp;$A72,'4.1 关键词原始数据'!$A:$N,S$2,FALSE))," ")</f>
        <v> </v>
      </c>
      <c r="C72" s="59" t="str">
        <f>_xlfn.IFNA(IF(VLOOKUP($B$1&amp;$A72,'4.1 关键词原始数据'!$A:$N,T$2,FALSE)=0," ",VLOOKUP($B$1&amp;$A72,'4.1 关键词原始数据'!$A:$N,T$2,FALSE))," ")</f>
        <v>2-7-1</v>
      </c>
      <c r="D72" s="59" t="str">
        <f>_xlfn.IFNA(IF(VLOOKUP($B$1&amp;$A72,'4.1 关键词原始数据'!$A:$N,U$2,FALSE)=0," ",VLOOKUP($B$1&amp;$A72,'4.1 关键词原始数据'!$A:$N,U$2,FALSE))," ")</f>
        <v> </v>
      </c>
      <c r="E72" s="59" t="str">
        <f>_xlfn.IFNA(IF(VLOOKUP($B$1&amp;$A72,'4.1 关键词原始数据'!$A:$N,V$2,FALSE)=0," ",VLOOKUP($B$1&amp;$A72,'4.1 关键词原始数据'!$A:$N,V$2,FALSE))," ")</f>
        <v> </v>
      </c>
      <c r="F72" s="59" t="str">
        <f>_xlfn.IFNA(IF(VLOOKUP($B$1&amp;$A72,'4.1 关键词原始数据'!$A:$N,W$2,FALSE)=0," ",VLOOKUP($B$1&amp;$A72,'4.1 关键词原始数据'!$A:$N,W$2,FALSE))," ")</f>
        <v> </v>
      </c>
      <c r="G72" s="59" t="str">
        <f>_xlfn.IFNA(IF(VLOOKUP($B$1&amp;$A72,'4.1 关键词原始数据'!$A:$N,X$2,FALSE)=0," ",VLOOKUP($B$1&amp;$A72,'4.1 关键词原始数据'!$A:$N,X$2,FALSE))," ")</f>
        <v>1-14-2</v>
      </c>
      <c r="H72" s="59" t="str">
        <f>_xlfn.IFNA(IF(VLOOKUP($B$1&amp;$A72,'4.1 关键词原始数据'!$A:$N,Y$2,FALSE)=0," ",VLOOKUP($B$1&amp;$A72,'4.1 关键词原始数据'!$A:$N,Y$2,FALSE))," ")</f>
        <v> </v>
      </c>
      <c r="I72" s="59" t="str">
        <f>_xlfn.IFNA(IF(VLOOKUP($B$1&amp;$A72,'4.1 关键词原始数据'!$A:$N,Z$2,FALSE)=0," ",VLOOKUP($B$1&amp;$A72,'4.1 关键词原始数据'!$A:$N,Z$2,FALSE))," ")</f>
        <v> </v>
      </c>
      <c r="J72" s="59" t="str">
        <f>_xlfn.IFNA(IF(VLOOKUP($J$1&amp;$A72,'4.1 关键词原始数据'!$A:$N,S$2,FALSE)=0," ",VLOOKUP($J$1&amp;$A72,'4.1 关键词原始数据'!$A:$N,S$2,FALSE))," ")</f>
        <v> </v>
      </c>
      <c r="K72" s="59" t="str">
        <f>_xlfn.IFNA(IF(VLOOKUP($J$1&amp;$A72,'4.1 关键词原始数据'!$A:$N,T$2,FALSE)=0," ",VLOOKUP($J$1&amp;$A72,'4.1 关键词原始数据'!$A:$N,T$2,FALSE))," ")</f>
        <v> </v>
      </c>
      <c r="L72" s="59" t="str">
        <f>_xlfn.IFNA(IF(VLOOKUP($J$1&amp;$A72,'4.1 关键词原始数据'!$A:$N,U$2,FALSE)=0," ",VLOOKUP($J$1&amp;$A72,'4.1 关键词原始数据'!$A:$N,U$2,FALSE))," ")</f>
        <v> </v>
      </c>
      <c r="M72" s="59" t="str">
        <f>_xlfn.IFNA(IF(VLOOKUP($J$1&amp;$A72,'4.1 关键词原始数据'!$A:$N,V$2,FALSE)=0," ",VLOOKUP($J$1&amp;$A72,'4.1 关键词原始数据'!$A:$N,V$2,FALSE))," ")</f>
        <v>4-8-4</v>
      </c>
      <c r="N72" s="59" t="str">
        <f>_xlfn.IFNA(IF(VLOOKUP($J$1&amp;$A72,'4.1 关键词原始数据'!$A:$N,W$2,FALSE)=0," ",VLOOKUP($J$1&amp;$A72,'4.1 关键词原始数据'!$A:$N,W$2,FALSE))," ")</f>
        <v> </v>
      </c>
      <c r="O72" s="59" t="str">
        <f>_xlfn.IFNA(IF(VLOOKUP($J$1&amp;$A72,'4.1 关键词原始数据'!$A:$N,X$2,FALSE)=0," ",VLOOKUP($J$1&amp;$A72,'4.1 关键词原始数据'!$A:$N,X$2,FALSE))," ")</f>
        <v> </v>
      </c>
      <c r="P72" s="59" t="str">
        <f>_xlfn.IFNA(IF(VLOOKUP($J$1&amp;$A72,'4.1 关键词原始数据'!$A:$N,Y$2,FALSE)=0," ",VLOOKUP($J$1&amp;$A72,'4.1 关键词原始数据'!$A:$N,Y$2,FALSE))," ")</f>
        <v> </v>
      </c>
      <c r="Q72" s="59" t="str">
        <f>_xlfn.IFNA(IF(VLOOKUP($J$1&amp;$A72,'4.1 关键词原始数据'!$A:$N,Z$2,FALSE)=0," ",VLOOKUP($J$1&amp;$A72,'4.1 关键词原始数据'!$A:$N,Z$2,FALSE))," ")</f>
        <v> </v>
      </c>
    </row>
    <row r="73" ht="17.4" spans="1:17">
      <c r="A73" s="65" t="s">
        <v>557</v>
      </c>
      <c r="B73" s="59" t="str">
        <f>_xlfn.IFNA(IF(VLOOKUP($B$1&amp;$A73,'4.1 关键词原始数据'!$A:$N,S$2,FALSE)=0," ",VLOOKUP($B$1&amp;$A73,'4.1 关键词原始数据'!$A:$N,S$2,FALSE))," ")</f>
        <v> </v>
      </c>
      <c r="C73" s="59" t="str">
        <f>_xlfn.IFNA(IF(VLOOKUP($B$1&amp;$A73,'4.1 关键词原始数据'!$A:$N,T$2,FALSE)=0," ",VLOOKUP($B$1&amp;$A73,'4.1 关键词原始数据'!$A:$N,T$2,FALSE))," ")</f>
        <v> </v>
      </c>
      <c r="D73" s="59" t="str">
        <f>_xlfn.IFNA(IF(VLOOKUP($B$1&amp;$A73,'4.1 关键词原始数据'!$A:$N,U$2,FALSE)=0," ",VLOOKUP($B$1&amp;$A73,'4.1 关键词原始数据'!$A:$N,U$2,FALSE))," ")</f>
        <v> </v>
      </c>
      <c r="E73" s="59" t="str">
        <f>_xlfn.IFNA(IF(VLOOKUP($B$1&amp;$A73,'4.1 关键词原始数据'!$A:$N,V$2,FALSE)=0," ",VLOOKUP($B$1&amp;$A73,'4.1 关键词原始数据'!$A:$N,V$2,FALSE))," ")</f>
        <v> </v>
      </c>
      <c r="F73" s="59" t="str">
        <f>_xlfn.IFNA(IF(VLOOKUP($B$1&amp;$A73,'4.1 关键词原始数据'!$A:$N,W$2,FALSE)=0," ",VLOOKUP($B$1&amp;$A73,'4.1 关键词原始数据'!$A:$N,W$2,FALSE))," ")</f>
        <v> </v>
      </c>
      <c r="G73" s="59" t="str">
        <f>_xlfn.IFNA(IF(VLOOKUP($B$1&amp;$A73,'4.1 关键词原始数据'!$A:$N,X$2,FALSE)=0," ",VLOOKUP($B$1&amp;$A73,'4.1 关键词原始数据'!$A:$N,X$2,FALSE))," ")</f>
        <v> </v>
      </c>
      <c r="H73" s="59" t="str">
        <f>_xlfn.IFNA(IF(VLOOKUP($B$1&amp;$A73,'4.1 关键词原始数据'!$A:$N,Y$2,FALSE)=0," ",VLOOKUP($B$1&amp;$A73,'4.1 关键词原始数据'!$A:$N,Y$2,FALSE))," ")</f>
        <v> </v>
      </c>
      <c r="I73" s="59" t="str">
        <f>_xlfn.IFNA(IF(VLOOKUP($B$1&amp;$A73,'4.1 关键词原始数据'!$A:$N,Z$2,FALSE)=0," ",VLOOKUP($B$1&amp;$A73,'4.1 关键词原始数据'!$A:$N,Z$2,FALSE))," ")</f>
        <v> </v>
      </c>
      <c r="J73" s="59" t="str">
        <f>_xlfn.IFNA(IF(VLOOKUP($J$1&amp;$A73,'4.1 关键词原始数据'!$A:$N,S$2,FALSE)=0," ",VLOOKUP($J$1&amp;$A73,'4.1 关键词原始数据'!$A:$N,S$2,FALSE))," ")</f>
        <v> </v>
      </c>
      <c r="K73" s="59" t="str">
        <f>_xlfn.IFNA(IF(VLOOKUP($J$1&amp;$A73,'4.1 关键词原始数据'!$A:$N,T$2,FALSE)=0," ",VLOOKUP($J$1&amp;$A73,'4.1 关键词原始数据'!$A:$N,T$2,FALSE))," ")</f>
        <v> </v>
      </c>
      <c r="L73" s="59" t="str">
        <f>_xlfn.IFNA(IF(VLOOKUP($J$1&amp;$A73,'4.1 关键词原始数据'!$A:$N,U$2,FALSE)=0," ",VLOOKUP($J$1&amp;$A73,'4.1 关键词原始数据'!$A:$N,U$2,FALSE))," ")</f>
        <v> </v>
      </c>
      <c r="M73" s="59" t="str">
        <f>_xlfn.IFNA(IF(VLOOKUP($J$1&amp;$A73,'4.1 关键词原始数据'!$A:$N,V$2,FALSE)=0," ",VLOOKUP($J$1&amp;$A73,'4.1 关键词原始数据'!$A:$N,V$2,FALSE))," ")</f>
        <v> </v>
      </c>
      <c r="N73" s="59" t="str">
        <f>_xlfn.IFNA(IF(VLOOKUP($J$1&amp;$A73,'4.1 关键词原始数据'!$A:$N,W$2,FALSE)=0," ",VLOOKUP($J$1&amp;$A73,'4.1 关键词原始数据'!$A:$N,W$2,FALSE))," ")</f>
        <v> </v>
      </c>
      <c r="O73" s="59" t="str">
        <f>_xlfn.IFNA(IF(VLOOKUP($J$1&amp;$A73,'4.1 关键词原始数据'!$A:$N,X$2,FALSE)=0," ",VLOOKUP($J$1&amp;$A73,'4.1 关键词原始数据'!$A:$N,X$2,FALSE))," ")</f>
        <v> </v>
      </c>
      <c r="P73" s="59" t="str">
        <f>_xlfn.IFNA(IF(VLOOKUP($J$1&amp;$A73,'4.1 关键词原始数据'!$A:$N,Y$2,FALSE)=0," ",VLOOKUP($J$1&amp;$A73,'4.1 关键词原始数据'!$A:$N,Y$2,FALSE))," ")</f>
        <v> </v>
      </c>
      <c r="Q73" s="59" t="str">
        <f>_xlfn.IFNA(IF(VLOOKUP($J$1&amp;$A73,'4.1 关键词原始数据'!$A:$N,Z$2,FALSE)=0," ",VLOOKUP($J$1&amp;$A73,'4.1 关键词原始数据'!$A:$N,Z$2,FALSE))," ")</f>
        <v> </v>
      </c>
    </row>
    <row r="74" ht="17.4" spans="1:17">
      <c r="A74" s="65" t="s">
        <v>558</v>
      </c>
      <c r="B74" s="59" t="str">
        <f>_xlfn.IFNA(IF(VLOOKUP($B$1&amp;$A74,'4.1 关键词原始数据'!$A:$N,S$2,FALSE)=0," ",VLOOKUP($B$1&amp;$A74,'4.1 关键词原始数据'!$A:$N,S$2,FALSE))," ")</f>
        <v> </v>
      </c>
      <c r="C74" s="59" t="str">
        <f>_xlfn.IFNA(IF(VLOOKUP($B$1&amp;$A74,'4.1 关键词原始数据'!$A:$N,T$2,FALSE)=0," ",VLOOKUP($B$1&amp;$A74,'4.1 关键词原始数据'!$A:$N,T$2,FALSE))," ")</f>
        <v>2-4-4</v>
      </c>
      <c r="D74" s="59" t="str">
        <f>_xlfn.IFNA(IF(VLOOKUP($B$1&amp;$A74,'4.1 关键词原始数据'!$A:$N,U$2,FALSE)=0," ",VLOOKUP($B$1&amp;$A74,'4.1 关键词原始数据'!$A:$N,U$2,FALSE))," ")</f>
        <v> </v>
      </c>
      <c r="E74" s="59" t="str">
        <f>_xlfn.IFNA(IF(VLOOKUP($B$1&amp;$A74,'4.1 关键词原始数据'!$A:$N,V$2,FALSE)=0," ",VLOOKUP($B$1&amp;$A74,'4.1 关键词原始数据'!$A:$N,V$2,FALSE))," ")</f>
        <v> </v>
      </c>
      <c r="F74" s="59" t="str">
        <f>_xlfn.IFNA(IF(VLOOKUP($B$1&amp;$A74,'4.1 关键词原始数据'!$A:$N,W$2,FALSE)=0," ",VLOOKUP($B$1&amp;$A74,'4.1 关键词原始数据'!$A:$N,W$2,FALSE))," ")</f>
        <v> </v>
      </c>
      <c r="G74" s="59" t="str">
        <f>_xlfn.IFNA(IF(VLOOKUP($B$1&amp;$A74,'4.1 关键词原始数据'!$A:$N,X$2,FALSE)=0," ",VLOOKUP($B$1&amp;$A74,'4.1 关键词原始数据'!$A:$N,X$2,FALSE))," ")</f>
        <v>1-14-3</v>
      </c>
      <c r="H74" s="59" t="str">
        <f>_xlfn.IFNA(IF(VLOOKUP($B$1&amp;$A74,'4.1 关键词原始数据'!$A:$N,Y$2,FALSE)=0," ",VLOOKUP($B$1&amp;$A74,'4.1 关键词原始数据'!$A:$N,Y$2,FALSE))," ")</f>
        <v> </v>
      </c>
      <c r="I74" s="59" t="str">
        <f>_xlfn.IFNA(IF(VLOOKUP($B$1&amp;$A74,'4.1 关键词原始数据'!$A:$N,Z$2,FALSE)=0," ",VLOOKUP($B$1&amp;$A74,'4.1 关键词原始数据'!$A:$N,Z$2,FALSE))," ")</f>
        <v> </v>
      </c>
      <c r="J74" s="59" t="str">
        <f>_xlfn.IFNA(IF(VLOOKUP($J$1&amp;$A74,'4.1 关键词原始数据'!$A:$N,S$2,FALSE)=0," ",VLOOKUP($J$1&amp;$A74,'4.1 关键词原始数据'!$A:$N,S$2,FALSE))," ")</f>
        <v> </v>
      </c>
      <c r="K74" s="59" t="str">
        <f>_xlfn.IFNA(IF(VLOOKUP($J$1&amp;$A74,'4.1 关键词原始数据'!$A:$N,T$2,FALSE)=0," ",VLOOKUP($J$1&amp;$A74,'4.1 关键词原始数据'!$A:$N,T$2,FALSE))," ")</f>
        <v> </v>
      </c>
      <c r="L74" s="59" t="str">
        <f>_xlfn.IFNA(IF(VLOOKUP($J$1&amp;$A74,'4.1 关键词原始数据'!$A:$N,U$2,FALSE)=0," ",VLOOKUP($J$1&amp;$A74,'4.1 关键词原始数据'!$A:$N,U$2,FALSE))," ")</f>
        <v> </v>
      </c>
      <c r="M74" s="59" t="str">
        <f>_xlfn.IFNA(IF(VLOOKUP($J$1&amp;$A74,'4.1 关键词原始数据'!$A:$N,V$2,FALSE)=0," ",VLOOKUP($J$1&amp;$A74,'4.1 关键词原始数据'!$A:$N,V$2,FALSE))," ")</f>
        <v>4-7-3</v>
      </c>
      <c r="N74" s="59" t="str">
        <f>_xlfn.IFNA(IF(VLOOKUP($J$1&amp;$A74,'4.1 关键词原始数据'!$A:$N,W$2,FALSE)=0," ",VLOOKUP($J$1&amp;$A74,'4.1 关键词原始数据'!$A:$N,W$2,FALSE))," ")</f>
        <v> </v>
      </c>
      <c r="O74" s="59" t="str">
        <f>_xlfn.IFNA(IF(VLOOKUP($J$1&amp;$A74,'4.1 关键词原始数据'!$A:$N,X$2,FALSE)=0," ",VLOOKUP($J$1&amp;$A74,'4.1 关键词原始数据'!$A:$N,X$2,FALSE))," ")</f>
        <v> </v>
      </c>
      <c r="P74" s="59" t="str">
        <f>_xlfn.IFNA(IF(VLOOKUP($J$1&amp;$A74,'4.1 关键词原始数据'!$A:$N,Y$2,FALSE)=0," ",VLOOKUP($J$1&amp;$A74,'4.1 关键词原始数据'!$A:$N,Y$2,FALSE))," ")</f>
        <v> </v>
      </c>
      <c r="Q74" s="59" t="str">
        <f>_xlfn.IFNA(IF(VLOOKUP($J$1&amp;$A74,'4.1 关键词原始数据'!$A:$N,Z$2,FALSE)=0," ",VLOOKUP($J$1&amp;$A74,'4.1 关键词原始数据'!$A:$N,Z$2,FALSE))," ")</f>
        <v> </v>
      </c>
    </row>
    <row r="75" ht="17.4" spans="1:17">
      <c r="A75" s="65" t="s">
        <v>559</v>
      </c>
      <c r="B75" s="59" t="str">
        <f>_xlfn.IFNA(IF(VLOOKUP($B$1&amp;$A75,'4.1 关键词原始数据'!$A:$N,S$2,FALSE)=0," ",VLOOKUP($B$1&amp;$A75,'4.1 关键词原始数据'!$A:$N,S$2,FALSE))," ")</f>
        <v> </v>
      </c>
      <c r="C75" s="59" t="str">
        <f>_xlfn.IFNA(IF(VLOOKUP($B$1&amp;$A75,'4.1 关键词原始数据'!$A:$N,T$2,FALSE)=0," ",VLOOKUP($B$1&amp;$A75,'4.1 关键词原始数据'!$A:$N,T$2,FALSE))," ")</f>
        <v>2-7-2</v>
      </c>
      <c r="D75" s="59" t="str">
        <f>_xlfn.IFNA(IF(VLOOKUP($B$1&amp;$A75,'4.1 关键词原始数据'!$A:$N,U$2,FALSE)=0," ",VLOOKUP($B$1&amp;$A75,'4.1 关键词原始数据'!$A:$N,U$2,FALSE))," ")</f>
        <v> </v>
      </c>
      <c r="E75" s="59" t="str">
        <f>_xlfn.IFNA(IF(VLOOKUP($B$1&amp;$A75,'4.1 关键词原始数据'!$A:$N,V$2,FALSE)=0," ",VLOOKUP($B$1&amp;$A75,'4.1 关键词原始数据'!$A:$N,V$2,FALSE))," ")</f>
        <v> </v>
      </c>
      <c r="F75" s="59" t="str">
        <f>_xlfn.IFNA(IF(VLOOKUP($B$1&amp;$A75,'4.1 关键词原始数据'!$A:$N,W$2,FALSE)=0," ",VLOOKUP($B$1&amp;$A75,'4.1 关键词原始数据'!$A:$N,W$2,FALSE))," ")</f>
        <v> </v>
      </c>
      <c r="G75" s="59" t="str">
        <f>_xlfn.IFNA(IF(VLOOKUP($B$1&amp;$A75,'4.1 关键词原始数据'!$A:$N,X$2,FALSE)=0," ",VLOOKUP($B$1&amp;$A75,'4.1 关键词原始数据'!$A:$N,X$2,FALSE))," ")</f>
        <v>1-16-2</v>
      </c>
      <c r="H75" s="59" t="str">
        <f>_xlfn.IFNA(IF(VLOOKUP($B$1&amp;$A75,'4.1 关键词原始数据'!$A:$N,Y$2,FALSE)=0," ",VLOOKUP($B$1&amp;$A75,'4.1 关键词原始数据'!$A:$N,Y$2,FALSE))," ")</f>
        <v> </v>
      </c>
      <c r="I75" s="59" t="str">
        <f>_xlfn.IFNA(IF(VLOOKUP($B$1&amp;$A75,'4.1 关键词原始数据'!$A:$N,Z$2,FALSE)=0," ",VLOOKUP($B$1&amp;$A75,'4.1 关键词原始数据'!$A:$N,Z$2,FALSE))," ")</f>
        <v> </v>
      </c>
      <c r="J75" s="59" t="str">
        <f>_xlfn.IFNA(IF(VLOOKUP($J$1&amp;$A75,'4.1 关键词原始数据'!$A:$N,S$2,FALSE)=0," ",VLOOKUP($J$1&amp;$A75,'4.1 关键词原始数据'!$A:$N,S$2,FALSE))," ")</f>
        <v> </v>
      </c>
      <c r="K75" s="59" t="str">
        <f>_xlfn.IFNA(IF(VLOOKUP($J$1&amp;$A75,'4.1 关键词原始数据'!$A:$N,T$2,FALSE)=0," ",VLOOKUP($J$1&amp;$A75,'4.1 关键词原始数据'!$A:$N,T$2,FALSE))," ")</f>
        <v> </v>
      </c>
      <c r="L75" s="59" t="str">
        <f>_xlfn.IFNA(IF(VLOOKUP($J$1&amp;$A75,'4.1 关键词原始数据'!$A:$N,U$2,FALSE)=0," ",VLOOKUP($J$1&amp;$A75,'4.1 关键词原始数据'!$A:$N,U$2,FALSE))," ")</f>
        <v> </v>
      </c>
      <c r="M75" s="59" t="str">
        <f>_xlfn.IFNA(IF(VLOOKUP($J$1&amp;$A75,'4.1 关键词原始数据'!$A:$N,V$2,FALSE)=0," ",VLOOKUP($J$1&amp;$A75,'4.1 关键词原始数据'!$A:$N,V$2,FALSE))," ")</f>
        <v>4-12-3</v>
      </c>
      <c r="N75" s="59" t="str">
        <f>_xlfn.IFNA(IF(VLOOKUP($J$1&amp;$A75,'4.1 关键词原始数据'!$A:$N,W$2,FALSE)=0," ",VLOOKUP($J$1&amp;$A75,'4.1 关键词原始数据'!$A:$N,W$2,FALSE))," ")</f>
        <v> </v>
      </c>
      <c r="O75" s="59" t="str">
        <f>_xlfn.IFNA(IF(VLOOKUP($J$1&amp;$A75,'4.1 关键词原始数据'!$A:$N,X$2,FALSE)=0," ",VLOOKUP($J$1&amp;$A75,'4.1 关键词原始数据'!$A:$N,X$2,FALSE))," ")</f>
        <v> </v>
      </c>
      <c r="P75" s="59" t="str">
        <f>_xlfn.IFNA(IF(VLOOKUP($J$1&amp;$A75,'4.1 关键词原始数据'!$A:$N,Y$2,FALSE)=0," ",VLOOKUP($J$1&amp;$A75,'4.1 关键词原始数据'!$A:$N,Y$2,FALSE))," ")</f>
        <v> </v>
      </c>
      <c r="Q75" s="59" t="str">
        <f>_xlfn.IFNA(IF(VLOOKUP($J$1&amp;$A75,'4.1 关键词原始数据'!$A:$N,Z$2,FALSE)=0," ",VLOOKUP($J$1&amp;$A75,'4.1 关键词原始数据'!$A:$N,Z$2,FALSE))," ")</f>
        <v> </v>
      </c>
    </row>
    <row r="76" ht="17.4" spans="1:17">
      <c r="A76" s="65" t="s">
        <v>560</v>
      </c>
      <c r="B76" s="59" t="str">
        <f>_xlfn.IFNA(IF(VLOOKUP($B$1&amp;$A76,'4.1 关键词原始数据'!$A:$N,S$2,FALSE)=0," ",VLOOKUP($B$1&amp;$A76,'4.1 关键词原始数据'!$A:$N,S$2,FALSE))," ")</f>
        <v> </v>
      </c>
      <c r="C76" s="59" t="str">
        <f>_xlfn.IFNA(IF(VLOOKUP($B$1&amp;$A76,'4.1 关键词原始数据'!$A:$N,T$2,FALSE)=0," ",VLOOKUP($B$1&amp;$A76,'4.1 关键词原始数据'!$A:$N,T$2,FALSE))," ")</f>
        <v> </v>
      </c>
      <c r="D76" s="59" t="str">
        <f>_xlfn.IFNA(IF(VLOOKUP($B$1&amp;$A76,'4.1 关键词原始数据'!$A:$N,U$2,FALSE)=0," ",VLOOKUP($B$1&amp;$A76,'4.1 关键词原始数据'!$A:$N,U$2,FALSE))," ")</f>
        <v> </v>
      </c>
      <c r="E76" s="59" t="str">
        <f>_xlfn.IFNA(IF(VLOOKUP($B$1&amp;$A76,'4.1 关键词原始数据'!$A:$N,V$2,FALSE)=0," ",VLOOKUP($B$1&amp;$A76,'4.1 关键词原始数据'!$A:$N,V$2,FALSE))," ")</f>
        <v> </v>
      </c>
      <c r="F76" s="59" t="str">
        <f>_xlfn.IFNA(IF(VLOOKUP($B$1&amp;$A76,'4.1 关键词原始数据'!$A:$N,W$2,FALSE)=0," ",VLOOKUP($B$1&amp;$A76,'4.1 关键词原始数据'!$A:$N,W$2,FALSE))," ")</f>
        <v> </v>
      </c>
      <c r="G76" s="59" t="str">
        <f>_xlfn.IFNA(IF(VLOOKUP($B$1&amp;$A76,'4.1 关键词原始数据'!$A:$N,X$2,FALSE)=0," ",VLOOKUP($B$1&amp;$A76,'4.1 关键词原始数据'!$A:$N,X$2,FALSE))," ")</f>
        <v> </v>
      </c>
      <c r="H76" s="59" t="str">
        <f>_xlfn.IFNA(IF(VLOOKUP($B$1&amp;$A76,'4.1 关键词原始数据'!$A:$N,Y$2,FALSE)=0," ",VLOOKUP($B$1&amp;$A76,'4.1 关键词原始数据'!$A:$N,Y$2,FALSE))," ")</f>
        <v> </v>
      </c>
      <c r="I76" s="59" t="str">
        <f>_xlfn.IFNA(IF(VLOOKUP($B$1&amp;$A76,'4.1 关键词原始数据'!$A:$N,Z$2,FALSE)=0," ",VLOOKUP($B$1&amp;$A76,'4.1 关键词原始数据'!$A:$N,Z$2,FALSE))," ")</f>
        <v> </v>
      </c>
      <c r="J76" s="59" t="str">
        <f>_xlfn.IFNA(IF(VLOOKUP($J$1&amp;$A76,'4.1 关键词原始数据'!$A:$N,S$2,FALSE)=0," ",VLOOKUP($J$1&amp;$A76,'4.1 关键词原始数据'!$A:$N,S$2,FALSE))," ")</f>
        <v> </v>
      </c>
      <c r="K76" s="59" t="str">
        <f>_xlfn.IFNA(IF(VLOOKUP($J$1&amp;$A76,'4.1 关键词原始数据'!$A:$N,T$2,FALSE)=0," ",VLOOKUP($J$1&amp;$A76,'4.1 关键词原始数据'!$A:$N,T$2,FALSE))," ")</f>
        <v> </v>
      </c>
      <c r="L76" s="59" t="str">
        <f>_xlfn.IFNA(IF(VLOOKUP($J$1&amp;$A76,'4.1 关键词原始数据'!$A:$N,U$2,FALSE)=0," ",VLOOKUP($J$1&amp;$A76,'4.1 关键词原始数据'!$A:$N,U$2,FALSE))," ")</f>
        <v> </v>
      </c>
      <c r="M76" s="59" t="str">
        <f>_xlfn.IFNA(IF(VLOOKUP($J$1&amp;$A76,'4.1 关键词原始数据'!$A:$N,V$2,FALSE)=0," ",VLOOKUP($J$1&amp;$A76,'4.1 关键词原始数据'!$A:$N,V$2,FALSE))," ")</f>
        <v> </v>
      </c>
      <c r="N76" s="59" t="str">
        <f>_xlfn.IFNA(IF(VLOOKUP($J$1&amp;$A76,'4.1 关键词原始数据'!$A:$N,W$2,FALSE)=0," ",VLOOKUP($J$1&amp;$A76,'4.1 关键词原始数据'!$A:$N,W$2,FALSE))," ")</f>
        <v> </v>
      </c>
      <c r="O76" s="59" t="str">
        <f>_xlfn.IFNA(IF(VLOOKUP($J$1&amp;$A76,'4.1 关键词原始数据'!$A:$N,X$2,FALSE)=0," ",VLOOKUP($J$1&amp;$A76,'4.1 关键词原始数据'!$A:$N,X$2,FALSE))," ")</f>
        <v> </v>
      </c>
      <c r="P76" s="59" t="str">
        <f>_xlfn.IFNA(IF(VLOOKUP($J$1&amp;$A76,'4.1 关键词原始数据'!$A:$N,Y$2,FALSE)=0," ",VLOOKUP($J$1&amp;$A76,'4.1 关键词原始数据'!$A:$N,Y$2,FALSE))," ")</f>
        <v> </v>
      </c>
      <c r="Q76" s="59" t="str">
        <f>_xlfn.IFNA(IF(VLOOKUP($J$1&amp;$A76,'4.1 关键词原始数据'!$A:$N,Z$2,FALSE)=0," ",VLOOKUP($J$1&amp;$A76,'4.1 关键词原始数据'!$A:$N,Z$2,FALSE))," ")</f>
        <v> </v>
      </c>
    </row>
    <row r="77" ht="17.4" spans="1:17">
      <c r="A77" s="65" t="s">
        <v>561</v>
      </c>
      <c r="B77" s="59" t="str">
        <f>_xlfn.IFNA(IF(VLOOKUP($B$1&amp;$A77,'4.1 关键词原始数据'!$A:$N,S$2,FALSE)=0," ",VLOOKUP($B$1&amp;$A77,'4.1 关键词原始数据'!$A:$N,S$2,FALSE))," ")</f>
        <v> </v>
      </c>
      <c r="C77" s="59" t="str">
        <f>_xlfn.IFNA(IF(VLOOKUP($B$1&amp;$A77,'4.1 关键词原始数据'!$A:$N,T$2,FALSE)=0," ",VLOOKUP($B$1&amp;$A77,'4.1 关键词原始数据'!$A:$N,T$2,FALSE))," ")</f>
        <v>2-3-4</v>
      </c>
      <c r="D77" s="59" t="str">
        <f>_xlfn.IFNA(IF(VLOOKUP($B$1&amp;$A77,'4.1 关键词原始数据'!$A:$N,U$2,FALSE)=0," ",VLOOKUP($B$1&amp;$A77,'4.1 关键词原始数据'!$A:$N,U$2,FALSE))," ")</f>
        <v> </v>
      </c>
      <c r="E77" s="59" t="str">
        <f>_xlfn.IFNA(IF(VLOOKUP($B$1&amp;$A77,'4.1 关键词原始数据'!$A:$N,V$2,FALSE)=0," ",VLOOKUP($B$1&amp;$A77,'4.1 关键词原始数据'!$A:$N,V$2,FALSE))," ")</f>
        <v> </v>
      </c>
      <c r="F77" s="59" t="str">
        <f>_xlfn.IFNA(IF(VLOOKUP($B$1&amp;$A77,'4.1 关键词原始数据'!$A:$N,W$2,FALSE)=0," ",VLOOKUP($B$1&amp;$A77,'4.1 关键词原始数据'!$A:$N,W$2,FALSE))," ")</f>
        <v> </v>
      </c>
      <c r="G77" s="59" t="str">
        <f>_xlfn.IFNA(IF(VLOOKUP($B$1&amp;$A77,'4.1 关键词原始数据'!$A:$N,X$2,FALSE)=0," ",VLOOKUP($B$1&amp;$A77,'4.1 关键词原始数据'!$A:$N,X$2,FALSE))," ")</f>
        <v>1-16-2</v>
      </c>
      <c r="H77" s="59" t="str">
        <f>_xlfn.IFNA(IF(VLOOKUP($B$1&amp;$A77,'4.1 关键词原始数据'!$A:$N,Y$2,FALSE)=0," ",VLOOKUP($B$1&amp;$A77,'4.1 关键词原始数据'!$A:$N,Y$2,FALSE))," ")</f>
        <v> </v>
      </c>
      <c r="I77" s="59" t="str">
        <f>_xlfn.IFNA(IF(VLOOKUP($B$1&amp;$A77,'4.1 关键词原始数据'!$A:$N,Z$2,FALSE)=0," ",VLOOKUP($B$1&amp;$A77,'4.1 关键词原始数据'!$A:$N,Z$2,FALSE))," ")</f>
        <v> </v>
      </c>
      <c r="J77" s="59" t="str">
        <f>_xlfn.IFNA(IF(VLOOKUP($J$1&amp;$A77,'4.1 关键词原始数据'!$A:$N,S$2,FALSE)=0," ",VLOOKUP($J$1&amp;$A77,'4.1 关键词原始数据'!$A:$N,S$2,FALSE))," ")</f>
        <v> </v>
      </c>
      <c r="K77" s="59" t="str">
        <f>_xlfn.IFNA(IF(VLOOKUP($J$1&amp;$A77,'4.1 关键词原始数据'!$A:$N,T$2,FALSE)=0," ",VLOOKUP($J$1&amp;$A77,'4.1 关键词原始数据'!$A:$N,T$2,FALSE))," ")</f>
        <v> </v>
      </c>
      <c r="L77" s="59" t="str">
        <f>_xlfn.IFNA(IF(VLOOKUP($J$1&amp;$A77,'4.1 关键词原始数据'!$A:$N,U$2,FALSE)=0," ",VLOOKUP($J$1&amp;$A77,'4.1 关键词原始数据'!$A:$N,U$2,FALSE))," ")</f>
        <v> </v>
      </c>
      <c r="M77" s="59" t="str">
        <f>_xlfn.IFNA(IF(VLOOKUP($J$1&amp;$A77,'4.1 关键词原始数据'!$A:$N,V$2,FALSE)=0," ",VLOOKUP($J$1&amp;$A77,'4.1 关键词原始数据'!$A:$N,V$2,FALSE))," ")</f>
        <v>4-7-4</v>
      </c>
      <c r="N77" s="59" t="str">
        <f>_xlfn.IFNA(IF(VLOOKUP($J$1&amp;$A77,'4.1 关键词原始数据'!$A:$N,W$2,FALSE)=0," ",VLOOKUP($J$1&amp;$A77,'4.1 关键词原始数据'!$A:$N,W$2,FALSE))," ")</f>
        <v>2-6-4</v>
      </c>
      <c r="O77" s="59" t="str">
        <f>_xlfn.IFNA(IF(VLOOKUP($J$1&amp;$A77,'4.1 关键词原始数据'!$A:$N,X$2,FALSE)=0," ",VLOOKUP($J$1&amp;$A77,'4.1 关键词原始数据'!$A:$N,X$2,FALSE))," ")</f>
        <v> </v>
      </c>
      <c r="P77" s="59" t="str">
        <f>_xlfn.IFNA(IF(VLOOKUP($J$1&amp;$A77,'4.1 关键词原始数据'!$A:$N,Y$2,FALSE)=0," ",VLOOKUP($J$1&amp;$A77,'4.1 关键词原始数据'!$A:$N,Y$2,FALSE))," ")</f>
        <v> </v>
      </c>
      <c r="Q77" s="59" t="str">
        <f>_xlfn.IFNA(IF(VLOOKUP($J$1&amp;$A77,'4.1 关键词原始数据'!$A:$N,Z$2,FALSE)=0," ",VLOOKUP($J$1&amp;$A77,'4.1 关键词原始数据'!$A:$N,Z$2,FALSE))," ")</f>
        <v> </v>
      </c>
    </row>
    <row r="78" ht="17.4" spans="1:17">
      <c r="A78" s="65" t="s">
        <v>562</v>
      </c>
      <c r="B78" s="59" t="str">
        <f>_xlfn.IFNA(IF(VLOOKUP($B$1&amp;$A78,'4.1 关键词原始数据'!$A:$N,S$2,FALSE)=0," ",VLOOKUP($B$1&amp;$A78,'4.1 关键词原始数据'!$A:$N,S$2,FALSE))," ")</f>
        <v> </v>
      </c>
      <c r="C78" s="59" t="str">
        <f>_xlfn.IFNA(IF(VLOOKUP($B$1&amp;$A78,'4.1 关键词原始数据'!$A:$N,T$2,FALSE)=0," ",VLOOKUP($B$1&amp;$A78,'4.1 关键词原始数据'!$A:$N,T$2,FALSE))," ")</f>
        <v>4-9-3</v>
      </c>
      <c r="D78" s="59" t="str">
        <f>_xlfn.IFNA(IF(VLOOKUP($B$1&amp;$A78,'4.1 关键词原始数据'!$A:$N,U$2,FALSE)=0," ",VLOOKUP($B$1&amp;$A78,'4.1 关键词原始数据'!$A:$N,U$2,FALSE))," ")</f>
        <v> </v>
      </c>
      <c r="E78" s="59" t="str">
        <f>_xlfn.IFNA(IF(VLOOKUP($B$1&amp;$A78,'4.1 关键词原始数据'!$A:$N,V$2,FALSE)=0," ",VLOOKUP($B$1&amp;$A78,'4.1 关键词原始数据'!$A:$N,V$2,FALSE))," ")</f>
        <v> </v>
      </c>
      <c r="F78" s="59" t="str">
        <f>_xlfn.IFNA(IF(VLOOKUP($B$1&amp;$A78,'4.1 关键词原始数据'!$A:$N,W$2,FALSE)=0," ",VLOOKUP($B$1&amp;$A78,'4.1 关键词原始数据'!$A:$N,W$2,FALSE))," ")</f>
        <v> </v>
      </c>
      <c r="G78" s="59" t="str">
        <f>_xlfn.IFNA(IF(VLOOKUP($B$1&amp;$A78,'4.1 关键词原始数据'!$A:$N,X$2,FALSE)=0," ",VLOOKUP($B$1&amp;$A78,'4.1 关键词原始数据'!$A:$N,X$2,FALSE))," ")</f>
        <v>3-8-3</v>
      </c>
      <c r="H78" s="59" t="str">
        <f>_xlfn.IFNA(IF(VLOOKUP($B$1&amp;$A78,'4.1 关键词原始数据'!$A:$N,Y$2,FALSE)=0," ",VLOOKUP($B$1&amp;$A78,'4.1 关键词原始数据'!$A:$N,Y$2,FALSE))," ")</f>
        <v> </v>
      </c>
      <c r="I78" s="59" t="str">
        <f>_xlfn.IFNA(IF(VLOOKUP($B$1&amp;$A78,'4.1 关键词原始数据'!$A:$N,Z$2,FALSE)=0," ",VLOOKUP($B$1&amp;$A78,'4.1 关键词原始数据'!$A:$N,Z$2,FALSE))," ")</f>
        <v> </v>
      </c>
      <c r="J78" s="59" t="str">
        <f>_xlfn.IFNA(IF(VLOOKUP($J$1&amp;$A78,'4.1 关键词原始数据'!$A:$N,S$2,FALSE)=0," ",VLOOKUP($J$1&amp;$A78,'4.1 关键词原始数据'!$A:$N,S$2,FALSE))," ")</f>
        <v> </v>
      </c>
      <c r="K78" s="59" t="str">
        <f>_xlfn.IFNA(IF(VLOOKUP($J$1&amp;$A78,'4.1 关键词原始数据'!$A:$N,T$2,FALSE)=0," ",VLOOKUP($J$1&amp;$A78,'4.1 关键词原始数据'!$A:$N,T$2,FALSE))," ")</f>
        <v> </v>
      </c>
      <c r="L78" s="59" t="str">
        <f>_xlfn.IFNA(IF(VLOOKUP($J$1&amp;$A78,'4.1 关键词原始数据'!$A:$N,U$2,FALSE)=0," ",VLOOKUP($J$1&amp;$A78,'4.1 关键词原始数据'!$A:$N,U$2,FALSE))," ")</f>
        <v> </v>
      </c>
      <c r="M78" s="59" t="str">
        <f>_xlfn.IFNA(IF(VLOOKUP($J$1&amp;$A78,'4.1 关键词原始数据'!$A:$N,V$2,FALSE)=0," ",VLOOKUP($J$1&amp;$A78,'4.1 关键词原始数据'!$A:$N,V$2,FALSE))," ")</f>
        <v>4-2-4</v>
      </c>
      <c r="N78" s="59" t="str">
        <f>_xlfn.IFNA(IF(VLOOKUP($J$1&amp;$A78,'4.1 关键词原始数据'!$A:$N,W$2,FALSE)=0," ",VLOOKUP($J$1&amp;$A78,'4.1 关键词原始数据'!$A:$N,W$2,FALSE))," ")</f>
        <v>3-10-4</v>
      </c>
      <c r="O78" s="59" t="str">
        <f>_xlfn.IFNA(IF(VLOOKUP($J$1&amp;$A78,'4.1 关键词原始数据'!$A:$N,X$2,FALSE)=0," ",VLOOKUP($J$1&amp;$A78,'4.1 关键词原始数据'!$A:$N,X$2,FALSE))," ")</f>
        <v> </v>
      </c>
      <c r="P78" s="59" t="str">
        <f>_xlfn.IFNA(IF(VLOOKUP($J$1&amp;$A78,'4.1 关键词原始数据'!$A:$N,Y$2,FALSE)=0," ",VLOOKUP($J$1&amp;$A78,'4.1 关键词原始数据'!$A:$N,Y$2,FALSE))," ")</f>
        <v> </v>
      </c>
      <c r="Q78" s="59" t="str">
        <f>_xlfn.IFNA(IF(VLOOKUP($J$1&amp;$A78,'4.1 关键词原始数据'!$A:$N,Z$2,FALSE)=0," ",VLOOKUP($J$1&amp;$A78,'4.1 关键词原始数据'!$A:$N,Z$2,FALSE))," ")</f>
        <v> </v>
      </c>
    </row>
    <row r="79" ht="17.4" spans="1:17">
      <c r="A79" s="65" t="s">
        <v>563</v>
      </c>
      <c r="B79" s="59" t="str">
        <f>_xlfn.IFNA(IF(VLOOKUP($B$1&amp;$A79,'4.1 关键词原始数据'!$A:$N,S$2,FALSE)=0," ",VLOOKUP($B$1&amp;$A79,'4.1 关键词原始数据'!$A:$N,S$2,FALSE))," ")</f>
        <v> </v>
      </c>
      <c r="C79" s="59" t="str">
        <f>_xlfn.IFNA(IF(VLOOKUP($B$1&amp;$A79,'4.1 关键词原始数据'!$A:$N,T$2,FALSE)=0," ",VLOOKUP($B$1&amp;$A79,'4.1 关键词原始数据'!$A:$N,T$2,FALSE))," ")</f>
        <v>4-8-3</v>
      </c>
      <c r="D79" s="59" t="str">
        <f>_xlfn.IFNA(IF(VLOOKUP($B$1&amp;$A79,'4.1 关键词原始数据'!$A:$N,U$2,FALSE)=0," ",VLOOKUP($B$1&amp;$A79,'4.1 关键词原始数据'!$A:$N,U$2,FALSE))," ")</f>
        <v> </v>
      </c>
      <c r="E79" s="59" t="str">
        <f>_xlfn.IFNA(IF(VLOOKUP($B$1&amp;$A79,'4.1 关键词原始数据'!$A:$N,V$2,FALSE)=0," ",VLOOKUP($B$1&amp;$A79,'4.1 关键词原始数据'!$A:$N,V$2,FALSE))," ")</f>
        <v> </v>
      </c>
      <c r="F79" s="59" t="str">
        <f>_xlfn.IFNA(IF(VLOOKUP($B$1&amp;$A79,'4.1 关键词原始数据'!$A:$N,W$2,FALSE)=0," ",VLOOKUP($B$1&amp;$A79,'4.1 关键词原始数据'!$A:$N,W$2,FALSE))," ")</f>
        <v> </v>
      </c>
      <c r="G79" s="59" t="str">
        <f>_xlfn.IFNA(IF(VLOOKUP($B$1&amp;$A79,'4.1 关键词原始数据'!$A:$N,X$2,FALSE)=0," ",VLOOKUP($B$1&amp;$A79,'4.1 关键词原始数据'!$A:$N,X$2,FALSE))," ")</f>
        <v>3-8-2</v>
      </c>
      <c r="H79" s="59" t="str">
        <f>_xlfn.IFNA(IF(VLOOKUP($B$1&amp;$A79,'4.1 关键词原始数据'!$A:$N,Y$2,FALSE)=0," ",VLOOKUP($B$1&amp;$A79,'4.1 关键词原始数据'!$A:$N,Y$2,FALSE))," ")</f>
        <v> </v>
      </c>
      <c r="I79" s="59" t="str">
        <f>_xlfn.IFNA(IF(VLOOKUP($B$1&amp;$A79,'4.1 关键词原始数据'!$A:$N,Z$2,FALSE)=0," ",VLOOKUP($B$1&amp;$A79,'4.1 关键词原始数据'!$A:$N,Z$2,FALSE))," ")</f>
        <v> </v>
      </c>
      <c r="J79" s="59" t="str">
        <f>_xlfn.IFNA(IF(VLOOKUP($J$1&amp;$A79,'4.1 关键词原始数据'!$A:$N,S$2,FALSE)=0," ",VLOOKUP($J$1&amp;$A79,'4.1 关键词原始数据'!$A:$N,S$2,FALSE))," ")</f>
        <v> </v>
      </c>
      <c r="K79" s="59" t="str">
        <f>_xlfn.IFNA(IF(VLOOKUP($J$1&amp;$A79,'4.1 关键词原始数据'!$A:$N,T$2,FALSE)=0," ",VLOOKUP($J$1&amp;$A79,'4.1 关键词原始数据'!$A:$N,T$2,FALSE))," ")</f>
        <v> </v>
      </c>
      <c r="L79" s="59" t="str">
        <f>_xlfn.IFNA(IF(VLOOKUP($J$1&amp;$A79,'4.1 关键词原始数据'!$A:$N,U$2,FALSE)=0," ",VLOOKUP($J$1&amp;$A79,'4.1 关键词原始数据'!$A:$N,U$2,FALSE))," ")</f>
        <v> </v>
      </c>
      <c r="M79" s="59" t="str">
        <f>_xlfn.IFNA(IF(VLOOKUP($J$1&amp;$A79,'4.1 关键词原始数据'!$A:$N,V$2,FALSE)=0," ",VLOOKUP($J$1&amp;$A79,'4.1 关键词原始数据'!$A:$N,V$2,FALSE))," ")</f>
        <v>3-16-2</v>
      </c>
      <c r="N79" s="59" t="str">
        <f>_xlfn.IFNA(IF(VLOOKUP($J$1&amp;$A79,'4.1 关键词原始数据'!$A:$N,W$2,FALSE)=0," ",VLOOKUP($J$1&amp;$A79,'4.1 关键词原始数据'!$A:$N,W$2,FALSE))," ")</f>
        <v> </v>
      </c>
      <c r="O79" s="59" t="str">
        <f>_xlfn.IFNA(IF(VLOOKUP($J$1&amp;$A79,'4.1 关键词原始数据'!$A:$N,X$2,FALSE)=0," ",VLOOKUP($J$1&amp;$A79,'4.1 关键词原始数据'!$A:$N,X$2,FALSE))," ")</f>
        <v> </v>
      </c>
      <c r="P79" s="59" t="str">
        <f>_xlfn.IFNA(IF(VLOOKUP($J$1&amp;$A79,'4.1 关键词原始数据'!$A:$N,Y$2,FALSE)=0," ",VLOOKUP($J$1&amp;$A79,'4.1 关键词原始数据'!$A:$N,Y$2,FALSE))," ")</f>
        <v> </v>
      </c>
      <c r="Q79" s="59" t="str">
        <f>_xlfn.IFNA(IF(VLOOKUP($J$1&amp;$A79,'4.1 关键词原始数据'!$A:$N,Z$2,FALSE)=0," ",VLOOKUP($J$1&amp;$A79,'4.1 关键词原始数据'!$A:$N,Z$2,FALSE))," ")</f>
        <v> </v>
      </c>
    </row>
    <row r="80" ht="17.4" spans="1:17">
      <c r="A80" s="65" t="s">
        <v>564</v>
      </c>
      <c r="B80" s="59" t="str">
        <f>_xlfn.IFNA(IF(VLOOKUP($B$1&amp;$A80,'4.1 关键词原始数据'!$A:$N,S$2,FALSE)=0," ",VLOOKUP($B$1&amp;$A80,'4.1 关键词原始数据'!$A:$N,S$2,FALSE))," ")</f>
        <v> </v>
      </c>
      <c r="C80" s="59" t="str">
        <f>_xlfn.IFNA(IF(VLOOKUP($B$1&amp;$A80,'4.1 关键词原始数据'!$A:$N,T$2,FALSE)=0," ",VLOOKUP($B$1&amp;$A80,'4.1 关键词原始数据'!$A:$N,T$2,FALSE))," ")</f>
        <v>4-4-4</v>
      </c>
      <c r="D80" s="59" t="str">
        <f>_xlfn.IFNA(IF(VLOOKUP($B$1&amp;$A80,'4.1 关键词原始数据'!$A:$N,U$2,FALSE)=0," ",VLOOKUP($B$1&amp;$A80,'4.1 关键词原始数据'!$A:$N,U$2,FALSE))," ")</f>
        <v> </v>
      </c>
      <c r="E80" s="59" t="str">
        <f>_xlfn.IFNA(IF(VLOOKUP($B$1&amp;$A80,'4.1 关键词原始数据'!$A:$N,V$2,FALSE)=0," ",VLOOKUP($B$1&amp;$A80,'4.1 关键词原始数据'!$A:$N,V$2,FALSE))," ")</f>
        <v> </v>
      </c>
      <c r="F80" s="59" t="str">
        <f>_xlfn.IFNA(IF(VLOOKUP($B$1&amp;$A80,'4.1 关键词原始数据'!$A:$N,W$2,FALSE)=0," ",VLOOKUP($B$1&amp;$A80,'4.1 关键词原始数据'!$A:$N,W$2,FALSE))," ")</f>
        <v> </v>
      </c>
      <c r="G80" s="59" t="str">
        <f>_xlfn.IFNA(IF(VLOOKUP($B$1&amp;$A80,'4.1 关键词原始数据'!$A:$N,X$2,FALSE)=0," ",VLOOKUP($B$1&amp;$A80,'4.1 关键词原始数据'!$A:$N,X$2,FALSE))," ")</f>
        <v>3-7-4</v>
      </c>
      <c r="H80" s="59" t="str">
        <f>_xlfn.IFNA(IF(VLOOKUP($B$1&amp;$A80,'4.1 关键词原始数据'!$A:$N,Y$2,FALSE)=0," ",VLOOKUP($B$1&amp;$A80,'4.1 关键词原始数据'!$A:$N,Y$2,FALSE))," ")</f>
        <v> </v>
      </c>
      <c r="I80" s="59" t="str">
        <f>_xlfn.IFNA(IF(VLOOKUP($B$1&amp;$A80,'4.1 关键词原始数据'!$A:$N,Z$2,FALSE)=0," ",VLOOKUP($B$1&amp;$A80,'4.1 关键词原始数据'!$A:$N,Z$2,FALSE))," ")</f>
        <v> </v>
      </c>
      <c r="J80" s="59" t="str">
        <f>_xlfn.IFNA(IF(VLOOKUP($J$1&amp;$A80,'4.1 关键词原始数据'!$A:$N,S$2,FALSE)=0," ",VLOOKUP($J$1&amp;$A80,'4.1 关键词原始数据'!$A:$N,S$2,FALSE))," ")</f>
        <v> </v>
      </c>
      <c r="K80" s="59" t="str">
        <f>_xlfn.IFNA(IF(VLOOKUP($J$1&amp;$A80,'4.1 关键词原始数据'!$A:$N,T$2,FALSE)=0," ",VLOOKUP($J$1&amp;$A80,'4.1 关键词原始数据'!$A:$N,T$2,FALSE))," ")</f>
        <v> </v>
      </c>
      <c r="L80" s="59" t="str">
        <f>_xlfn.IFNA(IF(VLOOKUP($J$1&amp;$A80,'4.1 关键词原始数据'!$A:$N,U$2,FALSE)=0," ",VLOOKUP($J$1&amp;$A80,'4.1 关键词原始数据'!$A:$N,U$2,FALSE))," ")</f>
        <v> </v>
      </c>
      <c r="M80" s="59" t="str">
        <f>_xlfn.IFNA(IF(VLOOKUP($J$1&amp;$A80,'4.1 关键词原始数据'!$A:$N,V$2,FALSE)=0," ",VLOOKUP($J$1&amp;$A80,'4.1 关键词原始数据'!$A:$N,V$2,FALSE))," ")</f>
        <v>3-14-1</v>
      </c>
      <c r="N80" s="59" t="str">
        <f>_xlfn.IFNA(IF(VLOOKUP($J$1&amp;$A80,'4.1 关键词原始数据'!$A:$N,W$2,FALSE)=0," ",VLOOKUP($J$1&amp;$A80,'4.1 关键词原始数据'!$A:$N,W$2,FALSE))," ")</f>
        <v> </v>
      </c>
      <c r="O80" s="59" t="str">
        <f>_xlfn.IFNA(IF(VLOOKUP($J$1&amp;$A80,'4.1 关键词原始数据'!$A:$N,X$2,FALSE)=0," ",VLOOKUP($J$1&amp;$A80,'4.1 关键词原始数据'!$A:$N,X$2,FALSE))," ")</f>
        <v> </v>
      </c>
      <c r="P80" s="59" t="str">
        <f>_xlfn.IFNA(IF(VLOOKUP($J$1&amp;$A80,'4.1 关键词原始数据'!$A:$N,Y$2,FALSE)=0," ",VLOOKUP($J$1&amp;$A80,'4.1 关键词原始数据'!$A:$N,Y$2,FALSE))," ")</f>
        <v> </v>
      </c>
      <c r="Q80" s="59" t="str">
        <f>_xlfn.IFNA(IF(VLOOKUP($J$1&amp;$A80,'4.1 关键词原始数据'!$A:$N,Z$2,FALSE)=0," ",VLOOKUP($J$1&amp;$A80,'4.1 关键词原始数据'!$A:$N,Z$2,FALSE))," ")</f>
        <v> </v>
      </c>
    </row>
    <row r="81" ht="17.4" spans="1:17">
      <c r="A81" s="65" t="s">
        <v>565</v>
      </c>
      <c r="B81" s="59" t="str">
        <f>_xlfn.IFNA(IF(VLOOKUP($B$1&amp;$A81,'4.1 关键词原始数据'!$A:$N,S$2,FALSE)=0," ",VLOOKUP($B$1&amp;$A81,'4.1 关键词原始数据'!$A:$N,S$2,FALSE))," ")</f>
        <v> </v>
      </c>
      <c r="C81" s="59" t="str">
        <f>_xlfn.IFNA(IF(VLOOKUP($B$1&amp;$A81,'4.1 关键词原始数据'!$A:$N,T$2,FALSE)=0," ",VLOOKUP($B$1&amp;$A81,'4.1 关键词原始数据'!$A:$N,T$2,FALSE))," ")</f>
        <v>4-4-4</v>
      </c>
      <c r="D81" s="59" t="str">
        <f>_xlfn.IFNA(IF(VLOOKUP($B$1&amp;$A81,'4.1 关键词原始数据'!$A:$N,U$2,FALSE)=0," ",VLOOKUP($B$1&amp;$A81,'4.1 关键词原始数据'!$A:$N,U$2,FALSE))," ")</f>
        <v> </v>
      </c>
      <c r="E81" s="59" t="str">
        <f>_xlfn.IFNA(IF(VLOOKUP($B$1&amp;$A81,'4.1 关键词原始数据'!$A:$N,V$2,FALSE)=0," ",VLOOKUP($B$1&amp;$A81,'4.1 关键词原始数据'!$A:$N,V$2,FALSE))," ")</f>
        <v> </v>
      </c>
      <c r="F81" s="59" t="str">
        <f>_xlfn.IFNA(IF(VLOOKUP($B$1&amp;$A81,'4.1 关键词原始数据'!$A:$N,W$2,FALSE)=0," ",VLOOKUP($B$1&amp;$A81,'4.1 关键词原始数据'!$A:$N,W$2,FALSE))," ")</f>
        <v> </v>
      </c>
      <c r="G81" s="59" t="str">
        <f>_xlfn.IFNA(IF(VLOOKUP($B$1&amp;$A81,'4.1 关键词原始数据'!$A:$N,X$2,FALSE)=0," ",VLOOKUP($B$1&amp;$A81,'4.1 关键词原始数据'!$A:$N,X$2,FALSE))," ")</f>
        <v>3-9-3</v>
      </c>
      <c r="H81" s="59" t="str">
        <f>_xlfn.IFNA(IF(VLOOKUP($B$1&amp;$A81,'4.1 关键词原始数据'!$A:$N,Y$2,FALSE)=0," ",VLOOKUP($B$1&amp;$A81,'4.1 关键词原始数据'!$A:$N,Y$2,FALSE))," ")</f>
        <v> </v>
      </c>
      <c r="I81" s="59" t="str">
        <f>_xlfn.IFNA(IF(VLOOKUP($B$1&amp;$A81,'4.1 关键词原始数据'!$A:$N,Z$2,FALSE)=0," ",VLOOKUP($B$1&amp;$A81,'4.1 关键词原始数据'!$A:$N,Z$2,FALSE))," ")</f>
        <v> </v>
      </c>
      <c r="J81" s="59" t="str">
        <f>_xlfn.IFNA(IF(VLOOKUP($J$1&amp;$A81,'4.1 关键词原始数据'!$A:$N,S$2,FALSE)=0," ",VLOOKUP($J$1&amp;$A81,'4.1 关键词原始数据'!$A:$N,S$2,FALSE))," ")</f>
        <v> </v>
      </c>
      <c r="K81" s="59" t="str">
        <f>_xlfn.IFNA(IF(VLOOKUP($J$1&amp;$A81,'4.1 关键词原始数据'!$A:$N,T$2,FALSE)=0," ",VLOOKUP($J$1&amp;$A81,'4.1 关键词原始数据'!$A:$N,T$2,FALSE))," ")</f>
        <v> </v>
      </c>
      <c r="L81" s="59" t="str">
        <f>_xlfn.IFNA(IF(VLOOKUP($J$1&amp;$A81,'4.1 关键词原始数据'!$A:$N,U$2,FALSE)=0," ",VLOOKUP($J$1&amp;$A81,'4.1 关键词原始数据'!$A:$N,U$2,FALSE))," ")</f>
        <v> </v>
      </c>
      <c r="M81" s="59" t="str">
        <f>_xlfn.IFNA(IF(VLOOKUP($J$1&amp;$A81,'4.1 关键词原始数据'!$A:$N,V$2,FALSE)=0," ",VLOOKUP($J$1&amp;$A81,'4.1 关键词原始数据'!$A:$N,V$2,FALSE))," ")</f>
        <v>3-15-1</v>
      </c>
      <c r="N81" s="59" t="str">
        <f>_xlfn.IFNA(IF(VLOOKUP($J$1&amp;$A81,'4.1 关键词原始数据'!$A:$N,W$2,FALSE)=0," ",VLOOKUP($J$1&amp;$A81,'4.1 关键词原始数据'!$A:$N,W$2,FALSE))," ")</f>
        <v> </v>
      </c>
      <c r="O81" s="59" t="str">
        <f>_xlfn.IFNA(IF(VLOOKUP($J$1&amp;$A81,'4.1 关键词原始数据'!$A:$N,X$2,FALSE)=0," ",VLOOKUP($J$1&amp;$A81,'4.1 关键词原始数据'!$A:$N,X$2,FALSE))," ")</f>
        <v> </v>
      </c>
      <c r="P81" s="59" t="str">
        <f>_xlfn.IFNA(IF(VLOOKUP($J$1&amp;$A81,'4.1 关键词原始数据'!$A:$N,Y$2,FALSE)=0," ",VLOOKUP($J$1&amp;$A81,'4.1 关键词原始数据'!$A:$N,Y$2,FALSE))," ")</f>
        <v> </v>
      </c>
      <c r="Q81" s="59" t="str">
        <f>_xlfn.IFNA(IF(VLOOKUP($J$1&amp;$A81,'4.1 关键词原始数据'!$A:$N,Z$2,FALSE)=0," ",VLOOKUP($J$1&amp;$A81,'4.1 关键词原始数据'!$A:$N,Z$2,FALSE))," ")</f>
        <v> </v>
      </c>
    </row>
    <row r="82" ht="17.4" spans="1:17">
      <c r="A82" s="65" t="s">
        <v>566</v>
      </c>
      <c r="B82" s="59" t="str">
        <f>_xlfn.IFNA(IF(VLOOKUP($B$1&amp;$A82,'4.1 关键词原始数据'!$A:$N,S$2,FALSE)=0," ",VLOOKUP($B$1&amp;$A82,'4.1 关键词原始数据'!$A:$N,S$2,FALSE))," ")</f>
        <v> </v>
      </c>
      <c r="C82" s="59" t="str">
        <f>_xlfn.IFNA(IF(VLOOKUP($B$1&amp;$A82,'4.1 关键词原始数据'!$A:$N,T$2,FALSE)=0," ",VLOOKUP($B$1&amp;$A82,'4.1 关键词原始数据'!$A:$N,T$2,FALSE))," ")</f>
        <v>4-7-3</v>
      </c>
      <c r="D82" s="59" t="str">
        <f>_xlfn.IFNA(IF(VLOOKUP($B$1&amp;$A82,'4.1 关键词原始数据'!$A:$N,U$2,FALSE)=0," ",VLOOKUP($B$1&amp;$A82,'4.1 关键词原始数据'!$A:$N,U$2,FALSE))," ")</f>
        <v> </v>
      </c>
      <c r="E82" s="59" t="str">
        <f>_xlfn.IFNA(IF(VLOOKUP($B$1&amp;$A82,'4.1 关键词原始数据'!$A:$N,V$2,FALSE)=0," ",VLOOKUP($B$1&amp;$A82,'4.1 关键词原始数据'!$A:$N,V$2,FALSE))," ")</f>
        <v> </v>
      </c>
      <c r="F82" s="59" t="str">
        <f>_xlfn.IFNA(IF(VLOOKUP($B$1&amp;$A82,'4.1 关键词原始数据'!$A:$N,W$2,FALSE)=0," ",VLOOKUP($B$1&amp;$A82,'4.1 关键词原始数据'!$A:$N,W$2,FALSE))," ")</f>
        <v> </v>
      </c>
      <c r="G82" s="59" t="str">
        <f>_xlfn.IFNA(IF(VLOOKUP($B$1&amp;$A82,'4.1 关键词原始数据'!$A:$N,X$2,FALSE)=0," ",VLOOKUP($B$1&amp;$A82,'4.1 关键词原始数据'!$A:$N,X$2,FALSE))," ")</f>
        <v>3-11-1</v>
      </c>
      <c r="H82" s="59" t="str">
        <f>_xlfn.IFNA(IF(VLOOKUP($B$1&amp;$A82,'4.1 关键词原始数据'!$A:$N,Y$2,FALSE)=0," ",VLOOKUP($B$1&amp;$A82,'4.1 关键词原始数据'!$A:$N,Y$2,FALSE))," ")</f>
        <v> </v>
      </c>
      <c r="I82" s="59" t="str">
        <f>_xlfn.IFNA(IF(VLOOKUP($B$1&amp;$A82,'4.1 关键词原始数据'!$A:$N,Z$2,FALSE)=0," ",VLOOKUP($B$1&amp;$A82,'4.1 关键词原始数据'!$A:$N,Z$2,FALSE))," ")</f>
        <v> </v>
      </c>
      <c r="J82" s="59" t="str">
        <f>_xlfn.IFNA(IF(VLOOKUP($J$1&amp;$A82,'4.1 关键词原始数据'!$A:$N,S$2,FALSE)=0," ",VLOOKUP($J$1&amp;$A82,'4.1 关键词原始数据'!$A:$N,S$2,FALSE))," ")</f>
        <v> </v>
      </c>
      <c r="K82" s="59" t="str">
        <f>_xlfn.IFNA(IF(VLOOKUP($J$1&amp;$A82,'4.1 关键词原始数据'!$A:$N,T$2,FALSE)=0," ",VLOOKUP($J$1&amp;$A82,'4.1 关键词原始数据'!$A:$N,T$2,FALSE))," ")</f>
        <v> </v>
      </c>
      <c r="L82" s="59" t="str">
        <f>_xlfn.IFNA(IF(VLOOKUP($J$1&amp;$A82,'4.1 关键词原始数据'!$A:$N,U$2,FALSE)=0," ",VLOOKUP($J$1&amp;$A82,'4.1 关键词原始数据'!$A:$N,U$2,FALSE))," ")</f>
        <v> </v>
      </c>
      <c r="M82" s="59" t="str">
        <f>_xlfn.IFNA(IF(VLOOKUP($J$1&amp;$A82,'4.1 关键词原始数据'!$A:$N,V$2,FALSE)=0," ",VLOOKUP($J$1&amp;$A82,'4.1 关键词原始数据'!$A:$N,V$2,FALSE))," ")</f>
        <v>3-5-2</v>
      </c>
      <c r="N82" s="59" t="str">
        <f>_xlfn.IFNA(IF(VLOOKUP($J$1&amp;$A82,'4.1 关键词原始数据'!$A:$N,W$2,FALSE)=0," ",VLOOKUP($J$1&amp;$A82,'4.1 关键词原始数据'!$A:$N,W$2,FALSE))," ")</f>
        <v> </v>
      </c>
      <c r="O82" s="59" t="str">
        <f>_xlfn.IFNA(IF(VLOOKUP($J$1&amp;$A82,'4.1 关键词原始数据'!$A:$N,X$2,FALSE)=0," ",VLOOKUP($J$1&amp;$A82,'4.1 关键词原始数据'!$A:$N,X$2,FALSE))," ")</f>
        <v> </v>
      </c>
      <c r="P82" s="59" t="str">
        <f>_xlfn.IFNA(IF(VLOOKUP($J$1&amp;$A82,'4.1 关键词原始数据'!$A:$N,Y$2,FALSE)=0," ",VLOOKUP($J$1&amp;$A82,'4.1 关键词原始数据'!$A:$N,Y$2,FALSE))," ")</f>
        <v> </v>
      </c>
      <c r="Q82" s="59" t="str">
        <f>_xlfn.IFNA(IF(VLOOKUP($J$1&amp;$A82,'4.1 关键词原始数据'!$A:$N,Z$2,FALSE)=0," ",VLOOKUP($J$1&amp;$A82,'4.1 关键词原始数据'!$A:$N,Z$2,FALSE))," ")</f>
        <v> </v>
      </c>
    </row>
    <row r="83" ht="17.4" spans="1:17">
      <c r="A83" s="65" t="s">
        <v>567</v>
      </c>
      <c r="B83" s="59" t="str">
        <f>_xlfn.IFNA(IF(VLOOKUP($B$1&amp;$A83,'4.1 关键词原始数据'!$A:$N,S$2,FALSE)=0," ",VLOOKUP($B$1&amp;$A83,'4.1 关键词原始数据'!$A:$N,S$2,FALSE))," ")</f>
        <v> </v>
      </c>
      <c r="C83" s="59" t="str">
        <f>_xlfn.IFNA(IF(VLOOKUP($B$1&amp;$A83,'4.1 关键词原始数据'!$A:$N,T$2,FALSE)=0," ",VLOOKUP($B$1&amp;$A83,'4.1 关键词原始数据'!$A:$N,T$2,FALSE))," ")</f>
        <v>4-8-3</v>
      </c>
      <c r="D83" s="59" t="str">
        <f>_xlfn.IFNA(IF(VLOOKUP($B$1&amp;$A83,'4.1 关键词原始数据'!$A:$N,U$2,FALSE)=0," ",VLOOKUP($B$1&amp;$A83,'4.1 关键词原始数据'!$A:$N,U$2,FALSE))," ")</f>
        <v> </v>
      </c>
      <c r="E83" s="59" t="str">
        <f>_xlfn.IFNA(IF(VLOOKUP($B$1&amp;$A83,'4.1 关键词原始数据'!$A:$N,V$2,FALSE)=0," ",VLOOKUP($B$1&amp;$A83,'4.1 关键词原始数据'!$A:$N,V$2,FALSE))," ")</f>
        <v> </v>
      </c>
      <c r="F83" s="59" t="str">
        <f>_xlfn.IFNA(IF(VLOOKUP($B$1&amp;$A83,'4.1 关键词原始数据'!$A:$N,W$2,FALSE)=0," ",VLOOKUP($B$1&amp;$A83,'4.1 关键词原始数据'!$A:$N,W$2,FALSE))," ")</f>
        <v> </v>
      </c>
      <c r="G83" s="59" t="str">
        <f>_xlfn.IFNA(IF(VLOOKUP($B$1&amp;$A83,'4.1 关键词原始数据'!$A:$N,X$2,FALSE)=0," ",VLOOKUP($B$1&amp;$A83,'4.1 关键词原始数据'!$A:$N,X$2,FALSE))," ")</f>
        <v>3-11-1</v>
      </c>
      <c r="H83" s="59" t="str">
        <f>_xlfn.IFNA(IF(VLOOKUP($B$1&amp;$A83,'4.1 关键词原始数据'!$A:$N,Y$2,FALSE)=0," ",VLOOKUP($B$1&amp;$A83,'4.1 关键词原始数据'!$A:$N,Y$2,FALSE))," ")</f>
        <v> </v>
      </c>
      <c r="I83" s="59" t="str">
        <f>_xlfn.IFNA(IF(VLOOKUP($B$1&amp;$A83,'4.1 关键词原始数据'!$A:$N,Z$2,FALSE)=0," ",VLOOKUP($B$1&amp;$A83,'4.1 关键词原始数据'!$A:$N,Z$2,FALSE))," ")</f>
        <v> </v>
      </c>
      <c r="J83" s="59" t="str">
        <f>_xlfn.IFNA(IF(VLOOKUP($J$1&amp;$A83,'4.1 关键词原始数据'!$A:$N,S$2,FALSE)=0," ",VLOOKUP($J$1&amp;$A83,'4.1 关键词原始数据'!$A:$N,S$2,FALSE))," ")</f>
        <v> </v>
      </c>
      <c r="K83" s="59" t="str">
        <f>_xlfn.IFNA(IF(VLOOKUP($J$1&amp;$A83,'4.1 关键词原始数据'!$A:$N,T$2,FALSE)=0," ",VLOOKUP($J$1&amp;$A83,'4.1 关键词原始数据'!$A:$N,T$2,FALSE))," ")</f>
        <v> </v>
      </c>
      <c r="L83" s="59" t="str">
        <f>_xlfn.IFNA(IF(VLOOKUP($J$1&amp;$A83,'4.1 关键词原始数据'!$A:$N,U$2,FALSE)=0," ",VLOOKUP($J$1&amp;$A83,'4.1 关键词原始数据'!$A:$N,U$2,FALSE))," ")</f>
        <v> </v>
      </c>
      <c r="M83" s="59" t="str">
        <f>_xlfn.IFNA(IF(VLOOKUP($J$1&amp;$A83,'4.1 关键词原始数据'!$A:$N,V$2,FALSE)=0," ",VLOOKUP($J$1&amp;$A83,'4.1 关键词原始数据'!$A:$N,V$2,FALSE))," ")</f>
        <v>3-2-2</v>
      </c>
      <c r="N83" s="59" t="str">
        <f>_xlfn.IFNA(IF(VLOOKUP($J$1&amp;$A83,'4.1 关键词原始数据'!$A:$N,W$2,FALSE)=0," ",VLOOKUP($J$1&amp;$A83,'4.1 关键词原始数据'!$A:$N,W$2,FALSE))," ")</f>
        <v> </v>
      </c>
      <c r="O83" s="59" t="str">
        <f>_xlfn.IFNA(IF(VLOOKUP($J$1&amp;$A83,'4.1 关键词原始数据'!$A:$N,X$2,FALSE)=0," ",VLOOKUP($J$1&amp;$A83,'4.1 关键词原始数据'!$A:$N,X$2,FALSE))," ")</f>
        <v> </v>
      </c>
      <c r="P83" s="59" t="str">
        <f>_xlfn.IFNA(IF(VLOOKUP($J$1&amp;$A83,'4.1 关键词原始数据'!$A:$N,Y$2,FALSE)=0," ",VLOOKUP($J$1&amp;$A83,'4.1 关键词原始数据'!$A:$N,Y$2,FALSE))," ")</f>
        <v> </v>
      </c>
      <c r="Q83" s="59" t="str">
        <f>_xlfn.IFNA(IF(VLOOKUP($J$1&amp;$A83,'4.1 关键词原始数据'!$A:$N,Z$2,FALSE)=0," ",VLOOKUP($J$1&amp;$A83,'4.1 关键词原始数据'!$A:$N,Z$2,FALSE))," ")</f>
        <v> </v>
      </c>
    </row>
    <row r="84" ht="17.4" spans="1:17">
      <c r="A84" s="65" t="s">
        <v>568</v>
      </c>
      <c r="B84" s="59" t="str">
        <f>_xlfn.IFNA(IF(VLOOKUP($B$1&amp;$A84,'4.1 关键词原始数据'!$A:$N,S$2,FALSE)=0," ",VLOOKUP($B$1&amp;$A84,'4.1 关键词原始数据'!$A:$N,S$2,FALSE))," ")</f>
        <v> </v>
      </c>
      <c r="C84" s="59" t="str">
        <f>_xlfn.IFNA(IF(VLOOKUP($B$1&amp;$A84,'4.1 关键词原始数据'!$A:$N,T$2,FALSE)=0," ",VLOOKUP($B$1&amp;$A84,'4.1 关键词原始数据'!$A:$N,T$2,FALSE))," ")</f>
        <v> </v>
      </c>
      <c r="D84" s="59" t="str">
        <f>_xlfn.IFNA(IF(VLOOKUP($B$1&amp;$A84,'4.1 关键词原始数据'!$A:$N,U$2,FALSE)=0," ",VLOOKUP($B$1&amp;$A84,'4.1 关键词原始数据'!$A:$N,U$2,FALSE))," ")</f>
        <v> </v>
      </c>
      <c r="E84" s="59" t="str">
        <f>_xlfn.IFNA(IF(VLOOKUP($B$1&amp;$A84,'4.1 关键词原始数据'!$A:$N,V$2,FALSE)=0," ",VLOOKUP($B$1&amp;$A84,'4.1 关键词原始数据'!$A:$N,V$2,FALSE))," ")</f>
        <v> </v>
      </c>
      <c r="F84" s="59" t="str">
        <f>_xlfn.IFNA(IF(VLOOKUP($B$1&amp;$A84,'4.1 关键词原始数据'!$A:$N,W$2,FALSE)=0," ",VLOOKUP($B$1&amp;$A84,'4.1 关键词原始数据'!$A:$N,W$2,FALSE))," ")</f>
        <v> </v>
      </c>
      <c r="G84" s="59" t="str">
        <f>_xlfn.IFNA(IF(VLOOKUP($B$1&amp;$A84,'4.1 关键词原始数据'!$A:$N,X$2,FALSE)=0," ",VLOOKUP($B$1&amp;$A84,'4.1 关键词原始数据'!$A:$N,X$2,FALSE))," ")</f>
        <v>5-3-1</v>
      </c>
      <c r="H84" s="59" t="str">
        <f>_xlfn.IFNA(IF(VLOOKUP($B$1&amp;$A84,'4.1 关键词原始数据'!$A:$N,Y$2,FALSE)=0," ",VLOOKUP($B$1&amp;$A84,'4.1 关键词原始数据'!$A:$N,Y$2,FALSE))," ")</f>
        <v> </v>
      </c>
      <c r="I84" s="59" t="str">
        <f>_xlfn.IFNA(IF(VLOOKUP($B$1&amp;$A84,'4.1 关键词原始数据'!$A:$N,Z$2,FALSE)=0," ",VLOOKUP($B$1&amp;$A84,'4.1 关键词原始数据'!$A:$N,Z$2,FALSE))," ")</f>
        <v> </v>
      </c>
      <c r="J84" s="59" t="str">
        <f>_xlfn.IFNA(IF(VLOOKUP($J$1&amp;$A84,'4.1 关键词原始数据'!$A:$N,S$2,FALSE)=0," ",VLOOKUP($J$1&amp;$A84,'4.1 关键词原始数据'!$A:$N,S$2,FALSE))," ")</f>
        <v> </v>
      </c>
      <c r="K84" s="59" t="str">
        <f>_xlfn.IFNA(IF(VLOOKUP($J$1&amp;$A84,'4.1 关键词原始数据'!$A:$N,T$2,FALSE)=0," ",VLOOKUP($J$1&amp;$A84,'4.1 关键词原始数据'!$A:$N,T$2,FALSE))," ")</f>
        <v> </v>
      </c>
      <c r="L84" s="59" t="str">
        <f>_xlfn.IFNA(IF(VLOOKUP($J$1&amp;$A84,'4.1 关键词原始数据'!$A:$N,U$2,FALSE)=0," ",VLOOKUP($J$1&amp;$A84,'4.1 关键词原始数据'!$A:$N,U$2,FALSE))," ")</f>
        <v> </v>
      </c>
      <c r="M84" s="59" t="str">
        <f>_xlfn.IFNA(IF(VLOOKUP($J$1&amp;$A84,'4.1 关键词原始数据'!$A:$N,V$2,FALSE)=0," ",VLOOKUP($J$1&amp;$A84,'4.1 关键词原始数据'!$A:$N,V$2,FALSE))," ")</f>
        <v>4-2-2</v>
      </c>
      <c r="N84" s="59" t="str">
        <f>_xlfn.IFNA(IF(VLOOKUP($J$1&amp;$A84,'4.1 关键词原始数据'!$A:$N,W$2,FALSE)=0," ",VLOOKUP($J$1&amp;$A84,'4.1 关键词原始数据'!$A:$N,W$2,FALSE))," ")</f>
        <v>1-1-1</v>
      </c>
      <c r="O84" s="59" t="str">
        <f>_xlfn.IFNA(IF(VLOOKUP($J$1&amp;$A84,'4.1 关键词原始数据'!$A:$N,X$2,FALSE)=0," ",VLOOKUP($J$1&amp;$A84,'4.1 关键词原始数据'!$A:$N,X$2,FALSE))," ")</f>
        <v> </v>
      </c>
      <c r="P84" s="59" t="str">
        <f>_xlfn.IFNA(IF(VLOOKUP($J$1&amp;$A84,'4.1 关键词原始数据'!$A:$N,Y$2,FALSE)=0," ",VLOOKUP($J$1&amp;$A84,'4.1 关键词原始数据'!$A:$N,Y$2,FALSE))," ")</f>
        <v> </v>
      </c>
      <c r="Q84" s="59" t="str">
        <f>_xlfn.IFNA(IF(VLOOKUP($J$1&amp;$A84,'4.1 关键词原始数据'!$A:$N,Z$2,FALSE)=0," ",VLOOKUP($J$1&amp;$A84,'4.1 关键词原始数据'!$A:$N,Z$2,FALSE))," ")</f>
        <v> </v>
      </c>
    </row>
    <row r="85" ht="17.4" spans="1:17">
      <c r="A85" s="65" t="s">
        <v>569</v>
      </c>
      <c r="Q85" s="59"/>
    </row>
  </sheetData>
  <sheetProtection formatCells="0" insertHyperlinks="0" autoFilter="0"/>
  <mergeCells count="12">
    <mergeCell ref="B1:I1"/>
    <mergeCell ref="J1:Q1"/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Q85">
    <cfRule type="containsText" dxfId="1" priority="3" operator="between" text="-">
      <formula>NOT(ISERROR(SEARCH("-",Q85)))</formula>
    </cfRule>
  </conditionalFormatting>
  <conditionalFormatting sqref="B5:I84 B85:N96">
    <cfRule type="containsText" dxfId="1" priority="4" operator="between" text="-">
      <formula>NOT(ISERROR(SEARCH("-",B5)))</formula>
    </cfRule>
  </conditionalFormatting>
  <conditionalFormatting sqref="J5:Q84">
    <cfRule type="containsText" dxfId="1" priority="1" operator="between" text="-">
      <formula>NOT(ISERROR(SEARCH("-",J5)))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"/>
  <sheetViews>
    <sheetView topLeftCell="A2" workbookViewId="0">
      <selection activeCell="F15" sqref="F15"/>
    </sheetView>
  </sheetViews>
  <sheetFormatPr defaultColWidth="9" defaultRowHeight="17.4"/>
  <cols>
    <col min="1" max="1" width="16.4666666666667" style="38" customWidth="1"/>
    <col min="2" max="6" width="14.25" style="38" customWidth="1"/>
    <col min="7" max="7" width="14.4166666666667" style="38" customWidth="1"/>
    <col min="8" max="8" width="5.00833333333333" style="38" customWidth="1"/>
    <col min="9" max="9" width="19.4916666666667" style="38" customWidth="1"/>
    <col min="10" max="13" width="14.25" style="38" customWidth="1"/>
    <col min="14" max="14" width="13.8333333333333" style="38" customWidth="1"/>
    <col min="15" max="15" width="16.9916666666667" style="38" customWidth="1"/>
    <col min="18" max="18" width="7.44166666666667"/>
  </cols>
  <sheetData>
    <row r="1" ht="91" customHeight="1" spans="1:15">
      <c r="A1" s="39" t="s">
        <v>407</v>
      </c>
      <c r="B1" s="40" t="s">
        <v>570</v>
      </c>
      <c r="C1" s="41"/>
      <c r="D1" s="41"/>
      <c r="E1" s="41"/>
      <c r="F1" s="41"/>
      <c r="G1" s="41"/>
      <c r="H1" s="41"/>
      <c r="I1" s="41"/>
      <c r="J1" s="41"/>
      <c r="K1" s="41"/>
    </row>
    <row r="2" ht="106" customHeight="1" spans="1:15">
      <c r="A2" s="42" t="s">
        <v>409</v>
      </c>
      <c r="B2" s="42" t="s">
        <v>5</v>
      </c>
      <c r="C2" s="42" t="s">
        <v>239</v>
      </c>
      <c r="D2" s="42" t="s">
        <v>410</v>
      </c>
      <c r="E2" s="42" t="s">
        <v>165</v>
      </c>
      <c r="F2" s="43"/>
      <c r="G2" s="43"/>
      <c r="I2" s="44" t="s">
        <v>411</v>
      </c>
      <c r="J2" s="45" t="s">
        <v>261</v>
      </c>
      <c r="K2" s="44" t="s">
        <v>239</v>
      </c>
      <c r="L2" s="45" t="s">
        <v>412</v>
      </c>
      <c r="M2" s="44" t="s">
        <v>165</v>
      </c>
      <c r="N2" s="46"/>
      <c r="O2" s="47"/>
    </row>
    <row r="3" spans="1:15">
      <c r="A3" s="48" t="s">
        <v>277</v>
      </c>
      <c r="B3" s="48" t="s">
        <v>571</v>
      </c>
      <c r="C3" s="48" t="s">
        <v>572</v>
      </c>
      <c r="D3" s="48" t="s">
        <v>573</v>
      </c>
      <c r="E3" s="48" t="s">
        <v>574</v>
      </c>
      <c r="F3" s="48" t="s">
        <v>575</v>
      </c>
      <c r="G3" s="48" t="s">
        <v>576</v>
      </c>
      <c r="I3" s="48" t="s">
        <v>277</v>
      </c>
      <c r="J3" s="48" t="s">
        <v>571</v>
      </c>
      <c r="K3" s="48" t="s">
        <v>572</v>
      </c>
      <c r="L3" s="48" t="s">
        <v>573</v>
      </c>
      <c r="M3" s="48" t="s">
        <v>574</v>
      </c>
      <c r="N3" s="48" t="s">
        <v>575</v>
      </c>
      <c r="O3" s="48" t="s">
        <v>576</v>
      </c>
    </row>
    <row r="4" spans="1:15">
      <c r="A4" s="49" t="s">
        <v>577</v>
      </c>
      <c r="E4" s="50"/>
      <c r="F4" s="51"/>
      <c r="G4" s="52"/>
      <c r="I4" s="49" t="s">
        <v>577</v>
      </c>
      <c r="M4" s="50"/>
      <c r="O4" s="50"/>
    </row>
    <row r="5" spans="1:15">
      <c r="A5" s="49" t="s">
        <v>578</v>
      </c>
      <c r="I5" s="49" t="s">
        <v>578</v>
      </c>
    </row>
    <row r="6" spans="1:15">
      <c r="A6" s="49" t="s">
        <v>579</v>
      </c>
      <c r="I6" s="49" t="s">
        <v>579</v>
      </c>
    </row>
    <row r="7" spans="1:15">
      <c r="A7" s="49" t="s">
        <v>580</v>
      </c>
      <c r="I7" s="49" t="s">
        <v>580</v>
      </c>
    </row>
    <row r="8" spans="1:15">
      <c r="A8" s="49" t="s">
        <v>581</v>
      </c>
      <c r="I8" s="49" t="s">
        <v>581</v>
      </c>
    </row>
    <row r="9" spans="1:15">
      <c r="A9" s="49" t="s">
        <v>582</v>
      </c>
      <c r="I9" s="49" t="s">
        <v>582</v>
      </c>
    </row>
    <row r="10" spans="1:15">
      <c r="A10" s="49" t="s">
        <v>583</v>
      </c>
      <c r="I10" s="49" t="s">
        <v>583</v>
      </c>
    </row>
    <row r="11" spans="1:15">
      <c r="A11" s="49" t="s">
        <v>584</v>
      </c>
      <c r="I11" s="49" t="s">
        <v>584</v>
      </c>
    </row>
    <row r="12" spans="1:15">
      <c r="A12" s="49" t="s">
        <v>585</v>
      </c>
      <c r="I12" s="49" t="s">
        <v>585</v>
      </c>
    </row>
    <row r="13" spans="1:15">
      <c r="A13" s="49" t="s">
        <v>586</v>
      </c>
      <c r="I13" s="49" t="s">
        <v>586</v>
      </c>
    </row>
    <row r="14" spans="1:15">
      <c r="A14" s="49" t="s">
        <v>587</v>
      </c>
      <c r="I14" s="49" t="s">
        <v>587</v>
      </c>
    </row>
    <row r="15" spans="1:15">
      <c r="A15" s="49" t="s">
        <v>588</v>
      </c>
      <c r="I15" s="49" t="s">
        <v>588</v>
      </c>
    </row>
    <row r="16" spans="1:15">
      <c r="A16" s="49" t="s">
        <v>589</v>
      </c>
      <c r="I16" s="49" t="s">
        <v>589</v>
      </c>
    </row>
    <row r="17" spans="1:9">
      <c r="A17" s="49" t="s">
        <v>590</v>
      </c>
      <c r="I17" s="49" t="s">
        <v>590</v>
      </c>
    </row>
    <row r="18" spans="1:9">
      <c r="A18" s="49" t="s">
        <v>591</v>
      </c>
      <c r="I18" s="49" t="s">
        <v>591</v>
      </c>
    </row>
    <row r="19" spans="1:9">
      <c r="A19" s="49" t="s">
        <v>592</v>
      </c>
      <c r="I19" s="49" t="s">
        <v>592</v>
      </c>
    </row>
    <row r="20" spans="1:9">
      <c r="A20" s="49" t="s">
        <v>593</v>
      </c>
      <c r="I20" s="49" t="s">
        <v>593</v>
      </c>
    </row>
    <row r="21" spans="1:9">
      <c r="A21" s="49" t="s">
        <v>594</v>
      </c>
      <c r="I21" s="49" t="s">
        <v>594</v>
      </c>
    </row>
    <row r="22" spans="1:9">
      <c r="A22" s="49" t="s">
        <v>595</v>
      </c>
      <c r="I22" s="49" t="s">
        <v>595</v>
      </c>
    </row>
    <row r="23" spans="1:9">
      <c r="A23" s="49" t="s">
        <v>596</v>
      </c>
      <c r="I23" s="49" t="s">
        <v>596</v>
      </c>
    </row>
    <row r="24" spans="1:9">
      <c r="A24" s="49" t="s">
        <v>597</v>
      </c>
      <c r="I24" s="49" t="s">
        <v>597</v>
      </c>
    </row>
    <row r="25" spans="1:9">
      <c r="A25" s="49" t="s">
        <v>598</v>
      </c>
      <c r="I25" s="49" t="s">
        <v>598</v>
      </c>
    </row>
    <row r="26" spans="1:9">
      <c r="A26" s="49" t="s">
        <v>599</v>
      </c>
      <c r="I26" s="49" t="s">
        <v>599</v>
      </c>
    </row>
    <row r="27" spans="1:9">
      <c r="A27" s="49" t="s">
        <v>600</v>
      </c>
      <c r="I27" s="49" t="s">
        <v>600</v>
      </c>
    </row>
    <row r="28" spans="1:9">
      <c r="A28" s="49" t="s">
        <v>601</v>
      </c>
      <c r="I28" s="49" t="s">
        <v>601</v>
      </c>
    </row>
    <row r="29" spans="1:9">
      <c r="A29" s="49" t="s">
        <v>602</v>
      </c>
      <c r="I29" s="49" t="s">
        <v>602</v>
      </c>
    </row>
    <row r="30" spans="1:9">
      <c r="A30" s="49" t="s">
        <v>603</v>
      </c>
      <c r="I30" s="49" t="s">
        <v>603</v>
      </c>
    </row>
    <row r="31" spans="1:9">
      <c r="A31" s="49" t="s">
        <v>604</v>
      </c>
      <c r="I31" s="49" t="s">
        <v>604</v>
      </c>
    </row>
    <row r="32" spans="1:9">
      <c r="A32" s="49" t="s">
        <v>605</v>
      </c>
      <c r="I32" s="49" t="s">
        <v>605</v>
      </c>
    </row>
    <row r="33" spans="1:9">
      <c r="A33" s="49" t="s">
        <v>606</v>
      </c>
      <c r="I33" s="49" t="s">
        <v>606</v>
      </c>
    </row>
    <row r="34" spans="1:9">
      <c r="A34" s="49" t="s">
        <v>607</v>
      </c>
      <c r="I34" s="49" t="s">
        <v>607</v>
      </c>
    </row>
    <row r="35" spans="1:9">
      <c r="A35" s="49" t="s">
        <v>608</v>
      </c>
      <c r="I35" s="49" t="s">
        <v>608</v>
      </c>
    </row>
    <row r="36" spans="1:9">
      <c r="A36" s="49" t="s">
        <v>609</v>
      </c>
      <c r="I36" s="49" t="s">
        <v>609</v>
      </c>
    </row>
    <row r="78" s="11" customFormat="1" spans="1:1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="11" customFormat="1" spans="1:1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="11" customFormat="1" spans="1:1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="11" customFormat="1" spans="1:1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222" spans="1:1">
      <c r="A222" s="54" t="s">
        <v>610</v>
      </c>
    </row>
  </sheetData>
  <sheetProtection formatCells="0" insertHyperlinks="0" autoFilter="0"/>
  <mergeCells count="3">
    <mergeCell ref="B1:K1"/>
    <mergeCell ref="F2:G2"/>
    <mergeCell ref="N2:O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0"/>
  <sheetViews>
    <sheetView workbookViewId="0">
      <selection activeCell="A1" sqref="$A1:$XFD1048576"/>
    </sheetView>
  </sheetViews>
  <sheetFormatPr defaultColWidth="9" defaultRowHeight="15.6"/>
  <cols>
    <col min="1" max="1" width="21.375" customWidth="1"/>
    <col min="2" max="3" width="13.625" customWidth="1"/>
    <col min="4" max="4" width="13.25" style="11" customWidth="1"/>
    <col min="5" max="5" width="12.125" style="11" customWidth="1"/>
    <col min="6" max="6" width="13.125" customWidth="1"/>
    <col min="7" max="8" width="11.125" customWidth="1"/>
    <col min="11" max="12" width="13.5" customWidth="1"/>
    <col min="13" max="14" width="15.75" customWidth="1"/>
  </cols>
  <sheetData>
    <row r="1" spans="1:14">
      <c r="B1" s="12" t="s">
        <v>240</v>
      </c>
      <c r="C1" s="12" t="s">
        <v>611</v>
      </c>
      <c r="D1" s="12" t="s">
        <v>612</v>
      </c>
      <c r="E1" s="12" t="s">
        <v>613</v>
      </c>
      <c r="F1" s="12"/>
      <c r="G1" s="13" t="s">
        <v>614</v>
      </c>
      <c r="H1" s="14"/>
      <c r="I1" s="14"/>
      <c r="J1" s="14"/>
      <c r="K1" s="14"/>
      <c r="L1" s="14"/>
      <c r="M1" s="14"/>
      <c r="N1" s="15"/>
    </row>
    <row r="2" spans="1:14">
      <c r="B2" s="12"/>
      <c r="C2" s="12"/>
      <c r="D2" s="12"/>
      <c r="E2" s="12"/>
      <c r="F2" s="16"/>
      <c r="G2" s="13" t="s">
        <v>483</v>
      </c>
      <c r="H2" s="14"/>
      <c r="I2" s="13" t="s">
        <v>484</v>
      </c>
      <c r="J2" s="14"/>
      <c r="K2" s="13" t="s">
        <v>485</v>
      </c>
      <c r="L2" s="14"/>
      <c r="M2" s="17" t="s">
        <v>486</v>
      </c>
      <c r="N2" s="17"/>
    </row>
    <row r="3" spans="1:14">
      <c r="A3" t="s">
        <v>615</v>
      </c>
      <c r="B3" s="18"/>
      <c r="C3" s="18"/>
      <c r="D3" s="18"/>
      <c r="E3" s="18"/>
      <c r="F3" s="19" t="s">
        <v>277</v>
      </c>
      <c r="G3" s="17" t="s">
        <v>487</v>
      </c>
      <c r="H3" s="17" t="s">
        <v>488</v>
      </c>
      <c r="I3" s="17" t="s">
        <v>487</v>
      </c>
      <c r="J3" s="17" t="s">
        <v>488</v>
      </c>
      <c r="K3" s="17" t="s">
        <v>487</v>
      </c>
      <c r="L3" s="17" t="s">
        <v>488</v>
      </c>
      <c r="M3" s="17" t="s">
        <v>487</v>
      </c>
      <c r="N3" s="17" t="s">
        <v>488</v>
      </c>
    </row>
    <row r="4" ht="77" customHeight="1" spans="1:14">
      <c r="A4" t="str">
        <f t="shared" ref="A4:A20" si="0">E4&amp;F4</f>
        <v>XXXX-1118月31日上午</v>
      </c>
      <c r="B4" s="20"/>
      <c r="C4" s="21"/>
      <c r="D4" s="22"/>
      <c r="E4" s="22" t="s">
        <v>5</v>
      </c>
      <c r="F4" s="23" t="s">
        <v>489</v>
      </c>
      <c r="G4" s="23"/>
      <c r="H4" s="23" t="s">
        <v>616</v>
      </c>
      <c r="I4" s="23"/>
      <c r="J4" s="23"/>
      <c r="K4" s="23"/>
      <c r="L4" s="23" t="s">
        <v>617</v>
      </c>
      <c r="M4" s="23"/>
      <c r="N4" s="23"/>
    </row>
    <row r="5" ht="77" customHeight="1" spans="1:14">
      <c r="A5" t="str">
        <f t="shared" si="0"/>
        <v>XXXX-2228月31日上午</v>
      </c>
      <c r="B5" s="20"/>
      <c r="C5" s="24"/>
      <c r="D5" s="22"/>
      <c r="E5" s="22" t="s">
        <v>261</v>
      </c>
      <c r="F5" s="23" t="s">
        <v>489</v>
      </c>
      <c r="G5" s="23"/>
      <c r="H5" s="23"/>
      <c r="I5" s="23"/>
      <c r="J5" s="23"/>
      <c r="K5" s="25"/>
      <c r="L5" s="23"/>
      <c r="M5" s="23"/>
      <c r="N5" s="23"/>
    </row>
    <row r="6" ht="77" customHeight="1" spans="1:14">
      <c r="A6" t="str">
        <f t="shared" si="0"/>
        <v>8月31日上午</v>
      </c>
      <c r="B6" s="20"/>
      <c r="C6" s="26"/>
      <c r="D6" s="22"/>
      <c r="E6" s="22"/>
      <c r="F6" s="23" t="s">
        <v>489</v>
      </c>
      <c r="G6" s="23"/>
      <c r="H6" s="23"/>
      <c r="I6" s="23"/>
      <c r="J6" s="23"/>
      <c r="K6" s="23"/>
      <c r="L6" s="23"/>
      <c r="M6" s="23"/>
      <c r="N6" s="23"/>
    </row>
    <row r="7" ht="77" customHeight="1" spans="1:14">
      <c r="A7" t="str">
        <f t="shared" si="0"/>
        <v>8月31日上午</v>
      </c>
      <c r="B7" s="20"/>
      <c r="C7" s="21"/>
      <c r="D7" s="22"/>
      <c r="E7" s="22"/>
      <c r="F7" s="23" t="s">
        <v>489</v>
      </c>
      <c r="G7" s="23"/>
      <c r="H7" s="23"/>
      <c r="I7" s="23"/>
      <c r="J7" s="23" t="s">
        <v>618</v>
      </c>
      <c r="K7" s="23"/>
      <c r="L7" s="23"/>
      <c r="M7" s="23"/>
      <c r="N7" s="23"/>
    </row>
    <row r="8" ht="77" customHeight="1" spans="1:14">
      <c r="A8" t="str">
        <f t="shared" si="0"/>
        <v>8月31日上午</v>
      </c>
      <c r="B8" s="20"/>
      <c r="C8" s="26"/>
      <c r="D8" s="22"/>
      <c r="E8" s="22"/>
      <c r="F8" s="23" t="s">
        <v>489</v>
      </c>
      <c r="G8" s="23"/>
      <c r="H8" s="23"/>
      <c r="I8" s="23"/>
      <c r="J8" s="23"/>
      <c r="K8" s="23"/>
      <c r="L8" s="23"/>
      <c r="M8" s="23"/>
      <c r="N8" s="23"/>
    </row>
    <row r="9" ht="77" customHeight="1" spans="1:14">
      <c r="A9" t="str">
        <f t="shared" si="0"/>
        <v>8月31日上午</v>
      </c>
      <c r="B9" s="20"/>
      <c r="C9" s="20"/>
      <c r="D9" s="22"/>
      <c r="E9" s="27"/>
      <c r="F9" s="23" t="s">
        <v>489</v>
      </c>
      <c r="G9" s="23"/>
      <c r="H9" s="23"/>
      <c r="I9" s="23"/>
      <c r="J9" s="23"/>
      <c r="K9" s="23"/>
      <c r="L9" s="23"/>
      <c r="M9" s="23"/>
      <c r="N9" s="23"/>
    </row>
    <row r="10" ht="77" customHeight="1" spans="1:14">
      <c r="A10" t="str">
        <f t="shared" si="0"/>
        <v>8月31日上午</v>
      </c>
      <c r="B10" s="20"/>
      <c r="C10" s="20"/>
      <c r="D10" s="22"/>
      <c r="E10" s="22"/>
      <c r="F10" s="23" t="s">
        <v>489</v>
      </c>
      <c r="G10" s="23"/>
      <c r="H10" s="23"/>
      <c r="I10" s="23"/>
      <c r="J10" s="23"/>
      <c r="K10" s="23"/>
      <c r="L10" s="23"/>
      <c r="M10" s="23"/>
      <c r="N10" s="23"/>
    </row>
    <row r="11" spans="1:14">
      <c r="A11" t="str">
        <f t="shared" si="0"/>
        <v/>
      </c>
      <c r="B11" s="28"/>
      <c r="C11" s="28"/>
      <c r="D11" s="29"/>
      <c r="E11" s="29"/>
      <c r="F11" s="12"/>
      <c r="G11" s="30" t="s">
        <v>614</v>
      </c>
      <c r="H11" s="31"/>
      <c r="I11" s="31"/>
      <c r="J11" s="31"/>
      <c r="K11" s="31"/>
      <c r="L11" s="31"/>
      <c r="M11" s="31"/>
      <c r="N11" s="31"/>
    </row>
    <row r="12" spans="1:14">
      <c r="A12" t="str">
        <f t="shared" si="0"/>
        <v/>
      </c>
      <c r="B12" s="28"/>
      <c r="C12" s="28"/>
      <c r="D12" s="29"/>
      <c r="E12" s="29"/>
      <c r="F12" s="16"/>
      <c r="G12" s="13" t="s">
        <v>619</v>
      </c>
      <c r="H12" s="14"/>
      <c r="I12" s="13" t="s">
        <v>620</v>
      </c>
      <c r="J12" s="14"/>
      <c r="K12" s="13" t="s">
        <v>485</v>
      </c>
      <c r="L12" s="14"/>
      <c r="M12" s="17" t="s">
        <v>486</v>
      </c>
      <c r="N12" s="17"/>
    </row>
    <row r="13" spans="1:14">
      <c r="A13" t="str">
        <f t="shared" si="0"/>
        <v>日期</v>
      </c>
      <c r="B13" s="28"/>
      <c r="C13" s="28"/>
      <c r="D13" s="29"/>
      <c r="E13" s="29"/>
      <c r="F13" s="19" t="s">
        <v>277</v>
      </c>
      <c r="G13" s="17" t="s">
        <v>487</v>
      </c>
      <c r="H13" s="17" t="s">
        <v>488</v>
      </c>
      <c r="I13" s="17" t="s">
        <v>487</v>
      </c>
      <c r="J13" s="17" t="s">
        <v>488</v>
      </c>
      <c r="K13" s="17" t="s">
        <v>487</v>
      </c>
      <c r="L13" s="17" t="s">
        <v>488</v>
      </c>
      <c r="M13" s="17" t="s">
        <v>487</v>
      </c>
      <c r="N13" s="17" t="s">
        <v>488</v>
      </c>
    </row>
    <row r="14" spans="1:14">
      <c r="A14" t="str">
        <f t="shared" si="0"/>
        <v>XXXX-1118月31日晚上</v>
      </c>
      <c r="B14" s="28"/>
      <c r="C14" s="28"/>
      <c r="D14" s="29"/>
      <c r="E14" s="22" t="s">
        <v>5</v>
      </c>
      <c r="F14" s="23" t="s">
        <v>490</v>
      </c>
      <c r="G14" s="23"/>
      <c r="H14" s="23"/>
      <c r="I14" s="23"/>
      <c r="J14" s="23"/>
      <c r="K14" s="23"/>
      <c r="L14" s="23"/>
      <c r="M14" s="32"/>
      <c r="N14" s="32"/>
    </row>
    <row r="15" spans="1:14">
      <c r="A15" t="str">
        <f t="shared" si="0"/>
        <v>XXXX-2228月31日晚上</v>
      </c>
      <c r="B15" s="28"/>
      <c r="C15" s="28"/>
      <c r="D15" s="29"/>
      <c r="E15" s="22" t="s">
        <v>261</v>
      </c>
      <c r="F15" s="23" t="s">
        <v>490</v>
      </c>
      <c r="G15" s="23"/>
      <c r="H15" s="23"/>
      <c r="I15" s="23"/>
      <c r="J15" s="23"/>
      <c r="K15" s="23"/>
      <c r="L15" s="23"/>
      <c r="M15" s="32"/>
      <c r="N15" s="32"/>
    </row>
    <row r="16" spans="1:14">
      <c r="A16" t="str">
        <f t="shared" si="0"/>
        <v>8月31日晚上</v>
      </c>
      <c r="B16" s="28"/>
      <c r="C16" s="28"/>
      <c r="D16" s="29"/>
      <c r="E16" s="22"/>
      <c r="F16" s="23" t="s">
        <v>490</v>
      </c>
      <c r="G16" s="23"/>
      <c r="H16" s="23"/>
      <c r="I16" s="23"/>
      <c r="J16" s="23"/>
      <c r="K16" s="23"/>
      <c r="L16" s="23"/>
      <c r="M16" s="32"/>
      <c r="N16" s="32"/>
    </row>
    <row r="17" spans="1:14">
      <c r="A17" t="str">
        <f t="shared" si="0"/>
        <v>8月31日晚上</v>
      </c>
      <c r="B17" s="28"/>
      <c r="C17" s="28"/>
      <c r="D17" s="29"/>
      <c r="E17" s="22"/>
      <c r="F17" s="23" t="s">
        <v>490</v>
      </c>
      <c r="G17" s="23"/>
      <c r="H17" s="23"/>
      <c r="I17" s="23"/>
      <c r="J17" s="23"/>
      <c r="K17" s="23"/>
      <c r="L17" s="23"/>
      <c r="M17" s="32"/>
      <c r="N17" s="32"/>
    </row>
    <row r="18" spans="1:14">
      <c r="A18" t="str">
        <f t="shared" si="0"/>
        <v>8月31日晚上</v>
      </c>
      <c r="B18" s="28"/>
      <c r="C18" s="28"/>
      <c r="D18" s="29"/>
      <c r="E18" s="22"/>
      <c r="F18" s="23" t="s">
        <v>490</v>
      </c>
      <c r="G18" s="23"/>
      <c r="H18" s="23"/>
      <c r="I18" s="23"/>
      <c r="J18" s="23"/>
      <c r="K18" s="23"/>
      <c r="L18" s="23"/>
      <c r="M18" s="32"/>
      <c r="N18" s="32"/>
    </row>
    <row r="19" spans="1:14">
      <c r="A19" t="str">
        <f t="shared" si="0"/>
        <v>8月31日晚上</v>
      </c>
      <c r="B19" s="28"/>
      <c r="C19" s="28"/>
      <c r="D19" s="29"/>
      <c r="E19" s="27"/>
      <c r="F19" s="23" t="s">
        <v>490</v>
      </c>
      <c r="G19" s="23"/>
      <c r="H19" s="23"/>
      <c r="I19" s="23"/>
      <c r="J19" s="23"/>
      <c r="K19" s="23"/>
      <c r="L19" s="23"/>
      <c r="M19" s="32"/>
      <c r="N19" s="32"/>
    </row>
    <row r="20" spans="1:14">
      <c r="A20" t="str">
        <f t="shared" si="0"/>
        <v>8月31日晚上</v>
      </c>
      <c r="B20" s="28"/>
      <c r="C20" s="28"/>
      <c r="D20" s="29"/>
      <c r="E20" s="22"/>
      <c r="F20" s="23" t="s">
        <v>490</v>
      </c>
      <c r="G20" s="23"/>
      <c r="H20" s="23"/>
      <c r="I20" s="23"/>
      <c r="J20" s="23"/>
      <c r="K20" s="23"/>
      <c r="L20" s="23"/>
      <c r="M20" s="32"/>
      <c r="N20" s="32"/>
    </row>
    <row r="21" spans="1:14">
      <c r="B21" s="28"/>
      <c r="C21" s="28"/>
      <c r="D21" s="29"/>
      <c r="E21" s="29"/>
      <c r="F21" s="33"/>
      <c r="G21" s="33"/>
      <c r="H21" s="33"/>
      <c r="I21" s="33"/>
      <c r="J21" s="33"/>
      <c r="K21" s="33"/>
      <c r="L21" s="33"/>
      <c r="M21" s="33"/>
      <c r="N21" s="33"/>
    </row>
    <row r="22" spans="1:14">
      <c r="A22" t="str">
        <f t="shared" ref="A22:A42" si="1">E22&amp;F22</f>
        <v/>
      </c>
    </row>
    <row r="23" spans="1:14">
      <c r="A23" t="str">
        <f t="shared" si="1"/>
        <v/>
      </c>
    </row>
    <row r="24" spans="1:14">
      <c r="A24" t="str">
        <f t="shared" si="1"/>
        <v>SKU</v>
      </c>
      <c r="B24" s="12" t="s">
        <v>240</v>
      </c>
      <c r="C24" s="12" t="s">
        <v>611</v>
      </c>
      <c r="D24" s="12" t="s">
        <v>612</v>
      </c>
      <c r="E24" s="12" t="s">
        <v>613</v>
      </c>
      <c r="F24" s="12"/>
      <c r="G24" s="13" t="s">
        <v>614</v>
      </c>
      <c r="H24" s="14"/>
      <c r="I24" s="14"/>
      <c r="J24" s="14"/>
      <c r="K24" s="14"/>
      <c r="L24" s="14"/>
      <c r="M24" s="14"/>
      <c r="N24" s="15"/>
    </row>
    <row r="25" spans="1:14">
      <c r="A25" t="str">
        <f t="shared" si="1"/>
        <v/>
      </c>
      <c r="B25" s="12"/>
      <c r="C25" s="12"/>
      <c r="D25" s="12"/>
      <c r="E25" s="12"/>
      <c r="F25" s="16"/>
      <c r="G25" s="13" t="s">
        <v>619</v>
      </c>
      <c r="H25" s="14"/>
      <c r="I25" s="13" t="s">
        <v>620</v>
      </c>
      <c r="J25" s="14"/>
      <c r="K25" s="13" t="s">
        <v>485</v>
      </c>
      <c r="L25" s="14"/>
      <c r="M25" s="17" t="s">
        <v>486</v>
      </c>
      <c r="N25" s="17"/>
    </row>
    <row r="26" spans="1:14">
      <c r="A26" t="str">
        <f t="shared" si="1"/>
        <v>日期</v>
      </c>
      <c r="B26" s="18"/>
      <c r="C26" s="18"/>
      <c r="D26" s="18"/>
      <c r="E26" s="18"/>
      <c r="F26" s="19" t="s">
        <v>277</v>
      </c>
      <c r="G26" s="17" t="s">
        <v>487</v>
      </c>
      <c r="H26" s="17" t="s">
        <v>488</v>
      </c>
      <c r="I26" s="17" t="s">
        <v>487</v>
      </c>
      <c r="J26" s="17" t="s">
        <v>488</v>
      </c>
      <c r="K26" s="17" t="s">
        <v>487</v>
      </c>
      <c r="L26" s="17" t="s">
        <v>488</v>
      </c>
      <c r="M26" s="17" t="s">
        <v>487</v>
      </c>
      <c r="N26" s="17" t="s">
        <v>488</v>
      </c>
    </row>
    <row r="27" ht="84" customHeight="1" spans="1:14">
      <c r="A27" t="str">
        <f t="shared" si="1"/>
        <v>XXXX-1119月1日上午</v>
      </c>
      <c r="B27" s="20"/>
      <c r="C27" s="21"/>
      <c r="D27" s="22"/>
      <c r="E27" s="22" t="s">
        <v>5</v>
      </c>
      <c r="F27" s="23" t="s">
        <v>491</v>
      </c>
      <c r="G27" s="23"/>
      <c r="H27" s="23" t="s">
        <v>621</v>
      </c>
      <c r="I27" s="23"/>
      <c r="J27" s="23" t="s">
        <v>622</v>
      </c>
      <c r="K27" s="23"/>
      <c r="L27" s="23"/>
      <c r="M27" s="23"/>
      <c r="N27" s="23"/>
    </row>
    <row r="28" ht="84" customHeight="1" spans="1:14">
      <c r="A28" t="str">
        <f t="shared" si="1"/>
        <v>XXXX-2229月1日上午</v>
      </c>
      <c r="B28" s="20"/>
      <c r="C28" s="24"/>
      <c r="D28" s="22"/>
      <c r="E28" s="22" t="s">
        <v>261</v>
      </c>
      <c r="F28" s="23" t="s">
        <v>491</v>
      </c>
      <c r="G28" s="23"/>
      <c r="H28" s="23"/>
      <c r="I28" s="23"/>
      <c r="J28" s="23"/>
      <c r="K28" s="25"/>
      <c r="L28" s="23"/>
      <c r="M28" s="23"/>
      <c r="N28" s="23"/>
    </row>
    <row r="29" ht="84" customHeight="1" spans="1:14">
      <c r="A29" t="str">
        <f t="shared" si="1"/>
        <v>9月1日上午</v>
      </c>
      <c r="B29" s="20"/>
      <c r="C29" s="26"/>
      <c r="D29" s="22"/>
      <c r="E29" s="22"/>
      <c r="F29" s="23" t="s">
        <v>491</v>
      </c>
      <c r="G29" s="23"/>
      <c r="H29" s="23"/>
      <c r="I29" s="23"/>
      <c r="J29" s="23" t="s">
        <v>623</v>
      </c>
      <c r="K29" s="23"/>
      <c r="L29" s="23"/>
      <c r="M29" s="23"/>
      <c r="N29" s="23"/>
    </row>
    <row r="30" ht="84" customHeight="1" spans="1:14">
      <c r="A30" t="str">
        <f t="shared" si="1"/>
        <v>9月1日上午</v>
      </c>
      <c r="B30" s="20"/>
      <c r="C30" s="21"/>
      <c r="D30" s="22"/>
      <c r="E30" s="22"/>
      <c r="F30" s="23" t="s">
        <v>491</v>
      </c>
      <c r="G30" s="23"/>
      <c r="H30" s="23"/>
      <c r="I30" s="23"/>
      <c r="J30" s="23"/>
      <c r="K30" s="23"/>
      <c r="L30" s="23"/>
      <c r="M30" s="23"/>
      <c r="N30" s="23"/>
    </row>
    <row r="31" ht="84" customHeight="1" spans="1:14">
      <c r="A31" t="str">
        <f t="shared" si="1"/>
        <v>9月1日上午</v>
      </c>
      <c r="B31" s="20"/>
      <c r="C31" s="26"/>
      <c r="D31" s="22"/>
      <c r="E31" s="22"/>
      <c r="F31" s="23" t="s">
        <v>491</v>
      </c>
      <c r="G31" s="23"/>
      <c r="H31" s="23"/>
      <c r="I31" s="23"/>
      <c r="J31" s="23" t="s">
        <v>624</v>
      </c>
      <c r="K31" s="23"/>
      <c r="L31" s="23"/>
      <c r="M31" s="23"/>
      <c r="N31" s="23"/>
    </row>
    <row r="32" ht="84" customHeight="1" spans="1:14">
      <c r="A32" t="str">
        <f t="shared" si="1"/>
        <v>9月1日上午</v>
      </c>
      <c r="B32" s="20"/>
      <c r="C32" s="20"/>
      <c r="D32" s="22"/>
      <c r="E32" s="27"/>
      <c r="F32" s="23" t="s">
        <v>491</v>
      </c>
      <c r="G32" s="23"/>
      <c r="H32" s="23"/>
      <c r="I32" s="23"/>
      <c r="J32" s="23"/>
      <c r="K32" s="23"/>
      <c r="L32" s="23"/>
      <c r="M32" s="23"/>
      <c r="N32" s="23"/>
    </row>
    <row r="33" ht="84" customHeight="1" spans="1:14">
      <c r="A33" t="str">
        <f t="shared" si="1"/>
        <v>9月1日上午</v>
      </c>
      <c r="B33" s="20"/>
      <c r="C33" s="20"/>
      <c r="D33" s="22"/>
      <c r="E33" s="22"/>
      <c r="F33" s="23" t="s">
        <v>491</v>
      </c>
      <c r="G33" s="23"/>
      <c r="H33" s="23"/>
      <c r="I33" s="23"/>
      <c r="J33" s="23"/>
      <c r="K33" s="23"/>
      <c r="L33" s="23"/>
      <c r="M33" s="23"/>
      <c r="N33" s="23"/>
    </row>
    <row r="34" spans="1:14">
      <c r="A34" t="str">
        <f t="shared" si="1"/>
        <v/>
      </c>
      <c r="F34" s="16"/>
      <c r="G34" s="13" t="s">
        <v>619</v>
      </c>
      <c r="H34" s="14"/>
      <c r="I34" s="13" t="s">
        <v>620</v>
      </c>
      <c r="J34" s="14"/>
      <c r="K34" s="13" t="s">
        <v>485</v>
      </c>
      <c r="L34" s="14"/>
      <c r="M34" s="17" t="s">
        <v>486</v>
      </c>
      <c r="N34" s="17"/>
    </row>
    <row r="35" spans="1:14">
      <c r="A35" t="str">
        <f t="shared" si="1"/>
        <v>日期</v>
      </c>
      <c r="F35" s="19" t="s">
        <v>277</v>
      </c>
      <c r="G35" s="17" t="s">
        <v>487</v>
      </c>
      <c r="H35" s="17" t="s">
        <v>488</v>
      </c>
      <c r="I35" s="17" t="s">
        <v>487</v>
      </c>
      <c r="J35" s="17" t="s">
        <v>488</v>
      </c>
      <c r="K35" s="17" t="s">
        <v>487</v>
      </c>
      <c r="L35" s="17" t="s">
        <v>488</v>
      </c>
      <c r="M35" s="17" t="s">
        <v>487</v>
      </c>
      <c r="N35" s="17" t="s">
        <v>488</v>
      </c>
    </row>
    <row r="36" spans="1:14">
      <c r="A36" t="str">
        <f t="shared" si="1"/>
        <v>XXXX-1119月1日晚上</v>
      </c>
      <c r="E36" s="22" t="s">
        <v>5</v>
      </c>
      <c r="F36" s="23" t="s">
        <v>492</v>
      </c>
      <c r="G36" s="23"/>
      <c r="H36" s="23"/>
      <c r="I36" s="23"/>
      <c r="J36" s="23"/>
      <c r="K36" s="23"/>
      <c r="L36" s="23"/>
      <c r="M36" s="32"/>
      <c r="N36" s="32"/>
    </row>
    <row r="37" spans="1:14">
      <c r="A37" t="str">
        <f t="shared" si="1"/>
        <v>XXXX-2229月1日晚上</v>
      </c>
      <c r="E37" s="22" t="s">
        <v>261</v>
      </c>
      <c r="F37" s="23" t="s">
        <v>492</v>
      </c>
      <c r="G37" s="23"/>
      <c r="H37" s="23"/>
      <c r="I37" s="23"/>
      <c r="J37" s="23"/>
      <c r="K37" s="23"/>
      <c r="L37" s="23"/>
      <c r="M37" s="32"/>
      <c r="N37" s="32"/>
    </row>
    <row r="38" spans="1:14">
      <c r="A38" t="str">
        <f t="shared" si="1"/>
        <v>9月1日晚上</v>
      </c>
      <c r="E38" s="22"/>
      <c r="F38" s="23" t="s">
        <v>492</v>
      </c>
      <c r="G38" s="23"/>
      <c r="H38" s="23"/>
      <c r="I38" s="23"/>
      <c r="J38" s="23"/>
      <c r="K38" s="23"/>
      <c r="L38" s="23"/>
      <c r="M38" s="32"/>
      <c r="N38" s="32"/>
    </row>
    <row r="39" spans="1:14">
      <c r="A39" t="str">
        <f t="shared" si="1"/>
        <v>9月1日晚上</v>
      </c>
      <c r="E39" s="22"/>
      <c r="F39" s="23" t="s">
        <v>492</v>
      </c>
      <c r="G39" s="23"/>
      <c r="H39" s="23"/>
      <c r="I39" s="23"/>
      <c r="J39" s="23"/>
      <c r="K39" s="23"/>
      <c r="L39" s="23"/>
      <c r="M39" s="32"/>
      <c r="N39" s="32"/>
    </row>
    <row r="40" spans="1:14">
      <c r="A40" t="str">
        <f t="shared" si="1"/>
        <v>9月1日晚上</v>
      </c>
      <c r="E40" s="22"/>
      <c r="F40" s="23" t="s">
        <v>492</v>
      </c>
      <c r="G40" s="23"/>
      <c r="H40" s="23"/>
      <c r="I40" s="23"/>
      <c r="J40" s="23"/>
      <c r="K40" s="23"/>
      <c r="L40" s="23"/>
      <c r="M40" s="32"/>
      <c r="N40" s="32"/>
    </row>
    <row r="41" spans="1:14">
      <c r="A41" t="str">
        <f t="shared" si="1"/>
        <v>9月1日晚上</v>
      </c>
      <c r="E41" s="27"/>
      <c r="F41" s="23" t="s">
        <v>492</v>
      </c>
      <c r="G41" s="23"/>
      <c r="H41" s="23"/>
      <c r="I41" s="23"/>
      <c r="J41" s="23"/>
      <c r="K41" s="23"/>
      <c r="L41" s="23"/>
      <c r="M41" s="32"/>
      <c r="N41" s="32"/>
    </row>
    <row r="42" spans="1:14">
      <c r="A42" t="str">
        <f t="shared" si="1"/>
        <v>9月1日晚上</v>
      </c>
      <c r="E42" s="22"/>
      <c r="F42" s="23" t="s">
        <v>492</v>
      </c>
      <c r="G42" s="23"/>
      <c r="H42" s="23"/>
      <c r="I42" s="23"/>
      <c r="J42" s="23"/>
      <c r="K42" s="23"/>
      <c r="L42" s="23"/>
      <c r="M42" s="32"/>
      <c r="N42" s="32"/>
    </row>
    <row r="43" spans="1:14">
      <c r="A43" t="str">
        <f t="shared" ref="A43:A87" si="2">E43&amp;F43</f>
        <v/>
      </c>
    </row>
    <row r="44" spans="1:14">
      <c r="A44" t="str">
        <f t="shared" si="2"/>
        <v>SKU</v>
      </c>
      <c r="B44" s="12" t="s">
        <v>240</v>
      </c>
      <c r="C44" s="12" t="s">
        <v>611</v>
      </c>
      <c r="D44" s="12" t="s">
        <v>612</v>
      </c>
      <c r="E44" s="12" t="s">
        <v>613</v>
      </c>
      <c r="F44" s="12"/>
      <c r="G44" s="13" t="s">
        <v>614</v>
      </c>
      <c r="H44" s="14"/>
      <c r="I44" s="14"/>
      <c r="J44" s="14"/>
      <c r="K44" s="14"/>
      <c r="L44" s="14"/>
      <c r="M44" s="14"/>
      <c r="N44" s="15"/>
    </row>
    <row r="45" spans="1:14">
      <c r="A45" t="str">
        <f t="shared" si="2"/>
        <v/>
      </c>
      <c r="B45" s="12"/>
      <c r="C45" s="12"/>
      <c r="D45" s="12"/>
      <c r="E45" s="12"/>
      <c r="F45" s="16"/>
      <c r="G45" s="13" t="s">
        <v>483</v>
      </c>
      <c r="H45" s="14"/>
      <c r="I45" s="13" t="s">
        <v>484</v>
      </c>
      <c r="J45" s="14"/>
      <c r="K45" s="13" t="s">
        <v>485</v>
      </c>
      <c r="L45" s="14"/>
      <c r="M45" s="17" t="s">
        <v>486</v>
      </c>
      <c r="N45" s="17"/>
    </row>
    <row r="46" spans="1:14">
      <c r="A46" t="str">
        <f t="shared" si="2"/>
        <v>日期</v>
      </c>
      <c r="B46" s="18"/>
      <c r="C46" s="18"/>
      <c r="D46" s="18"/>
      <c r="E46" s="18"/>
      <c r="F46" s="19" t="s">
        <v>277</v>
      </c>
      <c r="G46" s="17" t="s">
        <v>487</v>
      </c>
      <c r="H46" s="17" t="s">
        <v>488</v>
      </c>
      <c r="I46" s="17" t="s">
        <v>487</v>
      </c>
      <c r="J46" s="17" t="s">
        <v>488</v>
      </c>
      <c r="K46" s="17" t="s">
        <v>487</v>
      </c>
      <c r="L46" s="17" t="s">
        <v>488</v>
      </c>
      <c r="M46" s="17" t="s">
        <v>487</v>
      </c>
      <c r="N46" s="17" t="s">
        <v>488</v>
      </c>
    </row>
    <row r="47" ht="84" customHeight="1" spans="1:14">
      <c r="A47" t="str">
        <f t="shared" si="2"/>
        <v>XXXX-1119月2日上午</v>
      </c>
      <c r="B47" s="20"/>
      <c r="C47" s="21"/>
      <c r="D47" s="22"/>
      <c r="E47" s="22" t="s">
        <v>5</v>
      </c>
      <c r="F47" s="23" t="s">
        <v>493</v>
      </c>
      <c r="G47" s="23"/>
      <c r="H47" s="23" t="s">
        <v>625</v>
      </c>
      <c r="I47" s="23"/>
      <c r="J47" s="23"/>
      <c r="K47" s="23"/>
      <c r="L47" s="23" t="s">
        <v>626</v>
      </c>
      <c r="M47" s="23"/>
      <c r="N47" s="23"/>
    </row>
    <row r="48" ht="84" customHeight="1" spans="1:14">
      <c r="A48" t="str">
        <f t="shared" si="2"/>
        <v>XXXX-2229月2日上午</v>
      </c>
      <c r="B48" s="20"/>
      <c r="C48" s="24"/>
      <c r="D48" s="22"/>
      <c r="E48" s="22" t="s">
        <v>261</v>
      </c>
      <c r="F48" s="23" t="s">
        <v>493</v>
      </c>
      <c r="G48" s="23"/>
      <c r="H48" s="23"/>
      <c r="I48" s="23"/>
      <c r="J48" s="23" t="s">
        <v>627</v>
      </c>
      <c r="K48" s="25"/>
      <c r="L48" s="23"/>
      <c r="M48" s="23"/>
      <c r="N48" s="23"/>
    </row>
    <row r="49" ht="84" customHeight="1" spans="1:14">
      <c r="A49" t="str">
        <f t="shared" si="2"/>
        <v>9月2日上午</v>
      </c>
      <c r="B49" s="20"/>
      <c r="C49" s="26"/>
      <c r="D49" s="22"/>
      <c r="E49" s="22"/>
      <c r="F49" s="23" t="s">
        <v>493</v>
      </c>
      <c r="G49" s="23"/>
      <c r="H49" s="23"/>
      <c r="I49" s="23"/>
      <c r="J49" s="23" t="s">
        <v>628</v>
      </c>
      <c r="K49" s="23"/>
      <c r="L49" s="23"/>
      <c r="M49" s="23"/>
      <c r="N49" s="23"/>
    </row>
    <row r="50" ht="84" customHeight="1" spans="1:14">
      <c r="A50" t="str">
        <f t="shared" si="2"/>
        <v>9月2日上午</v>
      </c>
      <c r="B50" s="20"/>
      <c r="C50" s="21"/>
      <c r="D50" s="22"/>
      <c r="E50" s="22"/>
      <c r="F50" s="23" t="s">
        <v>493</v>
      </c>
      <c r="G50" s="23"/>
      <c r="H50" s="23"/>
      <c r="I50" s="23"/>
      <c r="J50" s="23"/>
      <c r="K50" s="23"/>
      <c r="L50" s="23"/>
      <c r="M50" s="23"/>
      <c r="N50" s="23"/>
    </row>
    <row r="51" ht="84" customHeight="1" spans="1:14">
      <c r="A51" t="str">
        <f t="shared" si="2"/>
        <v>9月2日上午</v>
      </c>
      <c r="B51" s="20"/>
      <c r="C51" s="26"/>
      <c r="D51" s="22"/>
      <c r="E51" s="22"/>
      <c r="F51" s="23" t="s">
        <v>493</v>
      </c>
      <c r="G51" s="23"/>
      <c r="H51" s="23"/>
      <c r="I51" s="23"/>
      <c r="J51" s="23" t="s">
        <v>629</v>
      </c>
      <c r="K51" s="23"/>
      <c r="L51" s="23"/>
      <c r="M51" s="23"/>
      <c r="N51" s="23"/>
    </row>
    <row r="52" ht="84" customHeight="1" spans="1:14">
      <c r="A52" t="str">
        <f t="shared" si="2"/>
        <v>9月2日上午</v>
      </c>
      <c r="B52" s="20"/>
      <c r="C52" s="20"/>
      <c r="D52" s="22"/>
      <c r="E52" s="27"/>
      <c r="F52" s="23" t="s">
        <v>493</v>
      </c>
      <c r="G52" s="23"/>
      <c r="H52" s="23"/>
      <c r="I52" s="23"/>
      <c r="J52" s="23"/>
      <c r="K52" s="23"/>
      <c r="L52" s="23"/>
      <c r="M52" s="23"/>
      <c r="N52" s="23"/>
    </row>
    <row r="53" ht="84" customHeight="1" spans="1:14">
      <c r="A53" t="str">
        <f t="shared" si="2"/>
        <v>9月2日上午</v>
      </c>
      <c r="B53" s="20"/>
      <c r="C53" s="20"/>
      <c r="D53" s="22"/>
      <c r="E53" s="22"/>
      <c r="F53" s="23" t="s">
        <v>493</v>
      </c>
      <c r="G53" s="23"/>
      <c r="H53" s="23"/>
      <c r="I53" s="23"/>
      <c r="J53" s="23"/>
      <c r="K53" s="23"/>
      <c r="L53" s="23"/>
      <c r="M53" s="23"/>
      <c r="N53" s="23"/>
    </row>
    <row r="54" spans="1:14">
      <c r="A54" t="str">
        <f t="shared" si="2"/>
        <v/>
      </c>
    </row>
    <row r="55" spans="1:14">
      <c r="A55" t="str">
        <f t="shared" si="2"/>
        <v>SKU</v>
      </c>
      <c r="B55" s="12" t="s">
        <v>240</v>
      </c>
      <c r="C55" s="12" t="s">
        <v>611</v>
      </c>
      <c r="D55" s="12" t="s">
        <v>612</v>
      </c>
      <c r="E55" s="12" t="s">
        <v>613</v>
      </c>
      <c r="F55" s="12"/>
      <c r="G55" s="13" t="s">
        <v>614</v>
      </c>
      <c r="H55" s="14"/>
      <c r="I55" s="14"/>
      <c r="J55" s="14"/>
      <c r="K55" s="14"/>
      <c r="L55" s="14"/>
      <c r="M55" s="14"/>
      <c r="N55" s="15"/>
    </row>
    <row r="56" spans="1:14">
      <c r="A56" t="str">
        <f t="shared" si="2"/>
        <v/>
      </c>
      <c r="B56" s="12"/>
      <c r="C56" s="12"/>
      <c r="D56" s="12"/>
      <c r="E56" s="12"/>
      <c r="F56" s="16"/>
      <c r="G56" s="13" t="s">
        <v>619</v>
      </c>
      <c r="H56" s="14"/>
      <c r="I56" s="13" t="s">
        <v>620</v>
      </c>
      <c r="J56" s="14"/>
      <c r="K56" s="13" t="s">
        <v>485</v>
      </c>
      <c r="L56" s="14"/>
      <c r="M56" s="17" t="s">
        <v>486</v>
      </c>
      <c r="N56" s="17"/>
    </row>
    <row r="57" spans="1:14">
      <c r="A57" t="str">
        <f t="shared" si="2"/>
        <v>日期</v>
      </c>
      <c r="B57" s="18"/>
      <c r="C57" s="18"/>
      <c r="D57" s="18"/>
      <c r="E57" s="18"/>
      <c r="F57" s="19" t="s">
        <v>277</v>
      </c>
      <c r="G57" s="17" t="s">
        <v>487</v>
      </c>
      <c r="H57" s="17" t="s">
        <v>488</v>
      </c>
      <c r="I57" s="17" t="s">
        <v>487</v>
      </c>
      <c r="J57" s="17" t="s">
        <v>488</v>
      </c>
      <c r="K57" s="17" t="s">
        <v>487</v>
      </c>
      <c r="L57" s="17" t="s">
        <v>488</v>
      </c>
      <c r="M57" s="17" t="s">
        <v>487</v>
      </c>
      <c r="N57" s="17" t="s">
        <v>488</v>
      </c>
    </row>
    <row r="58" ht="91" customHeight="1" spans="1:14">
      <c r="A58" t="str">
        <f t="shared" si="2"/>
        <v>XXXX-1119月2日晚上</v>
      </c>
      <c r="B58" s="20"/>
      <c r="C58" s="21"/>
      <c r="D58" s="22"/>
      <c r="E58" s="22" t="s">
        <v>5</v>
      </c>
      <c r="F58" s="23" t="s">
        <v>494</v>
      </c>
      <c r="G58" s="23"/>
      <c r="H58" s="23"/>
      <c r="I58" s="23"/>
      <c r="J58" s="23"/>
      <c r="K58" s="23"/>
      <c r="L58" s="23"/>
      <c r="M58" s="23"/>
      <c r="N58" s="23"/>
    </row>
    <row r="59" ht="91" customHeight="1" spans="1:14">
      <c r="A59" t="str">
        <f t="shared" si="2"/>
        <v>XXXX-2229月2日晚上</v>
      </c>
      <c r="B59" s="20"/>
      <c r="C59" s="24"/>
      <c r="D59" s="22"/>
      <c r="E59" s="22" t="s">
        <v>261</v>
      </c>
      <c r="F59" s="23" t="s">
        <v>494</v>
      </c>
      <c r="G59" s="23"/>
      <c r="H59" s="23"/>
      <c r="I59" s="23"/>
      <c r="J59" s="23"/>
      <c r="K59" s="25"/>
      <c r="L59" s="23"/>
      <c r="M59" s="23"/>
      <c r="N59" s="23"/>
    </row>
    <row r="60" ht="91" customHeight="1" spans="1:14">
      <c r="A60" t="str">
        <f t="shared" si="2"/>
        <v>9月2日晚上</v>
      </c>
      <c r="B60" s="20"/>
      <c r="C60" s="26"/>
      <c r="D60" s="22"/>
      <c r="E60" s="22"/>
      <c r="F60" s="23" t="s">
        <v>494</v>
      </c>
      <c r="G60" s="23"/>
      <c r="H60" s="23"/>
      <c r="I60" s="23"/>
      <c r="J60" s="23"/>
      <c r="K60" s="23"/>
      <c r="L60" s="23"/>
      <c r="M60" s="23"/>
      <c r="N60" s="23"/>
    </row>
    <row r="61" ht="91" customHeight="1" spans="1:14">
      <c r="A61" t="str">
        <f t="shared" si="2"/>
        <v>9月2日晚上</v>
      </c>
      <c r="B61" s="20"/>
      <c r="C61" s="21"/>
      <c r="D61" s="22"/>
      <c r="E61" s="22"/>
      <c r="F61" s="23" t="s">
        <v>494</v>
      </c>
      <c r="G61" s="23"/>
      <c r="H61" s="23"/>
      <c r="I61" s="23"/>
      <c r="J61" s="23"/>
      <c r="K61" s="23"/>
      <c r="L61" s="23"/>
      <c r="M61" s="23"/>
      <c r="N61" s="23"/>
    </row>
    <row r="62" ht="91" customHeight="1" spans="1:14">
      <c r="A62" t="str">
        <f t="shared" si="2"/>
        <v>9月2日晚上</v>
      </c>
      <c r="B62" s="20"/>
      <c r="C62" s="26"/>
      <c r="D62" s="22"/>
      <c r="E62" s="22"/>
      <c r="F62" s="23" t="s">
        <v>494</v>
      </c>
      <c r="G62" s="23"/>
      <c r="H62" s="23"/>
      <c r="I62" s="23"/>
      <c r="J62" s="23"/>
      <c r="K62" s="23"/>
      <c r="L62" s="23"/>
      <c r="M62" s="23"/>
      <c r="N62" s="23"/>
    </row>
    <row r="63" ht="91" customHeight="1" spans="1:14">
      <c r="A63" t="str">
        <f t="shared" si="2"/>
        <v>9月2日晚上</v>
      </c>
      <c r="B63" s="20"/>
      <c r="C63" s="20"/>
      <c r="D63" s="22"/>
      <c r="E63" s="27"/>
      <c r="F63" s="23" t="s">
        <v>494</v>
      </c>
      <c r="G63" s="23"/>
      <c r="H63" s="23"/>
      <c r="I63" s="23"/>
      <c r="J63" s="23"/>
      <c r="K63" s="23"/>
      <c r="L63" s="23"/>
      <c r="M63" s="23"/>
      <c r="N63" s="23"/>
    </row>
    <row r="64" ht="91" customHeight="1" spans="1:14">
      <c r="A64" t="str">
        <f t="shared" si="2"/>
        <v>9月2日晚上</v>
      </c>
      <c r="B64" s="20"/>
      <c r="C64" s="20"/>
      <c r="D64" s="22"/>
      <c r="E64" s="22"/>
      <c r="F64" s="23" t="s">
        <v>494</v>
      </c>
      <c r="G64" s="23"/>
      <c r="H64" s="23"/>
      <c r="I64" s="23"/>
      <c r="J64" s="23"/>
      <c r="K64" s="23"/>
      <c r="L64" s="23"/>
      <c r="M64" s="23"/>
      <c r="N64" s="23"/>
    </row>
    <row r="65" spans="1:14">
      <c r="A65" t="str">
        <f t="shared" si="2"/>
        <v/>
      </c>
    </row>
    <row r="66" spans="1:14">
      <c r="A66" t="str">
        <f t="shared" si="2"/>
        <v/>
      </c>
    </row>
    <row r="67" spans="1:14">
      <c r="A67" t="str">
        <f t="shared" si="2"/>
        <v>SKU</v>
      </c>
      <c r="B67" s="12" t="s">
        <v>240</v>
      </c>
      <c r="C67" s="12" t="s">
        <v>611</v>
      </c>
      <c r="D67" s="12" t="s">
        <v>612</v>
      </c>
      <c r="E67" s="12" t="s">
        <v>613</v>
      </c>
      <c r="F67" s="12"/>
      <c r="G67" s="13" t="s">
        <v>614</v>
      </c>
      <c r="H67" s="14"/>
      <c r="I67" s="14"/>
      <c r="J67" s="14"/>
      <c r="K67" s="14"/>
      <c r="L67" s="14"/>
      <c r="M67" s="14"/>
      <c r="N67" s="15"/>
    </row>
    <row r="68" spans="1:14">
      <c r="A68" t="str">
        <f t="shared" si="2"/>
        <v/>
      </c>
      <c r="B68" s="12"/>
      <c r="C68" s="12"/>
      <c r="D68" s="12"/>
      <c r="E68" s="12"/>
      <c r="F68" s="16"/>
      <c r="G68" s="13" t="s">
        <v>483</v>
      </c>
      <c r="H68" s="14"/>
      <c r="I68" s="13" t="s">
        <v>484</v>
      </c>
      <c r="J68" s="14"/>
      <c r="K68" s="13" t="s">
        <v>485</v>
      </c>
      <c r="L68" s="14"/>
      <c r="M68" s="17" t="s">
        <v>486</v>
      </c>
      <c r="N68" s="17"/>
    </row>
    <row r="69" spans="1:14">
      <c r="A69" t="str">
        <f t="shared" si="2"/>
        <v>日期</v>
      </c>
      <c r="B69" s="18"/>
      <c r="C69" s="18"/>
      <c r="D69" s="18"/>
      <c r="E69" s="18"/>
      <c r="F69" s="19" t="s">
        <v>277</v>
      </c>
      <c r="G69" s="17" t="s">
        <v>487</v>
      </c>
      <c r="H69" s="17" t="s">
        <v>488</v>
      </c>
      <c r="I69" s="17" t="s">
        <v>487</v>
      </c>
      <c r="J69" s="17" t="s">
        <v>488</v>
      </c>
      <c r="K69" s="17" t="s">
        <v>487</v>
      </c>
      <c r="L69" s="17" t="s">
        <v>488</v>
      </c>
      <c r="M69" s="17" t="s">
        <v>487</v>
      </c>
      <c r="N69" s="17" t="s">
        <v>488</v>
      </c>
    </row>
    <row r="70" ht="86" customHeight="1" spans="1:14">
      <c r="A70" t="str">
        <f t="shared" si="2"/>
        <v>XXXX-1119月3日上午</v>
      </c>
      <c r="B70" s="20"/>
      <c r="C70" s="21"/>
      <c r="D70" s="22"/>
      <c r="E70" s="22" t="s">
        <v>5</v>
      </c>
      <c r="F70" s="23" t="s">
        <v>495</v>
      </c>
      <c r="G70" s="23"/>
      <c r="H70" s="23" t="s">
        <v>630</v>
      </c>
      <c r="I70" s="23"/>
      <c r="J70" s="23"/>
      <c r="K70" s="23"/>
      <c r="L70" s="23" t="s">
        <v>631</v>
      </c>
      <c r="M70" s="23"/>
      <c r="N70" s="23"/>
    </row>
    <row r="71" ht="86" customHeight="1" spans="1:14">
      <c r="A71" t="str">
        <f t="shared" si="2"/>
        <v>XXXX-2229月3日上午</v>
      </c>
      <c r="B71" s="20"/>
      <c r="C71" s="24"/>
      <c r="D71" s="22"/>
      <c r="E71" s="22" t="s">
        <v>261</v>
      </c>
      <c r="F71" s="23" t="s">
        <v>495</v>
      </c>
      <c r="G71" s="23"/>
      <c r="H71" s="23"/>
      <c r="I71" s="23"/>
      <c r="J71" s="23" t="s">
        <v>632</v>
      </c>
      <c r="K71" s="25"/>
      <c r="L71" s="23"/>
      <c r="M71" s="23"/>
      <c r="N71" s="23"/>
    </row>
    <row r="72" ht="86" customHeight="1" spans="1:14">
      <c r="A72" t="str">
        <f t="shared" si="2"/>
        <v>9月3日上午</v>
      </c>
      <c r="B72" s="20"/>
      <c r="C72" s="26"/>
      <c r="D72" s="22"/>
      <c r="E72" s="22"/>
      <c r="F72" s="23" t="s">
        <v>495</v>
      </c>
      <c r="G72" s="23"/>
      <c r="H72" s="23"/>
      <c r="I72" s="23"/>
      <c r="J72" s="23" t="s">
        <v>633</v>
      </c>
      <c r="K72" s="23"/>
      <c r="L72" s="23"/>
      <c r="M72" s="23"/>
      <c r="N72" s="23"/>
    </row>
    <row r="73" ht="86" customHeight="1" spans="1:14">
      <c r="A73" t="str">
        <f t="shared" si="2"/>
        <v>9月3日上午</v>
      </c>
      <c r="B73" s="20"/>
      <c r="C73" s="21"/>
      <c r="D73" s="22"/>
      <c r="E73" s="22"/>
      <c r="F73" s="23" t="s">
        <v>495</v>
      </c>
      <c r="G73" s="23"/>
      <c r="H73" s="23"/>
      <c r="I73" s="23"/>
      <c r="J73" s="23"/>
      <c r="K73" s="23"/>
      <c r="L73" s="23"/>
      <c r="M73" s="23"/>
      <c r="N73" s="23"/>
    </row>
    <row r="74" ht="86" customHeight="1" spans="1:14">
      <c r="A74" t="str">
        <f t="shared" si="2"/>
        <v>9月3日上午</v>
      </c>
      <c r="B74" s="20"/>
      <c r="C74" s="26"/>
      <c r="D74" s="22"/>
      <c r="E74" s="22"/>
      <c r="F74" s="23" t="s">
        <v>495</v>
      </c>
      <c r="G74" s="23"/>
      <c r="H74" s="23"/>
      <c r="I74" s="23"/>
      <c r="J74" s="23"/>
      <c r="K74" s="23"/>
      <c r="L74" s="23" t="s">
        <v>634</v>
      </c>
      <c r="M74" s="23"/>
      <c r="N74" s="23"/>
    </row>
    <row r="75" ht="86" customHeight="1" spans="1:14">
      <c r="A75" t="str">
        <f t="shared" si="2"/>
        <v>9月3日上午</v>
      </c>
      <c r="B75" s="20"/>
      <c r="C75" s="20"/>
      <c r="D75" s="22"/>
      <c r="E75" s="27"/>
      <c r="F75" s="23" t="s">
        <v>495</v>
      </c>
      <c r="G75" s="23"/>
      <c r="H75" s="23"/>
      <c r="I75" s="23"/>
      <c r="J75" s="23"/>
      <c r="K75" s="23"/>
      <c r="L75" s="23"/>
      <c r="M75" s="23"/>
      <c r="N75" s="23"/>
    </row>
    <row r="76" ht="86" customHeight="1" spans="1:14">
      <c r="A76" t="str">
        <f t="shared" si="2"/>
        <v>9月3日上午</v>
      </c>
      <c r="B76" s="20"/>
      <c r="C76" s="20"/>
      <c r="D76" s="22"/>
      <c r="E76" s="22"/>
      <c r="F76" s="23" t="s">
        <v>495</v>
      </c>
      <c r="G76" s="23"/>
      <c r="H76" s="23"/>
      <c r="I76" s="23"/>
      <c r="J76" s="23"/>
      <c r="K76" s="23"/>
      <c r="L76" s="23"/>
      <c r="M76" s="23"/>
      <c r="N76" s="23"/>
    </row>
    <row r="77" spans="1:14">
      <c r="A77" t="str">
        <f t="shared" si="2"/>
        <v/>
      </c>
    </row>
    <row r="78" spans="1:14">
      <c r="A78" t="str">
        <f t="shared" si="2"/>
        <v>SKU</v>
      </c>
      <c r="B78" s="12" t="s">
        <v>240</v>
      </c>
      <c r="C78" s="12" t="s">
        <v>611</v>
      </c>
      <c r="D78" s="12" t="s">
        <v>612</v>
      </c>
      <c r="E78" s="12" t="s">
        <v>613</v>
      </c>
      <c r="F78" s="12"/>
      <c r="G78" s="13" t="s">
        <v>614</v>
      </c>
      <c r="H78" s="14"/>
      <c r="I78" s="14"/>
      <c r="J78" s="14"/>
      <c r="K78" s="14"/>
      <c r="L78" s="14"/>
      <c r="M78" s="14"/>
      <c r="N78" s="15"/>
    </row>
    <row r="79" spans="1:14">
      <c r="A79" t="str">
        <f t="shared" si="2"/>
        <v/>
      </c>
      <c r="B79" s="12"/>
      <c r="C79" s="12"/>
      <c r="D79" s="12"/>
      <c r="E79" s="12"/>
      <c r="F79" s="16"/>
      <c r="G79" s="13" t="s">
        <v>619</v>
      </c>
      <c r="H79" s="14"/>
      <c r="I79" s="13" t="s">
        <v>620</v>
      </c>
      <c r="J79" s="14"/>
      <c r="K79" s="13" t="s">
        <v>485</v>
      </c>
      <c r="L79" s="14"/>
      <c r="M79" s="17" t="s">
        <v>486</v>
      </c>
      <c r="N79" s="17"/>
    </row>
    <row r="80" spans="1:14">
      <c r="A80" t="str">
        <f t="shared" si="2"/>
        <v>日期</v>
      </c>
      <c r="B80" s="18"/>
      <c r="C80" s="18"/>
      <c r="D80" s="18"/>
      <c r="E80" s="18"/>
      <c r="F80" s="19" t="s">
        <v>277</v>
      </c>
      <c r="G80" s="17" t="s">
        <v>487</v>
      </c>
      <c r="H80" s="17" t="s">
        <v>488</v>
      </c>
      <c r="I80" s="17" t="s">
        <v>487</v>
      </c>
      <c r="J80" s="17" t="s">
        <v>488</v>
      </c>
      <c r="K80" s="17" t="s">
        <v>487</v>
      </c>
      <c r="L80" s="17" t="s">
        <v>488</v>
      </c>
      <c r="M80" s="17" t="s">
        <v>487</v>
      </c>
      <c r="N80" s="17" t="s">
        <v>488</v>
      </c>
    </row>
    <row r="81" ht="91" customHeight="1" spans="1:14">
      <c r="A81" t="str">
        <f t="shared" si="2"/>
        <v>XXXX-1119月3日晚上</v>
      </c>
      <c r="B81" s="20"/>
      <c r="C81" s="21"/>
      <c r="D81" s="22"/>
      <c r="E81" s="22" t="s">
        <v>5</v>
      </c>
      <c r="F81" s="23" t="s">
        <v>635</v>
      </c>
      <c r="G81" s="23"/>
      <c r="H81" s="23"/>
      <c r="I81" s="23"/>
      <c r="J81" s="23"/>
      <c r="K81" s="23"/>
      <c r="L81" s="23"/>
      <c r="M81" s="23"/>
      <c r="N81" s="23"/>
    </row>
    <row r="82" ht="91" customHeight="1" spans="1:14">
      <c r="A82" t="str">
        <f t="shared" si="2"/>
        <v>XXXX-2229月3日晚上</v>
      </c>
      <c r="B82" s="20"/>
      <c r="C82" s="24"/>
      <c r="D82" s="22"/>
      <c r="E82" s="22" t="s">
        <v>261</v>
      </c>
      <c r="F82" s="23" t="s">
        <v>635</v>
      </c>
      <c r="G82" s="23"/>
      <c r="H82" s="23"/>
      <c r="I82" s="23"/>
      <c r="J82" s="23"/>
      <c r="K82" s="25"/>
      <c r="L82" s="23"/>
      <c r="M82" s="23"/>
      <c r="N82" s="23"/>
    </row>
    <row r="83" ht="91" customHeight="1" spans="1:14">
      <c r="A83" t="str">
        <f t="shared" si="2"/>
        <v>9月3日晚上</v>
      </c>
      <c r="B83" s="20"/>
      <c r="C83" s="26"/>
      <c r="D83" s="22"/>
      <c r="E83" s="22"/>
      <c r="F83" s="23" t="s">
        <v>635</v>
      </c>
      <c r="G83" s="23"/>
      <c r="H83" s="23"/>
      <c r="I83" s="23"/>
      <c r="J83" s="23"/>
      <c r="K83" s="23"/>
      <c r="L83" s="23"/>
      <c r="M83" s="23"/>
      <c r="N83" s="23"/>
    </row>
    <row r="84" ht="91" customHeight="1" spans="1:14">
      <c r="A84" t="str">
        <f t="shared" si="2"/>
        <v>9月3日晚上</v>
      </c>
      <c r="B84" s="20"/>
      <c r="C84" s="21"/>
      <c r="D84" s="22"/>
      <c r="E84" s="22"/>
      <c r="F84" s="23" t="s">
        <v>635</v>
      </c>
      <c r="G84" s="23"/>
      <c r="H84" s="23"/>
      <c r="I84" s="23"/>
      <c r="J84" s="23"/>
      <c r="K84" s="23"/>
      <c r="L84" s="23"/>
      <c r="M84" s="23"/>
      <c r="N84" s="23"/>
    </row>
    <row r="85" ht="91" customHeight="1" spans="1:14">
      <c r="A85" t="str">
        <f t="shared" si="2"/>
        <v>9月3日晚上</v>
      </c>
      <c r="B85" s="20"/>
      <c r="C85" s="26"/>
      <c r="D85" s="22"/>
      <c r="E85" s="22"/>
      <c r="F85" s="23" t="s">
        <v>635</v>
      </c>
      <c r="G85" s="23"/>
      <c r="H85" s="23"/>
      <c r="I85" s="23"/>
      <c r="J85" s="23"/>
      <c r="K85" s="23"/>
      <c r="L85" s="23"/>
      <c r="M85" s="23"/>
      <c r="N85" s="23"/>
    </row>
    <row r="86" ht="91" customHeight="1" spans="1:14">
      <c r="A86" t="str">
        <f t="shared" si="2"/>
        <v>9月3日晚上</v>
      </c>
      <c r="B86" s="20"/>
      <c r="C86" s="20"/>
      <c r="D86" s="22"/>
      <c r="E86" s="27"/>
      <c r="F86" s="23" t="s">
        <v>635</v>
      </c>
      <c r="G86" s="23"/>
      <c r="H86" s="23"/>
      <c r="I86" s="23"/>
      <c r="J86" s="23"/>
      <c r="K86" s="23"/>
      <c r="L86" s="23"/>
      <c r="M86" s="23"/>
      <c r="N86" s="23"/>
    </row>
    <row r="87" ht="91" customHeight="1" spans="1:14">
      <c r="A87" t="str">
        <f t="shared" si="2"/>
        <v>9月3日晚上</v>
      </c>
      <c r="B87" s="20"/>
      <c r="C87" s="20"/>
      <c r="D87" s="22"/>
      <c r="E87" s="22"/>
      <c r="F87" s="23" t="s">
        <v>635</v>
      </c>
      <c r="G87" s="23"/>
      <c r="H87" s="23"/>
      <c r="I87" s="23"/>
      <c r="J87" s="23"/>
      <c r="K87" s="23"/>
      <c r="L87" s="23"/>
      <c r="M87" s="23"/>
      <c r="N87" s="23"/>
    </row>
    <row r="88" spans="1:14">
      <c r="A88" t="str">
        <f t="shared" ref="A88:A119" si="3">E88&amp;F88</f>
        <v/>
      </c>
    </row>
    <row r="89" customFormat="1" spans="1:14">
      <c r="A89" t="str">
        <f t="shared" si="3"/>
        <v>SKU</v>
      </c>
      <c r="B89" s="12" t="s">
        <v>240</v>
      </c>
      <c r="C89" s="12" t="s">
        <v>611</v>
      </c>
      <c r="D89" s="12" t="s">
        <v>612</v>
      </c>
      <c r="E89" s="12" t="s">
        <v>613</v>
      </c>
      <c r="F89" s="12"/>
      <c r="G89" s="13" t="s">
        <v>614</v>
      </c>
      <c r="H89" s="14"/>
      <c r="I89" s="14"/>
      <c r="J89" s="14"/>
      <c r="K89" s="14"/>
      <c r="L89" s="14"/>
      <c r="M89" s="14"/>
      <c r="N89" s="15"/>
    </row>
    <row r="90" customFormat="1" spans="1:14">
      <c r="A90" t="str">
        <f t="shared" si="3"/>
        <v/>
      </c>
      <c r="B90" s="12"/>
      <c r="C90" s="12"/>
      <c r="D90" s="12"/>
      <c r="E90" s="12"/>
      <c r="F90" s="16"/>
      <c r="G90" s="13" t="s">
        <v>483</v>
      </c>
      <c r="H90" s="14"/>
      <c r="I90" s="13" t="s">
        <v>484</v>
      </c>
      <c r="J90" s="14"/>
      <c r="K90" s="13" t="s">
        <v>485</v>
      </c>
      <c r="L90" s="14"/>
      <c r="M90" s="17" t="s">
        <v>486</v>
      </c>
      <c r="N90" s="17"/>
    </row>
    <row r="91" customFormat="1" spans="1:14">
      <c r="A91" t="str">
        <f t="shared" si="3"/>
        <v>日期</v>
      </c>
      <c r="B91" s="18"/>
      <c r="C91" s="18"/>
      <c r="D91" s="18"/>
      <c r="E91" s="18"/>
      <c r="F91" s="19" t="s">
        <v>277</v>
      </c>
      <c r="G91" s="17" t="s">
        <v>487</v>
      </c>
      <c r="H91" s="17" t="s">
        <v>488</v>
      </c>
      <c r="I91" s="17" t="s">
        <v>487</v>
      </c>
      <c r="J91" s="17" t="s">
        <v>488</v>
      </c>
      <c r="K91" s="17" t="s">
        <v>487</v>
      </c>
      <c r="L91" s="17" t="s">
        <v>488</v>
      </c>
      <c r="M91" s="17" t="s">
        <v>487</v>
      </c>
      <c r="N91" s="17" t="s">
        <v>488</v>
      </c>
    </row>
    <row r="92" customFormat="1" ht="78" customHeight="1" spans="1:14">
      <c r="A92" t="str">
        <f t="shared" si="3"/>
        <v>XXXX-1119月4日上午</v>
      </c>
      <c r="B92" s="20"/>
      <c r="C92" s="21"/>
      <c r="D92" s="22"/>
      <c r="E92" s="22" t="s">
        <v>5</v>
      </c>
      <c r="F92" s="23" t="s">
        <v>636</v>
      </c>
      <c r="G92" s="23"/>
      <c r="H92" s="23"/>
      <c r="I92" s="23"/>
      <c r="J92" s="23"/>
      <c r="K92" s="23"/>
      <c r="L92" s="23"/>
      <c r="M92" s="23"/>
      <c r="N92" s="23"/>
    </row>
    <row r="93" customFormat="1" ht="78" customHeight="1" spans="1:14">
      <c r="A93" t="str">
        <f t="shared" si="3"/>
        <v>XXXX-2229月4日上午</v>
      </c>
      <c r="B93" s="20"/>
      <c r="C93" s="24"/>
      <c r="D93" s="22"/>
      <c r="E93" s="22" t="s">
        <v>261</v>
      </c>
      <c r="F93" s="23" t="s">
        <v>636</v>
      </c>
      <c r="G93" s="23"/>
      <c r="H93" s="23"/>
      <c r="I93" s="23"/>
      <c r="J93" s="23"/>
      <c r="K93" s="25"/>
      <c r="L93" s="23"/>
      <c r="M93" s="23"/>
      <c r="N93" s="23"/>
    </row>
    <row r="94" customFormat="1" ht="78" customHeight="1" spans="1:14">
      <c r="A94" t="str">
        <f t="shared" si="3"/>
        <v>9月4日上午</v>
      </c>
      <c r="B94" s="20"/>
      <c r="C94" s="26"/>
      <c r="D94" s="22"/>
      <c r="E94" s="22"/>
      <c r="F94" s="23" t="s">
        <v>636</v>
      </c>
      <c r="G94" s="23"/>
      <c r="H94" s="23"/>
      <c r="I94" s="23"/>
      <c r="J94" s="23"/>
      <c r="K94" s="23"/>
      <c r="L94" s="23"/>
      <c r="M94" s="23"/>
      <c r="N94" s="23"/>
    </row>
    <row r="95" customFormat="1" ht="78" customHeight="1" spans="1:14">
      <c r="A95" t="str">
        <f t="shared" si="3"/>
        <v>9月4日上午</v>
      </c>
      <c r="B95" s="20"/>
      <c r="C95" s="21"/>
      <c r="D95" s="22"/>
      <c r="E95" s="22"/>
      <c r="F95" s="23" t="s">
        <v>636</v>
      </c>
      <c r="G95" s="23"/>
      <c r="H95" s="23"/>
      <c r="I95" s="23"/>
      <c r="J95" s="23"/>
      <c r="K95" s="23"/>
      <c r="L95" s="23"/>
      <c r="M95" s="23"/>
      <c r="N95" s="23"/>
    </row>
    <row r="96" customFormat="1" ht="78" customHeight="1" spans="1:14">
      <c r="A96" t="str">
        <f t="shared" si="3"/>
        <v>9月4日上午</v>
      </c>
      <c r="B96" s="20"/>
      <c r="C96" s="26"/>
      <c r="D96" s="22"/>
      <c r="E96" s="22"/>
      <c r="F96" s="23" t="s">
        <v>636</v>
      </c>
      <c r="G96" s="23"/>
      <c r="H96" s="23"/>
      <c r="I96" s="23"/>
      <c r="J96" s="23"/>
      <c r="K96" s="23"/>
      <c r="L96" s="23"/>
      <c r="M96" s="23"/>
      <c r="N96" s="23"/>
    </row>
    <row r="97" customFormat="1" ht="78" customHeight="1" spans="1:14">
      <c r="A97" t="str">
        <f t="shared" si="3"/>
        <v>9月4日上午</v>
      </c>
      <c r="B97" s="20"/>
      <c r="C97" s="20"/>
      <c r="D97" s="22"/>
      <c r="E97" s="27"/>
      <c r="F97" s="23" t="s">
        <v>636</v>
      </c>
      <c r="G97" s="23"/>
      <c r="H97" s="23"/>
      <c r="I97" s="23"/>
      <c r="J97" s="23"/>
      <c r="K97" s="23"/>
      <c r="L97" s="23"/>
      <c r="M97" s="23"/>
      <c r="N97" s="23"/>
    </row>
    <row r="98" customFormat="1" ht="84" customHeight="1" spans="1:14">
      <c r="A98" t="str">
        <f t="shared" si="3"/>
        <v>9月4日上午</v>
      </c>
      <c r="B98" s="20"/>
      <c r="C98" s="20"/>
      <c r="D98" s="22"/>
      <c r="E98" s="22"/>
      <c r="F98" s="23" t="s">
        <v>636</v>
      </c>
      <c r="G98" s="23"/>
      <c r="H98" s="23"/>
      <c r="I98" s="23"/>
      <c r="J98" s="23"/>
      <c r="K98" s="23"/>
      <c r="L98" s="23"/>
      <c r="M98" s="23"/>
      <c r="N98" s="23"/>
    </row>
    <row r="99" spans="1:14">
      <c r="A99" t="str">
        <f t="shared" si="3"/>
        <v/>
      </c>
    </row>
    <row r="100" customFormat="1" spans="1:14">
      <c r="A100" t="str">
        <f t="shared" si="3"/>
        <v>SKU</v>
      </c>
      <c r="B100" s="12" t="s">
        <v>240</v>
      </c>
      <c r="C100" s="12" t="s">
        <v>611</v>
      </c>
      <c r="D100" s="12" t="s">
        <v>612</v>
      </c>
      <c r="E100" s="12" t="s">
        <v>613</v>
      </c>
      <c r="F100" s="12"/>
      <c r="G100" s="13" t="s">
        <v>614</v>
      </c>
      <c r="H100" s="14"/>
      <c r="I100" s="14"/>
      <c r="J100" s="14"/>
      <c r="K100" s="14"/>
      <c r="L100" s="14"/>
      <c r="M100" s="14"/>
      <c r="N100" s="15"/>
    </row>
    <row r="101" customFormat="1" spans="1:14">
      <c r="A101" t="str">
        <f t="shared" si="3"/>
        <v/>
      </c>
      <c r="B101" s="12"/>
      <c r="C101" s="12"/>
      <c r="D101" s="12"/>
      <c r="E101" s="12"/>
      <c r="F101" s="16"/>
      <c r="G101" s="13" t="s">
        <v>619</v>
      </c>
      <c r="H101" s="14"/>
      <c r="I101" s="13" t="s">
        <v>620</v>
      </c>
      <c r="J101" s="14"/>
      <c r="K101" s="13" t="s">
        <v>485</v>
      </c>
      <c r="L101" s="14"/>
      <c r="M101" s="17" t="s">
        <v>486</v>
      </c>
      <c r="N101" s="17"/>
    </row>
    <row r="102" customFormat="1" spans="1:14">
      <c r="A102" t="str">
        <f t="shared" si="3"/>
        <v>日期</v>
      </c>
      <c r="B102" s="18"/>
      <c r="C102" s="18"/>
      <c r="D102" s="18"/>
      <c r="E102" s="18"/>
      <c r="F102" s="19" t="s">
        <v>277</v>
      </c>
      <c r="G102" s="17" t="s">
        <v>487</v>
      </c>
      <c r="H102" s="17" t="s">
        <v>488</v>
      </c>
      <c r="I102" s="17" t="s">
        <v>487</v>
      </c>
      <c r="J102" s="17" t="s">
        <v>488</v>
      </c>
      <c r="K102" s="17" t="s">
        <v>487</v>
      </c>
      <c r="L102" s="17" t="s">
        <v>488</v>
      </c>
      <c r="M102" s="17" t="s">
        <v>487</v>
      </c>
      <c r="N102" s="17" t="s">
        <v>488</v>
      </c>
    </row>
    <row r="103" customFormat="1" ht="84" customHeight="1" spans="1:14">
      <c r="A103" t="str">
        <f t="shared" si="3"/>
        <v>XXXX-1119月4日晚上</v>
      </c>
      <c r="B103" s="20"/>
      <c r="C103" s="21"/>
      <c r="D103" s="22"/>
      <c r="E103" s="22" t="s">
        <v>5</v>
      </c>
      <c r="F103" s="23" t="s">
        <v>496</v>
      </c>
      <c r="G103" s="23"/>
      <c r="H103" s="23"/>
      <c r="I103" s="23"/>
      <c r="J103" s="23"/>
      <c r="K103" s="23"/>
      <c r="M103" s="23"/>
      <c r="N103" s="23"/>
    </row>
    <row r="104" customFormat="1" ht="84" customHeight="1" spans="1:14">
      <c r="A104" t="str">
        <f t="shared" si="3"/>
        <v>XXXX-2229月4日晚上</v>
      </c>
      <c r="B104" s="20"/>
      <c r="C104" s="24"/>
      <c r="D104" s="22"/>
      <c r="E104" s="22" t="s">
        <v>261</v>
      </c>
      <c r="F104" s="23" t="s">
        <v>496</v>
      </c>
      <c r="G104" s="23"/>
      <c r="H104" s="23"/>
      <c r="I104" s="23"/>
      <c r="J104" s="23"/>
      <c r="K104" s="25"/>
      <c r="L104" s="23"/>
      <c r="M104" s="23"/>
      <c r="N104" s="23"/>
    </row>
    <row r="105" customFormat="1" ht="84" customHeight="1" spans="1:14">
      <c r="A105" t="str">
        <f t="shared" si="3"/>
        <v>9月4日晚上</v>
      </c>
      <c r="B105" s="20"/>
      <c r="C105" s="26"/>
      <c r="D105" s="22"/>
      <c r="E105" s="22"/>
      <c r="F105" s="23" t="s">
        <v>496</v>
      </c>
      <c r="G105" s="23"/>
      <c r="H105" s="23"/>
      <c r="I105" s="23"/>
      <c r="J105" s="23"/>
      <c r="K105" s="23"/>
      <c r="L105" s="23"/>
      <c r="M105" s="23"/>
      <c r="N105" s="23"/>
    </row>
    <row r="106" customFormat="1" ht="84" customHeight="1" spans="1:14">
      <c r="A106" t="str">
        <f t="shared" si="3"/>
        <v>9月4日晚上</v>
      </c>
      <c r="B106" s="20"/>
      <c r="C106" s="21"/>
      <c r="D106" s="22"/>
      <c r="E106" s="22"/>
      <c r="F106" s="23" t="s">
        <v>496</v>
      </c>
      <c r="G106" s="23"/>
      <c r="H106" s="23"/>
      <c r="I106" s="23"/>
      <c r="J106" s="23"/>
      <c r="K106" s="23"/>
      <c r="L106" s="23"/>
      <c r="M106" s="23"/>
      <c r="N106" s="23"/>
    </row>
    <row r="107" customFormat="1" ht="84" customHeight="1" spans="1:14">
      <c r="A107" t="str">
        <f t="shared" si="3"/>
        <v>9月4日晚上</v>
      </c>
      <c r="B107" s="20"/>
      <c r="C107" s="26"/>
      <c r="D107" s="22"/>
      <c r="E107" s="22"/>
      <c r="F107" s="23" t="s">
        <v>496</v>
      </c>
      <c r="G107" s="23"/>
      <c r="H107" s="23"/>
      <c r="I107" s="23"/>
      <c r="J107" s="23"/>
      <c r="K107" s="23"/>
      <c r="L107" s="23"/>
      <c r="M107" s="23"/>
      <c r="N107" s="23"/>
    </row>
    <row r="108" customFormat="1" ht="84" customHeight="1" spans="1:14">
      <c r="A108" t="str">
        <f t="shared" si="3"/>
        <v> 
9月4日晚上</v>
      </c>
      <c r="B108" s="20"/>
      <c r="C108" s="20"/>
      <c r="D108" s="22"/>
      <c r="E108" s="27" t="s">
        <v>637</v>
      </c>
      <c r="F108" s="23" t="s">
        <v>496</v>
      </c>
      <c r="G108" s="23"/>
      <c r="H108" s="23"/>
      <c r="I108" s="23"/>
      <c r="J108" s="23"/>
      <c r="K108" s="23"/>
      <c r="L108" s="23"/>
      <c r="M108" s="23"/>
      <c r="N108" s="23"/>
    </row>
    <row r="109" customFormat="1" ht="84" customHeight="1" spans="1:14">
      <c r="A109" t="str">
        <f t="shared" si="3"/>
        <v>9月4日晚上</v>
      </c>
      <c r="B109" s="20"/>
      <c r="C109" s="20"/>
      <c r="D109" s="22"/>
      <c r="E109" s="22"/>
      <c r="F109" s="23" t="s">
        <v>496</v>
      </c>
      <c r="G109" s="23"/>
      <c r="H109" s="23"/>
      <c r="I109" s="23"/>
      <c r="J109" s="23"/>
      <c r="K109" s="23"/>
      <c r="L109" s="23"/>
      <c r="M109" s="23"/>
      <c r="N109" s="23"/>
    </row>
    <row r="110" spans="1:14">
      <c r="A110" t="str">
        <f t="shared" si="3"/>
        <v/>
      </c>
    </row>
    <row r="111" spans="1:14">
      <c r="A111" t="str">
        <f t="shared" si="3"/>
        <v/>
      </c>
    </row>
    <row r="112" customFormat="1" spans="1:14">
      <c r="A112" t="str">
        <f t="shared" si="3"/>
        <v>SKU</v>
      </c>
      <c r="B112" s="12" t="s">
        <v>240</v>
      </c>
      <c r="C112" s="12" t="s">
        <v>611</v>
      </c>
      <c r="D112" s="12" t="s">
        <v>612</v>
      </c>
      <c r="E112" s="12" t="s">
        <v>613</v>
      </c>
      <c r="F112" s="12"/>
      <c r="G112" s="13" t="s">
        <v>614</v>
      </c>
      <c r="H112" s="14"/>
      <c r="I112" s="14"/>
      <c r="J112" s="14"/>
      <c r="K112" s="14"/>
      <c r="L112" s="14"/>
      <c r="M112" s="14"/>
      <c r="N112" s="15"/>
    </row>
    <row r="113" customFormat="1" spans="1:14">
      <c r="A113" t="str">
        <f t="shared" si="3"/>
        <v/>
      </c>
      <c r="B113" s="12"/>
      <c r="C113" s="12"/>
      <c r="D113" s="12"/>
      <c r="E113" s="12"/>
      <c r="F113" s="16"/>
      <c r="G113" s="13" t="s">
        <v>483</v>
      </c>
      <c r="H113" s="14"/>
      <c r="I113" s="13" t="s">
        <v>484</v>
      </c>
      <c r="J113" s="14"/>
      <c r="K113" s="13" t="s">
        <v>485</v>
      </c>
      <c r="L113" s="14"/>
      <c r="M113" s="17" t="s">
        <v>486</v>
      </c>
      <c r="N113" s="17"/>
    </row>
    <row r="114" customFormat="1" spans="1:14">
      <c r="A114" t="str">
        <f t="shared" si="3"/>
        <v>日期</v>
      </c>
      <c r="B114" s="18"/>
      <c r="C114" s="18"/>
      <c r="D114" s="18"/>
      <c r="E114" s="18"/>
      <c r="F114" s="19" t="s">
        <v>277</v>
      </c>
      <c r="G114" s="17" t="s">
        <v>487</v>
      </c>
      <c r="H114" s="17" t="s">
        <v>488</v>
      </c>
      <c r="I114" s="17" t="s">
        <v>487</v>
      </c>
      <c r="J114" s="17" t="s">
        <v>488</v>
      </c>
      <c r="K114" s="17" t="s">
        <v>487</v>
      </c>
      <c r="L114" s="17" t="s">
        <v>488</v>
      </c>
      <c r="M114" s="17" t="s">
        <v>487</v>
      </c>
      <c r="N114" s="17" t="s">
        <v>488</v>
      </c>
    </row>
    <row r="115" customFormat="1" ht="78" customHeight="1" spans="1:14">
      <c r="A115" t="str">
        <f t="shared" si="3"/>
        <v>XXXX-1119月5日上午</v>
      </c>
      <c r="B115" s="20"/>
      <c r="C115" s="21"/>
      <c r="D115" s="22"/>
      <c r="E115" s="22" t="s">
        <v>5</v>
      </c>
      <c r="F115" s="23" t="s">
        <v>497</v>
      </c>
      <c r="G115" s="23"/>
      <c r="H115" s="23" t="s">
        <v>638</v>
      </c>
      <c r="I115" s="23"/>
      <c r="J115" s="23" t="s">
        <v>639</v>
      </c>
      <c r="K115" s="23"/>
      <c r="L115" s="23" t="s">
        <v>640</v>
      </c>
      <c r="M115" s="23"/>
      <c r="N115" s="23"/>
    </row>
    <row r="116" customFormat="1" ht="78" customHeight="1" spans="1:14">
      <c r="A116" t="str">
        <f t="shared" si="3"/>
        <v>XXXX-2229月5日上午</v>
      </c>
      <c r="B116" s="20"/>
      <c r="C116" s="24"/>
      <c r="D116" s="22"/>
      <c r="E116" s="22" t="s">
        <v>261</v>
      </c>
      <c r="F116" s="23" t="s">
        <v>497</v>
      </c>
      <c r="G116" s="23"/>
      <c r="H116" s="23"/>
      <c r="I116" s="23"/>
      <c r="J116" s="23"/>
      <c r="K116" s="25"/>
      <c r="L116" s="23"/>
      <c r="M116" s="23"/>
      <c r="N116" s="23"/>
    </row>
    <row r="117" customFormat="1" ht="78" customHeight="1" spans="1:14">
      <c r="A117" t="str">
        <f t="shared" si="3"/>
        <v>9月5日上午</v>
      </c>
      <c r="B117" s="20"/>
      <c r="C117" s="26"/>
      <c r="D117" s="22"/>
      <c r="E117" s="22"/>
      <c r="F117" s="23" t="s">
        <v>497</v>
      </c>
      <c r="G117" s="23"/>
      <c r="H117" s="23"/>
      <c r="I117" s="23"/>
      <c r="J117" s="23" t="s">
        <v>641</v>
      </c>
      <c r="K117" s="23"/>
      <c r="L117" s="23"/>
      <c r="M117" s="23"/>
      <c r="N117" s="23"/>
    </row>
    <row r="118" customFormat="1" ht="78" customHeight="1" spans="1:14">
      <c r="A118" t="str">
        <f t="shared" si="3"/>
        <v>9月5日上午</v>
      </c>
      <c r="B118" s="20"/>
      <c r="C118" s="21"/>
      <c r="D118" s="22"/>
      <c r="E118" s="22"/>
      <c r="F118" s="23" t="s">
        <v>497</v>
      </c>
      <c r="G118" s="23"/>
      <c r="H118" s="23"/>
      <c r="I118" s="23"/>
      <c r="J118" s="23" t="s">
        <v>642</v>
      </c>
      <c r="K118" s="23"/>
      <c r="L118" s="23"/>
      <c r="M118" s="23"/>
      <c r="N118" s="23"/>
    </row>
    <row r="119" customFormat="1" ht="78" customHeight="1" spans="1:14">
      <c r="A119" t="str">
        <f t="shared" si="3"/>
        <v>9月5日上午</v>
      </c>
      <c r="B119" s="20"/>
      <c r="C119" s="26"/>
      <c r="D119" s="22"/>
      <c r="E119" s="22"/>
      <c r="F119" s="23" t="s">
        <v>497</v>
      </c>
      <c r="G119" s="23"/>
      <c r="H119" s="23"/>
      <c r="I119" s="23"/>
      <c r="J119" s="23"/>
      <c r="K119" s="23"/>
      <c r="L119" s="23" t="s">
        <v>643</v>
      </c>
      <c r="M119" s="23"/>
      <c r="N119" s="23"/>
    </row>
    <row r="120" customFormat="1" ht="78" customHeight="1" spans="1:14">
      <c r="A120" t="str">
        <f t="shared" ref="A120:A151" si="4">E120&amp;F120</f>
        <v>9月5日上午</v>
      </c>
      <c r="B120" s="20"/>
      <c r="C120" s="20"/>
      <c r="D120" s="22"/>
      <c r="E120" s="27"/>
      <c r="F120" s="23" t="s">
        <v>497</v>
      </c>
      <c r="G120" s="23"/>
      <c r="H120" s="23"/>
      <c r="I120" s="23"/>
      <c r="J120" s="23"/>
      <c r="K120" s="23" t="s">
        <v>644</v>
      </c>
      <c r="L120" s="23"/>
      <c r="M120" s="23"/>
      <c r="N120" s="23"/>
    </row>
    <row r="121" customFormat="1" ht="84" customHeight="1" spans="1:14">
      <c r="A121" t="str">
        <f t="shared" si="4"/>
        <v>9月5日上午</v>
      </c>
      <c r="B121" s="20"/>
      <c r="C121" s="20"/>
      <c r="D121" s="22"/>
      <c r="E121" s="22"/>
      <c r="F121" s="23" t="s">
        <v>497</v>
      </c>
      <c r="G121" s="23"/>
      <c r="H121" s="23"/>
      <c r="I121" s="23"/>
      <c r="J121" s="23"/>
      <c r="K121" s="23"/>
      <c r="L121" s="23"/>
      <c r="M121" s="23"/>
      <c r="N121" s="23"/>
    </row>
    <row r="122" spans="1:14">
      <c r="A122" t="str">
        <f t="shared" si="4"/>
        <v/>
      </c>
    </row>
    <row r="123" customFormat="1" spans="1:14">
      <c r="A123" t="str">
        <f t="shared" si="4"/>
        <v>SKU</v>
      </c>
      <c r="B123" s="12" t="s">
        <v>240</v>
      </c>
      <c r="C123" s="12" t="s">
        <v>611</v>
      </c>
      <c r="D123" s="12" t="s">
        <v>612</v>
      </c>
      <c r="E123" s="12" t="s">
        <v>613</v>
      </c>
      <c r="F123" s="12"/>
      <c r="G123" s="13" t="s">
        <v>614</v>
      </c>
      <c r="H123" s="14"/>
      <c r="I123" s="14"/>
      <c r="J123" s="14"/>
      <c r="K123" s="14"/>
      <c r="L123" s="14"/>
      <c r="M123" s="14"/>
      <c r="N123" s="15"/>
    </row>
    <row r="124" customFormat="1" spans="1:14">
      <c r="A124" t="str">
        <f t="shared" si="4"/>
        <v/>
      </c>
      <c r="B124" s="12"/>
      <c r="C124" s="12"/>
      <c r="D124" s="12"/>
      <c r="E124" s="12"/>
      <c r="F124" s="16"/>
      <c r="G124" s="13" t="s">
        <v>619</v>
      </c>
      <c r="H124" s="14"/>
      <c r="I124" s="13" t="s">
        <v>620</v>
      </c>
      <c r="J124" s="14"/>
      <c r="K124" s="13" t="s">
        <v>485</v>
      </c>
      <c r="L124" s="14"/>
      <c r="M124" s="17" t="s">
        <v>486</v>
      </c>
      <c r="N124" s="17"/>
    </row>
    <row r="125" customFormat="1" spans="1:14">
      <c r="A125" t="str">
        <f t="shared" si="4"/>
        <v>日期</v>
      </c>
      <c r="B125" s="18"/>
      <c r="C125" s="18"/>
      <c r="D125" s="18"/>
      <c r="E125" s="18"/>
      <c r="F125" s="19" t="s">
        <v>277</v>
      </c>
      <c r="G125" s="17" t="s">
        <v>487</v>
      </c>
      <c r="H125" s="17" t="s">
        <v>488</v>
      </c>
      <c r="I125" s="17" t="s">
        <v>487</v>
      </c>
      <c r="J125" s="17" t="s">
        <v>488</v>
      </c>
      <c r="K125" s="17" t="s">
        <v>487</v>
      </c>
      <c r="L125" s="17" t="s">
        <v>488</v>
      </c>
      <c r="M125" s="17" t="s">
        <v>487</v>
      </c>
      <c r="N125" s="17" t="s">
        <v>488</v>
      </c>
    </row>
    <row r="126" customFormat="1" ht="84" customHeight="1" spans="1:14">
      <c r="A126" t="str">
        <f t="shared" si="4"/>
        <v>XXXX-1119月5日晚上</v>
      </c>
      <c r="B126" s="20"/>
      <c r="C126" s="21"/>
      <c r="D126" s="22"/>
      <c r="E126" s="22" t="s">
        <v>5</v>
      </c>
      <c r="F126" s="23" t="s">
        <v>645</v>
      </c>
      <c r="G126" s="23"/>
      <c r="H126" s="23"/>
      <c r="I126" s="23"/>
      <c r="J126" s="23"/>
      <c r="K126" s="23"/>
      <c r="L126" s="23"/>
      <c r="M126" s="23"/>
      <c r="N126" s="23"/>
    </row>
    <row r="127" customFormat="1" ht="84" customHeight="1" spans="1:14">
      <c r="A127" t="str">
        <f t="shared" si="4"/>
        <v>XXXX-2229月5日晚上</v>
      </c>
      <c r="B127" s="20"/>
      <c r="C127" s="24"/>
      <c r="D127" s="22"/>
      <c r="E127" s="22" t="s">
        <v>261</v>
      </c>
      <c r="F127" s="23" t="s">
        <v>645</v>
      </c>
      <c r="G127" s="23"/>
      <c r="H127" s="23"/>
      <c r="I127" s="23"/>
      <c r="J127" s="23"/>
      <c r="K127" s="25"/>
      <c r="L127" s="23"/>
      <c r="M127" s="23"/>
      <c r="N127" s="23"/>
    </row>
    <row r="128" customFormat="1" ht="84" customHeight="1" spans="1:14">
      <c r="A128" t="str">
        <f t="shared" si="4"/>
        <v>9月5日晚上</v>
      </c>
      <c r="B128" s="20"/>
      <c r="C128" s="26"/>
      <c r="D128" s="22"/>
      <c r="E128" s="22"/>
      <c r="F128" s="23" t="s">
        <v>645</v>
      </c>
      <c r="G128" s="23"/>
      <c r="H128" s="23"/>
      <c r="I128" s="23"/>
      <c r="J128" s="23"/>
      <c r="K128" s="23"/>
      <c r="L128" s="23"/>
      <c r="M128" s="23"/>
      <c r="N128" s="23"/>
    </row>
    <row r="129" customFormat="1" ht="84" customHeight="1" spans="1:14">
      <c r="A129" t="str">
        <f t="shared" si="4"/>
        <v>9月5日晚上</v>
      </c>
      <c r="B129" s="20"/>
      <c r="C129" s="21"/>
      <c r="D129" s="22"/>
      <c r="E129" s="22"/>
      <c r="F129" s="23" t="s">
        <v>645</v>
      </c>
      <c r="G129" s="23"/>
      <c r="H129" s="23"/>
      <c r="I129" s="23"/>
      <c r="J129" s="23"/>
      <c r="K129" s="23"/>
      <c r="L129" s="23"/>
      <c r="M129" s="23"/>
      <c r="N129" s="23"/>
    </row>
    <row r="130" customFormat="1" ht="84" customHeight="1" spans="1:14">
      <c r="A130" t="str">
        <f t="shared" si="4"/>
        <v>9月5日晚上</v>
      </c>
      <c r="B130" s="20"/>
      <c r="C130" s="26"/>
      <c r="D130" s="22"/>
      <c r="E130" s="22"/>
      <c r="F130" s="23" t="s">
        <v>645</v>
      </c>
      <c r="G130" s="23"/>
      <c r="H130" s="23"/>
      <c r="I130" s="23"/>
      <c r="J130" s="23"/>
      <c r="K130" s="23"/>
      <c r="L130" s="23"/>
      <c r="M130" s="23"/>
      <c r="N130" s="23"/>
    </row>
    <row r="131" customFormat="1" ht="84" customHeight="1" spans="1:14">
      <c r="A131" t="str">
        <f t="shared" si="4"/>
        <v> 
9月5日晚上</v>
      </c>
      <c r="B131" s="20"/>
      <c r="C131" s="20"/>
      <c r="D131" s="22"/>
      <c r="E131" s="27" t="s">
        <v>637</v>
      </c>
      <c r="F131" s="23" t="s">
        <v>645</v>
      </c>
      <c r="G131" s="23"/>
      <c r="H131" s="23"/>
      <c r="I131" s="23"/>
      <c r="J131" s="23"/>
      <c r="K131" s="23"/>
      <c r="L131" s="23"/>
      <c r="M131" s="23"/>
      <c r="N131" s="23"/>
    </row>
    <row r="132" customFormat="1" ht="92" customHeight="1" spans="1:14">
      <c r="A132" t="str">
        <f t="shared" si="4"/>
        <v>9月5日晚上</v>
      </c>
      <c r="B132" s="20"/>
      <c r="C132" s="20"/>
      <c r="D132" s="22"/>
      <c r="E132" s="22"/>
      <c r="F132" s="23" t="s">
        <v>645</v>
      </c>
      <c r="G132" s="23"/>
      <c r="H132" s="23"/>
      <c r="I132" s="23"/>
      <c r="J132" s="23"/>
      <c r="K132" s="23"/>
      <c r="L132" s="23"/>
      <c r="M132" s="23"/>
      <c r="N132" s="23"/>
    </row>
    <row r="133" spans="1:14">
      <c r="A133" t="str">
        <f t="shared" si="4"/>
        <v/>
      </c>
    </row>
    <row r="134" customFormat="1" spans="1:14">
      <c r="A134" t="str">
        <f t="shared" si="4"/>
        <v>SKU</v>
      </c>
      <c r="B134" s="12" t="s">
        <v>240</v>
      </c>
      <c r="C134" s="12" t="s">
        <v>611</v>
      </c>
      <c r="D134" s="12" t="s">
        <v>612</v>
      </c>
      <c r="E134" s="12" t="s">
        <v>613</v>
      </c>
      <c r="F134" s="12"/>
      <c r="G134" s="13" t="s">
        <v>614</v>
      </c>
      <c r="H134" s="14"/>
      <c r="I134" s="14"/>
      <c r="J134" s="14"/>
      <c r="K134" s="14"/>
      <c r="L134" s="14"/>
      <c r="M134" s="14"/>
      <c r="N134" s="15"/>
    </row>
    <row r="135" customFormat="1" spans="1:14">
      <c r="A135" t="str">
        <f t="shared" si="4"/>
        <v/>
      </c>
      <c r="B135" s="12"/>
      <c r="C135" s="12"/>
      <c r="D135" s="12"/>
      <c r="E135" s="12"/>
      <c r="F135" s="16"/>
      <c r="G135" s="13" t="s">
        <v>483</v>
      </c>
      <c r="H135" s="14"/>
      <c r="I135" s="13" t="s">
        <v>484</v>
      </c>
      <c r="J135" s="14"/>
      <c r="K135" s="13" t="s">
        <v>485</v>
      </c>
      <c r="L135" s="14"/>
      <c r="M135" s="17" t="s">
        <v>486</v>
      </c>
      <c r="N135" s="17"/>
    </row>
    <row r="136" customFormat="1" spans="1:14">
      <c r="A136" t="str">
        <f t="shared" si="4"/>
        <v>日期</v>
      </c>
      <c r="B136" s="18"/>
      <c r="C136" s="18"/>
      <c r="D136" s="18"/>
      <c r="E136" s="18"/>
      <c r="F136" s="19" t="s">
        <v>277</v>
      </c>
      <c r="G136" s="17" t="s">
        <v>487</v>
      </c>
      <c r="H136" s="17" t="s">
        <v>488</v>
      </c>
      <c r="I136" s="17" t="s">
        <v>487</v>
      </c>
      <c r="J136" s="17" t="s">
        <v>488</v>
      </c>
      <c r="K136" s="17" t="s">
        <v>487</v>
      </c>
      <c r="L136" s="17" t="s">
        <v>488</v>
      </c>
      <c r="M136" s="17" t="s">
        <v>487</v>
      </c>
      <c r="N136" s="17" t="s">
        <v>488</v>
      </c>
    </row>
    <row r="137" customFormat="1" ht="74" customHeight="1" spans="1:14">
      <c r="A137" t="str">
        <f t="shared" si="4"/>
        <v>XXXX-1119月6日上午</v>
      </c>
      <c r="B137" s="20"/>
      <c r="C137" s="21"/>
      <c r="D137" s="22"/>
      <c r="E137" s="22" t="s">
        <v>5</v>
      </c>
      <c r="F137" s="23" t="s">
        <v>646</v>
      </c>
      <c r="G137" s="23"/>
      <c r="H137" s="23" t="s">
        <v>647</v>
      </c>
      <c r="I137" s="23"/>
      <c r="J137" s="23" t="s">
        <v>622</v>
      </c>
      <c r="K137" s="23"/>
      <c r="L137" s="23"/>
      <c r="M137" s="23"/>
      <c r="N137" s="23"/>
    </row>
    <row r="138" customFormat="1" ht="74" customHeight="1" spans="1:14">
      <c r="A138" t="str">
        <f t="shared" si="4"/>
        <v>XXXX-2229月6日上午</v>
      </c>
      <c r="B138" s="20"/>
      <c r="C138" s="24"/>
      <c r="D138" s="22"/>
      <c r="E138" s="22" t="s">
        <v>261</v>
      </c>
      <c r="F138" s="23" t="s">
        <v>646</v>
      </c>
      <c r="G138" s="23"/>
      <c r="H138" s="23"/>
      <c r="I138" s="23"/>
      <c r="J138" s="23" t="s">
        <v>648</v>
      </c>
      <c r="K138" s="25"/>
      <c r="L138" s="23"/>
      <c r="M138" s="23"/>
      <c r="N138" s="23"/>
    </row>
    <row r="139" customFormat="1" ht="74" customHeight="1" spans="1:14">
      <c r="A139" t="str">
        <f t="shared" si="4"/>
        <v>9月6日上午</v>
      </c>
      <c r="B139" s="20"/>
      <c r="C139" s="26"/>
      <c r="D139" s="22"/>
      <c r="E139" s="22"/>
      <c r="F139" s="23" t="s">
        <v>646</v>
      </c>
      <c r="G139" s="23"/>
      <c r="H139" s="23"/>
      <c r="I139" s="23"/>
      <c r="J139" s="23" t="s">
        <v>649</v>
      </c>
      <c r="K139" s="23"/>
      <c r="L139" s="23"/>
      <c r="M139" s="23"/>
      <c r="N139" s="23"/>
    </row>
    <row r="140" customFormat="1" ht="74" customHeight="1" spans="1:14">
      <c r="A140" t="str">
        <f t="shared" si="4"/>
        <v>9月6日上午</v>
      </c>
      <c r="B140" s="20"/>
      <c r="C140" s="21"/>
      <c r="D140" s="22"/>
      <c r="E140" s="22"/>
      <c r="F140" s="23" t="s">
        <v>646</v>
      </c>
      <c r="G140" s="23"/>
      <c r="H140" s="23"/>
      <c r="I140" s="23"/>
      <c r="J140" s="23"/>
      <c r="K140" s="23"/>
      <c r="L140" s="23"/>
      <c r="M140" s="23"/>
      <c r="N140" s="23"/>
    </row>
    <row r="141" customFormat="1" ht="74" customHeight="1" spans="1:14">
      <c r="A141" t="str">
        <f t="shared" si="4"/>
        <v>9月6日上午</v>
      </c>
      <c r="B141" s="20"/>
      <c r="C141" s="26"/>
      <c r="D141" s="22"/>
      <c r="E141" s="22"/>
      <c r="F141" s="23" t="s">
        <v>646</v>
      </c>
      <c r="G141" s="23"/>
      <c r="H141" s="23"/>
      <c r="I141" s="23"/>
      <c r="J141" s="23"/>
      <c r="K141" s="23"/>
      <c r="L141" s="23" t="s">
        <v>650</v>
      </c>
      <c r="M141" s="23"/>
      <c r="N141" s="23"/>
    </row>
    <row r="142" customFormat="1" ht="74" customHeight="1" spans="1:14">
      <c r="A142" t="str">
        <f t="shared" si="4"/>
        <v>9月6日上午</v>
      </c>
      <c r="B142" s="20"/>
      <c r="C142" s="20"/>
      <c r="D142" s="22"/>
      <c r="E142" s="27"/>
      <c r="F142" s="23" t="s">
        <v>646</v>
      </c>
      <c r="G142" s="23"/>
      <c r="H142" s="23"/>
      <c r="I142" s="23"/>
      <c r="J142" s="23"/>
      <c r="K142" s="23"/>
      <c r="L142" s="23"/>
      <c r="M142" s="23"/>
      <c r="N142" s="23"/>
    </row>
    <row r="143" customFormat="1" ht="84" customHeight="1" spans="1:14">
      <c r="A143" t="str">
        <f t="shared" si="4"/>
        <v>9月6日上午</v>
      </c>
      <c r="B143" s="20"/>
      <c r="C143" s="20"/>
      <c r="D143" s="22"/>
      <c r="E143" s="22"/>
      <c r="F143" s="23" t="s">
        <v>646</v>
      </c>
      <c r="G143" s="23"/>
      <c r="H143" s="23"/>
      <c r="I143" s="23"/>
      <c r="J143" s="23"/>
      <c r="K143" s="23"/>
      <c r="L143" s="23"/>
      <c r="M143" s="23"/>
      <c r="N143" s="23"/>
    </row>
    <row r="144" spans="1:14">
      <c r="A144" t="str">
        <f t="shared" si="4"/>
        <v/>
      </c>
    </row>
    <row r="145" customFormat="1" spans="1:14">
      <c r="A145" t="str">
        <f t="shared" si="4"/>
        <v>SKU</v>
      </c>
      <c r="B145" s="12" t="s">
        <v>240</v>
      </c>
      <c r="C145" s="12" t="s">
        <v>611</v>
      </c>
      <c r="D145" s="12" t="s">
        <v>612</v>
      </c>
      <c r="E145" s="12" t="s">
        <v>613</v>
      </c>
      <c r="F145" s="12"/>
      <c r="G145" s="13" t="s">
        <v>614</v>
      </c>
      <c r="H145" s="14"/>
      <c r="I145" s="14"/>
      <c r="J145" s="14"/>
      <c r="K145" s="14"/>
      <c r="L145" s="14"/>
      <c r="M145" s="14"/>
      <c r="N145" s="15"/>
    </row>
    <row r="146" customFormat="1" spans="1:14">
      <c r="A146" t="str">
        <f t="shared" si="4"/>
        <v/>
      </c>
      <c r="B146" s="12"/>
      <c r="C146" s="12"/>
      <c r="D146" s="12"/>
      <c r="E146" s="12"/>
      <c r="F146" s="16"/>
      <c r="G146" s="13" t="s">
        <v>619</v>
      </c>
      <c r="H146" s="14"/>
      <c r="I146" s="13" t="s">
        <v>620</v>
      </c>
      <c r="J146" s="14"/>
      <c r="K146" s="13" t="s">
        <v>485</v>
      </c>
      <c r="L146" s="14"/>
      <c r="M146" s="17" t="s">
        <v>486</v>
      </c>
      <c r="N146" s="17"/>
    </row>
    <row r="147" customFormat="1" spans="1:14">
      <c r="A147" t="str">
        <f t="shared" si="4"/>
        <v>日期</v>
      </c>
      <c r="B147" s="18"/>
      <c r="C147" s="18"/>
      <c r="D147" s="18"/>
      <c r="E147" s="18"/>
      <c r="F147" s="19" t="s">
        <v>277</v>
      </c>
      <c r="G147" s="17" t="s">
        <v>487</v>
      </c>
      <c r="H147" s="17" t="s">
        <v>488</v>
      </c>
      <c r="I147" s="17" t="s">
        <v>487</v>
      </c>
      <c r="J147" s="17" t="s">
        <v>488</v>
      </c>
      <c r="K147" s="17" t="s">
        <v>487</v>
      </c>
      <c r="L147" s="17" t="s">
        <v>488</v>
      </c>
      <c r="M147" s="17" t="s">
        <v>487</v>
      </c>
      <c r="N147" s="17" t="s">
        <v>488</v>
      </c>
    </row>
    <row r="148" customFormat="1" ht="79" customHeight="1" spans="1:14">
      <c r="A148" t="str">
        <f t="shared" si="4"/>
        <v>XXXX-1119月6日晚上</v>
      </c>
      <c r="B148" s="20"/>
      <c r="C148" s="21"/>
      <c r="D148" s="22"/>
      <c r="E148" s="22" t="s">
        <v>5</v>
      </c>
      <c r="F148" s="23" t="s">
        <v>498</v>
      </c>
      <c r="G148" s="23"/>
      <c r="H148" s="23"/>
      <c r="I148" s="23"/>
      <c r="J148" s="23"/>
      <c r="K148" s="23"/>
      <c r="L148" s="23"/>
      <c r="M148" s="23"/>
      <c r="N148" s="23"/>
    </row>
    <row r="149" customFormat="1" ht="79" customHeight="1" spans="1:14">
      <c r="A149" t="str">
        <f t="shared" si="4"/>
        <v>XXXX-2229月6日晚上</v>
      </c>
      <c r="B149" s="20"/>
      <c r="C149" s="24"/>
      <c r="D149" s="22"/>
      <c r="E149" s="22" t="s">
        <v>261</v>
      </c>
      <c r="F149" s="23" t="s">
        <v>498</v>
      </c>
      <c r="G149" s="23"/>
      <c r="H149" s="23"/>
      <c r="I149" s="23"/>
      <c r="J149" s="23"/>
      <c r="K149" s="25"/>
      <c r="L149" s="23"/>
      <c r="M149" s="23"/>
      <c r="N149" s="23"/>
    </row>
    <row r="150" customFormat="1" ht="79" customHeight="1" spans="1:14">
      <c r="A150" t="str">
        <f t="shared" si="4"/>
        <v>9月6日晚上</v>
      </c>
      <c r="B150" s="20"/>
      <c r="C150" s="26"/>
      <c r="D150" s="22"/>
      <c r="E150" s="22"/>
      <c r="F150" s="23" t="s">
        <v>498</v>
      </c>
      <c r="G150" s="23"/>
      <c r="H150" s="23"/>
      <c r="I150" s="23"/>
      <c r="J150" s="23"/>
      <c r="K150" s="23"/>
      <c r="L150" s="23"/>
      <c r="M150" s="23"/>
      <c r="N150" s="23"/>
    </row>
    <row r="151" customFormat="1" ht="79" customHeight="1" spans="1:14">
      <c r="A151" t="str">
        <f t="shared" si="4"/>
        <v>9月6日晚上</v>
      </c>
      <c r="B151" s="20"/>
      <c r="C151" s="21"/>
      <c r="D151" s="22"/>
      <c r="E151" s="22"/>
      <c r="F151" s="23" t="s">
        <v>498</v>
      </c>
      <c r="G151" s="23"/>
      <c r="H151" s="23"/>
      <c r="I151" s="23"/>
      <c r="J151" s="23"/>
      <c r="K151" s="23"/>
      <c r="L151" s="23"/>
      <c r="M151" s="23"/>
      <c r="N151" s="23"/>
    </row>
    <row r="152" customFormat="1" ht="79" customHeight="1" spans="1:14">
      <c r="A152" t="str">
        <f t="shared" ref="A152:A198" si="5">E152&amp;F152</f>
        <v>9月6日晚上</v>
      </c>
      <c r="B152" s="20"/>
      <c r="C152" s="26"/>
      <c r="D152" s="22"/>
      <c r="E152" s="22"/>
      <c r="F152" s="23" t="s">
        <v>498</v>
      </c>
      <c r="G152" s="23"/>
      <c r="H152" s="23"/>
      <c r="I152" s="23"/>
      <c r="J152" s="23"/>
      <c r="K152" s="23"/>
      <c r="L152" s="23"/>
      <c r="M152" s="23"/>
      <c r="N152" s="23"/>
    </row>
    <row r="153" customFormat="1" ht="79" customHeight="1" spans="1:14">
      <c r="A153" t="str">
        <f t="shared" si="5"/>
        <v> 
9月6日晚上</v>
      </c>
      <c r="B153" s="20"/>
      <c r="C153" s="20"/>
      <c r="D153" s="22"/>
      <c r="E153" s="27" t="s">
        <v>637</v>
      </c>
      <c r="F153" s="23" t="s">
        <v>498</v>
      </c>
      <c r="G153" s="23"/>
      <c r="H153" s="23"/>
      <c r="I153" s="23"/>
      <c r="J153" s="23"/>
      <c r="K153" s="23"/>
      <c r="L153" s="23"/>
      <c r="M153" s="23"/>
      <c r="N153" s="23"/>
    </row>
    <row r="154" customFormat="1" ht="79" customHeight="1" spans="1:14">
      <c r="A154" t="str">
        <f t="shared" si="5"/>
        <v>9月6日晚上</v>
      </c>
      <c r="B154" s="20"/>
      <c r="C154" s="20"/>
      <c r="D154" s="22"/>
      <c r="E154" s="22"/>
      <c r="F154" s="23" t="s">
        <v>498</v>
      </c>
      <c r="G154" s="23"/>
      <c r="H154" s="23"/>
      <c r="I154" s="23"/>
      <c r="J154" s="23"/>
      <c r="K154" s="23"/>
      <c r="L154" s="23"/>
      <c r="M154" s="23"/>
      <c r="N154" s="23"/>
    </row>
    <row r="155" spans="1:14">
      <c r="A155" t="str">
        <f t="shared" si="5"/>
        <v/>
      </c>
    </row>
    <row r="156" customFormat="1" spans="1:14">
      <c r="A156" t="str">
        <f t="shared" si="5"/>
        <v>SKU</v>
      </c>
      <c r="B156" s="12" t="s">
        <v>240</v>
      </c>
      <c r="C156" s="12" t="s">
        <v>611</v>
      </c>
      <c r="D156" s="12" t="s">
        <v>612</v>
      </c>
      <c r="E156" s="12" t="s">
        <v>613</v>
      </c>
      <c r="F156" s="12"/>
      <c r="G156" s="13" t="s">
        <v>614</v>
      </c>
      <c r="H156" s="14"/>
      <c r="I156" s="14"/>
      <c r="J156" s="14"/>
      <c r="K156" s="14"/>
      <c r="L156" s="14"/>
      <c r="M156" s="14"/>
      <c r="N156" s="15"/>
    </row>
    <row r="157" customFormat="1" spans="1:14">
      <c r="A157" t="str">
        <f t="shared" si="5"/>
        <v/>
      </c>
      <c r="B157" s="12"/>
      <c r="C157" s="12"/>
      <c r="D157" s="12"/>
      <c r="E157" s="12"/>
      <c r="F157" s="16"/>
      <c r="G157" s="13" t="s">
        <v>483</v>
      </c>
      <c r="H157" s="14"/>
      <c r="I157" s="13" t="s">
        <v>484</v>
      </c>
      <c r="J157" s="14"/>
      <c r="K157" s="13" t="s">
        <v>485</v>
      </c>
      <c r="L157" s="14"/>
      <c r="M157" s="17" t="s">
        <v>486</v>
      </c>
      <c r="N157" s="17"/>
    </row>
    <row r="158" customFormat="1" spans="1:14">
      <c r="A158" t="str">
        <f t="shared" si="5"/>
        <v>日期</v>
      </c>
      <c r="B158" s="18"/>
      <c r="C158" s="18"/>
      <c r="D158" s="18"/>
      <c r="E158" s="18"/>
      <c r="F158" s="19" t="s">
        <v>277</v>
      </c>
      <c r="G158" s="17" t="s">
        <v>487</v>
      </c>
      <c r="H158" s="17" t="s">
        <v>488</v>
      </c>
      <c r="I158" s="17" t="s">
        <v>487</v>
      </c>
      <c r="J158" s="17" t="s">
        <v>488</v>
      </c>
      <c r="K158" s="17" t="s">
        <v>487</v>
      </c>
      <c r="L158" s="17" t="s">
        <v>488</v>
      </c>
      <c r="M158" s="17" t="s">
        <v>487</v>
      </c>
      <c r="N158" s="17" t="s">
        <v>488</v>
      </c>
    </row>
    <row r="159" customFormat="1" ht="91" customHeight="1" spans="1:14">
      <c r="A159" t="str">
        <f t="shared" si="5"/>
        <v>XXXX-1119月7日上午</v>
      </c>
      <c r="B159" s="20"/>
      <c r="C159" s="21"/>
      <c r="D159" s="22"/>
      <c r="E159" s="22" t="s">
        <v>5</v>
      </c>
      <c r="F159" s="23" t="s">
        <v>499</v>
      </c>
      <c r="G159" s="23"/>
      <c r="H159" s="23" t="s">
        <v>651</v>
      </c>
      <c r="I159" s="23"/>
      <c r="J159" s="23"/>
      <c r="K159" s="23"/>
      <c r="L159" s="23" t="s">
        <v>652</v>
      </c>
      <c r="M159" s="23"/>
      <c r="N159" s="23"/>
    </row>
    <row r="160" customFormat="1" ht="91" customHeight="1" spans="1:14">
      <c r="A160" t="str">
        <f t="shared" si="5"/>
        <v>XXXX-2229月7日上午</v>
      </c>
      <c r="B160" s="20"/>
      <c r="C160" s="24"/>
      <c r="D160" s="22"/>
      <c r="E160" s="22" t="s">
        <v>261</v>
      </c>
      <c r="F160" s="23" t="s">
        <v>499</v>
      </c>
      <c r="G160" s="23"/>
      <c r="H160" s="23"/>
      <c r="I160" s="23"/>
      <c r="J160" s="23" t="s">
        <v>653</v>
      </c>
      <c r="K160" s="25"/>
      <c r="L160" s="23"/>
      <c r="M160" s="23"/>
      <c r="N160" s="23"/>
    </row>
    <row r="161" customFormat="1" ht="91" customHeight="1" spans="1:14">
      <c r="A161" t="str">
        <f t="shared" si="5"/>
        <v>9月7日上午</v>
      </c>
      <c r="B161" s="20"/>
      <c r="C161" s="26"/>
      <c r="D161" s="22"/>
      <c r="E161" s="22"/>
      <c r="F161" s="23" t="s">
        <v>499</v>
      </c>
      <c r="G161" s="23"/>
      <c r="H161" s="23"/>
      <c r="I161" s="23"/>
      <c r="J161" s="23" t="s">
        <v>654</v>
      </c>
      <c r="K161" s="23"/>
      <c r="L161" s="23"/>
      <c r="M161" s="23"/>
      <c r="N161" s="23"/>
    </row>
    <row r="162" customFormat="1" ht="91" customHeight="1" spans="1:14">
      <c r="A162" t="str">
        <f t="shared" si="5"/>
        <v>9月7日上午</v>
      </c>
      <c r="B162" s="20"/>
      <c r="C162" s="21"/>
      <c r="D162" s="22"/>
      <c r="E162" s="22"/>
      <c r="F162" s="23" t="s">
        <v>499</v>
      </c>
      <c r="G162" s="23"/>
      <c r="H162" s="23"/>
      <c r="I162" s="23"/>
      <c r="J162" s="23" t="s">
        <v>655</v>
      </c>
      <c r="K162" s="23"/>
      <c r="L162" s="23"/>
      <c r="M162" s="23"/>
      <c r="N162" s="23"/>
    </row>
    <row r="163" customFormat="1" ht="91" customHeight="1" spans="1:14">
      <c r="A163" t="str">
        <f t="shared" si="5"/>
        <v>9月7日上午</v>
      </c>
      <c r="B163" s="20"/>
      <c r="C163" s="26"/>
      <c r="D163" s="22"/>
      <c r="E163" s="22"/>
      <c r="F163" s="23" t="s">
        <v>499</v>
      </c>
      <c r="G163" s="23"/>
      <c r="H163" s="23"/>
      <c r="I163" s="23"/>
      <c r="J163" s="23"/>
      <c r="K163" s="23"/>
      <c r="L163" s="23" t="s">
        <v>656</v>
      </c>
      <c r="M163" s="23"/>
      <c r="N163" s="23"/>
    </row>
    <row r="164" customFormat="1" ht="91" customHeight="1" spans="1:14">
      <c r="A164" t="str">
        <f t="shared" si="5"/>
        <v>9月7日上午</v>
      </c>
      <c r="B164" s="20"/>
      <c r="C164" s="20"/>
      <c r="D164" s="22"/>
      <c r="E164" s="27"/>
      <c r="F164" s="23" t="s">
        <v>499</v>
      </c>
      <c r="G164" s="23"/>
      <c r="H164" s="23"/>
      <c r="I164" s="23"/>
      <c r="J164" s="23"/>
      <c r="K164" s="23"/>
      <c r="L164" s="23"/>
      <c r="M164" s="23"/>
      <c r="N164" s="23"/>
    </row>
    <row r="165" customFormat="1" ht="91" customHeight="1" spans="1:14">
      <c r="A165" t="str">
        <f t="shared" si="5"/>
        <v>9月7日上午</v>
      </c>
      <c r="B165" s="20"/>
      <c r="C165" s="20"/>
      <c r="D165" s="22"/>
      <c r="E165" s="22"/>
      <c r="F165" s="23" t="s">
        <v>499</v>
      </c>
      <c r="G165" s="23"/>
      <c r="H165" s="23"/>
      <c r="I165" s="23"/>
      <c r="J165" s="23"/>
      <c r="K165" s="23"/>
      <c r="L165" s="23"/>
      <c r="M165" s="23"/>
      <c r="N165" s="23"/>
    </row>
    <row r="166" spans="1:14">
      <c r="A166" t="str">
        <f t="shared" si="5"/>
        <v/>
      </c>
    </row>
    <row r="167" customFormat="1" spans="1:14">
      <c r="A167" t="str">
        <f t="shared" si="5"/>
        <v>SKU</v>
      </c>
      <c r="B167" s="12" t="s">
        <v>240</v>
      </c>
      <c r="C167" s="12" t="s">
        <v>611</v>
      </c>
      <c r="D167" s="12" t="s">
        <v>612</v>
      </c>
      <c r="E167" s="12" t="s">
        <v>613</v>
      </c>
      <c r="F167" s="12"/>
      <c r="G167" s="13" t="s">
        <v>614</v>
      </c>
      <c r="H167" s="14"/>
      <c r="I167" s="14"/>
      <c r="J167" s="14"/>
      <c r="K167" s="14"/>
      <c r="L167" s="14"/>
      <c r="M167" s="14"/>
      <c r="N167" s="15"/>
    </row>
    <row r="168" customFormat="1" spans="1:14">
      <c r="A168" t="str">
        <f t="shared" si="5"/>
        <v/>
      </c>
      <c r="B168" s="12"/>
      <c r="C168" s="12"/>
      <c r="D168" s="12"/>
      <c r="E168" s="12"/>
      <c r="F168" s="16"/>
      <c r="G168" s="13" t="s">
        <v>619</v>
      </c>
      <c r="H168" s="14"/>
      <c r="I168" s="13" t="s">
        <v>620</v>
      </c>
      <c r="J168" s="14"/>
      <c r="K168" s="13" t="s">
        <v>485</v>
      </c>
      <c r="L168" s="14"/>
      <c r="M168" s="17" t="s">
        <v>486</v>
      </c>
      <c r="N168" s="17"/>
    </row>
    <row r="169" customFormat="1" spans="1:14">
      <c r="A169" t="str">
        <f t="shared" si="5"/>
        <v>日期</v>
      </c>
      <c r="B169" s="18"/>
      <c r="C169" s="18"/>
      <c r="D169" s="18"/>
      <c r="E169" s="18"/>
      <c r="F169" s="19" t="s">
        <v>277</v>
      </c>
      <c r="G169" s="17" t="s">
        <v>487</v>
      </c>
      <c r="H169" s="17" t="s">
        <v>488</v>
      </c>
      <c r="I169" s="17" t="s">
        <v>487</v>
      </c>
      <c r="J169" s="17" t="s">
        <v>488</v>
      </c>
      <c r="K169" s="17" t="s">
        <v>487</v>
      </c>
      <c r="L169" s="17" t="s">
        <v>488</v>
      </c>
      <c r="M169" s="17" t="s">
        <v>487</v>
      </c>
      <c r="N169" s="17" t="s">
        <v>488</v>
      </c>
    </row>
    <row r="170" customFormat="1" ht="84" customHeight="1" spans="1:14">
      <c r="A170" t="str">
        <f t="shared" si="5"/>
        <v>XXXX-1119月7日晚上</v>
      </c>
      <c r="B170" s="20"/>
      <c r="C170" s="21"/>
      <c r="D170" s="22"/>
      <c r="E170" s="22" t="s">
        <v>5</v>
      </c>
      <c r="F170" s="23" t="s">
        <v>500</v>
      </c>
      <c r="G170" s="23"/>
      <c r="H170" s="23"/>
      <c r="I170" s="23"/>
      <c r="J170" s="23"/>
      <c r="K170" s="23"/>
      <c r="L170" s="23"/>
      <c r="M170" s="23"/>
      <c r="N170" s="23"/>
    </row>
    <row r="171" customFormat="1" ht="84" customHeight="1" spans="1:14">
      <c r="A171" t="str">
        <f t="shared" si="5"/>
        <v>XXXX-2229月7日晚上</v>
      </c>
      <c r="B171" s="20"/>
      <c r="C171" s="24"/>
      <c r="D171" s="22"/>
      <c r="E171" s="22" t="s">
        <v>261</v>
      </c>
      <c r="F171" s="23" t="s">
        <v>500</v>
      </c>
      <c r="G171" s="23"/>
      <c r="H171" s="23"/>
      <c r="I171" s="23"/>
      <c r="J171" s="23"/>
      <c r="K171" s="25"/>
      <c r="L171" s="23"/>
      <c r="M171" s="23"/>
      <c r="N171" s="23"/>
    </row>
    <row r="172" customFormat="1" ht="84" customHeight="1" spans="1:14">
      <c r="A172" t="str">
        <f t="shared" si="5"/>
        <v>9月7日晚上</v>
      </c>
      <c r="B172" s="20"/>
      <c r="C172" s="26"/>
      <c r="D172" s="22"/>
      <c r="E172" s="22"/>
      <c r="F172" s="23" t="s">
        <v>500</v>
      </c>
      <c r="G172" s="23"/>
      <c r="H172" s="23"/>
      <c r="I172" s="23"/>
      <c r="J172" s="23"/>
      <c r="K172" s="23"/>
      <c r="L172" s="23"/>
      <c r="M172" s="23"/>
      <c r="N172" s="23"/>
    </row>
    <row r="173" customFormat="1" ht="84" customHeight="1" spans="1:14">
      <c r="A173" t="str">
        <f t="shared" si="5"/>
        <v>9月7日晚上</v>
      </c>
      <c r="B173" s="20"/>
      <c r="C173" s="21"/>
      <c r="D173" s="22"/>
      <c r="E173" s="22"/>
      <c r="F173" s="23" t="s">
        <v>500</v>
      </c>
      <c r="G173" s="23"/>
      <c r="H173" s="23"/>
      <c r="I173" s="23"/>
      <c r="J173" s="23"/>
      <c r="K173" s="23"/>
      <c r="L173" s="23"/>
      <c r="M173" s="23"/>
      <c r="N173" s="23"/>
    </row>
    <row r="174" customFormat="1" ht="84" customHeight="1" spans="1:14">
      <c r="A174" t="str">
        <f t="shared" si="5"/>
        <v>9月7日晚上</v>
      </c>
      <c r="B174" s="20"/>
      <c r="C174" s="26"/>
      <c r="D174" s="22"/>
      <c r="E174" s="22"/>
      <c r="F174" s="23" t="s">
        <v>500</v>
      </c>
      <c r="G174" s="23"/>
      <c r="H174" s="23"/>
      <c r="I174" s="23"/>
      <c r="J174" s="23"/>
      <c r="K174" s="23"/>
      <c r="L174" s="23"/>
      <c r="M174" s="23"/>
      <c r="N174" s="23"/>
    </row>
    <row r="175" customFormat="1" ht="84" customHeight="1" spans="1:14">
      <c r="A175" t="str">
        <f t="shared" si="5"/>
        <v> 
9月7日晚上</v>
      </c>
      <c r="B175" s="20"/>
      <c r="C175" s="20"/>
      <c r="D175" s="22"/>
      <c r="E175" s="27" t="s">
        <v>637</v>
      </c>
      <c r="F175" s="23" t="s">
        <v>500</v>
      </c>
      <c r="G175" s="23"/>
      <c r="H175" s="23"/>
      <c r="I175" s="23"/>
      <c r="J175" s="23"/>
      <c r="K175" s="23"/>
      <c r="L175" s="23"/>
      <c r="M175" s="23"/>
      <c r="N175" s="23"/>
    </row>
    <row r="176" customFormat="1" ht="84" customHeight="1" spans="1:14">
      <c r="A176" t="str">
        <f t="shared" si="5"/>
        <v>9月7日晚上</v>
      </c>
      <c r="B176" s="20"/>
      <c r="C176" s="20"/>
      <c r="D176" s="22"/>
      <c r="E176" s="22"/>
      <c r="F176" s="23" t="s">
        <v>500</v>
      </c>
      <c r="G176" s="23"/>
      <c r="H176" s="23"/>
      <c r="I176" s="23"/>
      <c r="J176" s="23"/>
      <c r="K176" s="23"/>
      <c r="L176" s="23"/>
      <c r="M176" s="23"/>
      <c r="N176" s="23"/>
    </row>
    <row r="177" spans="1:14">
      <c r="A177" t="str">
        <f t="shared" si="5"/>
        <v/>
      </c>
    </row>
    <row r="178" customFormat="1" spans="1:14">
      <c r="A178" t="str">
        <f t="shared" si="5"/>
        <v>SKU</v>
      </c>
      <c r="B178" s="12" t="s">
        <v>240</v>
      </c>
      <c r="C178" s="12" t="s">
        <v>611</v>
      </c>
      <c r="D178" s="12" t="s">
        <v>612</v>
      </c>
      <c r="E178" s="12" t="s">
        <v>613</v>
      </c>
      <c r="F178" s="12"/>
      <c r="G178" s="13" t="s">
        <v>614</v>
      </c>
      <c r="H178" s="14"/>
      <c r="I178" s="14"/>
      <c r="J178" s="14"/>
      <c r="K178" s="14"/>
      <c r="L178" s="14"/>
      <c r="M178" s="14"/>
      <c r="N178" s="15"/>
    </row>
    <row r="179" customFormat="1" spans="1:14">
      <c r="A179" t="str">
        <f t="shared" si="5"/>
        <v/>
      </c>
      <c r="B179" s="12"/>
      <c r="C179" s="12"/>
      <c r="D179" s="12"/>
      <c r="E179" s="12"/>
      <c r="F179" s="16"/>
      <c r="G179" s="13" t="s">
        <v>483</v>
      </c>
      <c r="H179" s="14"/>
      <c r="I179" s="13" t="s">
        <v>484</v>
      </c>
      <c r="J179" s="14"/>
      <c r="K179" s="13" t="s">
        <v>485</v>
      </c>
      <c r="L179" s="14"/>
      <c r="M179" s="17" t="s">
        <v>486</v>
      </c>
      <c r="N179" s="17"/>
    </row>
    <row r="180" customFormat="1" spans="1:14">
      <c r="A180" t="str">
        <f t="shared" si="5"/>
        <v>日期</v>
      </c>
      <c r="B180" s="18"/>
      <c r="C180" s="18"/>
      <c r="D180" s="18"/>
      <c r="E180" s="18"/>
      <c r="F180" s="19" t="s">
        <v>277</v>
      </c>
      <c r="G180" s="17" t="s">
        <v>487</v>
      </c>
      <c r="H180" s="17" t="s">
        <v>488</v>
      </c>
      <c r="I180" s="17" t="s">
        <v>487</v>
      </c>
      <c r="J180" s="17" t="s">
        <v>488</v>
      </c>
      <c r="K180" s="17" t="s">
        <v>487</v>
      </c>
      <c r="L180" s="17" t="s">
        <v>488</v>
      </c>
      <c r="M180" s="17" t="s">
        <v>487</v>
      </c>
      <c r="N180" s="17" t="s">
        <v>488</v>
      </c>
    </row>
    <row r="181" customFormat="1" ht="90" customHeight="1" spans="1:14">
      <c r="A181" t="str">
        <f t="shared" si="5"/>
        <v>XXXX-1119月8日上午</v>
      </c>
      <c r="B181" s="20"/>
      <c r="C181" s="21"/>
      <c r="D181" s="22"/>
      <c r="E181" s="22" t="s">
        <v>5</v>
      </c>
      <c r="F181" s="23" t="s">
        <v>501</v>
      </c>
      <c r="G181" s="23"/>
      <c r="H181" s="23" t="s">
        <v>657</v>
      </c>
      <c r="I181" s="23"/>
      <c r="J181" s="23"/>
      <c r="K181" s="23"/>
      <c r="L181" s="23" t="s">
        <v>658</v>
      </c>
      <c r="M181" s="23"/>
      <c r="N181" s="23"/>
    </row>
    <row r="182" customFormat="1" ht="90" customHeight="1" spans="1:14">
      <c r="A182" t="str">
        <f t="shared" si="5"/>
        <v>XXXX-2229月8日上午</v>
      </c>
      <c r="B182" s="20"/>
      <c r="C182" s="24"/>
      <c r="D182" s="22"/>
      <c r="E182" s="22" t="s">
        <v>261</v>
      </c>
      <c r="F182" s="23" t="s">
        <v>501</v>
      </c>
      <c r="G182" s="23"/>
      <c r="H182" s="23"/>
      <c r="I182" s="23"/>
      <c r="J182" s="23" t="s">
        <v>659</v>
      </c>
      <c r="K182" s="25"/>
      <c r="L182" s="23"/>
      <c r="M182" s="23"/>
      <c r="N182" s="23"/>
    </row>
    <row r="183" customFormat="1" ht="90" customHeight="1" spans="1:14">
      <c r="A183" t="str">
        <f t="shared" si="5"/>
        <v>9月8日上午</v>
      </c>
      <c r="B183" s="20"/>
      <c r="C183" s="26"/>
      <c r="D183" s="22"/>
      <c r="E183" s="22"/>
      <c r="F183" s="23" t="s">
        <v>501</v>
      </c>
      <c r="G183" s="23"/>
      <c r="H183" s="23"/>
      <c r="I183" s="23"/>
      <c r="J183" s="23" t="s">
        <v>641</v>
      </c>
      <c r="K183" s="23"/>
      <c r="L183" s="23"/>
      <c r="M183" s="23"/>
      <c r="N183" s="23"/>
    </row>
    <row r="184" customFormat="1" ht="90" customHeight="1" spans="1:14">
      <c r="A184" t="str">
        <f t="shared" si="5"/>
        <v>9月8日上午</v>
      </c>
      <c r="B184" s="20"/>
      <c r="C184" s="21"/>
      <c r="D184" s="22"/>
      <c r="E184" s="22"/>
      <c r="F184" s="23" t="s">
        <v>501</v>
      </c>
      <c r="G184" s="23"/>
      <c r="H184" s="23"/>
      <c r="I184" s="23"/>
      <c r="J184" s="23" t="s">
        <v>660</v>
      </c>
      <c r="K184" s="23"/>
      <c r="L184" s="23"/>
      <c r="M184" s="23"/>
      <c r="N184" s="23"/>
    </row>
    <row r="185" customFormat="1" ht="90" customHeight="1" spans="1:14">
      <c r="A185" t="str">
        <f t="shared" si="5"/>
        <v>9月8日上午</v>
      </c>
      <c r="B185" s="20"/>
      <c r="C185" s="26"/>
      <c r="D185" s="22"/>
      <c r="E185" s="22"/>
      <c r="F185" s="23" t="s">
        <v>501</v>
      </c>
      <c r="G185" s="23"/>
      <c r="H185" s="23"/>
      <c r="I185" s="23"/>
      <c r="J185" s="23"/>
      <c r="K185" s="23"/>
      <c r="L185" s="23" t="s">
        <v>661</v>
      </c>
      <c r="M185" s="23"/>
      <c r="N185" s="23"/>
    </row>
    <row r="186" customFormat="1" ht="90" customHeight="1" spans="1:14">
      <c r="A186" t="str">
        <f t="shared" si="5"/>
        <v>9月8日上午</v>
      </c>
      <c r="B186" s="20"/>
      <c r="C186" s="20"/>
      <c r="D186" s="22"/>
      <c r="E186" s="27"/>
      <c r="F186" s="23" t="s">
        <v>501</v>
      </c>
      <c r="G186" s="23"/>
      <c r="H186" s="23"/>
      <c r="I186" s="23"/>
      <c r="J186" s="23"/>
      <c r="K186" s="23"/>
      <c r="L186" s="23"/>
      <c r="M186" s="23"/>
      <c r="N186" s="23"/>
    </row>
    <row r="187" customFormat="1" ht="90" customHeight="1" spans="1:14">
      <c r="A187" t="str">
        <f t="shared" si="5"/>
        <v>9月8日上午</v>
      </c>
      <c r="B187" s="20"/>
      <c r="C187" s="20"/>
      <c r="D187" s="22"/>
      <c r="E187" s="22"/>
      <c r="F187" s="23" t="s">
        <v>501</v>
      </c>
      <c r="G187" s="23"/>
      <c r="H187" s="23"/>
      <c r="I187" s="23"/>
      <c r="J187" s="23"/>
      <c r="K187" s="23"/>
      <c r="L187" s="23"/>
      <c r="M187" s="23"/>
      <c r="N187" s="23"/>
    </row>
    <row r="188" spans="1:14">
      <c r="A188" t="str">
        <f t="shared" si="5"/>
        <v/>
      </c>
    </row>
    <row r="189" customFormat="1" spans="1:14">
      <c r="A189" t="str">
        <f t="shared" si="5"/>
        <v>SKU</v>
      </c>
      <c r="B189" s="12" t="s">
        <v>240</v>
      </c>
      <c r="C189" s="12" t="s">
        <v>611</v>
      </c>
      <c r="D189" s="12" t="s">
        <v>612</v>
      </c>
      <c r="E189" s="12" t="s">
        <v>613</v>
      </c>
      <c r="F189" s="12"/>
      <c r="G189" s="13" t="s">
        <v>614</v>
      </c>
      <c r="H189" s="14"/>
      <c r="I189" s="14"/>
      <c r="J189" s="14"/>
      <c r="K189" s="14"/>
      <c r="L189" s="14"/>
      <c r="M189" s="14"/>
      <c r="N189" s="15"/>
    </row>
    <row r="190" customFormat="1" spans="1:14">
      <c r="A190" t="str">
        <f t="shared" si="5"/>
        <v/>
      </c>
      <c r="B190" s="12"/>
      <c r="C190" s="12"/>
      <c r="D190" s="12"/>
      <c r="E190" s="12"/>
      <c r="F190" s="16"/>
      <c r="G190" s="13" t="s">
        <v>619</v>
      </c>
      <c r="H190" s="14"/>
      <c r="I190" s="13" t="s">
        <v>620</v>
      </c>
      <c r="J190" s="14"/>
      <c r="K190" s="13" t="s">
        <v>485</v>
      </c>
      <c r="L190" s="14"/>
      <c r="M190" s="17" t="s">
        <v>486</v>
      </c>
      <c r="N190" s="17"/>
    </row>
    <row r="191" customFormat="1" spans="1:14">
      <c r="A191" t="str">
        <f t="shared" si="5"/>
        <v>日期</v>
      </c>
      <c r="B191" s="18"/>
      <c r="C191" s="18"/>
      <c r="D191" s="18"/>
      <c r="E191" s="18"/>
      <c r="F191" s="19" t="s">
        <v>277</v>
      </c>
      <c r="G191" s="17" t="s">
        <v>487</v>
      </c>
      <c r="H191" s="17" t="s">
        <v>488</v>
      </c>
      <c r="I191" s="17" t="s">
        <v>487</v>
      </c>
      <c r="J191" s="17" t="s">
        <v>488</v>
      </c>
      <c r="K191" s="17" t="s">
        <v>487</v>
      </c>
      <c r="L191" s="17" t="s">
        <v>488</v>
      </c>
      <c r="M191" s="17" t="s">
        <v>487</v>
      </c>
      <c r="N191" s="17" t="s">
        <v>488</v>
      </c>
    </row>
    <row r="192" customFormat="1" ht="88" customHeight="1" spans="1:14">
      <c r="A192" t="str">
        <f t="shared" si="5"/>
        <v>XXXX-1119月8日晚上</v>
      </c>
      <c r="B192" s="20"/>
      <c r="C192" s="21"/>
      <c r="D192" s="22"/>
      <c r="E192" s="22" t="s">
        <v>5</v>
      </c>
      <c r="F192" s="23" t="s">
        <v>502</v>
      </c>
      <c r="G192" s="23"/>
      <c r="H192" s="23"/>
      <c r="I192" s="23"/>
      <c r="J192" s="23"/>
      <c r="K192" s="23"/>
      <c r="L192" s="23"/>
      <c r="M192" s="23"/>
      <c r="N192" s="23"/>
    </row>
    <row r="193" customFormat="1" ht="88" customHeight="1" spans="1:14">
      <c r="A193" t="str">
        <f t="shared" si="5"/>
        <v>XXXX-2229月8日晚上</v>
      </c>
      <c r="B193" s="20"/>
      <c r="C193" s="24"/>
      <c r="D193" s="22"/>
      <c r="E193" s="22" t="s">
        <v>261</v>
      </c>
      <c r="F193" s="23" t="s">
        <v>502</v>
      </c>
      <c r="G193" s="23"/>
      <c r="H193" s="23"/>
      <c r="I193" s="23"/>
      <c r="J193" s="23"/>
      <c r="K193" s="25"/>
      <c r="L193" s="23"/>
      <c r="M193" s="23"/>
      <c r="N193" s="23"/>
    </row>
    <row r="194" customFormat="1" ht="88" customHeight="1" spans="1:14">
      <c r="A194" t="str">
        <f t="shared" si="5"/>
        <v>9月8日晚上</v>
      </c>
      <c r="B194" s="20"/>
      <c r="C194" s="26"/>
      <c r="D194" s="22"/>
      <c r="E194" s="22"/>
      <c r="F194" s="23" t="s">
        <v>502</v>
      </c>
      <c r="G194" s="23"/>
      <c r="H194" s="23"/>
      <c r="I194" s="23"/>
      <c r="J194" s="23"/>
      <c r="K194" s="23"/>
      <c r="L194" s="23"/>
      <c r="M194" s="23"/>
      <c r="N194" s="23"/>
    </row>
    <row r="195" customFormat="1" ht="88" customHeight="1" spans="1:14">
      <c r="A195" t="str">
        <f t="shared" si="5"/>
        <v>9月8日晚上</v>
      </c>
      <c r="B195" s="20"/>
      <c r="C195" s="21"/>
      <c r="D195" s="22"/>
      <c r="E195" s="22"/>
      <c r="F195" s="23" t="s">
        <v>502</v>
      </c>
      <c r="G195" s="23"/>
      <c r="H195" s="23"/>
      <c r="I195" s="23"/>
      <c r="J195" s="23"/>
      <c r="K195" s="23"/>
      <c r="L195" s="23"/>
      <c r="M195" s="23"/>
      <c r="N195" s="23"/>
    </row>
    <row r="196" customFormat="1" ht="88" customHeight="1" spans="1:14">
      <c r="A196" t="str">
        <f t="shared" si="5"/>
        <v>9月8日晚上</v>
      </c>
      <c r="B196" s="20"/>
      <c r="C196" s="26"/>
      <c r="D196" s="22"/>
      <c r="E196" s="22"/>
      <c r="F196" s="23" t="s">
        <v>502</v>
      </c>
      <c r="G196" s="23"/>
      <c r="H196" s="23"/>
      <c r="I196" s="23"/>
      <c r="J196" s="23"/>
      <c r="K196" s="23"/>
      <c r="L196" s="23"/>
      <c r="M196" s="23"/>
      <c r="N196" s="23"/>
    </row>
    <row r="197" customFormat="1" ht="88" customHeight="1" spans="1:14">
      <c r="A197" t="str">
        <f t="shared" si="5"/>
        <v> 
9月8日晚上</v>
      </c>
      <c r="B197" s="20"/>
      <c r="C197" s="20"/>
      <c r="D197" s="22"/>
      <c r="E197" s="27" t="s">
        <v>637</v>
      </c>
      <c r="F197" s="23" t="s">
        <v>502</v>
      </c>
      <c r="G197" s="23"/>
      <c r="H197" s="23"/>
      <c r="I197" s="23"/>
      <c r="J197" s="23"/>
      <c r="K197" s="23"/>
      <c r="L197" s="23"/>
      <c r="M197" s="23"/>
      <c r="N197" s="23"/>
    </row>
    <row r="198" customFormat="1" ht="88" customHeight="1" spans="1:14">
      <c r="A198" t="str">
        <f t="shared" si="5"/>
        <v>9月8日晚上</v>
      </c>
      <c r="B198" s="20"/>
      <c r="C198" s="20"/>
      <c r="D198" s="22"/>
      <c r="E198" s="22"/>
      <c r="F198" s="23" t="s">
        <v>502</v>
      </c>
      <c r="G198" s="23"/>
      <c r="H198" s="23"/>
      <c r="I198" s="23"/>
      <c r="J198" s="23"/>
      <c r="K198" s="23"/>
      <c r="L198" s="23"/>
      <c r="M198" s="23"/>
      <c r="N198" s="23"/>
    </row>
    <row r="199" spans="1:14">
      <c r="A199" t="str">
        <f t="shared" ref="A199:A220" si="6">E199&amp;F199</f>
        <v/>
      </c>
    </row>
    <row r="200" customFormat="1" spans="1:14">
      <c r="A200" t="str">
        <f t="shared" si="6"/>
        <v>SKU</v>
      </c>
      <c r="B200" s="12" t="s">
        <v>240</v>
      </c>
      <c r="C200" s="12" t="s">
        <v>611</v>
      </c>
      <c r="D200" s="12" t="s">
        <v>612</v>
      </c>
      <c r="E200" s="12" t="s">
        <v>613</v>
      </c>
      <c r="F200" s="12"/>
      <c r="G200" s="13" t="s">
        <v>614</v>
      </c>
      <c r="H200" s="14"/>
      <c r="I200" s="14"/>
      <c r="J200" s="14"/>
      <c r="K200" s="14"/>
      <c r="L200" s="14"/>
      <c r="M200" s="14"/>
      <c r="N200" s="15"/>
    </row>
    <row r="201" customFormat="1" spans="1:14">
      <c r="A201" t="str">
        <f t="shared" si="6"/>
        <v/>
      </c>
      <c r="B201" s="12"/>
      <c r="C201" s="12"/>
      <c r="D201" s="12"/>
      <c r="E201" s="12"/>
      <c r="F201" s="16"/>
      <c r="G201" s="13" t="s">
        <v>483</v>
      </c>
      <c r="H201" s="14"/>
      <c r="I201" s="13" t="s">
        <v>484</v>
      </c>
      <c r="J201" s="14"/>
      <c r="K201" s="13" t="s">
        <v>485</v>
      </c>
      <c r="L201" s="14"/>
      <c r="M201" s="17" t="s">
        <v>486</v>
      </c>
      <c r="N201" s="17"/>
    </row>
    <row r="202" customFormat="1" spans="1:14">
      <c r="A202" t="str">
        <f t="shared" si="6"/>
        <v>日期</v>
      </c>
      <c r="B202" s="18"/>
      <c r="C202" s="18"/>
      <c r="D202" s="18"/>
      <c r="E202" s="18"/>
      <c r="F202" s="19" t="s">
        <v>277</v>
      </c>
      <c r="G202" s="17" t="s">
        <v>487</v>
      </c>
      <c r="H202" s="17" t="s">
        <v>488</v>
      </c>
      <c r="I202" s="17" t="s">
        <v>487</v>
      </c>
      <c r="J202" s="17" t="s">
        <v>488</v>
      </c>
      <c r="K202" s="17" t="s">
        <v>487</v>
      </c>
      <c r="L202" s="17" t="s">
        <v>488</v>
      </c>
      <c r="M202" s="17" t="s">
        <v>487</v>
      </c>
      <c r="N202" s="17" t="s">
        <v>488</v>
      </c>
    </row>
    <row r="203" customFormat="1" ht="88" customHeight="1" spans="1:14">
      <c r="A203" t="str">
        <f t="shared" si="6"/>
        <v>XXXX-1119月9日上午</v>
      </c>
      <c r="B203" s="20"/>
      <c r="C203" s="21"/>
      <c r="D203" s="22"/>
      <c r="E203" s="22" t="s">
        <v>5</v>
      </c>
      <c r="F203" s="23" t="s">
        <v>503</v>
      </c>
      <c r="G203" s="23"/>
      <c r="H203" s="23" t="s">
        <v>662</v>
      </c>
      <c r="I203" s="23"/>
      <c r="J203" s="23"/>
      <c r="K203" s="23"/>
      <c r="L203" s="23" t="s">
        <v>658</v>
      </c>
      <c r="M203" s="23"/>
      <c r="N203" s="23"/>
    </row>
    <row r="204" customFormat="1" ht="88" customHeight="1" spans="1:14">
      <c r="A204" t="str">
        <f t="shared" si="6"/>
        <v>XXXX-2229月9日上午</v>
      </c>
      <c r="B204" s="20"/>
      <c r="C204" s="24"/>
      <c r="D204" s="22"/>
      <c r="E204" s="22" t="s">
        <v>261</v>
      </c>
      <c r="F204" s="23" t="s">
        <v>503</v>
      </c>
      <c r="G204" s="23"/>
      <c r="H204" s="23"/>
      <c r="I204" s="23"/>
      <c r="J204" s="23" t="s">
        <v>663</v>
      </c>
      <c r="K204" s="25"/>
      <c r="L204" s="23"/>
      <c r="M204" s="23"/>
      <c r="N204" s="23"/>
    </row>
    <row r="205" customFormat="1" ht="88" customHeight="1" spans="1:14">
      <c r="A205" t="str">
        <f t="shared" si="6"/>
        <v>9月9日上午</v>
      </c>
      <c r="B205" s="20"/>
      <c r="C205" s="26"/>
      <c r="D205" s="22"/>
      <c r="E205" s="22"/>
      <c r="F205" s="23" t="s">
        <v>503</v>
      </c>
      <c r="G205" s="23"/>
      <c r="H205" s="23"/>
      <c r="I205" s="23"/>
      <c r="J205" s="23" t="s">
        <v>664</v>
      </c>
      <c r="K205" s="23"/>
      <c r="L205" s="23"/>
      <c r="M205" s="23"/>
      <c r="N205" s="23"/>
    </row>
    <row r="206" customFormat="1" ht="88" customHeight="1" spans="1:14">
      <c r="A206" t="str">
        <f t="shared" si="6"/>
        <v>9月9日上午</v>
      </c>
      <c r="B206" s="20"/>
      <c r="C206" s="21"/>
      <c r="D206" s="22"/>
      <c r="E206" s="22"/>
      <c r="F206" s="23" t="s">
        <v>503</v>
      </c>
      <c r="G206" s="23"/>
      <c r="H206" s="23"/>
      <c r="I206" s="23"/>
      <c r="J206" s="23" t="s">
        <v>665</v>
      </c>
      <c r="K206" s="23"/>
      <c r="L206" s="23"/>
      <c r="M206" s="23"/>
      <c r="N206" s="23"/>
    </row>
    <row r="207" customFormat="1" ht="88" customHeight="1" spans="1:14">
      <c r="A207" t="str">
        <f t="shared" si="6"/>
        <v>9月9日上午</v>
      </c>
      <c r="B207" s="20"/>
      <c r="C207" s="26"/>
      <c r="D207" s="22"/>
      <c r="E207" s="22"/>
      <c r="F207" s="23" t="s">
        <v>503</v>
      </c>
      <c r="G207" s="23"/>
      <c r="H207" s="23"/>
      <c r="I207" s="23"/>
      <c r="J207" s="23"/>
      <c r="K207" s="23"/>
      <c r="L207" s="23" t="s">
        <v>666</v>
      </c>
      <c r="M207" s="23"/>
      <c r="N207" s="23"/>
    </row>
    <row r="208" customFormat="1" ht="88" customHeight="1" spans="1:14">
      <c r="A208" t="str">
        <f t="shared" si="6"/>
        <v>9月9日上午</v>
      </c>
      <c r="B208" s="20"/>
      <c r="C208" s="20"/>
      <c r="D208" s="22"/>
      <c r="E208" s="27"/>
      <c r="F208" s="23" t="s">
        <v>503</v>
      </c>
      <c r="G208" s="23"/>
      <c r="H208" s="23"/>
      <c r="I208" s="23"/>
      <c r="J208" s="23"/>
      <c r="K208" s="23"/>
      <c r="L208" s="23"/>
      <c r="M208" s="23"/>
      <c r="N208" s="23"/>
    </row>
    <row r="209" customFormat="1" ht="88" customHeight="1" spans="1:14">
      <c r="A209" t="str">
        <f t="shared" si="6"/>
        <v>9月9日上午</v>
      </c>
      <c r="B209" s="20"/>
      <c r="C209" s="20"/>
      <c r="D209" s="22"/>
      <c r="E209" s="22"/>
      <c r="F209" s="23" t="s">
        <v>503</v>
      </c>
      <c r="G209" s="23"/>
      <c r="H209" s="23"/>
      <c r="I209" s="23"/>
      <c r="J209" s="23"/>
      <c r="K209" s="23"/>
      <c r="L209" s="23"/>
      <c r="M209" s="23"/>
      <c r="N209" s="23" t="s">
        <v>667</v>
      </c>
    </row>
    <row r="210" spans="1:14">
      <c r="A210" t="str">
        <f t="shared" si="6"/>
        <v/>
      </c>
    </row>
    <row r="211" customFormat="1" spans="1:14">
      <c r="A211" t="str">
        <f t="shared" si="6"/>
        <v>SKU</v>
      </c>
      <c r="B211" s="12" t="s">
        <v>240</v>
      </c>
      <c r="C211" s="12" t="s">
        <v>611</v>
      </c>
      <c r="D211" s="12" t="s">
        <v>612</v>
      </c>
      <c r="E211" s="12" t="s">
        <v>613</v>
      </c>
      <c r="F211" s="12"/>
      <c r="G211" s="13" t="s">
        <v>614</v>
      </c>
      <c r="H211" s="14"/>
      <c r="I211" s="14"/>
      <c r="J211" s="14"/>
      <c r="K211" s="14"/>
      <c r="L211" s="14"/>
      <c r="M211" s="14"/>
      <c r="N211" s="15"/>
    </row>
    <row r="212" customFormat="1" spans="1:14">
      <c r="A212" t="str">
        <f t="shared" si="6"/>
        <v/>
      </c>
      <c r="B212" s="12"/>
      <c r="C212" s="12"/>
      <c r="D212" s="12"/>
      <c r="E212" s="12"/>
      <c r="F212" s="16"/>
      <c r="G212" s="13" t="s">
        <v>483</v>
      </c>
      <c r="H212" s="14"/>
      <c r="I212" s="13" t="s">
        <v>620</v>
      </c>
      <c r="J212" s="14"/>
      <c r="K212" s="13" t="s">
        <v>485</v>
      </c>
      <c r="L212" s="14"/>
      <c r="M212" s="17" t="s">
        <v>486</v>
      </c>
      <c r="N212" s="17"/>
    </row>
    <row r="213" customFormat="1" spans="1:14">
      <c r="A213" t="str">
        <f t="shared" si="6"/>
        <v>日期</v>
      </c>
      <c r="B213" s="18"/>
      <c r="C213" s="18"/>
      <c r="D213" s="18"/>
      <c r="E213" s="18"/>
      <c r="F213" s="19" t="s">
        <v>277</v>
      </c>
      <c r="G213" s="17" t="s">
        <v>487</v>
      </c>
      <c r="H213" s="17" t="s">
        <v>488</v>
      </c>
      <c r="I213" s="17" t="s">
        <v>487</v>
      </c>
      <c r="J213" s="17" t="s">
        <v>488</v>
      </c>
      <c r="K213" s="17" t="s">
        <v>487</v>
      </c>
      <c r="L213" s="17" t="s">
        <v>488</v>
      </c>
      <c r="M213" s="17" t="s">
        <v>487</v>
      </c>
      <c r="N213" s="17" t="s">
        <v>488</v>
      </c>
    </row>
    <row r="214" customFormat="1" ht="83" customHeight="1" spans="1:14">
      <c r="A214" t="str">
        <f t="shared" si="6"/>
        <v>XXXX-1119月9日晚上</v>
      </c>
      <c r="B214" s="20"/>
      <c r="C214" s="21"/>
      <c r="D214" s="22"/>
      <c r="E214" s="22" t="s">
        <v>5</v>
      </c>
      <c r="F214" s="23" t="s">
        <v>504</v>
      </c>
      <c r="G214" s="23"/>
      <c r="H214" s="23" t="s">
        <v>668</v>
      </c>
      <c r="I214" s="23"/>
      <c r="J214" s="23"/>
      <c r="K214" s="23" t="s">
        <v>669</v>
      </c>
      <c r="L214" s="23" t="s">
        <v>670</v>
      </c>
      <c r="M214" s="23"/>
      <c r="N214" s="23"/>
    </row>
    <row r="215" customFormat="1" ht="83" customHeight="1" spans="1:14">
      <c r="A215" t="str">
        <f t="shared" si="6"/>
        <v>XXXX-2229月9日晚上</v>
      </c>
      <c r="B215" s="20"/>
      <c r="C215" s="24"/>
      <c r="D215" s="22"/>
      <c r="E215" s="22" t="s">
        <v>261</v>
      </c>
      <c r="F215" s="23" t="s">
        <v>504</v>
      </c>
      <c r="G215" s="23"/>
      <c r="H215" s="23"/>
      <c r="I215" s="23"/>
      <c r="J215" s="23" t="s">
        <v>671</v>
      </c>
      <c r="K215" s="25"/>
      <c r="L215" s="23"/>
      <c r="M215" s="23"/>
      <c r="N215" s="23"/>
    </row>
    <row r="216" customFormat="1" ht="83" customHeight="1" spans="1:14">
      <c r="A216" t="str">
        <f t="shared" si="6"/>
        <v>9月9日晚上</v>
      </c>
      <c r="B216" s="20"/>
      <c r="C216" s="26"/>
      <c r="D216" s="22"/>
      <c r="E216" s="22"/>
      <c r="F216" s="23" t="s">
        <v>504</v>
      </c>
      <c r="G216" s="23"/>
      <c r="I216" s="23"/>
      <c r="J216" s="23" t="s">
        <v>672</v>
      </c>
      <c r="K216" s="23" t="s">
        <v>673</v>
      </c>
      <c r="L216" s="23"/>
      <c r="M216" s="23"/>
      <c r="N216" s="23"/>
    </row>
    <row r="217" customFormat="1" ht="83" customHeight="1" spans="1:14">
      <c r="A217" t="str">
        <f t="shared" si="6"/>
        <v>9月9日晚上</v>
      </c>
      <c r="B217" s="20"/>
      <c r="C217" s="21"/>
      <c r="D217" s="22"/>
      <c r="E217" s="22"/>
      <c r="F217" s="23" t="s">
        <v>504</v>
      </c>
      <c r="G217" s="23"/>
      <c r="H217" s="23"/>
      <c r="I217" s="23"/>
      <c r="J217" s="23"/>
      <c r="K217" s="23"/>
      <c r="L217" s="23"/>
      <c r="M217" s="23"/>
      <c r="N217" s="23"/>
    </row>
    <row r="218" customFormat="1" ht="83" customHeight="1" spans="1:14">
      <c r="A218" t="str">
        <f t="shared" si="6"/>
        <v>9月9日晚上</v>
      </c>
      <c r="B218" s="20"/>
      <c r="C218" s="26"/>
      <c r="D218" s="22"/>
      <c r="E218" s="22"/>
      <c r="F218" s="23" t="s">
        <v>504</v>
      </c>
      <c r="G218" s="23"/>
      <c r="H218" s="23"/>
      <c r="I218" s="23"/>
      <c r="J218" s="23"/>
      <c r="L218" s="23" t="s">
        <v>674</v>
      </c>
      <c r="M218" s="23"/>
      <c r="N218" s="23"/>
    </row>
    <row r="219" customFormat="1" ht="83" customHeight="1" spans="1:14">
      <c r="A219" t="str">
        <f t="shared" si="6"/>
        <v>9月9日晚上</v>
      </c>
      <c r="B219" s="20"/>
      <c r="C219" s="20"/>
      <c r="D219" s="22"/>
      <c r="E219" s="27"/>
      <c r="F219" s="23" t="s">
        <v>504</v>
      </c>
      <c r="G219" s="23"/>
      <c r="H219" s="23"/>
      <c r="I219" s="23"/>
      <c r="J219" s="23"/>
      <c r="K219" s="23"/>
      <c r="L219" s="23"/>
      <c r="M219" s="23"/>
      <c r="N219" s="23"/>
    </row>
    <row r="220" customFormat="1" ht="97" customHeight="1" spans="1:14">
      <c r="A220" t="str">
        <f t="shared" si="6"/>
        <v>9月9日晚上</v>
      </c>
      <c r="B220" s="20"/>
      <c r="C220" s="20"/>
      <c r="D220" s="22"/>
      <c r="E220" s="22"/>
      <c r="F220" s="23" t="s">
        <v>504</v>
      </c>
      <c r="G220" s="23"/>
      <c r="H220" s="23"/>
      <c r="I220" s="23"/>
      <c r="J220" s="23"/>
      <c r="K220" s="23"/>
      <c r="L220" s="23"/>
      <c r="M220" s="23"/>
      <c r="N220" s="23"/>
    </row>
    <row r="221" spans="1:14">
      <c r="A221" t="str">
        <f t="shared" ref="A221:A252" si="7">E221&amp;F221</f>
        <v/>
      </c>
    </row>
    <row r="222" customFormat="1" spans="1:14">
      <c r="A222" t="str">
        <f t="shared" si="7"/>
        <v>SKU</v>
      </c>
      <c r="B222" s="12" t="s">
        <v>240</v>
      </c>
      <c r="C222" s="12" t="s">
        <v>611</v>
      </c>
      <c r="D222" s="12" t="s">
        <v>612</v>
      </c>
      <c r="E222" s="12" t="s">
        <v>613</v>
      </c>
      <c r="F222" s="12"/>
      <c r="G222" s="13" t="s">
        <v>614</v>
      </c>
      <c r="H222" s="14"/>
      <c r="I222" s="14"/>
      <c r="J222" s="14"/>
      <c r="K222" s="14"/>
      <c r="L222" s="14"/>
      <c r="M222" s="14"/>
      <c r="N222" s="15"/>
    </row>
    <row r="223" customFormat="1" spans="1:14">
      <c r="A223" t="str">
        <f t="shared" si="7"/>
        <v/>
      </c>
      <c r="B223" s="12"/>
      <c r="C223" s="12"/>
      <c r="D223" s="12"/>
      <c r="E223" s="12"/>
      <c r="F223" s="16"/>
      <c r="G223" s="13" t="s">
        <v>483</v>
      </c>
      <c r="H223" s="14"/>
      <c r="I223" s="13" t="s">
        <v>484</v>
      </c>
      <c r="J223" s="14"/>
      <c r="K223" s="13" t="s">
        <v>485</v>
      </c>
      <c r="L223" s="14"/>
      <c r="M223" s="17" t="s">
        <v>486</v>
      </c>
      <c r="N223" s="17"/>
    </row>
    <row r="224" customFormat="1" spans="1:14">
      <c r="A224" t="str">
        <f t="shared" si="7"/>
        <v>日期</v>
      </c>
      <c r="B224" s="18"/>
      <c r="C224" s="18"/>
      <c r="D224" s="18"/>
      <c r="E224" s="18"/>
      <c r="F224" s="19" t="s">
        <v>277</v>
      </c>
      <c r="G224" s="17" t="s">
        <v>487</v>
      </c>
      <c r="H224" s="17" t="s">
        <v>488</v>
      </c>
      <c r="I224" s="17" t="s">
        <v>487</v>
      </c>
      <c r="J224" s="17" t="s">
        <v>488</v>
      </c>
      <c r="K224" s="17" t="s">
        <v>487</v>
      </c>
      <c r="L224" s="17" t="s">
        <v>488</v>
      </c>
      <c r="M224" s="17" t="s">
        <v>487</v>
      </c>
      <c r="N224" s="17" t="s">
        <v>488</v>
      </c>
    </row>
    <row r="225" customFormat="1" ht="90" customHeight="1" spans="1:14">
      <c r="A225" t="str">
        <f t="shared" si="7"/>
        <v>XXXX-1119月12日上午</v>
      </c>
      <c r="B225" s="20"/>
      <c r="C225" s="21"/>
      <c r="D225" s="22"/>
      <c r="E225" s="22" t="s">
        <v>5</v>
      </c>
      <c r="F225" s="23" t="s">
        <v>509</v>
      </c>
      <c r="G225" s="23"/>
      <c r="H225" s="23" t="s">
        <v>675</v>
      </c>
      <c r="I225" s="23"/>
      <c r="J225" s="23"/>
      <c r="K225" s="23"/>
      <c r="L225" s="23" t="s">
        <v>676</v>
      </c>
      <c r="M225" s="23"/>
      <c r="N225" s="23"/>
    </row>
    <row r="226" customFormat="1" ht="90" customHeight="1" spans="1:14">
      <c r="A226" t="str">
        <f t="shared" si="7"/>
        <v>XXXX-2229月12日上午</v>
      </c>
      <c r="B226" s="20"/>
      <c r="C226" s="24"/>
      <c r="D226" s="22"/>
      <c r="E226" s="22" t="s">
        <v>261</v>
      </c>
      <c r="F226" s="23" t="s">
        <v>509</v>
      </c>
      <c r="G226" s="23"/>
      <c r="H226" s="23"/>
      <c r="I226" s="23"/>
      <c r="J226" s="23" t="s">
        <v>677</v>
      </c>
      <c r="K226" s="25"/>
      <c r="L226" s="23"/>
      <c r="M226" s="23"/>
      <c r="N226" s="23"/>
    </row>
    <row r="227" customFormat="1" ht="90" customHeight="1" spans="1:14">
      <c r="A227" t="str">
        <f t="shared" si="7"/>
        <v>9月12日上午</v>
      </c>
      <c r="B227" s="20"/>
      <c r="C227" s="26"/>
      <c r="D227" s="22"/>
      <c r="E227" s="22"/>
      <c r="F227" s="23" t="s">
        <v>509</v>
      </c>
      <c r="G227" s="23"/>
      <c r="H227" s="23"/>
      <c r="I227" s="23"/>
      <c r="J227" s="23" t="s">
        <v>678</v>
      </c>
      <c r="K227" s="23"/>
      <c r="L227" s="23"/>
      <c r="M227" s="23"/>
      <c r="N227" s="23"/>
    </row>
    <row r="228" customFormat="1" ht="90" customHeight="1" spans="1:14">
      <c r="A228" t="str">
        <f t="shared" si="7"/>
        <v>9月12日上午</v>
      </c>
      <c r="B228" s="20"/>
      <c r="C228" s="21"/>
      <c r="D228" s="22"/>
      <c r="E228" s="22"/>
      <c r="F228" s="23" t="s">
        <v>509</v>
      </c>
      <c r="G228" s="23"/>
      <c r="H228" s="23"/>
      <c r="I228" s="23"/>
      <c r="J228" s="23"/>
      <c r="K228" s="23"/>
      <c r="L228" s="23"/>
      <c r="M228" s="23"/>
      <c r="N228" s="23"/>
    </row>
    <row r="229" customFormat="1" ht="90" customHeight="1" spans="1:14">
      <c r="A229" t="str">
        <f t="shared" si="7"/>
        <v>9月12日上午</v>
      </c>
      <c r="B229" s="20"/>
      <c r="C229" s="26"/>
      <c r="D229" s="22"/>
      <c r="E229" s="22"/>
      <c r="F229" s="23" t="s">
        <v>509</v>
      </c>
      <c r="G229" s="23"/>
      <c r="H229" s="23"/>
      <c r="I229" s="23"/>
      <c r="J229" s="23"/>
      <c r="K229" s="23"/>
      <c r="L229" s="23"/>
      <c r="M229" s="23"/>
      <c r="N229" s="23"/>
    </row>
    <row r="230" customFormat="1" ht="90" customHeight="1" spans="1:14">
      <c r="A230" t="str">
        <f t="shared" si="7"/>
        <v>9月12日上午</v>
      </c>
      <c r="B230" s="20"/>
      <c r="C230" s="20"/>
      <c r="D230" s="22"/>
      <c r="E230" s="27"/>
      <c r="F230" s="23" t="s">
        <v>509</v>
      </c>
      <c r="G230" s="23"/>
      <c r="H230" s="23"/>
      <c r="I230" s="23"/>
      <c r="J230" s="23"/>
      <c r="K230" s="23"/>
      <c r="L230" s="23"/>
      <c r="M230" s="23"/>
      <c r="N230" s="23"/>
    </row>
    <row r="231" customFormat="1" ht="90" customHeight="1" spans="1:14">
      <c r="A231" t="str">
        <f t="shared" si="7"/>
        <v>9月12日上午</v>
      </c>
      <c r="B231" s="20"/>
      <c r="C231" s="20"/>
      <c r="D231" s="22"/>
      <c r="E231" s="22"/>
      <c r="F231" s="23" t="s">
        <v>509</v>
      </c>
      <c r="G231" s="23"/>
      <c r="H231" s="23" t="s">
        <v>679</v>
      </c>
      <c r="I231" s="23"/>
      <c r="J231" s="23"/>
      <c r="K231" s="23"/>
      <c r="L231" s="23"/>
      <c r="M231" s="23"/>
      <c r="N231" s="23" t="s">
        <v>680</v>
      </c>
    </row>
    <row r="232" spans="1:14">
      <c r="A232" t="str">
        <f t="shared" si="7"/>
        <v/>
      </c>
    </row>
    <row r="233" customFormat="1" spans="1:14">
      <c r="A233" t="str">
        <f t="shared" si="7"/>
        <v>SKU</v>
      </c>
      <c r="B233" s="12" t="s">
        <v>240</v>
      </c>
      <c r="C233" s="12" t="s">
        <v>611</v>
      </c>
      <c r="D233" s="12" t="s">
        <v>612</v>
      </c>
      <c r="E233" s="12" t="s">
        <v>613</v>
      </c>
      <c r="F233" s="12"/>
      <c r="G233" s="13" t="s">
        <v>614</v>
      </c>
      <c r="H233" s="14"/>
      <c r="I233" s="14"/>
      <c r="J233" s="14"/>
      <c r="K233" s="14"/>
      <c r="L233" s="14"/>
      <c r="M233" s="14"/>
      <c r="N233" s="15"/>
    </row>
    <row r="234" customFormat="1" spans="1:14">
      <c r="A234" t="str">
        <f t="shared" si="7"/>
        <v/>
      </c>
      <c r="B234" s="12"/>
      <c r="C234" s="12"/>
      <c r="D234" s="12"/>
      <c r="E234" s="12"/>
      <c r="F234" s="16"/>
      <c r="G234" s="13" t="s">
        <v>483</v>
      </c>
      <c r="H234" s="14"/>
      <c r="I234" s="13" t="s">
        <v>620</v>
      </c>
      <c r="J234" s="14"/>
      <c r="K234" s="13" t="s">
        <v>485</v>
      </c>
      <c r="L234" s="14"/>
      <c r="M234" s="17" t="s">
        <v>486</v>
      </c>
      <c r="N234" s="17"/>
    </row>
    <row r="235" customFormat="1" spans="1:14">
      <c r="A235" t="str">
        <f t="shared" si="7"/>
        <v>日期</v>
      </c>
      <c r="B235" s="18"/>
      <c r="C235" s="18"/>
      <c r="D235" s="18"/>
      <c r="E235" s="18"/>
      <c r="F235" s="19" t="s">
        <v>277</v>
      </c>
      <c r="G235" s="17" t="s">
        <v>487</v>
      </c>
      <c r="H235" s="17" t="s">
        <v>488</v>
      </c>
      <c r="I235" s="17" t="s">
        <v>487</v>
      </c>
      <c r="J235" s="17" t="s">
        <v>488</v>
      </c>
      <c r="K235" s="17" t="s">
        <v>487</v>
      </c>
      <c r="L235" s="17" t="s">
        <v>488</v>
      </c>
      <c r="M235" s="17" t="s">
        <v>487</v>
      </c>
      <c r="N235" s="17" t="s">
        <v>488</v>
      </c>
    </row>
    <row r="236" customFormat="1" ht="83" customHeight="1" spans="1:14">
      <c r="A236" t="str">
        <f t="shared" si="7"/>
        <v>XXXX-1119月12日晚上</v>
      </c>
      <c r="B236" s="20"/>
      <c r="C236" s="21"/>
      <c r="D236" s="22"/>
      <c r="E236" s="22" t="s">
        <v>5</v>
      </c>
      <c r="F236" s="23" t="s">
        <v>510</v>
      </c>
      <c r="G236" s="23"/>
      <c r="H236" s="23" t="s">
        <v>681</v>
      </c>
      <c r="I236" s="23"/>
      <c r="J236" s="23"/>
      <c r="K236" s="23" t="s">
        <v>682</v>
      </c>
      <c r="L236" s="23" t="s">
        <v>683</v>
      </c>
      <c r="M236" s="23"/>
      <c r="N236" s="23"/>
    </row>
    <row r="237" customFormat="1" ht="83" customHeight="1" spans="1:14">
      <c r="A237" t="str">
        <f t="shared" si="7"/>
        <v>XXXX-2229月12日晚上</v>
      </c>
      <c r="B237" s="20"/>
      <c r="C237" s="24"/>
      <c r="D237" s="22"/>
      <c r="E237" s="22" t="s">
        <v>261</v>
      </c>
      <c r="F237" s="23" t="s">
        <v>510</v>
      </c>
      <c r="G237" s="23"/>
      <c r="H237" s="23"/>
      <c r="I237" s="23"/>
      <c r="J237" s="23"/>
      <c r="K237" s="25"/>
      <c r="L237" s="23"/>
      <c r="M237" s="23"/>
      <c r="N237" s="23"/>
    </row>
    <row r="238" customFormat="1" ht="83" customHeight="1" spans="1:14">
      <c r="A238" t="str">
        <f t="shared" si="7"/>
        <v>9月12日晚上</v>
      </c>
      <c r="B238" s="20"/>
      <c r="C238" s="26"/>
      <c r="D238" s="22"/>
      <c r="E238" s="22"/>
      <c r="F238" s="23" t="s">
        <v>510</v>
      </c>
      <c r="G238" s="23"/>
      <c r="I238" s="23"/>
      <c r="J238" s="23" t="s">
        <v>630</v>
      </c>
      <c r="K238" s="23" t="s">
        <v>684</v>
      </c>
      <c r="L238" s="23" t="s">
        <v>685</v>
      </c>
      <c r="M238" s="23"/>
      <c r="N238" s="23"/>
    </row>
    <row r="239" customFormat="1" ht="83" customHeight="1" spans="1:14">
      <c r="A239" t="str">
        <f t="shared" si="7"/>
        <v>9月12日晚上</v>
      </c>
      <c r="B239" s="20"/>
      <c r="C239" s="21"/>
      <c r="D239" s="22"/>
      <c r="E239" s="22"/>
      <c r="F239" s="23" t="s">
        <v>510</v>
      </c>
      <c r="G239" s="23"/>
      <c r="H239" s="23"/>
      <c r="I239" s="23"/>
      <c r="J239" s="23"/>
      <c r="K239" s="23"/>
      <c r="L239" s="23"/>
      <c r="M239" s="23"/>
      <c r="N239" s="23"/>
    </row>
    <row r="240" customFormat="1" ht="83" customHeight="1" spans="1:14">
      <c r="A240" t="str">
        <f t="shared" si="7"/>
        <v>9月12日晚上</v>
      </c>
      <c r="B240" s="20"/>
      <c r="C240" s="26"/>
      <c r="D240" s="22"/>
      <c r="E240" s="22"/>
      <c r="F240" s="23" t="s">
        <v>510</v>
      </c>
      <c r="G240" s="23"/>
      <c r="H240" s="23"/>
      <c r="I240" s="23"/>
      <c r="J240" s="23"/>
      <c r="L240" s="23" t="s">
        <v>655</v>
      </c>
      <c r="M240" s="23"/>
      <c r="N240" s="23"/>
    </row>
    <row r="241" customFormat="1" ht="83" customHeight="1" spans="1:14">
      <c r="A241" t="str">
        <f t="shared" si="7"/>
        <v> 
9月12日晚上</v>
      </c>
      <c r="B241" s="20"/>
      <c r="C241" s="20"/>
      <c r="D241" s="22"/>
      <c r="E241" s="27" t="s">
        <v>637</v>
      </c>
      <c r="F241" s="23" t="s">
        <v>510</v>
      </c>
      <c r="G241" s="23"/>
      <c r="H241" s="23"/>
      <c r="I241" s="23"/>
      <c r="J241" s="23"/>
      <c r="K241" s="23"/>
      <c r="L241" s="23"/>
      <c r="M241" s="23"/>
      <c r="N241" s="23"/>
    </row>
    <row r="242" customFormat="1" ht="83" customHeight="1" spans="1:14">
      <c r="A242" t="str">
        <f t="shared" si="7"/>
        <v>9月12日晚上</v>
      </c>
      <c r="B242" s="20"/>
      <c r="C242" s="20"/>
      <c r="D242" s="22"/>
      <c r="E242" s="22"/>
      <c r="F242" s="23" t="s">
        <v>510</v>
      </c>
      <c r="G242" s="23"/>
      <c r="H242" s="23" t="s">
        <v>628</v>
      </c>
      <c r="I242" s="23"/>
      <c r="J242" s="23"/>
      <c r="K242" s="23"/>
      <c r="L242" s="23"/>
      <c r="M242" s="23" t="s">
        <v>686</v>
      </c>
      <c r="N242" s="23" t="s">
        <v>663</v>
      </c>
    </row>
    <row r="243" spans="1:14">
      <c r="A243" t="str">
        <f t="shared" si="7"/>
        <v/>
      </c>
    </row>
    <row r="244" customFormat="1" spans="1:14">
      <c r="A244" t="str">
        <f t="shared" si="7"/>
        <v>SKU</v>
      </c>
      <c r="B244" s="12" t="s">
        <v>240</v>
      </c>
      <c r="C244" s="12" t="s">
        <v>611</v>
      </c>
      <c r="D244" s="12" t="s">
        <v>612</v>
      </c>
      <c r="E244" s="12" t="s">
        <v>613</v>
      </c>
      <c r="F244" s="12"/>
      <c r="G244" s="13" t="s">
        <v>614</v>
      </c>
      <c r="H244" s="14"/>
      <c r="I244" s="14"/>
      <c r="J244" s="14"/>
      <c r="K244" s="14"/>
      <c r="L244" s="14"/>
      <c r="M244" s="14"/>
      <c r="N244" s="15"/>
    </row>
    <row r="245" customFormat="1" spans="1:14">
      <c r="A245" t="str">
        <f t="shared" si="7"/>
        <v/>
      </c>
      <c r="B245" s="12"/>
      <c r="C245" s="12"/>
      <c r="D245" s="12"/>
      <c r="E245" s="12"/>
      <c r="F245" s="16"/>
      <c r="G245" s="13" t="s">
        <v>483</v>
      </c>
      <c r="H245" s="14"/>
      <c r="I245" s="13" t="s">
        <v>484</v>
      </c>
      <c r="J245" s="14"/>
      <c r="K245" s="13" t="s">
        <v>485</v>
      </c>
      <c r="L245" s="14"/>
      <c r="M245" s="17" t="s">
        <v>486</v>
      </c>
      <c r="N245" s="17"/>
    </row>
    <row r="246" customFormat="1" spans="1:14">
      <c r="A246" t="str">
        <f t="shared" si="7"/>
        <v>日期</v>
      </c>
      <c r="B246" s="18"/>
      <c r="C246" s="18"/>
      <c r="D246" s="18"/>
      <c r="E246" s="18"/>
      <c r="F246" s="19" t="s">
        <v>277</v>
      </c>
      <c r="G246" s="17" t="s">
        <v>487</v>
      </c>
      <c r="H246" s="17" t="s">
        <v>488</v>
      </c>
      <c r="I246" s="17" t="s">
        <v>487</v>
      </c>
      <c r="J246" s="17" t="s">
        <v>488</v>
      </c>
      <c r="K246" s="17" t="s">
        <v>487</v>
      </c>
      <c r="L246" s="17" t="s">
        <v>488</v>
      </c>
      <c r="M246" s="17" t="s">
        <v>487</v>
      </c>
      <c r="N246" s="17" t="s">
        <v>488</v>
      </c>
    </row>
    <row r="247" customFormat="1" ht="90" customHeight="1" spans="1:14">
      <c r="A247" t="str">
        <f t="shared" si="7"/>
        <v>XXXX-1119月13日上午</v>
      </c>
      <c r="B247" s="20"/>
      <c r="C247" s="21"/>
      <c r="D247" s="22"/>
      <c r="E247" s="22" t="s">
        <v>5</v>
      </c>
      <c r="F247" s="23" t="s">
        <v>511</v>
      </c>
      <c r="G247" s="23"/>
      <c r="H247" s="23" t="s">
        <v>687</v>
      </c>
      <c r="I247" s="23"/>
      <c r="J247" s="23"/>
      <c r="K247" s="23"/>
      <c r="L247" s="23" t="s">
        <v>658</v>
      </c>
      <c r="M247" s="23"/>
      <c r="N247" s="23"/>
    </row>
    <row r="248" customFormat="1" ht="90" customHeight="1" spans="1:14">
      <c r="A248" t="str">
        <f t="shared" si="7"/>
        <v>XXXX-2229月13日上午</v>
      </c>
      <c r="B248" s="20"/>
      <c r="C248" s="24"/>
      <c r="D248" s="22"/>
      <c r="E248" s="22" t="s">
        <v>261</v>
      </c>
      <c r="F248" s="23" t="s">
        <v>511</v>
      </c>
      <c r="G248" s="23"/>
      <c r="H248" s="23"/>
      <c r="I248" s="23"/>
      <c r="J248" s="23" t="s">
        <v>688</v>
      </c>
      <c r="K248" s="25"/>
      <c r="L248" s="23"/>
      <c r="M248" s="23"/>
      <c r="N248" s="23"/>
    </row>
    <row r="249" customFormat="1" ht="90" customHeight="1" spans="1:14">
      <c r="A249" t="str">
        <f t="shared" si="7"/>
        <v>9月13日上午</v>
      </c>
      <c r="B249" s="20"/>
      <c r="C249" s="26"/>
      <c r="D249" s="22"/>
      <c r="E249" s="22"/>
      <c r="F249" s="23" t="s">
        <v>511</v>
      </c>
      <c r="G249" s="23"/>
      <c r="H249" s="23"/>
      <c r="I249" s="23"/>
      <c r="J249" s="23" t="s">
        <v>647</v>
      </c>
      <c r="K249" s="23"/>
      <c r="L249" s="23"/>
      <c r="M249" s="23"/>
      <c r="N249" s="23"/>
    </row>
    <row r="250" customFormat="1" ht="90" customHeight="1" spans="1:14">
      <c r="A250" t="str">
        <f t="shared" si="7"/>
        <v>9月13日上午</v>
      </c>
      <c r="B250" s="20"/>
      <c r="C250" s="21"/>
      <c r="D250" s="22"/>
      <c r="E250" s="22"/>
      <c r="F250" s="23" t="s">
        <v>511</v>
      </c>
      <c r="G250" s="23"/>
      <c r="H250" s="23"/>
      <c r="I250" s="23"/>
      <c r="J250" s="23"/>
      <c r="K250" s="23"/>
      <c r="L250" s="23"/>
      <c r="M250" s="23"/>
      <c r="N250" s="23"/>
    </row>
    <row r="251" customFormat="1" ht="90" customHeight="1" spans="1:14">
      <c r="A251" t="str">
        <f t="shared" si="7"/>
        <v>9月13日上午</v>
      </c>
      <c r="B251" s="20"/>
      <c r="C251" s="26"/>
      <c r="D251" s="22"/>
      <c r="E251" s="22"/>
      <c r="F251" s="23" t="s">
        <v>511</v>
      </c>
      <c r="G251" s="23"/>
      <c r="H251" s="23"/>
      <c r="I251" s="23"/>
      <c r="J251" s="23"/>
      <c r="K251" s="23"/>
      <c r="L251" s="23" t="s">
        <v>662</v>
      </c>
      <c r="M251" s="23"/>
      <c r="N251" s="23"/>
    </row>
    <row r="252" customFormat="1" ht="90" customHeight="1" spans="1:14">
      <c r="A252" t="str">
        <f t="shared" si="7"/>
        <v>9月13日上午</v>
      </c>
      <c r="B252" s="20"/>
      <c r="C252" s="20"/>
      <c r="D252" s="22"/>
      <c r="E252" s="27"/>
      <c r="F252" s="23" t="s">
        <v>511</v>
      </c>
      <c r="G252" s="23"/>
      <c r="H252" s="23"/>
      <c r="I252" s="23"/>
      <c r="J252" s="23"/>
      <c r="K252" s="23"/>
      <c r="L252" s="23"/>
      <c r="M252" s="23"/>
      <c r="N252" s="23"/>
    </row>
    <row r="253" customFormat="1" ht="90" customHeight="1" spans="1:14">
      <c r="A253" t="str">
        <f t="shared" ref="A253:A284" si="8">E253&amp;F253</f>
        <v>9月13日上午</v>
      </c>
      <c r="B253" s="20"/>
      <c r="C253" s="20"/>
      <c r="D253" s="22"/>
      <c r="E253" s="22"/>
      <c r="F253" s="23" t="s">
        <v>511</v>
      </c>
      <c r="G253" s="23"/>
      <c r="H253" s="23"/>
      <c r="I253" s="23"/>
      <c r="J253" s="23"/>
      <c r="K253" s="23"/>
      <c r="L253" s="23"/>
      <c r="M253" s="23"/>
      <c r="N253" s="23" t="s">
        <v>678</v>
      </c>
    </row>
    <row r="254" spans="1:14">
      <c r="A254" t="str">
        <f t="shared" si="8"/>
        <v/>
      </c>
    </row>
    <row r="255" customFormat="1" spans="1:14">
      <c r="A255" t="str">
        <f t="shared" si="8"/>
        <v>SKU</v>
      </c>
      <c r="B255" s="12" t="s">
        <v>240</v>
      </c>
      <c r="C255" s="12" t="s">
        <v>611</v>
      </c>
      <c r="D255" s="12" t="s">
        <v>612</v>
      </c>
      <c r="E255" s="12" t="s">
        <v>613</v>
      </c>
      <c r="F255" s="12"/>
      <c r="G255" s="13" t="s">
        <v>614</v>
      </c>
      <c r="H255" s="14"/>
      <c r="I255" s="14"/>
      <c r="J255" s="14"/>
      <c r="K255" s="14"/>
      <c r="L255" s="14"/>
      <c r="M255" s="14"/>
      <c r="N255" s="15"/>
    </row>
    <row r="256" customFormat="1" spans="1:14">
      <c r="A256" t="str">
        <f t="shared" si="8"/>
        <v/>
      </c>
      <c r="B256" s="12"/>
      <c r="C256" s="12"/>
      <c r="D256" s="12"/>
      <c r="E256" s="12"/>
      <c r="F256" s="16"/>
      <c r="G256" s="13" t="s">
        <v>483</v>
      </c>
      <c r="H256" s="14"/>
      <c r="I256" s="13" t="s">
        <v>620</v>
      </c>
      <c r="J256" s="14"/>
      <c r="K256" s="13" t="s">
        <v>485</v>
      </c>
      <c r="L256" s="14"/>
      <c r="M256" s="17" t="s">
        <v>486</v>
      </c>
      <c r="N256" s="17"/>
    </row>
    <row r="257" customFormat="1" spans="1:14">
      <c r="A257" t="str">
        <f t="shared" si="8"/>
        <v>日期</v>
      </c>
      <c r="B257" s="18"/>
      <c r="C257" s="18"/>
      <c r="D257" s="18"/>
      <c r="E257" s="18"/>
      <c r="F257" s="19" t="s">
        <v>277</v>
      </c>
      <c r="G257" s="17" t="s">
        <v>487</v>
      </c>
      <c r="H257" s="17" t="s">
        <v>488</v>
      </c>
      <c r="I257" s="17" t="s">
        <v>487</v>
      </c>
      <c r="J257" s="17" t="s">
        <v>488</v>
      </c>
      <c r="K257" s="17" t="s">
        <v>487</v>
      </c>
      <c r="L257" s="17" t="s">
        <v>488</v>
      </c>
      <c r="M257" s="17" t="s">
        <v>487</v>
      </c>
      <c r="N257" s="17" t="s">
        <v>488</v>
      </c>
    </row>
    <row r="258" customFormat="1" ht="83" customHeight="1" spans="1:14">
      <c r="A258" t="str">
        <f t="shared" si="8"/>
        <v>XXXX-1119月13日晚上</v>
      </c>
      <c r="B258" s="20"/>
      <c r="C258" s="21"/>
      <c r="D258" s="22"/>
      <c r="E258" s="22" t="s">
        <v>5</v>
      </c>
      <c r="F258" s="23" t="s">
        <v>512</v>
      </c>
      <c r="G258" s="23"/>
      <c r="H258" s="23" t="s">
        <v>689</v>
      </c>
      <c r="I258" s="23"/>
      <c r="J258" s="23"/>
      <c r="K258" s="23"/>
      <c r="L258" s="23" t="s">
        <v>690</v>
      </c>
      <c r="M258" s="23"/>
      <c r="N258" s="23"/>
    </row>
    <row r="259" customFormat="1" ht="83" customHeight="1" spans="1:14">
      <c r="A259" t="str">
        <f t="shared" si="8"/>
        <v>XXXX-2229月13日晚上</v>
      </c>
      <c r="B259" s="20"/>
      <c r="C259" s="24"/>
      <c r="D259" s="22"/>
      <c r="E259" s="22" t="s">
        <v>261</v>
      </c>
      <c r="F259" s="23" t="s">
        <v>512</v>
      </c>
      <c r="G259" s="23"/>
      <c r="H259" s="23"/>
      <c r="I259" s="23"/>
      <c r="J259" s="23"/>
      <c r="K259" s="25"/>
      <c r="L259" s="23"/>
      <c r="M259" s="23"/>
      <c r="N259" s="23"/>
    </row>
    <row r="260" customFormat="1" ht="83" customHeight="1" spans="1:14">
      <c r="A260" t="str">
        <f t="shared" si="8"/>
        <v>9月13日晚上</v>
      </c>
      <c r="B260" s="20"/>
      <c r="C260" s="26"/>
      <c r="D260" s="22"/>
      <c r="E260" s="22"/>
      <c r="F260" s="23" t="s">
        <v>512</v>
      </c>
      <c r="G260" s="23"/>
      <c r="I260" s="23"/>
      <c r="J260" s="23" t="s">
        <v>649</v>
      </c>
      <c r="K260" s="23" t="s">
        <v>691</v>
      </c>
      <c r="L260" s="23"/>
      <c r="M260" s="23"/>
      <c r="N260" s="23"/>
    </row>
    <row r="261" customFormat="1" ht="83" customHeight="1" spans="1:14">
      <c r="A261" t="str">
        <f t="shared" si="8"/>
        <v>9月13日晚上</v>
      </c>
      <c r="B261" s="20"/>
      <c r="C261" s="21"/>
      <c r="D261" s="22"/>
      <c r="E261" s="22"/>
      <c r="F261" s="23" t="s">
        <v>512</v>
      </c>
      <c r="G261" s="23"/>
      <c r="H261" s="23"/>
      <c r="I261" s="23"/>
      <c r="J261" s="23"/>
      <c r="K261" s="23"/>
      <c r="L261" s="23"/>
      <c r="M261" s="23"/>
      <c r="N261" s="23"/>
    </row>
    <row r="262" customFormat="1" ht="83" customHeight="1" spans="1:14">
      <c r="A262" t="str">
        <f t="shared" si="8"/>
        <v>9月13日晚上</v>
      </c>
      <c r="B262" s="20"/>
      <c r="C262" s="26"/>
      <c r="D262" s="22"/>
      <c r="E262" s="22"/>
      <c r="F262" s="23" t="s">
        <v>512</v>
      </c>
      <c r="G262" s="23"/>
      <c r="H262" s="23"/>
      <c r="I262" s="23"/>
      <c r="J262" s="23"/>
      <c r="L262" s="23" t="s">
        <v>692</v>
      </c>
      <c r="M262" s="23"/>
      <c r="N262" s="23"/>
    </row>
    <row r="263" customFormat="1" ht="83" customHeight="1" spans="1:14">
      <c r="A263" t="str">
        <f t="shared" si="8"/>
        <v> 
9月13日晚上</v>
      </c>
      <c r="B263" s="20"/>
      <c r="C263" s="20"/>
      <c r="D263" s="22"/>
      <c r="E263" s="27" t="s">
        <v>637</v>
      </c>
      <c r="F263" s="23" t="s">
        <v>512</v>
      </c>
      <c r="G263" s="23"/>
      <c r="H263" s="23"/>
      <c r="I263" s="23"/>
      <c r="J263" s="23"/>
      <c r="K263" s="23"/>
      <c r="L263" s="23"/>
      <c r="M263" s="23"/>
      <c r="N263" s="23"/>
    </row>
    <row r="264" customFormat="1" ht="83" customHeight="1" spans="1:14">
      <c r="A264" t="str">
        <f t="shared" si="8"/>
        <v>9月13日晚上</v>
      </c>
      <c r="B264" s="20"/>
      <c r="C264" s="20"/>
      <c r="D264" s="22"/>
      <c r="E264" s="22"/>
      <c r="F264" s="23" t="s">
        <v>512</v>
      </c>
      <c r="G264" s="23"/>
      <c r="H264" s="23" t="s">
        <v>693</v>
      </c>
      <c r="I264" s="23"/>
      <c r="J264" s="23"/>
      <c r="K264" s="23"/>
      <c r="L264" s="23"/>
      <c r="M264" s="23" t="s">
        <v>694</v>
      </c>
      <c r="N264" s="23" t="s">
        <v>695</v>
      </c>
    </row>
    <row r="265" spans="1:14">
      <c r="A265" t="str">
        <f t="shared" si="8"/>
        <v/>
      </c>
    </row>
    <row r="266" customFormat="1" spans="1:14">
      <c r="A266" t="str">
        <f t="shared" si="8"/>
        <v>SKU</v>
      </c>
      <c r="B266" s="12" t="s">
        <v>240</v>
      </c>
      <c r="C266" s="12" t="s">
        <v>611</v>
      </c>
      <c r="D266" s="12" t="s">
        <v>612</v>
      </c>
      <c r="E266" s="12" t="s">
        <v>613</v>
      </c>
      <c r="F266" s="12"/>
      <c r="G266" s="13" t="s">
        <v>614</v>
      </c>
      <c r="H266" s="14"/>
      <c r="I266" s="14"/>
      <c r="J266" s="14"/>
      <c r="K266" s="14"/>
      <c r="L266" s="14"/>
      <c r="M266" s="14"/>
      <c r="N266" s="15"/>
    </row>
    <row r="267" customFormat="1" spans="1:14">
      <c r="A267" t="str">
        <f t="shared" si="8"/>
        <v/>
      </c>
      <c r="B267" s="12"/>
      <c r="C267" s="12"/>
      <c r="D267" s="12"/>
      <c r="E267" s="12"/>
      <c r="F267" s="16"/>
      <c r="G267" s="13" t="s">
        <v>483</v>
      </c>
      <c r="H267" s="14"/>
      <c r="I267" s="13" t="s">
        <v>484</v>
      </c>
      <c r="J267" s="14"/>
      <c r="K267" s="13" t="s">
        <v>485</v>
      </c>
      <c r="L267" s="14"/>
      <c r="M267" s="17" t="s">
        <v>486</v>
      </c>
      <c r="N267" s="17"/>
    </row>
    <row r="268" customFormat="1" spans="1:14">
      <c r="A268" t="str">
        <f t="shared" si="8"/>
        <v>日期</v>
      </c>
      <c r="B268" s="18"/>
      <c r="C268" s="18"/>
      <c r="D268" s="18"/>
      <c r="E268" s="18"/>
      <c r="F268" s="19" t="s">
        <v>277</v>
      </c>
      <c r="G268" s="17" t="s">
        <v>487</v>
      </c>
      <c r="H268" s="17" t="s">
        <v>488</v>
      </c>
      <c r="I268" s="17" t="s">
        <v>487</v>
      </c>
      <c r="J268" s="17" t="s">
        <v>488</v>
      </c>
      <c r="K268" s="17" t="s">
        <v>487</v>
      </c>
      <c r="L268" s="17" t="s">
        <v>488</v>
      </c>
      <c r="M268" s="17" t="s">
        <v>487</v>
      </c>
      <c r="N268" s="17" t="s">
        <v>488</v>
      </c>
    </row>
    <row r="269" customFormat="1" ht="90" customHeight="1" spans="1:14">
      <c r="A269" t="str">
        <f t="shared" si="8"/>
        <v>XXXX-1119月14日上午</v>
      </c>
      <c r="B269" s="20"/>
      <c r="C269" s="21"/>
      <c r="D269" s="22"/>
      <c r="E269" s="22" t="s">
        <v>5</v>
      </c>
      <c r="F269" s="23" t="s">
        <v>513</v>
      </c>
      <c r="G269" s="23"/>
      <c r="H269" s="23" t="s">
        <v>669</v>
      </c>
      <c r="I269" s="23"/>
      <c r="J269" s="23"/>
      <c r="K269" s="23"/>
      <c r="L269" s="23" t="s">
        <v>696</v>
      </c>
      <c r="M269" s="23"/>
      <c r="N269" s="23"/>
    </row>
    <row r="270" customFormat="1" ht="90" customHeight="1" spans="1:14">
      <c r="A270" t="str">
        <f t="shared" si="8"/>
        <v>XXXX-2229月14日上午</v>
      </c>
      <c r="B270" s="20"/>
      <c r="C270" s="24"/>
      <c r="D270" s="22"/>
      <c r="E270" s="22" t="s">
        <v>261</v>
      </c>
      <c r="F270" s="23" t="s">
        <v>513</v>
      </c>
      <c r="G270" s="23"/>
      <c r="H270" s="23"/>
      <c r="I270" s="23"/>
      <c r="J270" s="23" t="s">
        <v>697</v>
      </c>
      <c r="K270" s="25"/>
      <c r="L270" s="23"/>
      <c r="M270" s="23"/>
      <c r="N270" s="23"/>
    </row>
    <row r="271" customFormat="1" ht="90" customHeight="1" spans="1:14">
      <c r="A271" t="str">
        <f t="shared" si="8"/>
        <v>9月14日上午</v>
      </c>
      <c r="B271" s="20"/>
      <c r="C271" s="26"/>
      <c r="D271" s="22"/>
      <c r="E271" s="22"/>
      <c r="F271" s="23" t="s">
        <v>513</v>
      </c>
      <c r="G271" s="23"/>
      <c r="H271" s="23"/>
      <c r="I271" s="23"/>
      <c r="J271" s="23" t="s">
        <v>695</v>
      </c>
      <c r="K271" s="23"/>
      <c r="L271" s="23"/>
      <c r="M271" s="23"/>
      <c r="N271" s="23"/>
    </row>
    <row r="272" customFormat="1" ht="90" customHeight="1" spans="1:14">
      <c r="A272" t="str">
        <f t="shared" si="8"/>
        <v>9月14日上午</v>
      </c>
      <c r="B272" s="20"/>
      <c r="C272" s="21"/>
      <c r="D272" s="22"/>
      <c r="E272" s="22"/>
      <c r="F272" s="23" t="s">
        <v>513</v>
      </c>
      <c r="G272" s="23"/>
      <c r="H272" s="23"/>
      <c r="I272" s="23"/>
      <c r="J272" s="23"/>
      <c r="K272" s="23"/>
      <c r="L272" s="23"/>
      <c r="M272" s="23"/>
      <c r="N272" s="23"/>
    </row>
    <row r="273" customFormat="1" ht="90" customHeight="1" spans="1:14">
      <c r="A273" t="str">
        <f t="shared" si="8"/>
        <v>9月14日上午</v>
      </c>
      <c r="B273" s="20"/>
      <c r="C273" s="26"/>
      <c r="D273" s="22"/>
      <c r="E273" s="22"/>
      <c r="F273" s="23" t="s">
        <v>513</v>
      </c>
      <c r="G273" s="23"/>
      <c r="H273" s="23"/>
      <c r="I273" s="23"/>
      <c r="J273" s="23"/>
      <c r="K273" s="23"/>
      <c r="L273" s="23" t="s">
        <v>698</v>
      </c>
      <c r="M273" s="23"/>
      <c r="N273" s="23"/>
    </row>
    <row r="274" customFormat="1" ht="90" customHeight="1" spans="1:14">
      <c r="A274" t="str">
        <f t="shared" si="8"/>
        <v>9月14日上午</v>
      </c>
      <c r="B274" s="20"/>
      <c r="C274" s="20"/>
      <c r="D274" s="22"/>
      <c r="E274" s="27"/>
      <c r="F274" s="23" t="s">
        <v>513</v>
      </c>
      <c r="G274" s="23"/>
      <c r="H274" s="23"/>
      <c r="I274" s="23"/>
      <c r="J274" s="23"/>
      <c r="K274" s="23"/>
      <c r="L274" s="23"/>
      <c r="M274" s="23"/>
      <c r="N274" s="23"/>
    </row>
    <row r="275" customFormat="1" ht="90" customHeight="1" spans="1:14">
      <c r="A275" t="str">
        <f t="shared" si="8"/>
        <v>9月14日上午</v>
      </c>
      <c r="B275" s="20"/>
      <c r="C275" s="20"/>
      <c r="D275" s="22"/>
      <c r="E275" s="22"/>
      <c r="F275" s="23" t="s">
        <v>513</v>
      </c>
      <c r="G275" s="23"/>
      <c r="H275" s="23" t="s">
        <v>699</v>
      </c>
      <c r="I275" s="23"/>
      <c r="J275" s="23"/>
      <c r="K275" s="23"/>
      <c r="L275" s="23"/>
      <c r="M275" s="23"/>
      <c r="N275" s="23" t="s">
        <v>700</v>
      </c>
    </row>
    <row r="276" spans="1:14">
      <c r="A276" t="str">
        <f t="shared" si="8"/>
        <v/>
      </c>
    </row>
    <row r="277" customFormat="1" spans="1:14">
      <c r="A277" t="str">
        <f t="shared" si="8"/>
        <v>SKU</v>
      </c>
      <c r="B277" s="12" t="s">
        <v>240</v>
      </c>
      <c r="C277" s="12" t="s">
        <v>611</v>
      </c>
      <c r="D277" s="12" t="s">
        <v>612</v>
      </c>
      <c r="E277" s="12" t="s">
        <v>613</v>
      </c>
      <c r="F277" s="12"/>
      <c r="G277" s="13" t="s">
        <v>614</v>
      </c>
      <c r="H277" s="14"/>
      <c r="I277" s="14"/>
      <c r="J277" s="14"/>
      <c r="K277" s="14"/>
      <c r="L277" s="14"/>
      <c r="M277" s="14"/>
      <c r="N277" s="15"/>
    </row>
    <row r="278" customFormat="1" spans="1:14">
      <c r="A278" t="str">
        <f t="shared" si="8"/>
        <v/>
      </c>
      <c r="B278" s="12"/>
      <c r="C278" s="12"/>
      <c r="D278" s="12"/>
      <c r="E278" s="12"/>
      <c r="F278" s="16"/>
      <c r="G278" s="13" t="s">
        <v>483</v>
      </c>
      <c r="H278" s="14"/>
      <c r="I278" s="13" t="s">
        <v>620</v>
      </c>
      <c r="J278" s="14"/>
      <c r="K278" s="13" t="s">
        <v>485</v>
      </c>
      <c r="L278" s="14"/>
      <c r="M278" s="17" t="s">
        <v>486</v>
      </c>
      <c r="N278" s="17"/>
    </row>
    <row r="279" customFormat="1" spans="1:14">
      <c r="A279" t="str">
        <f t="shared" si="8"/>
        <v>日期</v>
      </c>
      <c r="B279" s="18"/>
      <c r="C279" s="18"/>
      <c r="D279" s="18"/>
      <c r="E279" s="18"/>
      <c r="F279" s="19" t="s">
        <v>277</v>
      </c>
      <c r="G279" s="17" t="s">
        <v>487</v>
      </c>
      <c r="H279" s="17" t="s">
        <v>488</v>
      </c>
      <c r="I279" s="17" t="s">
        <v>487</v>
      </c>
      <c r="J279" s="17" t="s">
        <v>488</v>
      </c>
      <c r="K279" s="17" t="s">
        <v>487</v>
      </c>
      <c r="L279" s="17" t="s">
        <v>488</v>
      </c>
      <c r="M279" s="17" t="s">
        <v>487</v>
      </c>
      <c r="N279" s="17" t="s">
        <v>488</v>
      </c>
    </row>
    <row r="280" customFormat="1" ht="86" customHeight="1" spans="1:14">
      <c r="A280" t="str">
        <f t="shared" si="8"/>
        <v>XXXX-1119月14日晚上</v>
      </c>
      <c r="B280" s="20"/>
      <c r="C280" s="21"/>
      <c r="D280" s="22"/>
      <c r="E280" s="22" t="s">
        <v>5</v>
      </c>
      <c r="F280" s="23" t="s">
        <v>514</v>
      </c>
      <c r="G280" s="23"/>
      <c r="H280" s="23" t="s">
        <v>701</v>
      </c>
      <c r="I280" s="23"/>
      <c r="J280" s="23"/>
      <c r="K280" s="23"/>
      <c r="L280" s="23" t="s">
        <v>690</v>
      </c>
      <c r="M280" s="23"/>
      <c r="N280" s="23"/>
    </row>
    <row r="281" customFormat="1" ht="86" customHeight="1" spans="1:14">
      <c r="A281" t="str">
        <f t="shared" si="8"/>
        <v>XXXX-2229月14日晚上</v>
      </c>
      <c r="B281" s="20"/>
      <c r="C281" s="24"/>
      <c r="D281" s="22"/>
      <c r="E281" s="22" t="s">
        <v>261</v>
      </c>
      <c r="F281" s="23" t="s">
        <v>514</v>
      </c>
      <c r="G281" s="23"/>
      <c r="H281" s="23"/>
      <c r="I281" s="23"/>
      <c r="J281" s="23"/>
      <c r="K281" s="25"/>
      <c r="L281" s="23"/>
      <c r="M281" s="23"/>
      <c r="N281" s="23"/>
    </row>
    <row r="282" customFormat="1" ht="86" customHeight="1" spans="1:14">
      <c r="A282" t="str">
        <f t="shared" si="8"/>
        <v>9月14日晚上</v>
      </c>
      <c r="B282" s="20"/>
      <c r="C282" s="26"/>
      <c r="D282" s="22"/>
      <c r="E282" s="22"/>
      <c r="F282" s="23" t="s">
        <v>514</v>
      </c>
      <c r="G282" s="23"/>
      <c r="I282" s="23"/>
      <c r="J282" s="23" t="s">
        <v>702</v>
      </c>
      <c r="K282" s="23" t="s">
        <v>703</v>
      </c>
      <c r="L282" s="23"/>
      <c r="M282" s="23"/>
      <c r="N282" s="23"/>
    </row>
    <row r="283" customFormat="1" ht="86" customHeight="1" spans="1:14">
      <c r="A283" t="str">
        <f t="shared" si="8"/>
        <v>9月14日晚上</v>
      </c>
      <c r="B283" s="20"/>
      <c r="C283" s="21"/>
      <c r="D283" s="22"/>
      <c r="E283" s="22"/>
      <c r="F283" s="23" t="s">
        <v>514</v>
      </c>
      <c r="G283" s="23"/>
      <c r="H283" s="23"/>
      <c r="I283" s="23"/>
      <c r="J283" s="23"/>
      <c r="K283" s="23"/>
      <c r="L283" s="23"/>
      <c r="M283" s="23"/>
      <c r="N283" s="23"/>
    </row>
    <row r="284" customFormat="1" ht="86" customHeight="1" spans="1:14">
      <c r="A284" t="str">
        <f t="shared" si="8"/>
        <v>9月14日晚上</v>
      </c>
      <c r="B284" s="20"/>
      <c r="C284" s="26"/>
      <c r="D284" s="22"/>
      <c r="E284" s="22"/>
      <c r="F284" s="23" t="s">
        <v>514</v>
      </c>
      <c r="G284" s="23"/>
      <c r="H284" s="23"/>
      <c r="I284" s="23"/>
      <c r="J284" s="23"/>
      <c r="L284" s="23" t="s">
        <v>657</v>
      </c>
      <c r="M284" s="23"/>
      <c r="N284" s="23"/>
    </row>
    <row r="285" customFormat="1" ht="86" customHeight="1" spans="1:14">
      <c r="A285" t="str">
        <f t="shared" ref="A285:A316" si="9">E285&amp;F285</f>
        <v> 
9月14日晚上</v>
      </c>
      <c r="B285" s="20"/>
      <c r="C285" s="20"/>
      <c r="D285" s="22"/>
      <c r="E285" s="27" t="s">
        <v>637</v>
      </c>
      <c r="F285" s="23" t="s">
        <v>514</v>
      </c>
      <c r="G285" s="23"/>
      <c r="H285" s="23"/>
      <c r="I285" s="23"/>
      <c r="J285" s="23"/>
      <c r="K285" s="23"/>
      <c r="L285" s="23"/>
      <c r="M285" s="23"/>
      <c r="N285" s="23"/>
    </row>
    <row r="286" customFormat="1" ht="86" customHeight="1" spans="1:14">
      <c r="A286" t="str">
        <f t="shared" si="9"/>
        <v>9月14日晚上</v>
      </c>
      <c r="B286" s="20"/>
      <c r="C286" s="20"/>
      <c r="D286" s="22"/>
      <c r="E286" s="22"/>
      <c r="F286" s="23" t="s">
        <v>514</v>
      </c>
      <c r="G286" s="23"/>
      <c r="H286" s="23"/>
      <c r="I286" s="23"/>
      <c r="J286" s="23"/>
      <c r="K286" s="23"/>
      <c r="L286" s="23"/>
      <c r="M286" s="23"/>
      <c r="N286" s="23" t="s">
        <v>700</v>
      </c>
    </row>
    <row r="287" spans="1:14">
      <c r="A287" t="str">
        <f t="shared" si="9"/>
        <v/>
      </c>
    </row>
    <row r="288" customFormat="1" spans="1:14">
      <c r="A288" t="str">
        <f t="shared" si="9"/>
        <v>SKU</v>
      </c>
      <c r="B288" s="12" t="s">
        <v>240</v>
      </c>
      <c r="C288" s="12" t="s">
        <v>611</v>
      </c>
      <c r="D288" s="12" t="s">
        <v>612</v>
      </c>
      <c r="E288" s="12" t="s">
        <v>613</v>
      </c>
      <c r="F288" s="12"/>
      <c r="G288" s="13" t="s">
        <v>614</v>
      </c>
      <c r="H288" s="14"/>
      <c r="I288" s="14"/>
      <c r="J288" s="14"/>
      <c r="K288" s="14"/>
      <c r="L288" s="14"/>
      <c r="M288" s="14"/>
      <c r="N288" s="15"/>
    </row>
    <row r="289" customFormat="1" spans="1:14">
      <c r="A289" t="str">
        <f t="shared" si="9"/>
        <v/>
      </c>
      <c r="B289" s="12"/>
      <c r="C289" s="12"/>
      <c r="D289" s="12"/>
      <c r="E289" s="12"/>
      <c r="F289" s="16"/>
      <c r="G289" s="13" t="s">
        <v>483</v>
      </c>
      <c r="H289" s="14"/>
      <c r="I289" s="13" t="s">
        <v>484</v>
      </c>
      <c r="J289" s="14"/>
      <c r="K289" s="13" t="s">
        <v>485</v>
      </c>
      <c r="L289" s="14"/>
      <c r="M289" s="17" t="s">
        <v>486</v>
      </c>
      <c r="N289" s="17"/>
    </row>
    <row r="290" customFormat="1" spans="1:14">
      <c r="A290" t="str">
        <f t="shared" si="9"/>
        <v>日期</v>
      </c>
      <c r="B290" s="18"/>
      <c r="C290" s="18"/>
      <c r="D290" s="18"/>
      <c r="E290" s="18"/>
      <c r="F290" s="19" t="s">
        <v>277</v>
      </c>
      <c r="G290" s="17" t="s">
        <v>487</v>
      </c>
      <c r="H290" s="17" t="s">
        <v>488</v>
      </c>
      <c r="I290" s="17" t="s">
        <v>487</v>
      </c>
      <c r="J290" s="17" t="s">
        <v>488</v>
      </c>
      <c r="K290" s="17" t="s">
        <v>487</v>
      </c>
      <c r="L290" s="17" t="s">
        <v>488</v>
      </c>
      <c r="M290" s="17" t="s">
        <v>487</v>
      </c>
      <c r="N290" s="17" t="s">
        <v>488</v>
      </c>
    </row>
    <row r="291" customFormat="1" ht="86" customHeight="1" spans="1:14">
      <c r="A291" t="str">
        <f t="shared" si="9"/>
        <v>XXXX-1119月15日上午</v>
      </c>
      <c r="B291" s="20"/>
      <c r="C291" s="21"/>
      <c r="D291" s="22"/>
      <c r="E291" s="22" t="s">
        <v>5</v>
      </c>
      <c r="F291" s="23" t="s">
        <v>515</v>
      </c>
      <c r="G291" s="23"/>
      <c r="H291" s="23" t="s">
        <v>704</v>
      </c>
      <c r="I291" s="23"/>
      <c r="J291" s="23"/>
      <c r="K291" s="23"/>
      <c r="L291" s="23" t="s">
        <v>690</v>
      </c>
      <c r="M291" s="23"/>
      <c r="N291" s="23"/>
    </row>
    <row r="292" customFormat="1" ht="86" customHeight="1" spans="1:14">
      <c r="A292" t="str">
        <f t="shared" si="9"/>
        <v>XXXX-2229月15日上午</v>
      </c>
      <c r="B292" s="20"/>
      <c r="C292" s="24"/>
      <c r="D292" s="22"/>
      <c r="E292" s="22" t="s">
        <v>261</v>
      </c>
      <c r="F292" s="23" t="s">
        <v>515</v>
      </c>
      <c r="G292" s="23"/>
      <c r="H292" s="23"/>
      <c r="I292" s="23"/>
      <c r="J292" s="23" t="s">
        <v>672</v>
      </c>
      <c r="K292" s="25"/>
      <c r="L292" s="23"/>
      <c r="M292" s="23"/>
      <c r="N292" s="23"/>
    </row>
    <row r="293" customFormat="1" ht="86" customHeight="1" spans="1:14">
      <c r="A293" t="str">
        <f t="shared" si="9"/>
        <v>9月15日上午</v>
      </c>
      <c r="B293" s="20"/>
      <c r="C293" s="26"/>
      <c r="D293" s="22"/>
      <c r="E293" s="22"/>
      <c r="F293" s="23" t="s">
        <v>515</v>
      </c>
      <c r="G293" s="23"/>
      <c r="H293" s="23"/>
      <c r="I293" s="23"/>
      <c r="J293" s="23" t="s">
        <v>705</v>
      </c>
      <c r="K293" s="23"/>
      <c r="L293" s="23" t="s">
        <v>706</v>
      </c>
      <c r="M293" s="23"/>
      <c r="N293" s="23"/>
    </row>
    <row r="294" customFormat="1" ht="86" customHeight="1" spans="1:14">
      <c r="A294" t="str">
        <f t="shared" si="9"/>
        <v>9月15日上午</v>
      </c>
      <c r="B294" s="20"/>
      <c r="C294" s="21"/>
      <c r="D294" s="22"/>
      <c r="E294" s="22"/>
      <c r="F294" s="23" t="s">
        <v>515</v>
      </c>
      <c r="G294" s="23"/>
      <c r="H294" s="23"/>
      <c r="I294" s="23"/>
      <c r="J294" s="23"/>
      <c r="K294" s="23"/>
      <c r="L294" s="23"/>
      <c r="M294" s="23"/>
      <c r="N294" s="23"/>
    </row>
    <row r="295" customFormat="1" ht="86" customHeight="1" spans="1:14">
      <c r="A295" t="str">
        <f t="shared" si="9"/>
        <v>9月15日上午</v>
      </c>
      <c r="B295" s="20"/>
      <c r="C295" s="26"/>
      <c r="D295" s="22"/>
      <c r="E295" s="22"/>
      <c r="F295" s="23" t="s">
        <v>515</v>
      </c>
      <c r="G295" s="23"/>
      <c r="H295" s="23"/>
      <c r="I295" s="23"/>
      <c r="J295" s="23"/>
      <c r="K295" s="23"/>
      <c r="L295" s="23" t="s">
        <v>707</v>
      </c>
      <c r="M295" s="23"/>
      <c r="N295" s="23"/>
    </row>
    <row r="296" customFormat="1" ht="86" customHeight="1" spans="1:14">
      <c r="A296" t="str">
        <f t="shared" si="9"/>
        <v>9月15日上午</v>
      </c>
      <c r="B296" s="20"/>
      <c r="C296" s="20"/>
      <c r="D296" s="22"/>
      <c r="E296" s="27"/>
      <c r="F296" s="23" t="s">
        <v>515</v>
      </c>
      <c r="G296" s="23"/>
      <c r="H296" s="23"/>
      <c r="I296" s="23"/>
      <c r="J296" s="23"/>
      <c r="K296" s="23"/>
      <c r="L296" s="23"/>
      <c r="M296" s="23"/>
      <c r="N296" s="23"/>
    </row>
    <row r="297" customFormat="1" ht="86" customHeight="1" spans="1:14">
      <c r="A297" t="str">
        <f t="shared" si="9"/>
        <v>9月15日上午</v>
      </c>
      <c r="B297" s="20"/>
      <c r="C297" s="20"/>
      <c r="D297" s="22"/>
      <c r="E297" s="22"/>
      <c r="F297" s="23" t="s">
        <v>515</v>
      </c>
      <c r="G297" s="23"/>
      <c r="H297" s="23"/>
      <c r="I297" s="23"/>
      <c r="J297" s="23"/>
      <c r="K297" s="23"/>
      <c r="L297" s="23"/>
      <c r="M297" s="23"/>
      <c r="N297" s="23" t="s">
        <v>708</v>
      </c>
    </row>
    <row r="298" spans="1:14">
      <c r="A298" t="str">
        <f t="shared" si="9"/>
        <v/>
      </c>
    </row>
    <row r="299" customFormat="1" spans="1:14">
      <c r="A299" t="str">
        <f t="shared" si="9"/>
        <v>SKU</v>
      </c>
      <c r="B299" s="12" t="s">
        <v>240</v>
      </c>
      <c r="C299" s="12" t="s">
        <v>611</v>
      </c>
      <c r="D299" s="12" t="s">
        <v>612</v>
      </c>
      <c r="E299" s="12" t="s">
        <v>613</v>
      </c>
      <c r="F299" s="12"/>
      <c r="G299" s="13" t="s">
        <v>614</v>
      </c>
      <c r="H299" s="14"/>
      <c r="I299" s="14"/>
      <c r="J299" s="14"/>
      <c r="K299" s="14"/>
      <c r="L299" s="14"/>
      <c r="M299" s="14"/>
      <c r="N299" s="15"/>
    </row>
    <row r="300" customFormat="1" spans="1:14">
      <c r="A300" t="str">
        <f t="shared" si="9"/>
        <v/>
      </c>
      <c r="B300" s="12"/>
      <c r="C300" s="12"/>
      <c r="D300" s="12"/>
      <c r="E300" s="12"/>
      <c r="F300" s="16"/>
      <c r="G300" s="13" t="s">
        <v>483</v>
      </c>
      <c r="H300" s="14"/>
      <c r="I300" s="13" t="s">
        <v>620</v>
      </c>
      <c r="J300" s="14"/>
      <c r="K300" s="13" t="s">
        <v>485</v>
      </c>
      <c r="L300" s="14"/>
      <c r="M300" s="17" t="s">
        <v>486</v>
      </c>
      <c r="N300" s="17"/>
    </row>
    <row r="301" customFormat="1" spans="1:14">
      <c r="A301" t="str">
        <f t="shared" si="9"/>
        <v>日期</v>
      </c>
      <c r="B301" s="18"/>
      <c r="C301" s="18"/>
      <c r="D301" s="18"/>
      <c r="E301" s="18"/>
      <c r="F301" s="19" t="s">
        <v>277</v>
      </c>
      <c r="G301" s="17" t="s">
        <v>487</v>
      </c>
      <c r="H301" s="17" t="s">
        <v>488</v>
      </c>
      <c r="I301" s="17" t="s">
        <v>487</v>
      </c>
      <c r="J301" s="17" t="s">
        <v>488</v>
      </c>
      <c r="K301" s="17" t="s">
        <v>487</v>
      </c>
      <c r="L301" s="17" t="s">
        <v>488</v>
      </c>
      <c r="M301" s="17" t="s">
        <v>487</v>
      </c>
      <c r="N301" s="17" t="s">
        <v>488</v>
      </c>
    </row>
    <row r="302" customFormat="1" ht="90" customHeight="1" spans="1:14">
      <c r="A302" t="str">
        <f t="shared" si="9"/>
        <v>XXXX-1119月15日晚上</v>
      </c>
      <c r="B302" s="20"/>
      <c r="C302" s="21"/>
      <c r="D302" s="34"/>
      <c r="E302" s="34" t="s">
        <v>5</v>
      </c>
      <c r="F302" s="23" t="s">
        <v>516</v>
      </c>
      <c r="G302" s="23"/>
      <c r="H302" s="23" t="s">
        <v>709</v>
      </c>
      <c r="I302" s="23"/>
      <c r="J302" s="23"/>
      <c r="K302" s="23"/>
      <c r="L302" s="23" t="s">
        <v>658</v>
      </c>
      <c r="M302" s="23"/>
      <c r="N302" s="23"/>
    </row>
    <row r="303" customFormat="1" ht="90" customHeight="1" spans="1:14">
      <c r="A303" t="str">
        <f t="shared" si="9"/>
        <v>XXXX-2229月15日晚上</v>
      </c>
      <c r="B303" s="20"/>
      <c r="C303" s="24"/>
      <c r="D303" s="22"/>
      <c r="E303" s="22" t="s">
        <v>261</v>
      </c>
      <c r="F303" s="23" t="s">
        <v>516</v>
      </c>
      <c r="G303" s="23"/>
      <c r="H303" s="23"/>
      <c r="I303" s="23"/>
      <c r="J303" s="23" t="s">
        <v>710</v>
      </c>
      <c r="K303" s="25"/>
      <c r="L303" s="23"/>
      <c r="M303" s="23"/>
      <c r="N303" s="23"/>
    </row>
    <row r="304" customFormat="1" ht="90" customHeight="1" spans="1:14">
      <c r="A304" t="str">
        <f t="shared" si="9"/>
        <v>9月15日晚上</v>
      </c>
      <c r="B304" s="20"/>
      <c r="C304" s="26"/>
      <c r="D304" s="34"/>
      <c r="E304" s="34"/>
      <c r="F304" s="23" t="s">
        <v>516</v>
      </c>
      <c r="G304" s="23"/>
      <c r="I304" s="23"/>
      <c r="J304" s="23" t="s">
        <v>711</v>
      </c>
      <c r="K304" s="23" t="s">
        <v>712</v>
      </c>
      <c r="L304" s="23" t="s">
        <v>713</v>
      </c>
      <c r="M304" s="23"/>
      <c r="N304" s="23"/>
    </row>
    <row r="305" customFormat="1" ht="90" customHeight="1" spans="1:14">
      <c r="A305" t="str">
        <f t="shared" si="9"/>
        <v>9月15日晚上</v>
      </c>
      <c r="B305" s="20"/>
      <c r="C305" s="21"/>
      <c r="D305" s="22"/>
      <c r="E305" s="22"/>
      <c r="F305" s="23" t="s">
        <v>516</v>
      </c>
      <c r="G305" s="23"/>
      <c r="H305" s="23"/>
      <c r="I305" s="23"/>
      <c r="J305" s="23"/>
      <c r="K305" s="23"/>
      <c r="L305" s="23"/>
      <c r="M305" s="23"/>
      <c r="N305" s="23"/>
    </row>
    <row r="306" customFormat="1" ht="90" customHeight="1" spans="1:14">
      <c r="A306" t="str">
        <f t="shared" si="9"/>
        <v>9月15日晚上</v>
      </c>
      <c r="B306" s="20"/>
      <c r="C306" s="26"/>
      <c r="D306" s="34"/>
      <c r="E306" s="34"/>
      <c r="F306" s="23" t="s">
        <v>516</v>
      </c>
      <c r="G306" s="23"/>
      <c r="H306" s="23"/>
      <c r="I306" s="23"/>
      <c r="J306" s="23"/>
      <c r="L306" s="23" t="s">
        <v>714</v>
      </c>
      <c r="M306" s="23"/>
      <c r="N306" s="23"/>
    </row>
    <row r="307" customFormat="1" ht="90" customHeight="1" spans="1:14">
      <c r="A307" t="str">
        <f t="shared" si="9"/>
        <v> 
9月15日晚上</v>
      </c>
      <c r="B307" s="20"/>
      <c r="C307" s="20"/>
      <c r="D307" s="34"/>
      <c r="E307" s="35" t="s">
        <v>637</v>
      </c>
      <c r="F307" s="23" t="s">
        <v>516</v>
      </c>
      <c r="G307" s="23"/>
      <c r="H307" s="23"/>
      <c r="I307" s="23"/>
      <c r="J307" s="23"/>
      <c r="K307" s="23"/>
      <c r="L307" s="23"/>
      <c r="M307" s="23"/>
      <c r="N307" s="23"/>
    </row>
    <row r="308" customFormat="1" ht="90" customHeight="1" spans="1:14">
      <c r="A308" t="str">
        <f t="shared" si="9"/>
        <v>9月15日晚上</v>
      </c>
      <c r="B308" s="20"/>
      <c r="C308" s="20"/>
      <c r="D308" s="34"/>
      <c r="E308" s="34"/>
      <c r="F308" s="23" t="s">
        <v>516</v>
      </c>
      <c r="G308" s="23"/>
      <c r="H308" s="23"/>
      <c r="I308" s="23"/>
      <c r="J308" s="23"/>
      <c r="K308" s="23"/>
      <c r="L308" s="23"/>
      <c r="M308" s="23" t="s">
        <v>715</v>
      </c>
      <c r="N308" s="23" t="s">
        <v>716</v>
      </c>
    </row>
    <row r="309" spans="1:14">
      <c r="A309" t="str">
        <f t="shared" si="9"/>
        <v/>
      </c>
    </row>
    <row r="310" customFormat="1" spans="1:14">
      <c r="A310" t="str">
        <f t="shared" si="9"/>
        <v>SKU</v>
      </c>
      <c r="B310" s="12" t="s">
        <v>240</v>
      </c>
      <c r="C310" s="12" t="s">
        <v>611</v>
      </c>
      <c r="D310" s="12" t="s">
        <v>612</v>
      </c>
      <c r="E310" s="12" t="s">
        <v>613</v>
      </c>
      <c r="F310" s="12"/>
      <c r="G310" s="13" t="s">
        <v>614</v>
      </c>
      <c r="H310" s="14"/>
      <c r="I310" s="14"/>
      <c r="J310" s="14"/>
      <c r="K310" s="14"/>
      <c r="L310" s="14"/>
      <c r="M310" s="14"/>
      <c r="N310" s="15"/>
    </row>
    <row r="311" customFormat="1" spans="1:14">
      <c r="A311" t="str">
        <f t="shared" si="9"/>
        <v/>
      </c>
      <c r="B311" s="12"/>
      <c r="C311" s="12"/>
      <c r="D311" s="12"/>
      <c r="E311" s="12"/>
      <c r="F311" s="16"/>
      <c r="G311" s="13" t="s">
        <v>483</v>
      </c>
      <c r="H311" s="14"/>
      <c r="I311" s="13" t="s">
        <v>484</v>
      </c>
      <c r="J311" s="14"/>
      <c r="K311" s="13" t="s">
        <v>485</v>
      </c>
      <c r="L311" s="14"/>
      <c r="M311" s="17" t="s">
        <v>486</v>
      </c>
      <c r="N311" s="17"/>
    </row>
    <row r="312" customFormat="1" spans="1:14">
      <c r="A312" t="str">
        <f t="shared" si="9"/>
        <v>日期</v>
      </c>
      <c r="B312" s="18"/>
      <c r="C312" s="18"/>
      <c r="D312" s="18"/>
      <c r="E312" s="18"/>
      <c r="F312" s="19" t="s">
        <v>277</v>
      </c>
      <c r="G312" s="17" t="s">
        <v>487</v>
      </c>
      <c r="H312" s="17" t="s">
        <v>488</v>
      </c>
      <c r="I312" s="17" t="s">
        <v>487</v>
      </c>
      <c r="J312" s="17" t="s">
        <v>488</v>
      </c>
      <c r="K312" s="17" t="s">
        <v>487</v>
      </c>
      <c r="L312" s="17" t="s">
        <v>488</v>
      </c>
      <c r="M312" s="17" t="s">
        <v>487</v>
      </c>
      <c r="N312" s="17" t="s">
        <v>488</v>
      </c>
    </row>
    <row r="313" customFormat="1" ht="86" customHeight="1" spans="1:14">
      <c r="A313" t="str">
        <f t="shared" si="9"/>
        <v>XXXX-1119月16日上午</v>
      </c>
      <c r="B313" s="20"/>
      <c r="C313" s="21"/>
      <c r="D313" s="22"/>
      <c r="E313" s="22" t="s">
        <v>5</v>
      </c>
      <c r="F313" s="23" t="s">
        <v>517</v>
      </c>
      <c r="G313" s="23"/>
      <c r="H313" s="23"/>
      <c r="I313" s="23"/>
      <c r="J313" s="23"/>
      <c r="K313" s="23"/>
      <c r="L313" s="23" t="s">
        <v>631</v>
      </c>
      <c r="M313" s="23"/>
      <c r="N313" s="23"/>
    </row>
    <row r="314" customFormat="1" ht="86" customHeight="1" spans="1:14">
      <c r="A314" t="str">
        <f t="shared" si="9"/>
        <v>XXXX-2229月16日上午</v>
      </c>
      <c r="B314" s="20"/>
      <c r="C314" s="24"/>
      <c r="D314" s="22"/>
      <c r="E314" s="22" t="s">
        <v>261</v>
      </c>
      <c r="F314" s="23" t="s">
        <v>517</v>
      </c>
      <c r="G314" s="23"/>
      <c r="H314" s="23"/>
      <c r="I314" s="23"/>
      <c r="J314" s="23"/>
      <c r="K314" s="25"/>
      <c r="L314" s="23"/>
      <c r="M314" s="23"/>
      <c r="N314" s="23"/>
    </row>
    <row r="315" customFormat="1" ht="86" customHeight="1" spans="1:14">
      <c r="A315" t="str">
        <f t="shared" si="9"/>
        <v>9月16日上午</v>
      </c>
      <c r="B315" s="20"/>
      <c r="C315" s="26"/>
      <c r="D315" s="22"/>
      <c r="E315" s="22"/>
      <c r="F315" s="23" t="s">
        <v>517</v>
      </c>
      <c r="G315" s="23"/>
      <c r="H315" s="23"/>
      <c r="I315" s="23"/>
      <c r="J315" s="23" t="s">
        <v>717</v>
      </c>
      <c r="K315" s="23"/>
      <c r="L315" s="23"/>
      <c r="M315" s="23"/>
      <c r="N315" s="23"/>
    </row>
    <row r="316" customFormat="1" ht="86" customHeight="1" spans="1:14">
      <c r="A316" t="str">
        <f t="shared" si="9"/>
        <v>9月16日上午</v>
      </c>
      <c r="B316" s="20"/>
      <c r="C316" s="21"/>
      <c r="D316" s="22"/>
      <c r="E316" s="22"/>
      <c r="F316" s="23" t="s">
        <v>517</v>
      </c>
      <c r="G316" s="23"/>
      <c r="H316" s="23"/>
      <c r="I316" s="23"/>
      <c r="J316" s="23"/>
      <c r="K316" s="23"/>
      <c r="L316" s="23"/>
      <c r="M316" s="23"/>
      <c r="N316" s="23"/>
    </row>
    <row r="317" customFormat="1" ht="86" customHeight="1" spans="1:14">
      <c r="A317" t="str">
        <f t="shared" ref="A317:A352" si="10">E317&amp;F317</f>
        <v>9月16日上午</v>
      </c>
      <c r="B317" s="20"/>
      <c r="C317" s="26"/>
      <c r="D317" s="22"/>
      <c r="E317" s="22"/>
      <c r="F317" s="23" t="s">
        <v>517</v>
      </c>
      <c r="G317" s="23"/>
      <c r="H317" s="23"/>
      <c r="I317" s="23"/>
      <c r="J317" s="23"/>
      <c r="K317" s="23"/>
      <c r="L317" s="23" t="s">
        <v>718</v>
      </c>
      <c r="M317" s="23"/>
      <c r="N317" s="23"/>
    </row>
    <row r="318" customFormat="1" ht="86" customHeight="1" spans="1:14">
      <c r="A318" t="str">
        <f t="shared" si="10"/>
        <v>9月16日上午</v>
      </c>
      <c r="B318" s="20"/>
      <c r="C318" s="20"/>
      <c r="D318" s="22"/>
      <c r="E318" s="27"/>
      <c r="F318" s="23" t="s">
        <v>517</v>
      </c>
      <c r="G318" s="23"/>
      <c r="H318" s="23"/>
      <c r="I318" s="23"/>
      <c r="J318" s="23"/>
      <c r="K318" s="23"/>
      <c r="L318" s="23"/>
      <c r="M318" s="23"/>
      <c r="N318" s="23"/>
    </row>
    <row r="319" customFormat="1" ht="86" customHeight="1" spans="1:14">
      <c r="A319" t="str">
        <f t="shared" si="10"/>
        <v>9月16日上午</v>
      </c>
      <c r="B319" s="20"/>
      <c r="C319" s="20"/>
      <c r="D319" s="22"/>
      <c r="E319" s="22"/>
      <c r="F319" s="23" t="s">
        <v>517</v>
      </c>
      <c r="G319" s="23"/>
      <c r="H319" s="23"/>
      <c r="I319" s="23"/>
      <c r="J319" s="23"/>
      <c r="K319" s="23"/>
      <c r="L319" s="23"/>
      <c r="M319" s="23"/>
      <c r="N319" s="23" t="s">
        <v>719</v>
      </c>
    </row>
    <row r="320" spans="1:14">
      <c r="A320" t="str">
        <f t="shared" si="10"/>
        <v/>
      </c>
    </row>
    <row r="321" customFormat="1" spans="1:14">
      <c r="A321" t="str">
        <f t="shared" si="10"/>
        <v>SKU</v>
      </c>
      <c r="B321" s="12" t="s">
        <v>240</v>
      </c>
      <c r="C321" s="12" t="s">
        <v>611</v>
      </c>
      <c r="D321" s="12" t="s">
        <v>612</v>
      </c>
      <c r="E321" s="12" t="s">
        <v>613</v>
      </c>
      <c r="F321" s="12"/>
      <c r="G321" s="13" t="s">
        <v>614</v>
      </c>
      <c r="H321" s="14"/>
      <c r="I321" s="14"/>
      <c r="J321" s="14"/>
      <c r="K321" s="14"/>
      <c r="L321" s="14"/>
      <c r="M321" s="14"/>
      <c r="N321" s="15"/>
    </row>
    <row r="322" customFormat="1" spans="1:14">
      <c r="A322" t="str">
        <f t="shared" si="10"/>
        <v/>
      </c>
      <c r="B322" s="12"/>
      <c r="C322" s="12"/>
      <c r="D322" s="12"/>
      <c r="E322" s="12"/>
      <c r="F322" s="16"/>
      <c r="G322" s="13" t="s">
        <v>483</v>
      </c>
      <c r="H322" s="14"/>
      <c r="I322" s="13" t="s">
        <v>620</v>
      </c>
      <c r="J322" s="14"/>
      <c r="K322" s="13" t="s">
        <v>485</v>
      </c>
      <c r="L322" s="14"/>
      <c r="M322" s="17" t="s">
        <v>486</v>
      </c>
      <c r="N322" s="17"/>
    </row>
    <row r="323" customFormat="1" spans="1:14">
      <c r="A323" t="str">
        <f t="shared" si="10"/>
        <v>日期</v>
      </c>
      <c r="B323" s="18"/>
      <c r="C323" s="18"/>
      <c r="D323" s="18"/>
      <c r="E323" s="18"/>
      <c r="F323" s="19" t="s">
        <v>277</v>
      </c>
      <c r="G323" s="17" t="s">
        <v>487</v>
      </c>
      <c r="H323" s="17" t="s">
        <v>488</v>
      </c>
      <c r="I323" s="17" t="s">
        <v>487</v>
      </c>
      <c r="J323" s="17" t="s">
        <v>488</v>
      </c>
      <c r="K323" s="17" t="s">
        <v>487</v>
      </c>
      <c r="L323" s="17" t="s">
        <v>488</v>
      </c>
      <c r="M323" s="17" t="s">
        <v>487</v>
      </c>
      <c r="N323" s="17" t="s">
        <v>488</v>
      </c>
    </row>
    <row r="324" customFormat="1" ht="90" customHeight="1" spans="1:14">
      <c r="A324" t="str">
        <f t="shared" si="10"/>
        <v>XXXX-1119月16日晚上</v>
      </c>
      <c r="B324" s="20"/>
      <c r="C324" s="21"/>
      <c r="D324" s="34"/>
      <c r="E324" s="34" t="s">
        <v>5</v>
      </c>
      <c r="F324" s="23" t="s">
        <v>518</v>
      </c>
      <c r="G324" s="23"/>
      <c r="H324" s="23" t="s">
        <v>625</v>
      </c>
      <c r="I324" s="23"/>
      <c r="J324" s="23"/>
      <c r="K324" s="23"/>
      <c r="L324" s="23" t="s">
        <v>617</v>
      </c>
      <c r="M324" s="23"/>
      <c r="N324" s="23"/>
    </row>
    <row r="325" customFormat="1" ht="90" customHeight="1" spans="1:14">
      <c r="A325" t="str">
        <f t="shared" si="10"/>
        <v>XXXX-2229月16日晚上</v>
      </c>
      <c r="B325" s="20"/>
      <c r="C325" s="24"/>
      <c r="D325" s="22"/>
      <c r="E325" s="22" t="s">
        <v>261</v>
      </c>
      <c r="F325" s="23" t="s">
        <v>518</v>
      </c>
      <c r="G325" s="23"/>
      <c r="H325" s="23"/>
      <c r="I325" s="23"/>
      <c r="J325" s="23" t="s">
        <v>720</v>
      </c>
      <c r="K325" s="25"/>
      <c r="L325" s="23"/>
      <c r="M325" s="23"/>
      <c r="N325" s="23"/>
    </row>
    <row r="326" customFormat="1" ht="90" customHeight="1" spans="1:14">
      <c r="A326" t="str">
        <f t="shared" si="10"/>
        <v>9月16日晚上</v>
      </c>
      <c r="B326" s="20"/>
      <c r="C326" s="26"/>
      <c r="D326" s="34"/>
      <c r="E326" s="34"/>
      <c r="F326" s="23" t="s">
        <v>518</v>
      </c>
      <c r="G326" s="23"/>
      <c r="I326" s="23"/>
      <c r="J326" s="23" t="s">
        <v>721</v>
      </c>
      <c r="K326" s="23"/>
      <c r="L326" s="23" t="s">
        <v>722</v>
      </c>
      <c r="M326" s="23"/>
      <c r="N326" s="23"/>
    </row>
    <row r="327" customFormat="1" ht="90" customHeight="1" spans="1:14">
      <c r="A327" t="str">
        <f t="shared" si="10"/>
        <v>9月16日晚上</v>
      </c>
      <c r="B327" s="20"/>
      <c r="C327" s="21"/>
      <c r="D327" s="22"/>
      <c r="E327" s="22"/>
      <c r="F327" s="23" t="s">
        <v>518</v>
      </c>
      <c r="G327" s="23"/>
      <c r="H327" s="23"/>
      <c r="I327" s="23"/>
      <c r="J327" s="23" t="s">
        <v>723</v>
      </c>
      <c r="K327" s="23"/>
      <c r="L327" s="23"/>
      <c r="M327" s="23"/>
      <c r="N327" s="23"/>
    </row>
    <row r="328" customFormat="1" ht="90" customHeight="1" spans="1:14">
      <c r="A328" t="str">
        <f t="shared" si="10"/>
        <v>9月16日晚上</v>
      </c>
      <c r="B328" s="20"/>
      <c r="C328" s="26"/>
      <c r="D328" s="34"/>
      <c r="E328" s="34"/>
      <c r="F328" s="23" t="s">
        <v>518</v>
      </c>
      <c r="G328" s="23"/>
      <c r="H328" s="23"/>
      <c r="I328" s="23"/>
      <c r="J328" s="23"/>
      <c r="L328" s="23"/>
      <c r="M328" s="23"/>
      <c r="N328" s="23" t="s">
        <v>718</v>
      </c>
    </row>
    <row r="329" customFormat="1" ht="90" customHeight="1" spans="1:14">
      <c r="A329" t="str">
        <f t="shared" si="10"/>
        <v> 
9月16日晚上</v>
      </c>
      <c r="B329" s="20"/>
      <c r="C329" s="20"/>
      <c r="D329" s="34"/>
      <c r="E329" s="35" t="s">
        <v>637</v>
      </c>
      <c r="F329" s="23" t="s">
        <v>518</v>
      </c>
      <c r="G329" s="23"/>
      <c r="H329" s="23"/>
      <c r="I329" s="23"/>
      <c r="J329" s="23"/>
      <c r="K329" s="23"/>
      <c r="L329" s="23"/>
      <c r="M329" s="23"/>
      <c r="N329" s="23"/>
    </row>
    <row r="330" customFormat="1" ht="90" customHeight="1" spans="1:14">
      <c r="A330" t="str">
        <f t="shared" si="10"/>
        <v>9月16日晚上</v>
      </c>
      <c r="B330" s="20"/>
      <c r="C330" s="20"/>
      <c r="D330" s="34"/>
      <c r="E330" s="34"/>
      <c r="F330" s="23" t="s">
        <v>518</v>
      </c>
      <c r="G330" s="23"/>
      <c r="H330" s="23"/>
      <c r="I330" s="23"/>
      <c r="J330" s="23"/>
      <c r="K330" s="23"/>
      <c r="L330" s="23"/>
      <c r="M330" s="23" t="s">
        <v>724</v>
      </c>
      <c r="N330" s="23" t="s">
        <v>725</v>
      </c>
    </row>
    <row r="331" spans="1:14">
      <c r="A331" t="str">
        <f t="shared" si="10"/>
        <v/>
      </c>
    </row>
    <row r="332" customFormat="1" spans="1:14">
      <c r="A332" t="str">
        <f t="shared" si="10"/>
        <v>SKU</v>
      </c>
      <c r="B332" s="12" t="s">
        <v>240</v>
      </c>
      <c r="C332" s="12" t="s">
        <v>611</v>
      </c>
      <c r="D332" s="12" t="s">
        <v>612</v>
      </c>
      <c r="E332" s="12" t="s">
        <v>613</v>
      </c>
      <c r="F332" s="12"/>
      <c r="G332" s="13" t="s">
        <v>614</v>
      </c>
      <c r="H332" s="14"/>
      <c r="I332" s="14"/>
      <c r="J332" s="14"/>
      <c r="K332" s="14"/>
      <c r="L332" s="14"/>
      <c r="M332" s="14"/>
      <c r="N332" s="15"/>
    </row>
    <row r="333" customFormat="1" spans="1:14">
      <c r="A333" t="str">
        <f t="shared" si="10"/>
        <v/>
      </c>
      <c r="B333" s="12"/>
      <c r="C333" s="12"/>
      <c r="D333" s="12"/>
      <c r="E333" s="12"/>
      <c r="F333" s="16"/>
      <c r="G333" s="13" t="s">
        <v>483</v>
      </c>
      <c r="H333" s="14"/>
      <c r="I333" s="13" t="s">
        <v>484</v>
      </c>
      <c r="J333" s="14"/>
      <c r="K333" s="13" t="s">
        <v>485</v>
      </c>
      <c r="L333" s="14"/>
      <c r="M333" s="17" t="s">
        <v>486</v>
      </c>
      <c r="N333" s="17"/>
    </row>
    <row r="334" customFormat="1" spans="1:14">
      <c r="A334" t="str">
        <f t="shared" si="10"/>
        <v>日期</v>
      </c>
      <c r="B334" s="18"/>
      <c r="C334" s="18"/>
      <c r="D334" s="18"/>
      <c r="E334" s="18"/>
      <c r="F334" s="19" t="s">
        <v>277</v>
      </c>
      <c r="G334" s="17" t="s">
        <v>487</v>
      </c>
      <c r="H334" s="17" t="s">
        <v>488</v>
      </c>
      <c r="I334" s="17" t="s">
        <v>487</v>
      </c>
      <c r="J334" s="17" t="s">
        <v>488</v>
      </c>
      <c r="K334" s="17" t="s">
        <v>487</v>
      </c>
      <c r="L334" s="17" t="s">
        <v>488</v>
      </c>
      <c r="M334" s="17" t="s">
        <v>487</v>
      </c>
      <c r="N334" s="17" t="s">
        <v>488</v>
      </c>
    </row>
    <row r="335" customFormat="1" ht="86" customHeight="1" spans="1:14">
      <c r="A335" t="str">
        <f t="shared" si="10"/>
        <v>XXXX-1119月17日上午</v>
      </c>
      <c r="B335" s="20"/>
      <c r="C335" s="21"/>
      <c r="D335" s="22"/>
      <c r="E335" s="22" t="s">
        <v>5</v>
      </c>
      <c r="F335" s="23" t="s">
        <v>519</v>
      </c>
      <c r="G335" s="23"/>
      <c r="H335" s="23" t="s">
        <v>726</v>
      </c>
      <c r="I335" s="23"/>
      <c r="J335" s="23"/>
      <c r="K335" s="23"/>
      <c r="L335" s="23" t="s">
        <v>727</v>
      </c>
      <c r="M335" s="23"/>
      <c r="N335" s="23"/>
    </row>
    <row r="336" customFormat="1" ht="86" customHeight="1" spans="1:14">
      <c r="A336" t="str">
        <f t="shared" si="10"/>
        <v>XXXX-2229月17日上午</v>
      </c>
      <c r="B336" s="20"/>
      <c r="C336" s="24"/>
      <c r="D336" s="22"/>
      <c r="E336" s="22" t="s">
        <v>261</v>
      </c>
      <c r="F336" s="23" t="s">
        <v>519</v>
      </c>
      <c r="G336" s="23"/>
      <c r="H336" s="23"/>
      <c r="I336" s="23"/>
      <c r="J336" s="23" t="s">
        <v>728</v>
      </c>
      <c r="K336" s="25"/>
      <c r="L336" s="23"/>
      <c r="M336" s="23"/>
      <c r="N336" s="23"/>
    </row>
    <row r="337" customFormat="1" ht="86" customHeight="1" spans="1:14">
      <c r="A337" t="str">
        <f t="shared" si="10"/>
        <v>9月17日上午</v>
      </c>
      <c r="B337" s="20"/>
      <c r="C337" s="26"/>
      <c r="D337" s="22"/>
      <c r="E337" s="22"/>
      <c r="F337" s="23" t="s">
        <v>519</v>
      </c>
      <c r="G337" s="23"/>
      <c r="H337" s="23"/>
      <c r="I337" s="23"/>
      <c r="J337" s="23" t="s">
        <v>729</v>
      </c>
      <c r="K337" s="23"/>
      <c r="L337" s="23" t="s">
        <v>718</v>
      </c>
      <c r="M337" s="23"/>
      <c r="N337" s="23"/>
    </row>
    <row r="338" customFormat="1" ht="86" customHeight="1" spans="1:14">
      <c r="A338" t="str">
        <f t="shared" si="10"/>
        <v>9月17日上午</v>
      </c>
      <c r="B338" s="20"/>
      <c r="C338" s="21"/>
      <c r="D338" s="22"/>
      <c r="E338" s="22"/>
      <c r="F338" s="23" t="s">
        <v>519</v>
      </c>
      <c r="G338" s="23"/>
      <c r="H338" s="23"/>
      <c r="I338" s="23"/>
      <c r="J338" s="23" t="s">
        <v>730</v>
      </c>
      <c r="K338" s="23"/>
      <c r="L338" s="23"/>
      <c r="M338" s="23"/>
      <c r="N338" s="23"/>
    </row>
    <row r="339" customFormat="1" ht="86" customHeight="1" spans="1:14">
      <c r="A339" t="str">
        <f t="shared" si="10"/>
        <v>9月17日上午</v>
      </c>
      <c r="B339" s="20"/>
      <c r="C339" s="26"/>
      <c r="D339" s="22"/>
      <c r="E339" s="22"/>
      <c r="F339" s="23" t="s">
        <v>519</v>
      </c>
      <c r="G339" s="23"/>
      <c r="H339" s="23"/>
      <c r="I339" s="23"/>
      <c r="J339" s="23"/>
      <c r="K339" s="23"/>
      <c r="L339" s="23" t="s">
        <v>657</v>
      </c>
      <c r="M339" s="23"/>
      <c r="N339" s="23"/>
    </row>
    <row r="340" customFormat="1" ht="86" customHeight="1" spans="1:14">
      <c r="A340" t="str">
        <f t="shared" si="10"/>
        <v>9月17日上午</v>
      </c>
      <c r="B340" s="20"/>
      <c r="C340" s="20"/>
      <c r="D340" s="22"/>
      <c r="E340" s="27"/>
      <c r="F340" s="23" t="s">
        <v>519</v>
      </c>
      <c r="G340" s="23"/>
      <c r="H340" s="23"/>
      <c r="I340" s="23"/>
      <c r="J340" s="23"/>
      <c r="K340" s="23"/>
      <c r="L340" s="23"/>
      <c r="M340" s="23"/>
      <c r="N340" s="23"/>
    </row>
    <row r="341" customFormat="1" ht="86" customHeight="1" spans="1:14">
      <c r="A341" t="str">
        <f t="shared" si="10"/>
        <v>9月17日上午</v>
      </c>
      <c r="B341" s="20"/>
      <c r="C341" s="20"/>
      <c r="D341" s="22"/>
      <c r="E341" s="22"/>
      <c r="F341" s="23" t="s">
        <v>519</v>
      </c>
      <c r="G341" s="23"/>
      <c r="H341" s="23"/>
      <c r="I341" s="23"/>
      <c r="J341" s="23"/>
      <c r="K341" s="23"/>
      <c r="L341" s="23"/>
      <c r="M341" s="23"/>
      <c r="N341" s="23" t="s">
        <v>731</v>
      </c>
    </row>
    <row r="342" spans="1:14">
      <c r="A342" t="str">
        <f t="shared" si="10"/>
        <v/>
      </c>
    </row>
    <row r="343" customFormat="1" spans="1:14">
      <c r="A343" t="str">
        <f t="shared" si="10"/>
        <v>SKU</v>
      </c>
      <c r="B343" s="12" t="s">
        <v>240</v>
      </c>
      <c r="C343" s="12" t="s">
        <v>611</v>
      </c>
      <c r="D343" s="12" t="s">
        <v>612</v>
      </c>
      <c r="E343" s="12" t="s">
        <v>613</v>
      </c>
      <c r="F343" s="12"/>
      <c r="G343" s="13" t="s">
        <v>614</v>
      </c>
      <c r="H343" s="14"/>
      <c r="I343" s="14"/>
      <c r="J343" s="14"/>
      <c r="K343" s="14"/>
      <c r="L343" s="14"/>
      <c r="M343" s="14"/>
      <c r="N343" s="15"/>
    </row>
    <row r="344" customFormat="1" spans="1:14">
      <c r="A344" t="str">
        <f t="shared" si="10"/>
        <v/>
      </c>
      <c r="B344" s="12"/>
      <c r="C344" s="12"/>
      <c r="D344" s="12"/>
      <c r="E344" s="12"/>
      <c r="F344" s="16"/>
      <c r="G344" s="13" t="s">
        <v>483</v>
      </c>
      <c r="H344" s="14"/>
      <c r="I344" s="13" t="s">
        <v>620</v>
      </c>
      <c r="J344" s="14"/>
      <c r="K344" s="13" t="s">
        <v>485</v>
      </c>
      <c r="L344" s="14"/>
      <c r="M344" s="17" t="s">
        <v>486</v>
      </c>
      <c r="N344" s="17"/>
    </row>
    <row r="345" customFormat="1" spans="1:14">
      <c r="A345" t="str">
        <f t="shared" si="10"/>
        <v>日期</v>
      </c>
      <c r="B345" s="18"/>
      <c r="C345" s="18"/>
      <c r="D345" s="18"/>
      <c r="E345" s="18"/>
      <c r="F345" s="19" t="s">
        <v>277</v>
      </c>
      <c r="G345" s="17" t="s">
        <v>487</v>
      </c>
      <c r="H345" s="17" t="s">
        <v>488</v>
      </c>
      <c r="I345" s="17" t="s">
        <v>487</v>
      </c>
      <c r="J345" s="17" t="s">
        <v>488</v>
      </c>
      <c r="K345" s="17" t="s">
        <v>487</v>
      </c>
      <c r="L345" s="17" t="s">
        <v>488</v>
      </c>
      <c r="M345" s="17" t="s">
        <v>487</v>
      </c>
      <c r="N345" s="17" t="s">
        <v>488</v>
      </c>
    </row>
    <row r="346" customFormat="1" ht="90" customHeight="1" spans="1:14">
      <c r="A346" t="str">
        <f t="shared" si="10"/>
        <v>XXXX-1119月17日晚上</v>
      </c>
      <c r="B346" s="20"/>
      <c r="C346" s="21"/>
      <c r="D346" s="34"/>
      <c r="E346" s="34" t="s">
        <v>5</v>
      </c>
      <c r="F346" s="23" t="s">
        <v>520</v>
      </c>
      <c r="G346" s="23"/>
      <c r="H346" s="23" t="s">
        <v>726</v>
      </c>
      <c r="I346" s="23"/>
      <c r="J346" s="23"/>
      <c r="K346" s="23"/>
      <c r="L346" s="23" t="s">
        <v>727</v>
      </c>
      <c r="M346" s="23"/>
      <c r="N346" s="23"/>
    </row>
    <row r="347" customFormat="1" ht="90" customHeight="1" spans="1:14">
      <c r="A347" t="str">
        <f t="shared" si="10"/>
        <v>XXXX-2229月17日晚上</v>
      </c>
      <c r="B347" s="20"/>
      <c r="C347" s="24"/>
      <c r="D347" s="22"/>
      <c r="E347" s="22" t="s">
        <v>261</v>
      </c>
      <c r="F347" s="23" t="s">
        <v>520</v>
      </c>
      <c r="G347" s="23"/>
      <c r="H347" s="23"/>
      <c r="I347" s="23"/>
      <c r="J347" s="23" t="s">
        <v>732</v>
      </c>
      <c r="K347" s="25"/>
      <c r="L347" s="23"/>
      <c r="M347" s="23"/>
      <c r="N347" s="23"/>
    </row>
    <row r="348" customFormat="1" ht="90" customHeight="1" spans="1:14">
      <c r="A348" t="str">
        <f t="shared" si="10"/>
        <v>9月17日晚上</v>
      </c>
      <c r="B348" s="20"/>
      <c r="C348" s="26"/>
      <c r="D348" s="34"/>
      <c r="E348" s="34"/>
      <c r="F348" s="23" t="s">
        <v>520</v>
      </c>
      <c r="G348" s="23"/>
      <c r="I348" s="23"/>
      <c r="J348" s="23"/>
      <c r="K348" s="23" t="s">
        <v>733</v>
      </c>
      <c r="L348" s="23" t="s">
        <v>734</v>
      </c>
      <c r="M348" s="23"/>
      <c r="N348" s="23"/>
    </row>
    <row r="349" customFormat="1" ht="90" customHeight="1" spans="1:14">
      <c r="A349" t="str">
        <f t="shared" si="10"/>
        <v>9月17日晚上</v>
      </c>
      <c r="B349" s="20"/>
      <c r="C349" s="21"/>
      <c r="D349" s="22"/>
      <c r="E349" s="22"/>
      <c r="F349" s="23" t="s">
        <v>520</v>
      </c>
      <c r="G349" s="23"/>
      <c r="H349" s="23"/>
      <c r="I349" s="23"/>
      <c r="J349" s="23" t="s">
        <v>735</v>
      </c>
      <c r="K349" s="23"/>
      <c r="L349" s="23"/>
      <c r="M349" s="23"/>
      <c r="N349" s="23"/>
    </row>
    <row r="350" customFormat="1" ht="90" customHeight="1" spans="1:14">
      <c r="A350" t="str">
        <f t="shared" si="10"/>
        <v>9月17日晚上</v>
      </c>
      <c r="B350" s="20"/>
      <c r="C350" s="26"/>
      <c r="D350" s="34"/>
      <c r="E350" s="34"/>
      <c r="F350" s="23" t="s">
        <v>520</v>
      </c>
      <c r="G350" s="23"/>
      <c r="H350" s="23"/>
      <c r="I350" s="23"/>
      <c r="J350" s="23"/>
      <c r="L350" s="23" t="s">
        <v>651</v>
      </c>
      <c r="M350" s="23"/>
      <c r="N350" s="23"/>
    </row>
    <row r="351" customFormat="1" ht="90" customHeight="1" spans="1:14">
      <c r="A351" t="str">
        <f t="shared" si="10"/>
        <v> 
9月17日晚上</v>
      </c>
      <c r="B351" s="20"/>
      <c r="C351" s="20"/>
      <c r="D351" s="34"/>
      <c r="E351" s="35" t="s">
        <v>637</v>
      </c>
      <c r="F351" s="23" t="s">
        <v>520</v>
      </c>
      <c r="G351" s="23"/>
      <c r="H351" s="23"/>
      <c r="I351" s="23"/>
      <c r="J351" s="23"/>
      <c r="K351" s="23"/>
      <c r="L351" s="23"/>
      <c r="M351" s="23"/>
      <c r="N351" s="23"/>
    </row>
    <row r="352" customFormat="1" ht="90" customHeight="1" spans="1:14">
      <c r="A352" t="str">
        <f t="shared" si="10"/>
        <v>9月17日晚上</v>
      </c>
      <c r="B352" s="20"/>
      <c r="C352" s="20"/>
      <c r="D352" s="34"/>
      <c r="E352" s="34"/>
      <c r="F352" s="23" t="s">
        <v>520</v>
      </c>
      <c r="G352" s="23"/>
      <c r="H352" s="23"/>
      <c r="I352" s="23"/>
      <c r="J352" s="23"/>
      <c r="K352" s="23"/>
      <c r="L352" s="23"/>
      <c r="M352" s="23" t="s">
        <v>736</v>
      </c>
      <c r="N352" s="23" t="s">
        <v>737</v>
      </c>
    </row>
    <row r="353" spans="1:14">
      <c r="A353" t="str">
        <f t="shared" ref="A353:A384" si="11">E353&amp;F353</f>
        <v/>
      </c>
    </row>
    <row r="354" customFormat="1" spans="1:14">
      <c r="A354" t="str">
        <f t="shared" si="11"/>
        <v>SKU</v>
      </c>
      <c r="B354" s="12" t="s">
        <v>240</v>
      </c>
      <c r="C354" s="12" t="s">
        <v>611</v>
      </c>
      <c r="D354" s="12" t="s">
        <v>612</v>
      </c>
      <c r="E354" s="12" t="s">
        <v>613</v>
      </c>
      <c r="F354" s="12"/>
      <c r="G354" s="13" t="s">
        <v>614</v>
      </c>
      <c r="H354" s="14"/>
      <c r="I354" s="14"/>
      <c r="J354" s="14"/>
      <c r="K354" s="14"/>
      <c r="L354" s="14"/>
      <c r="M354" s="14"/>
      <c r="N354" s="15"/>
    </row>
    <row r="355" customFormat="1" spans="1:14">
      <c r="A355" t="str">
        <f t="shared" si="11"/>
        <v/>
      </c>
      <c r="B355" s="12"/>
      <c r="C355" s="12"/>
      <c r="D355" s="12"/>
      <c r="E355" s="12"/>
      <c r="F355" s="16"/>
      <c r="G355" s="13" t="s">
        <v>483</v>
      </c>
      <c r="H355" s="14"/>
      <c r="I355" s="13" t="s">
        <v>484</v>
      </c>
      <c r="J355" s="14"/>
      <c r="K355" s="13" t="s">
        <v>485</v>
      </c>
      <c r="L355" s="14"/>
      <c r="M355" s="17" t="s">
        <v>486</v>
      </c>
      <c r="N355" s="17"/>
    </row>
    <row r="356" customFormat="1" spans="1:14">
      <c r="A356" t="str">
        <f t="shared" si="11"/>
        <v>日期</v>
      </c>
      <c r="B356" s="18"/>
      <c r="C356" s="18"/>
      <c r="D356" s="18"/>
      <c r="E356" s="18"/>
      <c r="F356" s="19" t="s">
        <v>277</v>
      </c>
      <c r="G356" s="17" t="s">
        <v>487</v>
      </c>
      <c r="H356" s="17" t="s">
        <v>488</v>
      </c>
      <c r="I356" s="17" t="s">
        <v>487</v>
      </c>
      <c r="J356" s="17" t="s">
        <v>488</v>
      </c>
      <c r="K356" s="17" t="s">
        <v>487</v>
      </c>
      <c r="L356" s="17" t="s">
        <v>488</v>
      </c>
      <c r="M356" s="17" t="s">
        <v>487</v>
      </c>
      <c r="N356" s="17" t="s">
        <v>488</v>
      </c>
    </row>
    <row r="357" customFormat="1" ht="86" customHeight="1" spans="1:14">
      <c r="A357" t="str">
        <f t="shared" si="11"/>
        <v>XXXX-1119月18日上午</v>
      </c>
      <c r="B357" s="20"/>
      <c r="C357" s="21"/>
      <c r="D357" s="22"/>
      <c r="E357" s="22" t="s">
        <v>5</v>
      </c>
      <c r="F357" s="23" t="s">
        <v>521</v>
      </c>
      <c r="G357" s="23"/>
      <c r="H357" s="23"/>
      <c r="I357" s="23"/>
      <c r="J357" s="23"/>
      <c r="K357" s="23"/>
      <c r="L357" s="23"/>
      <c r="M357" s="23"/>
      <c r="N357" s="23"/>
    </row>
    <row r="358" customFormat="1" ht="86" customHeight="1" spans="1:14">
      <c r="A358" t="str">
        <f t="shared" si="11"/>
        <v>XXXX-2229月18日上午</v>
      </c>
      <c r="B358" s="20"/>
      <c r="C358" s="24"/>
      <c r="D358" s="22"/>
      <c r="E358" s="22" t="s">
        <v>261</v>
      </c>
      <c r="F358" s="23" t="s">
        <v>521</v>
      </c>
      <c r="G358" s="23"/>
      <c r="H358" s="23"/>
      <c r="I358" s="23"/>
      <c r="J358" s="23"/>
      <c r="K358" s="25"/>
      <c r="L358" s="23"/>
      <c r="M358" s="23"/>
      <c r="N358" s="23"/>
    </row>
    <row r="359" customFormat="1" ht="86" customHeight="1" spans="1:14">
      <c r="A359" t="str">
        <f t="shared" si="11"/>
        <v>9月18日上午</v>
      </c>
      <c r="B359" s="20"/>
      <c r="C359" s="26"/>
      <c r="D359" s="22"/>
      <c r="E359" s="22"/>
      <c r="F359" s="23" t="s">
        <v>521</v>
      </c>
      <c r="G359" s="23"/>
      <c r="H359" s="23"/>
      <c r="I359" s="23"/>
      <c r="J359" s="23"/>
      <c r="K359" s="23"/>
      <c r="L359" s="23"/>
      <c r="M359" s="23"/>
      <c r="N359" s="23"/>
    </row>
    <row r="360" customFormat="1" ht="86" customHeight="1" spans="1:14">
      <c r="A360" t="str">
        <f t="shared" si="11"/>
        <v>9月18日上午</v>
      </c>
      <c r="B360" s="20"/>
      <c r="C360" s="21"/>
      <c r="D360" s="22"/>
      <c r="E360" s="22"/>
      <c r="F360" s="23" t="s">
        <v>521</v>
      </c>
      <c r="G360" s="23"/>
      <c r="H360" s="23"/>
      <c r="I360" s="23"/>
      <c r="J360" s="23"/>
      <c r="K360" s="23"/>
      <c r="L360" s="23"/>
      <c r="M360" s="23"/>
      <c r="N360" s="23"/>
    </row>
    <row r="361" customFormat="1" ht="86" customHeight="1" spans="1:14">
      <c r="A361" t="str">
        <f t="shared" si="11"/>
        <v>9月18日上午</v>
      </c>
      <c r="B361" s="20"/>
      <c r="C361" s="26"/>
      <c r="D361" s="22"/>
      <c r="E361" s="22"/>
      <c r="F361" s="23" t="s">
        <v>521</v>
      </c>
      <c r="G361" s="23"/>
      <c r="H361" s="23"/>
      <c r="I361" s="23"/>
      <c r="J361" s="23"/>
      <c r="K361" s="23"/>
      <c r="L361" s="23"/>
      <c r="M361" s="23"/>
      <c r="N361" s="23"/>
    </row>
    <row r="362" customFormat="1" ht="86" customHeight="1" spans="1:14">
      <c r="A362" t="str">
        <f t="shared" si="11"/>
        <v>9月18日上午</v>
      </c>
      <c r="B362" s="20"/>
      <c r="C362" s="20"/>
      <c r="D362" s="22"/>
      <c r="E362" s="27"/>
      <c r="F362" s="23" t="s">
        <v>521</v>
      </c>
      <c r="G362" s="23"/>
      <c r="H362" s="23"/>
      <c r="I362" s="23"/>
      <c r="J362" s="23"/>
      <c r="K362" s="23"/>
      <c r="L362" s="23"/>
      <c r="M362" s="23"/>
      <c r="N362" s="23"/>
    </row>
    <row r="363" customFormat="1" ht="86" customHeight="1" spans="1:14">
      <c r="A363" t="str">
        <f t="shared" si="11"/>
        <v>9月18日上午</v>
      </c>
      <c r="B363" s="20"/>
      <c r="C363" s="20"/>
      <c r="D363" s="22"/>
      <c r="E363" s="22"/>
      <c r="F363" s="23" t="s">
        <v>521</v>
      </c>
      <c r="G363" s="23"/>
      <c r="H363" s="23"/>
      <c r="I363" s="23"/>
      <c r="J363" s="23"/>
      <c r="K363" s="23"/>
      <c r="L363" s="23"/>
      <c r="M363" s="23"/>
      <c r="N363" s="23"/>
    </row>
    <row r="364" spans="1:14">
      <c r="A364" t="str">
        <f t="shared" si="11"/>
        <v/>
      </c>
    </row>
    <row r="365" customFormat="1" spans="1:14">
      <c r="A365" t="str">
        <f t="shared" si="11"/>
        <v>SKU</v>
      </c>
      <c r="B365" s="12" t="s">
        <v>240</v>
      </c>
      <c r="C365" s="12" t="s">
        <v>611</v>
      </c>
      <c r="D365" s="12" t="s">
        <v>612</v>
      </c>
      <c r="E365" s="12" t="s">
        <v>613</v>
      </c>
      <c r="F365" s="12"/>
      <c r="G365" s="13" t="s">
        <v>614</v>
      </c>
      <c r="H365" s="14"/>
      <c r="I365" s="14"/>
      <c r="J365" s="14"/>
      <c r="K365" s="14"/>
      <c r="L365" s="14"/>
      <c r="M365" s="14"/>
      <c r="N365" s="15"/>
    </row>
    <row r="366" customFormat="1" spans="1:14">
      <c r="A366" t="str">
        <f t="shared" si="11"/>
        <v/>
      </c>
      <c r="B366" s="12"/>
      <c r="C366" s="12"/>
      <c r="D366" s="12"/>
      <c r="E366" s="12"/>
      <c r="F366" s="16"/>
      <c r="G366" s="13" t="s">
        <v>483</v>
      </c>
      <c r="H366" s="14"/>
      <c r="I366" s="13" t="s">
        <v>620</v>
      </c>
      <c r="J366" s="14"/>
      <c r="K366" s="13" t="s">
        <v>485</v>
      </c>
      <c r="L366" s="14"/>
      <c r="M366" s="17" t="s">
        <v>486</v>
      </c>
      <c r="N366" s="17"/>
    </row>
    <row r="367" customFormat="1" spans="1:14">
      <c r="A367" t="str">
        <f t="shared" si="11"/>
        <v>日期</v>
      </c>
      <c r="B367" s="18"/>
      <c r="C367" s="18"/>
      <c r="D367" s="18"/>
      <c r="E367" s="18"/>
      <c r="F367" s="19" t="s">
        <v>277</v>
      </c>
      <c r="G367" s="17" t="s">
        <v>487</v>
      </c>
      <c r="H367" s="17" t="s">
        <v>488</v>
      </c>
      <c r="I367" s="17" t="s">
        <v>487</v>
      </c>
      <c r="J367" s="17" t="s">
        <v>488</v>
      </c>
      <c r="K367" s="17" t="s">
        <v>487</v>
      </c>
      <c r="L367" s="17" t="s">
        <v>488</v>
      </c>
      <c r="M367" s="17" t="s">
        <v>487</v>
      </c>
      <c r="N367" s="17" t="s">
        <v>488</v>
      </c>
    </row>
    <row r="368" customFormat="1" ht="90" customHeight="1" spans="1:14">
      <c r="A368" t="str">
        <f t="shared" si="11"/>
        <v>XXXX-1119月18日晚上</v>
      </c>
      <c r="B368" s="20"/>
      <c r="C368" s="21"/>
      <c r="D368" s="34"/>
      <c r="E368" s="34" t="s">
        <v>5</v>
      </c>
      <c r="F368" s="23" t="s">
        <v>522</v>
      </c>
      <c r="G368" s="23"/>
      <c r="H368" s="23"/>
      <c r="I368" s="23"/>
      <c r="J368" s="23"/>
      <c r="K368" s="23"/>
      <c r="L368" s="23"/>
      <c r="M368" s="23"/>
      <c r="N368" s="23"/>
    </row>
    <row r="369" customFormat="1" ht="90" customHeight="1" spans="1:14">
      <c r="A369" t="str">
        <f t="shared" si="11"/>
        <v>XXXX-2229月18日晚上</v>
      </c>
      <c r="B369" s="20"/>
      <c r="C369" s="24"/>
      <c r="D369" s="22"/>
      <c r="E369" s="22" t="s">
        <v>261</v>
      </c>
      <c r="F369" s="23" t="s">
        <v>522</v>
      </c>
      <c r="G369" s="23"/>
      <c r="H369" s="23"/>
      <c r="I369" s="23"/>
      <c r="J369" s="23"/>
      <c r="K369" s="25"/>
      <c r="L369" s="23"/>
      <c r="M369" s="23"/>
      <c r="N369" s="23"/>
    </row>
    <row r="370" customFormat="1" ht="90" customHeight="1" spans="1:14">
      <c r="A370" t="str">
        <f t="shared" si="11"/>
        <v>9月18日晚上</v>
      </c>
      <c r="B370" s="20"/>
      <c r="C370" s="26"/>
      <c r="D370" s="34"/>
      <c r="E370" s="34"/>
      <c r="F370" s="23" t="s">
        <v>522</v>
      </c>
      <c r="G370" s="23"/>
      <c r="I370" s="23"/>
      <c r="J370" s="23"/>
      <c r="K370" s="23"/>
      <c r="L370" s="23"/>
      <c r="M370" s="23"/>
      <c r="N370" s="23"/>
    </row>
    <row r="371" customFormat="1" ht="90" customHeight="1" spans="1:14">
      <c r="A371" t="str">
        <f t="shared" si="11"/>
        <v>9月18日晚上</v>
      </c>
      <c r="B371" s="20"/>
      <c r="C371" s="21"/>
      <c r="D371" s="22"/>
      <c r="E371" s="22"/>
      <c r="F371" s="23" t="s">
        <v>522</v>
      </c>
      <c r="G371" s="23"/>
      <c r="H371" s="23"/>
      <c r="I371" s="23"/>
      <c r="J371" s="23"/>
      <c r="K371" s="23"/>
      <c r="L371" s="23"/>
      <c r="M371" s="23"/>
      <c r="N371" s="23"/>
    </row>
    <row r="372" customFormat="1" ht="90" customHeight="1" spans="1:14">
      <c r="A372" t="str">
        <f t="shared" si="11"/>
        <v>9月18日晚上</v>
      </c>
      <c r="B372" s="20"/>
      <c r="C372" s="26"/>
      <c r="D372" s="34"/>
      <c r="E372" s="34"/>
      <c r="F372" s="23" t="s">
        <v>522</v>
      </c>
      <c r="G372" s="23"/>
      <c r="H372" s="23"/>
      <c r="I372" s="23"/>
      <c r="J372" s="23"/>
      <c r="L372" s="23"/>
      <c r="M372" s="23"/>
      <c r="N372" s="23"/>
    </row>
    <row r="373" customFormat="1" ht="90" customHeight="1" spans="1:14">
      <c r="A373" t="str">
        <f t="shared" si="11"/>
        <v> 
9月18日晚上</v>
      </c>
      <c r="B373" s="20"/>
      <c r="C373" s="20"/>
      <c r="D373" s="34"/>
      <c r="E373" s="35" t="s">
        <v>637</v>
      </c>
      <c r="F373" s="23" t="s">
        <v>522</v>
      </c>
      <c r="G373" s="23"/>
      <c r="H373" s="23"/>
      <c r="I373" s="23"/>
      <c r="J373" s="23"/>
      <c r="K373" s="23"/>
      <c r="L373" s="23"/>
      <c r="M373" s="23"/>
      <c r="N373" s="23"/>
    </row>
    <row r="374" customFormat="1" ht="90" customHeight="1" spans="1:14">
      <c r="A374" t="str">
        <f t="shared" si="11"/>
        <v>9月18日晚上</v>
      </c>
      <c r="B374" s="20"/>
      <c r="C374" s="20"/>
      <c r="D374" s="34"/>
      <c r="E374" s="34"/>
      <c r="F374" s="23" t="s">
        <v>522</v>
      </c>
      <c r="G374" s="23"/>
      <c r="H374" s="23"/>
      <c r="I374" s="23"/>
      <c r="J374" s="23"/>
      <c r="K374" s="23"/>
      <c r="L374" s="23"/>
      <c r="M374" s="23"/>
      <c r="N374" s="23"/>
    </row>
    <row r="375" spans="1:14">
      <c r="A375" t="str">
        <f t="shared" si="11"/>
        <v/>
      </c>
    </row>
    <row r="376" customFormat="1" spans="1:14">
      <c r="A376" t="str">
        <f t="shared" si="11"/>
        <v>SKU</v>
      </c>
      <c r="B376" s="12" t="s">
        <v>240</v>
      </c>
      <c r="C376" s="12" t="s">
        <v>611</v>
      </c>
      <c r="D376" s="12" t="s">
        <v>612</v>
      </c>
      <c r="E376" s="12" t="s">
        <v>613</v>
      </c>
      <c r="F376" s="12"/>
      <c r="G376" s="13" t="s">
        <v>614</v>
      </c>
      <c r="H376" s="14"/>
      <c r="I376" s="14"/>
      <c r="J376" s="14"/>
      <c r="K376" s="14"/>
      <c r="L376" s="14"/>
      <c r="M376" s="14"/>
      <c r="N376" s="15"/>
    </row>
    <row r="377" customFormat="1" spans="1:14">
      <c r="A377" t="str">
        <f t="shared" si="11"/>
        <v/>
      </c>
      <c r="B377" s="12"/>
      <c r="C377" s="12"/>
      <c r="D377" s="12"/>
      <c r="E377" s="12"/>
      <c r="F377" s="16"/>
      <c r="G377" s="13" t="s">
        <v>483</v>
      </c>
      <c r="H377" s="14"/>
      <c r="I377" s="13" t="s">
        <v>484</v>
      </c>
      <c r="J377" s="14"/>
      <c r="K377" s="13" t="s">
        <v>485</v>
      </c>
      <c r="L377" s="14"/>
      <c r="M377" s="17" t="s">
        <v>486</v>
      </c>
      <c r="N377" s="17"/>
    </row>
    <row r="378" customFormat="1" spans="1:14">
      <c r="A378" t="str">
        <f t="shared" si="11"/>
        <v>日期</v>
      </c>
      <c r="B378" s="18"/>
      <c r="C378" s="18"/>
      <c r="D378" s="18"/>
      <c r="E378" s="18"/>
      <c r="F378" s="19" t="s">
        <v>277</v>
      </c>
      <c r="G378" s="17" t="s">
        <v>487</v>
      </c>
      <c r="H378" s="17" t="s">
        <v>488</v>
      </c>
      <c r="I378" s="17" t="s">
        <v>487</v>
      </c>
      <c r="J378" s="17" t="s">
        <v>488</v>
      </c>
      <c r="K378" s="17" t="s">
        <v>487</v>
      </c>
      <c r="L378" s="17" t="s">
        <v>488</v>
      </c>
      <c r="M378" s="17" t="s">
        <v>487</v>
      </c>
      <c r="N378" s="17" t="s">
        <v>488</v>
      </c>
    </row>
    <row r="379" customFormat="1" ht="86" customHeight="1" spans="1:14">
      <c r="A379" t="str">
        <f t="shared" si="11"/>
        <v>XXXX-1119月19日上午</v>
      </c>
      <c r="B379" s="20"/>
      <c r="C379" s="21"/>
      <c r="D379" s="22"/>
      <c r="E379" s="22" t="s">
        <v>5</v>
      </c>
      <c r="F379" s="23" t="s">
        <v>523</v>
      </c>
      <c r="G379" s="23"/>
      <c r="H379" s="23" t="s">
        <v>738</v>
      </c>
      <c r="I379" s="23"/>
      <c r="J379" s="23"/>
      <c r="K379" s="23"/>
      <c r="L379" s="23" t="s">
        <v>727</v>
      </c>
      <c r="M379" s="23"/>
      <c r="N379" s="23"/>
    </row>
    <row r="380" customFormat="1" ht="86" customHeight="1" spans="1:14">
      <c r="A380" t="str">
        <f t="shared" si="11"/>
        <v>XXXX-2229月19日上午</v>
      </c>
      <c r="B380" s="20"/>
      <c r="C380" s="24"/>
      <c r="D380" s="22"/>
      <c r="E380" s="22" t="s">
        <v>261</v>
      </c>
      <c r="F380" s="23" t="s">
        <v>523</v>
      </c>
      <c r="G380" s="23"/>
      <c r="H380" s="23"/>
      <c r="I380" s="23"/>
      <c r="J380" s="23" t="s">
        <v>739</v>
      </c>
      <c r="K380" s="25"/>
      <c r="L380" s="23"/>
      <c r="M380" s="23"/>
      <c r="N380" s="23"/>
    </row>
    <row r="381" customFormat="1" ht="86" customHeight="1" spans="1:14">
      <c r="A381" t="str">
        <f t="shared" si="11"/>
        <v>9月19日上午</v>
      </c>
      <c r="B381" s="20"/>
      <c r="C381" s="26"/>
      <c r="D381" s="22"/>
      <c r="E381" s="22"/>
      <c r="F381" s="23" t="s">
        <v>523</v>
      </c>
      <c r="G381" s="23"/>
      <c r="H381" s="23"/>
      <c r="I381" s="23"/>
      <c r="J381" s="23" t="s">
        <v>647</v>
      </c>
      <c r="K381" s="23"/>
      <c r="L381" s="23" t="s">
        <v>740</v>
      </c>
      <c r="M381" s="23"/>
      <c r="N381" s="23"/>
    </row>
    <row r="382" customFormat="1" ht="86" customHeight="1" spans="1:14">
      <c r="A382" t="str">
        <f t="shared" si="11"/>
        <v>9月19日上午</v>
      </c>
      <c r="B382" s="20"/>
      <c r="C382" s="21"/>
      <c r="D382" s="22"/>
      <c r="E382" s="22"/>
      <c r="F382" s="23" t="s">
        <v>523</v>
      </c>
      <c r="G382" s="23"/>
      <c r="H382" s="23"/>
      <c r="I382" s="23"/>
      <c r="J382" s="23"/>
      <c r="K382" s="23"/>
      <c r="L382" s="23"/>
      <c r="M382" s="23"/>
      <c r="N382" s="23"/>
    </row>
    <row r="383" customFormat="1" ht="86" customHeight="1" spans="1:14">
      <c r="A383" t="str">
        <f t="shared" si="11"/>
        <v>9月19日上午</v>
      </c>
      <c r="B383" s="20"/>
      <c r="C383" s="26"/>
      <c r="D383" s="22"/>
      <c r="E383" s="22"/>
      <c r="F383" s="23" t="s">
        <v>523</v>
      </c>
      <c r="G383" s="23"/>
      <c r="H383" s="23"/>
      <c r="I383" s="23"/>
      <c r="J383" s="23"/>
      <c r="K383" s="23"/>
      <c r="L383" s="23" t="s">
        <v>699</v>
      </c>
      <c r="M383" s="23"/>
      <c r="N383" s="23"/>
    </row>
    <row r="384" customFormat="1" ht="86" customHeight="1" spans="1:14">
      <c r="A384" t="str">
        <f t="shared" si="11"/>
        <v>9月19日上午</v>
      </c>
      <c r="B384" s="20"/>
      <c r="C384" s="20"/>
      <c r="D384" s="22"/>
      <c r="E384" s="27"/>
      <c r="F384" s="23" t="s">
        <v>523</v>
      </c>
      <c r="G384" s="23"/>
      <c r="H384" s="23"/>
      <c r="I384" s="23"/>
      <c r="J384" s="23"/>
      <c r="K384" s="23"/>
      <c r="L384" s="23"/>
      <c r="M384" s="23"/>
      <c r="N384" s="23"/>
    </row>
    <row r="385" customFormat="1" ht="86" customHeight="1" spans="1:14">
      <c r="A385" t="str">
        <f t="shared" ref="A385:A416" si="12">E385&amp;F385</f>
        <v>9月19日上午</v>
      </c>
      <c r="B385" s="20"/>
      <c r="C385" s="20"/>
      <c r="D385" s="22"/>
      <c r="E385" s="22"/>
      <c r="F385" s="23" t="s">
        <v>523</v>
      </c>
      <c r="G385" s="23"/>
      <c r="H385" s="23"/>
      <c r="I385" s="23"/>
      <c r="J385" s="23"/>
      <c r="K385" s="23"/>
      <c r="L385" s="23"/>
      <c r="M385" s="23"/>
      <c r="N385" s="23" t="s">
        <v>647</v>
      </c>
    </row>
    <row r="386" spans="1:14">
      <c r="A386" t="str">
        <f t="shared" si="12"/>
        <v/>
      </c>
    </row>
    <row r="387" customFormat="1" spans="1:14">
      <c r="A387" t="str">
        <f t="shared" si="12"/>
        <v>SKU</v>
      </c>
      <c r="B387" s="12" t="s">
        <v>240</v>
      </c>
      <c r="C387" s="12" t="s">
        <v>611</v>
      </c>
      <c r="D387" s="12" t="s">
        <v>612</v>
      </c>
      <c r="E387" s="12" t="s">
        <v>613</v>
      </c>
      <c r="F387" s="12"/>
      <c r="G387" s="13" t="s">
        <v>614</v>
      </c>
      <c r="H387" s="14"/>
      <c r="I387" s="14"/>
      <c r="J387" s="14"/>
      <c r="K387" s="14"/>
      <c r="L387" s="14"/>
      <c r="M387" s="14"/>
      <c r="N387" s="15"/>
    </row>
    <row r="388" customFormat="1" spans="1:14">
      <c r="A388" t="str">
        <f t="shared" si="12"/>
        <v/>
      </c>
      <c r="B388" s="12"/>
      <c r="C388" s="12"/>
      <c r="D388" s="12"/>
      <c r="E388" s="12"/>
      <c r="F388" s="16"/>
      <c r="G388" s="13" t="s">
        <v>483</v>
      </c>
      <c r="H388" s="14"/>
      <c r="I388" s="13" t="s">
        <v>620</v>
      </c>
      <c r="J388" s="14"/>
      <c r="K388" s="13" t="s">
        <v>485</v>
      </c>
      <c r="L388" s="14"/>
      <c r="M388" s="17" t="s">
        <v>486</v>
      </c>
      <c r="N388" s="17"/>
    </row>
    <row r="389" customFormat="1" spans="1:14">
      <c r="A389" t="str">
        <f t="shared" si="12"/>
        <v>日期</v>
      </c>
      <c r="B389" s="18"/>
      <c r="C389" s="18"/>
      <c r="D389" s="18"/>
      <c r="E389" s="18"/>
      <c r="F389" s="19" t="s">
        <v>277</v>
      </c>
      <c r="G389" s="17" t="s">
        <v>487</v>
      </c>
      <c r="H389" s="17" t="s">
        <v>488</v>
      </c>
      <c r="I389" s="17" t="s">
        <v>487</v>
      </c>
      <c r="J389" s="17" t="s">
        <v>488</v>
      </c>
      <c r="K389" s="17" t="s">
        <v>487</v>
      </c>
      <c r="L389" s="17" t="s">
        <v>488</v>
      </c>
      <c r="M389" s="17" t="s">
        <v>487</v>
      </c>
      <c r="N389" s="17" t="s">
        <v>488</v>
      </c>
    </row>
    <row r="390" customFormat="1" ht="90" customHeight="1" spans="1:14">
      <c r="A390" t="str">
        <f t="shared" si="12"/>
        <v>XXXX-1119月19日晚上</v>
      </c>
      <c r="B390" s="20"/>
      <c r="C390" s="21"/>
      <c r="D390" s="34"/>
      <c r="E390" s="34" t="s">
        <v>5</v>
      </c>
      <c r="F390" s="23" t="s">
        <v>524</v>
      </c>
      <c r="G390" s="23"/>
      <c r="H390" s="23" t="s">
        <v>741</v>
      </c>
      <c r="I390" s="23"/>
      <c r="J390" s="23"/>
      <c r="K390" s="23"/>
      <c r="L390" s="23" t="s">
        <v>684</v>
      </c>
      <c r="M390" s="23"/>
      <c r="N390" s="23"/>
    </row>
    <row r="391" customFormat="1" ht="90" customHeight="1" spans="1:14">
      <c r="A391" t="str">
        <f t="shared" si="12"/>
        <v>XXXX-2229月19日晚上</v>
      </c>
      <c r="B391" s="20"/>
      <c r="C391" s="24"/>
      <c r="D391" s="22"/>
      <c r="E391" s="22" t="s">
        <v>261</v>
      </c>
      <c r="F391" s="23" t="s">
        <v>524</v>
      </c>
      <c r="G391" s="23"/>
      <c r="H391" s="23"/>
      <c r="I391" s="23"/>
      <c r="J391" s="23" t="s">
        <v>742</v>
      </c>
      <c r="K391" s="25"/>
      <c r="L391" s="23"/>
      <c r="M391" s="23"/>
      <c r="N391" s="23"/>
    </row>
    <row r="392" customFormat="1" ht="90" customHeight="1" spans="1:14">
      <c r="A392" t="str">
        <f t="shared" si="12"/>
        <v>9月19日晚上</v>
      </c>
      <c r="B392" s="20"/>
      <c r="C392" s="26"/>
      <c r="D392" s="34"/>
      <c r="E392" s="34"/>
      <c r="F392" s="23" t="s">
        <v>524</v>
      </c>
      <c r="G392" s="23"/>
      <c r="I392" s="23"/>
      <c r="J392" s="23" t="s">
        <v>743</v>
      </c>
      <c r="K392" s="23" t="s">
        <v>744</v>
      </c>
      <c r="L392" s="23" t="s">
        <v>745</v>
      </c>
      <c r="M392" s="23"/>
      <c r="N392" s="23"/>
    </row>
    <row r="393" customFormat="1" ht="90" customHeight="1" spans="1:14">
      <c r="A393" t="str">
        <f t="shared" si="12"/>
        <v>9月19日晚上</v>
      </c>
      <c r="B393" s="20"/>
      <c r="C393" s="21"/>
      <c r="D393" s="22"/>
      <c r="E393" s="22"/>
      <c r="F393" s="23" t="s">
        <v>524</v>
      </c>
      <c r="G393" s="23"/>
      <c r="H393" s="23"/>
      <c r="I393" s="23"/>
      <c r="J393" s="23"/>
      <c r="K393" s="23"/>
      <c r="L393" s="23"/>
      <c r="M393" s="23"/>
      <c r="N393" s="23"/>
    </row>
    <row r="394" customFormat="1" ht="90" customHeight="1" spans="1:14">
      <c r="A394" t="str">
        <f t="shared" si="12"/>
        <v>9月19日晚上</v>
      </c>
      <c r="B394" s="20"/>
      <c r="C394" s="26"/>
      <c r="D394" s="34"/>
      <c r="E394" s="34"/>
      <c r="F394" s="23" t="s">
        <v>524</v>
      </c>
      <c r="G394" s="23"/>
      <c r="H394" s="23"/>
      <c r="I394" s="23"/>
      <c r="J394" s="23"/>
      <c r="L394" s="23"/>
      <c r="M394" s="23"/>
      <c r="N394" s="23"/>
    </row>
    <row r="395" customFormat="1" ht="90" customHeight="1" spans="1:14">
      <c r="A395" t="str">
        <f t="shared" si="12"/>
        <v> 
9月19日晚上</v>
      </c>
      <c r="B395" s="20"/>
      <c r="C395" s="20"/>
      <c r="D395" s="34"/>
      <c r="E395" s="35" t="s">
        <v>637</v>
      </c>
      <c r="F395" s="23" t="s">
        <v>524</v>
      </c>
      <c r="G395" s="23"/>
      <c r="H395" s="23"/>
      <c r="I395" s="23"/>
      <c r="J395" s="23"/>
      <c r="K395" s="23"/>
      <c r="L395" s="23"/>
      <c r="M395" s="23"/>
      <c r="N395" s="23"/>
    </row>
    <row r="396" customFormat="1" ht="90" customHeight="1" spans="1:14">
      <c r="A396" t="str">
        <f t="shared" si="12"/>
        <v>9月19日晚上</v>
      </c>
      <c r="B396" s="20"/>
      <c r="C396" s="20"/>
      <c r="D396" s="34"/>
      <c r="E396" s="34"/>
      <c r="F396" s="23" t="s">
        <v>524</v>
      </c>
      <c r="G396" s="23"/>
      <c r="H396" s="23"/>
      <c r="I396" s="23"/>
      <c r="J396" s="23"/>
      <c r="K396" s="23"/>
      <c r="L396" s="23"/>
      <c r="M396" s="23" t="s">
        <v>733</v>
      </c>
      <c r="N396" s="23" t="s">
        <v>746</v>
      </c>
    </row>
    <row r="397" spans="1:14">
      <c r="A397" t="str">
        <f t="shared" si="12"/>
        <v/>
      </c>
    </row>
    <row r="398" customFormat="1" spans="1:14">
      <c r="A398" t="str">
        <f t="shared" si="12"/>
        <v>SKU</v>
      </c>
      <c r="B398" s="12" t="s">
        <v>240</v>
      </c>
      <c r="C398" s="12" t="s">
        <v>611</v>
      </c>
      <c r="D398" s="12" t="s">
        <v>612</v>
      </c>
      <c r="E398" s="12" t="s">
        <v>613</v>
      </c>
      <c r="F398" s="12"/>
      <c r="G398" s="13" t="s">
        <v>614</v>
      </c>
      <c r="H398" s="14"/>
      <c r="I398" s="14"/>
      <c r="J398" s="14"/>
      <c r="K398" s="14"/>
      <c r="L398" s="14"/>
      <c r="M398" s="14"/>
      <c r="N398" s="15"/>
    </row>
    <row r="399" customFormat="1" spans="1:14">
      <c r="A399" t="str">
        <f t="shared" si="12"/>
        <v/>
      </c>
      <c r="B399" s="12"/>
      <c r="C399" s="12"/>
      <c r="D399" s="12"/>
      <c r="E399" s="12"/>
      <c r="F399" s="16"/>
      <c r="G399" s="13" t="s">
        <v>483</v>
      </c>
      <c r="H399" s="14"/>
      <c r="I399" s="13" t="s">
        <v>484</v>
      </c>
      <c r="J399" s="14"/>
      <c r="K399" s="13" t="s">
        <v>485</v>
      </c>
      <c r="L399" s="14"/>
      <c r="M399" s="17" t="s">
        <v>486</v>
      </c>
      <c r="N399" s="17"/>
    </row>
    <row r="400" customFormat="1" spans="1:14">
      <c r="A400" t="str">
        <f t="shared" si="12"/>
        <v>日期</v>
      </c>
      <c r="B400" s="18"/>
      <c r="C400" s="18"/>
      <c r="D400" s="18"/>
      <c r="E400" s="18"/>
      <c r="F400" s="19" t="s">
        <v>277</v>
      </c>
      <c r="G400" s="17" t="s">
        <v>487</v>
      </c>
      <c r="H400" s="17" t="s">
        <v>488</v>
      </c>
      <c r="I400" s="17" t="s">
        <v>487</v>
      </c>
      <c r="J400" s="17" t="s">
        <v>488</v>
      </c>
      <c r="K400" s="17" t="s">
        <v>487</v>
      </c>
      <c r="L400" s="17" t="s">
        <v>488</v>
      </c>
      <c r="M400" s="17" t="s">
        <v>487</v>
      </c>
      <c r="N400" s="17" t="s">
        <v>488</v>
      </c>
    </row>
    <row r="401" customFormat="1" ht="86" customHeight="1" spans="1:14">
      <c r="A401" t="str">
        <f t="shared" si="12"/>
        <v>XXXX-1119月20日上午</v>
      </c>
      <c r="B401" s="20"/>
      <c r="C401" s="21"/>
      <c r="D401" s="22"/>
      <c r="E401" s="22" t="s">
        <v>5</v>
      </c>
      <c r="F401" s="23" t="s">
        <v>525</v>
      </c>
      <c r="G401" s="23"/>
      <c r="H401" s="23" t="s">
        <v>747</v>
      </c>
      <c r="I401" s="23"/>
      <c r="J401" s="23"/>
      <c r="K401" s="23"/>
      <c r="L401" s="23" t="s">
        <v>748</v>
      </c>
      <c r="M401" s="23"/>
      <c r="N401" s="23"/>
    </row>
    <row r="402" customFormat="1" ht="86" customHeight="1" spans="1:14">
      <c r="A402" t="str">
        <f t="shared" si="12"/>
        <v>XXXX-2229月20日上午</v>
      </c>
      <c r="B402" s="20"/>
      <c r="C402" s="24"/>
      <c r="D402" s="22"/>
      <c r="E402" s="22" t="s">
        <v>261</v>
      </c>
      <c r="F402" s="23" t="s">
        <v>525</v>
      </c>
      <c r="G402" s="23"/>
      <c r="H402" s="23"/>
      <c r="I402" s="23"/>
      <c r="J402" s="23"/>
      <c r="K402" s="25"/>
      <c r="L402" s="23"/>
      <c r="M402" s="23"/>
      <c r="N402" s="23"/>
    </row>
    <row r="403" customFormat="1" ht="86" customHeight="1" spans="1:14">
      <c r="A403" t="str">
        <f t="shared" si="12"/>
        <v>9月20日上午</v>
      </c>
      <c r="B403" s="20"/>
      <c r="C403" s="26"/>
      <c r="D403" s="22"/>
      <c r="E403" s="22"/>
      <c r="F403" s="23" t="s">
        <v>525</v>
      </c>
      <c r="G403" s="23"/>
      <c r="H403" s="23"/>
      <c r="I403" s="23"/>
      <c r="J403" s="23" t="s">
        <v>749</v>
      </c>
      <c r="K403" s="23"/>
      <c r="L403" s="23" t="s">
        <v>750</v>
      </c>
      <c r="M403" s="23"/>
      <c r="N403" s="23"/>
    </row>
    <row r="404" customFormat="1" ht="86" customHeight="1" spans="1:14">
      <c r="A404" t="str">
        <f t="shared" si="12"/>
        <v>9月20日上午</v>
      </c>
      <c r="B404" s="20"/>
      <c r="C404" s="21"/>
      <c r="D404" s="22"/>
      <c r="E404" s="22"/>
      <c r="F404" s="23" t="s">
        <v>525</v>
      </c>
      <c r="G404" s="23"/>
      <c r="H404" s="23"/>
      <c r="I404" s="23"/>
      <c r="J404" s="23"/>
      <c r="K404" s="23"/>
      <c r="L404" s="23"/>
      <c r="M404" s="23"/>
      <c r="N404" s="23"/>
    </row>
    <row r="405" customFormat="1" ht="86" customHeight="1" spans="1:14">
      <c r="A405" t="str">
        <f t="shared" si="12"/>
        <v>9月20日上午</v>
      </c>
      <c r="B405" s="20"/>
      <c r="C405" s="26"/>
      <c r="D405" s="22"/>
      <c r="E405" s="22"/>
      <c r="F405" s="23" t="s">
        <v>525</v>
      </c>
      <c r="G405" s="23"/>
      <c r="H405" s="23"/>
      <c r="I405" s="23"/>
      <c r="J405" s="23"/>
      <c r="K405" s="23"/>
      <c r="L405" s="23" t="s">
        <v>751</v>
      </c>
      <c r="M405" s="23"/>
      <c r="N405" s="23"/>
    </row>
    <row r="406" customFormat="1" ht="86" customHeight="1" spans="1:14">
      <c r="A406" t="str">
        <f t="shared" si="12"/>
        <v>9月20日上午</v>
      </c>
      <c r="B406" s="20"/>
      <c r="C406" s="20"/>
      <c r="D406" s="22"/>
      <c r="E406" s="27"/>
      <c r="F406" s="23" t="s">
        <v>525</v>
      </c>
      <c r="G406" s="23"/>
      <c r="H406" s="23"/>
      <c r="I406" s="23"/>
      <c r="J406" s="23"/>
      <c r="K406" s="23"/>
      <c r="L406" s="23"/>
      <c r="M406" s="23"/>
      <c r="N406" s="23"/>
    </row>
    <row r="407" customFormat="1" ht="86" customHeight="1" spans="1:14">
      <c r="A407" t="str">
        <f t="shared" si="12"/>
        <v>9月20日上午</v>
      </c>
      <c r="B407" s="20"/>
      <c r="C407" s="20"/>
      <c r="D407" s="22"/>
      <c r="E407" s="22"/>
      <c r="F407" s="23" t="s">
        <v>525</v>
      </c>
      <c r="G407" s="23"/>
      <c r="H407" s="23"/>
      <c r="I407" s="23"/>
      <c r="J407" s="23"/>
      <c r="K407" s="23"/>
      <c r="L407" s="23"/>
      <c r="M407" s="23"/>
      <c r="N407" s="23" t="s">
        <v>752</v>
      </c>
    </row>
    <row r="408" spans="1:14">
      <c r="A408" t="str">
        <f t="shared" si="12"/>
        <v/>
      </c>
    </row>
    <row r="409" customFormat="1" spans="1:14">
      <c r="A409" t="str">
        <f t="shared" si="12"/>
        <v>SKU</v>
      </c>
      <c r="B409" s="12" t="s">
        <v>240</v>
      </c>
      <c r="C409" s="12" t="s">
        <v>611</v>
      </c>
      <c r="D409" s="12" t="s">
        <v>612</v>
      </c>
      <c r="E409" s="12" t="s">
        <v>613</v>
      </c>
      <c r="F409" s="12"/>
      <c r="G409" s="13" t="s">
        <v>614</v>
      </c>
      <c r="H409" s="14"/>
      <c r="I409" s="14"/>
      <c r="J409" s="14"/>
      <c r="K409" s="14"/>
      <c r="L409" s="14"/>
      <c r="M409" s="14"/>
      <c r="N409" s="15"/>
    </row>
    <row r="410" customFormat="1" spans="1:14">
      <c r="A410" t="str">
        <f t="shared" si="12"/>
        <v/>
      </c>
      <c r="B410" s="12"/>
      <c r="C410" s="12"/>
      <c r="D410" s="12"/>
      <c r="E410" s="12"/>
      <c r="F410" s="16"/>
      <c r="G410" s="13" t="s">
        <v>483</v>
      </c>
      <c r="H410" s="14"/>
      <c r="I410" s="13" t="s">
        <v>620</v>
      </c>
      <c r="J410" s="14"/>
      <c r="K410" s="13" t="s">
        <v>485</v>
      </c>
      <c r="L410" s="14"/>
      <c r="M410" s="17" t="s">
        <v>486</v>
      </c>
      <c r="N410" s="17"/>
    </row>
    <row r="411" customFormat="1" spans="1:14">
      <c r="A411" t="str">
        <f t="shared" si="12"/>
        <v>日期</v>
      </c>
      <c r="B411" s="18"/>
      <c r="C411" s="18"/>
      <c r="D411" s="18"/>
      <c r="E411" s="18"/>
      <c r="F411" s="19" t="s">
        <v>277</v>
      </c>
      <c r="G411" s="17" t="s">
        <v>487</v>
      </c>
      <c r="H411" s="17" t="s">
        <v>488</v>
      </c>
      <c r="I411" s="17" t="s">
        <v>487</v>
      </c>
      <c r="J411" s="17" t="s">
        <v>488</v>
      </c>
      <c r="K411" s="17" t="s">
        <v>487</v>
      </c>
      <c r="L411" s="17" t="s">
        <v>488</v>
      </c>
      <c r="M411" s="17" t="s">
        <v>487</v>
      </c>
      <c r="N411" s="17" t="s">
        <v>488</v>
      </c>
    </row>
    <row r="412" customFormat="1" ht="90" customHeight="1" spans="1:14">
      <c r="A412" t="str">
        <f t="shared" si="12"/>
        <v>XXXX-1119月20日晚上</v>
      </c>
      <c r="B412" s="20"/>
      <c r="C412" s="21"/>
      <c r="D412" s="34"/>
      <c r="E412" s="34" t="s">
        <v>5</v>
      </c>
      <c r="F412" s="23" t="s">
        <v>526</v>
      </c>
      <c r="G412" s="23"/>
      <c r="H412" s="23" t="s">
        <v>753</v>
      </c>
      <c r="I412" s="23"/>
      <c r="J412" s="23"/>
      <c r="K412" s="23"/>
      <c r="L412" s="23" t="s">
        <v>754</v>
      </c>
      <c r="M412" s="23"/>
      <c r="N412" s="23"/>
    </row>
    <row r="413" customFormat="1" ht="90" customHeight="1" spans="1:14">
      <c r="A413" t="str">
        <f t="shared" si="12"/>
        <v>XXXX-2229月20日晚上</v>
      </c>
      <c r="B413" s="20"/>
      <c r="C413" s="24"/>
      <c r="D413" s="22"/>
      <c r="E413" s="22" t="s">
        <v>261</v>
      </c>
      <c r="F413" s="23" t="s">
        <v>526</v>
      </c>
      <c r="G413" s="23"/>
      <c r="H413" s="23"/>
      <c r="I413" s="23"/>
      <c r="J413" s="23" t="s">
        <v>735</v>
      </c>
      <c r="K413" s="25"/>
      <c r="L413" s="23"/>
      <c r="M413" s="23"/>
      <c r="N413" s="23"/>
    </row>
    <row r="414" customFormat="1" ht="90" customHeight="1" spans="1:14">
      <c r="A414" t="str">
        <f t="shared" si="12"/>
        <v>9月20日晚上</v>
      </c>
      <c r="B414" s="20"/>
      <c r="C414" s="26"/>
      <c r="D414" s="34"/>
      <c r="E414" s="34"/>
      <c r="F414" s="23" t="s">
        <v>526</v>
      </c>
      <c r="G414" s="23"/>
      <c r="I414" s="23"/>
      <c r="J414" s="23" t="s">
        <v>755</v>
      </c>
      <c r="K414" s="23" t="s">
        <v>756</v>
      </c>
      <c r="L414" s="23" t="s">
        <v>757</v>
      </c>
      <c r="M414" s="23"/>
      <c r="N414" s="23"/>
    </row>
    <row r="415" customFormat="1" ht="90" customHeight="1" spans="1:14">
      <c r="A415" t="str">
        <f t="shared" si="12"/>
        <v>9月20日晚上</v>
      </c>
      <c r="B415" s="20"/>
      <c r="C415" s="21"/>
      <c r="D415" s="22"/>
      <c r="E415" s="22"/>
      <c r="F415" s="23" t="s">
        <v>526</v>
      </c>
      <c r="G415" s="23"/>
      <c r="H415" s="23"/>
      <c r="I415" s="23"/>
      <c r="J415" s="23"/>
      <c r="K415" s="23"/>
      <c r="L415" s="23"/>
      <c r="M415" s="23"/>
      <c r="N415" s="23"/>
    </row>
    <row r="416" customFormat="1" ht="90" customHeight="1" spans="1:14">
      <c r="A416" t="str">
        <f t="shared" si="12"/>
        <v>9月20日晚上</v>
      </c>
      <c r="B416" s="20"/>
      <c r="C416" s="26"/>
      <c r="D416" s="34"/>
      <c r="E416" s="34"/>
      <c r="F416" s="23" t="s">
        <v>526</v>
      </c>
      <c r="G416" s="23"/>
      <c r="H416" s="23"/>
      <c r="I416" s="23"/>
      <c r="J416" s="23"/>
      <c r="L416" s="23" t="s">
        <v>758</v>
      </c>
      <c r="M416" s="23"/>
      <c r="N416" s="23"/>
    </row>
    <row r="417" customFormat="1" ht="90" customHeight="1" spans="1:14">
      <c r="A417" t="str">
        <f t="shared" ref="A417:A448" si="13">E417&amp;F417</f>
        <v> 
9月20日晚上</v>
      </c>
      <c r="B417" s="20"/>
      <c r="C417" s="20"/>
      <c r="D417" s="34"/>
      <c r="E417" s="35" t="s">
        <v>637</v>
      </c>
      <c r="F417" s="23" t="s">
        <v>526</v>
      </c>
      <c r="G417" s="23"/>
      <c r="H417" s="23"/>
      <c r="I417" s="23"/>
      <c r="J417" s="23"/>
      <c r="K417" s="23"/>
      <c r="L417" s="23"/>
      <c r="M417" s="23"/>
      <c r="N417" s="23"/>
    </row>
    <row r="418" customFormat="1" ht="90" customHeight="1" spans="1:14">
      <c r="A418" t="str">
        <f t="shared" si="13"/>
        <v>9月20日晚上</v>
      </c>
      <c r="B418" s="20"/>
      <c r="C418" s="20"/>
      <c r="D418" s="34"/>
      <c r="E418" s="34"/>
      <c r="F418" s="23" t="s">
        <v>526</v>
      </c>
      <c r="G418" s="23"/>
      <c r="H418" s="23"/>
      <c r="I418" s="23"/>
      <c r="J418" s="23"/>
      <c r="K418" s="23"/>
      <c r="L418" s="23"/>
      <c r="M418" s="23" t="s">
        <v>759</v>
      </c>
      <c r="N418" s="23" t="s">
        <v>654</v>
      </c>
    </row>
    <row r="419" spans="1:14">
      <c r="A419" t="str">
        <f t="shared" si="13"/>
        <v/>
      </c>
    </row>
    <row r="420" customFormat="1" spans="1:14">
      <c r="A420" t="str">
        <f t="shared" si="13"/>
        <v>SKU</v>
      </c>
      <c r="B420" s="12" t="s">
        <v>240</v>
      </c>
      <c r="C420" s="12" t="s">
        <v>611</v>
      </c>
      <c r="D420" s="12" t="s">
        <v>612</v>
      </c>
      <c r="E420" s="12" t="s">
        <v>613</v>
      </c>
      <c r="F420" s="12"/>
      <c r="G420" s="13" t="s">
        <v>614</v>
      </c>
      <c r="H420" s="14"/>
      <c r="I420" s="14"/>
      <c r="J420" s="14"/>
      <c r="K420" s="14"/>
      <c r="L420" s="14"/>
      <c r="M420" s="14"/>
      <c r="N420" s="15"/>
    </row>
    <row r="421" customFormat="1" spans="1:14">
      <c r="A421" t="str">
        <f t="shared" si="13"/>
        <v/>
      </c>
      <c r="B421" s="12"/>
      <c r="C421" s="12"/>
      <c r="D421" s="12"/>
      <c r="E421" s="12"/>
      <c r="F421" s="16"/>
      <c r="G421" s="13" t="s">
        <v>483</v>
      </c>
      <c r="H421" s="14"/>
      <c r="I421" s="13" t="s">
        <v>484</v>
      </c>
      <c r="J421" s="14"/>
      <c r="K421" s="13" t="s">
        <v>485</v>
      </c>
      <c r="L421" s="14"/>
      <c r="M421" s="17" t="s">
        <v>486</v>
      </c>
      <c r="N421" s="17"/>
    </row>
    <row r="422" customFormat="1" spans="1:14">
      <c r="A422" t="str">
        <f t="shared" si="13"/>
        <v>日期</v>
      </c>
      <c r="B422" s="18"/>
      <c r="C422" s="18"/>
      <c r="D422" s="18"/>
      <c r="E422" s="18"/>
      <c r="F422" s="19" t="s">
        <v>277</v>
      </c>
      <c r="G422" s="17" t="s">
        <v>487</v>
      </c>
      <c r="H422" s="17" t="s">
        <v>488</v>
      </c>
      <c r="I422" s="17" t="s">
        <v>487</v>
      </c>
      <c r="J422" s="17" t="s">
        <v>488</v>
      </c>
      <c r="K422" s="17" t="s">
        <v>487</v>
      </c>
      <c r="L422" s="17" t="s">
        <v>488</v>
      </c>
      <c r="M422" s="17" t="s">
        <v>487</v>
      </c>
      <c r="N422" s="17" t="s">
        <v>488</v>
      </c>
    </row>
    <row r="423" customFormat="1" ht="86" customHeight="1" spans="1:14">
      <c r="A423" t="str">
        <f t="shared" si="13"/>
        <v>XXXX-1119月21日上午</v>
      </c>
      <c r="B423" s="20"/>
      <c r="C423" s="21"/>
      <c r="D423" s="22"/>
      <c r="E423" s="22" t="s">
        <v>5</v>
      </c>
      <c r="F423" s="23" t="s">
        <v>527</v>
      </c>
      <c r="G423" s="23"/>
      <c r="H423" s="23"/>
      <c r="I423" s="23"/>
      <c r="J423" s="23"/>
      <c r="K423" s="23"/>
      <c r="L423" s="23" t="s">
        <v>703</v>
      </c>
      <c r="M423" s="23"/>
      <c r="N423" s="23"/>
    </row>
    <row r="424" customFormat="1" ht="86" customHeight="1" spans="1:14">
      <c r="A424" t="str">
        <f t="shared" si="13"/>
        <v>XXXX-2229月21日上午</v>
      </c>
      <c r="B424" s="20"/>
      <c r="C424" s="24"/>
      <c r="D424" s="22"/>
      <c r="E424" s="22" t="s">
        <v>261</v>
      </c>
      <c r="F424" s="23" t="s">
        <v>527</v>
      </c>
      <c r="G424" s="23"/>
      <c r="H424" s="23"/>
      <c r="I424" s="23"/>
      <c r="J424" s="23" t="s">
        <v>728</v>
      </c>
      <c r="K424" s="25"/>
      <c r="L424" s="23"/>
      <c r="M424" s="23"/>
      <c r="N424" s="23"/>
    </row>
    <row r="425" customFormat="1" ht="86" customHeight="1" spans="1:14">
      <c r="A425" t="str">
        <f t="shared" si="13"/>
        <v>9月21日上午</v>
      </c>
      <c r="B425" s="20"/>
      <c r="C425" s="26"/>
      <c r="D425" s="22"/>
      <c r="E425" s="22"/>
      <c r="F425" s="23" t="s">
        <v>527</v>
      </c>
      <c r="G425" s="23"/>
      <c r="H425" s="23"/>
      <c r="I425" s="23"/>
      <c r="J425" s="23"/>
      <c r="K425" s="23"/>
      <c r="L425" s="23"/>
      <c r="M425" s="23"/>
      <c r="N425" s="23"/>
    </row>
    <row r="426" customFormat="1" ht="86" customHeight="1" spans="1:14">
      <c r="A426" t="str">
        <f t="shared" si="13"/>
        <v>9月21日上午</v>
      </c>
      <c r="B426" s="20"/>
      <c r="C426" s="21"/>
      <c r="D426" s="22"/>
      <c r="E426" s="22"/>
      <c r="F426" s="23" t="s">
        <v>527</v>
      </c>
      <c r="G426" s="23"/>
      <c r="H426" s="23"/>
      <c r="I426" s="23"/>
      <c r="J426" s="23"/>
      <c r="K426" s="23"/>
      <c r="L426" s="23"/>
      <c r="M426" s="23"/>
      <c r="N426" s="23"/>
    </row>
    <row r="427" customFormat="1" ht="86" customHeight="1" spans="1:14">
      <c r="A427" t="str">
        <f t="shared" si="13"/>
        <v>9月21日上午</v>
      </c>
      <c r="B427" s="20"/>
      <c r="C427" s="26"/>
      <c r="D427" s="22"/>
      <c r="E427" s="22"/>
      <c r="F427" s="23" t="s">
        <v>527</v>
      </c>
      <c r="G427" s="23"/>
      <c r="H427" s="23"/>
      <c r="I427" s="23"/>
      <c r="J427" s="23"/>
      <c r="K427" s="23"/>
      <c r="L427" s="23"/>
      <c r="M427" s="23"/>
      <c r="N427" s="23"/>
    </row>
    <row r="428" customFormat="1" ht="86" customHeight="1" spans="1:14">
      <c r="A428" t="str">
        <f t="shared" si="13"/>
        <v>9月21日上午</v>
      </c>
      <c r="B428" s="20"/>
      <c r="C428" s="20"/>
      <c r="D428" s="22"/>
      <c r="E428" s="27"/>
      <c r="F428" s="23" t="s">
        <v>527</v>
      </c>
      <c r="G428" s="23"/>
      <c r="H428" s="23"/>
      <c r="I428" s="23"/>
      <c r="J428" s="23"/>
      <c r="K428" s="23"/>
      <c r="L428" s="23"/>
      <c r="M428" s="23"/>
      <c r="N428" s="23"/>
    </row>
    <row r="429" customFormat="1" ht="86" customHeight="1" spans="1:14">
      <c r="A429" t="str">
        <f t="shared" si="13"/>
        <v>9月21日上午</v>
      </c>
      <c r="B429" s="20"/>
      <c r="C429" s="20"/>
      <c r="D429" s="22"/>
      <c r="E429" s="22"/>
      <c r="F429" s="23" t="s">
        <v>527</v>
      </c>
      <c r="G429" s="23"/>
      <c r="H429" s="23"/>
      <c r="I429" s="23"/>
      <c r="J429" s="23"/>
      <c r="K429" s="23"/>
      <c r="L429" s="23"/>
      <c r="M429" s="23"/>
      <c r="N429" s="23"/>
    </row>
    <row r="430" spans="1:14">
      <c r="A430" t="str">
        <f t="shared" si="13"/>
        <v/>
      </c>
    </row>
    <row r="431" customFormat="1" spans="1:14">
      <c r="A431" t="str">
        <f t="shared" si="13"/>
        <v>SKU</v>
      </c>
      <c r="B431" s="12" t="s">
        <v>240</v>
      </c>
      <c r="C431" s="12" t="s">
        <v>611</v>
      </c>
      <c r="D431" s="12" t="s">
        <v>612</v>
      </c>
      <c r="E431" s="12" t="s">
        <v>613</v>
      </c>
      <c r="F431" s="12"/>
      <c r="G431" s="13" t="s">
        <v>614</v>
      </c>
      <c r="H431" s="14"/>
      <c r="I431" s="14"/>
      <c r="J431" s="14"/>
      <c r="K431" s="14"/>
      <c r="L431" s="14"/>
      <c r="M431" s="14"/>
      <c r="N431" s="15"/>
    </row>
    <row r="432" customFormat="1" spans="1:14">
      <c r="A432" t="str">
        <f t="shared" si="13"/>
        <v/>
      </c>
      <c r="B432" s="12"/>
      <c r="C432" s="12"/>
      <c r="D432" s="12"/>
      <c r="E432" s="12"/>
      <c r="F432" s="16"/>
      <c r="G432" s="13" t="s">
        <v>483</v>
      </c>
      <c r="H432" s="14"/>
      <c r="I432" s="13" t="s">
        <v>620</v>
      </c>
      <c r="J432" s="14"/>
      <c r="K432" s="13" t="s">
        <v>485</v>
      </c>
      <c r="L432" s="14"/>
      <c r="M432" s="17" t="s">
        <v>486</v>
      </c>
      <c r="N432" s="17"/>
    </row>
    <row r="433" customFormat="1" spans="1:14">
      <c r="A433" t="str">
        <f t="shared" si="13"/>
        <v>日期</v>
      </c>
      <c r="B433" s="18"/>
      <c r="C433" s="18"/>
      <c r="D433" s="18"/>
      <c r="E433" s="18"/>
      <c r="F433" s="19" t="s">
        <v>277</v>
      </c>
      <c r="G433" s="17" t="s">
        <v>487</v>
      </c>
      <c r="H433" s="17" t="s">
        <v>488</v>
      </c>
      <c r="I433" s="17" t="s">
        <v>487</v>
      </c>
      <c r="J433" s="17" t="s">
        <v>488</v>
      </c>
      <c r="K433" s="17" t="s">
        <v>487</v>
      </c>
      <c r="L433" s="17" t="s">
        <v>488</v>
      </c>
      <c r="M433" s="17" t="s">
        <v>487</v>
      </c>
      <c r="N433" s="17" t="s">
        <v>488</v>
      </c>
    </row>
    <row r="434" customFormat="1" ht="90" customHeight="1" spans="1:14">
      <c r="A434" t="str">
        <f t="shared" si="13"/>
        <v>XXXX-1119月21日晚上</v>
      </c>
      <c r="B434" s="20"/>
      <c r="C434" s="21"/>
      <c r="D434" s="34"/>
      <c r="E434" s="34" t="s">
        <v>5</v>
      </c>
      <c r="F434" s="23" t="s">
        <v>528</v>
      </c>
      <c r="G434" s="23"/>
      <c r="H434" s="23" t="s">
        <v>695</v>
      </c>
      <c r="I434" s="23"/>
      <c r="J434" s="23"/>
      <c r="K434" s="23"/>
      <c r="L434" s="23" t="s">
        <v>684</v>
      </c>
      <c r="M434" s="23"/>
      <c r="N434" s="23"/>
    </row>
    <row r="435" customFormat="1" ht="90" customHeight="1" spans="1:14">
      <c r="A435" t="str">
        <f t="shared" si="13"/>
        <v>XXXX-2229月21日晚上</v>
      </c>
      <c r="B435" s="20"/>
      <c r="C435" s="24"/>
      <c r="D435" s="22"/>
      <c r="E435" s="22" t="s">
        <v>261</v>
      </c>
      <c r="F435" s="23" t="s">
        <v>528</v>
      </c>
      <c r="G435" s="23"/>
      <c r="H435" s="23"/>
      <c r="I435" s="23"/>
      <c r="J435" s="23" t="s">
        <v>760</v>
      </c>
      <c r="K435" s="25"/>
      <c r="L435" s="23"/>
      <c r="M435" s="23"/>
      <c r="N435" s="23"/>
    </row>
    <row r="436" customFormat="1" ht="90" customHeight="1" spans="1:14">
      <c r="A436" t="str">
        <f t="shared" si="13"/>
        <v>9月21日晚上</v>
      </c>
      <c r="B436" s="20"/>
      <c r="C436" s="26"/>
      <c r="D436" s="34"/>
      <c r="E436" s="34"/>
      <c r="F436" s="23" t="s">
        <v>528</v>
      </c>
      <c r="G436" s="23"/>
      <c r="I436" s="23"/>
      <c r="J436" s="23" t="s">
        <v>713</v>
      </c>
      <c r="K436" s="23" t="s">
        <v>733</v>
      </c>
      <c r="L436" s="23" t="s">
        <v>761</v>
      </c>
      <c r="M436" s="23"/>
      <c r="N436" s="23"/>
    </row>
    <row r="437" customFormat="1" ht="90" customHeight="1" spans="1:14">
      <c r="A437" t="str">
        <f t="shared" si="13"/>
        <v>9月21日晚上</v>
      </c>
      <c r="B437" s="20"/>
      <c r="C437" s="21"/>
      <c r="D437" s="22"/>
      <c r="E437" s="22"/>
      <c r="F437" s="23" t="s">
        <v>528</v>
      </c>
      <c r="G437" s="23"/>
      <c r="H437" s="23"/>
      <c r="I437" s="23"/>
      <c r="J437" s="23" t="s">
        <v>762</v>
      </c>
      <c r="K437" s="23"/>
      <c r="L437" s="23"/>
      <c r="M437" s="23"/>
      <c r="N437" s="23"/>
    </row>
    <row r="438" customFormat="1" ht="90" customHeight="1" spans="1:14">
      <c r="A438" t="str">
        <f t="shared" si="13"/>
        <v>9月21日晚上</v>
      </c>
      <c r="B438" s="20"/>
      <c r="C438" s="26"/>
      <c r="D438" s="34"/>
      <c r="E438" s="34"/>
      <c r="F438" s="23" t="s">
        <v>528</v>
      </c>
      <c r="G438" s="23"/>
      <c r="H438" s="23"/>
      <c r="I438" s="23"/>
      <c r="J438" s="23"/>
      <c r="L438" s="23"/>
      <c r="M438" s="23"/>
      <c r="N438" s="23"/>
    </row>
    <row r="439" customFormat="1" ht="90" customHeight="1" spans="1:14">
      <c r="A439" t="str">
        <f t="shared" si="13"/>
        <v> 
9月21日晚上</v>
      </c>
      <c r="B439" s="20"/>
      <c r="C439" s="20"/>
      <c r="D439" s="34"/>
      <c r="E439" s="35" t="s">
        <v>637</v>
      </c>
      <c r="F439" s="23" t="s">
        <v>528</v>
      </c>
      <c r="G439" s="23"/>
      <c r="H439" s="23"/>
      <c r="I439" s="23"/>
      <c r="J439" s="23"/>
      <c r="K439" s="23"/>
      <c r="L439" s="23"/>
      <c r="M439" s="23"/>
      <c r="N439" s="23"/>
    </row>
    <row r="440" customFormat="1" ht="90" customHeight="1" spans="1:14">
      <c r="A440" t="str">
        <f t="shared" si="13"/>
        <v>9月21日晚上</v>
      </c>
      <c r="B440" s="20"/>
      <c r="C440" s="20"/>
      <c r="D440" s="34"/>
      <c r="E440" s="34"/>
      <c r="F440" s="23" t="s">
        <v>528</v>
      </c>
      <c r="G440" s="23"/>
      <c r="H440" s="23"/>
      <c r="I440" s="23"/>
      <c r="J440" s="23"/>
      <c r="K440" s="23"/>
      <c r="L440" s="23"/>
      <c r="M440" s="23" t="s">
        <v>763</v>
      </c>
      <c r="N440" s="23" t="s">
        <v>665</v>
      </c>
    </row>
    <row r="441" spans="1:14">
      <c r="A441" t="str">
        <f t="shared" si="13"/>
        <v/>
      </c>
    </row>
    <row r="442" customFormat="1" spans="1:14">
      <c r="A442" t="str">
        <f t="shared" si="13"/>
        <v>SKU</v>
      </c>
      <c r="B442" s="12" t="s">
        <v>240</v>
      </c>
      <c r="C442" s="12" t="s">
        <v>611</v>
      </c>
      <c r="D442" s="12" t="s">
        <v>612</v>
      </c>
      <c r="E442" s="12" t="s">
        <v>613</v>
      </c>
      <c r="F442" s="12"/>
      <c r="G442" s="13" t="s">
        <v>614</v>
      </c>
      <c r="H442" s="14"/>
      <c r="I442" s="14"/>
      <c r="J442" s="14"/>
      <c r="K442" s="14"/>
      <c r="L442" s="14"/>
      <c r="M442" s="14"/>
      <c r="N442" s="15"/>
    </row>
    <row r="443" customFormat="1" spans="1:14">
      <c r="A443" t="str">
        <f t="shared" si="13"/>
        <v/>
      </c>
      <c r="B443" s="12"/>
      <c r="C443" s="12"/>
      <c r="D443" s="12"/>
      <c r="E443" s="12"/>
      <c r="F443" s="16"/>
      <c r="G443" s="13" t="s">
        <v>483</v>
      </c>
      <c r="H443" s="14"/>
      <c r="I443" s="13" t="s">
        <v>484</v>
      </c>
      <c r="J443" s="14"/>
      <c r="K443" s="13" t="s">
        <v>485</v>
      </c>
      <c r="L443" s="14"/>
      <c r="M443" s="17" t="s">
        <v>486</v>
      </c>
      <c r="N443" s="17"/>
    </row>
    <row r="444" customFormat="1" spans="1:14">
      <c r="A444" t="str">
        <f t="shared" si="13"/>
        <v>日期</v>
      </c>
      <c r="B444" s="18"/>
      <c r="C444" s="18"/>
      <c r="D444" s="18"/>
      <c r="E444" s="18"/>
      <c r="F444" s="19" t="s">
        <v>277</v>
      </c>
      <c r="G444" s="17" t="s">
        <v>487</v>
      </c>
      <c r="H444" s="17" t="s">
        <v>488</v>
      </c>
      <c r="I444" s="17" t="s">
        <v>487</v>
      </c>
      <c r="J444" s="17" t="s">
        <v>488</v>
      </c>
      <c r="K444" s="17" t="s">
        <v>487</v>
      </c>
      <c r="L444" s="17" t="s">
        <v>488</v>
      </c>
      <c r="M444" s="17" t="s">
        <v>487</v>
      </c>
      <c r="N444" s="17" t="s">
        <v>488</v>
      </c>
    </row>
    <row r="445" customFormat="1" ht="86" customHeight="1" spans="1:14">
      <c r="A445" t="str">
        <f t="shared" si="13"/>
        <v>XXXX-1119月22日上午</v>
      </c>
      <c r="B445" s="20"/>
      <c r="C445" s="21"/>
      <c r="D445" s="22"/>
      <c r="E445" s="22" t="s">
        <v>5</v>
      </c>
      <c r="F445" s="23" t="s">
        <v>529</v>
      </c>
      <c r="G445" s="23"/>
      <c r="H445" s="23" t="s">
        <v>647</v>
      </c>
      <c r="I445" s="23"/>
      <c r="J445" s="23"/>
      <c r="K445" s="23"/>
      <c r="L445" s="23" t="s">
        <v>764</v>
      </c>
      <c r="M445" s="23"/>
      <c r="N445" s="23"/>
    </row>
    <row r="446" customFormat="1" ht="86" customHeight="1" spans="1:14">
      <c r="A446" t="str">
        <f t="shared" si="13"/>
        <v>XXXX-2229月22日上午</v>
      </c>
      <c r="B446" s="20"/>
      <c r="C446" s="24"/>
      <c r="D446" s="22"/>
      <c r="E446" s="22" t="s">
        <v>261</v>
      </c>
      <c r="F446" s="23" t="s">
        <v>529</v>
      </c>
      <c r="G446" s="23"/>
      <c r="H446" s="23"/>
      <c r="I446" s="23"/>
      <c r="J446" s="23" t="s">
        <v>708</v>
      </c>
      <c r="K446" s="25"/>
      <c r="L446" s="23"/>
      <c r="M446" s="23"/>
      <c r="N446" s="23"/>
    </row>
    <row r="447" customFormat="1" ht="86" customHeight="1" spans="1:14">
      <c r="A447" t="str">
        <f t="shared" si="13"/>
        <v>9月22日上午</v>
      </c>
      <c r="B447" s="20"/>
      <c r="C447" s="26"/>
      <c r="D447" s="22"/>
      <c r="E447" s="22"/>
      <c r="F447" s="23" t="s">
        <v>529</v>
      </c>
      <c r="G447" s="23"/>
      <c r="H447" s="23"/>
      <c r="I447" s="23"/>
      <c r="J447" s="23" t="s">
        <v>765</v>
      </c>
      <c r="K447" s="23"/>
      <c r="L447" s="23" t="s">
        <v>766</v>
      </c>
      <c r="M447" s="23"/>
      <c r="N447" s="23"/>
    </row>
    <row r="448" customFormat="1" ht="86" customHeight="1" spans="1:14">
      <c r="A448" t="str">
        <f t="shared" si="13"/>
        <v>9月22日上午</v>
      </c>
      <c r="B448" s="20"/>
      <c r="C448" s="21"/>
      <c r="D448" s="22"/>
      <c r="E448" s="22"/>
      <c r="F448" s="23" t="s">
        <v>529</v>
      </c>
      <c r="G448" s="23"/>
      <c r="H448" s="23"/>
      <c r="I448" s="23"/>
      <c r="J448" s="23" t="s">
        <v>666</v>
      </c>
      <c r="K448" s="23"/>
      <c r="L448" s="23"/>
      <c r="M448" s="23"/>
      <c r="N448" s="23"/>
    </row>
    <row r="449" customFormat="1" ht="86" customHeight="1" spans="1:14">
      <c r="A449" t="str">
        <f t="shared" ref="A449:A473" si="14">E449&amp;F449</f>
        <v>9月22日上午</v>
      </c>
      <c r="B449" s="20"/>
      <c r="C449" s="26"/>
      <c r="D449" s="22"/>
      <c r="E449" s="22"/>
      <c r="F449" s="23" t="s">
        <v>529</v>
      </c>
      <c r="G449" s="23"/>
      <c r="H449" s="23"/>
      <c r="I449" s="23"/>
      <c r="J449" s="23"/>
      <c r="K449" s="23"/>
      <c r="L449" s="23"/>
      <c r="M449" s="23"/>
      <c r="N449" s="23"/>
    </row>
    <row r="450" customFormat="1" ht="86" customHeight="1" spans="1:14">
      <c r="A450" t="str">
        <f t="shared" si="14"/>
        <v>9月22日上午</v>
      </c>
      <c r="B450" s="20"/>
      <c r="C450" s="20"/>
      <c r="D450" s="22"/>
      <c r="E450" s="27"/>
      <c r="F450" s="23" t="s">
        <v>529</v>
      </c>
      <c r="G450" s="23"/>
      <c r="H450" s="23"/>
      <c r="I450" s="23"/>
      <c r="J450" s="23"/>
      <c r="K450" s="23"/>
      <c r="L450" s="23"/>
      <c r="M450" s="23"/>
      <c r="N450" s="23"/>
    </row>
    <row r="451" customFormat="1" ht="86" customHeight="1" spans="1:14">
      <c r="A451" t="str">
        <f t="shared" si="14"/>
        <v>9月22日上午</v>
      </c>
      <c r="B451" s="20"/>
      <c r="C451" s="20"/>
      <c r="D451" s="22"/>
      <c r="E451" s="22"/>
      <c r="F451" s="23" t="s">
        <v>529</v>
      </c>
      <c r="G451" s="23"/>
      <c r="H451" s="23"/>
      <c r="I451" s="23"/>
      <c r="J451" s="23"/>
      <c r="K451" s="23"/>
      <c r="L451" s="23"/>
      <c r="M451" s="23"/>
      <c r="N451" s="23" t="s">
        <v>767</v>
      </c>
    </row>
    <row r="452" spans="1:14">
      <c r="A452" t="str">
        <f t="shared" si="14"/>
        <v/>
      </c>
    </row>
    <row r="453" customFormat="1" spans="1:14">
      <c r="A453" t="str">
        <f t="shared" si="14"/>
        <v>SKU</v>
      </c>
      <c r="B453" s="12" t="s">
        <v>240</v>
      </c>
      <c r="C453" s="12" t="s">
        <v>611</v>
      </c>
      <c r="D453" s="12" t="s">
        <v>612</v>
      </c>
      <c r="E453" s="12" t="s">
        <v>613</v>
      </c>
      <c r="F453" s="12"/>
      <c r="G453" s="13" t="s">
        <v>614</v>
      </c>
      <c r="H453" s="14"/>
      <c r="I453" s="14"/>
      <c r="J453" s="14"/>
      <c r="K453" s="14"/>
      <c r="L453" s="14"/>
      <c r="M453" s="14"/>
      <c r="N453" s="15"/>
    </row>
    <row r="454" customFormat="1" spans="1:14">
      <c r="A454" t="str">
        <f t="shared" si="14"/>
        <v/>
      </c>
      <c r="B454" s="12"/>
      <c r="C454" s="12"/>
      <c r="D454" s="12"/>
      <c r="E454" s="12"/>
      <c r="F454" s="16"/>
      <c r="G454" s="13" t="s">
        <v>483</v>
      </c>
      <c r="H454" s="14"/>
      <c r="I454" s="13" t="s">
        <v>620</v>
      </c>
      <c r="J454" s="14"/>
      <c r="K454" s="13" t="s">
        <v>485</v>
      </c>
      <c r="L454" s="14"/>
      <c r="M454" s="17" t="s">
        <v>486</v>
      </c>
      <c r="N454" s="17"/>
    </row>
    <row r="455" customFormat="1" spans="1:14">
      <c r="A455" t="str">
        <f t="shared" si="14"/>
        <v>日期</v>
      </c>
      <c r="B455" s="18"/>
      <c r="C455" s="18"/>
      <c r="D455" s="18"/>
      <c r="E455" s="18"/>
      <c r="F455" s="19" t="s">
        <v>277</v>
      </c>
      <c r="G455" s="17" t="s">
        <v>487</v>
      </c>
      <c r="H455" s="17" t="s">
        <v>488</v>
      </c>
      <c r="I455" s="17" t="s">
        <v>487</v>
      </c>
      <c r="J455" s="17" t="s">
        <v>488</v>
      </c>
      <c r="K455" s="17" t="s">
        <v>487</v>
      </c>
      <c r="L455" s="17" t="s">
        <v>488</v>
      </c>
      <c r="M455" s="17" t="s">
        <v>487</v>
      </c>
      <c r="N455" s="17" t="s">
        <v>488</v>
      </c>
    </row>
    <row r="456" customFormat="1" ht="90" customHeight="1" spans="1:14">
      <c r="A456" t="str">
        <f t="shared" si="14"/>
        <v>XXXX-1119月22日晚上</v>
      </c>
      <c r="B456" s="20"/>
      <c r="C456" s="21"/>
      <c r="D456" s="34"/>
      <c r="E456" s="34" t="s">
        <v>5</v>
      </c>
      <c r="F456" s="23" t="s">
        <v>530</v>
      </c>
      <c r="G456" s="23"/>
      <c r="H456" s="23" t="s">
        <v>695</v>
      </c>
      <c r="I456" s="23"/>
      <c r="J456" s="23"/>
      <c r="K456" s="23"/>
      <c r="L456" s="23" t="s">
        <v>768</v>
      </c>
      <c r="M456" s="23"/>
      <c r="N456" s="23"/>
    </row>
    <row r="457" customFormat="1" ht="90" customHeight="1" spans="1:14">
      <c r="A457" t="str">
        <f t="shared" si="14"/>
        <v>XXXX-2229月22日晚上</v>
      </c>
      <c r="B457" s="20"/>
      <c r="C457" s="24"/>
      <c r="D457" s="22"/>
      <c r="E457" s="22" t="s">
        <v>261</v>
      </c>
      <c r="F457" s="23" t="s">
        <v>530</v>
      </c>
      <c r="G457" s="23"/>
      <c r="H457" s="23"/>
      <c r="I457" s="23"/>
      <c r="J457" s="23" t="s">
        <v>769</v>
      </c>
      <c r="K457" s="25"/>
      <c r="L457" s="23"/>
      <c r="M457" s="23"/>
      <c r="N457" s="23"/>
    </row>
    <row r="458" customFormat="1" ht="90" customHeight="1" spans="1:14">
      <c r="A458" t="str">
        <f t="shared" si="14"/>
        <v>9月22日晚上</v>
      </c>
      <c r="B458" s="20"/>
      <c r="C458" s="26"/>
      <c r="D458" s="34"/>
      <c r="E458" s="34"/>
      <c r="F458" s="23" t="s">
        <v>530</v>
      </c>
      <c r="G458" s="23"/>
      <c r="I458" s="23"/>
      <c r="J458" s="23"/>
      <c r="K458" s="23" t="s">
        <v>733</v>
      </c>
      <c r="L458" s="23" t="s">
        <v>770</v>
      </c>
      <c r="M458" s="23"/>
      <c r="N458" s="23"/>
    </row>
    <row r="459" customFormat="1" ht="90" customHeight="1" spans="1:14">
      <c r="A459" t="str">
        <f t="shared" si="14"/>
        <v>9月22日晚上</v>
      </c>
      <c r="B459" s="20"/>
      <c r="C459" s="21"/>
      <c r="D459" s="22"/>
      <c r="E459" s="22"/>
      <c r="F459" s="23" t="s">
        <v>530</v>
      </c>
      <c r="G459" s="23"/>
      <c r="H459" s="23"/>
      <c r="I459" s="23"/>
      <c r="J459" s="23" t="s">
        <v>771</v>
      </c>
      <c r="K459" s="23"/>
      <c r="L459" s="23"/>
      <c r="M459" s="23"/>
      <c r="N459" s="23"/>
    </row>
    <row r="460" customFormat="1" ht="90" customHeight="1" spans="1:14">
      <c r="A460" t="str">
        <f t="shared" si="14"/>
        <v>9月22日晚上</v>
      </c>
      <c r="B460" s="20"/>
      <c r="C460" s="26"/>
      <c r="D460" s="34"/>
      <c r="E460" s="34"/>
      <c r="F460" s="23" t="s">
        <v>530</v>
      </c>
      <c r="G460" s="23"/>
      <c r="H460" s="23"/>
      <c r="I460" s="23"/>
      <c r="J460" s="23"/>
      <c r="L460" s="23"/>
      <c r="M460" s="23"/>
      <c r="N460" s="23"/>
    </row>
    <row r="461" customFormat="1" ht="90" customHeight="1" spans="1:14">
      <c r="A461" t="str">
        <f t="shared" si="14"/>
        <v> 
9月22日晚上</v>
      </c>
      <c r="B461" s="20"/>
      <c r="C461" s="20"/>
      <c r="D461" s="34"/>
      <c r="E461" s="35" t="s">
        <v>637</v>
      </c>
      <c r="F461" s="23" t="s">
        <v>530</v>
      </c>
      <c r="G461" s="23"/>
      <c r="H461" s="23"/>
      <c r="I461" s="23"/>
      <c r="J461" s="23"/>
      <c r="K461" s="23"/>
      <c r="L461" s="23"/>
      <c r="M461" s="23"/>
      <c r="N461" s="23"/>
    </row>
    <row r="462" customFormat="1" ht="90" customHeight="1" spans="1:14">
      <c r="A462" t="str">
        <f t="shared" si="14"/>
        <v>9月22日晚上</v>
      </c>
      <c r="B462" s="20"/>
      <c r="C462" s="20"/>
      <c r="D462" s="34"/>
      <c r="E462" s="34"/>
      <c r="F462" s="23" t="s">
        <v>530</v>
      </c>
      <c r="G462" s="23"/>
      <c r="H462" s="23"/>
      <c r="I462" s="23"/>
      <c r="J462" s="23"/>
      <c r="K462" s="23"/>
      <c r="L462" s="23"/>
      <c r="M462" s="23"/>
      <c r="N462" s="23" t="s">
        <v>760</v>
      </c>
    </row>
    <row r="463" spans="1:14">
      <c r="A463" t="str">
        <f t="shared" si="14"/>
        <v/>
      </c>
    </row>
    <row r="464" customFormat="1" spans="1:14">
      <c r="A464" t="str">
        <f t="shared" si="14"/>
        <v>SKU</v>
      </c>
      <c r="B464" s="12" t="s">
        <v>240</v>
      </c>
      <c r="C464" s="12" t="s">
        <v>611</v>
      </c>
      <c r="D464" s="12" t="s">
        <v>612</v>
      </c>
      <c r="E464" s="12" t="s">
        <v>613</v>
      </c>
      <c r="F464" s="12"/>
      <c r="G464" s="13" t="s">
        <v>614</v>
      </c>
      <c r="H464" s="14"/>
      <c r="I464" s="14"/>
      <c r="J464" s="14"/>
      <c r="K464" s="14"/>
      <c r="L464" s="14"/>
      <c r="M464" s="14"/>
      <c r="N464" s="15"/>
    </row>
    <row r="465" customFormat="1" spans="1:14">
      <c r="A465" t="str">
        <f t="shared" si="14"/>
        <v/>
      </c>
      <c r="B465" s="12"/>
      <c r="C465" s="12"/>
      <c r="D465" s="12"/>
      <c r="E465" s="12"/>
      <c r="F465" s="16"/>
      <c r="G465" s="13" t="s">
        <v>483</v>
      </c>
      <c r="H465" s="14"/>
      <c r="I465" s="13" t="s">
        <v>484</v>
      </c>
      <c r="J465" s="14"/>
      <c r="K465" s="13" t="s">
        <v>485</v>
      </c>
      <c r="L465" s="14"/>
      <c r="M465" s="17" t="s">
        <v>486</v>
      </c>
      <c r="N465" s="17"/>
    </row>
    <row r="466" customFormat="1" spans="1:14">
      <c r="A466" t="str">
        <f t="shared" si="14"/>
        <v>日期</v>
      </c>
      <c r="B466" s="18"/>
      <c r="C466" s="18"/>
      <c r="D466" s="18"/>
      <c r="E466" s="18"/>
      <c r="F466" s="19" t="s">
        <v>277</v>
      </c>
      <c r="G466" s="17" t="s">
        <v>487</v>
      </c>
      <c r="H466" s="17" t="s">
        <v>488</v>
      </c>
      <c r="I466" s="17" t="s">
        <v>487</v>
      </c>
      <c r="J466" s="17" t="s">
        <v>488</v>
      </c>
      <c r="K466" s="17" t="s">
        <v>487</v>
      </c>
      <c r="L466" s="17" t="s">
        <v>488</v>
      </c>
      <c r="M466" s="17" t="s">
        <v>487</v>
      </c>
      <c r="N466" s="17" t="s">
        <v>488</v>
      </c>
    </row>
    <row r="467" customFormat="1" ht="86" customHeight="1" spans="1:14">
      <c r="A467" t="str">
        <f t="shared" si="14"/>
        <v>XXXX-1119月23日上午</v>
      </c>
      <c r="B467" s="20"/>
      <c r="C467" s="21"/>
      <c r="D467" s="22"/>
      <c r="E467" s="22" t="s">
        <v>5</v>
      </c>
      <c r="F467" s="23" t="s">
        <v>531</v>
      </c>
      <c r="G467" s="23"/>
      <c r="H467" s="23"/>
      <c r="I467" s="23"/>
      <c r="J467" s="23"/>
      <c r="K467" s="23"/>
      <c r="L467" s="23" t="s">
        <v>772</v>
      </c>
      <c r="M467" s="23"/>
      <c r="N467" s="23"/>
    </row>
    <row r="468" customFormat="1" ht="86" customHeight="1" spans="1:14">
      <c r="A468" t="str">
        <f t="shared" si="14"/>
        <v>XXXX-2229月23日上午</v>
      </c>
      <c r="B468" s="20"/>
      <c r="C468" s="24"/>
      <c r="D468" s="22"/>
      <c r="E468" s="22" t="s">
        <v>261</v>
      </c>
      <c r="F468" s="23" t="s">
        <v>531</v>
      </c>
      <c r="G468" s="23"/>
      <c r="H468" s="23"/>
      <c r="I468" s="23"/>
      <c r="J468" s="23" t="s">
        <v>737</v>
      </c>
      <c r="K468" s="25"/>
      <c r="L468" s="23"/>
      <c r="M468" s="23"/>
      <c r="N468" s="23"/>
    </row>
    <row r="469" customFormat="1" ht="86" customHeight="1" spans="1:14">
      <c r="A469" t="str">
        <f t="shared" si="14"/>
        <v>9月23日上午</v>
      </c>
      <c r="B469" s="20"/>
      <c r="C469" s="26"/>
      <c r="D469" s="22"/>
      <c r="E469" s="22"/>
      <c r="F469" s="23" t="s">
        <v>531</v>
      </c>
      <c r="G469" s="23"/>
      <c r="H469" s="23"/>
      <c r="I469" s="23"/>
      <c r="J469" s="23"/>
      <c r="K469" s="23"/>
      <c r="L469" s="23" t="s">
        <v>773</v>
      </c>
      <c r="M469" s="23"/>
      <c r="N469" s="23"/>
    </row>
    <row r="470" customFormat="1" ht="86" customHeight="1" spans="1:14">
      <c r="A470" t="str">
        <f t="shared" si="14"/>
        <v>9月23日上午</v>
      </c>
      <c r="B470" s="20"/>
      <c r="C470" s="21"/>
      <c r="D470" s="22"/>
      <c r="E470" s="22"/>
      <c r="F470" s="23" t="s">
        <v>531</v>
      </c>
      <c r="G470" s="23"/>
      <c r="H470" s="23"/>
      <c r="I470" s="23"/>
      <c r="J470" s="23" t="s">
        <v>765</v>
      </c>
      <c r="K470" s="23"/>
      <c r="L470" s="23"/>
      <c r="M470" s="23"/>
      <c r="N470" s="23"/>
    </row>
    <row r="471" customFormat="1" ht="86" customHeight="1" spans="1:14">
      <c r="A471" t="str">
        <f t="shared" si="14"/>
        <v>9月23日上午</v>
      </c>
      <c r="B471" s="20"/>
      <c r="C471" s="26"/>
      <c r="D471" s="22"/>
      <c r="E471" s="22"/>
      <c r="F471" s="23" t="s">
        <v>531</v>
      </c>
      <c r="G471" s="23"/>
      <c r="H471" s="23"/>
      <c r="I471" s="23"/>
      <c r="J471" s="23"/>
      <c r="K471" s="23"/>
      <c r="L471" s="23"/>
      <c r="M471" s="23"/>
      <c r="N471" s="23"/>
    </row>
    <row r="472" customFormat="1" ht="86" customHeight="1" spans="1:14">
      <c r="A472" t="str">
        <f t="shared" si="14"/>
        <v>9月23日上午</v>
      </c>
      <c r="B472" s="20"/>
      <c r="C472" s="20"/>
      <c r="D472" s="22"/>
      <c r="E472" s="27"/>
      <c r="F472" s="23" t="s">
        <v>531</v>
      </c>
      <c r="G472" s="23"/>
      <c r="H472" s="23"/>
      <c r="I472" s="23"/>
      <c r="J472" s="23"/>
      <c r="K472" s="23"/>
      <c r="L472" s="23"/>
      <c r="M472" s="23"/>
      <c r="N472" s="23"/>
    </row>
    <row r="473" customFormat="1" ht="86" customHeight="1" spans="1:14">
      <c r="A473" t="str">
        <f t="shared" si="14"/>
        <v>9月23日上午</v>
      </c>
      <c r="B473" s="20"/>
      <c r="C473" s="20"/>
      <c r="D473" s="22"/>
      <c r="E473" s="22"/>
      <c r="F473" s="23" t="s">
        <v>531</v>
      </c>
      <c r="G473" s="23"/>
      <c r="H473" s="23"/>
      <c r="I473" s="23"/>
      <c r="J473" s="23"/>
      <c r="K473" s="23"/>
      <c r="L473" s="23"/>
      <c r="M473" s="23"/>
      <c r="N473" s="23"/>
    </row>
    <row r="474" spans="1:14">
      <c r="A474" t="str">
        <f t="shared" ref="A474:A507" si="15">E474&amp;F474</f>
        <v/>
      </c>
    </row>
    <row r="475" customFormat="1" spans="1:14">
      <c r="A475" t="str">
        <f t="shared" si="15"/>
        <v>SKU</v>
      </c>
      <c r="B475" s="12" t="s">
        <v>240</v>
      </c>
      <c r="C475" s="12" t="s">
        <v>611</v>
      </c>
      <c r="D475" s="12" t="s">
        <v>612</v>
      </c>
      <c r="E475" s="12" t="s">
        <v>613</v>
      </c>
      <c r="F475" s="12"/>
      <c r="G475" s="17" t="s">
        <v>614</v>
      </c>
      <c r="H475" s="17"/>
      <c r="I475" s="17"/>
      <c r="J475" s="17"/>
      <c r="K475" s="17"/>
      <c r="L475" s="17"/>
      <c r="M475" s="17"/>
      <c r="N475" s="17"/>
    </row>
    <row r="476" customFormat="1" spans="1:14">
      <c r="A476" t="str">
        <f t="shared" si="15"/>
        <v/>
      </c>
      <c r="B476" s="12"/>
      <c r="C476" s="12"/>
      <c r="D476" s="12"/>
      <c r="E476" s="12"/>
      <c r="F476" s="16"/>
      <c r="G476" s="17" t="s">
        <v>483</v>
      </c>
      <c r="H476" s="17"/>
      <c r="I476" s="17" t="s">
        <v>620</v>
      </c>
      <c r="J476" s="17"/>
      <c r="K476" s="17" t="s">
        <v>485</v>
      </c>
      <c r="L476" s="17"/>
      <c r="M476" s="17" t="s">
        <v>486</v>
      </c>
      <c r="N476" s="17"/>
    </row>
    <row r="477" customFormat="1" spans="1:14">
      <c r="A477" t="str">
        <f t="shared" si="15"/>
        <v>日期</v>
      </c>
      <c r="B477" s="18"/>
      <c r="C477" s="18"/>
      <c r="D477" s="18"/>
      <c r="E477" s="18"/>
      <c r="F477" s="19" t="s">
        <v>277</v>
      </c>
      <c r="G477" s="17" t="s">
        <v>487</v>
      </c>
      <c r="H477" s="17" t="s">
        <v>488</v>
      </c>
      <c r="I477" s="17" t="s">
        <v>487</v>
      </c>
      <c r="J477" s="17" t="s">
        <v>488</v>
      </c>
      <c r="K477" s="17" t="s">
        <v>487</v>
      </c>
      <c r="L477" s="17" t="s">
        <v>488</v>
      </c>
      <c r="M477" s="17" t="s">
        <v>487</v>
      </c>
      <c r="N477" s="17" t="s">
        <v>488</v>
      </c>
    </row>
    <row r="478" customFormat="1" ht="90" customHeight="1" spans="1:14">
      <c r="A478" t="str">
        <f t="shared" si="15"/>
        <v>XXXX-1119月23日晚上</v>
      </c>
      <c r="B478" s="20"/>
      <c r="C478" s="21"/>
      <c r="D478" s="34"/>
      <c r="E478" s="34" t="s">
        <v>5</v>
      </c>
      <c r="F478" s="23" t="s">
        <v>532</v>
      </c>
      <c r="G478" s="23"/>
      <c r="H478" s="23" t="s">
        <v>774</v>
      </c>
      <c r="I478" s="23"/>
      <c r="J478" s="23"/>
      <c r="K478" s="23"/>
      <c r="L478" s="23" t="s">
        <v>775</v>
      </c>
      <c r="M478" s="23"/>
      <c r="N478" s="23"/>
    </row>
    <row r="479" customFormat="1" ht="90" customHeight="1" spans="1:14">
      <c r="A479" t="str">
        <f t="shared" si="15"/>
        <v>XXXX-2229月23日晚上</v>
      </c>
      <c r="B479" s="20"/>
      <c r="C479" s="24"/>
      <c r="D479" s="22"/>
      <c r="E479" s="22" t="s">
        <v>261</v>
      </c>
      <c r="F479" s="23" t="s">
        <v>532</v>
      </c>
      <c r="G479" s="23"/>
      <c r="H479" s="23"/>
      <c r="I479" s="23"/>
      <c r="J479" s="23" t="s">
        <v>776</v>
      </c>
      <c r="K479" s="32"/>
      <c r="L479" s="23"/>
      <c r="M479" s="23"/>
      <c r="N479" s="23"/>
    </row>
    <row r="480" customFormat="1" ht="90" customHeight="1" spans="1:14">
      <c r="A480" t="str">
        <f t="shared" si="15"/>
        <v>9月23日晚上</v>
      </c>
      <c r="B480" s="20"/>
      <c r="C480" s="26"/>
      <c r="D480" s="34"/>
      <c r="E480" s="34"/>
      <c r="F480" s="23" t="s">
        <v>532</v>
      </c>
      <c r="G480" s="23"/>
      <c r="H480" s="36"/>
      <c r="I480" s="23"/>
      <c r="J480" s="23"/>
      <c r="K480" s="23" t="s">
        <v>777</v>
      </c>
      <c r="L480" s="23" t="s">
        <v>778</v>
      </c>
      <c r="M480" s="23"/>
      <c r="N480" s="23"/>
    </row>
    <row r="481" customFormat="1" ht="90" customHeight="1" spans="1:14">
      <c r="A481" t="str">
        <f t="shared" si="15"/>
        <v>9月23日晚上</v>
      </c>
      <c r="B481" s="20"/>
      <c r="C481" s="21"/>
      <c r="D481" s="22"/>
      <c r="E481" s="22"/>
      <c r="F481" s="23" t="s">
        <v>532</v>
      </c>
      <c r="G481" s="23"/>
      <c r="H481" s="23"/>
      <c r="I481" s="23"/>
      <c r="J481" s="23" t="s">
        <v>779</v>
      </c>
      <c r="K481" s="23"/>
      <c r="L481" s="23"/>
      <c r="M481" s="23"/>
      <c r="N481" s="23"/>
    </row>
    <row r="482" customFormat="1" ht="90" customHeight="1" spans="1:14">
      <c r="A482" t="str">
        <f t="shared" si="15"/>
        <v>9月23日晚上</v>
      </c>
      <c r="B482" s="20"/>
      <c r="C482" s="26"/>
      <c r="D482" s="34"/>
      <c r="E482" s="34"/>
      <c r="F482" s="23" t="s">
        <v>532</v>
      </c>
      <c r="G482" s="23"/>
      <c r="H482" s="23"/>
      <c r="I482" s="23"/>
      <c r="J482" s="23"/>
      <c r="K482" s="36"/>
      <c r="L482" s="23"/>
      <c r="M482" s="23"/>
      <c r="N482" s="23"/>
    </row>
    <row r="483" customFormat="1" ht="90" customHeight="1" spans="1:14">
      <c r="A483" t="str">
        <f t="shared" si="15"/>
        <v> 
9月23日晚上</v>
      </c>
      <c r="B483" s="20"/>
      <c r="C483" s="20"/>
      <c r="D483" s="34"/>
      <c r="E483" s="35" t="s">
        <v>637</v>
      </c>
      <c r="F483" s="23" t="s">
        <v>532</v>
      </c>
      <c r="G483" s="23" t="s">
        <v>780</v>
      </c>
      <c r="H483" s="23"/>
      <c r="I483" s="23"/>
      <c r="J483" s="23"/>
      <c r="K483" s="23"/>
      <c r="L483" s="23"/>
      <c r="M483" s="23"/>
      <c r="N483" s="23"/>
    </row>
    <row r="484" customFormat="1" ht="90" customHeight="1" spans="1:14">
      <c r="A484" t="str">
        <f t="shared" si="15"/>
        <v>9月23日晚上</v>
      </c>
      <c r="B484" s="20"/>
      <c r="C484" s="20"/>
      <c r="D484" s="34"/>
      <c r="E484" s="34"/>
      <c r="F484" s="23" t="s">
        <v>532</v>
      </c>
      <c r="G484" s="23"/>
      <c r="H484" s="23"/>
      <c r="I484" s="23"/>
      <c r="J484" s="23"/>
      <c r="K484" s="23"/>
      <c r="L484" s="23"/>
      <c r="M484" s="23" t="s">
        <v>706</v>
      </c>
      <c r="N484" s="23" t="s">
        <v>781</v>
      </c>
    </row>
    <row r="485" spans="1:14">
      <c r="A485" t="str">
        <f t="shared" si="15"/>
        <v/>
      </c>
    </row>
    <row r="486" spans="1:14">
      <c r="A486" t="str">
        <f t="shared" si="15"/>
        <v/>
      </c>
    </row>
    <row r="487" customFormat="1" spans="1:14">
      <c r="A487" t="str">
        <f t="shared" si="15"/>
        <v>SKU</v>
      </c>
      <c r="B487" s="12" t="s">
        <v>240</v>
      </c>
      <c r="C487" s="12" t="s">
        <v>611</v>
      </c>
      <c r="D487" s="12" t="s">
        <v>612</v>
      </c>
      <c r="E487" s="12" t="s">
        <v>613</v>
      </c>
      <c r="F487" s="12"/>
      <c r="G487" s="13" t="s">
        <v>614</v>
      </c>
      <c r="H487" s="14"/>
      <c r="I487" s="14"/>
      <c r="J487" s="14"/>
      <c r="K487" s="14"/>
      <c r="L487" s="14"/>
      <c r="M487" s="14"/>
      <c r="N487" s="15"/>
    </row>
    <row r="488" customFormat="1" spans="1:14">
      <c r="A488" t="str">
        <f t="shared" si="15"/>
        <v/>
      </c>
      <c r="B488" s="12"/>
      <c r="C488" s="12"/>
      <c r="D488" s="12"/>
      <c r="E488" s="12"/>
      <c r="F488" s="16"/>
      <c r="G488" s="13" t="s">
        <v>483</v>
      </c>
      <c r="H488" s="14"/>
      <c r="I488" s="13" t="s">
        <v>484</v>
      </c>
      <c r="J488" s="14"/>
      <c r="K488" s="13" t="s">
        <v>485</v>
      </c>
      <c r="L488" s="14"/>
      <c r="M488" s="17" t="s">
        <v>486</v>
      </c>
      <c r="N488" s="17"/>
    </row>
    <row r="489" customFormat="1" spans="1:14">
      <c r="A489" t="str">
        <f t="shared" si="15"/>
        <v>日期</v>
      </c>
      <c r="B489" s="18"/>
      <c r="C489" s="18"/>
      <c r="D489" s="18"/>
      <c r="E489" s="18"/>
      <c r="F489" s="19" t="s">
        <v>277</v>
      </c>
      <c r="G489" s="17" t="s">
        <v>487</v>
      </c>
      <c r="H489" s="17" t="s">
        <v>488</v>
      </c>
      <c r="I489" s="17" t="s">
        <v>487</v>
      </c>
      <c r="J489" s="17" t="s">
        <v>488</v>
      </c>
      <c r="K489" s="17" t="s">
        <v>487</v>
      </c>
      <c r="L489" s="17" t="s">
        <v>488</v>
      </c>
      <c r="M489" s="17" t="s">
        <v>487</v>
      </c>
      <c r="N489" s="17" t="s">
        <v>488</v>
      </c>
    </row>
    <row r="490" customFormat="1" ht="86" customHeight="1" spans="1:14">
      <c r="A490" t="str">
        <f t="shared" si="15"/>
        <v>XXXX-1119月24日上午</v>
      </c>
      <c r="B490" s="20"/>
      <c r="C490" s="21"/>
      <c r="D490" s="22"/>
      <c r="E490" s="22" t="s">
        <v>5</v>
      </c>
      <c r="F490" s="23" t="s">
        <v>533</v>
      </c>
      <c r="G490" s="23"/>
      <c r="H490" s="23" t="s">
        <v>729</v>
      </c>
      <c r="I490" s="23"/>
      <c r="J490" s="23"/>
      <c r="K490" s="23"/>
      <c r="L490" s="23" t="s">
        <v>782</v>
      </c>
      <c r="M490" s="23"/>
      <c r="N490" s="23"/>
    </row>
    <row r="491" customFormat="1" ht="86" customHeight="1" spans="1:14">
      <c r="A491" t="str">
        <f t="shared" si="15"/>
        <v>XXXX-2229月24日上午</v>
      </c>
      <c r="B491" s="20"/>
      <c r="C491" s="24"/>
      <c r="D491" s="22"/>
      <c r="E491" s="22" t="s">
        <v>261</v>
      </c>
      <c r="F491" s="23" t="s">
        <v>533</v>
      </c>
      <c r="G491" s="23"/>
      <c r="H491" s="23"/>
      <c r="I491" s="23"/>
      <c r="J491" s="23" t="s">
        <v>783</v>
      </c>
      <c r="K491" s="25"/>
      <c r="L491" s="23"/>
      <c r="M491" s="23"/>
      <c r="N491" s="23"/>
    </row>
    <row r="492" customFormat="1" ht="86" customHeight="1" spans="1:14">
      <c r="A492" t="str">
        <f t="shared" si="15"/>
        <v>9月24日上午</v>
      </c>
      <c r="B492" s="20"/>
      <c r="C492" s="26"/>
      <c r="D492" s="22"/>
      <c r="E492" s="22"/>
      <c r="F492" s="23" t="s">
        <v>533</v>
      </c>
      <c r="G492" s="23"/>
      <c r="H492" s="23"/>
      <c r="I492" s="23"/>
      <c r="J492" s="23"/>
      <c r="K492" s="23"/>
      <c r="L492" s="23" t="s">
        <v>784</v>
      </c>
      <c r="M492" s="23"/>
      <c r="N492" s="23"/>
    </row>
    <row r="493" customFormat="1" ht="86" customHeight="1" spans="1:14">
      <c r="A493" t="str">
        <f t="shared" si="15"/>
        <v>9月24日上午</v>
      </c>
      <c r="B493" s="20"/>
      <c r="C493" s="21"/>
      <c r="D493" s="22"/>
      <c r="E493" s="22"/>
      <c r="F493" s="23" t="s">
        <v>533</v>
      </c>
      <c r="G493" s="23"/>
      <c r="H493" s="23"/>
      <c r="I493" s="23"/>
      <c r="J493" s="23" t="s">
        <v>785</v>
      </c>
      <c r="K493" s="23"/>
      <c r="L493" s="23"/>
      <c r="M493" s="23"/>
      <c r="N493" s="23"/>
    </row>
    <row r="494" customFormat="1" ht="86" customHeight="1" spans="1:14">
      <c r="A494" t="str">
        <f t="shared" si="15"/>
        <v>9月24日上午</v>
      </c>
      <c r="B494" s="20"/>
      <c r="C494" s="26"/>
      <c r="D494" s="22"/>
      <c r="E494" s="22"/>
      <c r="F494" s="23" t="s">
        <v>533</v>
      </c>
      <c r="G494" s="23"/>
      <c r="H494" s="23"/>
      <c r="I494" s="23"/>
      <c r="J494" s="23"/>
      <c r="K494" s="23"/>
      <c r="L494" s="23"/>
      <c r="M494" s="23"/>
      <c r="N494" s="23"/>
    </row>
    <row r="495" customFormat="1" ht="86" customHeight="1" spans="1:14">
      <c r="A495" t="str">
        <f t="shared" si="15"/>
        <v>9月24日上午</v>
      </c>
      <c r="B495" s="20"/>
      <c r="C495" s="20"/>
      <c r="D495" s="22"/>
      <c r="E495" s="27"/>
      <c r="F495" s="23" t="s">
        <v>533</v>
      </c>
      <c r="G495" s="23"/>
      <c r="H495" s="23"/>
      <c r="I495" s="23"/>
      <c r="J495" s="23"/>
      <c r="K495" s="23"/>
      <c r="L495" s="23"/>
      <c r="M495" s="23"/>
      <c r="N495" s="23"/>
    </row>
    <row r="496" customFormat="1" ht="86" customHeight="1" spans="1:14">
      <c r="A496" t="str">
        <f t="shared" si="15"/>
        <v>9月24日上午</v>
      </c>
      <c r="B496" s="20"/>
      <c r="C496" s="20"/>
      <c r="D496" s="22"/>
      <c r="E496" s="22"/>
      <c r="F496" s="23" t="s">
        <v>533</v>
      </c>
      <c r="G496" s="23"/>
      <c r="H496" s="23"/>
      <c r="I496" s="23"/>
      <c r="J496" s="23"/>
      <c r="K496" s="23"/>
      <c r="L496" s="23"/>
      <c r="M496" s="23"/>
      <c r="N496" s="23" t="s">
        <v>702</v>
      </c>
    </row>
    <row r="497" spans="1:14">
      <c r="A497" t="str">
        <f t="shared" si="15"/>
        <v/>
      </c>
    </row>
    <row r="498" customFormat="1" spans="1:14">
      <c r="A498" t="str">
        <f t="shared" si="15"/>
        <v>SKU</v>
      </c>
      <c r="B498" s="12" t="s">
        <v>240</v>
      </c>
      <c r="C498" s="12" t="s">
        <v>611</v>
      </c>
      <c r="D498" s="12" t="s">
        <v>612</v>
      </c>
      <c r="E498" s="12" t="s">
        <v>613</v>
      </c>
      <c r="F498" s="12"/>
      <c r="G498" s="17" t="s">
        <v>614</v>
      </c>
      <c r="H498" s="17"/>
      <c r="I498" s="17"/>
      <c r="J498" s="17"/>
      <c r="K498" s="17"/>
      <c r="L498" s="17"/>
      <c r="M498" s="17"/>
      <c r="N498" s="17"/>
    </row>
    <row r="499" customFormat="1" spans="1:14">
      <c r="A499" t="str">
        <f t="shared" si="15"/>
        <v/>
      </c>
      <c r="B499" s="12"/>
      <c r="C499" s="12"/>
      <c r="D499" s="12"/>
      <c r="E499" s="12"/>
      <c r="F499" s="16"/>
      <c r="G499" s="17" t="s">
        <v>483</v>
      </c>
      <c r="H499" s="17"/>
      <c r="I499" s="17" t="s">
        <v>620</v>
      </c>
      <c r="J499" s="17"/>
      <c r="K499" s="17" t="s">
        <v>485</v>
      </c>
      <c r="L499" s="17"/>
      <c r="M499" s="17" t="s">
        <v>486</v>
      </c>
      <c r="N499" s="17"/>
    </row>
    <row r="500" customFormat="1" spans="1:14">
      <c r="A500" t="str">
        <f t="shared" si="15"/>
        <v>日期</v>
      </c>
      <c r="B500" s="18"/>
      <c r="C500" s="18"/>
      <c r="D500" s="18"/>
      <c r="E500" s="18"/>
      <c r="F500" s="19" t="s">
        <v>277</v>
      </c>
      <c r="G500" s="17" t="s">
        <v>487</v>
      </c>
      <c r="H500" s="17" t="s">
        <v>488</v>
      </c>
      <c r="I500" s="17" t="s">
        <v>487</v>
      </c>
      <c r="J500" s="17" t="s">
        <v>488</v>
      </c>
      <c r="K500" s="17" t="s">
        <v>487</v>
      </c>
      <c r="L500" s="17" t="s">
        <v>488</v>
      </c>
      <c r="M500" s="17" t="s">
        <v>487</v>
      </c>
      <c r="N500" s="17" t="s">
        <v>488</v>
      </c>
    </row>
    <row r="501" customFormat="1" ht="90" customHeight="1" spans="1:14">
      <c r="A501" t="str">
        <f t="shared" si="15"/>
        <v>XXXX-1119月24日晚上</v>
      </c>
      <c r="B501" s="20"/>
      <c r="C501" s="21"/>
      <c r="D501" s="34"/>
      <c r="E501" s="34" t="s">
        <v>5</v>
      </c>
      <c r="F501" s="23" t="s">
        <v>534</v>
      </c>
      <c r="G501" s="23"/>
      <c r="H501" s="23" t="s">
        <v>711</v>
      </c>
      <c r="I501" s="23"/>
      <c r="J501" s="23"/>
      <c r="K501" s="23"/>
      <c r="L501" s="23" t="s">
        <v>764</v>
      </c>
      <c r="M501" s="23"/>
      <c r="N501" s="23"/>
    </row>
    <row r="502" customFormat="1" ht="90" customHeight="1" spans="1:14">
      <c r="A502" t="str">
        <f t="shared" si="15"/>
        <v>XXXX-2229月24日晚上</v>
      </c>
      <c r="B502" s="20"/>
      <c r="C502" s="24"/>
      <c r="D502" s="22"/>
      <c r="E502" s="22" t="s">
        <v>261</v>
      </c>
      <c r="F502" s="23" t="s">
        <v>534</v>
      </c>
      <c r="G502" s="23"/>
      <c r="H502" s="23"/>
      <c r="I502" s="23"/>
      <c r="J502" s="23" t="s">
        <v>786</v>
      </c>
      <c r="K502" s="32"/>
      <c r="L502" s="23"/>
      <c r="M502" s="23"/>
      <c r="N502" s="23"/>
    </row>
    <row r="503" customFormat="1" ht="90" customHeight="1" spans="1:14">
      <c r="A503" t="str">
        <f t="shared" si="15"/>
        <v>9月24日晚上</v>
      </c>
      <c r="B503" s="20"/>
      <c r="C503" s="26"/>
      <c r="D503" s="34"/>
      <c r="E503" s="34"/>
      <c r="F503" s="23" t="s">
        <v>534</v>
      </c>
      <c r="G503" s="23"/>
      <c r="H503" s="36"/>
      <c r="I503" s="23"/>
      <c r="J503" s="23"/>
      <c r="K503" s="23" t="s">
        <v>787</v>
      </c>
      <c r="L503" s="23" t="s">
        <v>788</v>
      </c>
      <c r="M503" s="23"/>
      <c r="N503" s="23"/>
    </row>
    <row r="504" customFormat="1" ht="90" customHeight="1" spans="1:14">
      <c r="A504" t="str">
        <f t="shared" si="15"/>
        <v>9月24日晚上</v>
      </c>
      <c r="B504" s="20"/>
      <c r="C504" s="21"/>
      <c r="D504" s="22"/>
      <c r="E504" s="22"/>
      <c r="F504" s="23" t="s">
        <v>534</v>
      </c>
      <c r="G504" s="23"/>
      <c r="H504" s="23"/>
      <c r="I504" s="23"/>
      <c r="J504" s="23" t="s">
        <v>679</v>
      </c>
      <c r="K504" s="23"/>
      <c r="L504" s="23"/>
      <c r="M504" s="23"/>
      <c r="N504" s="23"/>
    </row>
    <row r="505" customFormat="1" ht="90" customHeight="1" spans="1:14">
      <c r="A505" t="str">
        <f t="shared" si="15"/>
        <v>9月24日晚上</v>
      </c>
      <c r="B505" s="20"/>
      <c r="C505" s="26"/>
      <c r="D505" s="34"/>
      <c r="E505" s="34"/>
      <c r="F505" s="23" t="s">
        <v>534</v>
      </c>
      <c r="G505" s="23"/>
      <c r="H505" s="23"/>
      <c r="I505" s="23"/>
      <c r="J505" s="23"/>
      <c r="K505" s="36"/>
      <c r="L505" s="23"/>
      <c r="M505" s="23"/>
      <c r="N505" s="23"/>
    </row>
    <row r="506" customFormat="1" ht="90" customHeight="1" spans="1:14">
      <c r="A506" t="str">
        <f t="shared" si="15"/>
        <v> 
9月24日晚上</v>
      </c>
      <c r="B506" s="20"/>
      <c r="C506" s="20"/>
      <c r="D506" s="34"/>
      <c r="E506" s="35" t="s">
        <v>637</v>
      </c>
      <c r="F506" s="23" t="s">
        <v>534</v>
      </c>
      <c r="G506" s="23" t="s">
        <v>628</v>
      </c>
      <c r="H506" s="23"/>
      <c r="I506" s="23"/>
      <c r="J506" s="23"/>
      <c r="K506" s="23"/>
      <c r="L506" s="23"/>
      <c r="M506" s="23"/>
      <c r="N506" s="23"/>
    </row>
    <row r="507" customFormat="1" ht="90" customHeight="1" spans="1:14">
      <c r="A507" t="str">
        <f t="shared" si="15"/>
        <v>9月24日晚上</v>
      </c>
      <c r="B507" s="20"/>
      <c r="C507" s="20"/>
      <c r="D507" s="34"/>
      <c r="E507" s="34"/>
      <c r="F507" s="23" t="s">
        <v>534</v>
      </c>
      <c r="G507" s="23"/>
      <c r="H507" s="23"/>
      <c r="I507" s="23"/>
      <c r="J507" s="23"/>
      <c r="K507" s="23"/>
      <c r="L507" s="23"/>
      <c r="M507" s="23"/>
      <c r="N507" s="23" t="s">
        <v>732</v>
      </c>
    </row>
    <row r="508" spans="1:14">
      <c r="A508" t="str">
        <f t="shared" ref="A508:A518" si="16">E508&amp;F508</f>
        <v/>
      </c>
    </row>
    <row r="509" customFormat="1" spans="1:14">
      <c r="A509" t="str">
        <f t="shared" si="16"/>
        <v>SKU</v>
      </c>
      <c r="B509" s="12" t="s">
        <v>240</v>
      </c>
      <c r="C509" s="12" t="s">
        <v>611</v>
      </c>
      <c r="D509" s="12" t="s">
        <v>612</v>
      </c>
      <c r="E509" s="12" t="s">
        <v>613</v>
      </c>
      <c r="F509" s="12"/>
      <c r="G509" s="13" t="s">
        <v>614</v>
      </c>
      <c r="H509" s="14"/>
      <c r="I509" s="14"/>
      <c r="J509" s="14"/>
      <c r="K509" s="14"/>
      <c r="L509" s="14"/>
      <c r="M509" s="14"/>
      <c r="N509" s="15"/>
    </row>
    <row r="510" customFormat="1" spans="1:14">
      <c r="A510" t="str">
        <f t="shared" si="16"/>
        <v/>
      </c>
      <c r="B510" s="12"/>
      <c r="C510" s="12"/>
      <c r="D510" s="12"/>
      <c r="E510" s="12"/>
      <c r="F510" s="16"/>
      <c r="G510" s="13" t="s">
        <v>483</v>
      </c>
      <c r="H510" s="14"/>
      <c r="I510" s="13" t="s">
        <v>484</v>
      </c>
      <c r="J510" s="14"/>
      <c r="K510" s="13" t="s">
        <v>485</v>
      </c>
      <c r="L510" s="14"/>
      <c r="M510" s="17" t="s">
        <v>486</v>
      </c>
      <c r="N510" s="17"/>
    </row>
    <row r="511" customFormat="1" spans="1:14">
      <c r="A511" t="str">
        <f t="shared" si="16"/>
        <v>日期</v>
      </c>
      <c r="B511" s="18"/>
      <c r="C511" s="18"/>
      <c r="D511" s="18"/>
      <c r="E511" s="18"/>
      <c r="F511" s="19" t="s">
        <v>277</v>
      </c>
      <c r="G511" s="17" t="s">
        <v>487</v>
      </c>
      <c r="H511" s="17" t="s">
        <v>488</v>
      </c>
      <c r="I511" s="17" t="s">
        <v>487</v>
      </c>
      <c r="J511" s="17" t="s">
        <v>488</v>
      </c>
      <c r="K511" s="17" t="s">
        <v>487</v>
      </c>
      <c r="L511" s="17" t="s">
        <v>488</v>
      </c>
      <c r="M511" s="17" t="s">
        <v>487</v>
      </c>
      <c r="N511" s="17" t="s">
        <v>488</v>
      </c>
    </row>
    <row r="512" customFormat="1" ht="86" customHeight="1" spans="1:14">
      <c r="A512" t="str">
        <f t="shared" si="16"/>
        <v>XXXX-1119月26日上午</v>
      </c>
      <c r="B512" s="20"/>
      <c r="C512" s="21"/>
      <c r="D512" s="22"/>
      <c r="E512" s="22" t="s">
        <v>5</v>
      </c>
      <c r="F512" s="23" t="s">
        <v>535</v>
      </c>
      <c r="G512" s="23"/>
      <c r="H512" s="23" t="s">
        <v>789</v>
      </c>
      <c r="I512" s="23"/>
      <c r="J512" s="23"/>
      <c r="K512" s="23"/>
      <c r="L512" s="23" t="s">
        <v>790</v>
      </c>
      <c r="M512" s="23"/>
      <c r="N512" s="23"/>
    </row>
    <row r="513" customFormat="1" ht="86" customHeight="1" spans="1:14">
      <c r="A513" t="str">
        <f t="shared" si="16"/>
        <v>XXXX-2229月26日上午</v>
      </c>
      <c r="B513" s="20"/>
      <c r="C513" s="24"/>
      <c r="D513" s="22"/>
      <c r="E513" s="22" t="s">
        <v>261</v>
      </c>
      <c r="F513" s="23" t="s">
        <v>535</v>
      </c>
      <c r="G513" s="23"/>
      <c r="H513" s="23"/>
      <c r="I513" s="23"/>
      <c r="J513" s="23" t="s">
        <v>791</v>
      </c>
      <c r="K513" s="25"/>
      <c r="L513" s="23"/>
      <c r="M513" s="23"/>
      <c r="N513" s="23"/>
    </row>
    <row r="514" customFormat="1" ht="86" customHeight="1" spans="1:14">
      <c r="A514" t="str">
        <f t="shared" si="16"/>
        <v>9月26日上午</v>
      </c>
      <c r="B514" s="20"/>
      <c r="C514" s="26"/>
      <c r="D514" s="22"/>
      <c r="E514" s="22"/>
      <c r="F514" s="23" t="s">
        <v>535</v>
      </c>
      <c r="G514" s="23"/>
      <c r="H514" s="23" t="s">
        <v>726</v>
      </c>
      <c r="I514" s="23"/>
      <c r="J514" s="23"/>
      <c r="K514" s="23"/>
      <c r="L514" s="23" t="s">
        <v>792</v>
      </c>
      <c r="M514" s="23"/>
      <c r="N514" s="23"/>
    </row>
    <row r="515" customFormat="1" ht="86" customHeight="1" spans="1:14">
      <c r="A515" t="str">
        <f t="shared" si="16"/>
        <v>9月26日上午</v>
      </c>
      <c r="B515" s="20"/>
      <c r="C515" s="21"/>
      <c r="D515" s="22"/>
      <c r="E515" s="22"/>
      <c r="F515" s="23" t="s">
        <v>535</v>
      </c>
      <c r="G515" s="23"/>
      <c r="H515" s="23"/>
      <c r="I515" s="23"/>
      <c r="J515" s="23" t="s">
        <v>732</v>
      </c>
      <c r="K515" s="23"/>
      <c r="L515" s="23"/>
      <c r="M515" s="23"/>
      <c r="N515" s="23"/>
    </row>
    <row r="516" customFormat="1" ht="86" customHeight="1" spans="1:14">
      <c r="A516" t="str">
        <f t="shared" si="16"/>
        <v>9月26日上午</v>
      </c>
      <c r="B516" s="20"/>
      <c r="C516" s="26"/>
      <c r="D516" s="22"/>
      <c r="E516" s="22"/>
      <c r="F516" s="23" t="s">
        <v>535</v>
      </c>
      <c r="G516" s="23"/>
      <c r="H516" s="23"/>
      <c r="I516" s="23"/>
      <c r="J516" s="23"/>
      <c r="K516" s="23"/>
      <c r="L516" s="23"/>
      <c r="M516" s="23"/>
      <c r="N516" s="23"/>
    </row>
    <row r="517" customFormat="1" ht="86" customHeight="1" spans="1:14">
      <c r="A517" t="str">
        <f t="shared" si="16"/>
        <v>9月26日上午</v>
      </c>
      <c r="B517" s="20"/>
      <c r="C517" s="20"/>
      <c r="D517" s="22"/>
      <c r="E517" s="27"/>
      <c r="F517" s="23" t="s">
        <v>535</v>
      </c>
      <c r="G517" s="23"/>
      <c r="I517" s="23"/>
      <c r="J517" s="23"/>
      <c r="K517" s="23"/>
      <c r="L517" s="23"/>
      <c r="M517" s="23"/>
      <c r="N517" s="23"/>
    </row>
    <row r="518" customFormat="1" ht="86" customHeight="1" spans="1:14">
      <c r="A518" t="str">
        <f t="shared" si="16"/>
        <v>9月26日上午</v>
      </c>
      <c r="B518" s="20"/>
      <c r="C518" s="20"/>
      <c r="D518" s="22"/>
      <c r="E518" s="22"/>
      <c r="F518" s="23" t="s">
        <v>535</v>
      </c>
      <c r="G518" s="23"/>
      <c r="H518" s="23"/>
      <c r="I518" s="23"/>
      <c r="J518" s="23"/>
      <c r="K518" s="23"/>
      <c r="L518" s="23"/>
      <c r="M518" s="23"/>
      <c r="N518" s="23" t="s">
        <v>793</v>
      </c>
    </row>
    <row r="519" spans="1:14">
      <c r="A519" t="str">
        <f t="shared" ref="A519:A550" si="17">E519&amp;F519</f>
        <v/>
      </c>
    </row>
    <row r="520" customFormat="1" spans="1:14">
      <c r="A520" t="str">
        <f t="shared" si="17"/>
        <v>SKU</v>
      </c>
      <c r="B520" s="12" t="s">
        <v>240</v>
      </c>
      <c r="C520" s="12" t="s">
        <v>611</v>
      </c>
      <c r="D520" s="12" t="s">
        <v>612</v>
      </c>
      <c r="E520" s="12" t="s">
        <v>613</v>
      </c>
      <c r="F520" s="12"/>
      <c r="G520" s="17" t="s">
        <v>614</v>
      </c>
      <c r="H520" s="17"/>
      <c r="I520" s="17"/>
      <c r="J520" s="17"/>
      <c r="K520" s="17"/>
      <c r="L520" s="17"/>
      <c r="M520" s="17"/>
      <c r="N520" s="17"/>
    </row>
    <row r="521" customFormat="1" spans="1:14">
      <c r="A521" t="str">
        <f t="shared" si="17"/>
        <v/>
      </c>
      <c r="B521" s="12"/>
      <c r="C521" s="12"/>
      <c r="D521" s="12"/>
      <c r="E521" s="12"/>
      <c r="F521" s="16"/>
      <c r="G521" s="17" t="s">
        <v>483</v>
      </c>
      <c r="H521" s="17"/>
      <c r="I521" s="17" t="s">
        <v>620</v>
      </c>
      <c r="J521" s="17"/>
      <c r="K521" s="17" t="s">
        <v>485</v>
      </c>
      <c r="L521" s="17"/>
      <c r="M521" s="17" t="s">
        <v>486</v>
      </c>
      <c r="N521" s="17"/>
    </row>
    <row r="522" customFormat="1" spans="1:14">
      <c r="A522" t="str">
        <f t="shared" si="17"/>
        <v>日期</v>
      </c>
      <c r="B522" s="18"/>
      <c r="C522" s="18"/>
      <c r="D522" s="18"/>
      <c r="E522" s="18"/>
      <c r="F522" s="19" t="s">
        <v>277</v>
      </c>
      <c r="G522" s="17" t="s">
        <v>487</v>
      </c>
      <c r="H522" s="17" t="s">
        <v>488</v>
      </c>
      <c r="I522" s="17" t="s">
        <v>487</v>
      </c>
      <c r="J522" s="17" t="s">
        <v>488</v>
      </c>
      <c r="K522" s="17" t="s">
        <v>487</v>
      </c>
      <c r="L522" s="17" t="s">
        <v>488</v>
      </c>
      <c r="M522" s="17" t="s">
        <v>487</v>
      </c>
      <c r="N522" s="17" t="s">
        <v>488</v>
      </c>
    </row>
    <row r="523" customFormat="1" ht="90" customHeight="1" spans="1:14">
      <c r="A523" t="str">
        <f t="shared" si="17"/>
        <v>XXXX-1119月26日晚上</v>
      </c>
      <c r="B523" s="20"/>
      <c r="C523" s="21"/>
      <c r="D523" s="34"/>
      <c r="E523" s="34" t="s">
        <v>5</v>
      </c>
      <c r="F523" s="23" t="s">
        <v>536</v>
      </c>
      <c r="G523" s="23"/>
      <c r="H523" s="23" t="s">
        <v>794</v>
      </c>
      <c r="I523" s="23"/>
      <c r="J523" s="23"/>
      <c r="K523" s="23"/>
      <c r="L523" s="23" t="s">
        <v>795</v>
      </c>
      <c r="M523" s="23"/>
      <c r="N523" s="23"/>
    </row>
    <row r="524" customFormat="1" ht="90" customHeight="1" spans="1:14">
      <c r="A524" t="str">
        <f t="shared" si="17"/>
        <v>XXXX-2229月26日晚上</v>
      </c>
      <c r="B524" s="20"/>
      <c r="C524" s="24"/>
      <c r="D524" s="22"/>
      <c r="E524" s="22" t="s">
        <v>261</v>
      </c>
      <c r="F524" s="23" t="s">
        <v>536</v>
      </c>
      <c r="G524" s="23"/>
      <c r="H524" s="23"/>
      <c r="I524" s="23"/>
      <c r="J524" s="23" t="s">
        <v>796</v>
      </c>
      <c r="K524" s="32"/>
      <c r="L524" s="23"/>
      <c r="M524" s="23"/>
      <c r="N524" s="23"/>
    </row>
    <row r="525" customFormat="1" ht="90" customHeight="1" spans="1:14">
      <c r="A525" t="str">
        <f t="shared" si="17"/>
        <v>9月26日晚上</v>
      </c>
      <c r="B525" s="20"/>
      <c r="C525" s="26"/>
      <c r="D525" s="34"/>
      <c r="E525" s="34"/>
      <c r="F525" s="23" t="s">
        <v>536</v>
      </c>
      <c r="G525" s="23"/>
      <c r="H525" s="36"/>
      <c r="I525" s="23"/>
      <c r="J525" s="23"/>
      <c r="K525" s="23" t="s">
        <v>797</v>
      </c>
      <c r="L525" s="23" t="s">
        <v>622</v>
      </c>
      <c r="M525" s="23"/>
      <c r="N525" s="23"/>
    </row>
    <row r="526" customFormat="1" ht="90" customHeight="1" spans="1:14">
      <c r="A526" t="str">
        <f t="shared" si="17"/>
        <v>9月26日晚上</v>
      </c>
      <c r="B526" s="20"/>
      <c r="C526" s="21"/>
      <c r="D526" s="22"/>
      <c r="E526" s="22"/>
      <c r="F526" s="23" t="s">
        <v>536</v>
      </c>
      <c r="G526" s="23"/>
      <c r="I526" s="23"/>
      <c r="J526" s="23" t="s">
        <v>749</v>
      </c>
      <c r="K526" s="23"/>
      <c r="L526" s="23"/>
      <c r="M526" s="23"/>
      <c r="N526" s="23"/>
    </row>
    <row r="527" customFormat="1" ht="90" customHeight="1" spans="1:14">
      <c r="A527" t="str">
        <f t="shared" si="17"/>
        <v>9月26日晚上</v>
      </c>
      <c r="B527" s="20"/>
      <c r="C527" s="26"/>
      <c r="D527" s="34"/>
      <c r="E527" s="34"/>
      <c r="F527" s="23" t="s">
        <v>536</v>
      </c>
      <c r="G527" s="23"/>
      <c r="H527" s="23"/>
      <c r="I527" s="23"/>
      <c r="J527" s="23"/>
      <c r="K527" s="36"/>
      <c r="L527" s="23"/>
      <c r="M527" s="23"/>
      <c r="N527" s="23"/>
    </row>
    <row r="528" customFormat="1" ht="90" customHeight="1" spans="1:14">
      <c r="A528" t="str">
        <f t="shared" si="17"/>
        <v> 
9月26日晚上</v>
      </c>
      <c r="B528" s="20"/>
      <c r="C528" s="20"/>
      <c r="D528" s="34"/>
      <c r="E528" s="35" t="s">
        <v>637</v>
      </c>
      <c r="F528" s="23" t="s">
        <v>536</v>
      </c>
      <c r="G528" s="23"/>
      <c r="H528" s="23" t="s">
        <v>759</v>
      </c>
      <c r="I528" s="23"/>
      <c r="J528" s="23"/>
      <c r="K528" s="23"/>
      <c r="L528" s="23"/>
      <c r="M528" s="23"/>
      <c r="N528" s="23"/>
    </row>
    <row r="529" customFormat="1" ht="90" customHeight="1" spans="1:14">
      <c r="A529" t="str">
        <f t="shared" si="17"/>
        <v>9月26日晚上</v>
      </c>
      <c r="B529" s="20"/>
      <c r="C529" s="20"/>
      <c r="D529" s="34"/>
      <c r="E529" s="34"/>
      <c r="F529" s="23" t="s">
        <v>536</v>
      </c>
      <c r="G529" s="23"/>
      <c r="H529" s="23"/>
      <c r="I529" s="23"/>
      <c r="J529" s="23"/>
      <c r="K529" s="23"/>
      <c r="L529" s="23"/>
      <c r="M529" s="23" t="s">
        <v>683</v>
      </c>
      <c r="N529" s="23" t="s">
        <v>791</v>
      </c>
    </row>
    <row r="530" spans="1:14">
      <c r="A530" t="str">
        <f t="shared" si="17"/>
        <v/>
      </c>
    </row>
    <row r="531" customFormat="1" spans="1:14">
      <c r="A531" t="str">
        <f t="shared" si="17"/>
        <v>SKU</v>
      </c>
      <c r="B531" s="12" t="s">
        <v>240</v>
      </c>
      <c r="C531" s="12" t="s">
        <v>611</v>
      </c>
      <c r="D531" s="12" t="s">
        <v>612</v>
      </c>
      <c r="E531" s="12" t="s">
        <v>613</v>
      </c>
      <c r="F531" s="12"/>
      <c r="G531" s="13" t="s">
        <v>614</v>
      </c>
      <c r="H531" s="14"/>
      <c r="I531" s="14"/>
      <c r="J531" s="14"/>
      <c r="K531" s="14"/>
      <c r="L531" s="14"/>
      <c r="M531" s="14"/>
      <c r="N531" s="15"/>
    </row>
    <row r="532" customFormat="1" spans="1:14">
      <c r="A532" t="str">
        <f t="shared" si="17"/>
        <v/>
      </c>
      <c r="B532" s="12"/>
      <c r="C532" s="12"/>
      <c r="D532" s="12"/>
      <c r="E532" s="12"/>
      <c r="F532" s="16"/>
      <c r="G532" s="13" t="s">
        <v>483</v>
      </c>
      <c r="H532" s="14"/>
      <c r="I532" s="13" t="s">
        <v>484</v>
      </c>
      <c r="J532" s="14"/>
      <c r="K532" s="13" t="s">
        <v>485</v>
      </c>
      <c r="L532" s="14"/>
      <c r="M532" s="17" t="s">
        <v>486</v>
      </c>
      <c r="N532" s="17"/>
    </row>
    <row r="533" customFormat="1" spans="1:14">
      <c r="A533" t="str">
        <f t="shared" si="17"/>
        <v>日期</v>
      </c>
      <c r="B533" s="18"/>
      <c r="C533" s="18"/>
      <c r="D533" s="18"/>
      <c r="E533" s="18"/>
      <c r="F533" s="19" t="s">
        <v>277</v>
      </c>
      <c r="G533" s="17" t="s">
        <v>487</v>
      </c>
      <c r="H533" s="17" t="s">
        <v>488</v>
      </c>
      <c r="I533" s="17" t="s">
        <v>487</v>
      </c>
      <c r="J533" s="17" t="s">
        <v>488</v>
      </c>
      <c r="K533" s="17" t="s">
        <v>487</v>
      </c>
      <c r="L533" s="17" t="s">
        <v>488</v>
      </c>
      <c r="M533" s="17" t="s">
        <v>487</v>
      </c>
      <c r="N533" s="17" t="s">
        <v>488</v>
      </c>
    </row>
    <row r="534" customFormat="1" ht="86" customHeight="1" spans="1:14">
      <c r="A534" t="str">
        <f t="shared" si="17"/>
        <v>XXXX-1119月27日上午</v>
      </c>
      <c r="B534" s="20"/>
      <c r="C534" s="21"/>
      <c r="D534" s="22"/>
      <c r="E534" s="22" t="s">
        <v>5</v>
      </c>
      <c r="F534" s="23" t="s">
        <v>537</v>
      </c>
      <c r="G534" s="23"/>
      <c r="H534" s="23" t="s">
        <v>737</v>
      </c>
      <c r="I534" s="23"/>
      <c r="J534" s="23"/>
      <c r="K534" s="23"/>
      <c r="L534" s="23" t="s">
        <v>795</v>
      </c>
      <c r="M534" s="23"/>
      <c r="N534" s="23"/>
    </row>
    <row r="535" customFormat="1" ht="86" customHeight="1" spans="1:14">
      <c r="A535" t="str">
        <f t="shared" si="17"/>
        <v>XXXX-2229月27日上午</v>
      </c>
      <c r="B535" s="20"/>
      <c r="C535" s="24"/>
      <c r="D535" s="22"/>
      <c r="E535" s="22" t="s">
        <v>261</v>
      </c>
      <c r="F535" s="23" t="s">
        <v>537</v>
      </c>
      <c r="G535" s="23"/>
      <c r="H535" s="23"/>
      <c r="I535" s="23"/>
      <c r="J535" s="23" t="s">
        <v>655</v>
      </c>
      <c r="K535" s="25"/>
      <c r="L535" s="23"/>
      <c r="M535" s="23"/>
      <c r="N535" s="23"/>
    </row>
    <row r="536" customFormat="1" ht="86" customHeight="1" spans="1:14">
      <c r="A536" t="str">
        <f t="shared" si="17"/>
        <v>9月27日上午</v>
      </c>
      <c r="B536" s="20"/>
      <c r="C536" s="26"/>
      <c r="D536" s="22"/>
      <c r="E536" s="22"/>
      <c r="F536" s="23" t="s">
        <v>537</v>
      </c>
      <c r="G536" s="23"/>
      <c r="H536" s="23"/>
      <c r="I536" s="23"/>
      <c r="J536" s="23"/>
      <c r="K536" s="23"/>
      <c r="L536" s="23" t="s">
        <v>701</v>
      </c>
      <c r="M536" s="23"/>
      <c r="N536" s="23"/>
    </row>
    <row r="537" customFormat="1" ht="86" customHeight="1" spans="1:14">
      <c r="A537" t="str">
        <f t="shared" si="17"/>
        <v>9月27日上午</v>
      </c>
      <c r="B537" s="20"/>
      <c r="C537" s="21"/>
      <c r="D537" s="22"/>
      <c r="E537" s="22"/>
      <c r="F537" s="23" t="s">
        <v>537</v>
      </c>
      <c r="G537" s="23"/>
      <c r="H537" s="23"/>
      <c r="I537" s="23"/>
      <c r="J537" s="23" t="s">
        <v>686</v>
      </c>
      <c r="K537" s="23"/>
      <c r="L537" s="23"/>
      <c r="M537" s="23"/>
      <c r="N537" s="23"/>
    </row>
    <row r="538" customFormat="1" ht="86" customHeight="1" spans="1:14">
      <c r="A538" t="str">
        <f t="shared" si="17"/>
        <v>9月27日上午</v>
      </c>
      <c r="B538" s="20"/>
      <c r="C538" s="26"/>
      <c r="D538" s="22"/>
      <c r="E538" s="22"/>
      <c r="F538" s="23" t="s">
        <v>537</v>
      </c>
      <c r="G538" s="23"/>
      <c r="H538" s="36"/>
      <c r="I538" s="23"/>
      <c r="J538" s="23"/>
      <c r="K538" s="23"/>
      <c r="L538" s="23"/>
      <c r="M538" s="23"/>
      <c r="N538" s="23"/>
    </row>
    <row r="539" customFormat="1" ht="86" customHeight="1" spans="1:14">
      <c r="A539" t="str">
        <f t="shared" si="17"/>
        <v>9月27日上午</v>
      </c>
      <c r="B539" s="20"/>
      <c r="C539" s="20"/>
      <c r="D539" s="22"/>
      <c r="E539" s="27"/>
      <c r="F539" s="23" t="s">
        <v>537</v>
      </c>
      <c r="G539" s="37"/>
      <c r="I539" s="23"/>
      <c r="J539" s="23"/>
      <c r="K539" s="23"/>
      <c r="L539" s="23"/>
      <c r="M539" s="23"/>
      <c r="N539" s="23"/>
    </row>
    <row r="540" customFormat="1" ht="86" customHeight="1" spans="1:14">
      <c r="A540" t="str">
        <f t="shared" si="17"/>
        <v>9月27日上午</v>
      </c>
      <c r="B540" s="20"/>
      <c r="C540" s="20"/>
      <c r="D540" s="22"/>
      <c r="E540" s="22"/>
      <c r="F540" s="23" t="s">
        <v>537</v>
      </c>
      <c r="G540" s="23"/>
      <c r="H540" s="23"/>
      <c r="I540" s="23"/>
      <c r="J540" s="23"/>
      <c r="K540" s="23"/>
      <c r="L540" s="23"/>
      <c r="M540" s="23"/>
      <c r="N540" s="23" t="s">
        <v>796</v>
      </c>
    </row>
    <row r="541" spans="1:14">
      <c r="A541" t="str">
        <f t="shared" si="17"/>
        <v/>
      </c>
    </row>
    <row r="542" customFormat="1" spans="1:14">
      <c r="A542" t="str">
        <f t="shared" si="17"/>
        <v>SKU</v>
      </c>
      <c r="B542" s="12" t="s">
        <v>240</v>
      </c>
      <c r="C542" s="12" t="s">
        <v>611</v>
      </c>
      <c r="D542" s="12" t="s">
        <v>612</v>
      </c>
      <c r="E542" s="12" t="s">
        <v>613</v>
      </c>
      <c r="F542" s="12"/>
      <c r="G542" s="17" t="s">
        <v>614</v>
      </c>
      <c r="H542" s="17"/>
      <c r="I542" s="17"/>
      <c r="J542" s="17"/>
      <c r="K542" s="17"/>
      <c r="L542" s="17"/>
      <c r="M542" s="17"/>
      <c r="N542" s="17"/>
    </row>
    <row r="543" customFormat="1" spans="1:14">
      <c r="A543" t="str">
        <f t="shared" si="17"/>
        <v/>
      </c>
      <c r="B543" s="12"/>
      <c r="C543" s="12"/>
      <c r="D543" s="12"/>
      <c r="E543" s="12"/>
      <c r="F543" s="16"/>
      <c r="G543" s="17" t="s">
        <v>483</v>
      </c>
      <c r="H543" s="17"/>
      <c r="I543" s="17" t="s">
        <v>620</v>
      </c>
      <c r="J543" s="17"/>
      <c r="K543" s="17" t="s">
        <v>485</v>
      </c>
      <c r="L543" s="17"/>
      <c r="M543" s="17" t="s">
        <v>486</v>
      </c>
      <c r="N543" s="17"/>
    </row>
    <row r="544" customFormat="1" spans="1:14">
      <c r="A544" t="str">
        <f t="shared" si="17"/>
        <v>日期</v>
      </c>
      <c r="B544" s="18"/>
      <c r="C544" s="18"/>
      <c r="D544" s="18"/>
      <c r="E544" s="18"/>
      <c r="F544" s="19" t="s">
        <v>277</v>
      </c>
      <c r="G544" s="17" t="s">
        <v>487</v>
      </c>
      <c r="H544" s="17" t="s">
        <v>488</v>
      </c>
      <c r="I544" s="17" t="s">
        <v>487</v>
      </c>
      <c r="J544" s="17" t="s">
        <v>488</v>
      </c>
      <c r="K544" s="17" t="s">
        <v>487</v>
      </c>
      <c r="L544" s="17" t="s">
        <v>488</v>
      </c>
      <c r="M544" s="17" t="s">
        <v>487</v>
      </c>
      <c r="N544" s="17" t="s">
        <v>488</v>
      </c>
    </row>
    <row r="545" customFormat="1" ht="90" customHeight="1" spans="1:14">
      <c r="A545" t="str">
        <f t="shared" si="17"/>
        <v>XXXX-1119月27日晚上</v>
      </c>
      <c r="B545" s="20"/>
      <c r="C545" s="21"/>
      <c r="D545" s="34"/>
      <c r="E545" s="34" t="s">
        <v>5</v>
      </c>
      <c r="F545" s="23" t="s">
        <v>538</v>
      </c>
      <c r="G545" s="23"/>
      <c r="H545" s="23" t="s">
        <v>798</v>
      </c>
      <c r="I545" s="23"/>
      <c r="J545" s="23"/>
      <c r="K545" s="23"/>
      <c r="L545" s="23" t="s">
        <v>799</v>
      </c>
      <c r="M545" s="23"/>
      <c r="N545" s="23"/>
    </row>
    <row r="546" customFormat="1" ht="90" customHeight="1" spans="1:14">
      <c r="A546" t="str">
        <f t="shared" si="17"/>
        <v>XXXX-2229月27日晚上</v>
      </c>
      <c r="B546" s="20"/>
      <c r="C546" s="24"/>
      <c r="D546" s="22"/>
      <c r="E546" s="22" t="s">
        <v>261</v>
      </c>
      <c r="F546" s="23" t="s">
        <v>538</v>
      </c>
      <c r="G546" s="23"/>
      <c r="H546" s="23"/>
      <c r="I546" s="23"/>
      <c r="J546" s="23" t="s">
        <v>800</v>
      </c>
      <c r="K546" s="32"/>
      <c r="L546" s="23"/>
      <c r="M546" s="23"/>
      <c r="N546" s="23"/>
    </row>
    <row r="547" customFormat="1" ht="90" customHeight="1" spans="1:14">
      <c r="A547" t="str">
        <f t="shared" si="17"/>
        <v>9月27日晚上</v>
      </c>
      <c r="B547" s="20"/>
      <c r="C547" s="26"/>
      <c r="D547" s="34"/>
      <c r="E547" s="34"/>
      <c r="F547" s="23" t="s">
        <v>538</v>
      </c>
      <c r="G547" s="23"/>
      <c r="H547" s="36"/>
      <c r="I547" s="23"/>
      <c r="J547" s="23"/>
      <c r="K547" s="23" t="s">
        <v>801</v>
      </c>
      <c r="L547" s="23" t="s">
        <v>778</v>
      </c>
      <c r="M547" s="23"/>
      <c r="N547" s="23"/>
    </row>
    <row r="548" customFormat="1" ht="90" customHeight="1" spans="1:14">
      <c r="A548" t="str">
        <f t="shared" si="17"/>
        <v>9月27日晚上</v>
      </c>
      <c r="B548" s="20"/>
      <c r="C548" s="21"/>
      <c r="D548" s="22"/>
      <c r="E548" s="22"/>
      <c r="F548" s="23" t="s">
        <v>538</v>
      </c>
      <c r="G548" s="23"/>
      <c r="I548" s="23"/>
      <c r="J548" s="23" t="s">
        <v>692</v>
      </c>
      <c r="K548" s="23"/>
      <c r="L548" s="23"/>
      <c r="M548" s="23"/>
      <c r="N548" s="23"/>
    </row>
    <row r="549" customFormat="1" ht="90" customHeight="1" spans="1:14">
      <c r="A549" t="str">
        <f t="shared" si="17"/>
        <v>9月27日晚上</v>
      </c>
      <c r="B549" s="20"/>
      <c r="C549" s="26"/>
      <c r="D549" s="34"/>
      <c r="E549" s="34"/>
      <c r="F549" s="23" t="s">
        <v>538</v>
      </c>
      <c r="G549" s="23"/>
      <c r="H549" s="23"/>
      <c r="I549" s="23"/>
      <c r="J549" s="23"/>
      <c r="K549" s="36"/>
      <c r="L549" s="23"/>
      <c r="M549" s="23"/>
      <c r="N549" s="23"/>
    </row>
    <row r="550" customFormat="1" ht="90" customHeight="1" spans="1:14">
      <c r="A550" t="str">
        <f t="shared" si="17"/>
        <v> 
9月27日晚上</v>
      </c>
      <c r="B550" s="20"/>
      <c r="C550" s="20"/>
      <c r="D550" s="34"/>
      <c r="E550" s="35" t="s">
        <v>637</v>
      </c>
      <c r="F550" s="23" t="s">
        <v>538</v>
      </c>
      <c r="G550" s="23"/>
      <c r="H550" s="23"/>
      <c r="I550" s="23"/>
      <c r="J550" s="23"/>
      <c r="K550" s="23"/>
      <c r="L550" s="23"/>
      <c r="M550" s="23"/>
      <c r="N550" s="23"/>
    </row>
    <row r="551" customFormat="1" ht="90" customHeight="1" spans="1:14">
      <c r="A551" t="str">
        <f t="shared" ref="A551:A582" si="18">E551&amp;F551</f>
        <v>9月27日晚上</v>
      </c>
      <c r="B551" s="20"/>
      <c r="C551" s="20"/>
      <c r="D551" s="34"/>
      <c r="E551" s="34"/>
      <c r="F551" s="23" t="s">
        <v>538</v>
      </c>
      <c r="G551" s="23"/>
      <c r="H551" s="23"/>
      <c r="I551" s="23"/>
      <c r="J551" s="23"/>
      <c r="K551" s="23"/>
      <c r="L551" s="23"/>
      <c r="M551" s="23" t="s">
        <v>802</v>
      </c>
      <c r="N551" s="23" t="s">
        <v>664</v>
      </c>
    </row>
    <row r="552" spans="1:14">
      <c r="A552" t="str">
        <f t="shared" si="18"/>
        <v/>
      </c>
    </row>
    <row r="553" customFormat="1" spans="1:14">
      <c r="A553" t="str">
        <f t="shared" si="18"/>
        <v>SKU</v>
      </c>
      <c r="B553" s="12" t="s">
        <v>240</v>
      </c>
      <c r="C553" s="12" t="s">
        <v>611</v>
      </c>
      <c r="D553" s="12" t="s">
        <v>612</v>
      </c>
      <c r="E553" s="12" t="s">
        <v>613</v>
      </c>
      <c r="F553" s="12"/>
      <c r="G553" s="13" t="s">
        <v>614</v>
      </c>
      <c r="H553" s="14"/>
      <c r="I553" s="14"/>
      <c r="J553" s="14"/>
      <c r="K553" s="14"/>
      <c r="L553" s="14"/>
      <c r="M553" s="14"/>
      <c r="N553" s="15"/>
    </row>
    <row r="554" customFormat="1" spans="1:14">
      <c r="A554" t="str">
        <f t="shared" si="18"/>
        <v/>
      </c>
      <c r="B554" s="12"/>
      <c r="C554" s="12"/>
      <c r="D554" s="12"/>
      <c r="E554" s="12"/>
      <c r="F554" s="16"/>
      <c r="G554" s="13" t="s">
        <v>483</v>
      </c>
      <c r="H554" s="14"/>
      <c r="I554" s="13" t="s">
        <v>484</v>
      </c>
      <c r="J554" s="14"/>
      <c r="K554" s="13" t="s">
        <v>485</v>
      </c>
      <c r="L554" s="14"/>
      <c r="M554" s="17" t="s">
        <v>486</v>
      </c>
      <c r="N554" s="17"/>
    </row>
    <row r="555" customFormat="1" spans="1:14">
      <c r="A555" t="str">
        <f t="shared" si="18"/>
        <v>日期</v>
      </c>
      <c r="B555" s="18"/>
      <c r="C555" s="18"/>
      <c r="D555" s="18"/>
      <c r="E555" s="18"/>
      <c r="F555" s="19" t="s">
        <v>277</v>
      </c>
      <c r="G555" s="17" t="s">
        <v>487</v>
      </c>
      <c r="H555" s="17" t="s">
        <v>488</v>
      </c>
      <c r="I555" s="17" t="s">
        <v>487</v>
      </c>
      <c r="J555" s="17" t="s">
        <v>488</v>
      </c>
      <c r="K555" s="17" t="s">
        <v>487</v>
      </c>
      <c r="L555" s="17" t="s">
        <v>488</v>
      </c>
      <c r="M555" s="17" t="s">
        <v>487</v>
      </c>
      <c r="N555" s="17" t="s">
        <v>488</v>
      </c>
    </row>
    <row r="556" customFormat="1" ht="86" customHeight="1" spans="1:14">
      <c r="A556" t="str">
        <f t="shared" si="18"/>
        <v>XXXX-1119月28日上午</v>
      </c>
      <c r="B556" s="20"/>
      <c r="C556" s="21"/>
      <c r="D556" s="22"/>
      <c r="E556" s="22" t="s">
        <v>5</v>
      </c>
      <c r="F556" s="23" t="s">
        <v>539</v>
      </c>
      <c r="G556" s="23"/>
      <c r="H556" s="23" t="s">
        <v>632</v>
      </c>
      <c r="I556" s="23"/>
      <c r="J556" s="23"/>
      <c r="K556" s="23"/>
      <c r="L556" s="23" t="s">
        <v>772</v>
      </c>
      <c r="M556" s="23"/>
      <c r="N556" s="23"/>
    </row>
    <row r="557" customFormat="1" ht="86" customHeight="1" spans="1:14">
      <c r="A557" t="str">
        <f t="shared" si="18"/>
        <v>XXXX-2229月28日上午</v>
      </c>
      <c r="B557" s="20"/>
      <c r="C557" s="24"/>
      <c r="D557" s="22"/>
      <c r="E557" s="22" t="s">
        <v>261</v>
      </c>
      <c r="F557" s="23" t="s">
        <v>539</v>
      </c>
      <c r="G557" s="23"/>
      <c r="H557" s="23"/>
      <c r="I557" s="23"/>
      <c r="J557" s="23" t="s">
        <v>634</v>
      </c>
      <c r="K557" s="25"/>
      <c r="L557" s="23"/>
      <c r="M557" s="23"/>
      <c r="N557" s="23"/>
    </row>
    <row r="558" customFormat="1" ht="86" customHeight="1" spans="1:14">
      <c r="A558" t="str">
        <f t="shared" si="18"/>
        <v>9月28日上午</v>
      </c>
      <c r="B558" s="20"/>
      <c r="C558" s="26"/>
      <c r="D558" s="22"/>
      <c r="E558" s="22"/>
      <c r="F558" s="23" t="s">
        <v>539</v>
      </c>
      <c r="G558" s="23"/>
      <c r="H558" s="23"/>
      <c r="I558" s="23"/>
      <c r="J558" s="23"/>
      <c r="K558" s="23"/>
      <c r="L558" s="23" t="s">
        <v>803</v>
      </c>
      <c r="M558" s="23"/>
      <c r="N558" s="23"/>
    </row>
    <row r="559" customFormat="1" ht="86" customHeight="1" spans="1:14">
      <c r="A559" t="str">
        <f t="shared" si="18"/>
        <v>9月28日上午</v>
      </c>
      <c r="B559" s="20"/>
      <c r="C559" s="21"/>
      <c r="D559" s="22"/>
      <c r="E559" s="22"/>
      <c r="F559" s="23" t="s">
        <v>539</v>
      </c>
      <c r="G559" s="23"/>
      <c r="H559" s="23"/>
      <c r="I559" s="23"/>
      <c r="J559" s="23" t="s">
        <v>665</v>
      </c>
      <c r="K559" s="23"/>
      <c r="L559" s="23"/>
      <c r="M559" s="23"/>
      <c r="N559" s="23"/>
    </row>
    <row r="560" customFormat="1" ht="86" customHeight="1" spans="1:14">
      <c r="A560" t="str">
        <f t="shared" si="18"/>
        <v>9月28日上午</v>
      </c>
      <c r="B560" s="20"/>
      <c r="C560" s="26"/>
      <c r="D560" s="22"/>
      <c r="E560" s="22"/>
      <c r="F560" s="23" t="s">
        <v>539</v>
      </c>
      <c r="G560" s="23"/>
      <c r="H560" s="36"/>
      <c r="I560" s="23"/>
      <c r="J560" s="23"/>
      <c r="K560" s="23"/>
      <c r="L560" s="23"/>
      <c r="M560" s="23"/>
      <c r="N560" s="23"/>
    </row>
    <row r="561" customFormat="1" ht="86" customHeight="1" spans="1:14">
      <c r="A561" t="str">
        <f t="shared" si="18"/>
        <v>9月28日上午</v>
      </c>
      <c r="B561" s="20"/>
      <c r="C561" s="20"/>
      <c r="D561" s="22"/>
      <c r="E561" s="27"/>
      <c r="F561" s="23" t="s">
        <v>539</v>
      </c>
      <c r="G561" s="37"/>
      <c r="I561" s="23"/>
      <c r="J561" s="23"/>
      <c r="K561" s="23"/>
      <c r="L561" s="23"/>
      <c r="M561" s="23"/>
      <c r="N561" s="23"/>
    </row>
    <row r="562" customFormat="1" ht="86" customHeight="1" spans="1:14">
      <c r="A562" t="str">
        <f t="shared" si="18"/>
        <v>9月28日上午</v>
      </c>
      <c r="B562" s="20"/>
      <c r="C562" s="20"/>
      <c r="D562" s="22"/>
      <c r="E562" s="22"/>
      <c r="F562" s="23" t="s">
        <v>539</v>
      </c>
      <c r="G562" s="23"/>
      <c r="H562" s="23"/>
      <c r="I562" s="23"/>
      <c r="J562" s="23"/>
      <c r="K562" s="23"/>
      <c r="L562" s="23"/>
      <c r="M562" s="23"/>
      <c r="N562" s="23" t="s">
        <v>737</v>
      </c>
    </row>
    <row r="563" spans="1:14">
      <c r="A563" t="str">
        <f t="shared" si="18"/>
        <v/>
      </c>
    </row>
    <row r="564" customFormat="1" spans="1:14">
      <c r="A564" t="str">
        <f t="shared" si="18"/>
        <v>SKU</v>
      </c>
      <c r="B564" s="12" t="s">
        <v>240</v>
      </c>
      <c r="C564" s="12" t="s">
        <v>611</v>
      </c>
      <c r="D564" s="12" t="s">
        <v>612</v>
      </c>
      <c r="E564" s="12" t="s">
        <v>613</v>
      </c>
      <c r="F564" s="12"/>
      <c r="G564" s="17" t="s">
        <v>614</v>
      </c>
      <c r="H564" s="17"/>
      <c r="I564" s="17"/>
      <c r="J564" s="17"/>
      <c r="K564" s="17"/>
      <c r="L564" s="17"/>
      <c r="M564" s="17"/>
      <c r="N564" s="17"/>
    </row>
    <row r="565" customFormat="1" spans="1:14">
      <c r="A565" t="str">
        <f t="shared" si="18"/>
        <v/>
      </c>
      <c r="B565" s="12"/>
      <c r="C565" s="12"/>
      <c r="D565" s="12"/>
      <c r="E565" s="12"/>
      <c r="F565" s="16"/>
      <c r="G565" s="17" t="s">
        <v>483</v>
      </c>
      <c r="H565" s="17"/>
      <c r="I565" s="17" t="s">
        <v>620</v>
      </c>
      <c r="J565" s="17"/>
      <c r="K565" s="17" t="s">
        <v>485</v>
      </c>
      <c r="L565" s="17"/>
      <c r="M565" s="17" t="s">
        <v>486</v>
      </c>
      <c r="N565" s="17"/>
    </row>
    <row r="566" customFormat="1" spans="1:14">
      <c r="A566" t="str">
        <f t="shared" si="18"/>
        <v>日期</v>
      </c>
      <c r="B566" s="18"/>
      <c r="C566" s="18"/>
      <c r="D566" s="18"/>
      <c r="E566" s="18"/>
      <c r="F566" s="19" t="s">
        <v>277</v>
      </c>
      <c r="G566" s="17" t="s">
        <v>487</v>
      </c>
      <c r="H566" s="17" t="s">
        <v>488</v>
      </c>
      <c r="I566" s="17" t="s">
        <v>487</v>
      </c>
      <c r="J566" s="17" t="s">
        <v>488</v>
      </c>
      <c r="K566" s="17" t="s">
        <v>487</v>
      </c>
      <c r="L566" s="17" t="s">
        <v>488</v>
      </c>
      <c r="M566" s="17" t="s">
        <v>487</v>
      </c>
      <c r="N566" s="17" t="s">
        <v>488</v>
      </c>
    </row>
    <row r="567" customFormat="1" ht="90" customHeight="1" spans="1:14">
      <c r="A567" t="str">
        <f t="shared" si="18"/>
        <v>XXXX-1119月28日晚上</v>
      </c>
      <c r="B567" s="20"/>
      <c r="C567" s="21"/>
      <c r="D567" s="34"/>
      <c r="E567" s="34" t="s">
        <v>5</v>
      </c>
      <c r="F567" s="23" t="s">
        <v>540</v>
      </c>
      <c r="G567" s="23"/>
      <c r="H567" s="23" t="s">
        <v>665</v>
      </c>
      <c r="I567" s="23"/>
      <c r="J567" s="23"/>
      <c r="K567" s="23"/>
      <c r="L567" s="23" t="s">
        <v>804</v>
      </c>
      <c r="M567" s="23"/>
      <c r="N567" s="23"/>
    </row>
    <row r="568" customFormat="1" ht="90" customHeight="1" spans="1:14">
      <c r="A568" t="str">
        <f t="shared" si="18"/>
        <v>XXXX-2229月28日晚上</v>
      </c>
      <c r="B568" s="20"/>
      <c r="C568" s="24"/>
      <c r="D568" s="22"/>
      <c r="E568" s="22" t="s">
        <v>261</v>
      </c>
      <c r="F568" s="23" t="s">
        <v>540</v>
      </c>
      <c r="G568" s="23"/>
      <c r="H568" s="23"/>
      <c r="I568" s="23"/>
      <c r="J568" s="23" t="s">
        <v>805</v>
      </c>
      <c r="K568" s="32"/>
      <c r="L568" s="23"/>
      <c r="M568" s="23"/>
      <c r="N568" s="23"/>
    </row>
    <row r="569" customFormat="1" ht="90" customHeight="1" spans="1:14">
      <c r="A569" t="str">
        <f t="shared" si="18"/>
        <v>9月28日晚上</v>
      </c>
      <c r="B569" s="20"/>
      <c r="C569" s="26"/>
      <c r="D569" s="34"/>
      <c r="E569" s="34"/>
      <c r="F569" s="23" t="s">
        <v>540</v>
      </c>
      <c r="G569" s="23"/>
      <c r="H569" s="36"/>
      <c r="I569" s="23"/>
      <c r="J569" s="23"/>
      <c r="K569" s="23" t="s">
        <v>806</v>
      </c>
      <c r="L569" s="23" t="s">
        <v>807</v>
      </c>
      <c r="M569" s="23"/>
      <c r="N569" s="23"/>
    </row>
    <row r="570" customFormat="1" ht="90" customHeight="1" spans="1:14">
      <c r="A570" t="str">
        <f t="shared" si="18"/>
        <v>9月28日晚上</v>
      </c>
      <c r="B570" s="20"/>
      <c r="C570" s="21"/>
      <c r="D570" s="22"/>
      <c r="E570" s="22"/>
      <c r="F570" s="23" t="s">
        <v>540</v>
      </c>
      <c r="G570" s="23"/>
      <c r="I570" s="23"/>
      <c r="J570" s="23" t="s">
        <v>781</v>
      </c>
      <c r="K570" s="23"/>
      <c r="L570" s="23"/>
      <c r="M570" s="23"/>
      <c r="N570" s="23"/>
    </row>
    <row r="571" customFormat="1" ht="90" customHeight="1" spans="1:14">
      <c r="A571" t="str">
        <f t="shared" si="18"/>
        <v>9月28日晚上</v>
      </c>
      <c r="B571" s="20"/>
      <c r="C571" s="26"/>
      <c r="D571" s="34"/>
      <c r="E571" s="34"/>
      <c r="F571" s="23" t="s">
        <v>540</v>
      </c>
      <c r="G571" s="23"/>
      <c r="H571" s="23"/>
      <c r="I571" s="23"/>
      <c r="J571" s="23"/>
      <c r="K571" s="36"/>
      <c r="L571" s="23"/>
      <c r="M571" s="23"/>
      <c r="N571" s="23"/>
    </row>
    <row r="572" customFormat="1" ht="90" customHeight="1" spans="1:14">
      <c r="A572" t="str">
        <f t="shared" si="18"/>
        <v> 
9月28日晚上</v>
      </c>
      <c r="B572" s="20"/>
      <c r="C572" s="20"/>
      <c r="D572" s="34"/>
      <c r="E572" s="35" t="s">
        <v>637</v>
      </c>
      <c r="F572" s="23" t="s">
        <v>540</v>
      </c>
      <c r="G572" s="23"/>
      <c r="H572" s="23"/>
      <c r="I572" s="23"/>
      <c r="J572" s="23"/>
      <c r="K572" s="23"/>
      <c r="L572" s="23"/>
      <c r="M572" s="23"/>
      <c r="N572" s="23"/>
    </row>
    <row r="573" customFormat="1" ht="90" customHeight="1" spans="1:14">
      <c r="A573" t="str">
        <f t="shared" si="18"/>
        <v>9月28日晚上</v>
      </c>
      <c r="B573" s="20"/>
      <c r="C573" s="20"/>
      <c r="D573" s="34"/>
      <c r="E573" s="34"/>
      <c r="F573" s="23" t="s">
        <v>540</v>
      </c>
      <c r="G573" s="23"/>
      <c r="H573" s="23"/>
      <c r="I573" s="23"/>
      <c r="J573" s="23"/>
      <c r="K573" s="23"/>
      <c r="L573" s="23"/>
      <c r="M573" s="23" t="s">
        <v>808</v>
      </c>
      <c r="N573" s="23" t="s">
        <v>809</v>
      </c>
    </row>
    <row r="574" spans="1:14">
      <c r="A574" t="str">
        <f t="shared" si="18"/>
        <v/>
      </c>
    </row>
    <row r="575" customFormat="1" spans="1:14">
      <c r="A575" t="str">
        <f t="shared" si="18"/>
        <v>SKU</v>
      </c>
      <c r="B575" s="12" t="s">
        <v>240</v>
      </c>
      <c r="C575" s="12" t="s">
        <v>611</v>
      </c>
      <c r="D575" s="12" t="s">
        <v>612</v>
      </c>
      <c r="E575" s="12" t="s">
        <v>613</v>
      </c>
      <c r="F575" s="12"/>
      <c r="G575" s="13" t="s">
        <v>614</v>
      </c>
      <c r="H575" s="14"/>
      <c r="I575" s="14"/>
      <c r="J575" s="14"/>
      <c r="K575" s="14"/>
      <c r="L575" s="14"/>
      <c r="M575" s="14"/>
      <c r="N575" s="15"/>
    </row>
    <row r="576" customFormat="1" spans="1:14">
      <c r="A576" t="str">
        <f t="shared" si="18"/>
        <v/>
      </c>
      <c r="B576" s="12"/>
      <c r="C576" s="12"/>
      <c r="D576" s="12"/>
      <c r="E576" s="12"/>
      <c r="F576" s="16"/>
      <c r="G576" s="13" t="s">
        <v>483</v>
      </c>
      <c r="H576" s="14"/>
      <c r="I576" s="13" t="s">
        <v>484</v>
      </c>
      <c r="J576" s="14"/>
      <c r="K576" s="13" t="s">
        <v>485</v>
      </c>
      <c r="L576" s="14"/>
      <c r="M576" s="17" t="s">
        <v>486</v>
      </c>
      <c r="N576" s="17"/>
    </row>
    <row r="577" customFormat="1" spans="1:14">
      <c r="A577" t="str">
        <f t="shared" si="18"/>
        <v>日期</v>
      </c>
      <c r="B577" s="18"/>
      <c r="C577" s="18"/>
      <c r="D577" s="18"/>
      <c r="E577" s="18"/>
      <c r="F577" s="19" t="s">
        <v>277</v>
      </c>
      <c r="G577" s="17" t="s">
        <v>487</v>
      </c>
      <c r="H577" s="17" t="s">
        <v>488</v>
      </c>
      <c r="I577" s="17" t="s">
        <v>487</v>
      </c>
      <c r="J577" s="17" t="s">
        <v>488</v>
      </c>
      <c r="K577" s="17" t="s">
        <v>487</v>
      </c>
      <c r="L577" s="17" t="s">
        <v>488</v>
      </c>
      <c r="M577" s="17" t="s">
        <v>487</v>
      </c>
      <c r="N577" s="17" t="s">
        <v>488</v>
      </c>
    </row>
    <row r="578" customFormat="1" ht="86" customHeight="1" spans="1:14">
      <c r="A578" t="str">
        <f t="shared" si="18"/>
        <v>XXXX-1119月29日上午</v>
      </c>
      <c r="B578" s="20"/>
      <c r="C578" s="21"/>
      <c r="D578" s="22"/>
      <c r="E578" s="22" t="s">
        <v>5</v>
      </c>
      <c r="F578" s="23" t="s">
        <v>541</v>
      </c>
      <c r="G578" s="23"/>
      <c r="H578" s="23" t="s">
        <v>708</v>
      </c>
      <c r="I578" s="23"/>
      <c r="J578" s="23"/>
      <c r="K578" s="23"/>
      <c r="L578" s="23" t="s">
        <v>764</v>
      </c>
      <c r="M578" s="23"/>
      <c r="N578" s="23"/>
    </row>
    <row r="579" customFormat="1" ht="86" customHeight="1" spans="1:14">
      <c r="A579" t="str">
        <f t="shared" si="18"/>
        <v>XXXX-2229月29日上午</v>
      </c>
      <c r="B579" s="20"/>
      <c r="C579" s="24"/>
      <c r="D579" s="22"/>
      <c r="E579" s="22" t="s">
        <v>261</v>
      </c>
      <c r="F579" s="23" t="s">
        <v>541</v>
      </c>
      <c r="G579" s="23"/>
      <c r="H579" s="23"/>
      <c r="I579" s="23"/>
      <c r="J579" s="23" t="s">
        <v>634</v>
      </c>
      <c r="K579" s="25"/>
      <c r="L579" s="23"/>
      <c r="M579" s="23"/>
      <c r="N579" s="23"/>
    </row>
    <row r="580" customFormat="1" ht="86" customHeight="1" spans="1:14">
      <c r="A580" t="str">
        <f t="shared" si="18"/>
        <v>9月29日上午</v>
      </c>
      <c r="B580" s="20"/>
      <c r="C580" s="26"/>
      <c r="D580" s="22"/>
      <c r="E580" s="22"/>
      <c r="F580" s="23" t="s">
        <v>541</v>
      </c>
      <c r="G580" s="23"/>
      <c r="H580" s="23"/>
      <c r="I580" s="23"/>
      <c r="J580" s="23"/>
      <c r="K580" s="23"/>
      <c r="L580" s="23" t="s">
        <v>804</v>
      </c>
      <c r="M580" s="23"/>
      <c r="N580" s="23"/>
    </row>
    <row r="581" customFormat="1" ht="86" customHeight="1" spans="1:14">
      <c r="A581" t="str">
        <f t="shared" si="18"/>
        <v>9月29日上午</v>
      </c>
      <c r="B581" s="20"/>
      <c r="C581" s="21"/>
      <c r="D581" s="22"/>
      <c r="E581" s="22"/>
      <c r="F581" s="23" t="s">
        <v>541</v>
      </c>
      <c r="G581" s="23"/>
      <c r="H581" s="23"/>
      <c r="I581" s="23"/>
      <c r="J581" s="23" t="s">
        <v>708</v>
      </c>
      <c r="K581" s="23"/>
      <c r="L581" s="23"/>
      <c r="M581" s="23"/>
      <c r="N581" s="23"/>
    </row>
    <row r="582" customFormat="1" ht="86" customHeight="1" spans="1:14">
      <c r="A582" t="str">
        <f t="shared" si="18"/>
        <v>9月29日上午</v>
      </c>
      <c r="B582" s="20"/>
      <c r="C582" s="26"/>
      <c r="D582" s="22"/>
      <c r="E582" s="22"/>
      <c r="F582" s="23" t="s">
        <v>541</v>
      </c>
      <c r="G582" s="23"/>
      <c r="H582" s="36"/>
      <c r="I582" s="23"/>
      <c r="J582" s="23"/>
      <c r="K582" s="23"/>
      <c r="L582" s="23"/>
      <c r="M582" s="23"/>
      <c r="N582" s="23"/>
    </row>
    <row r="583" customFormat="1" ht="86" customHeight="1" spans="1:14">
      <c r="A583" t="str">
        <f t="shared" ref="A583:A617" si="19">E583&amp;F583</f>
        <v>9月29日上午</v>
      </c>
      <c r="B583" s="20"/>
      <c r="C583" s="20"/>
      <c r="D583" s="22"/>
      <c r="E583" s="27"/>
      <c r="F583" s="23" t="s">
        <v>541</v>
      </c>
      <c r="G583" s="37"/>
      <c r="I583" s="23"/>
      <c r="J583" s="23"/>
      <c r="K583" s="23"/>
      <c r="L583" s="23"/>
      <c r="M583" s="23"/>
      <c r="N583" s="23"/>
    </row>
    <row r="584" customFormat="1" ht="86" customHeight="1" spans="1:14">
      <c r="A584" t="str">
        <f t="shared" si="19"/>
        <v>9月29日上午</v>
      </c>
      <c r="B584" s="20"/>
      <c r="C584" s="20"/>
      <c r="D584" s="22"/>
      <c r="E584" s="22"/>
      <c r="F584" s="23" t="s">
        <v>541</v>
      </c>
      <c r="G584" s="23"/>
      <c r="H584" s="23"/>
      <c r="I584" s="23"/>
      <c r="J584" s="23"/>
      <c r="K584" s="23"/>
      <c r="L584" s="23"/>
      <c r="M584" s="23"/>
      <c r="N584" s="23" t="s">
        <v>809</v>
      </c>
    </row>
    <row r="585" spans="1:14">
      <c r="A585" t="str">
        <f t="shared" si="19"/>
        <v/>
      </c>
    </row>
    <row r="586" customFormat="1" spans="1:14">
      <c r="A586" t="str">
        <f t="shared" si="19"/>
        <v>SKU</v>
      </c>
      <c r="B586" s="12" t="s">
        <v>240</v>
      </c>
      <c r="C586" s="12" t="s">
        <v>611</v>
      </c>
      <c r="D586" s="12" t="s">
        <v>612</v>
      </c>
      <c r="E586" s="12" t="s">
        <v>613</v>
      </c>
      <c r="F586" s="12"/>
      <c r="G586" s="17" t="s">
        <v>614</v>
      </c>
      <c r="H586" s="17"/>
      <c r="I586" s="17"/>
      <c r="J586" s="17"/>
      <c r="K586" s="17"/>
      <c r="L586" s="17"/>
      <c r="M586" s="17"/>
      <c r="N586" s="17"/>
    </row>
    <row r="587" customFormat="1" spans="1:14">
      <c r="A587" t="str">
        <f t="shared" si="19"/>
        <v/>
      </c>
      <c r="B587" s="12"/>
      <c r="C587" s="12"/>
      <c r="D587" s="12"/>
      <c r="E587" s="12"/>
      <c r="F587" s="16"/>
      <c r="G587" s="17" t="s">
        <v>483</v>
      </c>
      <c r="H587" s="17"/>
      <c r="I587" s="17" t="s">
        <v>620</v>
      </c>
      <c r="J587" s="17"/>
      <c r="K587" s="17" t="s">
        <v>485</v>
      </c>
      <c r="L587" s="17"/>
      <c r="M587" s="17" t="s">
        <v>486</v>
      </c>
      <c r="N587" s="17"/>
    </row>
    <row r="588" customFormat="1" spans="1:14">
      <c r="A588" t="str">
        <f t="shared" si="19"/>
        <v>日期</v>
      </c>
      <c r="B588" s="18"/>
      <c r="C588" s="18"/>
      <c r="D588" s="18"/>
      <c r="E588" s="18"/>
      <c r="F588" s="19" t="s">
        <v>277</v>
      </c>
      <c r="G588" s="17" t="s">
        <v>487</v>
      </c>
      <c r="H588" s="17" t="s">
        <v>488</v>
      </c>
      <c r="I588" s="17" t="s">
        <v>487</v>
      </c>
      <c r="J588" s="17" t="s">
        <v>488</v>
      </c>
      <c r="K588" s="17" t="s">
        <v>487</v>
      </c>
      <c r="L588" s="17" t="s">
        <v>488</v>
      </c>
      <c r="M588" s="17" t="s">
        <v>487</v>
      </c>
      <c r="N588" s="17" t="s">
        <v>488</v>
      </c>
    </row>
    <row r="589" customFormat="1" ht="90" customHeight="1" spans="1:14">
      <c r="A589" t="str">
        <f t="shared" si="19"/>
        <v>XXXX-1119月29日晚上</v>
      </c>
      <c r="B589" s="20"/>
      <c r="C589" s="21"/>
      <c r="D589" s="34"/>
      <c r="E589" s="34" t="s">
        <v>5</v>
      </c>
      <c r="F589" s="23" t="s">
        <v>542</v>
      </c>
      <c r="G589" s="23"/>
      <c r="H589" s="23" t="s">
        <v>708</v>
      </c>
      <c r="I589" s="23"/>
      <c r="J589" s="23"/>
      <c r="K589" s="23"/>
      <c r="L589" s="23" t="s">
        <v>684</v>
      </c>
      <c r="M589" s="23"/>
      <c r="N589" s="23"/>
    </row>
    <row r="590" customFormat="1" ht="90" customHeight="1" spans="1:14">
      <c r="A590" t="str">
        <f t="shared" si="19"/>
        <v>XXXX-2229月29日晚上</v>
      </c>
      <c r="B590" s="20"/>
      <c r="C590" s="24"/>
      <c r="D590" s="22"/>
      <c r="E590" s="22" t="s">
        <v>261</v>
      </c>
      <c r="F590" s="23" t="s">
        <v>542</v>
      </c>
      <c r="G590" s="23"/>
      <c r="H590" s="23"/>
      <c r="I590" s="23"/>
      <c r="J590" s="23" t="s">
        <v>810</v>
      </c>
      <c r="K590" s="32"/>
      <c r="L590" s="23"/>
      <c r="M590" s="23"/>
      <c r="N590" s="23"/>
    </row>
    <row r="591" customFormat="1" ht="90" customHeight="1" spans="1:14">
      <c r="A591" t="str">
        <f t="shared" si="19"/>
        <v>9月29日晚上</v>
      </c>
      <c r="B591" s="20"/>
      <c r="C591" s="26"/>
      <c r="D591" s="34"/>
      <c r="E591" s="34"/>
      <c r="F591" s="23" t="s">
        <v>542</v>
      </c>
      <c r="G591" s="23"/>
      <c r="H591" s="36"/>
      <c r="I591" s="23"/>
      <c r="J591" s="23" t="s">
        <v>679</v>
      </c>
      <c r="K591" s="23" t="s">
        <v>683</v>
      </c>
      <c r="L591" s="23" t="s">
        <v>764</v>
      </c>
      <c r="M591" s="23"/>
      <c r="N591" s="23"/>
    </row>
    <row r="592" customFormat="1" ht="90" customHeight="1" spans="1:14">
      <c r="A592" t="str">
        <f t="shared" si="19"/>
        <v>9月29日晚上</v>
      </c>
      <c r="B592" s="20"/>
      <c r="C592" s="21"/>
      <c r="D592" s="22"/>
      <c r="E592" s="22"/>
      <c r="F592" s="23" t="s">
        <v>542</v>
      </c>
      <c r="G592" s="23"/>
      <c r="I592" s="23"/>
      <c r="J592" s="23" t="s">
        <v>811</v>
      </c>
      <c r="K592" s="23"/>
      <c r="L592" s="23"/>
      <c r="M592" s="23"/>
      <c r="N592" s="23"/>
    </row>
    <row r="593" customFormat="1" ht="90" customHeight="1" spans="1:14">
      <c r="A593" t="str">
        <f t="shared" si="19"/>
        <v>9月29日晚上</v>
      </c>
      <c r="B593" s="20"/>
      <c r="C593" s="26"/>
      <c r="D593" s="34"/>
      <c r="E593" s="34"/>
      <c r="F593" s="23" t="s">
        <v>542</v>
      </c>
      <c r="G593" s="23"/>
      <c r="H593" s="23"/>
      <c r="I593" s="23"/>
      <c r="J593" s="23"/>
      <c r="K593" s="36"/>
      <c r="L593" s="23"/>
      <c r="M593" s="23"/>
      <c r="N593" s="23"/>
    </row>
    <row r="594" customFormat="1" ht="90" customHeight="1" spans="1:14">
      <c r="A594" t="str">
        <f t="shared" si="19"/>
        <v> 
9月29日晚上</v>
      </c>
      <c r="B594" s="20"/>
      <c r="C594" s="20"/>
      <c r="D594" s="34"/>
      <c r="E594" s="35" t="s">
        <v>637</v>
      </c>
      <c r="F594" s="23" t="s">
        <v>542</v>
      </c>
      <c r="G594" s="23"/>
      <c r="H594" s="23"/>
      <c r="I594" s="23"/>
      <c r="J594" s="23"/>
      <c r="K594" s="23"/>
      <c r="L594" s="23"/>
      <c r="M594" s="23"/>
      <c r="N594" s="23"/>
    </row>
    <row r="595" customFormat="1" ht="90" customHeight="1" spans="1:14">
      <c r="A595" t="str">
        <f t="shared" si="19"/>
        <v>9月29日晚上</v>
      </c>
      <c r="B595" s="20"/>
      <c r="C595" s="20"/>
      <c r="D595" s="34"/>
      <c r="E595" s="34"/>
      <c r="F595" s="23" t="s">
        <v>542</v>
      </c>
      <c r="G595" s="23" t="s">
        <v>761</v>
      </c>
      <c r="H595" s="23"/>
      <c r="I595" s="23"/>
      <c r="J595" s="23"/>
      <c r="K595" s="23"/>
      <c r="L595" s="23"/>
      <c r="M595" s="23" t="s">
        <v>806</v>
      </c>
      <c r="N595" s="23"/>
    </row>
    <row r="596" spans="1:14">
      <c r="A596" t="str">
        <f t="shared" si="19"/>
        <v/>
      </c>
    </row>
    <row r="597" customFormat="1" spans="1:14">
      <c r="A597" t="str">
        <f t="shared" si="19"/>
        <v>SKU</v>
      </c>
      <c r="B597" s="12" t="s">
        <v>240</v>
      </c>
      <c r="C597" s="12" t="s">
        <v>611</v>
      </c>
      <c r="D597" s="12" t="s">
        <v>612</v>
      </c>
      <c r="E597" s="12" t="s">
        <v>613</v>
      </c>
      <c r="F597" s="12"/>
      <c r="G597" s="13" t="s">
        <v>614</v>
      </c>
      <c r="H597" s="14"/>
      <c r="I597" s="14"/>
      <c r="J597" s="14"/>
      <c r="K597" s="14"/>
      <c r="L597" s="14"/>
      <c r="M597" s="14"/>
      <c r="N597" s="15"/>
    </row>
    <row r="598" customFormat="1" spans="1:14">
      <c r="A598" t="str">
        <f t="shared" si="19"/>
        <v/>
      </c>
      <c r="B598" s="12"/>
      <c r="C598" s="12"/>
      <c r="D598" s="12"/>
      <c r="E598" s="12"/>
      <c r="F598" s="16"/>
      <c r="G598" s="13" t="s">
        <v>483</v>
      </c>
      <c r="H598" s="14"/>
      <c r="I598" s="13" t="s">
        <v>484</v>
      </c>
      <c r="J598" s="14"/>
      <c r="K598" s="13" t="s">
        <v>485</v>
      </c>
      <c r="L598" s="14"/>
      <c r="M598" s="17" t="s">
        <v>486</v>
      </c>
      <c r="N598" s="17"/>
    </row>
    <row r="599" customFormat="1" spans="1:14">
      <c r="A599" t="str">
        <f t="shared" si="19"/>
        <v>日期</v>
      </c>
      <c r="B599" s="18"/>
      <c r="C599" s="18"/>
      <c r="D599" s="18"/>
      <c r="E599" s="18"/>
      <c r="F599" s="19" t="s">
        <v>277</v>
      </c>
      <c r="G599" s="17" t="s">
        <v>487</v>
      </c>
      <c r="H599" s="17" t="s">
        <v>488</v>
      </c>
      <c r="I599" s="17" t="s">
        <v>487</v>
      </c>
      <c r="J599" s="17" t="s">
        <v>488</v>
      </c>
      <c r="K599" s="17" t="s">
        <v>487</v>
      </c>
      <c r="L599" s="17" t="s">
        <v>488</v>
      </c>
      <c r="M599" s="17" t="s">
        <v>487</v>
      </c>
      <c r="N599" s="17" t="s">
        <v>488</v>
      </c>
    </row>
    <row r="600" customFormat="1" ht="86" customHeight="1" spans="1:14">
      <c r="A600" t="str">
        <f t="shared" si="19"/>
        <v>XXXX-1119月30日上午</v>
      </c>
      <c r="B600" s="20"/>
      <c r="C600" s="21"/>
      <c r="D600" s="22"/>
      <c r="E600" s="22" t="s">
        <v>5</v>
      </c>
      <c r="F600" s="23" t="s">
        <v>543</v>
      </c>
      <c r="G600" s="23"/>
      <c r="H600" s="23" t="s">
        <v>729</v>
      </c>
      <c r="I600" s="23"/>
      <c r="J600" s="23"/>
      <c r="K600" s="23"/>
      <c r="L600" s="23" t="s">
        <v>782</v>
      </c>
      <c r="M600" s="23"/>
      <c r="N600" s="23"/>
    </row>
    <row r="601" customFormat="1" ht="86" customHeight="1" spans="1:14">
      <c r="A601" t="str">
        <f t="shared" si="19"/>
        <v>XXXX-2229月30日上午</v>
      </c>
      <c r="B601" s="20"/>
      <c r="C601" s="24"/>
      <c r="D601" s="22"/>
      <c r="E601" s="22" t="s">
        <v>261</v>
      </c>
      <c r="F601" s="23" t="s">
        <v>543</v>
      </c>
      <c r="G601" s="23"/>
      <c r="H601" s="23"/>
      <c r="I601" s="23"/>
      <c r="J601" s="23" t="s">
        <v>812</v>
      </c>
      <c r="K601" s="25"/>
      <c r="L601" s="23"/>
      <c r="M601" s="23"/>
      <c r="N601" s="23"/>
    </row>
    <row r="602" customFormat="1" ht="86" customHeight="1" spans="1:14">
      <c r="A602" t="str">
        <f t="shared" si="19"/>
        <v>9月30日上午</v>
      </c>
      <c r="B602" s="20"/>
      <c r="C602" s="26"/>
      <c r="D602" s="22"/>
      <c r="E602" s="22"/>
      <c r="F602" s="23" t="s">
        <v>543</v>
      </c>
      <c r="G602" s="23"/>
      <c r="H602" s="23"/>
      <c r="I602" s="23"/>
      <c r="J602" s="23" t="s">
        <v>623</v>
      </c>
      <c r="K602" s="23"/>
      <c r="L602" s="23" t="s">
        <v>808</v>
      </c>
      <c r="M602" s="23"/>
      <c r="N602" s="23"/>
    </row>
    <row r="603" customFormat="1" ht="86" customHeight="1" spans="1:14">
      <c r="A603" t="str">
        <f t="shared" si="19"/>
        <v>9月30日上午</v>
      </c>
      <c r="B603" s="20"/>
      <c r="C603" s="21"/>
      <c r="D603" s="22"/>
      <c r="E603" s="22"/>
      <c r="F603" s="23" t="s">
        <v>543</v>
      </c>
      <c r="G603" s="23"/>
      <c r="H603" s="23"/>
      <c r="I603" s="23"/>
      <c r="J603" s="23" t="s">
        <v>632</v>
      </c>
      <c r="K603" s="23"/>
      <c r="L603" s="23"/>
      <c r="M603" s="23"/>
      <c r="N603" s="23"/>
    </row>
    <row r="604" customFormat="1" ht="86" customHeight="1" spans="1:14">
      <c r="A604" t="str">
        <f t="shared" si="19"/>
        <v>9月30日上午</v>
      </c>
      <c r="B604" s="20"/>
      <c r="C604" s="26"/>
      <c r="D604" s="22"/>
      <c r="E604" s="22"/>
      <c r="F604" s="23" t="s">
        <v>543</v>
      </c>
      <c r="G604" s="23"/>
      <c r="H604" s="36"/>
      <c r="I604" s="23"/>
      <c r="J604" s="23"/>
      <c r="K604" s="23"/>
      <c r="L604" s="23"/>
      <c r="M604" s="23"/>
      <c r="N604" s="23"/>
    </row>
    <row r="605" customFormat="1" ht="86" customHeight="1" spans="1:14">
      <c r="A605" t="str">
        <f t="shared" si="19"/>
        <v>9月30日上午</v>
      </c>
      <c r="B605" s="20"/>
      <c r="C605" s="20"/>
      <c r="D605" s="22"/>
      <c r="E605" s="27"/>
      <c r="F605" s="23" t="s">
        <v>543</v>
      </c>
      <c r="G605" s="37"/>
      <c r="I605" s="23"/>
      <c r="J605" s="23"/>
      <c r="K605" s="23"/>
      <c r="L605" s="23"/>
      <c r="M605" s="23"/>
      <c r="N605" s="23"/>
    </row>
    <row r="606" customFormat="1" ht="86" customHeight="1" spans="1:14">
      <c r="A606" t="str">
        <f t="shared" si="19"/>
        <v>9月30日上午</v>
      </c>
      <c r="B606" s="20"/>
      <c r="C606" s="20"/>
      <c r="D606" s="22"/>
      <c r="E606" s="22"/>
      <c r="F606" s="23" t="s">
        <v>543</v>
      </c>
      <c r="G606" s="23"/>
      <c r="H606" s="23"/>
      <c r="I606" s="23"/>
      <c r="J606" s="23"/>
      <c r="K606" s="23"/>
      <c r="L606" s="23"/>
      <c r="M606" s="23"/>
      <c r="N606" s="23"/>
    </row>
    <row r="607" spans="1:14">
      <c r="A607" t="str">
        <f t="shared" si="19"/>
        <v/>
      </c>
    </row>
    <row r="608" customFormat="1" spans="1:14">
      <c r="A608" t="str">
        <f t="shared" si="19"/>
        <v>SKU</v>
      </c>
      <c r="B608" s="12" t="s">
        <v>240</v>
      </c>
      <c r="C608" s="12" t="s">
        <v>611</v>
      </c>
      <c r="D608" s="12" t="s">
        <v>612</v>
      </c>
      <c r="E608" s="12" t="s">
        <v>613</v>
      </c>
      <c r="F608" s="12"/>
      <c r="G608" s="17" t="s">
        <v>614</v>
      </c>
      <c r="H608" s="17"/>
      <c r="I608" s="17"/>
      <c r="J608" s="17"/>
      <c r="K608" s="17"/>
      <c r="L608" s="17"/>
      <c r="M608" s="17"/>
      <c r="N608" s="17"/>
    </row>
    <row r="609" customFormat="1" spans="1:14">
      <c r="A609" t="str">
        <f t="shared" si="19"/>
        <v/>
      </c>
      <c r="B609" s="12"/>
      <c r="C609" s="12"/>
      <c r="D609" s="12"/>
      <c r="E609" s="12"/>
      <c r="F609" s="16"/>
      <c r="G609" s="17" t="s">
        <v>483</v>
      </c>
      <c r="H609" s="17"/>
      <c r="I609" s="17" t="s">
        <v>620</v>
      </c>
      <c r="J609" s="17"/>
      <c r="K609" s="17" t="s">
        <v>485</v>
      </c>
      <c r="L609" s="17"/>
      <c r="M609" s="17" t="s">
        <v>486</v>
      </c>
      <c r="N609" s="17"/>
    </row>
    <row r="610" customFormat="1" spans="1:14">
      <c r="A610" t="str">
        <f t="shared" si="19"/>
        <v>日期</v>
      </c>
      <c r="B610" s="18"/>
      <c r="C610" s="18"/>
      <c r="D610" s="18"/>
      <c r="E610" s="18"/>
      <c r="F610" s="19" t="s">
        <v>277</v>
      </c>
      <c r="G610" s="17" t="s">
        <v>487</v>
      </c>
      <c r="H610" s="17" t="s">
        <v>488</v>
      </c>
      <c r="I610" s="17" t="s">
        <v>487</v>
      </c>
      <c r="J610" s="17" t="s">
        <v>488</v>
      </c>
      <c r="K610" s="17" t="s">
        <v>487</v>
      </c>
      <c r="L610" s="17" t="s">
        <v>488</v>
      </c>
      <c r="M610" s="17" t="s">
        <v>487</v>
      </c>
      <c r="N610" s="17" t="s">
        <v>488</v>
      </c>
    </row>
    <row r="611" customFormat="1" ht="90" customHeight="1" spans="1:14">
      <c r="A611" t="str">
        <f t="shared" si="19"/>
        <v>XXXX-1119月30日晚上</v>
      </c>
      <c r="B611" s="20"/>
      <c r="C611" s="21"/>
      <c r="D611" s="34"/>
      <c r="E611" s="34" t="s">
        <v>5</v>
      </c>
      <c r="F611" s="23" t="s">
        <v>544</v>
      </c>
      <c r="G611" s="23"/>
      <c r="H611" s="23" t="s">
        <v>811</v>
      </c>
      <c r="I611" s="23"/>
      <c r="J611" s="23"/>
      <c r="K611" s="23"/>
      <c r="L611" s="23" t="s">
        <v>684</v>
      </c>
      <c r="M611" s="23"/>
      <c r="N611" s="23"/>
    </row>
    <row r="612" customFormat="1" ht="90" customHeight="1" spans="1:14">
      <c r="A612" t="str">
        <f t="shared" si="19"/>
        <v>XXXX-2229月30日晚上</v>
      </c>
      <c r="B612" s="20"/>
      <c r="C612" s="24"/>
      <c r="D612" s="22"/>
      <c r="E612" s="22" t="s">
        <v>261</v>
      </c>
      <c r="F612" s="23" t="s">
        <v>544</v>
      </c>
      <c r="G612" s="23"/>
      <c r="H612" s="23"/>
      <c r="I612" s="23"/>
      <c r="J612" s="23" t="s">
        <v>793</v>
      </c>
      <c r="K612" s="32"/>
      <c r="L612" s="23"/>
      <c r="M612" s="23"/>
      <c r="N612" s="23"/>
    </row>
    <row r="613" customFormat="1" ht="90" customHeight="1" spans="1:14">
      <c r="A613" t="str">
        <f t="shared" si="19"/>
        <v>9月30日晚上</v>
      </c>
      <c r="B613" s="20"/>
      <c r="C613" s="26"/>
      <c r="D613" s="34"/>
      <c r="E613" s="34"/>
      <c r="F613" s="23" t="s">
        <v>544</v>
      </c>
      <c r="G613" s="23"/>
      <c r="H613" s="36"/>
      <c r="I613" s="23"/>
      <c r="J613" s="23" t="s">
        <v>813</v>
      </c>
      <c r="K613" s="23" t="s">
        <v>787</v>
      </c>
      <c r="L613" s="23" t="s">
        <v>802</v>
      </c>
      <c r="M613" s="23"/>
      <c r="N613" s="23"/>
    </row>
    <row r="614" customFormat="1" ht="90" customHeight="1" spans="1:14">
      <c r="A614" t="str">
        <f t="shared" si="19"/>
        <v>9月30日晚上</v>
      </c>
      <c r="B614" s="20"/>
      <c r="C614" s="21"/>
      <c r="D614" s="22"/>
      <c r="E614" s="22"/>
      <c r="F614" s="23" t="s">
        <v>544</v>
      </c>
      <c r="G614" s="23"/>
      <c r="I614" s="23"/>
      <c r="J614" s="23" t="s">
        <v>814</v>
      </c>
      <c r="K614" s="23"/>
      <c r="L614" s="23"/>
      <c r="M614" s="23"/>
      <c r="N614" s="23"/>
    </row>
    <row r="615" customFormat="1" ht="90" customHeight="1" spans="1:14">
      <c r="A615" t="str">
        <f t="shared" si="19"/>
        <v>9月30日晚上</v>
      </c>
      <c r="B615" s="20"/>
      <c r="C615" s="26"/>
      <c r="D615" s="34"/>
      <c r="E615" s="34"/>
      <c r="F615" s="23" t="s">
        <v>544</v>
      </c>
      <c r="G615" s="23"/>
      <c r="H615" s="23"/>
      <c r="I615" s="23"/>
      <c r="J615" s="23"/>
      <c r="K615" s="36"/>
      <c r="L615" s="23"/>
      <c r="M615" s="23"/>
      <c r="N615" s="23"/>
    </row>
    <row r="616" customFormat="1" ht="90" customHeight="1" spans="1:14">
      <c r="A616" t="str">
        <f t="shared" si="19"/>
        <v> 
9月30日晚上</v>
      </c>
      <c r="B616" s="20"/>
      <c r="C616" s="20"/>
      <c r="D616" s="34"/>
      <c r="E616" s="35" t="s">
        <v>637</v>
      </c>
      <c r="F616" s="23" t="s">
        <v>544</v>
      </c>
      <c r="G616" s="23"/>
      <c r="H616" s="23"/>
      <c r="I616" s="23"/>
      <c r="J616" s="23"/>
      <c r="K616" s="23"/>
      <c r="L616" s="23"/>
      <c r="M616" s="23"/>
      <c r="N616" s="23"/>
    </row>
    <row r="617" customFormat="1" ht="90" customHeight="1" spans="1:14">
      <c r="A617" t="str">
        <f t="shared" si="19"/>
        <v>9月30日晚上</v>
      </c>
      <c r="B617" s="20"/>
      <c r="C617" s="20"/>
      <c r="D617" s="34"/>
      <c r="E617" s="34"/>
      <c r="F617" s="23" t="s">
        <v>544</v>
      </c>
      <c r="G617" s="23" t="s">
        <v>815</v>
      </c>
      <c r="H617" s="23"/>
      <c r="I617" s="23"/>
      <c r="J617" s="23"/>
      <c r="K617" s="23"/>
      <c r="L617" s="23"/>
      <c r="M617" s="23"/>
      <c r="N617" s="23" t="s">
        <v>816</v>
      </c>
    </row>
    <row r="618" spans="1:14">
      <c r="A618" t="str">
        <f t="shared" ref="A618:A661" si="20">E618&amp;F618</f>
        <v/>
      </c>
    </row>
    <row r="619" customFormat="1" spans="1:14">
      <c r="A619" t="str">
        <f t="shared" si="20"/>
        <v>SKU</v>
      </c>
      <c r="B619" s="12" t="s">
        <v>240</v>
      </c>
      <c r="C619" s="12" t="s">
        <v>611</v>
      </c>
      <c r="D619" s="12" t="s">
        <v>612</v>
      </c>
      <c r="E619" s="12" t="s">
        <v>613</v>
      </c>
      <c r="F619" s="12"/>
      <c r="G619" s="13" t="s">
        <v>614</v>
      </c>
      <c r="H619" s="14"/>
      <c r="I619" s="14"/>
      <c r="J619" s="14"/>
      <c r="K619" s="14"/>
      <c r="L619" s="14"/>
      <c r="M619" s="14"/>
      <c r="N619" s="15"/>
    </row>
    <row r="620" customFormat="1" spans="1:14">
      <c r="A620" t="str">
        <f t="shared" si="20"/>
        <v/>
      </c>
      <c r="B620" s="12"/>
      <c r="C620" s="12"/>
      <c r="D620" s="12"/>
      <c r="E620" s="12"/>
      <c r="F620" s="16"/>
      <c r="G620" s="17" t="s">
        <v>483</v>
      </c>
      <c r="H620" s="17"/>
      <c r="I620" s="17" t="s">
        <v>620</v>
      </c>
      <c r="J620" s="17"/>
      <c r="K620" s="17" t="s">
        <v>485</v>
      </c>
      <c r="L620" s="17"/>
      <c r="M620" s="17" t="s">
        <v>486</v>
      </c>
      <c r="N620" s="17"/>
    </row>
    <row r="621" customFormat="1" spans="1:14">
      <c r="A621" t="str">
        <f t="shared" si="20"/>
        <v>日期</v>
      </c>
      <c r="B621" s="18"/>
      <c r="C621" s="18"/>
      <c r="D621" s="18"/>
      <c r="E621" s="18"/>
      <c r="F621" s="19" t="s">
        <v>277</v>
      </c>
      <c r="G621" s="17" t="s">
        <v>487</v>
      </c>
      <c r="H621" s="17" t="s">
        <v>488</v>
      </c>
      <c r="I621" s="17" t="s">
        <v>487</v>
      </c>
      <c r="J621" s="17" t="s">
        <v>488</v>
      </c>
      <c r="K621" s="17" t="s">
        <v>487</v>
      </c>
      <c r="L621" s="17" t="s">
        <v>488</v>
      </c>
      <c r="M621" s="17" t="s">
        <v>487</v>
      </c>
      <c r="N621" s="17" t="s">
        <v>488</v>
      </c>
    </row>
    <row r="622" customFormat="1" ht="90" customHeight="1" spans="1:14">
      <c r="A622" t="str">
        <f t="shared" si="20"/>
        <v>XXXX-11110月1日晚上</v>
      </c>
      <c r="B622" s="20"/>
      <c r="C622" s="21"/>
      <c r="D622" s="34"/>
      <c r="E622" s="34" t="s">
        <v>5</v>
      </c>
      <c r="F622" s="23" t="s">
        <v>545</v>
      </c>
      <c r="G622" s="23"/>
      <c r="H622" s="23" t="s">
        <v>654</v>
      </c>
      <c r="I622" s="23"/>
      <c r="J622" s="23"/>
      <c r="K622" s="23"/>
      <c r="L622" s="23" t="s">
        <v>691</v>
      </c>
      <c r="M622" s="23"/>
      <c r="N622" s="23"/>
    </row>
    <row r="623" customFormat="1" ht="90" customHeight="1" spans="1:14">
      <c r="A623" t="str">
        <f t="shared" si="20"/>
        <v>XXXX-22210月1日晚上</v>
      </c>
      <c r="B623" s="20"/>
      <c r="C623" s="24"/>
      <c r="D623" s="22"/>
      <c r="E623" s="22" t="s">
        <v>261</v>
      </c>
      <c r="F623" s="23" t="s">
        <v>545</v>
      </c>
      <c r="G623" s="23"/>
      <c r="H623" s="23"/>
      <c r="I623" s="23"/>
      <c r="J623" s="23" t="s">
        <v>817</v>
      </c>
      <c r="K623" s="32"/>
      <c r="L623" s="23"/>
      <c r="M623" s="23"/>
      <c r="N623" s="23"/>
    </row>
    <row r="624" customFormat="1" ht="90" customHeight="1" spans="1:14">
      <c r="A624" t="str">
        <f t="shared" si="20"/>
        <v>10月1日晚上</v>
      </c>
      <c r="B624" s="20"/>
      <c r="C624" s="26"/>
      <c r="D624" s="34"/>
      <c r="E624" s="34"/>
      <c r="F624" s="23" t="s">
        <v>545</v>
      </c>
      <c r="G624" s="23"/>
      <c r="H624" s="36"/>
      <c r="I624" s="23"/>
      <c r="J624" s="23"/>
      <c r="K624" s="23"/>
      <c r="L624" s="23" t="s">
        <v>818</v>
      </c>
      <c r="M624" s="23"/>
      <c r="N624" s="23"/>
    </row>
    <row r="625" customFormat="1" ht="90" customHeight="1" spans="1:14">
      <c r="A625" t="str">
        <f t="shared" si="20"/>
        <v>10月1日晚上</v>
      </c>
      <c r="B625" s="20"/>
      <c r="C625" s="21"/>
      <c r="D625" s="22"/>
      <c r="E625" s="22"/>
      <c r="F625" s="23" t="s">
        <v>545</v>
      </c>
      <c r="G625" s="23"/>
      <c r="I625" s="23"/>
      <c r="J625" s="23" t="s">
        <v>819</v>
      </c>
      <c r="K625" s="23"/>
      <c r="L625" s="23"/>
      <c r="M625" s="23"/>
      <c r="N625" s="23"/>
    </row>
    <row r="626" customFormat="1" ht="90" customHeight="1" spans="1:14">
      <c r="A626" t="str">
        <f t="shared" si="20"/>
        <v>10月1日晚上</v>
      </c>
      <c r="B626" s="20"/>
      <c r="C626" s="26"/>
      <c r="D626" s="34"/>
      <c r="E626" s="34"/>
      <c r="F626" s="23" t="s">
        <v>545</v>
      </c>
      <c r="G626" s="23"/>
      <c r="H626" s="23"/>
      <c r="I626" s="23"/>
      <c r="J626" s="23"/>
      <c r="K626" s="36"/>
      <c r="L626" s="23"/>
      <c r="M626" s="23"/>
      <c r="N626" s="23"/>
    </row>
    <row r="627" customFormat="1" ht="90" customHeight="1" spans="1:14">
      <c r="A627" t="str">
        <f t="shared" si="20"/>
        <v> 
10月1日晚上</v>
      </c>
      <c r="B627" s="20"/>
      <c r="C627" s="20"/>
      <c r="D627" s="34"/>
      <c r="E627" s="35" t="s">
        <v>637</v>
      </c>
      <c r="F627" s="23" t="s">
        <v>545</v>
      </c>
      <c r="G627" s="23"/>
      <c r="H627" s="23"/>
      <c r="I627" s="23"/>
      <c r="J627" s="23"/>
      <c r="K627" s="23"/>
      <c r="L627" s="23"/>
      <c r="M627" s="23"/>
      <c r="N627" s="23"/>
    </row>
    <row r="628" customFormat="1" ht="90" customHeight="1" spans="1:14">
      <c r="A628" t="str">
        <f t="shared" si="20"/>
        <v>10月1日晚上</v>
      </c>
      <c r="B628" s="20"/>
      <c r="C628" s="20"/>
      <c r="D628" s="34"/>
      <c r="E628" s="34"/>
      <c r="F628" s="23" t="s">
        <v>545</v>
      </c>
      <c r="G628" s="23"/>
      <c r="H628" s="23"/>
      <c r="I628" s="23"/>
      <c r="J628" s="23"/>
      <c r="K628" s="23"/>
      <c r="L628" s="23"/>
      <c r="M628" s="23"/>
      <c r="N628" s="23"/>
    </row>
    <row r="629" spans="1:14">
      <c r="A629" t="str">
        <f t="shared" si="20"/>
        <v/>
      </c>
    </row>
    <row r="630" customFormat="1" spans="1:14">
      <c r="A630" t="str">
        <f t="shared" si="20"/>
        <v>SKU</v>
      </c>
      <c r="B630" s="12" t="s">
        <v>240</v>
      </c>
      <c r="C630" s="12" t="s">
        <v>611</v>
      </c>
      <c r="D630" s="12" t="s">
        <v>612</v>
      </c>
      <c r="E630" s="12" t="s">
        <v>613</v>
      </c>
      <c r="F630" s="12"/>
      <c r="G630" s="13" t="s">
        <v>614</v>
      </c>
      <c r="H630" s="14"/>
      <c r="I630" s="14"/>
      <c r="J630" s="14"/>
      <c r="K630" s="14"/>
      <c r="L630" s="14"/>
      <c r="M630" s="14"/>
      <c r="N630" s="15"/>
    </row>
    <row r="631" customFormat="1" spans="1:14">
      <c r="A631" t="str">
        <f t="shared" si="20"/>
        <v/>
      </c>
      <c r="B631" s="12"/>
      <c r="C631" s="12"/>
      <c r="D631" s="12"/>
      <c r="E631" s="12"/>
      <c r="F631" s="16"/>
      <c r="G631" s="17" t="s">
        <v>483</v>
      </c>
      <c r="H631" s="17"/>
      <c r="I631" s="17" t="s">
        <v>620</v>
      </c>
      <c r="J631" s="17"/>
      <c r="K631" s="17" t="s">
        <v>485</v>
      </c>
      <c r="L631" s="17"/>
      <c r="M631" s="17" t="s">
        <v>486</v>
      </c>
      <c r="N631" s="17"/>
    </row>
    <row r="632" customFormat="1" spans="1:14">
      <c r="A632" t="str">
        <f t="shared" si="20"/>
        <v>日期</v>
      </c>
      <c r="B632" s="18"/>
      <c r="C632" s="18"/>
      <c r="D632" s="18"/>
      <c r="E632" s="18"/>
      <c r="F632" s="19" t="s">
        <v>277</v>
      </c>
      <c r="G632" s="17" t="s">
        <v>487</v>
      </c>
      <c r="H632" s="17" t="s">
        <v>488</v>
      </c>
      <c r="I632" s="17" t="s">
        <v>487</v>
      </c>
      <c r="J632" s="17" t="s">
        <v>488</v>
      </c>
      <c r="K632" s="17" t="s">
        <v>487</v>
      </c>
      <c r="L632" s="17" t="s">
        <v>488</v>
      </c>
      <c r="M632" s="17" t="s">
        <v>487</v>
      </c>
      <c r="N632" s="17" t="s">
        <v>488</v>
      </c>
    </row>
    <row r="633" customFormat="1" ht="90" customHeight="1" spans="1:14">
      <c r="A633" t="str">
        <f t="shared" si="20"/>
        <v>XXXX-11110月2日晚上</v>
      </c>
      <c r="B633" s="20"/>
      <c r="C633" s="21"/>
      <c r="D633" s="34"/>
      <c r="E633" s="34" t="s">
        <v>5</v>
      </c>
      <c r="F633" s="23" t="s">
        <v>546</v>
      </c>
      <c r="G633" s="23"/>
      <c r="H633" s="23" t="s">
        <v>811</v>
      </c>
      <c r="I633" s="23"/>
      <c r="J633" s="23"/>
      <c r="K633" s="23"/>
      <c r="L633" s="23" t="s">
        <v>703</v>
      </c>
      <c r="M633" s="23"/>
      <c r="N633" s="23"/>
    </row>
    <row r="634" customFormat="1" ht="90" customHeight="1" spans="1:14">
      <c r="A634" t="str">
        <f t="shared" si="20"/>
        <v>XXXX-22210月2日晚上</v>
      </c>
      <c r="B634" s="20"/>
      <c r="C634" s="24"/>
      <c r="D634" s="22"/>
      <c r="E634" s="22" t="s">
        <v>261</v>
      </c>
      <c r="F634" s="23" t="s">
        <v>546</v>
      </c>
      <c r="G634" s="23"/>
      <c r="H634" s="23"/>
      <c r="I634" s="23"/>
      <c r="J634" s="23" t="s">
        <v>796</v>
      </c>
      <c r="K634" s="32"/>
      <c r="L634" s="23"/>
      <c r="M634" s="23"/>
      <c r="N634" s="23"/>
    </row>
    <row r="635" customFormat="1" ht="90" customHeight="1" spans="1:14">
      <c r="A635" t="str">
        <f t="shared" si="20"/>
        <v>10月2日晚上</v>
      </c>
      <c r="B635" s="20"/>
      <c r="C635" s="26"/>
      <c r="D635" s="34"/>
      <c r="E635" s="34"/>
      <c r="F635" s="23" t="s">
        <v>546</v>
      </c>
      <c r="G635" s="23"/>
      <c r="H635" s="36"/>
      <c r="I635" s="23"/>
      <c r="J635" s="23"/>
      <c r="K635" s="23"/>
      <c r="L635" s="23" t="s">
        <v>820</v>
      </c>
      <c r="M635" s="23"/>
      <c r="N635" s="23"/>
    </row>
    <row r="636" customFormat="1" ht="90" customHeight="1" spans="1:14">
      <c r="A636" t="str">
        <f t="shared" si="20"/>
        <v>10月2日晚上</v>
      </c>
      <c r="B636" s="20"/>
      <c r="C636" s="21"/>
      <c r="D636" s="22"/>
      <c r="E636" s="22"/>
      <c r="F636" s="23" t="s">
        <v>546</v>
      </c>
      <c r="G636" s="23"/>
      <c r="I636" s="23"/>
      <c r="J636" s="23" t="s">
        <v>648</v>
      </c>
      <c r="K636" s="23"/>
      <c r="L636" s="23"/>
      <c r="M636" s="23"/>
      <c r="N636" s="23"/>
    </row>
    <row r="637" customFormat="1" ht="90" customHeight="1" spans="1:14">
      <c r="A637" t="str">
        <f t="shared" si="20"/>
        <v>10月2日晚上</v>
      </c>
      <c r="B637" s="20"/>
      <c r="C637" s="26"/>
      <c r="D637" s="34"/>
      <c r="E637" s="34"/>
      <c r="F637" s="23" t="s">
        <v>546</v>
      </c>
      <c r="G637" s="23"/>
      <c r="H637" s="23"/>
      <c r="I637" s="23"/>
      <c r="J637" s="23"/>
      <c r="K637" s="36"/>
      <c r="L637" s="23"/>
      <c r="M637" s="23"/>
      <c r="N637" s="23"/>
    </row>
    <row r="638" customFormat="1" ht="90" customHeight="1" spans="1:14">
      <c r="A638" t="str">
        <f t="shared" si="20"/>
        <v> 
10月2日晚上</v>
      </c>
      <c r="B638" s="20"/>
      <c r="C638" s="20"/>
      <c r="D638" s="34"/>
      <c r="E638" s="35" t="s">
        <v>637</v>
      </c>
      <c r="F638" s="23" t="s">
        <v>546</v>
      </c>
      <c r="G638" s="23"/>
      <c r="H638" s="23"/>
      <c r="I638" s="23"/>
      <c r="J638" s="23"/>
      <c r="K638" s="23"/>
      <c r="L638" s="23"/>
      <c r="M638" s="23"/>
      <c r="N638" s="23"/>
    </row>
    <row r="639" customFormat="1" ht="90" customHeight="1" spans="1:14">
      <c r="A639" t="str">
        <f t="shared" si="20"/>
        <v>10月2日晚上</v>
      </c>
      <c r="B639" s="20"/>
      <c r="C639" s="20"/>
      <c r="D639" s="34"/>
      <c r="E639" s="34"/>
      <c r="F639" s="23" t="s">
        <v>546</v>
      </c>
      <c r="G639" s="23"/>
      <c r="H639" s="23"/>
      <c r="I639" s="23"/>
      <c r="J639" s="23"/>
      <c r="K639" s="23"/>
      <c r="L639" s="23"/>
      <c r="M639" s="23"/>
      <c r="N639" s="23"/>
    </row>
    <row r="640" spans="1:14">
      <c r="A640" t="str">
        <f t="shared" si="20"/>
        <v/>
      </c>
    </row>
    <row r="641" spans="1:14">
      <c r="A641" t="str">
        <f t="shared" si="20"/>
        <v>SKU</v>
      </c>
      <c r="B641" s="12" t="s">
        <v>240</v>
      </c>
      <c r="C641" s="12" t="s">
        <v>611</v>
      </c>
      <c r="D641" s="12" t="s">
        <v>612</v>
      </c>
      <c r="E641" s="12" t="s">
        <v>613</v>
      </c>
      <c r="F641" s="12"/>
      <c r="G641" s="13" t="s">
        <v>614</v>
      </c>
      <c r="H641" s="14"/>
      <c r="I641" s="14"/>
      <c r="J641" s="14"/>
      <c r="K641" s="14"/>
      <c r="L641" s="14"/>
      <c r="M641" s="14"/>
      <c r="N641" s="15"/>
    </row>
    <row r="642" spans="1:14">
      <c r="A642" t="str">
        <f t="shared" si="20"/>
        <v/>
      </c>
      <c r="B642" s="12"/>
      <c r="C642" s="12"/>
      <c r="D642" s="12"/>
      <c r="E642" s="12"/>
      <c r="F642" s="16"/>
      <c r="G642" s="17" t="s">
        <v>483</v>
      </c>
      <c r="H642" s="17"/>
      <c r="I642" s="17" t="s">
        <v>620</v>
      </c>
      <c r="J642" s="17"/>
      <c r="K642" s="17" t="s">
        <v>485</v>
      </c>
      <c r="L642" s="17"/>
      <c r="M642" s="17" t="s">
        <v>486</v>
      </c>
      <c r="N642" s="17"/>
    </row>
    <row r="643" spans="1:14">
      <c r="A643" t="str">
        <f t="shared" si="20"/>
        <v>日期</v>
      </c>
      <c r="B643" s="18"/>
      <c r="C643" s="18"/>
      <c r="D643" s="18"/>
      <c r="E643" s="18"/>
      <c r="F643" s="19" t="s">
        <v>277</v>
      </c>
      <c r="G643" s="17" t="s">
        <v>487</v>
      </c>
      <c r="H643" s="17" t="s">
        <v>488</v>
      </c>
      <c r="I643" s="17" t="s">
        <v>487</v>
      </c>
      <c r="J643" s="17" t="s">
        <v>488</v>
      </c>
      <c r="K643" s="17" t="s">
        <v>487</v>
      </c>
      <c r="L643" s="17" t="s">
        <v>488</v>
      </c>
      <c r="M643" s="17" t="s">
        <v>487</v>
      </c>
      <c r="N643" s="17" t="s">
        <v>488</v>
      </c>
    </row>
    <row r="644" ht="90" customHeight="1" spans="1:14">
      <c r="A644" t="str">
        <f t="shared" si="20"/>
        <v>XXXX-11110月3日晚上</v>
      </c>
      <c r="B644" s="20"/>
      <c r="C644" s="21"/>
      <c r="D644" s="34"/>
      <c r="E644" s="34" t="s">
        <v>5</v>
      </c>
      <c r="F644" s="23" t="s">
        <v>547</v>
      </c>
      <c r="G644" s="23"/>
      <c r="H644" s="23" t="s">
        <v>811</v>
      </c>
      <c r="I644" s="23"/>
      <c r="J644" s="23"/>
      <c r="K644" s="23"/>
      <c r="L644" s="23" t="s">
        <v>748</v>
      </c>
      <c r="M644" s="23"/>
      <c r="N644" s="23"/>
    </row>
    <row r="645" ht="90" customHeight="1" spans="1:14">
      <c r="A645" t="str">
        <f t="shared" si="20"/>
        <v>XXXX-22210月3日晚上</v>
      </c>
      <c r="B645" s="20"/>
      <c r="C645" s="24"/>
      <c r="D645" s="22"/>
      <c r="E645" s="22" t="s">
        <v>261</v>
      </c>
      <c r="F645" s="23" t="s">
        <v>547</v>
      </c>
      <c r="G645" s="23"/>
      <c r="H645" s="23"/>
      <c r="I645" s="23"/>
      <c r="J645" s="23"/>
      <c r="K645" s="32"/>
      <c r="L645" s="23"/>
      <c r="M645" s="23"/>
      <c r="N645" s="23"/>
    </row>
    <row r="646" ht="90" customHeight="1" spans="1:14">
      <c r="A646" t="str">
        <f t="shared" si="20"/>
        <v>10月3日晚上</v>
      </c>
      <c r="B646" s="20"/>
      <c r="C646" s="26"/>
      <c r="D646" s="34"/>
      <c r="E646" s="34"/>
      <c r="F646" s="23" t="s">
        <v>547</v>
      </c>
      <c r="G646" s="23"/>
      <c r="H646" s="36"/>
      <c r="I646" s="23"/>
      <c r="J646" s="23"/>
      <c r="K646" s="23"/>
      <c r="L646" s="23" t="s">
        <v>754</v>
      </c>
      <c r="M646" s="23"/>
      <c r="N646" s="23"/>
    </row>
    <row r="647" ht="90" customHeight="1" spans="1:14">
      <c r="A647" t="str">
        <f t="shared" si="20"/>
        <v>10月3日晚上</v>
      </c>
      <c r="B647" s="20"/>
      <c r="C647" s="21"/>
      <c r="D647" s="22"/>
      <c r="E647" s="22"/>
      <c r="F647" s="23" t="s">
        <v>547</v>
      </c>
      <c r="G647" s="23"/>
      <c r="I647" s="23"/>
      <c r="J647" s="23" t="s">
        <v>675</v>
      </c>
      <c r="K647" s="23"/>
      <c r="L647" s="23"/>
      <c r="M647" s="23"/>
      <c r="N647" s="23"/>
    </row>
    <row r="648" ht="90" customHeight="1" spans="1:14">
      <c r="A648" t="str">
        <f t="shared" si="20"/>
        <v>10月3日晚上</v>
      </c>
      <c r="B648" s="20"/>
      <c r="C648" s="26"/>
      <c r="D648" s="34"/>
      <c r="E648" s="34"/>
      <c r="F648" s="23" t="s">
        <v>547</v>
      </c>
      <c r="G648" s="23"/>
      <c r="H648" s="23"/>
      <c r="I648" s="23"/>
      <c r="J648" s="23"/>
      <c r="K648" s="36"/>
      <c r="L648" s="23"/>
      <c r="M648" s="23"/>
      <c r="N648" s="23"/>
    </row>
    <row r="649" ht="90" customHeight="1" spans="1:14">
      <c r="A649" t="str">
        <f t="shared" si="20"/>
        <v> 
10月3日晚上</v>
      </c>
      <c r="B649" s="20"/>
      <c r="C649" s="20"/>
      <c r="D649" s="34"/>
      <c r="E649" s="35" t="s">
        <v>637</v>
      </c>
      <c r="F649" s="23" t="s">
        <v>547</v>
      </c>
      <c r="G649" s="23"/>
      <c r="H649" s="23"/>
      <c r="I649" s="23"/>
      <c r="J649" s="23"/>
      <c r="K649" s="23"/>
      <c r="L649" s="23"/>
      <c r="M649" s="23"/>
      <c r="N649" s="23"/>
    </row>
    <row r="650" ht="90" customHeight="1" spans="1:14">
      <c r="A650" t="str">
        <f t="shared" si="20"/>
        <v>10月3日晚上</v>
      </c>
      <c r="B650" s="20"/>
      <c r="C650" s="20"/>
      <c r="D650" s="34"/>
      <c r="E650" s="34"/>
      <c r="F650" s="23" t="s">
        <v>547</v>
      </c>
      <c r="G650" s="23"/>
      <c r="H650" s="23"/>
      <c r="I650" s="23"/>
      <c r="J650" s="23"/>
      <c r="K650" s="23"/>
      <c r="L650" s="23"/>
      <c r="M650" s="23"/>
      <c r="N650" s="23"/>
    </row>
    <row r="651" spans="1:14">
      <c r="A651" t="str">
        <f t="shared" si="20"/>
        <v/>
      </c>
    </row>
    <row r="652" spans="1:14">
      <c r="A652" t="str">
        <f t="shared" si="20"/>
        <v>SKU</v>
      </c>
      <c r="B652" s="12" t="s">
        <v>240</v>
      </c>
      <c r="C652" s="12" t="s">
        <v>611</v>
      </c>
      <c r="D652" s="12" t="s">
        <v>612</v>
      </c>
      <c r="E652" s="12" t="s">
        <v>613</v>
      </c>
      <c r="F652" s="12"/>
      <c r="G652" s="13" t="s">
        <v>614</v>
      </c>
      <c r="H652" s="14"/>
      <c r="I652" s="14"/>
      <c r="J652" s="14"/>
      <c r="K652" s="14"/>
      <c r="L652" s="14"/>
      <c r="M652" s="14"/>
      <c r="N652" s="15"/>
    </row>
    <row r="653" spans="1:14">
      <c r="A653" t="str">
        <f t="shared" si="20"/>
        <v/>
      </c>
      <c r="B653" s="12"/>
      <c r="C653" s="12"/>
      <c r="D653" s="12"/>
      <c r="E653" s="12"/>
      <c r="F653" s="16"/>
      <c r="G653" s="17" t="s">
        <v>483</v>
      </c>
      <c r="H653" s="17"/>
      <c r="I653" s="17" t="s">
        <v>620</v>
      </c>
      <c r="J653" s="17"/>
      <c r="K653" s="17" t="s">
        <v>485</v>
      </c>
      <c r="L653" s="17"/>
      <c r="M653" s="17" t="s">
        <v>486</v>
      </c>
      <c r="N653" s="17"/>
    </row>
    <row r="654" spans="1:14">
      <c r="A654" t="str">
        <f t="shared" si="20"/>
        <v>日期</v>
      </c>
      <c r="B654" s="18"/>
      <c r="C654" s="18"/>
      <c r="D654" s="18"/>
      <c r="E654" s="18"/>
      <c r="F654" s="19" t="s">
        <v>277</v>
      </c>
      <c r="G654" s="17" t="s">
        <v>487</v>
      </c>
      <c r="H654" s="17" t="s">
        <v>488</v>
      </c>
      <c r="I654" s="17" t="s">
        <v>487</v>
      </c>
      <c r="J654" s="17" t="s">
        <v>488</v>
      </c>
      <c r="K654" s="17" t="s">
        <v>487</v>
      </c>
      <c r="L654" s="17" t="s">
        <v>488</v>
      </c>
      <c r="M654" s="17" t="s">
        <v>487</v>
      </c>
      <c r="N654" s="17" t="s">
        <v>488</v>
      </c>
    </row>
    <row r="655" ht="84" customHeight="1" spans="1:14">
      <c r="A655" t="str">
        <f t="shared" si="20"/>
        <v>XXXX-11110月4日晚上</v>
      </c>
      <c r="B655" s="20"/>
      <c r="C655" s="21"/>
      <c r="D655" s="34"/>
      <c r="E655" s="34" t="s">
        <v>5</v>
      </c>
      <c r="F655" s="23" t="s">
        <v>548</v>
      </c>
      <c r="G655" s="23"/>
      <c r="H655" s="23" t="s">
        <v>708</v>
      </c>
      <c r="I655" s="23"/>
      <c r="J655" s="23"/>
      <c r="K655" s="23"/>
      <c r="L655" s="23" t="s">
        <v>820</v>
      </c>
      <c r="M655" s="23"/>
      <c r="N655" s="23"/>
    </row>
    <row r="656" ht="84" customHeight="1" spans="1:14">
      <c r="A656" t="str">
        <f t="shared" si="20"/>
        <v>XXXX-22210月4日晚上</v>
      </c>
      <c r="B656" s="20"/>
      <c r="C656" s="24"/>
      <c r="D656" s="22"/>
      <c r="E656" s="22" t="s">
        <v>261</v>
      </c>
      <c r="F656" s="23" t="s">
        <v>548</v>
      </c>
      <c r="G656" s="23"/>
      <c r="H656" s="23"/>
      <c r="I656" s="23"/>
      <c r="J656" s="23" t="s">
        <v>821</v>
      </c>
      <c r="K656" s="32"/>
      <c r="L656" s="23"/>
      <c r="M656" s="23"/>
      <c r="N656" s="23"/>
    </row>
    <row r="657" ht="84" customHeight="1" spans="1:14">
      <c r="A657" t="str">
        <f t="shared" si="20"/>
        <v>10月4日晚上</v>
      </c>
      <c r="B657" s="20"/>
      <c r="C657" s="26"/>
      <c r="D657" s="34"/>
      <c r="E657" s="34"/>
      <c r="F657" s="23" t="s">
        <v>548</v>
      </c>
      <c r="G657" s="23"/>
      <c r="H657" s="36"/>
      <c r="I657" s="23"/>
      <c r="J657" s="23"/>
      <c r="K657" s="23"/>
      <c r="L657" s="23" t="s">
        <v>822</v>
      </c>
      <c r="M657" s="23"/>
      <c r="N657" s="23"/>
    </row>
    <row r="658" ht="84" customHeight="1" spans="1:14">
      <c r="A658" t="str">
        <f t="shared" si="20"/>
        <v>10月4日晚上</v>
      </c>
      <c r="B658" s="20"/>
      <c r="C658" s="21"/>
      <c r="D658" s="22"/>
      <c r="E658" s="22"/>
      <c r="F658" s="23" t="s">
        <v>548</v>
      </c>
      <c r="G658" s="23"/>
      <c r="I658" s="23"/>
      <c r="J658" s="23" t="s">
        <v>632</v>
      </c>
      <c r="K658" s="23"/>
      <c r="L658" s="23"/>
      <c r="M658" s="23"/>
      <c r="N658" s="23"/>
    </row>
    <row r="659" ht="84" customHeight="1" spans="1:14">
      <c r="A659" t="str">
        <f t="shared" si="20"/>
        <v>10月4日晚上</v>
      </c>
      <c r="B659" s="20"/>
      <c r="C659" s="26"/>
      <c r="D659" s="34"/>
      <c r="E659" s="34"/>
      <c r="F659" s="23" t="s">
        <v>548</v>
      </c>
      <c r="G659" s="23"/>
      <c r="H659" s="23"/>
      <c r="I659" s="23"/>
      <c r="J659" s="23"/>
      <c r="K659" s="36"/>
      <c r="L659" s="23"/>
      <c r="M659" s="23"/>
      <c r="N659" s="23"/>
    </row>
    <row r="660" ht="84" customHeight="1" spans="1:14">
      <c r="A660" t="str">
        <f t="shared" si="20"/>
        <v> 
10月4日晚上</v>
      </c>
      <c r="B660" s="20"/>
      <c r="C660" s="20"/>
      <c r="D660" s="34"/>
      <c r="E660" s="35" t="s">
        <v>637</v>
      </c>
      <c r="F660" s="23" t="s">
        <v>548</v>
      </c>
      <c r="G660" s="23"/>
      <c r="H660" s="23"/>
      <c r="I660" s="23"/>
      <c r="J660" s="23"/>
      <c r="K660" s="23"/>
      <c r="L660" s="23"/>
      <c r="M660" s="23"/>
      <c r="N660" s="23"/>
    </row>
    <row r="661" ht="84" customHeight="1" spans="1:14">
      <c r="A661" t="str">
        <f t="shared" si="20"/>
        <v>10月4日晚上</v>
      </c>
      <c r="B661" s="20"/>
      <c r="C661" s="20"/>
      <c r="D661" s="34"/>
      <c r="E661" s="34"/>
      <c r="F661" s="23" t="s">
        <v>548</v>
      </c>
      <c r="G661" s="23"/>
      <c r="H661" s="23"/>
      <c r="I661" s="23"/>
      <c r="J661" s="23"/>
      <c r="K661" s="23"/>
      <c r="L661" s="23"/>
      <c r="M661" s="23"/>
      <c r="N661" s="23"/>
    </row>
    <row r="662" spans="1:14">
      <c r="A662" t="str">
        <f t="shared" ref="A662:A683" si="21">E662&amp;F662</f>
        <v/>
      </c>
    </row>
    <row r="663" spans="1:14">
      <c r="A663" t="str">
        <f t="shared" si="21"/>
        <v>SKU</v>
      </c>
      <c r="B663" s="12" t="s">
        <v>240</v>
      </c>
      <c r="C663" s="12" t="s">
        <v>611</v>
      </c>
      <c r="D663" s="12" t="s">
        <v>612</v>
      </c>
      <c r="E663" s="12" t="s">
        <v>613</v>
      </c>
      <c r="F663" s="12"/>
      <c r="G663" s="13" t="s">
        <v>614</v>
      </c>
      <c r="H663" s="14"/>
      <c r="I663" s="14"/>
      <c r="J663" s="14"/>
      <c r="K663" s="14"/>
      <c r="L663" s="14"/>
      <c r="M663" s="14"/>
      <c r="N663" s="15"/>
    </row>
    <row r="664" spans="1:14">
      <c r="A664" t="str">
        <f t="shared" si="21"/>
        <v/>
      </c>
      <c r="B664" s="12"/>
      <c r="C664" s="12"/>
      <c r="D664" s="12"/>
      <c r="E664" s="12"/>
      <c r="F664" s="16"/>
      <c r="G664" s="17" t="s">
        <v>483</v>
      </c>
      <c r="H664" s="17"/>
      <c r="I664" s="17" t="s">
        <v>620</v>
      </c>
      <c r="J664" s="17"/>
      <c r="K664" s="17" t="s">
        <v>485</v>
      </c>
      <c r="L664" s="17"/>
      <c r="M664" s="17" t="s">
        <v>486</v>
      </c>
      <c r="N664" s="17"/>
    </row>
    <row r="665" spans="1:14">
      <c r="A665" t="str">
        <f t="shared" si="21"/>
        <v>日期</v>
      </c>
      <c r="B665" s="18"/>
      <c r="C665" s="18"/>
      <c r="D665" s="18"/>
      <c r="E665" s="18"/>
      <c r="F665" s="19" t="s">
        <v>277</v>
      </c>
      <c r="G665" s="17" t="s">
        <v>487</v>
      </c>
      <c r="H665" s="17" t="s">
        <v>488</v>
      </c>
      <c r="I665" s="17" t="s">
        <v>487</v>
      </c>
      <c r="J665" s="17" t="s">
        <v>488</v>
      </c>
      <c r="K665" s="17" t="s">
        <v>487</v>
      </c>
      <c r="L665" s="17" t="s">
        <v>488</v>
      </c>
      <c r="M665" s="17" t="s">
        <v>487</v>
      </c>
      <c r="N665" s="17" t="s">
        <v>488</v>
      </c>
    </row>
    <row r="666" ht="81" customHeight="1" spans="1:14">
      <c r="A666" t="str">
        <f t="shared" si="21"/>
        <v>XXXX-11110月5日晚上</v>
      </c>
      <c r="B666" s="20"/>
      <c r="C666" s="21"/>
      <c r="D666" s="34"/>
      <c r="E666" s="34" t="s">
        <v>5</v>
      </c>
      <c r="F666" s="23" t="s">
        <v>549</v>
      </c>
      <c r="G666" s="23"/>
      <c r="H666" s="23" t="s">
        <v>632</v>
      </c>
      <c r="I666" s="23"/>
      <c r="J666" s="23"/>
      <c r="K666" s="23"/>
      <c r="L666" s="23" t="s">
        <v>790</v>
      </c>
      <c r="M666" s="23"/>
      <c r="N666" s="23"/>
    </row>
    <row r="667" ht="81" customHeight="1" spans="1:14">
      <c r="A667" t="str">
        <f t="shared" si="21"/>
        <v>XXXX-22210月5日晚上</v>
      </c>
      <c r="B667" s="20"/>
      <c r="C667" s="24"/>
      <c r="D667" s="22"/>
      <c r="E667" s="22" t="s">
        <v>261</v>
      </c>
      <c r="F667" s="23" t="s">
        <v>549</v>
      </c>
      <c r="G667" s="23"/>
      <c r="H667" s="23"/>
      <c r="I667" s="23"/>
      <c r="J667" s="23" t="s">
        <v>823</v>
      </c>
      <c r="K667" s="32"/>
      <c r="L667" s="23"/>
      <c r="M667" s="23"/>
      <c r="N667" s="23"/>
    </row>
    <row r="668" ht="81" customHeight="1" spans="1:14">
      <c r="A668" t="str">
        <f t="shared" si="21"/>
        <v>10月5日晚上</v>
      </c>
      <c r="B668" s="20"/>
      <c r="C668" s="26"/>
      <c r="D668" s="34"/>
      <c r="E668" s="34"/>
      <c r="F668" s="23" t="s">
        <v>549</v>
      </c>
      <c r="G668" s="23"/>
      <c r="H668" s="36"/>
      <c r="I668" s="23"/>
      <c r="J668" s="23"/>
      <c r="K668" s="23"/>
      <c r="L668" s="23" t="s">
        <v>748</v>
      </c>
      <c r="M668" s="23"/>
      <c r="N668" s="23"/>
    </row>
    <row r="669" ht="91" customHeight="1" spans="1:14">
      <c r="A669" t="str">
        <f t="shared" si="21"/>
        <v>10月5日晚上</v>
      </c>
      <c r="B669" s="20"/>
      <c r="C669" s="21"/>
      <c r="D669" s="22"/>
      <c r="E669" s="22"/>
      <c r="F669" s="23" t="s">
        <v>549</v>
      </c>
      <c r="G669" s="23"/>
      <c r="I669" s="23"/>
      <c r="J669" s="23" t="s">
        <v>725</v>
      </c>
      <c r="K669" s="23"/>
      <c r="L669" s="23"/>
      <c r="M669" s="23"/>
      <c r="N669" s="23"/>
    </row>
    <row r="670" ht="91" customHeight="1" spans="1:14">
      <c r="A670" t="str">
        <f t="shared" si="21"/>
        <v>10月5日晚上</v>
      </c>
      <c r="B670" s="20"/>
      <c r="C670" s="26"/>
      <c r="D670" s="34"/>
      <c r="E670" s="34"/>
      <c r="F670" s="23" t="s">
        <v>549</v>
      </c>
      <c r="G670" s="23"/>
      <c r="H670" s="23"/>
      <c r="I670" s="23"/>
      <c r="J670" s="23"/>
      <c r="K670" s="36"/>
      <c r="L670" s="23"/>
      <c r="M670" s="23"/>
      <c r="N670" s="23"/>
    </row>
    <row r="671" ht="91" customHeight="1" spans="1:14">
      <c r="A671" t="str">
        <f t="shared" si="21"/>
        <v> 
10月5日晚上</v>
      </c>
      <c r="B671" s="20"/>
      <c r="C671" s="20"/>
      <c r="D671" s="34"/>
      <c r="E671" s="35" t="s">
        <v>637</v>
      </c>
      <c r="F671" s="23" t="s">
        <v>549</v>
      </c>
      <c r="G671" s="23"/>
      <c r="H671" s="23"/>
      <c r="I671" s="23"/>
      <c r="J671" s="23"/>
      <c r="K671" s="23"/>
      <c r="L671" s="23"/>
      <c r="M671" s="23"/>
      <c r="N671" s="23"/>
    </row>
    <row r="672" ht="91" customHeight="1" spans="1:14">
      <c r="A672" t="str">
        <f t="shared" si="21"/>
        <v>10月5日晚上</v>
      </c>
      <c r="B672" s="20"/>
      <c r="C672" s="20"/>
      <c r="D672" s="34"/>
      <c r="E672" s="34"/>
      <c r="F672" s="23" t="s">
        <v>549</v>
      </c>
      <c r="G672" s="23"/>
      <c r="H672" s="23"/>
      <c r="I672" s="23"/>
      <c r="J672" s="23"/>
      <c r="K672" s="23"/>
      <c r="L672" s="23"/>
      <c r="M672" s="23"/>
      <c r="N672" s="23"/>
    </row>
    <row r="673" spans="1:14">
      <c r="A673" t="str">
        <f t="shared" si="21"/>
        <v/>
      </c>
    </row>
    <row r="674" spans="1:14">
      <c r="A674" t="str">
        <f t="shared" si="21"/>
        <v>SKU</v>
      </c>
      <c r="B674" s="12" t="s">
        <v>240</v>
      </c>
      <c r="C674" s="12" t="s">
        <v>611</v>
      </c>
      <c r="D674" s="12" t="s">
        <v>612</v>
      </c>
      <c r="E674" s="12" t="s">
        <v>613</v>
      </c>
      <c r="F674" s="12"/>
      <c r="G674" s="13" t="s">
        <v>614</v>
      </c>
      <c r="H674" s="14"/>
      <c r="I674" s="14"/>
      <c r="J674" s="14"/>
      <c r="K674" s="14"/>
      <c r="L674" s="14"/>
      <c r="M674" s="14"/>
      <c r="N674" s="15"/>
    </row>
    <row r="675" spans="1:14">
      <c r="A675" t="str">
        <f t="shared" si="21"/>
        <v/>
      </c>
      <c r="B675" s="12"/>
      <c r="C675" s="12"/>
      <c r="D675" s="12"/>
      <c r="E675" s="12"/>
      <c r="F675" s="16"/>
      <c r="G675" s="17" t="s">
        <v>483</v>
      </c>
      <c r="H675" s="17"/>
      <c r="I675" s="17" t="s">
        <v>620</v>
      </c>
      <c r="J675" s="17"/>
      <c r="K675" s="17" t="s">
        <v>485</v>
      </c>
      <c r="L675" s="17"/>
      <c r="M675" s="17" t="s">
        <v>486</v>
      </c>
      <c r="N675" s="17"/>
    </row>
    <row r="676" spans="1:14">
      <c r="A676" t="str">
        <f t="shared" si="21"/>
        <v>日期</v>
      </c>
      <c r="B676" s="18"/>
      <c r="C676" s="18"/>
      <c r="D676" s="18"/>
      <c r="E676" s="18"/>
      <c r="F676" s="19" t="s">
        <v>277</v>
      </c>
      <c r="G676" s="17" t="s">
        <v>487</v>
      </c>
      <c r="H676" s="17" t="s">
        <v>488</v>
      </c>
      <c r="I676" s="17" t="s">
        <v>487</v>
      </c>
      <c r="J676" s="17" t="s">
        <v>488</v>
      </c>
      <c r="K676" s="17" t="s">
        <v>487</v>
      </c>
      <c r="L676" s="17" t="s">
        <v>488</v>
      </c>
      <c r="M676" s="17" t="s">
        <v>487</v>
      </c>
      <c r="N676" s="17" t="s">
        <v>488</v>
      </c>
    </row>
    <row r="677" ht="87" customHeight="1" spans="1:14">
      <c r="A677" t="str">
        <f t="shared" si="21"/>
        <v>XXXX-11110月6日上午</v>
      </c>
      <c r="B677" s="20"/>
      <c r="C677" s="21"/>
      <c r="D677" s="34"/>
      <c r="E677" s="34" t="s">
        <v>5</v>
      </c>
      <c r="F677" s="23" t="s">
        <v>550</v>
      </c>
      <c r="G677" s="23"/>
      <c r="H677" s="23" t="s">
        <v>824</v>
      </c>
      <c r="I677" s="23"/>
      <c r="J677" s="23"/>
      <c r="K677" s="23"/>
      <c r="L677" s="23" t="s">
        <v>825</v>
      </c>
      <c r="M677" s="23"/>
      <c r="N677" s="23"/>
    </row>
    <row r="678" ht="87" customHeight="1" spans="1:14">
      <c r="A678" t="str">
        <f t="shared" si="21"/>
        <v>XXXX-22210月6日上午</v>
      </c>
      <c r="B678" s="20"/>
      <c r="C678" s="24"/>
      <c r="D678" s="22"/>
      <c r="E678" s="22" t="s">
        <v>261</v>
      </c>
      <c r="F678" s="23" t="s">
        <v>550</v>
      </c>
      <c r="G678" s="23"/>
      <c r="H678" s="23"/>
      <c r="I678" s="23"/>
      <c r="J678" s="23" t="s">
        <v>826</v>
      </c>
      <c r="K678" s="32"/>
      <c r="L678" s="23"/>
      <c r="M678" s="23"/>
      <c r="N678" s="23"/>
    </row>
    <row r="679" ht="87" customHeight="1" spans="1:14">
      <c r="A679" t="str">
        <f t="shared" si="21"/>
        <v>10月6日上午</v>
      </c>
      <c r="B679" s="20"/>
      <c r="C679" s="26"/>
      <c r="D679" s="34"/>
      <c r="E679" s="34"/>
      <c r="F679" s="23" t="s">
        <v>550</v>
      </c>
      <c r="G679" s="23"/>
      <c r="H679" s="36"/>
      <c r="I679" s="23"/>
      <c r="J679" s="23" t="s">
        <v>827</v>
      </c>
      <c r="K679" s="23"/>
      <c r="L679" s="23" t="s">
        <v>828</v>
      </c>
      <c r="M679" s="23"/>
      <c r="N679" s="23"/>
    </row>
    <row r="680" ht="87" customHeight="1" spans="1:14">
      <c r="A680" t="str">
        <f t="shared" si="21"/>
        <v>10月6日上午</v>
      </c>
      <c r="B680" s="20"/>
      <c r="C680" s="21"/>
      <c r="D680" s="22"/>
      <c r="E680" s="22"/>
      <c r="F680" s="23" t="s">
        <v>550</v>
      </c>
      <c r="G680" s="23"/>
      <c r="I680" s="23"/>
      <c r="J680" s="23" t="s">
        <v>630</v>
      </c>
      <c r="K680" s="23"/>
      <c r="L680" s="23"/>
      <c r="M680" s="23"/>
      <c r="N680" s="23"/>
    </row>
    <row r="681" ht="87" customHeight="1" spans="1:14">
      <c r="A681" t="str">
        <f t="shared" si="21"/>
        <v>10月6日上午</v>
      </c>
      <c r="B681" s="20"/>
      <c r="C681" s="26"/>
      <c r="D681" s="34"/>
      <c r="E681" s="34"/>
      <c r="F681" s="23" t="s">
        <v>550</v>
      </c>
      <c r="G681" s="23"/>
      <c r="H681" s="23" t="s">
        <v>743</v>
      </c>
      <c r="I681" s="23"/>
      <c r="J681" s="23"/>
      <c r="K681" s="36"/>
      <c r="L681" s="23"/>
      <c r="M681" s="23"/>
      <c r="N681" s="23"/>
    </row>
    <row r="682" ht="87" customHeight="1" spans="1:14">
      <c r="A682" t="str">
        <f t="shared" si="21"/>
        <v> 
10月6日上午</v>
      </c>
      <c r="B682" s="20"/>
      <c r="C682" s="20"/>
      <c r="D682" s="34"/>
      <c r="E682" s="35" t="s">
        <v>637</v>
      </c>
      <c r="F682" s="23" t="s">
        <v>550</v>
      </c>
      <c r="G682" s="23"/>
      <c r="H682" s="23"/>
      <c r="I682" s="23"/>
      <c r="J682" s="23"/>
      <c r="K682" s="23"/>
      <c r="L682" s="23"/>
      <c r="M682" s="23"/>
      <c r="N682" s="23"/>
    </row>
    <row r="683" ht="87" customHeight="1" spans="1:14">
      <c r="A683" t="str">
        <f t="shared" si="21"/>
        <v>10月6日上午</v>
      </c>
      <c r="B683" s="20"/>
      <c r="C683" s="20"/>
      <c r="D683" s="34"/>
      <c r="E683" s="34"/>
      <c r="F683" s="23" t="s">
        <v>550</v>
      </c>
      <c r="G683" s="23"/>
      <c r="H683" s="23"/>
      <c r="I683" s="23"/>
      <c r="J683" s="23"/>
      <c r="K683" s="23"/>
      <c r="L683" s="23"/>
      <c r="M683" s="23"/>
      <c r="N683" s="23"/>
    </row>
    <row r="684" spans="1:14">
      <c r="A684" t="str">
        <f t="shared" ref="A684:A715" si="22">E684&amp;F684</f>
        <v/>
      </c>
    </row>
    <row r="685" customFormat="1" spans="1:14">
      <c r="A685" t="str">
        <f t="shared" si="22"/>
        <v>SKU</v>
      </c>
      <c r="B685" s="12" t="s">
        <v>240</v>
      </c>
      <c r="C685" s="12" t="s">
        <v>611</v>
      </c>
      <c r="D685" s="12" t="s">
        <v>612</v>
      </c>
      <c r="E685" s="12" t="s">
        <v>613</v>
      </c>
      <c r="F685" s="12"/>
      <c r="G685" s="13" t="s">
        <v>614</v>
      </c>
      <c r="H685" s="14"/>
      <c r="I685" s="14"/>
      <c r="J685" s="14"/>
      <c r="K685" s="14"/>
      <c r="L685" s="14"/>
      <c r="M685" s="14"/>
      <c r="N685" s="15"/>
    </row>
    <row r="686" customFormat="1" spans="1:14">
      <c r="A686" t="str">
        <f t="shared" si="22"/>
        <v/>
      </c>
      <c r="B686" s="12"/>
      <c r="C686" s="12"/>
      <c r="D686" s="12"/>
      <c r="E686" s="12"/>
      <c r="F686" s="16"/>
      <c r="G686" s="17" t="s">
        <v>483</v>
      </c>
      <c r="H686" s="17"/>
      <c r="I686" s="17" t="s">
        <v>620</v>
      </c>
      <c r="J686" s="17"/>
      <c r="K686" s="17" t="s">
        <v>485</v>
      </c>
      <c r="L686" s="17"/>
      <c r="M686" s="17" t="s">
        <v>486</v>
      </c>
      <c r="N686" s="17"/>
    </row>
    <row r="687" customFormat="1" spans="1:14">
      <c r="A687" t="str">
        <f t="shared" si="22"/>
        <v>日期</v>
      </c>
      <c r="B687" s="18"/>
      <c r="C687" s="18"/>
      <c r="D687" s="18"/>
      <c r="E687" s="18"/>
      <c r="F687" s="19" t="s">
        <v>277</v>
      </c>
      <c r="G687" s="17" t="s">
        <v>487</v>
      </c>
      <c r="H687" s="17" t="s">
        <v>488</v>
      </c>
      <c r="I687" s="17" t="s">
        <v>487</v>
      </c>
      <c r="J687" s="17" t="s">
        <v>488</v>
      </c>
      <c r="K687" s="17" t="s">
        <v>487</v>
      </c>
      <c r="L687" s="17" t="s">
        <v>488</v>
      </c>
      <c r="M687" s="17" t="s">
        <v>487</v>
      </c>
      <c r="N687" s="17" t="s">
        <v>488</v>
      </c>
    </row>
    <row r="688" customFormat="1" ht="90" customHeight="1" spans="1:14">
      <c r="A688" t="str">
        <f t="shared" si="22"/>
        <v>XXXX-11110月6日晚上</v>
      </c>
      <c r="B688" s="20"/>
      <c r="C688" s="21"/>
      <c r="D688" s="34"/>
      <c r="E688" s="34" t="s">
        <v>5</v>
      </c>
      <c r="F688" s="23" t="s">
        <v>551</v>
      </c>
      <c r="G688" s="23"/>
      <c r="H688" s="23" t="s">
        <v>829</v>
      </c>
      <c r="I688" s="23"/>
      <c r="J688" s="23"/>
      <c r="K688" s="23"/>
      <c r="L688" s="23" t="s">
        <v>830</v>
      </c>
      <c r="M688" s="23"/>
      <c r="N688" s="23"/>
    </row>
    <row r="689" customFormat="1" ht="90" customHeight="1" spans="1:14">
      <c r="A689" t="str">
        <f t="shared" si="22"/>
        <v>XXXX-22210月6日晚上</v>
      </c>
      <c r="B689" s="20"/>
      <c r="C689" s="24"/>
      <c r="D689" s="22"/>
      <c r="E689" s="22" t="s">
        <v>261</v>
      </c>
      <c r="F689" s="23" t="s">
        <v>551</v>
      </c>
      <c r="G689" s="23"/>
      <c r="H689" s="23"/>
      <c r="I689" s="23"/>
      <c r="J689" s="23" t="s">
        <v>800</v>
      </c>
      <c r="K689" s="32"/>
      <c r="L689" s="23"/>
      <c r="M689" s="23"/>
      <c r="N689" s="23"/>
    </row>
    <row r="690" customFormat="1" ht="90" customHeight="1" spans="1:14">
      <c r="A690" t="str">
        <f t="shared" si="22"/>
        <v>10月6日晚上</v>
      </c>
      <c r="B690" s="20"/>
      <c r="C690" s="26"/>
      <c r="D690" s="34"/>
      <c r="E690" s="34"/>
      <c r="F690" s="23" t="s">
        <v>551</v>
      </c>
      <c r="G690" s="23"/>
      <c r="H690" s="36"/>
      <c r="I690" s="23"/>
      <c r="J690" s="23" t="s">
        <v>831</v>
      </c>
      <c r="K690" s="23"/>
      <c r="L690" s="23" t="s">
        <v>790</v>
      </c>
      <c r="M690" s="23"/>
      <c r="N690" s="23"/>
    </row>
    <row r="691" customFormat="1" ht="90" customHeight="1" spans="1:14">
      <c r="A691" t="str">
        <f t="shared" si="22"/>
        <v>10月6日晚上</v>
      </c>
      <c r="B691" s="20"/>
      <c r="C691" s="21"/>
      <c r="D691" s="22"/>
      <c r="E691" s="22"/>
      <c r="F691" s="23" t="s">
        <v>551</v>
      </c>
      <c r="G691" s="23"/>
      <c r="I691" s="23"/>
      <c r="J691" s="23"/>
      <c r="K691" s="23"/>
      <c r="L691" s="23"/>
      <c r="M691" s="23"/>
      <c r="N691" s="23"/>
    </row>
    <row r="692" customFormat="1" ht="90" customHeight="1" spans="1:14">
      <c r="A692" t="str">
        <f t="shared" si="22"/>
        <v>10月6日晚上</v>
      </c>
      <c r="B692" s="20"/>
      <c r="C692" s="26"/>
      <c r="D692" s="34"/>
      <c r="E692" s="34"/>
      <c r="F692" s="23" t="s">
        <v>551</v>
      </c>
      <c r="G692" s="23"/>
      <c r="H692" s="23"/>
      <c r="I692" s="23"/>
      <c r="J692" s="23"/>
      <c r="K692" s="36"/>
      <c r="L692" s="23"/>
      <c r="M692" s="23"/>
      <c r="N692" s="23"/>
    </row>
    <row r="693" customFormat="1" ht="90" customHeight="1" spans="1:14">
      <c r="A693" t="str">
        <f t="shared" si="22"/>
        <v> 
10月6日晚上</v>
      </c>
      <c r="B693" s="20"/>
      <c r="C693" s="20"/>
      <c r="D693" s="34"/>
      <c r="E693" s="35" t="s">
        <v>637</v>
      </c>
      <c r="F693" s="23" t="s">
        <v>551</v>
      </c>
      <c r="G693" s="23"/>
      <c r="H693" s="23"/>
      <c r="I693" s="23"/>
      <c r="J693" s="23"/>
      <c r="K693" s="23"/>
      <c r="L693" s="23"/>
      <c r="M693" s="23"/>
      <c r="N693" s="23"/>
    </row>
    <row r="694" customFormat="1" ht="90" customHeight="1" spans="1:14">
      <c r="A694" t="str">
        <f t="shared" si="22"/>
        <v>10月6日晚上</v>
      </c>
      <c r="B694" s="20"/>
      <c r="C694" s="20"/>
      <c r="D694" s="34"/>
      <c r="E694" s="34"/>
      <c r="F694" s="23" t="s">
        <v>551</v>
      </c>
      <c r="G694" s="23"/>
      <c r="H694" s="23"/>
      <c r="I694" s="23"/>
      <c r="J694" s="23"/>
      <c r="K694" s="23"/>
      <c r="L694" s="23"/>
      <c r="M694" s="23"/>
      <c r="N694" s="23" t="s">
        <v>723</v>
      </c>
    </row>
    <row r="695" spans="1:14">
      <c r="A695" t="str">
        <f t="shared" si="22"/>
        <v/>
      </c>
    </row>
    <row r="696" customFormat="1" spans="1:14">
      <c r="A696" t="str">
        <f t="shared" si="22"/>
        <v>SKU</v>
      </c>
      <c r="B696" s="12" t="s">
        <v>240</v>
      </c>
      <c r="C696" s="12" t="s">
        <v>611</v>
      </c>
      <c r="D696" s="12" t="s">
        <v>612</v>
      </c>
      <c r="E696" s="12" t="s">
        <v>613</v>
      </c>
      <c r="F696" s="12"/>
      <c r="G696" s="13" t="s">
        <v>614</v>
      </c>
      <c r="H696" s="14"/>
      <c r="I696" s="14"/>
      <c r="J696" s="14"/>
      <c r="K696" s="14"/>
      <c r="L696" s="14"/>
      <c r="M696" s="14"/>
      <c r="N696" s="15"/>
    </row>
    <row r="697" customFormat="1" spans="1:14">
      <c r="A697" t="str">
        <f t="shared" si="22"/>
        <v/>
      </c>
      <c r="B697" s="12"/>
      <c r="C697" s="12"/>
      <c r="D697" s="12"/>
      <c r="E697" s="12"/>
      <c r="F697" s="16"/>
      <c r="G697" s="17" t="s">
        <v>483</v>
      </c>
      <c r="H697" s="17"/>
      <c r="I697" s="17" t="s">
        <v>620</v>
      </c>
      <c r="J697" s="17"/>
      <c r="K697" s="17" t="s">
        <v>485</v>
      </c>
      <c r="L697" s="17"/>
      <c r="M697" s="17" t="s">
        <v>486</v>
      </c>
      <c r="N697" s="17"/>
    </row>
    <row r="698" customFormat="1" spans="1:14">
      <c r="A698" t="str">
        <f t="shared" si="22"/>
        <v>日期</v>
      </c>
      <c r="B698" s="18"/>
      <c r="C698" s="18"/>
      <c r="D698" s="18"/>
      <c r="E698" s="18"/>
      <c r="F698" s="19" t="s">
        <v>277</v>
      </c>
      <c r="G698" s="17" t="s">
        <v>487</v>
      </c>
      <c r="H698" s="17" t="s">
        <v>488</v>
      </c>
      <c r="I698" s="17" t="s">
        <v>487</v>
      </c>
      <c r="J698" s="17" t="s">
        <v>488</v>
      </c>
      <c r="K698" s="17" t="s">
        <v>487</v>
      </c>
      <c r="L698" s="17" t="s">
        <v>488</v>
      </c>
      <c r="M698" s="17" t="s">
        <v>487</v>
      </c>
      <c r="N698" s="17" t="s">
        <v>488</v>
      </c>
    </row>
    <row r="699" customFormat="1" ht="90" customHeight="1" spans="1:14">
      <c r="A699" t="str">
        <f t="shared" si="22"/>
        <v>XXXX-11110月7日上午</v>
      </c>
      <c r="B699" s="20"/>
      <c r="C699" s="21"/>
      <c r="D699" s="34"/>
      <c r="E699" s="34" t="s">
        <v>5</v>
      </c>
      <c r="F699" s="23" t="s">
        <v>552</v>
      </c>
      <c r="G699" s="23"/>
      <c r="H699" s="23" t="s">
        <v>704</v>
      </c>
      <c r="I699" s="23"/>
      <c r="J699" s="23"/>
      <c r="K699" s="23"/>
      <c r="L699" s="23" t="s">
        <v>832</v>
      </c>
      <c r="M699" s="23"/>
      <c r="N699" s="23"/>
    </row>
    <row r="700" customFormat="1" ht="90" customHeight="1" spans="1:14">
      <c r="A700" t="str">
        <f t="shared" si="22"/>
        <v>XXXX-22210月7日上午</v>
      </c>
      <c r="B700" s="20"/>
      <c r="C700" s="24"/>
      <c r="D700" s="22"/>
      <c r="E700" s="22" t="s">
        <v>261</v>
      </c>
      <c r="F700" s="23" t="s">
        <v>552</v>
      </c>
      <c r="G700" s="23"/>
      <c r="H700" s="23"/>
      <c r="I700" s="23"/>
      <c r="J700" s="23" t="s">
        <v>827</v>
      </c>
      <c r="K700" s="32"/>
      <c r="L700" s="23"/>
      <c r="M700" s="23"/>
      <c r="N700" s="23"/>
    </row>
    <row r="701" customFormat="1" ht="90" customHeight="1" spans="1:14">
      <c r="A701" t="str">
        <f t="shared" si="22"/>
        <v>10月7日上午</v>
      </c>
      <c r="B701" s="20"/>
      <c r="C701" s="26"/>
      <c r="D701" s="34"/>
      <c r="E701" s="34"/>
      <c r="F701" s="23" t="s">
        <v>552</v>
      </c>
      <c r="G701" s="23"/>
      <c r="H701" s="36"/>
      <c r="I701" s="23"/>
      <c r="J701" s="23" t="s">
        <v>721</v>
      </c>
      <c r="K701" s="23"/>
      <c r="L701" s="23" t="s">
        <v>782</v>
      </c>
      <c r="M701" s="23"/>
      <c r="N701" s="23"/>
    </row>
    <row r="702" customFormat="1" ht="90" customHeight="1" spans="1:14">
      <c r="A702" t="str">
        <f t="shared" si="22"/>
        <v>10月7日上午</v>
      </c>
      <c r="B702" s="20"/>
      <c r="C702" s="21"/>
      <c r="D702" s="22"/>
      <c r="E702" s="22"/>
      <c r="F702" s="23" t="s">
        <v>552</v>
      </c>
      <c r="G702" s="23"/>
      <c r="I702" s="23"/>
      <c r="J702" s="23" t="s">
        <v>698</v>
      </c>
      <c r="K702" s="23"/>
      <c r="L702" s="23"/>
      <c r="M702" s="23"/>
      <c r="N702" s="23"/>
    </row>
    <row r="703" customFormat="1" ht="90" customHeight="1" spans="1:14">
      <c r="A703" t="str">
        <f t="shared" si="22"/>
        <v>10月7日上午</v>
      </c>
      <c r="B703" s="20"/>
      <c r="C703" s="26"/>
      <c r="D703" s="34"/>
      <c r="E703" s="34"/>
      <c r="F703" s="23" t="s">
        <v>552</v>
      </c>
      <c r="G703" s="23"/>
      <c r="H703" s="23" t="s">
        <v>651</v>
      </c>
      <c r="I703" s="23"/>
      <c r="J703" s="23"/>
      <c r="K703" s="36"/>
      <c r="L703" s="23"/>
      <c r="M703" s="23"/>
      <c r="N703" s="23"/>
    </row>
    <row r="704" customFormat="1" ht="90" customHeight="1" spans="1:14">
      <c r="A704" t="str">
        <f t="shared" si="22"/>
        <v> 
10月7日上午</v>
      </c>
      <c r="B704" s="20"/>
      <c r="C704" s="20"/>
      <c r="D704" s="34"/>
      <c r="E704" s="35" t="s">
        <v>637</v>
      </c>
      <c r="F704" s="23" t="s">
        <v>552</v>
      </c>
      <c r="G704" s="23"/>
      <c r="H704" s="23"/>
      <c r="I704" s="23"/>
      <c r="J704" s="23"/>
      <c r="K704" s="23"/>
      <c r="L704" s="23"/>
      <c r="M704" s="23"/>
      <c r="N704" s="23"/>
    </row>
    <row r="705" customFormat="1" ht="90" customHeight="1" spans="1:14">
      <c r="A705" t="str">
        <f t="shared" si="22"/>
        <v>10月7日上午</v>
      </c>
      <c r="B705" s="20"/>
      <c r="C705" s="20"/>
      <c r="D705" s="34"/>
      <c r="E705" s="34"/>
      <c r="F705" s="23" t="s">
        <v>552</v>
      </c>
      <c r="G705" s="23"/>
      <c r="H705" s="23"/>
      <c r="I705" s="23"/>
      <c r="J705" s="23"/>
      <c r="K705" s="23"/>
      <c r="L705" s="23"/>
      <c r="M705" s="23"/>
      <c r="N705" s="23"/>
    </row>
    <row r="706" spans="1:14">
      <c r="A706" t="str">
        <f t="shared" si="22"/>
        <v/>
      </c>
    </row>
    <row r="707" customFormat="1" spans="1:14">
      <c r="A707" t="str">
        <f t="shared" si="22"/>
        <v>SKU</v>
      </c>
      <c r="B707" s="12" t="s">
        <v>240</v>
      </c>
      <c r="C707" s="12" t="s">
        <v>611</v>
      </c>
      <c r="D707" s="12" t="s">
        <v>612</v>
      </c>
      <c r="E707" s="12" t="s">
        <v>613</v>
      </c>
      <c r="F707" s="12"/>
      <c r="G707" s="13" t="s">
        <v>614</v>
      </c>
      <c r="H707" s="14"/>
      <c r="I707" s="14"/>
      <c r="J707" s="14"/>
      <c r="K707" s="14"/>
      <c r="L707" s="14"/>
      <c r="M707" s="14"/>
      <c r="N707" s="15"/>
    </row>
    <row r="708" customFormat="1" spans="1:14">
      <c r="A708" t="str">
        <f t="shared" si="22"/>
        <v/>
      </c>
      <c r="B708" s="12"/>
      <c r="C708" s="12"/>
      <c r="D708" s="12"/>
      <c r="E708" s="12"/>
      <c r="F708" s="16"/>
      <c r="G708" s="17" t="s">
        <v>483</v>
      </c>
      <c r="H708" s="17"/>
      <c r="I708" s="17" t="s">
        <v>620</v>
      </c>
      <c r="J708" s="17"/>
      <c r="K708" s="17" t="s">
        <v>485</v>
      </c>
      <c r="L708" s="17"/>
      <c r="M708" s="17" t="s">
        <v>486</v>
      </c>
      <c r="N708" s="17"/>
    </row>
    <row r="709" customFormat="1" spans="1:14">
      <c r="A709" t="str">
        <f t="shared" si="22"/>
        <v>日期</v>
      </c>
      <c r="B709" s="18"/>
      <c r="C709" s="18"/>
      <c r="D709" s="18"/>
      <c r="E709" s="18"/>
      <c r="F709" s="19" t="s">
        <v>277</v>
      </c>
      <c r="G709" s="17" t="s">
        <v>487</v>
      </c>
      <c r="H709" s="17" t="s">
        <v>488</v>
      </c>
      <c r="I709" s="17" t="s">
        <v>487</v>
      </c>
      <c r="J709" s="17" t="s">
        <v>488</v>
      </c>
      <c r="K709" s="17" t="s">
        <v>487</v>
      </c>
      <c r="L709" s="17" t="s">
        <v>488</v>
      </c>
      <c r="M709" s="17" t="s">
        <v>487</v>
      </c>
      <c r="N709" s="17" t="s">
        <v>488</v>
      </c>
    </row>
    <row r="710" customFormat="1" ht="90" customHeight="1" spans="1:14">
      <c r="A710" t="str">
        <f t="shared" si="22"/>
        <v>XXXX-11110月7日晚上</v>
      </c>
      <c r="B710" s="20"/>
      <c r="C710" s="21"/>
      <c r="D710" s="34"/>
      <c r="E710" s="34" t="s">
        <v>5</v>
      </c>
      <c r="F710" s="23" t="s">
        <v>553</v>
      </c>
      <c r="G710" s="23"/>
      <c r="H710" s="23" t="s">
        <v>704</v>
      </c>
      <c r="I710" s="23"/>
      <c r="J710" s="23"/>
      <c r="K710" s="23"/>
      <c r="L710" s="23" t="s">
        <v>832</v>
      </c>
      <c r="M710" s="23"/>
      <c r="N710" s="23"/>
    </row>
    <row r="711" customFormat="1" ht="90" customHeight="1" spans="1:14">
      <c r="A711" t="str">
        <f t="shared" si="22"/>
        <v>XXXX-22210月7日晚上</v>
      </c>
      <c r="B711" s="20"/>
      <c r="C711" s="24"/>
      <c r="D711" s="22"/>
      <c r="E711" s="22" t="s">
        <v>261</v>
      </c>
      <c r="F711" s="23" t="s">
        <v>553</v>
      </c>
      <c r="G711" s="23"/>
      <c r="H711" s="23"/>
      <c r="I711" s="23"/>
      <c r="J711" s="23" t="s">
        <v>826</v>
      </c>
      <c r="K711" s="32"/>
      <c r="L711" s="23"/>
      <c r="M711" s="23"/>
      <c r="N711" s="23"/>
    </row>
    <row r="712" customFormat="1" ht="90" customHeight="1" spans="1:14">
      <c r="A712" t="str">
        <f t="shared" si="22"/>
        <v>10月7日晚上</v>
      </c>
      <c r="B712" s="20"/>
      <c r="C712" s="26"/>
      <c r="D712" s="34"/>
      <c r="E712" s="34"/>
      <c r="F712" s="23" t="s">
        <v>553</v>
      </c>
      <c r="G712" s="23"/>
      <c r="H712" s="36"/>
      <c r="I712" s="23"/>
      <c r="J712" s="23" t="s">
        <v>833</v>
      </c>
      <c r="K712" s="23"/>
      <c r="L712" s="23" t="s">
        <v>834</v>
      </c>
      <c r="M712" s="23"/>
      <c r="N712" s="23"/>
    </row>
    <row r="713" customFormat="1" ht="90" customHeight="1" spans="1:14">
      <c r="A713" t="str">
        <f t="shared" si="22"/>
        <v>10月7日晚上</v>
      </c>
      <c r="B713" s="20"/>
      <c r="C713" s="21"/>
      <c r="D713" s="22"/>
      <c r="E713" s="22"/>
      <c r="F713" s="23" t="s">
        <v>553</v>
      </c>
      <c r="G713" s="23"/>
      <c r="I713" s="23"/>
      <c r="J713" s="23" t="s">
        <v>835</v>
      </c>
      <c r="K713" s="23"/>
      <c r="L713" s="23"/>
      <c r="M713" s="23"/>
      <c r="N713" s="23"/>
    </row>
    <row r="714" customFormat="1" ht="90" customHeight="1" spans="1:14">
      <c r="A714" t="str">
        <f t="shared" si="22"/>
        <v>10月7日晚上</v>
      </c>
      <c r="B714" s="20"/>
      <c r="C714" s="26"/>
      <c r="D714" s="34"/>
      <c r="E714" s="34"/>
      <c r="F714" s="23" t="s">
        <v>553</v>
      </c>
      <c r="G714" s="23"/>
      <c r="H714" s="23" t="s">
        <v>653</v>
      </c>
      <c r="I714" s="23"/>
      <c r="J714" s="23"/>
      <c r="K714" s="36"/>
      <c r="L714" s="23"/>
      <c r="M714" s="23"/>
      <c r="N714" s="23"/>
    </row>
    <row r="715" customFormat="1" ht="90" customHeight="1" spans="1:14">
      <c r="A715" t="str">
        <f t="shared" si="22"/>
        <v> 
10月7日晚上</v>
      </c>
      <c r="B715" s="20"/>
      <c r="C715" s="20"/>
      <c r="D715" s="34"/>
      <c r="E715" s="35" t="s">
        <v>637</v>
      </c>
      <c r="F715" s="23" t="s">
        <v>553</v>
      </c>
      <c r="G715" s="23"/>
      <c r="H715" s="23"/>
      <c r="I715" s="23"/>
      <c r="J715" s="23"/>
      <c r="K715" s="23"/>
      <c r="L715" s="23"/>
      <c r="M715" s="23"/>
      <c r="N715" s="23"/>
    </row>
    <row r="716" customFormat="1" ht="90" customHeight="1" spans="1:14">
      <c r="A716" t="str">
        <f t="shared" ref="A716:A747" si="23">E716&amp;F716</f>
        <v>10月7日晚上</v>
      </c>
      <c r="B716" s="20"/>
      <c r="C716" s="20"/>
      <c r="D716" s="34"/>
      <c r="E716" s="34"/>
      <c r="F716" s="23" t="s">
        <v>553</v>
      </c>
      <c r="G716" s="23"/>
      <c r="H716" s="23"/>
      <c r="I716" s="23"/>
      <c r="J716" s="23"/>
      <c r="K716" s="23"/>
      <c r="L716" s="23"/>
      <c r="M716" s="23"/>
      <c r="N716" s="23"/>
    </row>
    <row r="717" spans="1:14">
      <c r="A717" t="str">
        <f t="shared" si="23"/>
        <v/>
      </c>
    </row>
    <row r="718" customFormat="1" spans="1:14">
      <c r="A718" t="str">
        <f t="shared" si="23"/>
        <v>SKU</v>
      </c>
      <c r="B718" s="12" t="s">
        <v>240</v>
      </c>
      <c r="C718" s="12" t="s">
        <v>611</v>
      </c>
      <c r="D718" s="12" t="s">
        <v>612</v>
      </c>
      <c r="E718" s="12" t="s">
        <v>613</v>
      </c>
      <c r="F718" s="12"/>
      <c r="G718" s="13" t="s">
        <v>614</v>
      </c>
      <c r="H718" s="14"/>
      <c r="I718" s="14"/>
      <c r="J718" s="14"/>
      <c r="K718" s="14"/>
      <c r="L718" s="14"/>
      <c r="M718" s="14"/>
      <c r="N718" s="15"/>
    </row>
    <row r="719" customFormat="1" spans="1:14">
      <c r="A719" t="str">
        <f t="shared" si="23"/>
        <v/>
      </c>
      <c r="B719" s="12"/>
      <c r="C719" s="12"/>
      <c r="D719" s="12"/>
      <c r="E719" s="12"/>
      <c r="F719" s="16"/>
      <c r="G719" s="17" t="s">
        <v>483</v>
      </c>
      <c r="H719" s="17"/>
      <c r="I719" s="17" t="s">
        <v>620</v>
      </c>
      <c r="J719" s="17"/>
      <c r="K719" s="17" t="s">
        <v>485</v>
      </c>
      <c r="L719" s="17"/>
      <c r="M719" s="17" t="s">
        <v>486</v>
      </c>
      <c r="N719" s="17"/>
    </row>
    <row r="720" customFormat="1" spans="1:14">
      <c r="A720" t="str">
        <f t="shared" si="23"/>
        <v>日期</v>
      </c>
      <c r="B720" s="18"/>
      <c r="C720" s="18"/>
      <c r="D720" s="18"/>
      <c r="E720" s="18"/>
      <c r="F720" s="19" t="s">
        <v>277</v>
      </c>
      <c r="G720" s="17" t="s">
        <v>487</v>
      </c>
      <c r="H720" s="17" t="s">
        <v>488</v>
      </c>
      <c r="I720" s="17" t="s">
        <v>487</v>
      </c>
      <c r="J720" s="17" t="s">
        <v>488</v>
      </c>
      <c r="K720" s="17" t="s">
        <v>487</v>
      </c>
      <c r="L720" s="17" t="s">
        <v>488</v>
      </c>
      <c r="M720" s="17" t="s">
        <v>487</v>
      </c>
      <c r="N720" s="17" t="s">
        <v>488</v>
      </c>
    </row>
    <row r="721" customFormat="1" ht="90" customHeight="1" spans="1:14">
      <c r="A721" t="str">
        <f t="shared" si="23"/>
        <v>XXXX-11110月8日上午</v>
      </c>
      <c r="B721" s="20"/>
      <c r="C721" s="21"/>
      <c r="D721" s="34"/>
      <c r="E721" s="34" t="s">
        <v>5</v>
      </c>
      <c r="F721" s="23" t="s">
        <v>554</v>
      </c>
      <c r="G721" s="23"/>
      <c r="H721" s="23" t="s">
        <v>626</v>
      </c>
      <c r="I721" s="23"/>
      <c r="J721" s="23"/>
      <c r="K721" s="23"/>
      <c r="L721" s="23" t="s">
        <v>825</v>
      </c>
      <c r="M721" s="23"/>
      <c r="N721" s="23"/>
    </row>
    <row r="722" customFormat="1" ht="90" customHeight="1" spans="1:14">
      <c r="A722" t="str">
        <f t="shared" si="23"/>
        <v>XXXX-22210月8日上午</v>
      </c>
      <c r="B722" s="20"/>
      <c r="C722" s="24"/>
      <c r="D722" s="22"/>
      <c r="E722" s="22" t="s">
        <v>261</v>
      </c>
      <c r="F722" s="23" t="s">
        <v>554</v>
      </c>
      <c r="G722" s="23"/>
      <c r="H722" s="23"/>
      <c r="I722" s="23"/>
      <c r="J722" s="23" t="s">
        <v>675</v>
      </c>
      <c r="K722" s="32"/>
      <c r="L722" s="23"/>
      <c r="M722" s="23"/>
      <c r="N722" s="23"/>
    </row>
    <row r="723" customFormat="1" ht="90" customHeight="1" spans="1:14">
      <c r="A723" t="str">
        <f t="shared" si="23"/>
        <v>10月8日上午</v>
      </c>
      <c r="B723" s="20"/>
      <c r="C723" s="26"/>
      <c r="D723" s="34"/>
      <c r="E723" s="34"/>
      <c r="F723" s="23" t="s">
        <v>554</v>
      </c>
      <c r="G723" s="23"/>
      <c r="H723" s="36"/>
      <c r="I723" s="23"/>
      <c r="J723" s="23" t="s">
        <v>836</v>
      </c>
      <c r="K723" s="23"/>
      <c r="L723" s="23" t="s">
        <v>837</v>
      </c>
      <c r="M723" s="23"/>
      <c r="N723" s="23"/>
    </row>
    <row r="724" customFormat="1" ht="90" customHeight="1" spans="1:14">
      <c r="A724" t="str">
        <f t="shared" si="23"/>
        <v>10月8日上午</v>
      </c>
      <c r="B724" s="20"/>
      <c r="C724" s="21"/>
      <c r="D724" s="22"/>
      <c r="E724" s="22"/>
      <c r="F724" s="23" t="s">
        <v>554</v>
      </c>
      <c r="G724" s="23"/>
      <c r="I724" s="23"/>
      <c r="J724" s="23" t="s">
        <v>649</v>
      </c>
      <c r="K724" s="23"/>
      <c r="L724" s="23"/>
      <c r="M724" s="23"/>
      <c r="N724" s="23"/>
    </row>
    <row r="725" customFormat="1" ht="90" customHeight="1" spans="1:14">
      <c r="A725" t="str">
        <f t="shared" si="23"/>
        <v>10月8日上午</v>
      </c>
      <c r="B725" s="20"/>
      <c r="C725" s="26"/>
      <c r="D725" s="34"/>
      <c r="E725" s="34"/>
      <c r="F725" s="23" t="s">
        <v>554</v>
      </c>
      <c r="G725" s="23"/>
      <c r="H725" s="23" t="s">
        <v>666</v>
      </c>
      <c r="I725" s="23"/>
      <c r="J725" s="23"/>
      <c r="K725" s="36"/>
      <c r="L725" s="23"/>
      <c r="M725" s="23"/>
      <c r="N725" s="23"/>
    </row>
    <row r="726" customFormat="1" ht="90" customHeight="1" spans="1:14">
      <c r="A726" t="str">
        <f t="shared" si="23"/>
        <v> 
10月8日上午</v>
      </c>
      <c r="B726" s="20"/>
      <c r="C726" s="20"/>
      <c r="D726" s="34"/>
      <c r="E726" s="35" t="s">
        <v>637</v>
      </c>
      <c r="F726" s="23" t="s">
        <v>554</v>
      </c>
      <c r="G726" s="23"/>
      <c r="H726" s="23"/>
      <c r="I726" s="23"/>
      <c r="J726" s="23"/>
      <c r="K726" s="23"/>
      <c r="L726" s="23"/>
      <c r="M726" s="23"/>
      <c r="N726" s="23"/>
    </row>
    <row r="727" customFormat="1" ht="90" customHeight="1" spans="1:14">
      <c r="A727" t="str">
        <f t="shared" si="23"/>
        <v>10月8日上午</v>
      </c>
      <c r="B727" s="20"/>
      <c r="C727" s="20"/>
      <c r="D727" s="34"/>
      <c r="E727" s="34"/>
      <c r="F727" s="23" t="s">
        <v>554</v>
      </c>
      <c r="G727" s="23"/>
      <c r="H727" s="23"/>
      <c r="I727" s="23"/>
      <c r="J727" s="23"/>
      <c r="K727" s="23"/>
      <c r="L727" s="23"/>
      <c r="M727" s="23"/>
      <c r="N727" s="23"/>
    </row>
    <row r="728" spans="1:14">
      <c r="A728" t="str">
        <f t="shared" si="23"/>
        <v/>
      </c>
    </row>
    <row r="729" customFormat="1" spans="1:14">
      <c r="A729" t="str">
        <f t="shared" si="23"/>
        <v>SKU</v>
      </c>
      <c r="B729" s="12" t="s">
        <v>240</v>
      </c>
      <c r="C729" s="12" t="s">
        <v>611</v>
      </c>
      <c r="D729" s="12" t="s">
        <v>612</v>
      </c>
      <c r="E729" s="12" t="s">
        <v>613</v>
      </c>
      <c r="F729" s="12"/>
      <c r="G729" s="13" t="s">
        <v>614</v>
      </c>
      <c r="H729" s="14"/>
      <c r="I729" s="14"/>
      <c r="J729" s="14"/>
      <c r="K729" s="14"/>
      <c r="L729" s="14"/>
      <c r="M729" s="14"/>
      <c r="N729" s="15"/>
    </row>
    <row r="730" customFormat="1" spans="1:14">
      <c r="A730" t="str">
        <f t="shared" si="23"/>
        <v/>
      </c>
      <c r="B730" s="12"/>
      <c r="C730" s="12"/>
      <c r="D730" s="12"/>
      <c r="E730" s="12"/>
      <c r="F730" s="16"/>
      <c r="G730" s="17" t="s">
        <v>483</v>
      </c>
      <c r="H730" s="17"/>
      <c r="I730" s="17" t="s">
        <v>620</v>
      </c>
      <c r="J730" s="17"/>
      <c r="K730" s="17" t="s">
        <v>485</v>
      </c>
      <c r="L730" s="17"/>
      <c r="M730" s="17" t="s">
        <v>486</v>
      </c>
      <c r="N730" s="17"/>
    </row>
    <row r="731" customFormat="1" spans="1:14">
      <c r="A731" t="str">
        <f t="shared" si="23"/>
        <v>日期</v>
      </c>
      <c r="B731" s="18"/>
      <c r="C731" s="18"/>
      <c r="D731" s="18"/>
      <c r="E731" s="18"/>
      <c r="F731" s="19" t="s">
        <v>277</v>
      </c>
      <c r="G731" s="17" t="s">
        <v>487</v>
      </c>
      <c r="H731" s="17" t="s">
        <v>488</v>
      </c>
      <c r="I731" s="17" t="s">
        <v>487</v>
      </c>
      <c r="J731" s="17" t="s">
        <v>488</v>
      </c>
      <c r="K731" s="17" t="s">
        <v>487</v>
      </c>
      <c r="L731" s="17" t="s">
        <v>488</v>
      </c>
      <c r="M731" s="17" t="s">
        <v>487</v>
      </c>
      <c r="N731" s="17" t="s">
        <v>488</v>
      </c>
    </row>
    <row r="732" customFormat="1" ht="90" customHeight="1" spans="1:14">
      <c r="A732" t="str">
        <f t="shared" si="23"/>
        <v>XXXX-11110月8日晚上</v>
      </c>
      <c r="B732" s="20"/>
      <c r="C732" s="21"/>
      <c r="D732" s="34"/>
      <c r="E732" s="34" t="s">
        <v>5</v>
      </c>
      <c r="F732" s="23" t="s">
        <v>555</v>
      </c>
      <c r="G732" s="23"/>
      <c r="H732" s="23" t="s">
        <v>652</v>
      </c>
      <c r="I732" s="23"/>
      <c r="J732" s="23"/>
      <c r="K732" s="23"/>
      <c r="L732" s="23" t="s">
        <v>825</v>
      </c>
      <c r="M732" s="23"/>
      <c r="N732" s="23"/>
    </row>
    <row r="733" customFormat="1" ht="90" customHeight="1" spans="1:14">
      <c r="A733" t="str">
        <f t="shared" si="23"/>
        <v>XXXX-22210月8日晚上</v>
      </c>
      <c r="B733" s="20"/>
      <c r="C733" s="24"/>
      <c r="D733" s="22"/>
      <c r="E733" s="22" t="s">
        <v>261</v>
      </c>
      <c r="F733" s="23" t="s">
        <v>555</v>
      </c>
      <c r="G733" s="23"/>
      <c r="H733" s="23"/>
      <c r="I733" s="23"/>
      <c r="J733" s="23" t="s">
        <v>674</v>
      </c>
      <c r="K733" s="32"/>
      <c r="L733" s="23"/>
      <c r="M733" s="23"/>
      <c r="N733" s="23"/>
    </row>
    <row r="734" customFormat="1" ht="90" customHeight="1" spans="1:14">
      <c r="A734" t="str">
        <f t="shared" si="23"/>
        <v>10月8日晚上</v>
      </c>
      <c r="B734" s="20"/>
      <c r="C734" s="26"/>
      <c r="D734" s="34"/>
      <c r="E734" s="34"/>
      <c r="F734" s="23" t="s">
        <v>555</v>
      </c>
      <c r="G734" s="23"/>
      <c r="H734" s="36"/>
      <c r="I734" s="23"/>
      <c r="J734" s="23" t="s">
        <v>838</v>
      </c>
      <c r="K734" s="23"/>
      <c r="L734" s="23" t="s">
        <v>768</v>
      </c>
      <c r="M734" s="23"/>
      <c r="N734" s="23"/>
    </row>
    <row r="735" customFormat="1" ht="90" customHeight="1" spans="1:14">
      <c r="A735" t="str">
        <f t="shared" si="23"/>
        <v>10月8日晚上</v>
      </c>
      <c r="B735" s="20"/>
      <c r="C735" s="21"/>
      <c r="D735" s="22"/>
      <c r="E735" s="22"/>
      <c r="F735" s="23" t="s">
        <v>555</v>
      </c>
      <c r="G735" s="23"/>
      <c r="I735" s="23"/>
      <c r="J735" s="23" t="s">
        <v>836</v>
      </c>
      <c r="K735" s="23"/>
      <c r="L735" s="23"/>
      <c r="M735" s="23"/>
      <c r="N735" s="23"/>
    </row>
    <row r="736" customFormat="1" ht="90" customHeight="1" spans="1:14">
      <c r="A736" t="str">
        <f t="shared" si="23"/>
        <v>10月8日晚上</v>
      </c>
      <c r="B736" s="20"/>
      <c r="C736" s="26"/>
      <c r="D736" s="34"/>
      <c r="E736" s="34"/>
      <c r="F736" s="23" t="s">
        <v>555</v>
      </c>
      <c r="G736" s="23"/>
      <c r="H736" s="23" t="s">
        <v>819</v>
      </c>
      <c r="I736" s="23"/>
      <c r="J736" s="23"/>
      <c r="K736" s="36"/>
      <c r="L736" s="23"/>
      <c r="M736" s="23"/>
      <c r="N736" s="23"/>
    </row>
    <row r="737" customFormat="1" ht="90" customHeight="1" spans="1:14">
      <c r="A737" t="str">
        <f t="shared" si="23"/>
        <v> 
10月8日晚上</v>
      </c>
      <c r="B737" s="20"/>
      <c r="C737" s="20"/>
      <c r="D737" s="34"/>
      <c r="E737" s="35" t="s">
        <v>637</v>
      </c>
      <c r="F737" s="23" t="s">
        <v>555</v>
      </c>
      <c r="G737" s="23"/>
      <c r="H737" s="23"/>
      <c r="I737" s="23"/>
      <c r="J737" s="23"/>
      <c r="K737" s="23"/>
      <c r="L737" s="23"/>
      <c r="M737" s="23"/>
      <c r="N737" s="23"/>
    </row>
    <row r="738" customFormat="1" ht="90" customHeight="1" spans="1:14">
      <c r="A738" t="str">
        <f t="shared" si="23"/>
        <v>10月8日晚上</v>
      </c>
      <c r="B738" s="20"/>
      <c r="C738" s="20"/>
      <c r="D738" s="34"/>
      <c r="E738" s="34"/>
      <c r="F738" s="23" t="s">
        <v>555</v>
      </c>
      <c r="G738" s="23"/>
      <c r="H738" s="23"/>
      <c r="I738" s="23"/>
      <c r="J738" s="23"/>
      <c r="K738" s="23"/>
      <c r="L738" s="23"/>
      <c r="M738" s="23"/>
      <c r="N738" s="23"/>
    </row>
    <row r="739" spans="1:14">
      <c r="A739" t="str">
        <f t="shared" si="23"/>
        <v/>
      </c>
    </row>
    <row r="740" customFormat="1" spans="1:14">
      <c r="A740" t="str">
        <f t="shared" si="23"/>
        <v>SKU</v>
      </c>
      <c r="B740" s="12" t="s">
        <v>240</v>
      </c>
      <c r="C740" s="12" t="s">
        <v>611</v>
      </c>
      <c r="D740" s="12" t="s">
        <v>612</v>
      </c>
      <c r="E740" s="12" t="s">
        <v>613</v>
      </c>
      <c r="F740" s="12"/>
      <c r="G740" s="13" t="s">
        <v>614</v>
      </c>
      <c r="H740" s="14"/>
      <c r="I740" s="14"/>
      <c r="J740" s="14"/>
      <c r="K740" s="14"/>
      <c r="L740" s="14"/>
      <c r="M740" s="14"/>
      <c r="N740" s="15"/>
    </row>
    <row r="741" customFormat="1" spans="1:14">
      <c r="A741" t="str">
        <f t="shared" si="23"/>
        <v/>
      </c>
      <c r="B741" s="12"/>
      <c r="C741" s="12"/>
      <c r="D741" s="12"/>
      <c r="E741" s="12"/>
      <c r="F741" s="16"/>
      <c r="G741" s="17" t="s">
        <v>483</v>
      </c>
      <c r="H741" s="17"/>
      <c r="I741" s="17" t="s">
        <v>620</v>
      </c>
      <c r="J741" s="17"/>
      <c r="K741" s="17" t="s">
        <v>485</v>
      </c>
      <c r="L741" s="17"/>
      <c r="M741" s="17" t="s">
        <v>486</v>
      </c>
      <c r="N741" s="17"/>
    </row>
    <row r="742" customFormat="1" spans="1:14">
      <c r="A742" t="str">
        <f t="shared" si="23"/>
        <v>日期</v>
      </c>
      <c r="B742" s="18"/>
      <c r="C742" s="18"/>
      <c r="D742" s="18"/>
      <c r="E742" s="18"/>
      <c r="F742" s="19" t="s">
        <v>277</v>
      </c>
      <c r="G742" s="17" t="s">
        <v>487</v>
      </c>
      <c r="H742" s="17" t="s">
        <v>488</v>
      </c>
      <c r="I742" s="17" t="s">
        <v>487</v>
      </c>
      <c r="J742" s="17" t="s">
        <v>488</v>
      </c>
      <c r="K742" s="17" t="s">
        <v>487</v>
      </c>
      <c r="L742" s="17" t="s">
        <v>488</v>
      </c>
      <c r="M742" s="17" t="s">
        <v>487</v>
      </c>
      <c r="N742" s="17" t="s">
        <v>488</v>
      </c>
    </row>
    <row r="743" customFormat="1" ht="90" customHeight="1" spans="1:14">
      <c r="A743" t="str">
        <f t="shared" si="23"/>
        <v>XXXX-11110月9日上午</v>
      </c>
      <c r="B743" s="20"/>
      <c r="C743" s="21"/>
      <c r="D743" s="34"/>
      <c r="E743" s="34" t="s">
        <v>5</v>
      </c>
      <c r="F743" s="23" t="s">
        <v>556</v>
      </c>
      <c r="G743" s="23"/>
      <c r="H743" s="23" t="s">
        <v>712</v>
      </c>
      <c r="I743" s="23"/>
      <c r="J743" s="23"/>
      <c r="K743" s="23"/>
      <c r="L743" s="23" t="s">
        <v>825</v>
      </c>
      <c r="M743" s="23"/>
      <c r="N743" s="23"/>
    </row>
    <row r="744" customFormat="1" ht="90" customHeight="1" spans="1:14">
      <c r="A744" t="str">
        <f t="shared" si="23"/>
        <v>XXXX-22210月9日上午</v>
      </c>
      <c r="B744" s="20"/>
      <c r="C744" s="24"/>
      <c r="D744" s="22"/>
      <c r="E744" s="22" t="s">
        <v>261</v>
      </c>
      <c r="F744" s="23" t="s">
        <v>556</v>
      </c>
      <c r="G744" s="23"/>
      <c r="H744" s="23"/>
      <c r="I744" s="23"/>
      <c r="J744" s="23" t="s">
        <v>839</v>
      </c>
      <c r="K744" s="32"/>
      <c r="L744" s="23"/>
      <c r="M744" s="23"/>
      <c r="N744" s="23"/>
    </row>
    <row r="745" customFormat="1" ht="90" customHeight="1" spans="1:14">
      <c r="A745" t="str">
        <f t="shared" si="23"/>
        <v>10月9日上午</v>
      </c>
      <c r="B745" s="20"/>
      <c r="C745" s="26"/>
      <c r="D745" s="34"/>
      <c r="E745" s="34"/>
      <c r="F745" s="23" t="s">
        <v>556</v>
      </c>
      <c r="G745" s="23"/>
      <c r="H745" s="36"/>
      <c r="I745" s="23"/>
      <c r="J745" s="23" t="s">
        <v>840</v>
      </c>
      <c r="K745" s="23"/>
      <c r="L745" s="23" t="s">
        <v>682</v>
      </c>
      <c r="M745" s="23"/>
      <c r="N745" s="23"/>
    </row>
    <row r="746" customFormat="1" ht="90" customHeight="1" spans="1:14">
      <c r="A746" t="str">
        <f t="shared" si="23"/>
        <v>10月9日上午</v>
      </c>
      <c r="B746" s="20"/>
      <c r="C746" s="21"/>
      <c r="D746" s="22"/>
      <c r="E746" s="22"/>
      <c r="F746" s="23" t="s">
        <v>556</v>
      </c>
      <c r="G746" s="23"/>
      <c r="I746" s="23"/>
      <c r="J746" s="23" t="s">
        <v>666</v>
      </c>
      <c r="K746" s="23"/>
      <c r="L746" s="23"/>
      <c r="M746" s="23"/>
      <c r="N746" s="23"/>
    </row>
    <row r="747" customFormat="1" ht="90" customHeight="1" spans="1:14">
      <c r="A747" t="str">
        <f t="shared" si="23"/>
        <v>10月9日上午</v>
      </c>
      <c r="B747" s="20"/>
      <c r="C747" s="26"/>
      <c r="D747" s="34"/>
      <c r="E747" s="34"/>
      <c r="F747" s="23" t="s">
        <v>556</v>
      </c>
      <c r="G747" s="23"/>
      <c r="H747" s="23"/>
      <c r="I747" s="23"/>
      <c r="J747" s="23"/>
      <c r="K747" s="36"/>
      <c r="L747" s="23"/>
      <c r="M747" s="23"/>
      <c r="N747" s="23"/>
    </row>
    <row r="748" customFormat="1" ht="90" customHeight="1" spans="1:14">
      <c r="A748" t="str">
        <f t="shared" ref="A748:A779" si="24">E748&amp;F748</f>
        <v> 
10月9日上午</v>
      </c>
      <c r="B748" s="20"/>
      <c r="C748" s="20"/>
      <c r="D748" s="34"/>
      <c r="E748" s="35" t="s">
        <v>637</v>
      </c>
      <c r="F748" s="23" t="s">
        <v>556</v>
      </c>
      <c r="G748" s="23"/>
      <c r="H748" s="23"/>
      <c r="I748" s="23"/>
      <c r="J748" s="23"/>
      <c r="K748" s="23"/>
      <c r="L748" s="23"/>
      <c r="M748" s="23"/>
      <c r="N748" s="23"/>
    </row>
    <row r="749" customFormat="1" ht="90" customHeight="1" spans="1:14">
      <c r="A749" t="str">
        <f t="shared" si="24"/>
        <v>10月9日上午</v>
      </c>
      <c r="B749" s="20"/>
      <c r="C749" s="20"/>
      <c r="D749" s="34"/>
      <c r="E749" s="34"/>
      <c r="F749" s="23" t="s">
        <v>556</v>
      </c>
      <c r="G749" s="23"/>
      <c r="H749" s="23"/>
      <c r="I749" s="23"/>
      <c r="J749" s="23"/>
      <c r="K749" s="23"/>
      <c r="L749" s="23"/>
      <c r="M749" s="23"/>
      <c r="N749" s="23"/>
    </row>
    <row r="750" spans="1:14">
      <c r="A750" t="str">
        <f t="shared" si="24"/>
        <v/>
      </c>
    </row>
    <row r="751" customFormat="1" spans="1:14">
      <c r="A751" t="str">
        <f t="shared" si="24"/>
        <v>SKU</v>
      </c>
      <c r="B751" s="12" t="s">
        <v>240</v>
      </c>
      <c r="C751" s="12" t="s">
        <v>611</v>
      </c>
      <c r="D751" s="12" t="s">
        <v>612</v>
      </c>
      <c r="E751" s="12" t="s">
        <v>613</v>
      </c>
      <c r="F751" s="12"/>
      <c r="G751" s="13" t="s">
        <v>614</v>
      </c>
      <c r="H751" s="14"/>
      <c r="I751" s="14"/>
      <c r="J751" s="14"/>
      <c r="K751" s="14"/>
      <c r="L751" s="14"/>
      <c r="M751" s="14"/>
      <c r="N751" s="15"/>
    </row>
    <row r="752" customFormat="1" spans="1:14">
      <c r="A752" t="str">
        <f t="shared" si="24"/>
        <v/>
      </c>
      <c r="B752" s="12"/>
      <c r="C752" s="12"/>
      <c r="D752" s="12"/>
      <c r="E752" s="12"/>
      <c r="F752" s="16"/>
      <c r="G752" s="17" t="s">
        <v>483</v>
      </c>
      <c r="H752" s="17"/>
      <c r="I752" s="17" t="s">
        <v>620</v>
      </c>
      <c r="J752" s="17"/>
      <c r="K752" s="17" t="s">
        <v>485</v>
      </c>
      <c r="L752" s="17"/>
      <c r="M752" s="17" t="s">
        <v>486</v>
      </c>
      <c r="N752" s="17"/>
    </row>
    <row r="753" customFormat="1" spans="1:14">
      <c r="A753" t="str">
        <f t="shared" si="24"/>
        <v>日期</v>
      </c>
      <c r="B753" s="18"/>
      <c r="C753" s="18"/>
      <c r="D753" s="18"/>
      <c r="E753" s="18"/>
      <c r="F753" s="19" t="s">
        <v>277</v>
      </c>
      <c r="G753" s="17" t="s">
        <v>487</v>
      </c>
      <c r="H753" s="17" t="s">
        <v>488</v>
      </c>
      <c r="I753" s="17" t="s">
        <v>487</v>
      </c>
      <c r="J753" s="17" t="s">
        <v>488</v>
      </c>
      <c r="K753" s="17" t="s">
        <v>487</v>
      </c>
      <c r="L753" s="17" t="s">
        <v>488</v>
      </c>
      <c r="M753" s="17" t="s">
        <v>487</v>
      </c>
      <c r="N753" s="17" t="s">
        <v>488</v>
      </c>
    </row>
    <row r="754" customFormat="1" ht="90" customHeight="1" spans="1:14">
      <c r="A754" t="str">
        <f t="shared" si="24"/>
        <v>XXXX-11110月9日晚上</v>
      </c>
      <c r="B754" s="20"/>
      <c r="C754" s="21"/>
      <c r="D754" s="34"/>
      <c r="E754" s="34" t="s">
        <v>5</v>
      </c>
      <c r="F754" s="23" t="s">
        <v>557</v>
      </c>
      <c r="G754" s="23"/>
      <c r="H754" s="23"/>
      <c r="I754" s="23"/>
      <c r="J754" s="23"/>
      <c r="K754" s="23"/>
      <c r="L754" s="23"/>
      <c r="M754" s="23"/>
      <c r="N754" s="23"/>
    </row>
    <row r="755" customFormat="1" ht="90" customHeight="1" spans="1:14">
      <c r="A755" t="str">
        <f t="shared" si="24"/>
        <v>XXXX-22210月9日晚上</v>
      </c>
      <c r="B755" s="20"/>
      <c r="C755" s="24"/>
      <c r="D755" s="22"/>
      <c r="E755" s="22" t="s">
        <v>261</v>
      </c>
      <c r="F755" s="23" t="s">
        <v>557</v>
      </c>
      <c r="G755" s="23"/>
      <c r="H755" s="23"/>
      <c r="I755" s="23"/>
      <c r="J755" s="23"/>
      <c r="K755" s="32"/>
      <c r="L755" s="23"/>
      <c r="M755" s="23"/>
      <c r="N755" s="23"/>
    </row>
    <row r="756" customFormat="1" ht="90" customHeight="1" spans="1:14">
      <c r="A756" t="str">
        <f t="shared" si="24"/>
        <v>10月9日晚上</v>
      </c>
      <c r="B756" s="20"/>
      <c r="C756" s="26"/>
      <c r="D756" s="34"/>
      <c r="E756" s="34"/>
      <c r="F756" s="23" t="s">
        <v>557</v>
      </c>
      <c r="G756" s="23"/>
      <c r="H756" s="36"/>
      <c r="I756" s="23"/>
      <c r="J756" s="23"/>
      <c r="K756" s="23"/>
      <c r="L756" s="23"/>
      <c r="M756" s="23"/>
      <c r="N756" s="23"/>
    </row>
    <row r="757" customFormat="1" ht="90" customHeight="1" spans="1:14">
      <c r="A757" t="str">
        <f t="shared" si="24"/>
        <v>10月9日晚上</v>
      </c>
      <c r="B757" s="20"/>
      <c r="C757" s="21"/>
      <c r="D757" s="22"/>
      <c r="E757" s="22"/>
      <c r="F757" s="23" t="s">
        <v>557</v>
      </c>
      <c r="G757" s="23"/>
      <c r="I757" s="23"/>
      <c r="J757" s="23"/>
      <c r="K757" s="23"/>
      <c r="L757" s="23"/>
      <c r="M757" s="23"/>
      <c r="N757" s="23"/>
    </row>
    <row r="758" customFormat="1" ht="90" customHeight="1" spans="1:14">
      <c r="A758" t="str">
        <f t="shared" si="24"/>
        <v>10月9日晚上</v>
      </c>
      <c r="B758" s="20"/>
      <c r="C758" s="26"/>
      <c r="D758" s="34"/>
      <c r="E758" s="34"/>
      <c r="F758" s="23" t="s">
        <v>557</v>
      </c>
      <c r="G758" s="23"/>
      <c r="H758" s="23"/>
      <c r="I758" s="23"/>
      <c r="J758" s="23"/>
      <c r="K758" s="36"/>
      <c r="L758" s="23"/>
      <c r="M758" s="23"/>
      <c r="N758" s="23"/>
    </row>
    <row r="759" customFormat="1" ht="90" customHeight="1" spans="1:14">
      <c r="A759" t="str">
        <f t="shared" si="24"/>
        <v> 
10月9日晚上</v>
      </c>
      <c r="B759" s="20"/>
      <c r="C759" s="20"/>
      <c r="D759" s="34"/>
      <c r="E759" s="35" t="s">
        <v>637</v>
      </c>
      <c r="F759" s="23" t="s">
        <v>557</v>
      </c>
      <c r="G759" s="23"/>
      <c r="H759" s="23"/>
      <c r="I759" s="23"/>
      <c r="J759" s="23"/>
      <c r="K759" s="23"/>
      <c r="L759" s="23"/>
      <c r="M759" s="23"/>
      <c r="N759" s="23"/>
    </row>
    <row r="760" customFormat="1" ht="90" customHeight="1" spans="1:14">
      <c r="A760" t="str">
        <f t="shared" si="24"/>
        <v>10月9日晚上</v>
      </c>
      <c r="B760" s="20"/>
      <c r="C760" s="20"/>
      <c r="D760" s="34"/>
      <c r="E760" s="34"/>
      <c r="F760" s="23" t="s">
        <v>557</v>
      </c>
      <c r="G760" s="23"/>
      <c r="H760" s="23"/>
      <c r="I760" s="23"/>
      <c r="J760" s="23"/>
      <c r="K760" s="23"/>
      <c r="L760" s="23"/>
      <c r="M760" s="23"/>
      <c r="N760" s="23"/>
    </row>
    <row r="761" spans="1:14">
      <c r="A761" t="str">
        <f t="shared" si="24"/>
        <v/>
      </c>
    </row>
    <row r="762" customFormat="1" spans="1:14">
      <c r="A762" t="str">
        <f t="shared" si="24"/>
        <v>SKU</v>
      </c>
      <c r="B762" s="12" t="s">
        <v>240</v>
      </c>
      <c r="C762" s="12" t="s">
        <v>611</v>
      </c>
      <c r="D762" s="12" t="s">
        <v>612</v>
      </c>
      <c r="E762" s="12" t="s">
        <v>613</v>
      </c>
      <c r="F762" s="12"/>
      <c r="G762" s="13" t="s">
        <v>614</v>
      </c>
      <c r="H762" s="14"/>
      <c r="I762" s="14"/>
      <c r="J762" s="14"/>
      <c r="K762" s="14"/>
      <c r="L762" s="14"/>
      <c r="M762" s="14"/>
      <c r="N762" s="15"/>
    </row>
    <row r="763" customFormat="1" spans="1:14">
      <c r="A763" t="str">
        <f t="shared" si="24"/>
        <v/>
      </c>
      <c r="B763" s="12"/>
      <c r="C763" s="12"/>
      <c r="D763" s="12"/>
      <c r="E763" s="12"/>
      <c r="F763" s="16"/>
      <c r="G763" s="17" t="s">
        <v>483</v>
      </c>
      <c r="H763" s="17"/>
      <c r="I763" s="17" t="s">
        <v>620</v>
      </c>
      <c r="J763" s="17"/>
      <c r="K763" s="17" t="s">
        <v>485</v>
      </c>
      <c r="L763" s="17"/>
      <c r="M763" s="17" t="s">
        <v>486</v>
      </c>
      <c r="N763" s="17"/>
    </row>
    <row r="764" customFormat="1" spans="1:14">
      <c r="A764" t="str">
        <f t="shared" si="24"/>
        <v>日期</v>
      </c>
      <c r="B764" s="18"/>
      <c r="C764" s="18"/>
      <c r="D764" s="18"/>
      <c r="E764" s="18"/>
      <c r="F764" s="19" t="s">
        <v>277</v>
      </c>
      <c r="G764" s="17" t="s">
        <v>487</v>
      </c>
      <c r="H764" s="17" t="s">
        <v>488</v>
      </c>
      <c r="I764" s="17" t="s">
        <v>487</v>
      </c>
      <c r="J764" s="17" t="s">
        <v>488</v>
      </c>
      <c r="K764" s="17" t="s">
        <v>487</v>
      </c>
      <c r="L764" s="17" t="s">
        <v>488</v>
      </c>
      <c r="M764" s="17" t="s">
        <v>487</v>
      </c>
      <c r="N764" s="17" t="s">
        <v>488</v>
      </c>
    </row>
    <row r="765" customFormat="1" ht="90" customHeight="1" spans="1:14">
      <c r="A765" t="str">
        <f t="shared" si="24"/>
        <v>XXXX-11110月10日上午</v>
      </c>
      <c r="B765" s="20"/>
      <c r="C765" s="21"/>
      <c r="D765" s="34"/>
      <c r="E765" s="34" t="s">
        <v>5</v>
      </c>
      <c r="F765" s="23" t="s">
        <v>558</v>
      </c>
      <c r="G765" s="23"/>
      <c r="H765" s="23" t="s">
        <v>622</v>
      </c>
      <c r="I765" s="23"/>
      <c r="J765" s="23"/>
      <c r="K765" s="23"/>
      <c r="L765" s="23" t="s">
        <v>727</v>
      </c>
      <c r="M765" s="23"/>
      <c r="N765" s="23"/>
    </row>
    <row r="766" customFormat="1" ht="90" customHeight="1" spans="1:14">
      <c r="A766" t="str">
        <f t="shared" si="24"/>
        <v>XXXX-22210月10日上午</v>
      </c>
      <c r="B766" s="20"/>
      <c r="C766" s="24"/>
      <c r="D766" s="22"/>
      <c r="E766" s="22" t="s">
        <v>261</v>
      </c>
      <c r="F766" s="23" t="s">
        <v>558</v>
      </c>
      <c r="G766" s="23"/>
      <c r="H766" s="23"/>
      <c r="I766" s="23"/>
      <c r="J766" s="23" t="s">
        <v>734</v>
      </c>
      <c r="K766" s="32"/>
      <c r="L766" s="23"/>
      <c r="M766" s="23"/>
      <c r="N766" s="23"/>
    </row>
    <row r="767" customFormat="1" ht="90" customHeight="1" spans="1:14">
      <c r="A767" t="str">
        <f t="shared" si="24"/>
        <v>10月10日上午</v>
      </c>
      <c r="B767" s="20"/>
      <c r="C767" s="26"/>
      <c r="D767" s="34"/>
      <c r="E767" s="34"/>
      <c r="F767" s="23" t="s">
        <v>558</v>
      </c>
      <c r="G767" s="23"/>
      <c r="H767" s="36"/>
      <c r="I767" s="23"/>
      <c r="J767" s="23" t="s">
        <v>742</v>
      </c>
      <c r="K767" s="23"/>
      <c r="L767" s="23" t="s">
        <v>841</v>
      </c>
      <c r="M767" s="23"/>
      <c r="N767" s="23"/>
    </row>
    <row r="768" customFormat="1" ht="90" customHeight="1" spans="1:14">
      <c r="A768" t="str">
        <f t="shared" si="24"/>
        <v>10月10日上午</v>
      </c>
      <c r="B768" s="20"/>
      <c r="C768" s="21"/>
      <c r="D768" s="22"/>
      <c r="E768" s="22"/>
      <c r="F768" s="23" t="s">
        <v>558</v>
      </c>
      <c r="G768" s="23"/>
      <c r="I768" s="23"/>
      <c r="J768" s="23" t="s">
        <v>839</v>
      </c>
      <c r="K768" s="23"/>
      <c r="L768" s="23"/>
      <c r="M768" s="23"/>
      <c r="N768" s="23"/>
    </row>
    <row r="769" customFormat="1" ht="90" customHeight="1" spans="1:14">
      <c r="A769" t="str">
        <f t="shared" si="24"/>
        <v>10月10日上午</v>
      </c>
      <c r="B769" s="20"/>
      <c r="C769" s="26"/>
      <c r="D769" s="34"/>
      <c r="E769" s="34"/>
      <c r="F769" s="23" t="s">
        <v>558</v>
      </c>
      <c r="G769" s="23"/>
      <c r="H769" s="23"/>
      <c r="I769" s="23"/>
      <c r="J769" s="23"/>
      <c r="K769" s="36"/>
      <c r="L769" s="23"/>
      <c r="M769" s="23"/>
      <c r="N769" s="23"/>
    </row>
    <row r="770" customFormat="1" ht="90" customHeight="1" spans="1:14">
      <c r="A770" t="str">
        <f t="shared" si="24"/>
        <v> 
10月10日上午</v>
      </c>
      <c r="B770" s="20"/>
      <c r="C770" s="20"/>
      <c r="D770" s="34"/>
      <c r="E770" s="35" t="s">
        <v>637</v>
      </c>
      <c r="F770" s="23" t="s">
        <v>558</v>
      </c>
      <c r="G770" s="23"/>
      <c r="H770" s="23"/>
      <c r="I770" s="23"/>
      <c r="J770" s="23"/>
      <c r="K770" s="23"/>
      <c r="L770" s="23"/>
      <c r="M770" s="23"/>
      <c r="N770" s="23"/>
    </row>
    <row r="771" customFormat="1" ht="90" customHeight="1" spans="1:14">
      <c r="A771" t="str">
        <f t="shared" si="24"/>
        <v>10月10日上午</v>
      </c>
      <c r="B771" s="20"/>
      <c r="C771" s="20"/>
      <c r="D771" s="34"/>
      <c r="E771" s="34"/>
      <c r="F771" s="23" t="s">
        <v>558</v>
      </c>
      <c r="G771" s="23"/>
      <c r="H771" s="23"/>
      <c r="I771" s="23"/>
      <c r="J771" s="23"/>
      <c r="K771" s="23"/>
      <c r="L771" s="23"/>
      <c r="M771" s="23"/>
      <c r="N771" s="23"/>
    </row>
    <row r="772" spans="1:14">
      <c r="A772" t="str">
        <f t="shared" si="24"/>
        <v/>
      </c>
    </row>
    <row r="773" customFormat="1" spans="1:14">
      <c r="A773" t="str">
        <f t="shared" si="24"/>
        <v>SKU</v>
      </c>
      <c r="B773" s="12" t="s">
        <v>240</v>
      </c>
      <c r="C773" s="12" t="s">
        <v>611</v>
      </c>
      <c r="D773" s="12" t="s">
        <v>612</v>
      </c>
      <c r="E773" s="12" t="s">
        <v>613</v>
      </c>
      <c r="F773" s="12"/>
      <c r="G773" s="13" t="s">
        <v>614</v>
      </c>
      <c r="H773" s="14"/>
      <c r="I773" s="14"/>
      <c r="J773" s="14"/>
      <c r="K773" s="14"/>
      <c r="L773" s="14"/>
      <c r="M773" s="14"/>
      <c r="N773" s="15"/>
    </row>
    <row r="774" customFormat="1" spans="1:14">
      <c r="A774" t="str">
        <f t="shared" si="24"/>
        <v/>
      </c>
      <c r="B774" s="12"/>
      <c r="C774" s="12"/>
      <c r="D774" s="12"/>
      <c r="E774" s="12"/>
      <c r="F774" s="16"/>
      <c r="G774" s="17" t="s">
        <v>483</v>
      </c>
      <c r="H774" s="17"/>
      <c r="I774" s="17" t="s">
        <v>484</v>
      </c>
      <c r="J774" s="17"/>
      <c r="K774" s="17" t="s">
        <v>485</v>
      </c>
      <c r="L774" s="17"/>
      <c r="M774" s="17" t="s">
        <v>486</v>
      </c>
      <c r="N774" s="17"/>
    </row>
    <row r="775" customFormat="1" spans="1:14">
      <c r="A775" t="str">
        <f t="shared" si="24"/>
        <v>日期</v>
      </c>
      <c r="B775" s="18"/>
      <c r="C775" s="18"/>
      <c r="D775" s="18"/>
      <c r="E775" s="18"/>
      <c r="F775" s="19" t="s">
        <v>277</v>
      </c>
      <c r="G775" s="17" t="s">
        <v>487</v>
      </c>
      <c r="H775" s="17" t="s">
        <v>488</v>
      </c>
      <c r="I775" s="17" t="s">
        <v>487</v>
      </c>
      <c r="J775" s="17" t="s">
        <v>488</v>
      </c>
      <c r="K775" s="17" t="s">
        <v>487</v>
      </c>
      <c r="L775" s="17" t="s">
        <v>488</v>
      </c>
      <c r="M775" s="17" t="s">
        <v>487</v>
      </c>
      <c r="N775" s="17" t="s">
        <v>488</v>
      </c>
    </row>
    <row r="776" customFormat="1" ht="90" customHeight="1" spans="1:14">
      <c r="A776" t="str">
        <f t="shared" si="24"/>
        <v>XXXX-11110月10日晚上</v>
      </c>
      <c r="B776" s="20"/>
      <c r="C776" s="21"/>
      <c r="D776" s="34"/>
      <c r="E776" s="34" t="s">
        <v>5</v>
      </c>
      <c r="F776" s="23" t="s">
        <v>559</v>
      </c>
      <c r="G776" s="23"/>
      <c r="H776" s="23" t="s">
        <v>842</v>
      </c>
      <c r="I776" s="23"/>
      <c r="J776" s="23"/>
      <c r="K776" s="23"/>
      <c r="L776" s="23" t="s">
        <v>830</v>
      </c>
      <c r="M776" s="23"/>
      <c r="N776" s="23"/>
    </row>
    <row r="777" customFormat="1" ht="90" customHeight="1" spans="1:14">
      <c r="A777" t="str">
        <f t="shared" si="24"/>
        <v>XXXX-22210月10日晚上</v>
      </c>
      <c r="B777" s="20"/>
      <c r="C777" s="24"/>
      <c r="D777" s="22"/>
      <c r="E777" s="22" t="s">
        <v>261</v>
      </c>
      <c r="F777" s="23" t="s">
        <v>559</v>
      </c>
      <c r="G777" s="23"/>
      <c r="H777" s="23"/>
      <c r="I777" s="23"/>
      <c r="J777" s="23" t="s">
        <v>708</v>
      </c>
      <c r="K777" s="32"/>
      <c r="L777" s="23"/>
      <c r="M777" s="23"/>
      <c r="N777" s="23"/>
    </row>
    <row r="778" customFormat="1" ht="90" customHeight="1" spans="1:14">
      <c r="A778" t="str">
        <f t="shared" si="24"/>
        <v>10月10日晚上</v>
      </c>
      <c r="B778" s="20"/>
      <c r="C778" s="26"/>
      <c r="D778" s="34"/>
      <c r="E778" s="34"/>
      <c r="F778" s="23" t="s">
        <v>559</v>
      </c>
      <c r="G778" s="23"/>
      <c r="H778" s="36"/>
      <c r="I778" s="23"/>
      <c r="J778" s="23" t="s">
        <v>843</v>
      </c>
      <c r="K778" s="23"/>
      <c r="L778" s="23" t="s">
        <v>775</v>
      </c>
      <c r="M778" s="23"/>
      <c r="N778" s="23"/>
    </row>
    <row r="779" customFormat="1" ht="90" customHeight="1" spans="1:14">
      <c r="A779" t="str">
        <f t="shared" si="24"/>
        <v>10月10日晚上</v>
      </c>
      <c r="B779" s="20"/>
      <c r="C779" s="21"/>
      <c r="D779" s="22"/>
      <c r="E779" s="22"/>
      <c r="F779" s="23" t="s">
        <v>559</v>
      </c>
      <c r="G779" s="23"/>
      <c r="I779" s="23"/>
      <c r="J779" s="23" t="s">
        <v>695</v>
      </c>
      <c r="K779" s="23"/>
      <c r="L779" s="23"/>
      <c r="M779" s="23"/>
      <c r="N779" s="23"/>
    </row>
    <row r="780" customFormat="1" ht="90" customHeight="1" spans="1:14">
      <c r="A780" t="str">
        <f t="shared" ref="A780:A811" si="25">E780&amp;F780</f>
        <v>10月10日晚上</v>
      </c>
      <c r="B780" s="20"/>
      <c r="C780" s="26"/>
      <c r="D780" s="34"/>
      <c r="E780" s="34"/>
      <c r="F780" s="23" t="s">
        <v>559</v>
      </c>
      <c r="G780" s="23"/>
      <c r="H780" s="23"/>
      <c r="I780" s="23"/>
      <c r="J780" s="23"/>
      <c r="K780" s="36"/>
      <c r="L780" s="23"/>
      <c r="M780" s="23"/>
      <c r="N780" s="23"/>
    </row>
    <row r="781" customFormat="1" ht="90" customHeight="1" spans="1:14">
      <c r="A781" t="str">
        <f t="shared" si="25"/>
        <v> 
10月10日晚上</v>
      </c>
      <c r="B781" s="20"/>
      <c r="C781" s="20"/>
      <c r="D781" s="34"/>
      <c r="E781" s="35" t="s">
        <v>637</v>
      </c>
      <c r="F781" s="23" t="s">
        <v>559</v>
      </c>
      <c r="G781" s="23"/>
      <c r="H781" s="23"/>
      <c r="I781" s="23"/>
      <c r="J781" s="23"/>
      <c r="K781" s="23"/>
      <c r="L781" s="23"/>
      <c r="M781" s="23"/>
      <c r="N781" s="23"/>
    </row>
    <row r="782" customFormat="1" ht="90" customHeight="1" spans="1:14">
      <c r="A782" t="str">
        <f t="shared" si="25"/>
        <v>10月10日晚上</v>
      </c>
      <c r="B782" s="20"/>
      <c r="C782" s="20"/>
      <c r="D782" s="34"/>
      <c r="E782" s="34"/>
      <c r="F782" s="23" t="s">
        <v>559</v>
      </c>
      <c r="G782" s="23"/>
      <c r="H782" s="23"/>
      <c r="I782" s="23"/>
      <c r="J782" s="23"/>
      <c r="K782" s="23"/>
      <c r="L782" s="23"/>
      <c r="M782" s="23"/>
      <c r="N782" s="23" t="s">
        <v>628</v>
      </c>
    </row>
    <row r="783" spans="1:14">
      <c r="A783" t="str">
        <f t="shared" si="25"/>
        <v/>
      </c>
    </row>
    <row r="784" customFormat="1" spans="1:14">
      <c r="A784" t="str">
        <f t="shared" si="25"/>
        <v>SKU</v>
      </c>
      <c r="B784" s="12" t="s">
        <v>240</v>
      </c>
      <c r="C784" s="12" t="s">
        <v>611</v>
      </c>
      <c r="D784" s="12" t="s">
        <v>612</v>
      </c>
      <c r="E784" s="12" t="s">
        <v>613</v>
      </c>
      <c r="F784" s="12"/>
      <c r="G784" s="13" t="s">
        <v>614</v>
      </c>
      <c r="H784" s="14"/>
      <c r="I784" s="14"/>
      <c r="J784" s="14"/>
      <c r="K784" s="14"/>
      <c r="L784" s="14"/>
      <c r="M784" s="14"/>
      <c r="N784" s="15"/>
    </row>
    <row r="785" customFormat="1" spans="1:14">
      <c r="A785" t="str">
        <f t="shared" si="25"/>
        <v/>
      </c>
      <c r="B785" s="12"/>
      <c r="C785" s="12"/>
      <c r="D785" s="12"/>
      <c r="E785" s="12"/>
      <c r="F785" s="16"/>
      <c r="G785" s="17" t="s">
        <v>483</v>
      </c>
      <c r="H785" s="17"/>
      <c r="I785" s="17" t="s">
        <v>484</v>
      </c>
      <c r="J785" s="17"/>
      <c r="K785" s="17" t="s">
        <v>485</v>
      </c>
      <c r="L785" s="17"/>
      <c r="M785" s="17" t="s">
        <v>486</v>
      </c>
      <c r="N785" s="17"/>
    </row>
    <row r="786" customFormat="1" spans="1:14">
      <c r="A786" t="str">
        <f t="shared" si="25"/>
        <v>日期</v>
      </c>
      <c r="B786" s="18"/>
      <c r="C786" s="18"/>
      <c r="D786" s="18"/>
      <c r="E786" s="18"/>
      <c r="F786" s="19" t="s">
        <v>277</v>
      </c>
      <c r="G786" s="17" t="s">
        <v>487</v>
      </c>
      <c r="H786" s="17" t="s">
        <v>488</v>
      </c>
      <c r="I786" s="17" t="s">
        <v>487</v>
      </c>
      <c r="J786" s="17" t="s">
        <v>488</v>
      </c>
      <c r="K786" s="17" t="s">
        <v>487</v>
      </c>
      <c r="L786" s="17" t="s">
        <v>488</v>
      </c>
      <c r="M786" s="17" t="s">
        <v>487</v>
      </c>
      <c r="N786" s="17" t="s">
        <v>488</v>
      </c>
    </row>
    <row r="787" customFormat="1" ht="90" customHeight="1" spans="1:14">
      <c r="A787" t="str">
        <f t="shared" si="25"/>
        <v>XXXX-11110月11日晚上</v>
      </c>
      <c r="B787" s="20"/>
      <c r="C787" s="21"/>
      <c r="D787" s="34"/>
      <c r="E787" s="34" t="s">
        <v>5</v>
      </c>
      <c r="F787" s="23" t="s">
        <v>561</v>
      </c>
      <c r="G787" s="23"/>
      <c r="H787" s="23" t="s">
        <v>844</v>
      </c>
      <c r="I787" s="23"/>
      <c r="J787" s="23"/>
      <c r="K787" s="23"/>
      <c r="L787" s="23" t="s">
        <v>830</v>
      </c>
      <c r="M787" s="23"/>
      <c r="N787" s="23"/>
    </row>
    <row r="788" customFormat="1" ht="90" customHeight="1" spans="1:14">
      <c r="A788" t="str">
        <f t="shared" si="25"/>
        <v>XXXX-22210月11日晚上</v>
      </c>
      <c r="B788" s="20"/>
      <c r="C788" s="24"/>
      <c r="D788" s="22"/>
      <c r="E788" s="22" t="s">
        <v>261</v>
      </c>
      <c r="F788" s="23" t="s">
        <v>561</v>
      </c>
      <c r="G788" s="23"/>
      <c r="H788" s="23"/>
      <c r="I788" s="23"/>
      <c r="J788" s="23" t="s">
        <v>721</v>
      </c>
      <c r="K788" s="23" t="s">
        <v>784</v>
      </c>
      <c r="L788" s="23"/>
      <c r="M788" s="23"/>
      <c r="N788" s="23"/>
    </row>
    <row r="789" customFormat="1" ht="90" customHeight="1" spans="1:14">
      <c r="A789" t="str">
        <f t="shared" si="25"/>
        <v>10月11日晚上</v>
      </c>
      <c r="B789" s="20"/>
      <c r="C789" s="26"/>
      <c r="D789" s="34"/>
      <c r="E789" s="34"/>
      <c r="F789" s="23" t="s">
        <v>561</v>
      </c>
      <c r="G789" s="23"/>
      <c r="H789" s="36"/>
      <c r="I789" s="23"/>
      <c r="J789" s="23" t="s">
        <v>845</v>
      </c>
      <c r="K789" s="23"/>
      <c r="L789" s="23" t="s">
        <v>754</v>
      </c>
      <c r="M789" s="23"/>
      <c r="N789" s="23"/>
    </row>
    <row r="790" customFormat="1" ht="90" customHeight="1" spans="1:14">
      <c r="A790" t="str">
        <f t="shared" si="25"/>
        <v>10月11日晚上</v>
      </c>
      <c r="B790" s="20"/>
      <c r="C790" s="21"/>
      <c r="D790" s="22"/>
      <c r="E790" s="22"/>
      <c r="F790" s="23" t="s">
        <v>561</v>
      </c>
      <c r="G790" s="23"/>
      <c r="I790" s="23"/>
      <c r="J790" s="23" t="s">
        <v>838</v>
      </c>
      <c r="K790" s="23"/>
      <c r="L790" s="23"/>
      <c r="M790" s="23"/>
      <c r="N790" s="23"/>
    </row>
    <row r="791" customFormat="1" ht="90" customHeight="1" spans="1:14">
      <c r="A791" t="str">
        <f t="shared" si="25"/>
        <v>10月11日晚上</v>
      </c>
      <c r="B791" s="20"/>
      <c r="C791" s="26"/>
      <c r="D791" s="34"/>
      <c r="E791" s="34"/>
      <c r="F791" s="23" t="s">
        <v>561</v>
      </c>
      <c r="G791" s="23"/>
      <c r="H791" s="23"/>
      <c r="I791" s="23"/>
      <c r="J791" s="23"/>
      <c r="K791" s="36"/>
      <c r="L791" s="23"/>
      <c r="M791" s="23"/>
      <c r="N791" s="23"/>
    </row>
    <row r="792" customFormat="1" ht="90" customHeight="1" spans="1:14">
      <c r="A792" t="str">
        <f t="shared" si="25"/>
        <v> 
10月11日晚上</v>
      </c>
      <c r="B792" s="20"/>
      <c r="C792" s="20"/>
      <c r="D792" s="34"/>
      <c r="E792" s="35" t="s">
        <v>637</v>
      </c>
      <c r="F792" s="23" t="s">
        <v>561</v>
      </c>
      <c r="G792" s="23"/>
      <c r="H792" s="23"/>
      <c r="I792" s="23"/>
      <c r="J792" s="23"/>
      <c r="K792" s="23"/>
      <c r="L792" s="23"/>
      <c r="M792" s="23"/>
      <c r="N792" s="23"/>
    </row>
    <row r="793" customFormat="1" ht="90" customHeight="1" spans="1:14">
      <c r="A793" t="str">
        <f t="shared" si="25"/>
        <v>10月11日晚上</v>
      </c>
      <c r="B793" s="20"/>
      <c r="C793" s="20"/>
      <c r="D793" s="34"/>
      <c r="E793" s="34"/>
      <c r="F793" s="23" t="s">
        <v>561</v>
      </c>
      <c r="G793" s="23"/>
      <c r="H793" s="23"/>
      <c r="I793" s="23"/>
      <c r="J793" s="23"/>
      <c r="K793" s="23"/>
      <c r="L793" s="23"/>
      <c r="M793" s="23"/>
      <c r="N793" s="23" t="s">
        <v>771</v>
      </c>
    </row>
    <row r="794" spans="1:14">
      <c r="A794" t="str">
        <f t="shared" si="25"/>
        <v/>
      </c>
    </row>
    <row r="795" customFormat="1" spans="1:14">
      <c r="A795" t="str">
        <f t="shared" si="25"/>
        <v>SKU</v>
      </c>
      <c r="B795" s="12" t="s">
        <v>240</v>
      </c>
      <c r="C795" s="12" t="s">
        <v>611</v>
      </c>
      <c r="D795" s="12" t="s">
        <v>612</v>
      </c>
      <c r="E795" s="12" t="s">
        <v>613</v>
      </c>
      <c r="F795" s="12"/>
      <c r="G795" s="13" t="s">
        <v>614</v>
      </c>
      <c r="H795" s="14"/>
      <c r="I795" s="14"/>
      <c r="J795" s="14"/>
      <c r="K795" s="14"/>
      <c r="L795" s="14"/>
      <c r="M795" s="14"/>
      <c r="N795" s="15"/>
    </row>
    <row r="796" customFormat="1" spans="1:14">
      <c r="A796" t="str">
        <f t="shared" si="25"/>
        <v/>
      </c>
      <c r="B796" s="12"/>
      <c r="C796" s="12"/>
      <c r="D796" s="12"/>
      <c r="E796" s="12"/>
      <c r="F796" s="16"/>
      <c r="G796" s="17" t="s">
        <v>483</v>
      </c>
      <c r="H796" s="17"/>
      <c r="I796" s="17" t="s">
        <v>484</v>
      </c>
      <c r="J796" s="17"/>
      <c r="K796" s="17" t="s">
        <v>485</v>
      </c>
      <c r="L796" s="17"/>
      <c r="M796" s="17" t="s">
        <v>486</v>
      </c>
      <c r="N796" s="17"/>
    </row>
    <row r="797" customFormat="1" spans="1:14">
      <c r="A797" t="str">
        <f t="shared" si="25"/>
        <v>日期</v>
      </c>
      <c r="B797" s="18"/>
      <c r="C797" s="18"/>
      <c r="D797" s="18"/>
      <c r="E797" s="18"/>
      <c r="F797" s="19" t="s">
        <v>277</v>
      </c>
      <c r="G797" s="17" t="s">
        <v>487</v>
      </c>
      <c r="H797" s="17" t="s">
        <v>488</v>
      </c>
      <c r="I797" s="17" t="s">
        <v>487</v>
      </c>
      <c r="J797" s="17" t="s">
        <v>488</v>
      </c>
      <c r="K797" s="17" t="s">
        <v>487</v>
      </c>
      <c r="L797" s="17" t="s">
        <v>488</v>
      </c>
      <c r="M797" s="17" t="s">
        <v>487</v>
      </c>
      <c r="N797" s="17" t="s">
        <v>488</v>
      </c>
    </row>
    <row r="798" customFormat="1" ht="90" customHeight="1" spans="1:14">
      <c r="A798" t="str">
        <f t="shared" si="25"/>
        <v>XXXX-11110月12日上午</v>
      </c>
      <c r="B798" s="20"/>
      <c r="C798" s="21"/>
      <c r="D798" s="34"/>
      <c r="E798" s="34" t="s">
        <v>5</v>
      </c>
      <c r="F798" s="23" t="s">
        <v>562</v>
      </c>
      <c r="G798" s="23"/>
      <c r="H798" s="23" t="s">
        <v>675</v>
      </c>
      <c r="I798" s="23"/>
      <c r="J798" s="23"/>
      <c r="K798" s="23"/>
      <c r="L798" s="23" t="s">
        <v>846</v>
      </c>
      <c r="M798" s="23"/>
      <c r="N798" s="23"/>
    </row>
    <row r="799" customFormat="1" ht="90" customHeight="1" spans="1:14">
      <c r="A799" t="str">
        <f t="shared" si="25"/>
        <v>XXXX-22210月12日上午</v>
      </c>
      <c r="B799" s="20"/>
      <c r="C799" s="24"/>
      <c r="D799" s="22"/>
      <c r="E799" s="22" t="s">
        <v>261</v>
      </c>
      <c r="F799" s="23" t="s">
        <v>562</v>
      </c>
      <c r="G799" s="23"/>
      <c r="H799" s="23"/>
      <c r="I799" s="23"/>
      <c r="J799" s="23" t="s">
        <v>847</v>
      </c>
      <c r="K799" s="23" t="s">
        <v>848</v>
      </c>
      <c r="L799" s="23"/>
      <c r="M799" s="23"/>
      <c r="N799" s="23"/>
    </row>
    <row r="800" customFormat="1" ht="90" customHeight="1" spans="1:14">
      <c r="A800" t="str">
        <f t="shared" si="25"/>
        <v>10月12日上午</v>
      </c>
      <c r="B800" s="20"/>
      <c r="C800" s="26"/>
      <c r="D800" s="34"/>
      <c r="E800" s="34"/>
      <c r="F800" s="23" t="s">
        <v>562</v>
      </c>
      <c r="G800" s="23"/>
      <c r="H800" s="36"/>
      <c r="I800" s="23"/>
      <c r="J800" s="23" t="s">
        <v>843</v>
      </c>
      <c r="K800" s="23"/>
      <c r="L800" s="23" t="s">
        <v>754</v>
      </c>
      <c r="M800" s="23"/>
      <c r="N800" s="23"/>
    </row>
    <row r="801" customFormat="1" ht="90" customHeight="1" spans="1:14">
      <c r="A801" t="str">
        <f t="shared" si="25"/>
        <v>10月12日上午</v>
      </c>
      <c r="B801" s="20"/>
      <c r="C801" s="21"/>
      <c r="D801" s="22"/>
      <c r="E801" s="22"/>
      <c r="F801" s="23" t="s">
        <v>562</v>
      </c>
      <c r="G801" s="23"/>
      <c r="I801" s="23"/>
      <c r="J801" s="23" t="s">
        <v>836</v>
      </c>
      <c r="K801" s="23"/>
      <c r="L801" s="23"/>
      <c r="M801" s="23"/>
      <c r="N801" s="23"/>
    </row>
    <row r="802" customFormat="1" ht="90" customHeight="1" spans="1:14">
      <c r="A802" t="str">
        <f t="shared" si="25"/>
        <v>10月12日上午</v>
      </c>
      <c r="B802" s="20"/>
      <c r="C802" s="26"/>
      <c r="D802" s="34"/>
      <c r="E802" s="34"/>
      <c r="F802" s="23" t="s">
        <v>562</v>
      </c>
      <c r="G802" s="23"/>
      <c r="H802" s="23"/>
      <c r="I802" s="23"/>
      <c r="J802" s="23"/>
      <c r="K802" s="36"/>
      <c r="L802" s="23"/>
      <c r="M802" s="23"/>
      <c r="N802" s="23"/>
    </row>
    <row r="803" customFormat="1" ht="90" customHeight="1" spans="1:14">
      <c r="A803" t="str">
        <f t="shared" si="25"/>
        <v> 
10月12日上午</v>
      </c>
      <c r="B803" s="20"/>
      <c r="C803" s="20"/>
      <c r="D803" s="34"/>
      <c r="E803" s="35" t="s">
        <v>637</v>
      </c>
      <c r="F803" s="23" t="s">
        <v>562</v>
      </c>
      <c r="G803" s="23"/>
      <c r="H803" s="23"/>
      <c r="I803" s="23"/>
      <c r="J803" s="23"/>
      <c r="K803" s="23"/>
      <c r="L803" s="23"/>
      <c r="M803" s="23"/>
      <c r="N803" s="23"/>
    </row>
    <row r="804" customFormat="1" ht="90" customHeight="1" spans="1:14">
      <c r="A804" t="str">
        <f t="shared" si="25"/>
        <v>10月12日上午</v>
      </c>
      <c r="B804" s="20"/>
      <c r="C804" s="20"/>
      <c r="D804" s="34"/>
      <c r="E804" s="34"/>
      <c r="F804" s="23" t="s">
        <v>562</v>
      </c>
      <c r="G804" s="23"/>
      <c r="H804" s="23"/>
      <c r="I804" s="23"/>
      <c r="J804" s="23"/>
      <c r="K804" s="23"/>
      <c r="L804" s="23"/>
      <c r="M804" s="23"/>
      <c r="N804" s="23" t="s">
        <v>624</v>
      </c>
    </row>
    <row r="805" spans="1:14">
      <c r="A805" t="str">
        <f t="shared" si="25"/>
        <v/>
      </c>
    </row>
    <row r="806" customFormat="1" spans="1:14">
      <c r="A806" t="str">
        <f t="shared" si="25"/>
        <v>SKU</v>
      </c>
      <c r="B806" s="12" t="s">
        <v>240</v>
      </c>
      <c r="C806" s="12" t="s">
        <v>611</v>
      </c>
      <c r="D806" s="12" t="s">
        <v>612</v>
      </c>
      <c r="E806" s="12" t="s">
        <v>613</v>
      </c>
      <c r="F806" s="12"/>
      <c r="G806" s="13" t="s">
        <v>614</v>
      </c>
      <c r="H806" s="14"/>
      <c r="I806" s="14"/>
      <c r="J806" s="14"/>
      <c r="K806" s="14"/>
      <c r="L806" s="14"/>
      <c r="M806" s="14"/>
      <c r="N806" s="15"/>
    </row>
    <row r="807" customFormat="1" spans="1:14">
      <c r="A807" t="str">
        <f t="shared" si="25"/>
        <v/>
      </c>
      <c r="B807" s="12"/>
      <c r="C807" s="12"/>
      <c r="D807" s="12"/>
      <c r="E807" s="12"/>
      <c r="F807" s="16"/>
      <c r="G807" s="17" t="s">
        <v>483</v>
      </c>
      <c r="H807" s="17"/>
      <c r="I807" s="17" t="s">
        <v>484</v>
      </c>
      <c r="J807" s="17"/>
      <c r="K807" s="17" t="s">
        <v>485</v>
      </c>
      <c r="L807" s="17"/>
      <c r="M807" s="17" t="s">
        <v>486</v>
      </c>
      <c r="N807" s="17"/>
    </row>
    <row r="808" customFormat="1" spans="1:14">
      <c r="A808" t="str">
        <f t="shared" si="25"/>
        <v>日期</v>
      </c>
      <c r="B808" s="18"/>
      <c r="C808" s="18"/>
      <c r="D808" s="18"/>
      <c r="E808" s="18"/>
      <c r="F808" s="19" t="s">
        <v>277</v>
      </c>
      <c r="G808" s="17" t="s">
        <v>487</v>
      </c>
      <c r="H808" s="17" t="s">
        <v>488</v>
      </c>
      <c r="I808" s="17" t="s">
        <v>487</v>
      </c>
      <c r="J808" s="17" t="s">
        <v>488</v>
      </c>
      <c r="K808" s="17" t="s">
        <v>487</v>
      </c>
      <c r="L808" s="17" t="s">
        <v>488</v>
      </c>
      <c r="M808" s="17" t="s">
        <v>487</v>
      </c>
      <c r="N808" s="17" t="s">
        <v>488</v>
      </c>
    </row>
    <row r="809" customFormat="1" ht="90" customHeight="1" spans="1:14">
      <c r="A809" t="str">
        <f t="shared" si="25"/>
        <v>XXXX-11110月12日晚上</v>
      </c>
      <c r="B809" s="20"/>
      <c r="C809" s="21"/>
      <c r="D809" s="34"/>
      <c r="E809" s="34" t="s">
        <v>5</v>
      </c>
      <c r="F809" s="23" t="s">
        <v>563</v>
      </c>
      <c r="G809" s="23"/>
      <c r="H809" s="23" t="s">
        <v>838</v>
      </c>
      <c r="I809" s="23"/>
      <c r="J809" s="23"/>
      <c r="K809" s="23"/>
      <c r="L809" s="23" t="s">
        <v>849</v>
      </c>
      <c r="M809" s="23"/>
      <c r="N809" s="23"/>
    </row>
    <row r="810" customFormat="1" ht="90" customHeight="1" spans="1:14">
      <c r="A810" t="str">
        <f t="shared" si="25"/>
        <v>XXXX-22210月12日晚上</v>
      </c>
      <c r="B810" s="20"/>
      <c r="C810" s="24"/>
      <c r="D810" s="22"/>
      <c r="E810" s="22" t="s">
        <v>261</v>
      </c>
      <c r="F810" s="23" t="s">
        <v>563</v>
      </c>
      <c r="G810" s="23"/>
      <c r="H810" s="23"/>
      <c r="I810" s="23"/>
      <c r="J810" s="23" t="s">
        <v>649</v>
      </c>
      <c r="K810" s="23"/>
      <c r="L810" s="23"/>
      <c r="M810" s="23"/>
      <c r="N810" s="23"/>
    </row>
    <row r="811" customFormat="1" ht="90" customHeight="1" spans="1:14">
      <c r="A811" t="str">
        <f t="shared" si="25"/>
        <v>10月12日晚上</v>
      </c>
      <c r="B811" s="20"/>
      <c r="C811" s="26"/>
      <c r="D811" s="34"/>
      <c r="E811" s="34"/>
      <c r="F811" s="23" t="s">
        <v>563</v>
      </c>
      <c r="G811" s="23"/>
      <c r="H811" s="36"/>
      <c r="I811" s="23"/>
      <c r="J811" s="23" t="s">
        <v>639</v>
      </c>
      <c r="K811" s="23"/>
      <c r="L811" s="23" t="s">
        <v>850</v>
      </c>
      <c r="M811" s="23"/>
      <c r="N811" s="23"/>
    </row>
    <row r="812" customFormat="1" ht="90" customHeight="1" spans="1:14">
      <c r="A812" t="str">
        <f t="shared" ref="A812:A843" si="26">E812&amp;F812</f>
        <v>10月12日晚上</v>
      </c>
      <c r="B812" s="20"/>
      <c r="C812" s="21"/>
      <c r="D812" s="22"/>
      <c r="E812" s="22"/>
      <c r="F812" s="23" t="s">
        <v>563</v>
      </c>
      <c r="G812" s="23"/>
      <c r="I812" s="23"/>
      <c r="J812" s="23" t="s">
        <v>731</v>
      </c>
      <c r="K812" s="23"/>
      <c r="L812" s="23"/>
      <c r="M812" s="23"/>
      <c r="N812" s="23"/>
    </row>
    <row r="813" customFormat="1" ht="90" customHeight="1" spans="1:14">
      <c r="A813" t="str">
        <f t="shared" si="26"/>
        <v>10月12日晚上</v>
      </c>
      <c r="B813" s="20"/>
      <c r="C813" s="26"/>
      <c r="D813" s="34"/>
      <c r="E813" s="34"/>
      <c r="F813" s="23" t="s">
        <v>563</v>
      </c>
      <c r="G813" s="23"/>
      <c r="H813" s="23"/>
      <c r="I813" s="23"/>
      <c r="J813" s="23"/>
      <c r="K813" s="36"/>
      <c r="L813" s="23"/>
      <c r="M813" s="23"/>
      <c r="N813" s="23"/>
    </row>
    <row r="814" customFormat="1" ht="90" customHeight="1" spans="1:14">
      <c r="A814" t="str">
        <f t="shared" si="26"/>
        <v> 
10月12日晚上</v>
      </c>
      <c r="B814" s="20"/>
      <c r="C814" s="20"/>
      <c r="D814" s="34"/>
      <c r="E814" s="35" t="s">
        <v>637</v>
      </c>
      <c r="F814" s="23" t="s">
        <v>563</v>
      </c>
      <c r="G814" s="23"/>
      <c r="H814" s="23"/>
      <c r="I814" s="23"/>
      <c r="J814" s="23"/>
      <c r="K814" s="23"/>
      <c r="L814" s="23"/>
      <c r="M814" s="23"/>
      <c r="N814" s="23"/>
    </row>
    <row r="815" customFormat="1" ht="90" customHeight="1" spans="1:14">
      <c r="A815" t="str">
        <f t="shared" si="26"/>
        <v>10月12日晚上</v>
      </c>
      <c r="B815" s="20"/>
      <c r="C815" s="20"/>
      <c r="D815" s="34"/>
      <c r="E815" s="34"/>
      <c r="F815" s="23" t="s">
        <v>563</v>
      </c>
      <c r="G815" s="23"/>
      <c r="H815" s="23"/>
      <c r="I815" s="23"/>
      <c r="J815" s="23"/>
      <c r="K815" s="23"/>
      <c r="L815" s="23"/>
      <c r="M815" s="23"/>
      <c r="N815" s="23"/>
    </row>
    <row r="816" spans="1:14">
      <c r="A816" t="str">
        <f t="shared" si="26"/>
        <v/>
      </c>
    </row>
    <row r="817" customFormat="1" spans="1:14">
      <c r="A817" t="str">
        <f t="shared" si="26"/>
        <v>SKU</v>
      </c>
      <c r="B817" s="12" t="s">
        <v>240</v>
      </c>
      <c r="C817" s="12" t="s">
        <v>611</v>
      </c>
      <c r="D817" s="12" t="s">
        <v>612</v>
      </c>
      <c r="E817" s="12" t="s">
        <v>613</v>
      </c>
      <c r="F817" s="12"/>
      <c r="G817" s="13" t="s">
        <v>614</v>
      </c>
      <c r="H817" s="14"/>
      <c r="I817" s="14"/>
      <c r="J817" s="14"/>
      <c r="K817" s="14"/>
      <c r="L817" s="14"/>
      <c r="M817" s="14"/>
      <c r="N817" s="15"/>
    </row>
    <row r="818" customFormat="1" spans="1:14">
      <c r="A818" t="str">
        <f t="shared" si="26"/>
        <v/>
      </c>
      <c r="B818" s="12"/>
      <c r="C818" s="12"/>
      <c r="D818" s="12"/>
      <c r="E818" s="12"/>
      <c r="F818" s="16"/>
      <c r="G818" s="17" t="s">
        <v>483</v>
      </c>
      <c r="H818" s="17"/>
      <c r="I818" s="17" t="s">
        <v>484</v>
      </c>
      <c r="J818" s="17"/>
      <c r="K818" s="17" t="s">
        <v>485</v>
      </c>
      <c r="L818" s="17"/>
      <c r="M818" s="17" t="s">
        <v>486</v>
      </c>
      <c r="N818" s="17"/>
    </row>
    <row r="819" customFormat="1" spans="1:14">
      <c r="A819" t="str">
        <f t="shared" si="26"/>
        <v>日期</v>
      </c>
      <c r="B819" s="18"/>
      <c r="C819" s="18"/>
      <c r="D819" s="18"/>
      <c r="E819" s="18"/>
      <c r="F819" s="19" t="s">
        <v>277</v>
      </c>
      <c r="G819" s="17" t="s">
        <v>487</v>
      </c>
      <c r="H819" s="17" t="s">
        <v>488</v>
      </c>
      <c r="I819" s="17" t="s">
        <v>487</v>
      </c>
      <c r="J819" s="17" t="s">
        <v>488</v>
      </c>
      <c r="K819" s="17" t="s">
        <v>487</v>
      </c>
      <c r="L819" s="17" t="s">
        <v>488</v>
      </c>
      <c r="M819" s="17" t="s">
        <v>487</v>
      </c>
      <c r="N819" s="17" t="s">
        <v>488</v>
      </c>
    </row>
    <row r="820" customFormat="1" ht="90" customHeight="1" spans="1:14">
      <c r="A820" t="str">
        <f t="shared" si="26"/>
        <v>XXXX-11110月13日上午</v>
      </c>
      <c r="B820" s="20"/>
      <c r="C820" s="21"/>
      <c r="D820" s="34"/>
      <c r="E820" s="34" t="s">
        <v>5</v>
      </c>
      <c r="F820" s="23" t="s">
        <v>564</v>
      </c>
      <c r="G820" s="23"/>
      <c r="H820" s="23" t="s">
        <v>653</v>
      </c>
      <c r="I820" s="23"/>
      <c r="J820" s="23"/>
      <c r="K820" s="23"/>
      <c r="L820" s="23" t="s">
        <v>745</v>
      </c>
      <c r="M820" s="23"/>
      <c r="N820" s="23"/>
    </row>
    <row r="821" customFormat="1" ht="90" customHeight="1" spans="1:14">
      <c r="A821" t="str">
        <f t="shared" si="26"/>
        <v>XXXX-22210月13日上午</v>
      </c>
      <c r="B821" s="20"/>
      <c r="C821" s="24"/>
      <c r="D821" s="22"/>
      <c r="E821" s="22" t="s">
        <v>261</v>
      </c>
      <c r="F821" s="23" t="s">
        <v>564</v>
      </c>
      <c r="G821" s="23"/>
      <c r="H821" s="23"/>
      <c r="I821" s="23"/>
      <c r="J821" s="23" t="s">
        <v>671</v>
      </c>
      <c r="K821" s="23"/>
      <c r="L821" s="23"/>
      <c r="M821" s="23"/>
      <c r="N821" s="23"/>
    </row>
    <row r="822" customFormat="1" ht="90" customHeight="1" spans="1:14">
      <c r="A822" t="str">
        <f t="shared" si="26"/>
        <v>10月13日上午</v>
      </c>
      <c r="B822" s="20"/>
      <c r="C822" s="26"/>
      <c r="D822" s="34"/>
      <c r="E822" s="34"/>
      <c r="F822" s="23" t="s">
        <v>564</v>
      </c>
      <c r="G822" s="23"/>
      <c r="H822" s="36"/>
      <c r="I822" s="23"/>
      <c r="J822" s="23" t="s">
        <v>648</v>
      </c>
      <c r="K822" s="23"/>
      <c r="L822" s="23" t="s">
        <v>851</v>
      </c>
      <c r="M822" s="23"/>
      <c r="N822" s="23"/>
    </row>
    <row r="823" customFormat="1" ht="90" customHeight="1" spans="1:14">
      <c r="A823" t="str">
        <f t="shared" si="26"/>
        <v>10月13日上午</v>
      </c>
      <c r="B823" s="20"/>
      <c r="C823" s="21"/>
      <c r="D823" s="22"/>
      <c r="E823" s="22"/>
      <c r="F823" s="23" t="s">
        <v>564</v>
      </c>
      <c r="G823" s="23"/>
      <c r="I823" s="23"/>
      <c r="J823" s="23" t="s">
        <v>852</v>
      </c>
      <c r="K823" s="23"/>
      <c r="L823" s="23"/>
      <c r="M823" s="23"/>
      <c r="N823" s="23"/>
    </row>
    <row r="824" customFormat="1" ht="90" customHeight="1" spans="1:14">
      <c r="A824" t="str">
        <f t="shared" si="26"/>
        <v>10月13日上午</v>
      </c>
      <c r="B824" s="20"/>
      <c r="C824" s="26"/>
      <c r="D824" s="34"/>
      <c r="E824" s="34"/>
      <c r="F824" s="23" t="s">
        <v>564</v>
      </c>
      <c r="G824" s="23"/>
      <c r="H824" s="23"/>
      <c r="I824" s="23"/>
      <c r="J824" s="23"/>
      <c r="K824" s="36"/>
      <c r="L824" s="23"/>
      <c r="M824" s="23"/>
      <c r="N824" s="23"/>
    </row>
    <row r="825" customFormat="1" ht="90" customHeight="1" spans="1:14">
      <c r="A825" t="str">
        <f t="shared" si="26"/>
        <v> 
10月13日上午</v>
      </c>
      <c r="B825" s="20"/>
      <c r="C825" s="20"/>
      <c r="D825" s="34"/>
      <c r="E825" s="35" t="s">
        <v>637</v>
      </c>
      <c r="F825" s="23" t="s">
        <v>564</v>
      </c>
      <c r="G825" s="23"/>
      <c r="H825" s="23"/>
      <c r="I825" s="23"/>
      <c r="J825" s="23"/>
      <c r="K825" s="23"/>
      <c r="L825" s="23"/>
      <c r="M825" s="23"/>
      <c r="N825" s="23"/>
    </row>
    <row r="826" customFormat="1" ht="90" customHeight="1" spans="1:14">
      <c r="A826" t="str">
        <f t="shared" si="26"/>
        <v>10月13日上午</v>
      </c>
      <c r="B826" s="20"/>
      <c r="C826" s="20"/>
      <c r="D826" s="34"/>
      <c r="E826" s="34"/>
      <c r="F826" s="23" t="s">
        <v>564</v>
      </c>
      <c r="G826" s="23"/>
      <c r="H826" s="23"/>
      <c r="I826" s="23"/>
      <c r="J826" s="23"/>
      <c r="K826" s="23"/>
      <c r="L826" s="23"/>
      <c r="M826" s="23"/>
      <c r="N826" s="23"/>
    </row>
    <row r="827" spans="1:14">
      <c r="A827" t="str">
        <f t="shared" si="26"/>
        <v/>
      </c>
    </row>
    <row r="828" customFormat="1" spans="1:14">
      <c r="A828" t="str">
        <f t="shared" si="26"/>
        <v>SKU</v>
      </c>
      <c r="B828" s="12" t="s">
        <v>240</v>
      </c>
      <c r="C828" s="12" t="s">
        <v>611</v>
      </c>
      <c r="D828" s="12" t="s">
        <v>612</v>
      </c>
      <c r="E828" s="12" t="s">
        <v>613</v>
      </c>
      <c r="F828" s="12"/>
      <c r="G828" s="13" t="s">
        <v>614</v>
      </c>
      <c r="H828" s="14"/>
      <c r="I828" s="14"/>
      <c r="J828" s="14"/>
      <c r="K828" s="14"/>
      <c r="L828" s="14"/>
      <c r="M828" s="14"/>
      <c r="N828" s="15"/>
    </row>
    <row r="829" customFormat="1" spans="1:14">
      <c r="A829" t="str">
        <f t="shared" si="26"/>
        <v/>
      </c>
      <c r="B829" s="12"/>
      <c r="C829" s="12"/>
      <c r="D829" s="12"/>
      <c r="E829" s="12"/>
      <c r="F829" s="16"/>
      <c r="G829" s="17" t="s">
        <v>483</v>
      </c>
      <c r="H829" s="17"/>
      <c r="I829" s="17" t="s">
        <v>484</v>
      </c>
      <c r="J829" s="17"/>
      <c r="K829" s="17" t="s">
        <v>485</v>
      </c>
      <c r="L829" s="17"/>
      <c r="M829" s="17" t="s">
        <v>486</v>
      </c>
      <c r="N829" s="17"/>
    </row>
    <row r="830" customFormat="1" spans="1:14">
      <c r="A830" t="str">
        <f t="shared" si="26"/>
        <v>日期</v>
      </c>
      <c r="B830" s="18"/>
      <c r="C830" s="18"/>
      <c r="D830" s="18"/>
      <c r="E830" s="18"/>
      <c r="F830" s="19" t="s">
        <v>277</v>
      </c>
      <c r="G830" s="17" t="s">
        <v>487</v>
      </c>
      <c r="H830" s="17" t="s">
        <v>488</v>
      </c>
      <c r="I830" s="17" t="s">
        <v>487</v>
      </c>
      <c r="J830" s="17" t="s">
        <v>488</v>
      </c>
      <c r="K830" s="17" t="s">
        <v>487</v>
      </c>
      <c r="L830" s="17" t="s">
        <v>488</v>
      </c>
      <c r="M830" s="17" t="s">
        <v>487</v>
      </c>
      <c r="N830" s="17" t="s">
        <v>488</v>
      </c>
    </row>
    <row r="831" customFormat="1" ht="90" customHeight="1" spans="1:14">
      <c r="A831" t="str">
        <f t="shared" si="26"/>
        <v>XXXX-11110月13日晚上</v>
      </c>
      <c r="B831" s="20"/>
      <c r="C831" s="21"/>
      <c r="D831" s="34"/>
      <c r="E831" s="34" t="s">
        <v>5</v>
      </c>
      <c r="F831" s="23" t="s">
        <v>565</v>
      </c>
      <c r="G831" s="23"/>
      <c r="H831" s="23" t="s">
        <v>653</v>
      </c>
      <c r="I831" s="23"/>
      <c r="J831" s="23"/>
      <c r="K831" s="23"/>
      <c r="L831" s="23" t="s">
        <v>835</v>
      </c>
      <c r="M831" s="23"/>
      <c r="N831" s="23"/>
    </row>
    <row r="832" customFormat="1" ht="90" customHeight="1" spans="1:14">
      <c r="A832" t="str">
        <f t="shared" si="26"/>
        <v>XXXX-22210月13日晚上</v>
      </c>
      <c r="B832" s="20"/>
      <c r="C832" s="24"/>
      <c r="D832" s="22"/>
      <c r="E832" s="22" t="s">
        <v>261</v>
      </c>
      <c r="F832" s="23" t="s">
        <v>565</v>
      </c>
      <c r="G832" s="23"/>
      <c r="H832" s="23"/>
      <c r="I832" s="23"/>
      <c r="J832" s="23" t="s">
        <v>717</v>
      </c>
      <c r="K832" s="23"/>
      <c r="L832" s="23"/>
      <c r="M832" s="23"/>
      <c r="N832" s="23"/>
    </row>
    <row r="833" customFormat="1" ht="90" customHeight="1" spans="1:14">
      <c r="A833" t="str">
        <f t="shared" si="26"/>
        <v>10月13日晚上</v>
      </c>
      <c r="B833" s="20"/>
      <c r="C833" s="26"/>
      <c r="D833" s="34"/>
      <c r="E833" s="34"/>
      <c r="F833" s="23" t="s">
        <v>565</v>
      </c>
      <c r="G833" s="23"/>
      <c r="H833" s="36"/>
      <c r="I833" s="23"/>
      <c r="J833" s="23" t="s">
        <v>629</v>
      </c>
      <c r="K833" s="23"/>
      <c r="L833" s="23" t="s">
        <v>682</v>
      </c>
      <c r="M833" s="23"/>
      <c r="N833" s="23"/>
    </row>
    <row r="834" customFormat="1" ht="90" customHeight="1" spans="1:14">
      <c r="A834" t="str">
        <f t="shared" si="26"/>
        <v>10月13日晚上</v>
      </c>
      <c r="B834" s="20"/>
      <c r="C834" s="21"/>
      <c r="D834" s="22"/>
      <c r="E834" s="22"/>
      <c r="F834" s="23" t="s">
        <v>565</v>
      </c>
      <c r="G834" s="23"/>
      <c r="I834" s="23"/>
      <c r="J834" s="23" t="s">
        <v>707</v>
      </c>
      <c r="K834" s="23"/>
      <c r="L834" s="23"/>
      <c r="M834" s="23"/>
      <c r="N834" s="23"/>
    </row>
    <row r="835" customFormat="1" ht="90" customHeight="1" spans="1:14">
      <c r="A835" t="str">
        <f t="shared" si="26"/>
        <v>10月13日晚上</v>
      </c>
      <c r="B835" s="20"/>
      <c r="C835" s="26"/>
      <c r="D835" s="34"/>
      <c r="E835" s="34"/>
      <c r="F835" s="23" t="s">
        <v>565</v>
      </c>
      <c r="G835" s="23"/>
      <c r="H835" s="23" t="s">
        <v>671</v>
      </c>
      <c r="I835" s="23"/>
      <c r="J835" s="23"/>
      <c r="K835" s="36"/>
      <c r="L835" s="23"/>
      <c r="M835" s="23"/>
      <c r="N835" s="23"/>
    </row>
    <row r="836" customFormat="1" ht="90" customHeight="1" spans="1:14">
      <c r="A836" t="str">
        <f t="shared" si="26"/>
        <v> 
10月13日晚上</v>
      </c>
      <c r="B836" s="20"/>
      <c r="C836" s="20"/>
      <c r="D836" s="34"/>
      <c r="E836" s="35" t="s">
        <v>637</v>
      </c>
      <c r="F836" s="23" t="s">
        <v>565</v>
      </c>
      <c r="G836" s="23"/>
      <c r="H836" s="23"/>
      <c r="I836" s="23"/>
      <c r="J836" s="23"/>
      <c r="K836" s="23"/>
      <c r="L836" s="23"/>
      <c r="M836" s="23"/>
      <c r="N836" s="23"/>
    </row>
    <row r="837" customFormat="1" ht="90" customHeight="1" spans="1:14">
      <c r="A837" t="str">
        <f t="shared" si="26"/>
        <v>10月13日晚上</v>
      </c>
      <c r="B837" s="20"/>
      <c r="C837" s="20"/>
      <c r="D837" s="34"/>
      <c r="E837" s="34"/>
      <c r="F837" s="23" t="s">
        <v>565</v>
      </c>
      <c r="G837" s="23"/>
      <c r="H837" s="23"/>
      <c r="I837" s="23"/>
      <c r="J837" s="23"/>
      <c r="K837" s="23"/>
      <c r="L837" s="23"/>
      <c r="M837" s="23"/>
      <c r="N837" s="23"/>
    </row>
    <row r="838" spans="1:14">
      <c r="A838" t="str">
        <f t="shared" si="26"/>
        <v/>
      </c>
    </row>
    <row r="839" customFormat="1" spans="1:14">
      <c r="A839" t="str">
        <f t="shared" si="26"/>
        <v>SKU</v>
      </c>
      <c r="B839" s="12" t="s">
        <v>240</v>
      </c>
      <c r="C839" s="12" t="s">
        <v>611</v>
      </c>
      <c r="D839" s="12" t="s">
        <v>612</v>
      </c>
      <c r="E839" s="12" t="s">
        <v>613</v>
      </c>
      <c r="F839" s="12"/>
      <c r="G839" s="13" t="s">
        <v>614</v>
      </c>
      <c r="H839" s="14"/>
      <c r="I839" s="14"/>
      <c r="J839" s="14"/>
      <c r="K839" s="14"/>
      <c r="L839" s="14"/>
      <c r="M839" s="14"/>
      <c r="N839" s="15"/>
    </row>
    <row r="840" customFormat="1" spans="1:14">
      <c r="A840" t="str">
        <f t="shared" si="26"/>
        <v/>
      </c>
      <c r="B840" s="12"/>
      <c r="C840" s="12"/>
      <c r="D840" s="12"/>
      <c r="E840" s="12"/>
      <c r="F840" s="16"/>
      <c r="G840" s="17" t="s">
        <v>483</v>
      </c>
      <c r="H840" s="17"/>
      <c r="I840" s="17" t="s">
        <v>484</v>
      </c>
      <c r="J840" s="17"/>
      <c r="K840" s="17" t="s">
        <v>485</v>
      </c>
      <c r="L840" s="17"/>
      <c r="M840" s="17" t="s">
        <v>486</v>
      </c>
      <c r="N840" s="17"/>
    </row>
    <row r="841" customFormat="1" spans="1:14">
      <c r="A841" t="str">
        <f t="shared" si="26"/>
        <v>日期</v>
      </c>
      <c r="B841" s="18"/>
      <c r="C841" s="18"/>
      <c r="D841" s="18"/>
      <c r="E841" s="18"/>
      <c r="F841" s="19" t="s">
        <v>277</v>
      </c>
      <c r="G841" s="17" t="s">
        <v>487</v>
      </c>
      <c r="H841" s="17" t="s">
        <v>488</v>
      </c>
      <c r="I841" s="17" t="s">
        <v>487</v>
      </c>
      <c r="J841" s="17" t="s">
        <v>488</v>
      </c>
      <c r="K841" s="17" t="s">
        <v>487</v>
      </c>
      <c r="L841" s="17" t="s">
        <v>488</v>
      </c>
      <c r="M841" s="17" t="s">
        <v>487</v>
      </c>
      <c r="N841" s="17" t="s">
        <v>488</v>
      </c>
    </row>
    <row r="842" customFormat="1" ht="90" customHeight="1" spans="1:14">
      <c r="A842" t="str">
        <f t="shared" si="26"/>
        <v>XXXX-11110月14日上午</v>
      </c>
      <c r="B842" s="20"/>
      <c r="C842" s="21"/>
      <c r="D842" s="34"/>
      <c r="E842" s="34" t="s">
        <v>5</v>
      </c>
      <c r="F842" s="23" t="s">
        <v>566</v>
      </c>
      <c r="G842" s="23"/>
      <c r="H842" s="23" t="s">
        <v>734</v>
      </c>
      <c r="I842" s="23"/>
      <c r="J842" s="23"/>
      <c r="K842" s="23"/>
      <c r="L842" s="23" t="s">
        <v>638</v>
      </c>
      <c r="M842" s="23"/>
      <c r="N842" s="23"/>
    </row>
    <row r="843" customFormat="1" ht="90" customHeight="1" spans="1:14">
      <c r="A843" t="str">
        <f t="shared" si="26"/>
        <v>XXXX-22210月14日上午</v>
      </c>
      <c r="B843" s="20"/>
      <c r="C843" s="24"/>
      <c r="D843" s="22"/>
      <c r="E843" s="22" t="s">
        <v>261</v>
      </c>
      <c r="F843" s="23" t="s">
        <v>566</v>
      </c>
      <c r="G843" s="23"/>
      <c r="H843" s="23"/>
      <c r="I843" s="23"/>
      <c r="J843" s="23" t="s">
        <v>853</v>
      </c>
      <c r="K843" s="23"/>
      <c r="L843" s="23"/>
      <c r="M843" s="23"/>
      <c r="N843" s="23"/>
    </row>
    <row r="844" customFormat="1" ht="90" customHeight="1" spans="1:14">
      <c r="A844" t="str">
        <f t="shared" ref="A844:A870" si="27">E844&amp;F844</f>
        <v>10月14日上午</v>
      </c>
      <c r="B844" s="20"/>
      <c r="C844" s="26"/>
      <c r="D844" s="34"/>
      <c r="E844" s="34"/>
      <c r="F844" s="23" t="s">
        <v>566</v>
      </c>
      <c r="G844" s="23"/>
      <c r="H844" s="36"/>
      <c r="I844" s="23"/>
      <c r="J844" s="23"/>
      <c r="K844" s="23"/>
      <c r="L844" s="23" t="s">
        <v>828</v>
      </c>
      <c r="M844" s="23"/>
      <c r="N844" s="23"/>
    </row>
    <row r="845" customFormat="1" ht="90" customHeight="1" spans="1:14">
      <c r="A845" t="str">
        <f t="shared" si="27"/>
        <v>10月14日上午</v>
      </c>
      <c r="B845" s="20"/>
      <c r="C845" s="21"/>
      <c r="D845" s="22"/>
      <c r="E845" s="22"/>
      <c r="F845" s="23" t="s">
        <v>566</v>
      </c>
      <c r="G845" s="23"/>
      <c r="I845" s="23"/>
      <c r="J845" s="23" t="s">
        <v>680</v>
      </c>
      <c r="K845" s="23"/>
      <c r="L845" s="23"/>
      <c r="M845" s="23"/>
      <c r="N845" s="23"/>
    </row>
    <row r="846" customFormat="1" ht="90" customHeight="1" spans="1:14">
      <c r="A846" t="str">
        <f t="shared" si="27"/>
        <v>10月14日上午</v>
      </c>
      <c r="B846" s="20"/>
      <c r="C846" s="26"/>
      <c r="D846" s="34"/>
      <c r="E846" s="34"/>
      <c r="F846" s="23" t="s">
        <v>566</v>
      </c>
      <c r="G846" s="23"/>
      <c r="H846" s="23"/>
      <c r="I846" s="23"/>
      <c r="J846" s="23"/>
      <c r="K846" s="36"/>
      <c r="L846" s="23"/>
      <c r="M846" s="23"/>
      <c r="N846" s="23"/>
    </row>
    <row r="847" customFormat="1" ht="90" customHeight="1" spans="1:14">
      <c r="A847" t="str">
        <f t="shared" si="27"/>
        <v> 
10月14日上午</v>
      </c>
      <c r="B847" s="20"/>
      <c r="C847" s="20"/>
      <c r="D847" s="34"/>
      <c r="E847" s="35" t="s">
        <v>637</v>
      </c>
      <c r="F847" s="23" t="s">
        <v>566</v>
      </c>
      <c r="G847" s="23"/>
      <c r="H847" s="23"/>
      <c r="I847" s="23"/>
      <c r="J847" s="23"/>
      <c r="K847" s="23"/>
      <c r="L847" s="23"/>
      <c r="M847" s="23"/>
      <c r="N847" s="23"/>
    </row>
    <row r="848" customFormat="1" ht="90" customHeight="1" spans="1:14">
      <c r="A848" t="str">
        <f t="shared" si="27"/>
        <v>10月14日上午</v>
      </c>
      <c r="B848" s="20"/>
      <c r="C848" s="20"/>
      <c r="D848" s="34"/>
      <c r="E848" s="34"/>
      <c r="F848" s="23" t="s">
        <v>566</v>
      </c>
      <c r="G848" s="23"/>
      <c r="H848" s="23"/>
      <c r="I848" s="23"/>
      <c r="J848" s="23"/>
      <c r="K848" s="23"/>
      <c r="L848" s="23"/>
      <c r="M848" s="23"/>
      <c r="N848" s="23"/>
    </row>
    <row r="849" spans="1:14">
      <c r="A849" t="str">
        <f t="shared" si="27"/>
        <v/>
      </c>
    </row>
    <row r="850" customFormat="1" spans="1:14">
      <c r="A850" t="str">
        <f t="shared" si="27"/>
        <v>SKU</v>
      </c>
      <c r="B850" s="12" t="s">
        <v>240</v>
      </c>
      <c r="C850" s="12" t="s">
        <v>611</v>
      </c>
      <c r="D850" s="12" t="s">
        <v>612</v>
      </c>
      <c r="E850" s="12" t="s">
        <v>613</v>
      </c>
      <c r="F850" s="12"/>
      <c r="G850" s="13" t="s">
        <v>614</v>
      </c>
      <c r="H850" s="14"/>
      <c r="I850" s="14"/>
      <c r="J850" s="14"/>
      <c r="K850" s="14"/>
      <c r="L850" s="14"/>
      <c r="M850" s="14"/>
      <c r="N850" s="15"/>
    </row>
    <row r="851" customFormat="1" spans="1:14">
      <c r="A851" t="str">
        <f t="shared" si="27"/>
        <v/>
      </c>
      <c r="B851" s="12"/>
      <c r="C851" s="12"/>
      <c r="D851" s="12"/>
      <c r="E851" s="12"/>
      <c r="F851" s="16"/>
      <c r="G851" s="17" t="s">
        <v>483</v>
      </c>
      <c r="H851" s="17"/>
      <c r="I851" s="17" t="s">
        <v>484</v>
      </c>
      <c r="J851" s="17"/>
      <c r="K851" s="17" t="s">
        <v>485</v>
      </c>
      <c r="L851" s="17"/>
      <c r="M851" s="17" t="s">
        <v>486</v>
      </c>
      <c r="N851" s="17"/>
    </row>
    <row r="852" customFormat="1" spans="1:14">
      <c r="A852" t="str">
        <f t="shared" si="27"/>
        <v>日期</v>
      </c>
      <c r="B852" s="18"/>
      <c r="C852" s="18"/>
      <c r="D852" s="18"/>
      <c r="E852" s="18"/>
      <c r="F852" s="19" t="s">
        <v>277</v>
      </c>
      <c r="G852" s="17" t="s">
        <v>487</v>
      </c>
      <c r="H852" s="17" t="s">
        <v>488</v>
      </c>
      <c r="I852" s="17" t="s">
        <v>487</v>
      </c>
      <c r="J852" s="17" t="s">
        <v>488</v>
      </c>
      <c r="K852" s="17" t="s">
        <v>487</v>
      </c>
      <c r="L852" s="17" t="s">
        <v>488</v>
      </c>
      <c r="M852" s="17" t="s">
        <v>487</v>
      </c>
      <c r="N852" s="17" t="s">
        <v>488</v>
      </c>
    </row>
    <row r="853" customFormat="1" ht="90" customHeight="1" spans="1:14">
      <c r="A853" t="str">
        <f t="shared" si="27"/>
        <v>XXXX-11110月14日晚上</v>
      </c>
      <c r="B853" s="20"/>
      <c r="C853" s="21"/>
      <c r="D853" s="34"/>
      <c r="E853" s="34" t="s">
        <v>5</v>
      </c>
      <c r="F853" s="23" t="s">
        <v>567</v>
      </c>
      <c r="G853" s="23"/>
      <c r="H853" s="23" t="s">
        <v>838</v>
      </c>
      <c r="I853" s="23"/>
      <c r="J853" s="23"/>
      <c r="K853" s="23"/>
      <c r="L853" s="23" t="s">
        <v>638</v>
      </c>
      <c r="M853" s="23"/>
      <c r="N853" s="23"/>
    </row>
    <row r="854" customFormat="1" ht="90" customHeight="1" spans="1:14">
      <c r="A854" t="str">
        <f t="shared" si="27"/>
        <v>XXXX-22210月14日晚上</v>
      </c>
      <c r="B854" s="20"/>
      <c r="C854" s="24"/>
      <c r="D854" s="22"/>
      <c r="E854" s="22" t="s">
        <v>261</v>
      </c>
      <c r="F854" s="23" t="s">
        <v>567</v>
      </c>
      <c r="G854" s="23"/>
      <c r="H854" s="23"/>
      <c r="I854" s="23"/>
      <c r="J854" s="23" t="s">
        <v>854</v>
      </c>
      <c r="K854" s="23"/>
      <c r="L854" s="23"/>
      <c r="M854" s="23"/>
      <c r="N854" s="23"/>
    </row>
    <row r="855" customFormat="1" ht="90" customHeight="1" spans="1:14">
      <c r="A855" t="str">
        <f t="shared" si="27"/>
        <v>10月14日晚上</v>
      </c>
      <c r="B855" s="20"/>
      <c r="C855" s="26"/>
      <c r="D855" s="34"/>
      <c r="E855" s="34"/>
      <c r="F855" s="23" t="s">
        <v>567</v>
      </c>
      <c r="G855" s="23"/>
      <c r="H855" s="36" t="s">
        <v>654</v>
      </c>
      <c r="I855" s="23"/>
      <c r="J855" s="23"/>
      <c r="K855" s="23"/>
      <c r="L855" s="23" t="s">
        <v>775</v>
      </c>
      <c r="M855" s="23"/>
      <c r="N855" s="23"/>
    </row>
    <row r="856" customFormat="1" ht="90" customHeight="1" spans="1:14">
      <c r="A856" t="str">
        <f t="shared" si="27"/>
        <v>10月14日晚上</v>
      </c>
      <c r="B856" s="20"/>
      <c r="C856" s="21"/>
      <c r="D856" s="22"/>
      <c r="E856" s="22"/>
      <c r="F856" s="23" t="s">
        <v>567</v>
      </c>
      <c r="G856" s="23"/>
      <c r="I856" s="23"/>
      <c r="J856" s="23" t="s">
        <v>647</v>
      </c>
      <c r="K856" s="23"/>
      <c r="L856" s="23"/>
      <c r="M856" s="23"/>
      <c r="N856" s="23"/>
    </row>
    <row r="857" customFormat="1" ht="90" customHeight="1" spans="1:14">
      <c r="A857" t="str">
        <f t="shared" si="27"/>
        <v>10月14日晚上</v>
      </c>
      <c r="B857" s="20"/>
      <c r="C857" s="26"/>
      <c r="D857" s="34"/>
      <c r="E857" s="34"/>
      <c r="F857" s="23" t="s">
        <v>567</v>
      </c>
      <c r="G857" s="23"/>
      <c r="H857" s="23"/>
      <c r="I857" s="23"/>
      <c r="J857" s="23"/>
      <c r="K857" s="36"/>
      <c r="L857" s="23"/>
      <c r="M857" s="23"/>
      <c r="N857" s="23"/>
    </row>
    <row r="858" customFormat="1" ht="90" customHeight="1" spans="1:14">
      <c r="A858" t="str">
        <f t="shared" si="27"/>
        <v> 
10月14日晚上</v>
      </c>
      <c r="B858" s="20"/>
      <c r="C858" s="20"/>
      <c r="D858" s="34"/>
      <c r="E858" s="35" t="s">
        <v>637</v>
      </c>
      <c r="F858" s="23" t="s">
        <v>567</v>
      </c>
      <c r="G858" s="23"/>
      <c r="H858" s="23"/>
      <c r="I858" s="23"/>
      <c r="J858" s="23"/>
      <c r="K858" s="23"/>
      <c r="L858" s="23"/>
      <c r="M858" s="23"/>
      <c r="N858" s="23"/>
    </row>
    <row r="859" customFormat="1" ht="90" customHeight="1" spans="1:14">
      <c r="A859" t="str">
        <f t="shared" si="27"/>
        <v>10月14日晚上</v>
      </c>
      <c r="B859" s="20"/>
      <c r="C859" s="20"/>
      <c r="D859" s="34"/>
      <c r="E859" s="34"/>
      <c r="F859" s="23" t="s">
        <v>567</v>
      </c>
      <c r="G859" s="23"/>
      <c r="H859" s="23"/>
      <c r="I859" s="23"/>
      <c r="J859" s="23"/>
      <c r="K859" s="23"/>
      <c r="L859" s="23"/>
      <c r="M859" s="23"/>
      <c r="N859" s="23" t="s">
        <v>855</v>
      </c>
    </row>
    <row r="860" spans="1:14">
      <c r="A860" t="str">
        <f t="shared" si="27"/>
        <v/>
      </c>
    </row>
    <row r="861" customFormat="1" spans="1:14">
      <c r="A861" t="str">
        <f t="shared" si="27"/>
        <v>SKU</v>
      </c>
      <c r="B861" s="12" t="s">
        <v>240</v>
      </c>
      <c r="C861" s="12" t="s">
        <v>611</v>
      </c>
      <c r="D861" s="12" t="s">
        <v>612</v>
      </c>
      <c r="E861" s="12" t="s">
        <v>613</v>
      </c>
      <c r="F861" s="12"/>
      <c r="G861" s="13" t="s">
        <v>614</v>
      </c>
      <c r="H861" s="14"/>
      <c r="I861" s="14"/>
      <c r="J861" s="14"/>
      <c r="K861" s="14"/>
      <c r="L861" s="14"/>
      <c r="M861" s="14"/>
      <c r="N861" s="15"/>
    </row>
    <row r="862" customFormat="1" spans="1:14">
      <c r="A862" t="str">
        <f t="shared" si="27"/>
        <v/>
      </c>
      <c r="B862" s="12"/>
      <c r="C862" s="12"/>
      <c r="D862" s="12"/>
      <c r="E862" s="12"/>
      <c r="F862" s="16"/>
      <c r="G862" s="17" t="s">
        <v>483</v>
      </c>
      <c r="H862" s="17"/>
      <c r="I862" s="17" t="s">
        <v>484</v>
      </c>
      <c r="J862" s="17"/>
      <c r="K862" s="17" t="s">
        <v>485</v>
      </c>
      <c r="L862" s="17"/>
      <c r="M862" s="17" t="s">
        <v>486</v>
      </c>
      <c r="N862" s="17"/>
    </row>
    <row r="863" customFormat="1" spans="1:14">
      <c r="A863" t="str">
        <f t="shared" si="27"/>
        <v>日期</v>
      </c>
      <c r="B863" s="18"/>
      <c r="C863" s="18"/>
      <c r="D863" s="18"/>
      <c r="E863" s="18"/>
      <c r="F863" s="19" t="s">
        <v>277</v>
      </c>
      <c r="G863" s="17" t="s">
        <v>487</v>
      </c>
      <c r="H863" s="17" t="s">
        <v>488</v>
      </c>
      <c r="I863" s="17" t="s">
        <v>487</v>
      </c>
      <c r="J863" s="17" t="s">
        <v>488</v>
      </c>
      <c r="K863" s="17" t="s">
        <v>487</v>
      </c>
      <c r="L863" s="17" t="s">
        <v>488</v>
      </c>
      <c r="M863" s="17" t="s">
        <v>487</v>
      </c>
      <c r="N863" s="17" t="s">
        <v>488</v>
      </c>
    </row>
    <row r="864" customFormat="1" ht="90" customHeight="1" spans="1:14">
      <c r="A864" t="str">
        <f t="shared" si="27"/>
        <v>XXXX-11110月15日上午</v>
      </c>
      <c r="B864" s="20"/>
      <c r="C864" s="21"/>
      <c r="D864" s="34"/>
      <c r="E864" s="34" t="s">
        <v>5</v>
      </c>
      <c r="F864" s="23" t="s">
        <v>568</v>
      </c>
      <c r="G864" s="23"/>
      <c r="H864" s="23"/>
      <c r="I864" s="23"/>
      <c r="J864" s="23"/>
      <c r="K864" s="23"/>
      <c r="L864" s="23" t="s">
        <v>781</v>
      </c>
      <c r="M864" s="23"/>
      <c r="N864" s="23"/>
    </row>
    <row r="865" customFormat="1" ht="90" customHeight="1" spans="1:14">
      <c r="A865" t="str">
        <f t="shared" si="27"/>
        <v>XXXX-22210月15日上午</v>
      </c>
      <c r="B865" s="20"/>
      <c r="C865" s="24"/>
      <c r="D865" s="22"/>
      <c r="E865" s="22" t="s">
        <v>261</v>
      </c>
      <c r="F865" s="23" t="s">
        <v>568</v>
      </c>
      <c r="G865" s="23"/>
      <c r="H865" s="23"/>
      <c r="I865" s="23"/>
      <c r="J865" s="23" t="s">
        <v>856</v>
      </c>
      <c r="K865" s="23" t="s">
        <v>857</v>
      </c>
      <c r="L865" s="23"/>
      <c r="M865" s="23"/>
      <c r="N865" s="23"/>
    </row>
    <row r="866" customFormat="1" ht="90" customHeight="1" spans="1:14">
      <c r="A866" t="str">
        <f t="shared" si="27"/>
        <v>10月15日上午</v>
      </c>
      <c r="B866" s="20"/>
      <c r="C866" s="26"/>
      <c r="D866" s="34"/>
      <c r="E866" s="34"/>
      <c r="F866" s="23" t="s">
        <v>568</v>
      </c>
      <c r="G866" s="23"/>
      <c r="H866" s="23" t="s">
        <v>708</v>
      </c>
      <c r="I866" s="23"/>
      <c r="J866" s="23" t="s">
        <v>858</v>
      </c>
      <c r="K866" s="23"/>
      <c r="L866" s="23" t="s">
        <v>754</v>
      </c>
      <c r="M866" s="23"/>
      <c r="N866" s="23"/>
    </row>
    <row r="867" customFormat="1" ht="90" customHeight="1" spans="1:14">
      <c r="A867" t="str">
        <f t="shared" si="27"/>
        <v>10月15日上午</v>
      </c>
      <c r="B867" s="20"/>
      <c r="C867" s="21"/>
      <c r="D867" s="22"/>
      <c r="E867" s="22"/>
      <c r="F867" s="23" t="s">
        <v>568</v>
      </c>
      <c r="G867" s="23"/>
      <c r="I867" s="23"/>
      <c r="J867" s="23" t="s">
        <v>675</v>
      </c>
      <c r="K867" s="23"/>
      <c r="L867" s="23"/>
      <c r="M867" s="23"/>
      <c r="N867" s="23"/>
    </row>
    <row r="868" customFormat="1" ht="90" customHeight="1" spans="1:14">
      <c r="A868" t="str">
        <f t="shared" si="27"/>
        <v>10月15日上午</v>
      </c>
      <c r="B868" s="20"/>
      <c r="C868" s="26"/>
      <c r="D868" s="34"/>
      <c r="E868" s="34"/>
      <c r="F868" s="23" t="s">
        <v>568</v>
      </c>
      <c r="G868" s="23"/>
      <c r="H868" s="23"/>
      <c r="I868" s="23"/>
      <c r="J868" s="23"/>
      <c r="K868" s="36"/>
      <c r="L868" s="23"/>
      <c r="M868" s="23"/>
      <c r="N868" s="23"/>
    </row>
    <row r="869" customFormat="1" ht="90" customHeight="1" spans="1:14">
      <c r="A869" t="str">
        <f t="shared" si="27"/>
        <v> 
10月15日上午</v>
      </c>
      <c r="B869" s="20"/>
      <c r="C869" s="20"/>
      <c r="D869" s="34"/>
      <c r="E869" s="35" t="s">
        <v>637</v>
      </c>
      <c r="F869" s="23" t="s">
        <v>568</v>
      </c>
      <c r="G869" s="23" t="s">
        <v>694</v>
      </c>
      <c r="H869" s="23"/>
      <c r="I869" s="23"/>
      <c r="J869" s="23"/>
      <c r="K869" s="23"/>
      <c r="L869" s="23"/>
      <c r="M869" s="23"/>
      <c r="N869" s="23" t="s">
        <v>859</v>
      </c>
    </row>
    <row r="870" customFormat="1" ht="90" customHeight="1" spans="1:14">
      <c r="A870" t="str">
        <f t="shared" si="27"/>
        <v>10月15日上午</v>
      </c>
      <c r="B870" s="20"/>
      <c r="C870" s="20"/>
      <c r="D870" s="34"/>
      <c r="E870" s="34"/>
      <c r="F870" s="23" t="s">
        <v>568</v>
      </c>
      <c r="G870" s="23"/>
      <c r="H870" s="23"/>
      <c r="I870" s="23"/>
      <c r="J870" s="23"/>
      <c r="K870" s="23"/>
      <c r="L870" s="23"/>
      <c r="M870" s="23"/>
      <c r="N870" s="23"/>
    </row>
  </sheetData>
  <sheetProtection formatCells="0" insertHyperlinks="0" autoFilter="0"/>
  <mergeCells count="933">
    <mergeCell ref="G1:N1"/>
    <mergeCell ref="G2:H2"/>
    <mergeCell ref="I2:J2"/>
    <mergeCell ref="K2:L2"/>
    <mergeCell ref="M2:N2"/>
    <mergeCell ref="G11:N11"/>
    <mergeCell ref="G12:H12"/>
    <mergeCell ref="I12:J12"/>
    <mergeCell ref="K12:L12"/>
    <mergeCell ref="M12:N12"/>
    <mergeCell ref="G24:N24"/>
    <mergeCell ref="G25:H25"/>
    <mergeCell ref="I25:J25"/>
    <mergeCell ref="K25:L25"/>
    <mergeCell ref="M25:N25"/>
    <mergeCell ref="G34:H34"/>
    <mergeCell ref="I34:J34"/>
    <mergeCell ref="K34:L34"/>
    <mergeCell ref="M34:N34"/>
    <mergeCell ref="G44:N44"/>
    <mergeCell ref="G45:H45"/>
    <mergeCell ref="I45:J45"/>
    <mergeCell ref="K45:L45"/>
    <mergeCell ref="M45:N45"/>
    <mergeCell ref="G55:N55"/>
    <mergeCell ref="G56:H56"/>
    <mergeCell ref="I56:J56"/>
    <mergeCell ref="K56:L56"/>
    <mergeCell ref="M56:N56"/>
    <mergeCell ref="G67:N67"/>
    <mergeCell ref="G68:H68"/>
    <mergeCell ref="I68:J68"/>
    <mergeCell ref="K68:L68"/>
    <mergeCell ref="M68:N68"/>
    <mergeCell ref="G78:N78"/>
    <mergeCell ref="G79:H79"/>
    <mergeCell ref="I79:J79"/>
    <mergeCell ref="K79:L79"/>
    <mergeCell ref="M79:N79"/>
    <mergeCell ref="G89:N89"/>
    <mergeCell ref="G90:H90"/>
    <mergeCell ref="I90:J90"/>
    <mergeCell ref="K90:L90"/>
    <mergeCell ref="M90:N90"/>
    <mergeCell ref="G100:N100"/>
    <mergeCell ref="G101:H101"/>
    <mergeCell ref="I101:J101"/>
    <mergeCell ref="K101:L101"/>
    <mergeCell ref="M101:N101"/>
    <mergeCell ref="G112:N112"/>
    <mergeCell ref="G113:H113"/>
    <mergeCell ref="I113:J113"/>
    <mergeCell ref="K113:L113"/>
    <mergeCell ref="M113:N113"/>
    <mergeCell ref="G123:N123"/>
    <mergeCell ref="G124:H124"/>
    <mergeCell ref="I124:J124"/>
    <mergeCell ref="K124:L124"/>
    <mergeCell ref="M124:N124"/>
    <mergeCell ref="G134:N134"/>
    <mergeCell ref="G135:H135"/>
    <mergeCell ref="I135:J135"/>
    <mergeCell ref="K135:L135"/>
    <mergeCell ref="M135:N135"/>
    <mergeCell ref="G145:N145"/>
    <mergeCell ref="G146:H146"/>
    <mergeCell ref="I146:J146"/>
    <mergeCell ref="K146:L146"/>
    <mergeCell ref="M146:N146"/>
    <mergeCell ref="G156:N156"/>
    <mergeCell ref="G157:H157"/>
    <mergeCell ref="I157:J157"/>
    <mergeCell ref="K157:L157"/>
    <mergeCell ref="M157:N157"/>
    <mergeCell ref="G167:N167"/>
    <mergeCell ref="G168:H168"/>
    <mergeCell ref="I168:J168"/>
    <mergeCell ref="K168:L168"/>
    <mergeCell ref="M168:N168"/>
    <mergeCell ref="G178:N178"/>
    <mergeCell ref="G179:H179"/>
    <mergeCell ref="I179:J179"/>
    <mergeCell ref="K179:L179"/>
    <mergeCell ref="M179:N179"/>
    <mergeCell ref="G189:N189"/>
    <mergeCell ref="G190:H190"/>
    <mergeCell ref="I190:J190"/>
    <mergeCell ref="K190:L190"/>
    <mergeCell ref="M190:N190"/>
    <mergeCell ref="G200:N200"/>
    <mergeCell ref="G201:H201"/>
    <mergeCell ref="I201:J201"/>
    <mergeCell ref="K201:L201"/>
    <mergeCell ref="M201:N201"/>
    <mergeCell ref="G211:N211"/>
    <mergeCell ref="G212:H212"/>
    <mergeCell ref="I212:J212"/>
    <mergeCell ref="K212:L212"/>
    <mergeCell ref="M212:N212"/>
    <mergeCell ref="G222:N222"/>
    <mergeCell ref="G223:H223"/>
    <mergeCell ref="I223:J223"/>
    <mergeCell ref="K223:L223"/>
    <mergeCell ref="M223:N223"/>
    <mergeCell ref="G233:N233"/>
    <mergeCell ref="G234:H234"/>
    <mergeCell ref="I234:J234"/>
    <mergeCell ref="K234:L234"/>
    <mergeCell ref="M234:N234"/>
    <mergeCell ref="G244:N244"/>
    <mergeCell ref="G245:H245"/>
    <mergeCell ref="I245:J245"/>
    <mergeCell ref="K245:L245"/>
    <mergeCell ref="M245:N245"/>
    <mergeCell ref="G255:N255"/>
    <mergeCell ref="G256:H256"/>
    <mergeCell ref="I256:J256"/>
    <mergeCell ref="K256:L256"/>
    <mergeCell ref="M256:N256"/>
    <mergeCell ref="G266:N266"/>
    <mergeCell ref="G267:H267"/>
    <mergeCell ref="I267:J267"/>
    <mergeCell ref="K267:L267"/>
    <mergeCell ref="M267:N267"/>
    <mergeCell ref="G277:N277"/>
    <mergeCell ref="G278:H278"/>
    <mergeCell ref="I278:J278"/>
    <mergeCell ref="K278:L278"/>
    <mergeCell ref="M278:N278"/>
    <mergeCell ref="G288:N288"/>
    <mergeCell ref="G289:H289"/>
    <mergeCell ref="I289:J289"/>
    <mergeCell ref="K289:L289"/>
    <mergeCell ref="M289:N289"/>
    <mergeCell ref="G299:N299"/>
    <mergeCell ref="G300:H300"/>
    <mergeCell ref="I300:J300"/>
    <mergeCell ref="K300:L300"/>
    <mergeCell ref="M300:N300"/>
    <mergeCell ref="G310:N310"/>
    <mergeCell ref="G311:H311"/>
    <mergeCell ref="I311:J311"/>
    <mergeCell ref="K311:L311"/>
    <mergeCell ref="M311:N311"/>
    <mergeCell ref="G321:N321"/>
    <mergeCell ref="G322:H322"/>
    <mergeCell ref="I322:J322"/>
    <mergeCell ref="K322:L322"/>
    <mergeCell ref="M322:N322"/>
    <mergeCell ref="G332:N332"/>
    <mergeCell ref="G333:H333"/>
    <mergeCell ref="I333:J333"/>
    <mergeCell ref="K333:L333"/>
    <mergeCell ref="M333:N333"/>
    <mergeCell ref="G343:N343"/>
    <mergeCell ref="G344:H344"/>
    <mergeCell ref="I344:J344"/>
    <mergeCell ref="K344:L344"/>
    <mergeCell ref="M344:N344"/>
    <mergeCell ref="G354:N354"/>
    <mergeCell ref="G355:H355"/>
    <mergeCell ref="I355:J355"/>
    <mergeCell ref="K355:L355"/>
    <mergeCell ref="M355:N355"/>
    <mergeCell ref="G365:N365"/>
    <mergeCell ref="G366:H366"/>
    <mergeCell ref="I366:J366"/>
    <mergeCell ref="K366:L366"/>
    <mergeCell ref="M366:N366"/>
    <mergeCell ref="G376:N376"/>
    <mergeCell ref="G377:H377"/>
    <mergeCell ref="I377:J377"/>
    <mergeCell ref="K377:L377"/>
    <mergeCell ref="M377:N377"/>
    <mergeCell ref="G387:N387"/>
    <mergeCell ref="G388:H388"/>
    <mergeCell ref="I388:J388"/>
    <mergeCell ref="K388:L388"/>
    <mergeCell ref="M388:N388"/>
    <mergeCell ref="G398:N398"/>
    <mergeCell ref="G399:H399"/>
    <mergeCell ref="I399:J399"/>
    <mergeCell ref="K399:L399"/>
    <mergeCell ref="M399:N399"/>
    <mergeCell ref="G409:N409"/>
    <mergeCell ref="G410:H410"/>
    <mergeCell ref="I410:J410"/>
    <mergeCell ref="K410:L410"/>
    <mergeCell ref="M410:N410"/>
    <mergeCell ref="G420:N420"/>
    <mergeCell ref="G421:H421"/>
    <mergeCell ref="I421:J421"/>
    <mergeCell ref="K421:L421"/>
    <mergeCell ref="M421:N421"/>
    <mergeCell ref="G431:N431"/>
    <mergeCell ref="G432:H432"/>
    <mergeCell ref="I432:J432"/>
    <mergeCell ref="K432:L432"/>
    <mergeCell ref="M432:N432"/>
    <mergeCell ref="G442:N442"/>
    <mergeCell ref="G443:H443"/>
    <mergeCell ref="I443:J443"/>
    <mergeCell ref="K443:L443"/>
    <mergeCell ref="M443:N443"/>
    <mergeCell ref="G453:N453"/>
    <mergeCell ref="G454:H454"/>
    <mergeCell ref="I454:J454"/>
    <mergeCell ref="K454:L454"/>
    <mergeCell ref="M454:N454"/>
    <mergeCell ref="G464:N464"/>
    <mergeCell ref="G465:H465"/>
    <mergeCell ref="I465:J465"/>
    <mergeCell ref="K465:L465"/>
    <mergeCell ref="M465:N465"/>
    <mergeCell ref="G475:N475"/>
    <mergeCell ref="G476:H476"/>
    <mergeCell ref="I476:J476"/>
    <mergeCell ref="K476:L476"/>
    <mergeCell ref="M476:N476"/>
    <mergeCell ref="G487:N487"/>
    <mergeCell ref="G488:H488"/>
    <mergeCell ref="I488:J488"/>
    <mergeCell ref="K488:L488"/>
    <mergeCell ref="M488:N488"/>
    <mergeCell ref="G498:N498"/>
    <mergeCell ref="G499:H499"/>
    <mergeCell ref="I499:J499"/>
    <mergeCell ref="K499:L499"/>
    <mergeCell ref="M499:N499"/>
    <mergeCell ref="G509:N509"/>
    <mergeCell ref="G510:H510"/>
    <mergeCell ref="I510:J510"/>
    <mergeCell ref="K510:L510"/>
    <mergeCell ref="M510:N510"/>
    <mergeCell ref="G520:N520"/>
    <mergeCell ref="G521:H521"/>
    <mergeCell ref="I521:J521"/>
    <mergeCell ref="K521:L521"/>
    <mergeCell ref="M521:N521"/>
    <mergeCell ref="G531:N531"/>
    <mergeCell ref="G532:H532"/>
    <mergeCell ref="I532:J532"/>
    <mergeCell ref="K532:L532"/>
    <mergeCell ref="M532:N532"/>
    <mergeCell ref="G542:N542"/>
    <mergeCell ref="G543:H543"/>
    <mergeCell ref="I543:J543"/>
    <mergeCell ref="K543:L543"/>
    <mergeCell ref="M543:N543"/>
    <mergeCell ref="G553:N553"/>
    <mergeCell ref="G554:H554"/>
    <mergeCell ref="I554:J554"/>
    <mergeCell ref="K554:L554"/>
    <mergeCell ref="M554:N554"/>
    <mergeCell ref="G564:N564"/>
    <mergeCell ref="G565:H565"/>
    <mergeCell ref="I565:J565"/>
    <mergeCell ref="K565:L565"/>
    <mergeCell ref="M565:N565"/>
    <mergeCell ref="G575:N575"/>
    <mergeCell ref="G576:H576"/>
    <mergeCell ref="I576:J576"/>
    <mergeCell ref="K576:L576"/>
    <mergeCell ref="M576:N576"/>
    <mergeCell ref="G586:N586"/>
    <mergeCell ref="G587:H587"/>
    <mergeCell ref="I587:J587"/>
    <mergeCell ref="K587:L587"/>
    <mergeCell ref="M587:N587"/>
    <mergeCell ref="G597:N597"/>
    <mergeCell ref="G598:H598"/>
    <mergeCell ref="I598:J598"/>
    <mergeCell ref="K598:L598"/>
    <mergeCell ref="M598:N598"/>
    <mergeCell ref="G608:N608"/>
    <mergeCell ref="G609:H609"/>
    <mergeCell ref="I609:J609"/>
    <mergeCell ref="K609:L609"/>
    <mergeCell ref="M609:N609"/>
    <mergeCell ref="G619:N619"/>
    <mergeCell ref="G620:H620"/>
    <mergeCell ref="I620:J620"/>
    <mergeCell ref="K620:L620"/>
    <mergeCell ref="M620:N620"/>
    <mergeCell ref="G630:N630"/>
    <mergeCell ref="G631:H631"/>
    <mergeCell ref="I631:J631"/>
    <mergeCell ref="K631:L631"/>
    <mergeCell ref="M631:N631"/>
    <mergeCell ref="G641:N641"/>
    <mergeCell ref="G642:H642"/>
    <mergeCell ref="I642:J642"/>
    <mergeCell ref="K642:L642"/>
    <mergeCell ref="M642:N642"/>
    <mergeCell ref="G652:N652"/>
    <mergeCell ref="G653:H653"/>
    <mergeCell ref="I653:J653"/>
    <mergeCell ref="K653:L653"/>
    <mergeCell ref="M653:N653"/>
    <mergeCell ref="G663:N663"/>
    <mergeCell ref="G664:H664"/>
    <mergeCell ref="I664:J664"/>
    <mergeCell ref="K664:L664"/>
    <mergeCell ref="M664:N664"/>
    <mergeCell ref="G674:N674"/>
    <mergeCell ref="G675:H675"/>
    <mergeCell ref="I675:J675"/>
    <mergeCell ref="K675:L675"/>
    <mergeCell ref="M675:N675"/>
    <mergeCell ref="G685:N685"/>
    <mergeCell ref="G686:H686"/>
    <mergeCell ref="I686:J686"/>
    <mergeCell ref="K686:L686"/>
    <mergeCell ref="M686:N686"/>
    <mergeCell ref="G696:N696"/>
    <mergeCell ref="G697:H697"/>
    <mergeCell ref="I697:J697"/>
    <mergeCell ref="K697:L697"/>
    <mergeCell ref="M697:N697"/>
    <mergeCell ref="G707:N707"/>
    <mergeCell ref="G708:H708"/>
    <mergeCell ref="I708:J708"/>
    <mergeCell ref="K708:L708"/>
    <mergeCell ref="M708:N708"/>
    <mergeCell ref="G718:N718"/>
    <mergeCell ref="G719:H719"/>
    <mergeCell ref="I719:J719"/>
    <mergeCell ref="K719:L719"/>
    <mergeCell ref="M719:N719"/>
    <mergeCell ref="G729:N729"/>
    <mergeCell ref="G730:H730"/>
    <mergeCell ref="I730:J730"/>
    <mergeCell ref="K730:L730"/>
    <mergeCell ref="M730:N730"/>
    <mergeCell ref="G740:N740"/>
    <mergeCell ref="G741:H741"/>
    <mergeCell ref="I741:J741"/>
    <mergeCell ref="K741:L741"/>
    <mergeCell ref="M741:N741"/>
    <mergeCell ref="G751:N751"/>
    <mergeCell ref="G752:H752"/>
    <mergeCell ref="I752:J752"/>
    <mergeCell ref="K752:L752"/>
    <mergeCell ref="M752:N752"/>
    <mergeCell ref="G762:N762"/>
    <mergeCell ref="G763:H763"/>
    <mergeCell ref="I763:J763"/>
    <mergeCell ref="K763:L763"/>
    <mergeCell ref="M763:N763"/>
    <mergeCell ref="G773:N773"/>
    <mergeCell ref="G774:H774"/>
    <mergeCell ref="I774:J774"/>
    <mergeCell ref="K774:L774"/>
    <mergeCell ref="M774:N774"/>
    <mergeCell ref="G784:N784"/>
    <mergeCell ref="G785:H785"/>
    <mergeCell ref="I785:J785"/>
    <mergeCell ref="K785:L785"/>
    <mergeCell ref="M785:N785"/>
    <mergeCell ref="G795:N795"/>
    <mergeCell ref="G796:H796"/>
    <mergeCell ref="I796:J796"/>
    <mergeCell ref="K796:L796"/>
    <mergeCell ref="M796:N796"/>
    <mergeCell ref="G806:N806"/>
    <mergeCell ref="G807:H807"/>
    <mergeCell ref="I807:J807"/>
    <mergeCell ref="K807:L807"/>
    <mergeCell ref="M807:N807"/>
    <mergeCell ref="G817:N817"/>
    <mergeCell ref="G818:H818"/>
    <mergeCell ref="I818:J818"/>
    <mergeCell ref="K818:L818"/>
    <mergeCell ref="M818:N818"/>
    <mergeCell ref="G828:N828"/>
    <mergeCell ref="G829:H829"/>
    <mergeCell ref="I829:J829"/>
    <mergeCell ref="K829:L829"/>
    <mergeCell ref="M829:N829"/>
    <mergeCell ref="G839:N839"/>
    <mergeCell ref="G840:H840"/>
    <mergeCell ref="I840:J840"/>
    <mergeCell ref="K840:L840"/>
    <mergeCell ref="M840:N840"/>
    <mergeCell ref="G850:N850"/>
    <mergeCell ref="G851:H851"/>
    <mergeCell ref="I851:J851"/>
    <mergeCell ref="K851:L851"/>
    <mergeCell ref="M851:N851"/>
    <mergeCell ref="G861:N861"/>
    <mergeCell ref="G862:H862"/>
    <mergeCell ref="I862:J862"/>
    <mergeCell ref="K862:L862"/>
    <mergeCell ref="M862:N862"/>
    <mergeCell ref="B1:B3"/>
    <mergeCell ref="B4:B10"/>
    <mergeCell ref="B24:B26"/>
    <mergeCell ref="B27:B33"/>
    <mergeCell ref="B44:B46"/>
    <mergeCell ref="B47:B53"/>
    <mergeCell ref="B55:B57"/>
    <mergeCell ref="B58:B64"/>
    <mergeCell ref="B67:B69"/>
    <mergeCell ref="B70:B76"/>
    <mergeCell ref="B78:B80"/>
    <mergeCell ref="B81:B87"/>
    <mergeCell ref="B89:B91"/>
    <mergeCell ref="B92:B98"/>
    <mergeCell ref="B100:B102"/>
    <mergeCell ref="B103:B109"/>
    <mergeCell ref="B112:B114"/>
    <mergeCell ref="B115:B121"/>
    <mergeCell ref="B123:B125"/>
    <mergeCell ref="B126:B132"/>
    <mergeCell ref="B134:B136"/>
    <mergeCell ref="B137:B143"/>
    <mergeCell ref="B145:B147"/>
    <mergeCell ref="B148:B154"/>
    <mergeCell ref="B156:B158"/>
    <mergeCell ref="B159:B165"/>
    <mergeCell ref="B167:B169"/>
    <mergeCell ref="B170:B176"/>
    <mergeCell ref="B178:B180"/>
    <mergeCell ref="B181:B187"/>
    <mergeCell ref="B189:B191"/>
    <mergeCell ref="B192:B198"/>
    <mergeCell ref="B200:B202"/>
    <mergeCell ref="B203:B209"/>
    <mergeCell ref="B211:B213"/>
    <mergeCell ref="B214:B220"/>
    <mergeCell ref="B222:B224"/>
    <mergeCell ref="B225:B231"/>
    <mergeCell ref="B233:B235"/>
    <mergeCell ref="B236:B242"/>
    <mergeCell ref="B244:B246"/>
    <mergeCell ref="B247:B253"/>
    <mergeCell ref="B255:B257"/>
    <mergeCell ref="B258:B264"/>
    <mergeCell ref="B266:B268"/>
    <mergeCell ref="B269:B275"/>
    <mergeCell ref="B277:B279"/>
    <mergeCell ref="B280:B286"/>
    <mergeCell ref="B288:B290"/>
    <mergeCell ref="B291:B297"/>
    <mergeCell ref="B299:B301"/>
    <mergeCell ref="B302:B308"/>
    <mergeCell ref="B310:B312"/>
    <mergeCell ref="B313:B319"/>
    <mergeCell ref="B321:B323"/>
    <mergeCell ref="B324:B330"/>
    <mergeCell ref="B332:B334"/>
    <mergeCell ref="B335:B341"/>
    <mergeCell ref="B343:B345"/>
    <mergeCell ref="B346:B352"/>
    <mergeCell ref="B354:B356"/>
    <mergeCell ref="B357:B363"/>
    <mergeCell ref="B365:B367"/>
    <mergeCell ref="B368:B374"/>
    <mergeCell ref="B376:B378"/>
    <mergeCell ref="B379:B385"/>
    <mergeCell ref="B387:B389"/>
    <mergeCell ref="B390:B396"/>
    <mergeCell ref="B398:B400"/>
    <mergeCell ref="B401:B407"/>
    <mergeCell ref="B409:B411"/>
    <mergeCell ref="B412:B418"/>
    <mergeCell ref="B420:B422"/>
    <mergeCell ref="B423:B429"/>
    <mergeCell ref="B431:B433"/>
    <mergeCell ref="B434:B440"/>
    <mergeCell ref="B442:B444"/>
    <mergeCell ref="B445:B451"/>
    <mergeCell ref="B453:B455"/>
    <mergeCell ref="B456:B462"/>
    <mergeCell ref="B464:B466"/>
    <mergeCell ref="B467:B473"/>
    <mergeCell ref="B475:B477"/>
    <mergeCell ref="B478:B484"/>
    <mergeCell ref="B487:B489"/>
    <mergeCell ref="B490:B496"/>
    <mergeCell ref="B498:B500"/>
    <mergeCell ref="B501:B507"/>
    <mergeCell ref="B509:B511"/>
    <mergeCell ref="B512:B518"/>
    <mergeCell ref="B520:B522"/>
    <mergeCell ref="B523:B529"/>
    <mergeCell ref="B531:B533"/>
    <mergeCell ref="B534:B540"/>
    <mergeCell ref="B542:B544"/>
    <mergeCell ref="B545:B551"/>
    <mergeCell ref="B553:B555"/>
    <mergeCell ref="B556:B562"/>
    <mergeCell ref="B564:B566"/>
    <mergeCell ref="B567:B573"/>
    <mergeCell ref="B575:B577"/>
    <mergeCell ref="B578:B584"/>
    <mergeCell ref="B586:B588"/>
    <mergeCell ref="B589:B595"/>
    <mergeCell ref="B597:B599"/>
    <mergeCell ref="B600:B606"/>
    <mergeCell ref="B608:B610"/>
    <mergeCell ref="B611:B617"/>
    <mergeCell ref="B619:B621"/>
    <mergeCell ref="B622:B628"/>
    <mergeCell ref="B630:B632"/>
    <mergeCell ref="B633:B639"/>
    <mergeCell ref="B641:B643"/>
    <mergeCell ref="B644:B650"/>
    <mergeCell ref="B652:B654"/>
    <mergeCell ref="B655:B661"/>
    <mergeCell ref="B663:B665"/>
    <mergeCell ref="B666:B672"/>
    <mergeCell ref="B674:B676"/>
    <mergeCell ref="B677:B683"/>
    <mergeCell ref="B685:B687"/>
    <mergeCell ref="B688:B694"/>
    <mergeCell ref="B696:B698"/>
    <mergeCell ref="B699:B705"/>
    <mergeCell ref="B707:B709"/>
    <mergeCell ref="B710:B716"/>
    <mergeCell ref="B718:B720"/>
    <mergeCell ref="B721:B727"/>
    <mergeCell ref="B729:B731"/>
    <mergeCell ref="B732:B738"/>
    <mergeCell ref="B740:B742"/>
    <mergeCell ref="B743:B749"/>
    <mergeCell ref="B751:B753"/>
    <mergeCell ref="B754:B760"/>
    <mergeCell ref="B762:B764"/>
    <mergeCell ref="B765:B771"/>
    <mergeCell ref="B773:B775"/>
    <mergeCell ref="B776:B782"/>
    <mergeCell ref="B784:B786"/>
    <mergeCell ref="B787:B793"/>
    <mergeCell ref="B795:B797"/>
    <mergeCell ref="B798:B804"/>
    <mergeCell ref="B806:B808"/>
    <mergeCell ref="B809:B815"/>
    <mergeCell ref="B817:B819"/>
    <mergeCell ref="B820:B826"/>
    <mergeCell ref="B828:B830"/>
    <mergeCell ref="B831:B837"/>
    <mergeCell ref="B839:B841"/>
    <mergeCell ref="B842:B848"/>
    <mergeCell ref="B850:B852"/>
    <mergeCell ref="B853:B859"/>
    <mergeCell ref="B861:B863"/>
    <mergeCell ref="B864:B870"/>
    <mergeCell ref="C1:C3"/>
    <mergeCell ref="C4:C6"/>
    <mergeCell ref="C7:C8"/>
    <mergeCell ref="C24:C26"/>
    <mergeCell ref="C27:C29"/>
    <mergeCell ref="C30:C31"/>
    <mergeCell ref="C44:C46"/>
    <mergeCell ref="C47:C49"/>
    <mergeCell ref="C50:C51"/>
    <mergeCell ref="C55:C57"/>
    <mergeCell ref="C58:C60"/>
    <mergeCell ref="C61:C62"/>
    <mergeCell ref="C67:C69"/>
    <mergeCell ref="C70:C72"/>
    <mergeCell ref="C73:C74"/>
    <mergeCell ref="C78:C80"/>
    <mergeCell ref="C81:C83"/>
    <mergeCell ref="C84:C85"/>
    <mergeCell ref="C89:C91"/>
    <mergeCell ref="C92:C94"/>
    <mergeCell ref="C95:C96"/>
    <mergeCell ref="C100:C102"/>
    <mergeCell ref="C103:C105"/>
    <mergeCell ref="C106:C107"/>
    <mergeCell ref="C112:C114"/>
    <mergeCell ref="C115:C117"/>
    <mergeCell ref="C118:C119"/>
    <mergeCell ref="C123:C125"/>
    <mergeCell ref="C126:C128"/>
    <mergeCell ref="C129:C130"/>
    <mergeCell ref="C134:C136"/>
    <mergeCell ref="C137:C139"/>
    <mergeCell ref="C140:C141"/>
    <mergeCell ref="C145:C147"/>
    <mergeCell ref="C148:C150"/>
    <mergeCell ref="C151:C152"/>
    <mergeCell ref="C156:C158"/>
    <mergeCell ref="C159:C161"/>
    <mergeCell ref="C162:C163"/>
    <mergeCell ref="C167:C169"/>
    <mergeCell ref="C170:C172"/>
    <mergeCell ref="C173:C174"/>
    <mergeCell ref="C178:C180"/>
    <mergeCell ref="C181:C183"/>
    <mergeCell ref="C184:C185"/>
    <mergeCell ref="C189:C191"/>
    <mergeCell ref="C192:C194"/>
    <mergeCell ref="C195:C196"/>
    <mergeCell ref="C200:C202"/>
    <mergeCell ref="C203:C205"/>
    <mergeCell ref="C206:C207"/>
    <mergeCell ref="C211:C213"/>
    <mergeCell ref="C214:C216"/>
    <mergeCell ref="C217:C218"/>
    <mergeCell ref="C222:C224"/>
    <mergeCell ref="C225:C227"/>
    <mergeCell ref="C228:C229"/>
    <mergeCell ref="C233:C235"/>
    <mergeCell ref="C236:C238"/>
    <mergeCell ref="C239:C240"/>
    <mergeCell ref="C244:C246"/>
    <mergeCell ref="C247:C249"/>
    <mergeCell ref="C250:C251"/>
    <mergeCell ref="C255:C257"/>
    <mergeCell ref="C258:C260"/>
    <mergeCell ref="C261:C262"/>
    <mergeCell ref="C266:C268"/>
    <mergeCell ref="C269:C271"/>
    <mergeCell ref="C272:C273"/>
    <mergeCell ref="C277:C279"/>
    <mergeCell ref="C280:C282"/>
    <mergeCell ref="C283:C284"/>
    <mergeCell ref="C288:C290"/>
    <mergeCell ref="C291:C293"/>
    <mergeCell ref="C294:C295"/>
    <mergeCell ref="C299:C301"/>
    <mergeCell ref="C302:C304"/>
    <mergeCell ref="C305:C306"/>
    <mergeCell ref="C310:C312"/>
    <mergeCell ref="C313:C315"/>
    <mergeCell ref="C316:C317"/>
    <mergeCell ref="C321:C323"/>
    <mergeCell ref="C324:C326"/>
    <mergeCell ref="C327:C328"/>
    <mergeCell ref="C332:C334"/>
    <mergeCell ref="C335:C337"/>
    <mergeCell ref="C338:C339"/>
    <mergeCell ref="C343:C345"/>
    <mergeCell ref="C346:C348"/>
    <mergeCell ref="C349:C350"/>
    <mergeCell ref="C354:C356"/>
    <mergeCell ref="C357:C359"/>
    <mergeCell ref="C360:C361"/>
    <mergeCell ref="C365:C367"/>
    <mergeCell ref="C368:C370"/>
    <mergeCell ref="C371:C372"/>
    <mergeCell ref="C376:C378"/>
    <mergeCell ref="C379:C381"/>
    <mergeCell ref="C382:C383"/>
    <mergeCell ref="C387:C389"/>
    <mergeCell ref="C390:C392"/>
    <mergeCell ref="C393:C394"/>
    <mergeCell ref="C398:C400"/>
    <mergeCell ref="C401:C403"/>
    <mergeCell ref="C404:C405"/>
    <mergeCell ref="C409:C411"/>
    <mergeCell ref="C412:C414"/>
    <mergeCell ref="C415:C416"/>
    <mergeCell ref="C420:C422"/>
    <mergeCell ref="C423:C425"/>
    <mergeCell ref="C426:C427"/>
    <mergeCell ref="C431:C433"/>
    <mergeCell ref="C434:C436"/>
    <mergeCell ref="C437:C438"/>
    <mergeCell ref="C442:C444"/>
    <mergeCell ref="C445:C447"/>
    <mergeCell ref="C448:C449"/>
    <mergeCell ref="C453:C455"/>
    <mergeCell ref="C456:C458"/>
    <mergeCell ref="C459:C460"/>
    <mergeCell ref="C464:C466"/>
    <mergeCell ref="C467:C469"/>
    <mergeCell ref="C470:C471"/>
    <mergeCell ref="C475:C477"/>
    <mergeCell ref="C478:C480"/>
    <mergeCell ref="C481:C482"/>
    <mergeCell ref="C487:C489"/>
    <mergeCell ref="C490:C492"/>
    <mergeCell ref="C493:C494"/>
    <mergeCell ref="C498:C500"/>
    <mergeCell ref="C501:C503"/>
    <mergeCell ref="C504:C505"/>
    <mergeCell ref="C509:C511"/>
    <mergeCell ref="C512:C514"/>
    <mergeCell ref="C515:C516"/>
    <mergeCell ref="C520:C522"/>
    <mergeCell ref="C523:C525"/>
    <mergeCell ref="C526:C527"/>
    <mergeCell ref="C531:C533"/>
    <mergeCell ref="C534:C536"/>
    <mergeCell ref="C537:C538"/>
    <mergeCell ref="C542:C544"/>
    <mergeCell ref="C545:C547"/>
    <mergeCell ref="C548:C549"/>
    <mergeCell ref="C553:C555"/>
    <mergeCell ref="C556:C558"/>
    <mergeCell ref="C559:C560"/>
    <mergeCell ref="C564:C566"/>
    <mergeCell ref="C567:C569"/>
    <mergeCell ref="C570:C571"/>
    <mergeCell ref="C575:C577"/>
    <mergeCell ref="C578:C580"/>
    <mergeCell ref="C581:C582"/>
    <mergeCell ref="C586:C588"/>
    <mergeCell ref="C589:C591"/>
    <mergeCell ref="C592:C593"/>
    <mergeCell ref="C597:C599"/>
    <mergeCell ref="C600:C602"/>
    <mergeCell ref="C603:C604"/>
    <mergeCell ref="C608:C610"/>
    <mergeCell ref="C611:C613"/>
    <mergeCell ref="C614:C615"/>
    <mergeCell ref="C619:C621"/>
    <mergeCell ref="C622:C624"/>
    <mergeCell ref="C625:C626"/>
    <mergeCell ref="C630:C632"/>
    <mergeCell ref="C633:C635"/>
    <mergeCell ref="C636:C637"/>
    <mergeCell ref="C641:C643"/>
    <mergeCell ref="C644:C646"/>
    <mergeCell ref="C647:C648"/>
    <mergeCell ref="C652:C654"/>
    <mergeCell ref="C655:C657"/>
    <mergeCell ref="C658:C659"/>
    <mergeCell ref="C663:C665"/>
    <mergeCell ref="C666:C668"/>
    <mergeCell ref="C669:C670"/>
    <mergeCell ref="C674:C676"/>
    <mergeCell ref="C677:C679"/>
    <mergeCell ref="C680:C681"/>
    <mergeCell ref="C685:C687"/>
    <mergeCell ref="C688:C690"/>
    <mergeCell ref="C691:C692"/>
    <mergeCell ref="C696:C698"/>
    <mergeCell ref="C699:C701"/>
    <mergeCell ref="C702:C703"/>
    <mergeCell ref="C707:C709"/>
    <mergeCell ref="C710:C712"/>
    <mergeCell ref="C713:C714"/>
    <mergeCell ref="C718:C720"/>
    <mergeCell ref="C721:C723"/>
    <mergeCell ref="C724:C725"/>
    <mergeCell ref="C729:C731"/>
    <mergeCell ref="C732:C734"/>
    <mergeCell ref="C735:C736"/>
    <mergeCell ref="C740:C742"/>
    <mergeCell ref="C743:C745"/>
    <mergeCell ref="C746:C747"/>
    <mergeCell ref="C751:C753"/>
    <mergeCell ref="C754:C756"/>
    <mergeCell ref="C757:C758"/>
    <mergeCell ref="C762:C764"/>
    <mergeCell ref="C765:C767"/>
    <mergeCell ref="C768:C769"/>
    <mergeCell ref="C773:C775"/>
    <mergeCell ref="C776:C778"/>
    <mergeCell ref="C779:C780"/>
    <mergeCell ref="C784:C786"/>
    <mergeCell ref="C787:C789"/>
    <mergeCell ref="C790:C791"/>
    <mergeCell ref="C795:C797"/>
    <mergeCell ref="C798:C800"/>
    <mergeCell ref="C801:C802"/>
    <mergeCell ref="C806:C808"/>
    <mergeCell ref="C809:C811"/>
    <mergeCell ref="C812:C813"/>
    <mergeCell ref="C817:C819"/>
    <mergeCell ref="C820:C822"/>
    <mergeCell ref="C823:C824"/>
    <mergeCell ref="C828:C830"/>
    <mergeCell ref="C831:C833"/>
    <mergeCell ref="C834:C835"/>
    <mergeCell ref="C839:C841"/>
    <mergeCell ref="C842:C844"/>
    <mergeCell ref="C845:C846"/>
    <mergeCell ref="C850:C852"/>
    <mergeCell ref="C853:C855"/>
    <mergeCell ref="C856:C857"/>
    <mergeCell ref="C861:C863"/>
    <mergeCell ref="C864:C866"/>
    <mergeCell ref="C867:C868"/>
    <mergeCell ref="D1:D3"/>
    <mergeCell ref="D24:D26"/>
    <mergeCell ref="D44:D46"/>
    <mergeCell ref="D55:D57"/>
    <mergeCell ref="D67:D69"/>
    <mergeCell ref="D78:D80"/>
    <mergeCell ref="D89:D91"/>
    <mergeCell ref="D100:D102"/>
    <mergeCell ref="D112:D114"/>
    <mergeCell ref="D123:D125"/>
    <mergeCell ref="D134:D136"/>
    <mergeCell ref="D145:D147"/>
    <mergeCell ref="D156:D158"/>
    <mergeCell ref="D167:D169"/>
    <mergeCell ref="D178:D180"/>
    <mergeCell ref="D189:D191"/>
    <mergeCell ref="D200:D202"/>
    <mergeCell ref="D211:D213"/>
    <mergeCell ref="D222:D224"/>
    <mergeCell ref="D233:D235"/>
    <mergeCell ref="D244:D246"/>
    <mergeCell ref="D255:D257"/>
    <mergeCell ref="D266:D268"/>
    <mergeCell ref="D277:D279"/>
    <mergeCell ref="D288:D290"/>
    <mergeCell ref="D299:D301"/>
    <mergeCell ref="D310:D312"/>
    <mergeCell ref="D321:D323"/>
    <mergeCell ref="D332:D334"/>
    <mergeCell ref="D343:D345"/>
    <mergeCell ref="D354:D356"/>
    <mergeCell ref="D365:D367"/>
    <mergeCell ref="D376:D378"/>
    <mergeCell ref="D387:D389"/>
    <mergeCell ref="D398:D400"/>
    <mergeCell ref="D409:D411"/>
    <mergeCell ref="D420:D422"/>
    <mergeCell ref="D431:D433"/>
    <mergeCell ref="D442:D444"/>
    <mergeCell ref="D453:D455"/>
    <mergeCell ref="D464:D466"/>
    <mergeCell ref="D475:D477"/>
    <mergeCell ref="D487:D489"/>
    <mergeCell ref="D498:D500"/>
    <mergeCell ref="D509:D511"/>
    <mergeCell ref="D520:D522"/>
    <mergeCell ref="D531:D533"/>
    <mergeCell ref="D542:D544"/>
    <mergeCell ref="D553:D555"/>
    <mergeCell ref="D564:D566"/>
    <mergeCell ref="D575:D577"/>
    <mergeCell ref="D586:D588"/>
    <mergeCell ref="D597:D599"/>
    <mergeCell ref="D608:D610"/>
    <mergeCell ref="D619:D621"/>
    <mergeCell ref="D630:D632"/>
    <mergeCell ref="D641:D643"/>
    <mergeCell ref="D652:D654"/>
    <mergeCell ref="D663:D665"/>
    <mergeCell ref="D674:D676"/>
    <mergeCell ref="D685:D687"/>
    <mergeCell ref="D696:D698"/>
    <mergeCell ref="D707:D709"/>
    <mergeCell ref="D718:D720"/>
    <mergeCell ref="D729:D731"/>
    <mergeCell ref="D740:D742"/>
    <mergeCell ref="D751:D753"/>
    <mergeCell ref="D762:D764"/>
    <mergeCell ref="D773:D775"/>
    <mergeCell ref="D784:D786"/>
    <mergeCell ref="D795:D797"/>
    <mergeCell ref="D806:D808"/>
    <mergeCell ref="D817:D819"/>
    <mergeCell ref="D828:D830"/>
    <mergeCell ref="D839:D841"/>
    <mergeCell ref="D850:D852"/>
    <mergeCell ref="D861:D863"/>
    <mergeCell ref="E1:E3"/>
    <mergeCell ref="E24:E26"/>
    <mergeCell ref="E44:E46"/>
    <mergeCell ref="E55:E57"/>
    <mergeCell ref="E67:E69"/>
    <mergeCell ref="E78:E80"/>
    <mergeCell ref="E89:E91"/>
    <mergeCell ref="E100:E102"/>
    <mergeCell ref="E112:E114"/>
    <mergeCell ref="E123:E125"/>
    <mergeCell ref="E134:E136"/>
    <mergeCell ref="E145:E147"/>
    <mergeCell ref="E156:E158"/>
    <mergeCell ref="E167:E169"/>
    <mergeCell ref="E178:E180"/>
    <mergeCell ref="E189:E191"/>
    <mergeCell ref="E200:E202"/>
    <mergeCell ref="E211:E213"/>
    <mergeCell ref="E222:E224"/>
    <mergeCell ref="E233:E235"/>
    <mergeCell ref="E244:E246"/>
    <mergeCell ref="E255:E257"/>
    <mergeCell ref="E266:E268"/>
    <mergeCell ref="E277:E279"/>
    <mergeCell ref="E288:E290"/>
    <mergeCell ref="E299:E301"/>
    <mergeCell ref="E310:E312"/>
    <mergeCell ref="E321:E323"/>
    <mergeCell ref="E332:E334"/>
    <mergeCell ref="E343:E345"/>
    <mergeCell ref="E354:E356"/>
    <mergeCell ref="E365:E367"/>
    <mergeCell ref="E376:E378"/>
    <mergeCell ref="E387:E389"/>
    <mergeCell ref="E398:E400"/>
    <mergeCell ref="E409:E411"/>
    <mergeCell ref="E420:E422"/>
    <mergeCell ref="E431:E433"/>
    <mergeCell ref="E442:E444"/>
    <mergeCell ref="E453:E455"/>
    <mergeCell ref="E464:E466"/>
    <mergeCell ref="E475:E477"/>
    <mergeCell ref="E487:E489"/>
    <mergeCell ref="E498:E500"/>
    <mergeCell ref="E509:E511"/>
    <mergeCell ref="E520:E522"/>
    <mergeCell ref="E531:E533"/>
    <mergeCell ref="E542:E544"/>
    <mergeCell ref="E553:E555"/>
    <mergeCell ref="E564:E566"/>
    <mergeCell ref="E575:E577"/>
    <mergeCell ref="E586:E588"/>
    <mergeCell ref="E597:E599"/>
    <mergeCell ref="E608:E610"/>
    <mergeCell ref="E619:E621"/>
    <mergeCell ref="E630:E632"/>
    <mergeCell ref="E641:E643"/>
    <mergeCell ref="E652:E654"/>
    <mergeCell ref="E663:E665"/>
    <mergeCell ref="E674:E676"/>
    <mergeCell ref="E685:E687"/>
    <mergeCell ref="E696:E698"/>
    <mergeCell ref="E707:E709"/>
    <mergeCell ref="E718:E720"/>
    <mergeCell ref="E729:E731"/>
    <mergeCell ref="E740:E742"/>
    <mergeCell ref="E751:E753"/>
    <mergeCell ref="E762:E764"/>
    <mergeCell ref="E773:E775"/>
    <mergeCell ref="E784:E786"/>
    <mergeCell ref="E795:E797"/>
    <mergeCell ref="E806:E808"/>
    <mergeCell ref="E817:E819"/>
    <mergeCell ref="E828:E830"/>
    <mergeCell ref="E839:E841"/>
    <mergeCell ref="E850:E852"/>
    <mergeCell ref="E861:E86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7"/>
  <sheetViews>
    <sheetView tabSelected="1" workbookViewId="0">
      <pane ySplit="1" topLeftCell="A56" activePane="bottomLeft" state="frozen"/>
      <selection/>
      <selection pane="bottomLeft" activeCell="E11" sqref="E11"/>
    </sheetView>
  </sheetViews>
  <sheetFormatPr defaultColWidth="9" defaultRowHeight="15.6"/>
  <cols>
    <col min="1" max="1" width="20.625" customWidth="1"/>
    <col min="2" max="2" width="15" customWidth="1"/>
    <col min="31" max="32" width="9.375"/>
  </cols>
  <sheetData>
    <row r="1" spans="1:59">
      <c r="A1" s="1" t="s">
        <v>860</v>
      </c>
      <c r="B1" s="2" t="s">
        <v>475</v>
      </c>
      <c r="C1" s="2" t="s">
        <v>239</v>
      </c>
      <c r="D1" s="2" t="s">
        <v>861</v>
      </c>
      <c r="E1" s="2" t="s">
        <v>474</v>
      </c>
      <c r="F1" s="2" t="s">
        <v>862</v>
      </c>
      <c r="G1" s="2" t="s">
        <v>863</v>
      </c>
      <c r="H1" s="2" t="s">
        <v>864</v>
      </c>
      <c r="I1" s="2" t="s">
        <v>865</v>
      </c>
      <c r="J1" s="2" t="s">
        <v>413</v>
      </c>
      <c r="K1" s="2" t="s">
        <v>866</v>
      </c>
      <c r="L1" s="2" t="s">
        <v>867</v>
      </c>
      <c r="M1" s="2" t="s">
        <v>868</v>
      </c>
      <c r="N1" s="2" t="s">
        <v>869</v>
      </c>
      <c r="O1" s="2" t="s">
        <v>870</v>
      </c>
      <c r="P1" s="2" t="s">
        <v>871</v>
      </c>
      <c r="Q1" s="2" t="s">
        <v>872</v>
      </c>
      <c r="R1" s="2" t="s">
        <v>873</v>
      </c>
      <c r="S1" s="2" t="s">
        <v>874</v>
      </c>
      <c r="T1" s="2" t="s">
        <v>875</v>
      </c>
      <c r="U1" s="2" t="s">
        <v>876</v>
      </c>
      <c r="V1" s="2" t="s">
        <v>877</v>
      </c>
      <c r="W1" s="2" t="s">
        <v>878</v>
      </c>
      <c r="X1" s="2" t="s">
        <v>879</v>
      </c>
      <c r="Y1" s="2" t="s">
        <v>880</v>
      </c>
      <c r="Z1" s="2" t="s">
        <v>881</v>
      </c>
      <c r="AA1" s="2" t="s">
        <v>882</v>
      </c>
      <c r="AB1" s="2" t="s">
        <v>883</v>
      </c>
      <c r="AC1" s="2" t="s">
        <v>884</v>
      </c>
      <c r="AD1" s="2" t="s">
        <v>269</v>
      </c>
      <c r="AE1" s="2" t="s">
        <v>885</v>
      </c>
      <c r="AF1" s="2" t="s">
        <v>886</v>
      </c>
      <c r="AG1" s="2" t="s">
        <v>887</v>
      </c>
      <c r="AH1" s="2" t="s">
        <v>888</v>
      </c>
      <c r="AI1" s="2" t="s">
        <v>889</v>
      </c>
      <c r="AJ1" s="2" t="s">
        <v>890</v>
      </c>
      <c r="AK1" s="2" t="s">
        <v>891</v>
      </c>
      <c r="AL1" s="2" t="s">
        <v>892</v>
      </c>
      <c r="AM1" s="2" t="s">
        <v>893</v>
      </c>
      <c r="AN1" s="2" t="s">
        <v>894</v>
      </c>
      <c r="AO1" s="2" t="s">
        <v>895</v>
      </c>
      <c r="AP1" s="2" t="s">
        <v>896</v>
      </c>
      <c r="AQ1" s="2" t="s">
        <v>897</v>
      </c>
      <c r="AR1" s="2" t="s">
        <v>898</v>
      </c>
      <c r="AS1" s="2" t="s">
        <v>899</v>
      </c>
      <c r="AT1" s="2" t="s">
        <v>900</v>
      </c>
      <c r="AU1" s="2" t="s">
        <v>901</v>
      </c>
      <c r="AV1" s="2" t="s">
        <v>902</v>
      </c>
      <c r="AW1" s="2" t="s">
        <v>903</v>
      </c>
      <c r="AX1" s="2" t="s">
        <v>904</v>
      </c>
      <c r="AY1" s="2" t="s">
        <v>905</v>
      </c>
      <c r="AZ1" s="2" t="s">
        <v>906</v>
      </c>
      <c r="BA1" s="2" t="s">
        <v>907</v>
      </c>
      <c r="BB1" s="2" t="s">
        <v>575</v>
      </c>
      <c r="BC1" s="2" t="s">
        <v>908</v>
      </c>
      <c r="BD1" s="2" t="s">
        <v>909</v>
      </c>
      <c r="BE1" s="2" t="s">
        <v>910</v>
      </c>
      <c r="BF1" s="2" t="s">
        <v>911</v>
      </c>
      <c r="BG1" s="2" t="s">
        <v>912</v>
      </c>
    </row>
    <row r="2" spans="1:59">
      <c r="A2" t="str">
        <f>B2&amp;E2</f>
        <v>46254XXXX-111</v>
      </c>
      <c r="B2" s="3">
        <v>46254</v>
      </c>
      <c r="C2" s="4" t="s">
        <v>410</v>
      </c>
      <c r="D2" s="4"/>
      <c r="E2" s="4" t="s">
        <v>5</v>
      </c>
      <c r="F2" s="4"/>
      <c r="G2" s="5">
        <v>13.99</v>
      </c>
      <c r="H2" s="6">
        <v>199</v>
      </c>
      <c r="I2" s="6">
        <v>0</v>
      </c>
      <c r="J2" s="6">
        <v>0</v>
      </c>
      <c r="K2" s="6">
        <v>0</v>
      </c>
      <c r="L2" s="7">
        <v>0</v>
      </c>
      <c r="M2" s="7">
        <v>0</v>
      </c>
      <c r="N2" s="6">
        <v>0</v>
      </c>
      <c r="O2" s="7">
        <v>0</v>
      </c>
      <c r="P2" s="6">
        <v>0</v>
      </c>
      <c r="Q2" s="6">
        <v>0</v>
      </c>
      <c r="R2" s="7">
        <v>0</v>
      </c>
      <c r="S2" s="6">
        <v>0</v>
      </c>
      <c r="T2" s="4"/>
      <c r="U2" s="8">
        <v>0</v>
      </c>
      <c r="V2" s="4"/>
      <c r="W2" s="4"/>
      <c r="X2" s="6">
        <v>0</v>
      </c>
      <c r="Y2" s="9">
        <v>0</v>
      </c>
      <c r="Z2" s="8">
        <v>0</v>
      </c>
      <c r="AA2" s="6">
        <v>0</v>
      </c>
      <c r="AB2" s="9">
        <v>0</v>
      </c>
      <c r="AC2" s="7">
        <v>0</v>
      </c>
      <c r="AD2" s="7">
        <v>0</v>
      </c>
      <c r="AE2" s="9">
        <v>0</v>
      </c>
      <c r="AF2" s="9">
        <v>0</v>
      </c>
      <c r="AG2" s="6">
        <v>0</v>
      </c>
      <c r="AH2" s="9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4"/>
      <c r="AP2" s="9">
        <v>0</v>
      </c>
      <c r="AQ2" s="9">
        <v>0</v>
      </c>
      <c r="AR2" s="4"/>
      <c r="AS2" s="9">
        <v>0</v>
      </c>
      <c r="AT2" s="7">
        <v>0</v>
      </c>
      <c r="AU2" s="10">
        <v>0</v>
      </c>
      <c r="AV2" s="9">
        <v>0</v>
      </c>
      <c r="AW2" s="9">
        <v>0</v>
      </c>
      <c r="AX2" s="9">
        <v>0</v>
      </c>
      <c r="AY2" s="4"/>
      <c r="AZ2" s="7">
        <v>0</v>
      </c>
      <c r="BA2" s="7">
        <v>0</v>
      </c>
      <c r="BB2" s="6">
        <v>0</v>
      </c>
      <c r="BC2" s="9">
        <v>0</v>
      </c>
      <c r="BD2" s="9">
        <v>0</v>
      </c>
      <c r="BE2" s="6">
        <v>0</v>
      </c>
      <c r="BF2" s="6">
        <v>0</v>
      </c>
      <c r="BG2" s="4"/>
    </row>
    <row r="3" spans="1:59">
      <c r="A3" t="str">
        <f t="shared" ref="A2:A65" si="0">B3&amp;E3</f>
        <v>46255XXXX-111</v>
      </c>
      <c r="B3" s="3">
        <v>46255</v>
      </c>
      <c r="C3" s="4" t="s">
        <v>410</v>
      </c>
      <c r="D3" s="4"/>
      <c r="E3" s="4" t="s">
        <v>5</v>
      </c>
      <c r="F3" s="4"/>
      <c r="G3" s="5">
        <v>13.99</v>
      </c>
      <c r="H3" s="6">
        <v>259</v>
      </c>
      <c r="I3" s="6">
        <v>0</v>
      </c>
      <c r="J3" s="6">
        <v>0</v>
      </c>
      <c r="K3" s="6">
        <v>0</v>
      </c>
      <c r="L3" s="7">
        <v>0</v>
      </c>
      <c r="M3" s="7">
        <v>0</v>
      </c>
      <c r="N3" s="6">
        <v>0</v>
      </c>
      <c r="O3" s="7">
        <v>0</v>
      </c>
      <c r="P3" s="6">
        <v>0</v>
      </c>
      <c r="Q3" s="6">
        <v>0</v>
      </c>
      <c r="R3" s="7">
        <v>0</v>
      </c>
      <c r="S3" s="6">
        <v>0</v>
      </c>
      <c r="T3" s="4"/>
      <c r="U3" s="8">
        <v>0</v>
      </c>
      <c r="V3" s="4"/>
      <c r="W3" s="4"/>
      <c r="X3" s="6">
        <v>0</v>
      </c>
      <c r="Y3" s="9">
        <v>0</v>
      </c>
      <c r="Z3" s="8">
        <v>0</v>
      </c>
      <c r="AA3" s="6">
        <v>0</v>
      </c>
      <c r="AB3" s="9">
        <v>0</v>
      </c>
      <c r="AC3" s="7">
        <v>0</v>
      </c>
      <c r="AD3" s="7">
        <v>0</v>
      </c>
      <c r="AE3" s="9">
        <v>0</v>
      </c>
      <c r="AF3" s="9">
        <v>0</v>
      </c>
      <c r="AG3" s="6">
        <v>0</v>
      </c>
      <c r="AH3" s="9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4"/>
      <c r="AP3" s="9">
        <v>0</v>
      </c>
      <c r="AQ3" s="9">
        <v>0</v>
      </c>
      <c r="AR3" s="4"/>
      <c r="AS3" s="9">
        <v>0</v>
      </c>
      <c r="AT3" s="7">
        <v>0</v>
      </c>
      <c r="AU3" s="10">
        <v>0</v>
      </c>
      <c r="AV3" s="9">
        <v>0</v>
      </c>
      <c r="AW3" s="9">
        <v>0</v>
      </c>
      <c r="AX3" s="9">
        <v>0</v>
      </c>
      <c r="AY3" s="4"/>
      <c r="AZ3" s="7">
        <v>0</v>
      </c>
      <c r="BA3" s="7">
        <v>0</v>
      </c>
      <c r="BB3" s="6">
        <v>0</v>
      </c>
      <c r="BC3" s="9">
        <v>0</v>
      </c>
      <c r="BD3" s="9">
        <v>0</v>
      </c>
      <c r="BE3" s="6">
        <v>0</v>
      </c>
      <c r="BF3" s="6">
        <v>0</v>
      </c>
      <c r="BG3" s="4"/>
    </row>
    <row r="4" spans="1:59">
      <c r="A4" t="str">
        <f t="shared" si="0"/>
        <v>46256XXXX-111</v>
      </c>
      <c r="B4" s="3">
        <v>46256</v>
      </c>
      <c r="C4" s="4" t="s">
        <v>410</v>
      </c>
      <c r="D4" s="4"/>
      <c r="E4" s="4" t="s">
        <v>5</v>
      </c>
      <c r="F4" s="4"/>
      <c r="G4" s="5">
        <v>13.99</v>
      </c>
      <c r="H4" s="6">
        <v>319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0</v>
      </c>
      <c r="O4" s="7">
        <v>0</v>
      </c>
      <c r="P4" s="6">
        <v>0</v>
      </c>
      <c r="Q4" s="6">
        <v>0</v>
      </c>
      <c r="R4" s="7">
        <v>0</v>
      </c>
      <c r="S4" s="6">
        <v>0</v>
      </c>
      <c r="T4" s="4"/>
      <c r="U4" s="8">
        <v>0</v>
      </c>
      <c r="V4" s="4"/>
      <c r="W4" s="4"/>
      <c r="X4" s="6">
        <v>0</v>
      </c>
      <c r="Y4" s="9">
        <v>0</v>
      </c>
      <c r="Z4" s="8">
        <v>0</v>
      </c>
      <c r="AA4" s="6">
        <v>0</v>
      </c>
      <c r="AB4" s="9">
        <v>0</v>
      </c>
      <c r="AC4" s="7">
        <v>0</v>
      </c>
      <c r="AD4" s="7">
        <v>0</v>
      </c>
      <c r="AE4" s="9">
        <v>0</v>
      </c>
      <c r="AF4" s="9">
        <v>0</v>
      </c>
      <c r="AG4" s="6">
        <v>0</v>
      </c>
      <c r="AH4" s="9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4"/>
      <c r="AP4" s="9">
        <v>0</v>
      </c>
      <c r="AQ4" s="9">
        <v>0</v>
      </c>
      <c r="AR4" s="4"/>
      <c r="AS4" s="9">
        <v>0</v>
      </c>
      <c r="AT4" s="7">
        <v>0</v>
      </c>
      <c r="AU4" s="10">
        <v>0</v>
      </c>
      <c r="AV4" s="9">
        <v>0</v>
      </c>
      <c r="AW4" s="9">
        <v>0</v>
      </c>
      <c r="AX4" s="9">
        <v>0</v>
      </c>
      <c r="AY4" s="4"/>
      <c r="AZ4" s="7">
        <v>0</v>
      </c>
      <c r="BA4" s="7">
        <v>0</v>
      </c>
      <c r="BB4" s="6">
        <v>0</v>
      </c>
      <c r="BC4" s="9">
        <v>0</v>
      </c>
      <c r="BD4" s="9">
        <v>0</v>
      </c>
      <c r="BE4" s="6">
        <v>0</v>
      </c>
      <c r="BF4" s="6">
        <v>0</v>
      </c>
      <c r="BG4" s="4"/>
    </row>
    <row r="5" spans="1:59">
      <c r="A5" t="str">
        <f t="shared" si="0"/>
        <v>46257XXXX-111</v>
      </c>
      <c r="B5" s="3">
        <v>46257</v>
      </c>
      <c r="C5" s="4" t="s">
        <v>410</v>
      </c>
      <c r="D5" s="4"/>
      <c r="E5" s="4" t="s">
        <v>5</v>
      </c>
      <c r="F5" s="4"/>
      <c r="G5" s="5">
        <v>13.99</v>
      </c>
      <c r="H5" s="6">
        <v>340</v>
      </c>
      <c r="I5" s="6">
        <v>0</v>
      </c>
      <c r="J5" s="6">
        <v>2</v>
      </c>
      <c r="K5" s="6">
        <v>2</v>
      </c>
      <c r="L5" s="7">
        <v>27.98</v>
      </c>
      <c r="M5" s="7">
        <v>27.98</v>
      </c>
      <c r="N5" s="6">
        <v>0</v>
      </c>
      <c r="O5" s="7">
        <v>0</v>
      </c>
      <c r="P5" s="6">
        <v>0</v>
      </c>
      <c r="Q5" s="6">
        <v>0</v>
      </c>
      <c r="R5" s="7">
        <v>0</v>
      </c>
      <c r="S5" s="6">
        <v>0</v>
      </c>
      <c r="T5" s="7">
        <v>13.99</v>
      </c>
      <c r="U5" s="8">
        <v>0</v>
      </c>
      <c r="V5" s="4"/>
      <c r="W5" s="4"/>
      <c r="X5" s="6">
        <v>0</v>
      </c>
      <c r="Y5" s="9">
        <v>0</v>
      </c>
      <c r="Z5" s="8">
        <v>0</v>
      </c>
      <c r="AA5" s="6">
        <v>0</v>
      </c>
      <c r="AB5" s="9">
        <v>0</v>
      </c>
      <c r="AC5" s="7">
        <v>0</v>
      </c>
      <c r="AD5" s="7">
        <v>-20.95</v>
      </c>
      <c r="AE5" s="9">
        <v>0</v>
      </c>
      <c r="AF5" s="9">
        <v>0.2452</v>
      </c>
      <c r="AG5" s="6">
        <v>0</v>
      </c>
      <c r="AH5" s="9">
        <v>0</v>
      </c>
      <c r="AI5" s="6">
        <v>9</v>
      </c>
      <c r="AJ5" s="6">
        <v>20</v>
      </c>
      <c r="AK5" s="6">
        <v>29</v>
      </c>
      <c r="AL5" s="6">
        <v>14</v>
      </c>
      <c r="AM5" s="6">
        <v>23</v>
      </c>
      <c r="AN5" s="6">
        <v>37</v>
      </c>
      <c r="AO5" s="9">
        <v>1</v>
      </c>
      <c r="AP5" s="9">
        <v>0.069</v>
      </c>
      <c r="AQ5" s="9">
        <v>0.069</v>
      </c>
      <c r="AR5" s="7">
        <v>0.91</v>
      </c>
      <c r="AS5" s="9">
        <v>0.002</v>
      </c>
      <c r="AT5" s="7">
        <v>-20.95</v>
      </c>
      <c r="AU5" s="10">
        <v>2.67</v>
      </c>
      <c r="AV5" s="9">
        <v>0.3744</v>
      </c>
      <c r="AW5" s="9">
        <v>0.7487</v>
      </c>
      <c r="AX5" s="9">
        <v>2</v>
      </c>
      <c r="AY5" s="7">
        <v>5.24</v>
      </c>
      <c r="AZ5" s="7">
        <v>1.81</v>
      </c>
      <c r="BA5" s="7">
        <v>55.96</v>
      </c>
      <c r="BB5" s="6">
        <v>4</v>
      </c>
      <c r="BC5" s="9">
        <v>2</v>
      </c>
      <c r="BD5" s="9">
        <v>0.1739</v>
      </c>
      <c r="BE5" s="6">
        <v>11582</v>
      </c>
      <c r="BF5" s="6">
        <v>23</v>
      </c>
      <c r="BG5" s="4"/>
    </row>
    <row r="6" spans="1:59">
      <c r="A6" t="str">
        <f t="shared" si="0"/>
        <v>46258XXXX-111</v>
      </c>
      <c r="B6" s="3">
        <v>46258</v>
      </c>
      <c r="C6" s="4" t="s">
        <v>410</v>
      </c>
      <c r="D6" s="4"/>
      <c r="E6" s="4" t="s">
        <v>5</v>
      </c>
      <c r="F6" s="4"/>
      <c r="G6" s="5">
        <v>13.99</v>
      </c>
      <c r="H6" s="6">
        <v>337</v>
      </c>
      <c r="I6" s="6">
        <v>0</v>
      </c>
      <c r="J6" s="6">
        <v>1</v>
      </c>
      <c r="K6" s="6">
        <v>1</v>
      </c>
      <c r="L6" s="7">
        <v>13.99</v>
      </c>
      <c r="M6" s="7">
        <v>13.99</v>
      </c>
      <c r="N6" s="6">
        <v>0</v>
      </c>
      <c r="O6" s="7">
        <v>0</v>
      </c>
      <c r="P6" s="6">
        <v>0</v>
      </c>
      <c r="Q6" s="6">
        <v>0</v>
      </c>
      <c r="R6" s="7">
        <v>0</v>
      </c>
      <c r="S6" s="6">
        <v>0</v>
      </c>
      <c r="T6" s="7">
        <v>13.99</v>
      </c>
      <c r="U6" s="8">
        <v>0</v>
      </c>
      <c r="V6" s="4"/>
      <c r="W6" s="4"/>
      <c r="X6" s="6">
        <v>0</v>
      </c>
      <c r="Y6" s="9">
        <v>0</v>
      </c>
      <c r="Z6" s="8">
        <v>0</v>
      </c>
      <c r="AA6" s="6">
        <v>0</v>
      </c>
      <c r="AB6" s="9">
        <v>0</v>
      </c>
      <c r="AC6" s="7">
        <v>0</v>
      </c>
      <c r="AD6" s="7">
        <v>-18.32</v>
      </c>
      <c r="AE6" s="9">
        <v>0</v>
      </c>
      <c r="AF6" s="9">
        <v>-2.5339</v>
      </c>
      <c r="AG6" s="6">
        <v>0</v>
      </c>
      <c r="AH6" s="9">
        <v>0</v>
      </c>
      <c r="AI6" s="6">
        <v>9</v>
      </c>
      <c r="AJ6" s="6">
        <v>16</v>
      </c>
      <c r="AK6" s="6">
        <v>25</v>
      </c>
      <c r="AL6" s="6">
        <v>11</v>
      </c>
      <c r="AM6" s="6">
        <v>22</v>
      </c>
      <c r="AN6" s="6">
        <v>33</v>
      </c>
      <c r="AO6" s="9">
        <v>1</v>
      </c>
      <c r="AP6" s="9">
        <v>0.04</v>
      </c>
      <c r="AQ6" s="9">
        <v>0.04</v>
      </c>
      <c r="AR6" s="7">
        <v>0.92</v>
      </c>
      <c r="AS6" s="9">
        <v>0.0024</v>
      </c>
      <c r="AT6" s="7">
        <v>-18.32</v>
      </c>
      <c r="AU6" s="10">
        <v>0</v>
      </c>
      <c r="AV6" s="9">
        <v>1</v>
      </c>
      <c r="AW6" s="9">
        <v>1.3095</v>
      </c>
      <c r="AX6" s="9">
        <v>0</v>
      </c>
      <c r="AY6" s="4"/>
      <c r="AZ6" s="7">
        <v>2.19</v>
      </c>
      <c r="BA6" s="7">
        <v>0</v>
      </c>
      <c r="BB6" s="6">
        <v>0</v>
      </c>
      <c r="BC6" s="9">
        <v>0</v>
      </c>
      <c r="BD6" s="9">
        <v>0</v>
      </c>
      <c r="BE6" s="6">
        <v>8355</v>
      </c>
      <c r="BF6" s="6">
        <v>20</v>
      </c>
      <c r="BG6" s="4"/>
    </row>
    <row r="7" spans="1:59">
      <c r="A7" t="str">
        <f t="shared" si="0"/>
        <v>46259XXXX-111</v>
      </c>
      <c r="B7" s="3">
        <v>46259</v>
      </c>
      <c r="C7" s="4" t="s">
        <v>410</v>
      </c>
      <c r="D7" s="4"/>
      <c r="E7" s="4" t="s">
        <v>5</v>
      </c>
      <c r="F7" s="4"/>
      <c r="G7" s="5">
        <v>13.99</v>
      </c>
      <c r="H7" s="6">
        <v>334</v>
      </c>
      <c r="I7" s="6">
        <v>0</v>
      </c>
      <c r="J7" s="6">
        <v>0</v>
      </c>
      <c r="K7" s="6">
        <v>0</v>
      </c>
      <c r="L7" s="7">
        <v>0</v>
      </c>
      <c r="M7" s="7">
        <v>0</v>
      </c>
      <c r="N7" s="6">
        <v>0</v>
      </c>
      <c r="O7" s="7">
        <v>0</v>
      </c>
      <c r="P7" s="6">
        <v>0</v>
      </c>
      <c r="Q7" s="6">
        <v>0</v>
      </c>
      <c r="R7" s="7">
        <v>0</v>
      </c>
      <c r="S7" s="6">
        <v>0</v>
      </c>
      <c r="T7" s="4"/>
      <c r="U7" s="8">
        <v>0</v>
      </c>
      <c r="V7" s="4"/>
      <c r="W7" s="4"/>
      <c r="X7" s="6">
        <v>0</v>
      </c>
      <c r="Y7" s="9">
        <v>0</v>
      </c>
      <c r="Z7" s="8">
        <v>0</v>
      </c>
      <c r="AA7" s="6">
        <v>0</v>
      </c>
      <c r="AB7" s="9">
        <v>0</v>
      </c>
      <c r="AC7" s="7">
        <v>0</v>
      </c>
      <c r="AD7" s="7">
        <v>-1.13</v>
      </c>
      <c r="AE7" s="9">
        <v>-0.081</v>
      </c>
      <c r="AF7" s="9">
        <v>0</v>
      </c>
      <c r="AG7" s="6">
        <v>0</v>
      </c>
      <c r="AH7" s="9">
        <v>0</v>
      </c>
      <c r="AI7" s="6">
        <v>8</v>
      </c>
      <c r="AJ7" s="6">
        <v>9</v>
      </c>
      <c r="AK7" s="6">
        <v>17</v>
      </c>
      <c r="AL7" s="6">
        <v>8</v>
      </c>
      <c r="AM7" s="6">
        <v>15</v>
      </c>
      <c r="AN7" s="6">
        <v>23</v>
      </c>
      <c r="AO7" s="9">
        <v>0.83</v>
      </c>
      <c r="AP7" s="9">
        <v>0</v>
      </c>
      <c r="AQ7" s="9">
        <v>0</v>
      </c>
      <c r="AR7" s="7">
        <v>0.79</v>
      </c>
      <c r="AS7" s="9">
        <v>0.0017</v>
      </c>
      <c r="AT7" s="7">
        <v>-4.72</v>
      </c>
      <c r="AU7" s="10">
        <v>0</v>
      </c>
      <c r="AV7" s="9">
        <v>1</v>
      </c>
      <c r="AW7" s="9">
        <v>1</v>
      </c>
      <c r="AX7" s="9">
        <v>0</v>
      </c>
      <c r="AY7" s="4"/>
      <c r="AZ7" s="7">
        <v>1.35</v>
      </c>
      <c r="BA7" s="7">
        <v>0</v>
      </c>
      <c r="BB7" s="6">
        <v>0</v>
      </c>
      <c r="BC7" s="9">
        <v>0</v>
      </c>
      <c r="BD7" s="9">
        <v>0</v>
      </c>
      <c r="BE7" s="6">
        <v>3488</v>
      </c>
      <c r="BF7" s="6">
        <v>6</v>
      </c>
      <c r="BG7" s="4"/>
    </row>
    <row r="8" spans="1:59">
      <c r="A8" t="str">
        <f t="shared" si="0"/>
        <v>46260XXXX-111</v>
      </c>
      <c r="B8" s="3">
        <v>46260</v>
      </c>
      <c r="C8" s="4" t="s">
        <v>410</v>
      </c>
      <c r="D8" s="4"/>
      <c r="E8" s="4" t="s">
        <v>5</v>
      </c>
      <c r="F8" s="4"/>
      <c r="G8" s="5">
        <v>13.99</v>
      </c>
      <c r="H8" s="6">
        <v>493</v>
      </c>
      <c r="I8" s="6">
        <v>0</v>
      </c>
      <c r="J8" s="6">
        <v>1</v>
      </c>
      <c r="K8" s="6">
        <v>1</v>
      </c>
      <c r="L8" s="7">
        <v>13.99</v>
      </c>
      <c r="M8" s="7">
        <v>13.99</v>
      </c>
      <c r="N8" s="6">
        <v>0</v>
      </c>
      <c r="O8" s="7">
        <v>0</v>
      </c>
      <c r="P8" s="6">
        <v>0</v>
      </c>
      <c r="Q8" s="6">
        <v>0</v>
      </c>
      <c r="R8" s="7">
        <v>0</v>
      </c>
      <c r="S8" s="6">
        <v>0</v>
      </c>
      <c r="T8" s="7">
        <v>13.99</v>
      </c>
      <c r="U8" s="8">
        <v>0</v>
      </c>
      <c r="V8" s="4"/>
      <c r="W8" s="4"/>
      <c r="X8" s="6">
        <v>0</v>
      </c>
      <c r="Y8" s="9">
        <v>0</v>
      </c>
      <c r="Z8" s="8">
        <v>0</v>
      </c>
      <c r="AA8" s="6">
        <v>0</v>
      </c>
      <c r="AB8" s="9">
        <v>0</v>
      </c>
      <c r="AC8" s="7">
        <v>0</v>
      </c>
      <c r="AD8" s="7">
        <v>-20.26</v>
      </c>
      <c r="AE8" s="9">
        <v>0</v>
      </c>
      <c r="AF8" s="9">
        <v>-3.2212</v>
      </c>
      <c r="AG8" s="6">
        <v>0</v>
      </c>
      <c r="AH8" s="9">
        <v>0</v>
      </c>
      <c r="AI8" s="6">
        <v>15</v>
      </c>
      <c r="AJ8" s="6">
        <v>17</v>
      </c>
      <c r="AK8" s="6">
        <v>32</v>
      </c>
      <c r="AL8" s="6">
        <v>23</v>
      </c>
      <c r="AM8" s="6">
        <v>19</v>
      </c>
      <c r="AN8" s="6">
        <v>42</v>
      </c>
      <c r="AO8" s="9">
        <v>0.88</v>
      </c>
      <c r="AP8" s="9">
        <v>0.0312</v>
      </c>
      <c r="AQ8" s="9">
        <v>0.0312</v>
      </c>
      <c r="AR8" s="7">
        <v>1.07</v>
      </c>
      <c r="AS8" s="9">
        <v>0.0019</v>
      </c>
      <c r="AT8" s="7">
        <v>-20.26</v>
      </c>
      <c r="AU8" s="10">
        <v>1.38</v>
      </c>
      <c r="AV8" s="9">
        <v>0.7241</v>
      </c>
      <c r="AW8" s="9">
        <v>1.4482</v>
      </c>
      <c r="AX8" s="9">
        <v>2</v>
      </c>
      <c r="AY8" s="7">
        <v>10.13</v>
      </c>
      <c r="AZ8" s="7">
        <v>1.98</v>
      </c>
      <c r="BA8" s="7">
        <v>27.98</v>
      </c>
      <c r="BB8" s="6">
        <v>2</v>
      </c>
      <c r="BC8" s="9">
        <v>2</v>
      </c>
      <c r="BD8" s="9">
        <v>0.1053</v>
      </c>
      <c r="BE8" s="6">
        <v>10230</v>
      </c>
      <c r="BF8" s="6">
        <v>19</v>
      </c>
      <c r="BG8" s="4"/>
    </row>
    <row r="9" spans="1:59">
      <c r="A9" t="str">
        <f t="shared" si="0"/>
        <v>46261XXXX-111</v>
      </c>
      <c r="B9" s="3">
        <v>46261</v>
      </c>
      <c r="C9" s="4" t="s">
        <v>410</v>
      </c>
      <c r="D9" s="4"/>
      <c r="E9" s="4" t="s">
        <v>5</v>
      </c>
      <c r="F9" s="4"/>
      <c r="G9" s="5">
        <v>13.99</v>
      </c>
      <c r="H9" s="6">
        <v>513</v>
      </c>
      <c r="I9" s="6">
        <v>0</v>
      </c>
      <c r="J9" s="6">
        <v>3</v>
      </c>
      <c r="K9" s="6">
        <v>3</v>
      </c>
      <c r="L9" s="7">
        <v>41.97</v>
      </c>
      <c r="M9" s="7">
        <v>41.97</v>
      </c>
      <c r="N9" s="6">
        <v>0</v>
      </c>
      <c r="O9" s="7">
        <v>0</v>
      </c>
      <c r="P9" s="6">
        <v>0</v>
      </c>
      <c r="Q9" s="6">
        <v>0</v>
      </c>
      <c r="R9" s="7">
        <v>0</v>
      </c>
      <c r="S9" s="6">
        <v>0</v>
      </c>
      <c r="T9" s="7">
        <v>13.99</v>
      </c>
      <c r="U9" s="8">
        <v>0.1</v>
      </c>
      <c r="V9" s="4"/>
      <c r="W9" s="4"/>
      <c r="X9" s="6">
        <v>0</v>
      </c>
      <c r="Y9" s="9">
        <v>0</v>
      </c>
      <c r="Z9" s="8">
        <v>0</v>
      </c>
      <c r="AA9" s="6">
        <v>0</v>
      </c>
      <c r="AB9" s="9">
        <v>0</v>
      </c>
      <c r="AC9" s="7">
        <v>0</v>
      </c>
      <c r="AD9" s="7">
        <v>-22.85</v>
      </c>
      <c r="AE9" s="9">
        <v>-1.6335</v>
      </c>
      <c r="AF9" s="9">
        <v>0.8858</v>
      </c>
      <c r="AG9" s="6">
        <v>0</v>
      </c>
      <c r="AH9" s="9">
        <v>0</v>
      </c>
      <c r="AI9" s="6">
        <v>16</v>
      </c>
      <c r="AJ9" s="6">
        <v>24</v>
      </c>
      <c r="AK9" s="6">
        <v>40</v>
      </c>
      <c r="AL9" s="6">
        <v>18</v>
      </c>
      <c r="AM9" s="6">
        <v>37</v>
      </c>
      <c r="AN9" s="6">
        <v>55</v>
      </c>
      <c r="AO9" s="9">
        <v>0.96</v>
      </c>
      <c r="AP9" s="9">
        <v>0.075</v>
      </c>
      <c r="AQ9" s="9">
        <v>0.075</v>
      </c>
      <c r="AR9" s="7">
        <v>1.08</v>
      </c>
      <c r="AS9" s="9">
        <v>0.0027</v>
      </c>
      <c r="AT9" s="7">
        <v>-26</v>
      </c>
      <c r="AU9" s="10">
        <v>0.54</v>
      </c>
      <c r="AV9" s="9">
        <v>1.8585</v>
      </c>
      <c r="AW9" s="9">
        <v>0.6195</v>
      </c>
      <c r="AX9" s="9">
        <v>0.3333</v>
      </c>
      <c r="AY9" s="7">
        <v>26</v>
      </c>
      <c r="AZ9" s="7">
        <v>2.97</v>
      </c>
      <c r="BA9" s="7">
        <v>13.99</v>
      </c>
      <c r="BB9" s="6">
        <v>1</v>
      </c>
      <c r="BC9" s="9">
        <v>0.3333</v>
      </c>
      <c r="BD9" s="9">
        <v>0.0417</v>
      </c>
      <c r="BE9" s="6">
        <v>8753</v>
      </c>
      <c r="BF9" s="6">
        <v>24</v>
      </c>
      <c r="BG9" s="4"/>
    </row>
    <row r="10" spans="1:59">
      <c r="A10" t="str">
        <f t="shared" si="0"/>
        <v>46262XXXX-111</v>
      </c>
      <c r="B10" s="3">
        <v>46262</v>
      </c>
      <c r="C10" s="4" t="s">
        <v>410</v>
      </c>
      <c r="D10" s="4"/>
      <c r="E10" s="4" t="s">
        <v>5</v>
      </c>
      <c r="F10" s="4"/>
      <c r="G10" s="5">
        <v>13.99</v>
      </c>
      <c r="H10" s="6">
        <v>526</v>
      </c>
      <c r="I10" s="6">
        <v>0</v>
      </c>
      <c r="J10" s="6">
        <v>3</v>
      </c>
      <c r="K10" s="6">
        <v>2</v>
      </c>
      <c r="L10" s="7">
        <v>41.97</v>
      </c>
      <c r="M10" s="7">
        <v>41.97</v>
      </c>
      <c r="N10" s="6">
        <v>0</v>
      </c>
      <c r="O10" s="7">
        <v>0</v>
      </c>
      <c r="P10" s="6">
        <v>0</v>
      </c>
      <c r="Q10" s="6">
        <v>0</v>
      </c>
      <c r="R10" s="7">
        <v>0</v>
      </c>
      <c r="S10" s="6">
        <v>0</v>
      </c>
      <c r="T10" s="7">
        <v>13.99</v>
      </c>
      <c r="U10" s="8">
        <v>0.1</v>
      </c>
      <c r="V10" s="4"/>
      <c r="W10" s="4"/>
      <c r="X10" s="6">
        <v>0</v>
      </c>
      <c r="Y10" s="9">
        <v>0</v>
      </c>
      <c r="Z10" s="8">
        <v>0</v>
      </c>
      <c r="AA10" s="6">
        <v>0</v>
      </c>
      <c r="AB10" s="9">
        <v>0</v>
      </c>
      <c r="AC10" s="7">
        <v>0</v>
      </c>
      <c r="AD10" s="7">
        <v>-23.48</v>
      </c>
      <c r="AE10" s="9">
        <v>0</v>
      </c>
      <c r="AF10" s="9">
        <v>1.1834</v>
      </c>
      <c r="AG10" s="6">
        <v>0</v>
      </c>
      <c r="AH10" s="9">
        <v>0</v>
      </c>
      <c r="AI10" s="6">
        <v>17</v>
      </c>
      <c r="AJ10" s="6">
        <v>37</v>
      </c>
      <c r="AK10" s="6">
        <v>54</v>
      </c>
      <c r="AL10" s="6">
        <v>21</v>
      </c>
      <c r="AM10" s="6">
        <v>52</v>
      </c>
      <c r="AN10" s="6">
        <v>73</v>
      </c>
      <c r="AO10" s="9">
        <v>0.96</v>
      </c>
      <c r="AP10" s="9">
        <v>0.037</v>
      </c>
      <c r="AQ10" s="9">
        <v>0.0556</v>
      </c>
      <c r="AR10" s="7">
        <v>1.07</v>
      </c>
      <c r="AS10" s="9">
        <v>0.0013</v>
      </c>
      <c r="AT10" s="7">
        <v>-23.48</v>
      </c>
      <c r="AU10" s="10">
        <v>1.79</v>
      </c>
      <c r="AV10" s="9">
        <v>0.5594</v>
      </c>
      <c r="AW10" s="9">
        <v>0.5594</v>
      </c>
      <c r="AX10" s="9">
        <v>1</v>
      </c>
      <c r="AY10" s="7">
        <v>7.83</v>
      </c>
      <c r="AZ10" s="7">
        <v>1.4</v>
      </c>
      <c r="BA10" s="7">
        <v>41.97</v>
      </c>
      <c r="BB10" s="6">
        <v>3</v>
      </c>
      <c r="BC10" s="9">
        <v>1.5</v>
      </c>
      <c r="BD10" s="9">
        <v>0.1364</v>
      </c>
      <c r="BE10" s="6">
        <v>16751</v>
      </c>
      <c r="BF10" s="6">
        <v>22</v>
      </c>
      <c r="BG10" s="4"/>
    </row>
    <row r="11" spans="1:59">
      <c r="A11" t="str">
        <f t="shared" si="0"/>
        <v>46263XXXX-111</v>
      </c>
      <c r="B11" s="3">
        <v>46263</v>
      </c>
      <c r="C11" s="4" t="s">
        <v>410</v>
      </c>
      <c r="D11" s="4"/>
      <c r="E11" s="4" t="s">
        <v>5</v>
      </c>
      <c r="F11" s="4"/>
      <c r="G11" s="5">
        <v>13.99</v>
      </c>
      <c r="H11" s="6">
        <v>524</v>
      </c>
      <c r="I11" s="6">
        <v>0</v>
      </c>
      <c r="J11" s="6">
        <v>9</v>
      </c>
      <c r="K11" s="6">
        <v>9</v>
      </c>
      <c r="L11" s="7">
        <v>125.91</v>
      </c>
      <c r="M11" s="7">
        <v>125.91</v>
      </c>
      <c r="N11" s="6">
        <v>0</v>
      </c>
      <c r="O11" s="7">
        <v>0</v>
      </c>
      <c r="P11" s="6">
        <v>0</v>
      </c>
      <c r="Q11" s="6">
        <v>0</v>
      </c>
      <c r="R11" s="7">
        <v>0</v>
      </c>
      <c r="S11" s="6">
        <v>0</v>
      </c>
      <c r="T11" s="7">
        <v>13.99</v>
      </c>
      <c r="U11" s="8">
        <v>0.2</v>
      </c>
      <c r="V11" s="4"/>
      <c r="W11" s="4"/>
      <c r="X11" s="6">
        <v>0</v>
      </c>
      <c r="Y11" s="9">
        <v>0</v>
      </c>
      <c r="Z11" s="8">
        <v>0</v>
      </c>
      <c r="AA11" s="6">
        <v>0</v>
      </c>
      <c r="AB11" s="9">
        <v>0</v>
      </c>
      <c r="AC11" s="7">
        <v>0</v>
      </c>
      <c r="AD11" s="7">
        <v>-0.2</v>
      </c>
      <c r="AE11" s="9">
        <v>-0.0029</v>
      </c>
      <c r="AF11" s="9">
        <v>3.1507</v>
      </c>
      <c r="AG11" s="6">
        <v>0</v>
      </c>
      <c r="AH11" s="9">
        <v>0</v>
      </c>
      <c r="AI11" s="6">
        <v>16</v>
      </c>
      <c r="AJ11" s="6">
        <v>30</v>
      </c>
      <c r="AK11" s="6">
        <v>46</v>
      </c>
      <c r="AL11" s="6">
        <v>19</v>
      </c>
      <c r="AM11" s="6">
        <v>34</v>
      </c>
      <c r="AN11" s="6">
        <v>53</v>
      </c>
      <c r="AO11" s="9">
        <v>0.96</v>
      </c>
      <c r="AP11" s="9">
        <v>0.1957</v>
      </c>
      <c r="AQ11" s="9">
        <v>0.1957</v>
      </c>
      <c r="AR11" s="7">
        <v>1.08</v>
      </c>
      <c r="AS11" s="9">
        <v>0.0014</v>
      </c>
      <c r="AT11" s="7">
        <v>-20.61</v>
      </c>
      <c r="AU11" s="10">
        <v>1.36</v>
      </c>
      <c r="AV11" s="9">
        <v>0.7366</v>
      </c>
      <c r="AW11" s="9">
        <v>0.1637</v>
      </c>
      <c r="AX11" s="9">
        <v>0.2222</v>
      </c>
      <c r="AY11" s="7">
        <v>10.3</v>
      </c>
      <c r="AZ11" s="7">
        <v>1.51</v>
      </c>
      <c r="BA11" s="7">
        <v>27.98</v>
      </c>
      <c r="BB11" s="6">
        <v>2</v>
      </c>
      <c r="BC11" s="9">
        <v>0.2222</v>
      </c>
      <c r="BD11" s="9">
        <v>0.1053</v>
      </c>
      <c r="BE11" s="6">
        <v>13659</v>
      </c>
      <c r="BF11" s="6">
        <v>19</v>
      </c>
      <c r="BG11" s="4"/>
    </row>
    <row r="12" spans="1:59">
      <c r="A12" t="str">
        <f t="shared" si="0"/>
        <v>46264XXXX-111</v>
      </c>
      <c r="B12" s="3">
        <v>46264</v>
      </c>
      <c r="C12" s="4" t="s">
        <v>410</v>
      </c>
      <c r="D12" s="4"/>
      <c r="E12" s="4" t="s">
        <v>5</v>
      </c>
      <c r="F12" s="4"/>
      <c r="G12" s="5">
        <v>13.99</v>
      </c>
      <c r="H12" s="6">
        <v>555</v>
      </c>
      <c r="I12" s="6">
        <v>0</v>
      </c>
      <c r="J12" s="6">
        <v>5</v>
      </c>
      <c r="K12" s="6">
        <v>5</v>
      </c>
      <c r="L12" s="7">
        <v>69.95</v>
      </c>
      <c r="M12" s="7">
        <v>69.95</v>
      </c>
      <c r="N12" s="6">
        <v>0</v>
      </c>
      <c r="O12" s="7">
        <v>0</v>
      </c>
      <c r="P12" s="6">
        <v>0</v>
      </c>
      <c r="Q12" s="6">
        <v>0</v>
      </c>
      <c r="R12" s="7">
        <v>0</v>
      </c>
      <c r="S12" s="6">
        <v>0</v>
      </c>
      <c r="T12" s="7">
        <v>13.99</v>
      </c>
      <c r="U12" s="8">
        <v>0.1</v>
      </c>
      <c r="V12" s="4"/>
      <c r="W12" s="4"/>
      <c r="X12" s="6">
        <v>0</v>
      </c>
      <c r="Y12" s="9">
        <v>0</v>
      </c>
      <c r="Z12" s="8">
        <v>0</v>
      </c>
      <c r="AA12" s="6">
        <v>0</v>
      </c>
      <c r="AB12" s="9">
        <v>0</v>
      </c>
      <c r="AC12" s="7">
        <v>0</v>
      </c>
      <c r="AD12" s="7">
        <v>19.73</v>
      </c>
      <c r="AE12" s="9">
        <v>0.1409</v>
      </c>
      <c r="AF12" s="9">
        <v>2.5688</v>
      </c>
      <c r="AG12" s="6">
        <v>0</v>
      </c>
      <c r="AH12" s="9">
        <v>0</v>
      </c>
      <c r="AI12" s="6">
        <v>23</v>
      </c>
      <c r="AJ12" s="6">
        <v>55</v>
      </c>
      <c r="AK12" s="6">
        <v>78</v>
      </c>
      <c r="AL12" s="6">
        <v>32</v>
      </c>
      <c r="AM12" s="6">
        <v>64</v>
      </c>
      <c r="AN12" s="6">
        <v>96</v>
      </c>
      <c r="AO12" s="9">
        <v>0.98</v>
      </c>
      <c r="AP12" s="9">
        <v>0.0641</v>
      </c>
      <c r="AQ12" s="9">
        <v>0.0641</v>
      </c>
      <c r="AR12" s="7">
        <v>1.09</v>
      </c>
      <c r="AS12" s="9">
        <v>0.0014</v>
      </c>
      <c r="AT12" s="7">
        <v>-19.58</v>
      </c>
      <c r="AU12" s="10">
        <v>3.57</v>
      </c>
      <c r="AV12" s="9">
        <v>0.2799</v>
      </c>
      <c r="AW12" s="9">
        <v>0.2799</v>
      </c>
      <c r="AX12" s="9">
        <v>1</v>
      </c>
      <c r="AY12" s="7">
        <v>3.92</v>
      </c>
      <c r="AZ12" s="7">
        <v>1.52</v>
      </c>
      <c r="BA12" s="7">
        <v>69.95</v>
      </c>
      <c r="BB12" s="6">
        <v>5</v>
      </c>
      <c r="BC12" s="9">
        <v>1</v>
      </c>
      <c r="BD12" s="9">
        <v>0.2778</v>
      </c>
      <c r="BE12" s="6">
        <v>12849</v>
      </c>
      <c r="BF12" s="6">
        <v>18</v>
      </c>
      <c r="BG12" s="4"/>
    </row>
    <row r="13" spans="1:59">
      <c r="A13" t="str">
        <f t="shared" si="0"/>
        <v>46265XXXX-111</v>
      </c>
      <c r="B13" s="3">
        <v>46265</v>
      </c>
      <c r="C13" s="4" t="s">
        <v>410</v>
      </c>
      <c r="D13" s="4"/>
      <c r="E13" s="4" t="s">
        <v>5</v>
      </c>
      <c r="F13" s="4"/>
      <c r="G13" s="5">
        <v>13.99</v>
      </c>
      <c r="H13" s="6">
        <v>613</v>
      </c>
      <c r="I13" s="6">
        <v>0</v>
      </c>
      <c r="J13" s="6">
        <v>9</v>
      </c>
      <c r="K13" s="6">
        <v>7</v>
      </c>
      <c r="L13" s="7">
        <v>125.91</v>
      </c>
      <c r="M13" s="7">
        <v>113.6</v>
      </c>
      <c r="N13" s="6">
        <v>0</v>
      </c>
      <c r="O13" s="7">
        <v>0</v>
      </c>
      <c r="P13" s="6">
        <v>0</v>
      </c>
      <c r="Q13" s="6">
        <v>0</v>
      </c>
      <c r="R13" s="7">
        <v>0</v>
      </c>
      <c r="S13" s="6">
        <v>0</v>
      </c>
      <c r="T13" s="7">
        <v>12.62</v>
      </c>
      <c r="U13" s="8">
        <v>0.2</v>
      </c>
      <c r="V13" s="4"/>
      <c r="W13" s="4"/>
      <c r="X13" s="6">
        <v>1</v>
      </c>
      <c r="Y13" s="9">
        <v>0.1111</v>
      </c>
      <c r="Z13" s="8">
        <v>0</v>
      </c>
      <c r="AA13" s="6">
        <v>0</v>
      </c>
      <c r="AB13" s="9">
        <v>0</v>
      </c>
      <c r="AC13" s="7">
        <v>0</v>
      </c>
      <c r="AD13" s="7">
        <v>-0.9</v>
      </c>
      <c r="AE13" s="9">
        <v>-0.0081</v>
      </c>
      <c r="AF13" s="9">
        <v>3.1539</v>
      </c>
      <c r="AG13" s="6">
        <v>0</v>
      </c>
      <c r="AH13" s="9">
        <v>0</v>
      </c>
      <c r="AI13" s="6">
        <v>25</v>
      </c>
      <c r="AJ13" s="6">
        <v>46</v>
      </c>
      <c r="AK13" s="6">
        <v>71</v>
      </c>
      <c r="AL13" s="6">
        <v>35</v>
      </c>
      <c r="AM13" s="6">
        <v>51</v>
      </c>
      <c r="AN13" s="6">
        <v>86</v>
      </c>
      <c r="AO13" s="9">
        <v>0.95</v>
      </c>
      <c r="AP13" s="9">
        <v>0.0986</v>
      </c>
      <c r="AQ13" s="9">
        <v>0.1268</v>
      </c>
      <c r="AR13" s="7">
        <v>1.13</v>
      </c>
      <c r="AS13" s="9">
        <v>0.0033</v>
      </c>
      <c r="AT13" s="7">
        <v>-20.38</v>
      </c>
      <c r="AU13" s="10">
        <v>1.37</v>
      </c>
      <c r="AV13" s="9">
        <v>0.7284</v>
      </c>
      <c r="AW13" s="9">
        <v>0.1619</v>
      </c>
      <c r="AX13" s="9">
        <v>0.2222</v>
      </c>
      <c r="AY13" s="7">
        <v>10.19</v>
      </c>
      <c r="AZ13" s="7">
        <v>3.69</v>
      </c>
      <c r="BA13" s="7">
        <v>27.98</v>
      </c>
      <c r="BB13" s="6">
        <v>2</v>
      </c>
      <c r="BC13" s="9">
        <v>0.2857</v>
      </c>
      <c r="BD13" s="9">
        <v>0.1111</v>
      </c>
      <c r="BE13" s="6">
        <v>5518</v>
      </c>
      <c r="BF13" s="6">
        <v>18</v>
      </c>
      <c r="BG13" s="4"/>
    </row>
    <row r="14" spans="1:59">
      <c r="A14" t="str">
        <f t="shared" si="0"/>
        <v>46266XXXX-111</v>
      </c>
      <c r="B14" s="3">
        <v>46266</v>
      </c>
      <c r="C14" s="4" t="s">
        <v>410</v>
      </c>
      <c r="D14" s="4"/>
      <c r="E14" s="4" t="s">
        <v>5</v>
      </c>
      <c r="F14" s="4"/>
      <c r="G14" s="5">
        <v>13.99</v>
      </c>
      <c r="H14" s="6">
        <v>758</v>
      </c>
      <c r="I14" s="6">
        <v>0</v>
      </c>
      <c r="J14" s="6">
        <v>4</v>
      </c>
      <c r="K14" s="6">
        <v>4</v>
      </c>
      <c r="L14" s="7">
        <v>55.96</v>
      </c>
      <c r="M14" s="7">
        <v>55.96</v>
      </c>
      <c r="N14" s="6">
        <v>0</v>
      </c>
      <c r="O14" s="7">
        <v>0</v>
      </c>
      <c r="P14" s="6">
        <v>0</v>
      </c>
      <c r="Q14" s="6">
        <v>0</v>
      </c>
      <c r="R14" s="7">
        <v>0</v>
      </c>
      <c r="S14" s="6">
        <v>0</v>
      </c>
      <c r="T14" s="7">
        <v>13.99</v>
      </c>
      <c r="U14" s="8">
        <v>0.1</v>
      </c>
      <c r="V14" s="4"/>
      <c r="W14" s="4"/>
      <c r="X14" s="6">
        <v>0</v>
      </c>
      <c r="Y14" s="9">
        <v>0</v>
      </c>
      <c r="Z14" s="8">
        <v>0</v>
      </c>
      <c r="AA14" s="6">
        <v>0</v>
      </c>
      <c r="AB14" s="9">
        <v>0</v>
      </c>
      <c r="AC14" s="7">
        <v>0</v>
      </c>
      <c r="AD14" s="7">
        <v>-5.41</v>
      </c>
      <c r="AE14" s="9">
        <v>-0.0967</v>
      </c>
      <c r="AF14" s="9">
        <v>2.1582</v>
      </c>
      <c r="AG14" s="6">
        <v>0</v>
      </c>
      <c r="AH14" s="9">
        <v>0</v>
      </c>
      <c r="AI14" s="6">
        <v>24</v>
      </c>
      <c r="AJ14" s="6">
        <v>61</v>
      </c>
      <c r="AK14" s="6">
        <v>85</v>
      </c>
      <c r="AL14" s="6">
        <v>34</v>
      </c>
      <c r="AM14" s="6">
        <v>75</v>
      </c>
      <c r="AN14" s="6">
        <v>109</v>
      </c>
      <c r="AO14" s="9">
        <v>0.99</v>
      </c>
      <c r="AP14" s="9">
        <v>0.0471</v>
      </c>
      <c r="AQ14" s="9">
        <v>0.0471</v>
      </c>
      <c r="AR14" s="7">
        <v>1.19</v>
      </c>
      <c r="AS14" s="9">
        <v>0.0036</v>
      </c>
      <c r="AT14" s="7">
        <v>-20.3</v>
      </c>
      <c r="AU14" s="10">
        <v>0.69</v>
      </c>
      <c r="AV14" s="9">
        <v>1.451</v>
      </c>
      <c r="AW14" s="9">
        <v>0.3628</v>
      </c>
      <c r="AX14" s="9">
        <v>0.25</v>
      </c>
      <c r="AY14" s="7">
        <v>20.3</v>
      </c>
      <c r="AZ14" s="7">
        <v>4.35</v>
      </c>
      <c r="BA14" s="7">
        <v>13.99</v>
      </c>
      <c r="BB14" s="6">
        <v>1</v>
      </c>
      <c r="BC14" s="9">
        <v>0.25</v>
      </c>
      <c r="BD14" s="9">
        <v>0.0588</v>
      </c>
      <c r="BE14" s="6">
        <v>4668</v>
      </c>
      <c r="BF14" s="6">
        <v>17</v>
      </c>
      <c r="BG14" s="4"/>
    </row>
    <row r="15" spans="1:59">
      <c r="A15" t="str">
        <f t="shared" si="0"/>
        <v>46267XXXX-111</v>
      </c>
      <c r="B15" s="3">
        <v>46267</v>
      </c>
      <c r="C15" s="4" t="s">
        <v>410</v>
      </c>
      <c r="D15" s="4"/>
      <c r="E15" s="4" t="s">
        <v>5</v>
      </c>
      <c r="F15" s="4"/>
      <c r="G15" s="5">
        <v>13.99</v>
      </c>
      <c r="H15" s="6">
        <v>812</v>
      </c>
      <c r="I15" s="6">
        <v>0</v>
      </c>
      <c r="J15" s="6">
        <v>9</v>
      </c>
      <c r="K15" s="6">
        <v>9</v>
      </c>
      <c r="L15" s="7">
        <v>125.91</v>
      </c>
      <c r="M15" s="7">
        <v>125.91</v>
      </c>
      <c r="N15" s="6">
        <v>0</v>
      </c>
      <c r="O15" s="7">
        <v>0</v>
      </c>
      <c r="P15" s="6">
        <v>0</v>
      </c>
      <c r="Q15" s="6">
        <v>0</v>
      </c>
      <c r="R15" s="7">
        <v>0</v>
      </c>
      <c r="S15" s="6">
        <v>0</v>
      </c>
      <c r="T15" s="7">
        <v>13.99</v>
      </c>
      <c r="U15" s="8">
        <v>0.2</v>
      </c>
      <c r="V15" s="4"/>
      <c r="W15" s="4"/>
      <c r="X15" s="6">
        <v>0</v>
      </c>
      <c r="Y15" s="9">
        <v>0</v>
      </c>
      <c r="Z15" s="8">
        <v>0</v>
      </c>
      <c r="AA15" s="6">
        <v>0</v>
      </c>
      <c r="AB15" s="9">
        <v>0</v>
      </c>
      <c r="AC15" s="7">
        <v>0</v>
      </c>
      <c r="AD15" s="7">
        <v>1.98</v>
      </c>
      <c r="AE15" s="9">
        <v>0.0236</v>
      </c>
      <c r="AF15" s="9">
        <v>3.1602</v>
      </c>
      <c r="AG15" s="6">
        <v>0</v>
      </c>
      <c r="AH15" s="9">
        <v>0</v>
      </c>
      <c r="AI15" s="6">
        <v>31</v>
      </c>
      <c r="AJ15" s="6">
        <v>63</v>
      </c>
      <c r="AK15" s="6">
        <v>94</v>
      </c>
      <c r="AL15" s="6">
        <v>44</v>
      </c>
      <c r="AM15" s="6">
        <v>84</v>
      </c>
      <c r="AN15" s="6">
        <v>128</v>
      </c>
      <c r="AO15" s="9">
        <v>0.98</v>
      </c>
      <c r="AP15" s="9">
        <v>0.0957</v>
      </c>
      <c r="AQ15" s="9">
        <v>0.0957</v>
      </c>
      <c r="AR15" s="7">
        <v>1.19</v>
      </c>
      <c r="AS15" s="9">
        <v>0.0043</v>
      </c>
      <c r="AT15" s="7">
        <v>-20.22</v>
      </c>
      <c r="AU15" s="10">
        <v>2.08</v>
      </c>
      <c r="AV15" s="9">
        <v>0.4818</v>
      </c>
      <c r="AW15" s="9">
        <v>0.1606</v>
      </c>
      <c r="AX15" s="9">
        <v>0.3333</v>
      </c>
      <c r="AY15" s="7">
        <v>6.74</v>
      </c>
      <c r="AZ15" s="7">
        <v>5.13</v>
      </c>
      <c r="BA15" s="7">
        <v>41.97</v>
      </c>
      <c r="BB15" s="6">
        <v>3</v>
      </c>
      <c r="BC15" s="9">
        <v>0.3333</v>
      </c>
      <c r="BD15" s="9">
        <v>0.1765</v>
      </c>
      <c r="BE15" s="6">
        <v>3943</v>
      </c>
      <c r="BF15" s="6">
        <v>17</v>
      </c>
      <c r="BG15" s="4"/>
    </row>
    <row r="16" spans="1:59">
      <c r="A16" t="str">
        <f t="shared" si="0"/>
        <v>46268XXXX-111</v>
      </c>
      <c r="B16" s="3">
        <v>46268</v>
      </c>
      <c r="C16" s="4" t="s">
        <v>410</v>
      </c>
      <c r="D16" s="4"/>
      <c r="E16" s="4" t="s">
        <v>5</v>
      </c>
      <c r="F16" s="4"/>
      <c r="G16" s="5">
        <v>13.99</v>
      </c>
      <c r="H16" s="6">
        <v>803</v>
      </c>
      <c r="I16" s="6">
        <v>0</v>
      </c>
      <c r="J16" s="6">
        <v>9</v>
      </c>
      <c r="K16" s="6">
        <v>9</v>
      </c>
      <c r="L16" s="7">
        <v>125.91</v>
      </c>
      <c r="M16" s="7">
        <v>125.91</v>
      </c>
      <c r="N16" s="6">
        <v>0</v>
      </c>
      <c r="O16" s="7">
        <v>0</v>
      </c>
      <c r="P16" s="6">
        <v>0</v>
      </c>
      <c r="Q16" s="6">
        <v>0</v>
      </c>
      <c r="R16" s="7">
        <v>0</v>
      </c>
      <c r="S16" s="6">
        <v>0</v>
      </c>
      <c r="T16" s="7">
        <v>13.99</v>
      </c>
      <c r="U16" s="8">
        <v>0.2</v>
      </c>
      <c r="V16" s="4"/>
      <c r="W16" s="4"/>
      <c r="X16" s="6">
        <v>0</v>
      </c>
      <c r="Y16" s="9">
        <v>0</v>
      </c>
      <c r="Z16" s="8">
        <v>0</v>
      </c>
      <c r="AA16" s="6">
        <v>0</v>
      </c>
      <c r="AB16" s="9">
        <v>0</v>
      </c>
      <c r="AC16" s="7">
        <v>0</v>
      </c>
      <c r="AD16" s="7">
        <v>6.54</v>
      </c>
      <c r="AE16" s="9">
        <v>0.0668</v>
      </c>
      <c r="AF16" s="9">
        <v>3.1889</v>
      </c>
      <c r="AG16" s="6">
        <v>0</v>
      </c>
      <c r="AH16" s="9">
        <v>0</v>
      </c>
      <c r="AI16" s="6">
        <v>35</v>
      </c>
      <c r="AJ16" s="6">
        <v>89</v>
      </c>
      <c r="AK16" s="6">
        <v>124</v>
      </c>
      <c r="AL16" s="6">
        <v>41</v>
      </c>
      <c r="AM16" s="6">
        <v>110</v>
      </c>
      <c r="AN16" s="6">
        <v>151</v>
      </c>
      <c r="AO16" s="9">
        <v>0.98</v>
      </c>
      <c r="AP16" s="9">
        <v>0.0726</v>
      </c>
      <c r="AQ16" s="9">
        <v>0.0726</v>
      </c>
      <c r="AR16" s="7">
        <v>1.08</v>
      </c>
      <c r="AS16" s="9">
        <v>0.0036</v>
      </c>
      <c r="AT16" s="7">
        <v>-19.49</v>
      </c>
      <c r="AU16" s="10">
        <v>2.15</v>
      </c>
      <c r="AV16" s="9">
        <v>0.4644</v>
      </c>
      <c r="AW16" s="9">
        <v>0.1548</v>
      </c>
      <c r="AX16" s="9">
        <v>0.3333</v>
      </c>
      <c r="AY16" s="7">
        <v>6.5</v>
      </c>
      <c r="AZ16" s="7">
        <v>3.86</v>
      </c>
      <c r="BA16" s="7">
        <v>41.97</v>
      </c>
      <c r="BB16" s="6">
        <v>3</v>
      </c>
      <c r="BC16" s="9">
        <v>0.3333</v>
      </c>
      <c r="BD16" s="9">
        <v>0.1667</v>
      </c>
      <c r="BE16" s="6">
        <v>5051</v>
      </c>
      <c r="BF16" s="6">
        <v>18</v>
      </c>
      <c r="BG16" s="4"/>
    </row>
    <row r="17" spans="1:59">
      <c r="A17" t="str">
        <f t="shared" si="0"/>
        <v>46269XXXX-111</v>
      </c>
      <c r="B17" s="3">
        <v>46269</v>
      </c>
      <c r="C17" s="4" t="s">
        <v>410</v>
      </c>
      <c r="D17" s="4"/>
      <c r="E17" s="4" t="s">
        <v>5</v>
      </c>
      <c r="F17" s="4"/>
      <c r="G17" s="5">
        <v>13.99</v>
      </c>
      <c r="H17" s="6">
        <v>797</v>
      </c>
      <c r="I17" s="6">
        <v>0</v>
      </c>
      <c r="J17" s="6">
        <v>8</v>
      </c>
      <c r="K17" s="6">
        <v>8</v>
      </c>
      <c r="L17" s="7">
        <v>111.92</v>
      </c>
      <c r="M17" s="7">
        <v>111.92</v>
      </c>
      <c r="N17" s="6">
        <v>0</v>
      </c>
      <c r="O17" s="7">
        <v>0</v>
      </c>
      <c r="P17" s="6">
        <v>0</v>
      </c>
      <c r="Q17" s="6">
        <v>0</v>
      </c>
      <c r="R17" s="7">
        <v>0</v>
      </c>
      <c r="S17" s="6">
        <v>0</v>
      </c>
      <c r="T17" s="7">
        <v>13.99</v>
      </c>
      <c r="U17" s="8">
        <v>0.1</v>
      </c>
      <c r="V17" s="4"/>
      <c r="W17" s="4"/>
      <c r="X17" s="6">
        <v>0</v>
      </c>
      <c r="Y17" s="9">
        <v>0</v>
      </c>
      <c r="Z17" s="8">
        <v>0</v>
      </c>
      <c r="AA17" s="6">
        <v>0</v>
      </c>
      <c r="AB17" s="9">
        <v>0</v>
      </c>
      <c r="AC17" s="7">
        <v>0</v>
      </c>
      <c r="AD17" s="7">
        <v>10.03</v>
      </c>
      <c r="AE17" s="9">
        <v>0.0896</v>
      </c>
      <c r="AF17" s="9">
        <v>3.2679</v>
      </c>
      <c r="AG17" s="6">
        <v>0</v>
      </c>
      <c r="AH17" s="9">
        <v>0</v>
      </c>
      <c r="AI17" s="6">
        <v>47</v>
      </c>
      <c r="AJ17" s="6">
        <v>102</v>
      </c>
      <c r="AK17" s="6">
        <v>149</v>
      </c>
      <c r="AL17" s="6">
        <v>66</v>
      </c>
      <c r="AM17" s="6">
        <v>126</v>
      </c>
      <c r="AN17" s="6">
        <v>192</v>
      </c>
      <c r="AO17" s="9">
        <v>0.99</v>
      </c>
      <c r="AP17" s="9">
        <v>0.0537</v>
      </c>
      <c r="AQ17" s="9">
        <v>0.0537</v>
      </c>
      <c r="AR17" s="7">
        <v>1.15</v>
      </c>
      <c r="AS17" s="9">
        <v>0.0042</v>
      </c>
      <c r="AT17" s="7">
        <v>-19.53</v>
      </c>
      <c r="AU17" s="10">
        <v>2.87</v>
      </c>
      <c r="AV17" s="9">
        <v>0.349</v>
      </c>
      <c r="AW17" s="9">
        <v>0.1745</v>
      </c>
      <c r="AX17" s="9">
        <v>0.5</v>
      </c>
      <c r="AY17" s="7">
        <v>4.88</v>
      </c>
      <c r="AZ17" s="7">
        <v>4.83</v>
      </c>
      <c r="BA17" s="7">
        <v>55.96</v>
      </c>
      <c r="BB17" s="6">
        <v>4</v>
      </c>
      <c r="BC17" s="9">
        <v>0.5</v>
      </c>
      <c r="BD17" s="9">
        <v>0.2353</v>
      </c>
      <c r="BE17" s="6">
        <v>4046</v>
      </c>
      <c r="BF17" s="6">
        <v>17</v>
      </c>
      <c r="BG17" s="4"/>
    </row>
    <row r="18" spans="1:59">
      <c r="A18" t="str">
        <f t="shared" si="0"/>
        <v>46270XXXX-111</v>
      </c>
      <c r="B18" s="3">
        <v>46270</v>
      </c>
      <c r="C18" s="4" t="s">
        <v>410</v>
      </c>
      <c r="D18" s="4"/>
      <c r="E18" s="4" t="s">
        <v>5</v>
      </c>
      <c r="F18" s="4"/>
      <c r="G18" s="5">
        <v>13.99</v>
      </c>
      <c r="H18" s="6">
        <v>835</v>
      </c>
      <c r="I18" s="6">
        <v>0</v>
      </c>
      <c r="J18" s="6">
        <v>23</v>
      </c>
      <c r="K18" s="6">
        <v>22</v>
      </c>
      <c r="L18" s="7">
        <v>321.77</v>
      </c>
      <c r="M18" s="7">
        <v>321.77</v>
      </c>
      <c r="N18" s="6">
        <v>0</v>
      </c>
      <c r="O18" s="7">
        <v>0</v>
      </c>
      <c r="P18" s="6">
        <v>0</v>
      </c>
      <c r="Q18" s="6">
        <v>0</v>
      </c>
      <c r="R18" s="7">
        <v>0</v>
      </c>
      <c r="S18" s="6">
        <v>0</v>
      </c>
      <c r="T18" s="7">
        <v>13.99</v>
      </c>
      <c r="U18" s="8">
        <v>0.4</v>
      </c>
      <c r="V18" s="4"/>
      <c r="W18" s="4"/>
      <c r="X18" s="6">
        <v>0</v>
      </c>
      <c r="Y18" s="9">
        <v>0</v>
      </c>
      <c r="Z18" s="8">
        <v>0</v>
      </c>
      <c r="AA18" s="6">
        <v>0</v>
      </c>
      <c r="AB18" s="9">
        <v>0</v>
      </c>
      <c r="AC18" s="7">
        <v>0</v>
      </c>
      <c r="AD18" s="7">
        <v>30.29</v>
      </c>
      <c r="AE18" s="9">
        <v>0.163</v>
      </c>
      <c r="AF18" s="9">
        <v>3.7123</v>
      </c>
      <c r="AG18" s="6">
        <v>0</v>
      </c>
      <c r="AH18" s="9">
        <v>0</v>
      </c>
      <c r="AI18" s="6">
        <v>64</v>
      </c>
      <c r="AJ18" s="6">
        <v>139</v>
      </c>
      <c r="AK18" s="6">
        <v>203</v>
      </c>
      <c r="AL18" s="6">
        <v>82</v>
      </c>
      <c r="AM18" s="6">
        <v>168</v>
      </c>
      <c r="AN18" s="6">
        <v>250</v>
      </c>
      <c r="AO18" s="9">
        <v>0.99</v>
      </c>
      <c r="AP18" s="9">
        <v>0.1084</v>
      </c>
      <c r="AQ18" s="9">
        <v>0.1133</v>
      </c>
      <c r="AR18" s="7">
        <v>1.18</v>
      </c>
      <c r="AS18" s="9">
        <v>0.0038</v>
      </c>
      <c r="AT18" s="7">
        <v>-18.89</v>
      </c>
      <c r="AU18" s="10">
        <v>0</v>
      </c>
      <c r="AV18" s="9">
        <v>1</v>
      </c>
      <c r="AW18" s="9">
        <v>0.0587</v>
      </c>
      <c r="AX18" s="9">
        <v>0</v>
      </c>
      <c r="AY18" s="4"/>
      <c r="AZ18" s="7">
        <v>4.5</v>
      </c>
      <c r="BA18" s="7">
        <v>0</v>
      </c>
      <c r="BB18" s="6">
        <v>0</v>
      </c>
      <c r="BC18" s="9">
        <v>0</v>
      </c>
      <c r="BD18" s="9">
        <v>0</v>
      </c>
      <c r="BE18" s="6">
        <v>4194</v>
      </c>
      <c r="BF18" s="6">
        <v>16</v>
      </c>
      <c r="BG18" s="4"/>
    </row>
    <row r="19" spans="1:59">
      <c r="A19" t="str">
        <f t="shared" si="0"/>
        <v>46271XXXX-111</v>
      </c>
      <c r="B19" s="3">
        <v>46271</v>
      </c>
      <c r="C19" s="4" t="s">
        <v>410</v>
      </c>
      <c r="D19" s="4"/>
      <c r="E19" s="4" t="s">
        <v>5</v>
      </c>
      <c r="F19" s="4"/>
      <c r="G19" s="5">
        <v>13.99</v>
      </c>
      <c r="H19" s="6">
        <v>863</v>
      </c>
      <c r="I19" s="6">
        <v>0</v>
      </c>
      <c r="J19" s="6">
        <v>17</v>
      </c>
      <c r="K19" s="6">
        <v>16</v>
      </c>
      <c r="L19" s="7">
        <v>237.83</v>
      </c>
      <c r="M19" s="7">
        <v>237.83</v>
      </c>
      <c r="N19" s="6">
        <v>1</v>
      </c>
      <c r="O19" s="7">
        <v>13.99</v>
      </c>
      <c r="P19" s="6">
        <v>1</v>
      </c>
      <c r="Q19" s="6">
        <v>0</v>
      </c>
      <c r="R19" s="7">
        <v>0</v>
      </c>
      <c r="S19" s="6">
        <v>0</v>
      </c>
      <c r="T19" s="7">
        <v>13.99</v>
      </c>
      <c r="U19" s="8">
        <v>0.3</v>
      </c>
      <c r="V19" s="4"/>
      <c r="W19" s="4"/>
      <c r="X19" s="6">
        <v>0</v>
      </c>
      <c r="Y19" s="9">
        <v>0</v>
      </c>
      <c r="Z19" s="8">
        <v>0</v>
      </c>
      <c r="AA19" s="6">
        <v>0</v>
      </c>
      <c r="AB19" s="9">
        <v>0</v>
      </c>
      <c r="AC19" s="7">
        <v>0</v>
      </c>
      <c r="AD19" s="7">
        <v>54.47</v>
      </c>
      <c r="AE19" s="9">
        <v>0.1926</v>
      </c>
      <c r="AF19" s="9">
        <v>3.5316</v>
      </c>
      <c r="AG19" s="6">
        <v>0</v>
      </c>
      <c r="AH19" s="9">
        <v>0</v>
      </c>
      <c r="AI19" s="6">
        <v>37</v>
      </c>
      <c r="AJ19" s="6">
        <v>101</v>
      </c>
      <c r="AK19" s="6">
        <v>138</v>
      </c>
      <c r="AL19" s="6">
        <v>52</v>
      </c>
      <c r="AM19" s="6">
        <v>128</v>
      </c>
      <c r="AN19" s="6">
        <v>180</v>
      </c>
      <c r="AO19" s="9">
        <v>0.98</v>
      </c>
      <c r="AP19" s="9">
        <v>0.1159</v>
      </c>
      <c r="AQ19" s="9">
        <v>0.1232</v>
      </c>
      <c r="AR19" s="7">
        <v>1.13</v>
      </c>
      <c r="AS19" s="9">
        <v>0.0042</v>
      </c>
      <c r="AT19" s="7">
        <v>-20.37</v>
      </c>
      <c r="AU19" s="10">
        <v>0</v>
      </c>
      <c r="AV19" s="9">
        <v>1</v>
      </c>
      <c r="AW19" s="9">
        <v>0.0856</v>
      </c>
      <c r="AX19" s="9">
        <v>0</v>
      </c>
      <c r="AY19" s="4"/>
      <c r="AZ19" s="7">
        <v>4.79</v>
      </c>
      <c r="BA19" s="7">
        <v>0</v>
      </c>
      <c r="BB19" s="6">
        <v>0</v>
      </c>
      <c r="BC19" s="9">
        <v>0</v>
      </c>
      <c r="BD19" s="9">
        <v>0</v>
      </c>
      <c r="BE19" s="6">
        <v>4253</v>
      </c>
      <c r="BF19" s="6">
        <v>18</v>
      </c>
      <c r="BG19" s="4"/>
    </row>
    <row r="20" spans="1:59">
      <c r="A20" t="str">
        <f t="shared" si="0"/>
        <v>46272XXXX-111</v>
      </c>
      <c r="B20" s="3">
        <v>46272</v>
      </c>
      <c r="C20" s="4" t="s">
        <v>410</v>
      </c>
      <c r="D20" s="4"/>
      <c r="E20" s="4" t="s">
        <v>5</v>
      </c>
      <c r="F20" s="4"/>
      <c r="G20" s="5">
        <v>13.99</v>
      </c>
      <c r="H20" s="6">
        <v>842</v>
      </c>
      <c r="I20" s="6">
        <v>0</v>
      </c>
      <c r="J20" s="6">
        <v>11</v>
      </c>
      <c r="K20" s="6">
        <v>11</v>
      </c>
      <c r="L20" s="7">
        <v>153.89</v>
      </c>
      <c r="M20" s="7">
        <v>153.89</v>
      </c>
      <c r="N20" s="6">
        <v>1</v>
      </c>
      <c r="O20" s="7">
        <v>13.99</v>
      </c>
      <c r="P20" s="6">
        <v>1</v>
      </c>
      <c r="Q20" s="6">
        <v>0</v>
      </c>
      <c r="R20" s="7">
        <v>0</v>
      </c>
      <c r="S20" s="6">
        <v>0</v>
      </c>
      <c r="T20" s="7">
        <v>13.99</v>
      </c>
      <c r="U20" s="8">
        <v>0.2</v>
      </c>
      <c r="V20" s="4"/>
      <c r="W20" s="4"/>
      <c r="X20" s="6">
        <v>0</v>
      </c>
      <c r="Y20" s="9">
        <v>0</v>
      </c>
      <c r="Z20" s="8">
        <v>0</v>
      </c>
      <c r="AA20" s="6">
        <v>0</v>
      </c>
      <c r="AB20" s="9">
        <v>0</v>
      </c>
      <c r="AC20" s="7">
        <v>0</v>
      </c>
      <c r="AD20" s="7">
        <v>40.68</v>
      </c>
      <c r="AE20" s="9">
        <v>0.1711</v>
      </c>
      <c r="AF20" s="9">
        <v>3.2427</v>
      </c>
      <c r="AG20" s="6">
        <v>0</v>
      </c>
      <c r="AH20" s="9">
        <v>0</v>
      </c>
      <c r="AI20" s="6">
        <v>43</v>
      </c>
      <c r="AJ20" s="6">
        <v>99</v>
      </c>
      <c r="AK20" s="6">
        <v>142</v>
      </c>
      <c r="AL20" s="6">
        <v>68</v>
      </c>
      <c r="AM20" s="6">
        <v>115</v>
      </c>
      <c r="AN20" s="6">
        <v>183</v>
      </c>
      <c r="AO20" s="9">
        <v>0.98</v>
      </c>
      <c r="AP20" s="9">
        <v>0.0775</v>
      </c>
      <c r="AQ20" s="9">
        <v>0.0775</v>
      </c>
      <c r="AR20" s="7">
        <v>1.11</v>
      </c>
      <c r="AS20" s="9">
        <v>0.0034</v>
      </c>
      <c r="AT20" s="7">
        <v>-22.15</v>
      </c>
      <c r="AU20" s="10">
        <v>1.26</v>
      </c>
      <c r="AV20" s="9">
        <v>0.7916</v>
      </c>
      <c r="AW20" s="9">
        <v>0.1439</v>
      </c>
      <c r="AX20" s="9">
        <v>0.1818</v>
      </c>
      <c r="AY20" s="7">
        <v>11.07</v>
      </c>
      <c r="AZ20" s="7">
        <v>3.73</v>
      </c>
      <c r="BA20" s="7">
        <v>27.98</v>
      </c>
      <c r="BB20" s="6">
        <v>2</v>
      </c>
      <c r="BC20" s="9">
        <v>0.1818</v>
      </c>
      <c r="BD20" s="9">
        <v>0.1</v>
      </c>
      <c r="BE20" s="6">
        <v>5936</v>
      </c>
      <c r="BF20" s="6">
        <v>20</v>
      </c>
      <c r="BG20" s="4"/>
    </row>
    <row r="21" spans="1:59">
      <c r="A21" t="str">
        <f t="shared" si="0"/>
        <v>46273XXXX-111</v>
      </c>
      <c r="B21" s="3">
        <v>46273</v>
      </c>
      <c r="C21" s="4" t="s">
        <v>410</v>
      </c>
      <c r="D21" s="4"/>
      <c r="E21" s="4" t="s">
        <v>5</v>
      </c>
      <c r="F21" s="4"/>
      <c r="G21" s="5">
        <v>13.99</v>
      </c>
      <c r="H21" s="6">
        <v>838</v>
      </c>
      <c r="I21" s="6">
        <v>0</v>
      </c>
      <c r="J21" s="6">
        <v>12</v>
      </c>
      <c r="K21" s="6">
        <v>12</v>
      </c>
      <c r="L21" s="7">
        <v>167.88</v>
      </c>
      <c r="M21" s="7">
        <v>167.88</v>
      </c>
      <c r="N21" s="6">
        <v>0</v>
      </c>
      <c r="O21" s="7">
        <v>0</v>
      </c>
      <c r="P21" s="6">
        <v>0</v>
      </c>
      <c r="Q21" s="6">
        <v>0</v>
      </c>
      <c r="R21" s="7">
        <v>0</v>
      </c>
      <c r="S21" s="6">
        <v>0</v>
      </c>
      <c r="T21" s="7">
        <v>13.99</v>
      </c>
      <c r="U21" s="8">
        <v>0.2</v>
      </c>
      <c r="V21" s="4"/>
      <c r="W21" s="4"/>
      <c r="X21" s="6">
        <v>0</v>
      </c>
      <c r="Y21" s="9">
        <v>0</v>
      </c>
      <c r="Z21" s="8">
        <v>0</v>
      </c>
      <c r="AA21" s="6">
        <v>0</v>
      </c>
      <c r="AB21" s="9">
        <v>0</v>
      </c>
      <c r="AC21" s="7">
        <v>0</v>
      </c>
      <c r="AD21" s="7">
        <v>23.06</v>
      </c>
      <c r="AE21" s="9">
        <v>0.1373</v>
      </c>
      <c r="AF21" s="9">
        <v>3.3465</v>
      </c>
      <c r="AG21" s="6">
        <v>0</v>
      </c>
      <c r="AH21" s="9">
        <v>0</v>
      </c>
      <c r="AI21" s="6">
        <v>41</v>
      </c>
      <c r="AJ21" s="6">
        <v>81</v>
      </c>
      <c r="AK21" s="6">
        <v>122</v>
      </c>
      <c r="AL21" s="6">
        <v>58</v>
      </c>
      <c r="AM21" s="6">
        <v>101</v>
      </c>
      <c r="AN21" s="6">
        <v>159</v>
      </c>
      <c r="AO21" s="9">
        <v>0.98</v>
      </c>
      <c r="AP21" s="9">
        <v>0.0984</v>
      </c>
      <c r="AQ21" s="9">
        <v>0.0984</v>
      </c>
      <c r="AR21" s="7">
        <v>1.15</v>
      </c>
      <c r="AS21" s="9">
        <v>0.0028</v>
      </c>
      <c r="AT21" s="7">
        <v>-20.65</v>
      </c>
      <c r="AU21" s="10">
        <v>2.03</v>
      </c>
      <c r="AV21" s="9">
        <v>0.492</v>
      </c>
      <c r="AW21" s="9">
        <v>0.123</v>
      </c>
      <c r="AX21" s="9">
        <v>0.25</v>
      </c>
      <c r="AY21" s="7">
        <v>6.88</v>
      </c>
      <c r="AZ21" s="7">
        <v>3.26</v>
      </c>
      <c r="BA21" s="7">
        <v>41.97</v>
      </c>
      <c r="BB21" s="6">
        <v>3</v>
      </c>
      <c r="BC21" s="9">
        <v>0.25</v>
      </c>
      <c r="BD21" s="9">
        <v>0.1667</v>
      </c>
      <c r="BE21" s="6">
        <v>6325</v>
      </c>
      <c r="BF21" s="6">
        <v>18</v>
      </c>
      <c r="BG21" s="4"/>
    </row>
    <row r="22" spans="1:59">
      <c r="A22" t="str">
        <f t="shared" si="0"/>
        <v>46274XXXX-111</v>
      </c>
      <c r="B22" s="3">
        <v>46274</v>
      </c>
      <c r="C22" s="4" t="s">
        <v>410</v>
      </c>
      <c r="D22" s="4"/>
      <c r="E22" s="4" t="s">
        <v>5</v>
      </c>
      <c r="F22" s="4"/>
      <c r="G22" s="5">
        <v>13.99</v>
      </c>
      <c r="H22" s="6">
        <v>843</v>
      </c>
      <c r="I22" s="6">
        <v>0</v>
      </c>
      <c r="J22" s="6">
        <v>9</v>
      </c>
      <c r="K22" s="6">
        <v>9</v>
      </c>
      <c r="L22" s="7">
        <v>125.91</v>
      </c>
      <c r="M22" s="7">
        <v>125.91</v>
      </c>
      <c r="N22" s="6">
        <v>1</v>
      </c>
      <c r="O22" s="7">
        <v>13.99</v>
      </c>
      <c r="P22" s="6">
        <v>1</v>
      </c>
      <c r="Q22" s="6">
        <v>0</v>
      </c>
      <c r="R22" s="7">
        <v>0</v>
      </c>
      <c r="S22" s="6">
        <v>0</v>
      </c>
      <c r="T22" s="7">
        <v>13.99</v>
      </c>
      <c r="U22" s="8">
        <v>0.2</v>
      </c>
      <c r="V22" s="4"/>
      <c r="W22" s="4"/>
      <c r="X22" s="6">
        <v>0</v>
      </c>
      <c r="Y22" s="9">
        <v>0</v>
      </c>
      <c r="Z22" s="8">
        <v>3</v>
      </c>
      <c r="AA22" s="6">
        <v>1</v>
      </c>
      <c r="AB22" s="9">
        <v>0</v>
      </c>
      <c r="AC22" s="7">
        <v>0</v>
      </c>
      <c r="AD22" s="7">
        <v>10.64</v>
      </c>
      <c r="AE22" s="9">
        <v>0.095</v>
      </c>
      <c r="AF22" s="9">
        <v>3.2881</v>
      </c>
      <c r="AG22" s="6">
        <v>0</v>
      </c>
      <c r="AH22" s="9">
        <v>0</v>
      </c>
      <c r="AI22" s="6">
        <v>29</v>
      </c>
      <c r="AJ22" s="6">
        <v>73</v>
      </c>
      <c r="AK22" s="6">
        <v>102</v>
      </c>
      <c r="AL22" s="6">
        <v>39</v>
      </c>
      <c r="AM22" s="6">
        <v>96</v>
      </c>
      <c r="AN22" s="6">
        <v>135</v>
      </c>
      <c r="AO22" s="9">
        <v>0.96</v>
      </c>
      <c r="AP22" s="9">
        <v>0.0882</v>
      </c>
      <c r="AQ22" s="9">
        <v>0.0882</v>
      </c>
      <c r="AR22" s="7">
        <v>1.13</v>
      </c>
      <c r="AS22" s="9">
        <v>0.0037</v>
      </c>
      <c r="AT22" s="7">
        <v>-19.25</v>
      </c>
      <c r="AU22" s="10">
        <v>1.45</v>
      </c>
      <c r="AV22" s="9">
        <v>0.688</v>
      </c>
      <c r="AW22" s="9">
        <v>0.1529</v>
      </c>
      <c r="AX22" s="9">
        <v>0.2222</v>
      </c>
      <c r="AY22" s="7">
        <v>9.62</v>
      </c>
      <c r="AZ22" s="7">
        <v>4.16</v>
      </c>
      <c r="BA22" s="7">
        <v>27.98</v>
      </c>
      <c r="BB22" s="6">
        <v>2</v>
      </c>
      <c r="BC22" s="9">
        <v>0.2222</v>
      </c>
      <c r="BD22" s="9">
        <v>0.1176</v>
      </c>
      <c r="BE22" s="6">
        <v>4629</v>
      </c>
      <c r="BF22" s="6">
        <v>17</v>
      </c>
      <c r="BG22" s="4"/>
    </row>
    <row r="23" spans="1:59">
      <c r="A23" t="str">
        <f t="shared" si="0"/>
        <v>46275XXXX-111</v>
      </c>
      <c r="B23" s="3">
        <v>46275</v>
      </c>
      <c r="C23" s="4" t="s">
        <v>410</v>
      </c>
      <c r="D23" s="4"/>
      <c r="E23" s="4" t="s">
        <v>5</v>
      </c>
      <c r="F23" s="4"/>
      <c r="G23" s="5">
        <v>13.99</v>
      </c>
      <c r="H23" s="6">
        <v>830</v>
      </c>
      <c r="I23" s="6">
        <v>0</v>
      </c>
      <c r="J23" s="6">
        <v>11</v>
      </c>
      <c r="K23" s="6">
        <v>11</v>
      </c>
      <c r="L23" s="7">
        <v>153.89</v>
      </c>
      <c r="M23" s="7">
        <v>153.89</v>
      </c>
      <c r="N23" s="6">
        <v>0</v>
      </c>
      <c r="O23" s="7">
        <v>0</v>
      </c>
      <c r="P23" s="6">
        <v>0</v>
      </c>
      <c r="Q23" s="6">
        <v>0</v>
      </c>
      <c r="R23" s="7">
        <v>0</v>
      </c>
      <c r="S23" s="6">
        <v>0</v>
      </c>
      <c r="T23" s="7">
        <v>13.99</v>
      </c>
      <c r="U23" s="8">
        <v>0.2</v>
      </c>
      <c r="V23" s="4"/>
      <c r="W23" s="4"/>
      <c r="X23" s="6">
        <v>0</v>
      </c>
      <c r="Y23" s="9">
        <v>0</v>
      </c>
      <c r="Z23" s="8">
        <v>3</v>
      </c>
      <c r="AA23" s="6">
        <v>1</v>
      </c>
      <c r="AB23" s="9">
        <v>0</v>
      </c>
      <c r="AC23" s="7">
        <v>0</v>
      </c>
      <c r="AD23" s="7">
        <v>28.77</v>
      </c>
      <c r="AE23" s="9">
        <v>0.1563</v>
      </c>
      <c r="AF23" s="9">
        <v>3.3188</v>
      </c>
      <c r="AG23" s="6">
        <v>0</v>
      </c>
      <c r="AH23" s="9">
        <v>0</v>
      </c>
      <c r="AI23" s="6">
        <v>41</v>
      </c>
      <c r="AJ23" s="6">
        <v>131</v>
      </c>
      <c r="AK23" s="6">
        <v>172</v>
      </c>
      <c r="AL23" s="6">
        <v>54</v>
      </c>
      <c r="AM23" s="6">
        <v>153</v>
      </c>
      <c r="AN23" s="6">
        <v>207</v>
      </c>
      <c r="AO23" s="9">
        <v>0.99</v>
      </c>
      <c r="AP23" s="9">
        <v>0.064</v>
      </c>
      <c r="AQ23" s="9">
        <v>0.064</v>
      </c>
      <c r="AR23" s="7">
        <v>1.1</v>
      </c>
      <c r="AS23" s="9">
        <v>0.0045</v>
      </c>
      <c r="AT23" s="7">
        <v>-19.79</v>
      </c>
      <c r="AU23" s="10">
        <v>1.41</v>
      </c>
      <c r="AV23" s="9">
        <v>0.7073</v>
      </c>
      <c r="AW23" s="9">
        <v>0.1286</v>
      </c>
      <c r="AX23" s="9">
        <v>0.1818</v>
      </c>
      <c r="AY23" s="7">
        <v>9.89</v>
      </c>
      <c r="AZ23" s="7">
        <v>4.91</v>
      </c>
      <c r="BA23" s="7">
        <v>27.98</v>
      </c>
      <c r="BB23" s="6">
        <v>2</v>
      </c>
      <c r="BC23" s="9">
        <v>0.1818</v>
      </c>
      <c r="BD23" s="9">
        <v>0.1111</v>
      </c>
      <c r="BE23" s="6">
        <v>4027</v>
      </c>
      <c r="BF23" s="6">
        <v>18</v>
      </c>
      <c r="BG23" s="4"/>
    </row>
    <row r="24" spans="1:59">
      <c r="A24" t="str">
        <f t="shared" si="0"/>
        <v>46276XXXX-111</v>
      </c>
      <c r="B24" s="3">
        <v>46276</v>
      </c>
      <c r="C24" s="4" t="s">
        <v>410</v>
      </c>
      <c r="D24" s="4"/>
      <c r="E24" s="4" t="s">
        <v>5</v>
      </c>
      <c r="F24" s="4"/>
      <c r="G24" s="5">
        <v>13.99</v>
      </c>
      <c r="H24" s="6">
        <v>818</v>
      </c>
      <c r="I24" s="6">
        <v>0</v>
      </c>
      <c r="J24" s="6">
        <v>14</v>
      </c>
      <c r="K24" s="6">
        <v>14</v>
      </c>
      <c r="L24" s="7">
        <v>195.86</v>
      </c>
      <c r="M24" s="7">
        <v>195.86</v>
      </c>
      <c r="N24" s="6">
        <v>0</v>
      </c>
      <c r="O24" s="7">
        <v>0</v>
      </c>
      <c r="P24" s="6">
        <v>0</v>
      </c>
      <c r="Q24" s="6">
        <v>0</v>
      </c>
      <c r="R24" s="7">
        <v>0</v>
      </c>
      <c r="S24" s="6">
        <v>0</v>
      </c>
      <c r="T24" s="7">
        <v>13.99</v>
      </c>
      <c r="U24" s="8">
        <v>0.2</v>
      </c>
      <c r="V24" s="4"/>
      <c r="W24" s="4"/>
      <c r="X24" s="6">
        <v>0</v>
      </c>
      <c r="Y24" s="9">
        <v>0</v>
      </c>
      <c r="Z24" s="8">
        <v>3</v>
      </c>
      <c r="AA24" s="6">
        <v>1</v>
      </c>
      <c r="AB24" s="9">
        <v>0</v>
      </c>
      <c r="AC24" s="7">
        <v>0</v>
      </c>
      <c r="AD24" s="7">
        <v>18.01</v>
      </c>
      <c r="AE24" s="9">
        <v>0.1288</v>
      </c>
      <c r="AF24" s="9">
        <v>3.4455</v>
      </c>
      <c r="AG24" s="6">
        <v>1</v>
      </c>
      <c r="AH24" s="9">
        <v>0.0714</v>
      </c>
      <c r="AI24" s="6">
        <v>46</v>
      </c>
      <c r="AJ24" s="6">
        <v>158</v>
      </c>
      <c r="AK24" s="6">
        <v>204</v>
      </c>
      <c r="AL24" s="6">
        <v>60</v>
      </c>
      <c r="AM24" s="6">
        <v>182</v>
      </c>
      <c r="AN24" s="6">
        <v>242</v>
      </c>
      <c r="AO24" s="9">
        <v>0.98</v>
      </c>
      <c r="AP24" s="9">
        <v>0.0686</v>
      </c>
      <c r="AQ24" s="9">
        <v>0.0686</v>
      </c>
      <c r="AR24" s="7">
        <v>1.19</v>
      </c>
      <c r="AS24" s="9">
        <v>0.0032</v>
      </c>
      <c r="AT24" s="7">
        <v>-20.18</v>
      </c>
      <c r="AU24" s="10">
        <v>1.39</v>
      </c>
      <c r="AV24" s="9">
        <v>0.7212</v>
      </c>
      <c r="AW24" s="9">
        <v>0.103</v>
      </c>
      <c r="AX24" s="9">
        <v>0.1429</v>
      </c>
      <c r="AY24" s="7">
        <v>10.09</v>
      </c>
      <c r="AZ24" s="7">
        <v>3.75</v>
      </c>
      <c r="BA24" s="7">
        <v>27.98</v>
      </c>
      <c r="BB24" s="6">
        <v>2</v>
      </c>
      <c r="BC24" s="9">
        <v>0.1429</v>
      </c>
      <c r="BD24" s="9">
        <v>0.1176</v>
      </c>
      <c r="BE24" s="6">
        <v>5376</v>
      </c>
      <c r="BF24" s="6">
        <v>17</v>
      </c>
      <c r="BG24" s="4"/>
    </row>
    <row r="25" spans="1:59">
      <c r="A25" t="str">
        <f t="shared" si="0"/>
        <v>46277XXXX-111</v>
      </c>
      <c r="B25" s="3">
        <v>46277</v>
      </c>
      <c r="C25" s="4" t="s">
        <v>410</v>
      </c>
      <c r="D25" s="4"/>
      <c r="E25" s="4" t="s">
        <v>5</v>
      </c>
      <c r="F25" s="4"/>
      <c r="G25" s="5">
        <v>13.99</v>
      </c>
      <c r="H25" s="6">
        <v>807</v>
      </c>
      <c r="I25" s="6">
        <v>0</v>
      </c>
      <c r="J25" s="6">
        <v>18</v>
      </c>
      <c r="K25" s="6">
        <v>18</v>
      </c>
      <c r="L25" s="7">
        <v>251.82</v>
      </c>
      <c r="M25" s="7">
        <v>251.82</v>
      </c>
      <c r="N25" s="6">
        <v>1</v>
      </c>
      <c r="O25" s="7">
        <v>13.99</v>
      </c>
      <c r="P25" s="6">
        <v>1</v>
      </c>
      <c r="Q25" s="6">
        <v>0</v>
      </c>
      <c r="R25" s="7">
        <v>0</v>
      </c>
      <c r="S25" s="6">
        <v>0</v>
      </c>
      <c r="T25" s="7">
        <v>13.99</v>
      </c>
      <c r="U25" s="8">
        <v>0.3</v>
      </c>
      <c r="V25" s="4"/>
      <c r="W25" s="4"/>
      <c r="X25" s="6">
        <v>0</v>
      </c>
      <c r="Y25" s="9">
        <v>0</v>
      </c>
      <c r="Z25" s="8">
        <v>4.6</v>
      </c>
      <c r="AA25" s="6">
        <v>16</v>
      </c>
      <c r="AB25" s="9">
        <v>0</v>
      </c>
      <c r="AC25" s="7">
        <v>0</v>
      </c>
      <c r="AD25" s="7">
        <v>42.39</v>
      </c>
      <c r="AE25" s="9">
        <v>0.1894</v>
      </c>
      <c r="AF25" s="9">
        <v>3.5725</v>
      </c>
      <c r="AG25" s="6">
        <v>0</v>
      </c>
      <c r="AH25" s="9">
        <v>0</v>
      </c>
      <c r="AI25" s="6">
        <v>54</v>
      </c>
      <c r="AJ25" s="6">
        <v>111</v>
      </c>
      <c r="AK25" s="6">
        <v>165</v>
      </c>
      <c r="AL25" s="6">
        <v>77</v>
      </c>
      <c r="AM25" s="6">
        <v>131</v>
      </c>
      <c r="AN25" s="6">
        <v>208</v>
      </c>
      <c r="AO25" s="9">
        <v>0.99</v>
      </c>
      <c r="AP25" s="9">
        <v>0.1091</v>
      </c>
      <c r="AQ25" s="9">
        <v>0.1091</v>
      </c>
      <c r="AR25" s="7">
        <v>1.08</v>
      </c>
      <c r="AS25" s="9">
        <v>0.0035</v>
      </c>
      <c r="AT25" s="7">
        <v>-19.49</v>
      </c>
      <c r="AU25" s="10">
        <v>2.15</v>
      </c>
      <c r="AV25" s="9">
        <v>0.4644</v>
      </c>
      <c r="AW25" s="9">
        <v>0.0774</v>
      </c>
      <c r="AX25" s="9">
        <v>0.1667</v>
      </c>
      <c r="AY25" s="7">
        <v>6.5</v>
      </c>
      <c r="AZ25" s="7">
        <v>3.79</v>
      </c>
      <c r="BA25" s="7">
        <v>41.97</v>
      </c>
      <c r="BB25" s="6">
        <v>3</v>
      </c>
      <c r="BC25" s="9">
        <v>0.1667</v>
      </c>
      <c r="BD25" s="9">
        <v>0.1667</v>
      </c>
      <c r="BE25" s="6">
        <v>5139</v>
      </c>
      <c r="BF25" s="6">
        <v>18</v>
      </c>
      <c r="BG25" s="4"/>
    </row>
    <row r="26" spans="1:59">
      <c r="A26" t="str">
        <f t="shared" si="0"/>
        <v>46278XXXX-111</v>
      </c>
      <c r="B26" s="3">
        <v>46278</v>
      </c>
      <c r="C26" s="4" t="s">
        <v>410</v>
      </c>
      <c r="D26" s="4"/>
      <c r="E26" s="4" t="s">
        <v>5</v>
      </c>
      <c r="F26" s="4"/>
      <c r="G26" s="5">
        <v>13.99</v>
      </c>
      <c r="H26" s="6">
        <v>781</v>
      </c>
      <c r="I26" s="6">
        <v>0</v>
      </c>
      <c r="J26" s="6">
        <v>19</v>
      </c>
      <c r="K26" s="6">
        <v>19</v>
      </c>
      <c r="L26" s="7">
        <v>265.81</v>
      </c>
      <c r="M26" s="7">
        <v>265.81</v>
      </c>
      <c r="N26" s="6">
        <v>0</v>
      </c>
      <c r="O26" s="7">
        <v>0</v>
      </c>
      <c r="P26" s="6">
        <v>0</v>
      </c>
      <c r="Q26" s="6">
        <v>0</v>
      </c>
      <c r="R26" s="7">
        <v>0</v>
      </c>
      <c r="S26" s="6">
        <v>0</v>
      </c>
      <c r="T26" s="7">
        <v>13.99</v>
      </c>
      <c r="U26" s="8">
        <v>0.3</v>
      </c>
      <c r="V26" s="4"/>
      <c r="W26" s="4"/>
      <c r="X26" s="6">
        <v>0</v>
      </c>
      <c r="Y26" s="9">
        <v>0</v>
      </c>
      <c r="Z26" s="8">
        <v>4.6</v>
      </c>
      <c r="AA26" s="6">
        <v>16</v>
      </c>
      <c r="AB26" s="9">
        <v>0</v>
      </c>
      <c r="AC26" s="7">
        <v>0</v>
      </c>
      <c r="AD26" s="7">
        <v>77.09</v>
      </c>
      <c r="AE26" s="9">
        <v>0.2755</v>
      </c>
      <c r="AF26" s="9">
        <v>4.024</v>
      </c>
      <c r="AG26" s="6">
        <v>0</v>
      </c>
      <c r="AH26" s="9">
        <v>0</v>
      </c>
      <c r="AI26" s="6">
        <v>55</v>
      </c>
      <c r="AJ26" s="6">
        <v>120</v>
      </c>
      <c r="AK26" s="6">
        <v>175</v>
      </c>
      <c r="AL26" s="6">
        <v>71</v>
      </c>
      <c r="AM26" s="6">
        <v>151</v>
      </c>
      <c r="AN26" s="6">
        <v>222</v>
      </c>
      <c r="AO26" s="9">
        <v>0.98</v>
      </c>
      <c r="AP26" s="9">
        <v>0.1086</v>
      </c>
      <c r="AQ26" s="9">
        <v>0.1086</v>
      </c>
      <c r="AR26" s="4"/>
      <c r="AS26" s="9">
        <v>0</v>
      </c>
      <c r="AT26" s="7">
        <v>0</v>
      </c>
      <c r="AU26" s="10">
        <v>0</v>
      </c>
      <c r="AV26" s="9">
        <v>0</v>
      </c>
      <c r="AW26" s="9">
        <v>0</v>
      </c>
      <c r="AX26" s="9">
        <v>0</v>
      </c>
      <c r="AY26" s="4"/>
      <c r="AZ26" s="7">
        <v>0</v>
      </c>
      <c r="BA26" s="7">
        <v>0</v>
      </c>
      <c r="BB26" s="6">
        <v>0</v>
      </c>
      <c r="BC26" s="9">
        <v>0</v>
      </c>
      <c r="BD26" s="9">
        <v>0</v>
      </c>
      <c r="BE26" s="6">
        <v>0</v>
      </c>
      <c r="BF26" s="6">
        <v>0</v>
      </c>
      <c r="BG26" s="4"/>
    </row>
    <row r="27" spans="1:59">
      <c r="A27" t="str">
        <f t="shared" si="0"/>
        <v>46279XXXX-111</v>
      </c>
      <c r="B27" s="3">
        <v>46279</v>
      </c>
      <c r="C27" s="4" t="s">
        <v>410</v>
      </c>
      <c r="D27" s="4"/>
      <c r="E27" s="4" t="s">
        <v>5</v>
      </c>
      <c r="F27" s="4"/>
      <c r="G27" s="5">
        <v>13.99</v>
      </c>
      <c r="H27" s="6">
        <v>759</v>
      </c>
      <c r="I27" s="6">
        <v>0</v>
      </c>
      <c r="J27" s="6">
        <v>21</v>
      </c>
      <c r="K27" s="6">
        <v>21</v>
      </c>
      <c r="L27" s="7">
        <v>293.79</v>
      </c>
      <c r="M27" s="7">
        <v>293.79</v>
      </c>
      <c r="N27" s="6">
        <v>0</v>
      </c>
      <c r="O27" s="7">
        <v>0</v>
      </c>
      <c r="P27" s="6">
        <v>0</v>
      </c>
      <c r="Q27" s="6">
        <v>0</v>
      </c>
      <c r="R27" s="7">
        <v>0</v>
      </c>
      <c r="S27" s="6">
        <v>0</v>
      </c>
      <c r="T27" s="7">
        <v>13.99</v>
      </c>
      <c r="U27" s="8">
        <v>0.4</v>
      </c>
      <c r="V27" s="4"/>
      <c r="W27" s="4"/>
      <c r="X27" s="6">
        <v>0</v>
      </c>
      <c r="Y27" s="9">
        <v>0</v>
      </c>
      <c r="Z27" s="8">
        <v>4.6</v>
      </c>
      <c r="AA27" s="6">
        <v>16</v>
      </c>
      <c r="AB27" s="9">
        <v>0</v>
      </c>
      <c r="AC27" s="7">
        <v>0</v>
      </c>
      <c r="AD27" s="7">
        <v>75.64</v>
      </c>
      <c r="AE27" s="9">
        <v>0.2846</v>
      </c>
      <c r="AF27" s="9">
        <v>4.0627</v>
      </c>
      <c r="AG27" s="6">
        <v>0</v>
      </c>
      <c r="AH27" s="9">
        <v>0</v>
      </c>
      <c r="AI27" s="6">
        <v>59</v>
      </c>
      <c r="AJ27" s="6">
        <v>141</v>
      </c>
      <c r="AK27" s="6">
        <v>200</v>
      </c>
      <c r="AL27" s="6">
        <v>91</v>
      </c>
      <c r="AM27" s="6">
        <v>172</v>
      </c>
      <c r="AN27" s="6">
        <v>263</v>
      </c>
      <c r="AO27" s="9">
        <v>0.98</v>
      </c>
      <c r="AP27" s="9">
        <v>0.105</v>
      </c>
      <c r="AQ27" s="9">
        <v>0.105</v>
      </c>
      <c r="AR27" s="4"/>
      <c r="AS27" s="9">
        <v>0</v>
      </c>
      <c r="AT27" s="7">
        <v>0</v>
      </c>
      <c r="AU27" s="10">
        <v>0</v>
      </c>
      <c r="AV27" s="9">
        <v>0</v>
      </c>
      <c r="AW27" s="9">
        <v>0</v>
      </c>
      <c r="AX27" s="9">
        <v>0</v>
      </c>
      <c r="AY27" s="4"/>
      <c r="AZ27" s="7">
        <v>0</v>
      </c>
      <c r="BA27" s="7">
        <v>0</v>
      </c>
      <c r="BB27" s="6">
        <v>0</v>
      </c>
      <c r="BC27" s="9">
        <v>0</v>
      </c>
      <c r="BD27" s="9">
        <v>0</v>
      </c>
      <c r="BE27" s="6">
        <v>0</v>
      </c>
      <c r="BF27" s="6">
        <v>0</v>
      </c>
      <c r="BG27" s="4"/>
    </row>
    <row r="28" spans="1:59">
      <c r="A28" t="str">
        <f t="shared" si="0"/>
        <v>46280XXXX-111</v>
      </c>
      <c r="B28" s="3">
        <v>46280</v>
      </c>
      <c r="C28" s="4" t="s">
        <v>410</v>
      </c>
      <c r="D28" s="4"/>
      <c r="E28" s="4" t="s">
        <v>5</v>
      </c>
      <c r="F28" s="4"/>
      <c r="G28" s="5">
        <v>13.99</v>
      </c>
      <c r="H28" s="6">
        <v>736</v>
      </c>
      <c r="I28" s="6">
        <v>0</v>
      </c>
      <c r="J28" s="6">
        <v>22</v>
      </c>
      <c r="K28" s="6">
        <v>22</v>
      </c>
      <c r="L28" s="7">
        <v>307.78</v>
      </c>
      <c r="M28" s="7">
        <v>307.78</v>
      </c>
      <c r="N28" s="6">
        <v>0</v>
      </c>
      <c r="O28" s="7">
        <v>0</v>
      </c>
      <c r="P28" s="6">
        <v>0</v>
      </c>
      <c r="Q28" s="6">
        <v>0</v>
      </c>
      <c r="R28" s="7">
        <v>0</v>
      </c>
      <c r="S28" s="6">
        <v>0</v>
      </c>
      <c r="T28" s="7">
        <v>13.99</v>
      </c>
      <c r="U28" s="8">
        <v>0.4</v>
      </c>
      <c r="V28" s="4"/>
      <c r="W28" s="4"/>
      <c r="X28" s="6">
        <v>0</v>
      </c>
      <c r="Y28" s="9">
        <v>0</v>
      </c>
      <c r="Z28" s="8">
        <v>4.6</v>
      </c>
      <c r="AA28" s="6">
        <v>16</v>
      </c>
      <c r="AB28" s="9">
        <v>0</v>
      </c>
      <c r="AC28" s="7">
        <v>0</v>
      </c>
      <c r="AD28" s="7">
        <v>57.52</v>
      </c>
      <c r="AE28" s="9">
        <v>0.2252</v>
      </c>
      <c r="AF28" s="9">
        <v>3.9561</v>
      </c>
      <c r="AG28" s="6">
        <v>0</v>
      </c>
      <c r="AH28" s="9">
        <v>0</v>
      </c>
      <c r="AI28" s="6">
        <v>53</v>
      </c>
      <c r="AJ28" s="6">
        <v>123</v>
      </c>
      <c r="AK28" s="6">
        <v>176</v>
      </c>
      <c r="AL28" s="6">
        <v>78</v>
      </c>
      <c r="AM28" s="6">
        <v>147</v>
      </c>
      <c r="AN28" s="6">
        <v>225</v>
      </c>
      <c r="AO28" s="9">
        <v>0.97</v>
      </c>
      <c r="AP28" s="9">
        <v>0.125</v>
      </c>
      <c r="AQ28" s="9">
        <v>0.125</v>
      </c>
      <c r="AR28" s="4"/>
      <c r="AS28" s="9">
        <v>0</v>
      </c>
      <c r="AT28" s="7">
        <v>0</v>
      </c>
      <c r="AU28" s="10">
        <v>0</v>
      </c>
      <c r="AV28" s="9">
        <v>0</v>
      </c>
      <c r="AW28" s="9">
        <v>0</v>
      </c>
      <c r="AX28" s="9">
        <v>0</v>
      </c>
      <c r="AY28" s="4"/>
      <c r="AZ28" s="7">
        <v>0</v>
      </c>
      <c r="BA28" s="7">
        <v>0</v>
      </c>
      <c r="BB28" s="6">
        <v>0</v>
      </c>
      <c r="BC28" s="9">
        <v>0</v>
      </c>
      <c r="BD28" s="9">
        <v>0</v>
      </c>
      <c r="BE28" s="6">
        <v>0</v>
      </c>
      <c r="BF28" s="6">
        <v>0</v>
      </c>
      <c r="BG28" s="4"/>
    </row>
    <row r="29" spans="1:59">
      <c r="A29" t="str">
        <f t="shared" si="0"/>
        <v>46281XXXX-111</v>
      </c>
      <c r="B29" s="3">
        <v>46281</v>
      </c>
      <c r="C29" s="4" t="s">
        <v>410</v>
      </c>
      <c r="D29" s="4"/>
      <c r="E29" s="4" t="s">
        <v>5</v>
      </c>
      <c r="F29" s="4"/>
      <c r="G29" s="5">
        <v>13.99</v>
      </c>
      <c r="H29" s="6">
        <v>706</v>
      </c>
      <c r="I29" s="6">
        <v>0</v>
      </c>
      <c r="J29" s="6">
        <v>29</v>
      </c>
      <c r="K29" s="6">
        <v>29</v>
      </c>
      <c r="L29" s="7">
        <v>413.71</v>
      </c>
      <c r="M29" s="7">
        <v>413.71</v>
      </c>
      <c r="N29" s="6">
        <v>0</v>
      </c>
      <c r="O29" s="7">
        <v>0</v>
      </c>
      <c r="P29" s="6">
        <v>0</v>
      </c>
      <c r="Q29" s="6">
        <v>0</v>
      </c>
      <c r="R29" s="7">
        <v>0</v>
      </c>
      <c r="S29" s="6">
        <v>0</v>
      </c>
      <c r="T29" s="7">
        <v>14.27</v>
      </c>
      <c r="U29" s="8">
        <v>0.5</v>
      </c>
      <c r="V29" s="4"/>
      <c r="W29" s="4"/>
      <c r="X29" s="6">
        <v>0</v>
      </c>
      <c r="Y29" s="9">
        <v>0</v>
      </c>
      <c r="Z29" s="8">
        <v>4.6</v>
      </c>
      <c r="AA29" s="6">
        <v>16</v>
      </c>
      <c r="AB29" s="9">
        <v>0</v>
      </c>
      <c r="AC29" s="7">
        <v>0</v>
      </c>
      <c r="AD29" s="7">
        <v>79.12</v>
      </c>
      <c r="AE29" s="9">
        <v>0.2693</v>
      </c>
      <c r="AF29" s="9">
        <v>4.0538</v>
      </c>
      <c r="AG29" s="6">
        <v>0</v>
      </c>
      <c r="AH29" s="9">
        <v>0</v>
      </c>
      <c r="AI29" s="6">
        <v>61</v>
      </c>
      <c r="AJ29" s="6">
        <v>126</v>
      </c>
      <c r="AK29" s="6">
        <v>187</v>
      </c>
      <c r="AL29" s="6">
        <v>79</v>
      </c>
      <c r="AM29" s="6">
        <v>149</v>
      </c>
      <c r="AN29" s="6">
        <v>228</v>
      </c>
      <c r="AO29" s="9">
        <v>0.97</v>
      </c>
      <c r="AP29" s="9">
        <v>0.1551</v>
      </c>
      <c r="AQ29" s="9">
        <v>0.1551</v>
      </c>
      <c r="AR29" s="4"/>
      <c r="AS29" s="9">
        <v>0</v>
      </c>
      <c r="AT29" s="7">
        <v>0</v>
      </c>
      <c r="AU29" s="10">
        <v>0</v>
      </c>
      <c r="AV29" s="9">
        <v>0</v>
      </c>
      <c r="AW29" s="9">
        <v>0</v>
      </c>
      <c r="AX29" s="9">
        <v>0</v>
      </c>
      <c r="AY29" s="4"/>
      <c r="AZ29" s="7">
        <v>0</v>
      </c>
      <c r="BA29" s="7">
        <v>0</v>
      </c>
      <c r="BB29" s="6">
        <v>0</v>
      </c>
      <c r="BC29" s="9">
        <v>0</v>
      </c>
      <c r="BD29" s="9">
        <v>0</v>
      </c>
      <c r="BE29" s="6">
        <v>0</v>
      </c>
      <c r="BF29" s="6">
        <v>0</v>
      </c>
      <c r="BG29" s="4"/>
    </row>
    <row r="30" spans="1:59">
      <c r="A30" t="str">
        <f t="shared" si="0"/>
        <v>46282XXXX-111</v>
      </c>
      <c r="B30" s="3">
        <v>46282</v>
      </c>
      <c r="C30" s="4" t="s">
        <v>410</v>
      </c>
      <c r="D30" s="4"/>
      <c r="E30" s="4" t="s">
        <v>5</v>
      </c>
      <c r="F30" s="4"/>
      <c r="G30" s="5">
        <v>15.99</v>
      </c>
      <c r="H30" s="6">
        <v>682</v>
      </c>
      <c r="I30" s="6">
        <v>0</v>
      </c>
      <c r="J30" s="6">
        <v>18</v>
      </c>
      <c r="K30" s="6">
        <v>18</v>
      </c>
      <c r="L30" s="7">
        <v>287.82</v>
      </c>
      <c r="M30" s="7">
        <v>275.51</v>
      </c>
      <c r="N30" s="6">
        <v>0</v>
      </c>
      <c r="O30" s="7">
        <v>0</v>
      </c>
      <c r="P30" s="6">
        <v>0</v>
      </c>
      <c r="Q30" s="6">
        <v>0</v>
      </c>
      <c r="R30" s="7">
        <v>0</v>
      </c>
      <c r="S30" s="6">
        <v>0</v>
      </c>
      <c r="T30" s="7">
        <v>15.31</v>
      </c>
      <c r="U30" s="8">
        <v>0.3</v>
      </c>
      <c r="V30" s="4"/>
      <c r="W30" s="4"/>
      <c r="X30" s="6">
        <v>1</v>
      </c>
      <c r="Y30" s="9">
        <v>0.0556</v>
      </c>
      <c r="Z30" s="8">
        <v>4.6</v>
      </c>
      <c r="AA30" s="6">
        <v>16</v>
      </c>
      <c r="AB30" s="9">
        <v>0</v>
      </c>
      <c r="AC30" s="7">
        <v>0</v>
      </c>
      <c r="AD30" s="7">
        <v>106.15</v>
      </c>
      <c r="AE30" s="9">
        <v>0.2694</v>
      </c>
      <c r="AF30" s="9">
        <v>4.6646</v>
      </c>
      <c r="AG30" s="6">
        <v>0</v>
      </c>
      <c r="AH30" s="9">
        <v>0</v>
      </c>
      <c r="AI30" s="6">
        <v>67</v>
      </c>
      <c r="AJ30" s="6">
        <v>174</v>
      </c>
      <c r="AK30" s="6">
        <v>241</v>
      </c>
      <c r="AL30" s="6">
        <v>93</v>
      </c>
      <c r="AM30" s="6">
        <v>207</v>
      </c>
      <c r="AN30" s="6">
        <v>300</v>
      </c>
      <c r="AO30" s="9">
        <v>0.98</v>
      </c>
      <c r="AP30" s="9">
        <v>0.0747</v>
      </c>
      <c r="AQ30" s="9">
        <v>0.0747</v>
      </c>
      <c r="AR30" s="4"/>
      <c r="AS30" s="9">
        <v>0</v>
      </c>
      <c r="AT30" s="7">
        <v>0</v>
      </c>
      <c r="AU30" s="10">
        <v>0</v>
      </c>
      <c r="AV30" s="9">
        <v>0</v>
      </c>
      <c r="AW30" s="9">
        <v>0</v>
      </c>
      <c r="AX30" s="9">
        <v>0</v>
      </c>
      <c r="AY30" s="4"/>
      <c r="AZ30" s="7">
        <v>0</v>
      </c>
      <c r="BA30" s="7">
        <v>0</v>
      </c>
      <c r="BB30" s="6">
        <v>0</v>
      </c>
      <c r="BC30" s="9">
        <v>0</v>
      </c>
      <c r="BD30" s="9">
        <v>0</v>
      </c>
      <c r="BE30" s="6">
        <v>0</v>
      </c>
      <c r="BF30" s="6">
        <v>0</v>
      </c>
      <c r="BG30" s="4"/>
    </row>
    <row r="31" spans="1:59">
      <c r="A31" t="str">
        <f t="shared" si="0"/>
        <v>46283XXXX-111</v>
      </c>
      <c r="B31" s="3">
        <v>46283</v>
      </c>
      <c r="C31" s="4" t="s">
        <v>410</v>
      </c>
      <c r="D31" s="4"/>
      <c r="E31" s="4" t="s">
        <v>5</v>
      </c>
      <c r="F31" s="4"/>
      <c r="G31" s="5">
        <v>15.99</v>
      </c>
      <c r="H31" s="6">
        <v>653</v>
      </c>
      <c r="I31" s="6">
        <v>0</v>
      </c>
      <c r="J31" s="6">
        <v>40</v>
      </c>
      <c r="K31" s="6">
        <v>40</v>
      </c>
      <c r="L31" s="7">
        <v>639.6</v>
      </c>
      <c r="M31" s="7">
        <v>627.29</v>
      </c>
      <c r="N31" s="6">
        <v>0</v>
      </c>
      <c r="O31" s="7">
        <v>0</v>
      </c>
      <c r="P31" s="6">
        <v>0</v>
      </c>
      <c r="Q31" s="6">
        <v>0</v>
      </c>
      <c r="R31" s="7">
        <v>0</v>
      </c>
      <c r="S31" s="6">
        <v>0</v>
      </c>
      <c r="T31" s="7">
        <v>15.68</v>
      </c>
      <c r="U31" s="8">
        <v>0.7</v>
      </c>
      <c r="V31" s="4"/>
      <c r="W31" s="4"/>
      <c r="X31" s="6">
        <v>1</v>
      </c>
      <c r="Y31" s="9">
        <v>0.025</v>
      </c>
      <c r="Z31" s="8">
        <v>4.6</v>
      </c>
      <c r="AA31" s="6">
        <v>16</v>
      </c>
      <c r="AB31" s="9">
        <v>0</v>
      </c>
      <c r="AC31" s="7">
        <v>0</v>
      </c>
      <c r="AD31" s="7">
        <v>112.65</v>
      </c>
      <c r="AE31" s="9">
        <v>0.303</v>
      </c>
      <c r="AF31" s="9">
        <v>4.6687</v>
      </c>
      <c r="AG31" s="6">
        <v>1</v>
      </c>
      <c r="AH31" s="9">
        <v>0.025</v>
      </c>
      <c r="AI31" s="6">
        <v>96</v>
      </c>
      <c r="AJ31" s="6">
        <v>245</v>
      </c>
      <c r="AK31" s="6">
        <v>341</v>
      </c>
      <c r="AL31" s="6">
        <v>128</v>
      </c>
      <c r="AM31" s="6">
        <v>303</v>
      </c>
      <c r="AN31" s="6">
        <v>431</v>
      </c>
      <c r="AO31" s="9">
        <v>0.97</v>
      </c>
      <c r="AP31" s="9">
        <v>0.1173</v>
      </c>
      <c r="AQ31" s="9">
        <v>0.1173</v>
      </c>
      <c r="AR31" s="4"/>
      <c r="AS31" s="9">
        <v>0</v>
      </c>
      <c r="AT31" s="7">
        <v>0</v>
      </c>
      <c r="AU31" s="10">
        <v>0</v>
      </c>
      <c r="AV31" s="9">
        <v>0</v>
      </c>
      <c r="AW31" s="9">
        <v>0</v>
      </c>
      <c r="AX31" s="9">
        <v>0</v>
      </c>
      <c r="AY31" s="4"/>
      <c r="AZ31" s="7">
        <v>0</v>
      </c>
      <c r="BA31" s="7">
        <v>0</v>
      </c>
      <c r="BB31" s="6">
        <v>0</v>
      </c>
      <c r="BC31" s="9">
        <v>0</v>
      </c>
      <c r="BD31" s="9">
        <v>0</v>
      </c>
      <c r="BE31" s="6">
        <v>0</v>
      </c>
      <c r="BF31" s="6">
        <v>0</v>
      </c>
      <c r="BG31" s="4"/>
    </row>
    <row r="32" spans="1:59">
      <c r="A32" t="str">
        <f t="shared" si="0"/>
        <v>46284XXXX-111</v>
      </c>
      <c r="B32" s="3">
        <v>46284</v>
      </c>
      <c r="C32" s="4" t="s">
        <v>410</v>
      </c>
      <c r="D32" s="4"/>
      <c r="E32" s="4" t="s">
        <v>5</v>
      </c>
      <c r="F32" s="4"/>
      <c r="G32" s="5">
        <v>16.99</v>
      </c>
      <c r="H32" s="6">
        <v>612</v>
      </c>
      <c r="I32" s="6">
        <v>0</v>
      </c>
      <c r="J32" s="6">
        <v>28</v>
      </c>
      <c r="K32" s="6">
        <v>28</v>
      </c>
      <c r="L32" s="7">
        <v>475.72</v>
      </c>
      <c r="M32" s="7">
        <v>475.72</v>
      </c>
      <c r="N32" s="6">
        <v>0</v>
      </c>
      <c r="O32" s="7">
        <v>0</v>
      </c>
      <c r="P32" s="6">
        <v>0</v>
      </c>
      <c r="Q32" s="6">
        <v>0</v>
      </c>
      <c r="R32" s="7">
        <v>0</v>
      </c>
      <c r="S32" s="6">
        <v>0</v>
      </c>
      <c r="T32" s="7">
        <v>16.99</v>
      </c>
      <c r="U32" s="8">
        <v>0.5</v>
      </c>
      <c r="V32" s="4"/>
      <c r="W32" s="4"/>
      <c r="X32" s="6">
        <v>0</v>
      </c>
      <c r="Y32" s="9">
        <v>0</v>
      </c>
      <c r="Z32" s="8">
        <v>4.6</v>
      </c>
      <c r="AA32" s="6">
        <v>16</v>
      </c>
      <c r="AB32" s="9">
        <v>0.0357</v>
      </c>
      <c r="AC32" s="7">
        <v>0</v>
      </c>
      <c r="AD32" s="7">
        <v>165.68</v>
      </c>
      <c r="AE32" s="9">
        <v>0.3527</v>
      </c>
      <c r="AF32" s="9">
        <v>5.0258</v>
      </c>
      <c r="AG32" s="6">
        <v>0</v>
      </c>
      <c r="AH32" s="9">
        <v>0</v>
      </c>
      <c r="AI32" s="6">
        <v>78</v>
      </c>
      <c r="AJ32" s="6">
        <v>147</v>
      </c>
      <c r="AK32" s="6">
        <v>225</v>
      </c>
      <c r="AL32" s="6">
        <v>103</v>
      </c>
      <c r="AM32" s="6">
        <v>175</v>
      </c>
      <c r="AN32" s="6">
        <v>278</v>
      </c>
      <c r="AO32" s="9">
        <v>0.98</v>
      </c>
      <c r="AP32" s="9">
        <v>0.1244</v>
      </c>
      <c r="AQ32" s="9">
        <v>0.1244</v>
      </c>
      <c r="AR32" s="4"/>
      <c r="AS32" s="9">
        <v>0</v>
      </c>
      <c r="AT32" s="7">
        <v>0</v>
      </c>
      <c r="AU32" s="10">
        <v>0</v>
      </c>
      <c r="AV32" s="9">
        <v>0</v>
      </c>
      <c r="AW32" s="9">
        <v>0</v>
      </c>
      <c r="AX32" s="9">
        <v>0</v>
      </c>
      <c r="AY32" s="4"/>
      <c r="AZ32" s="7">
        <v>0</v>
      </c>
      <c r="BA32" s="7">
        <v>0</v>
      </c>
      <c r="BB32" s="6">
        <v>0</v>
      </c>
      <c r="BC32" s="9">
        <v>0</v>
      </c>
      <c r="BD32" s="9">
        <v>0</v>
      </c>
      <c r="BE32" s="6">
        <v>0</v>
      </c>
      <c r="BF32" s="6">
        <v>0</v>
      </c>
      <c r="BG32" s="4"/>
    </row>
    <row r="33" spans="1:59">
      <c r="A33" t="str">
        <f t="shared" si="0"/>
        <v>46285XXXX-111</v>
      </c>
      <c r="B33" s="3">
        <v>46285</v>
      </c>
      <c r="C33" s="4" t="s">
        <v>410</v>
      </c>
      <c r="D33" s="4"/>
      <c r="E33" s="4" t="s">
        <v>5</v>
      </c>
      <c r="F33" s="4"/>
      <c r="G33" s="5">
        <v>16.99</v>
      </c>
      <c r="H33" s="6">
        <v>584</v>
      </c>
      <c r="I33" s="6">
        <v>0</v>
      </c>
      <c r="J33" s="6">
        <v>26</v>
      </c>
      <c r="K33" s="6">
        <v>26</v>
      </c>
      <c r="L33" s="7">
        <v>441.74</v>
      </c>
      <c r="M33" s="7">
        <v>441.74</v>
      </c>
      <c r="N33" s="6">
        <v>2</v>
      </c>
      <c r="O33" s="7">
        <v>33.98</v>
      </c>
      <c r="P33" s="6">
        <v>2</v>
      </c>
      <c r="Q33" s="6">
        <v>0</v>
      </c>
      <c r="R33" s="7">
        <v>0</v>
      </c>
      <c r="S33" s="6">
        <v>0</v>
      </c>
      <c r="T33" s="7">
        <v>16.99</v>
      </c>
      <c r="U33" s="8">
        <v>0.5</v>
      </c>
      <c r="V33" s="4"/>
      <c r="W33" s="4"/>
      <c r="X33" s="6">
        <v>0</v>
      </c>
      <c r="Y33" s="9">
        <v>0</v>
      </c>
      <c r="Z33" s="8">
        <v>4.7</v>
      </c>
      <c r="AA33" s="6">
        <v>18</v>
      </c>
      <c r="AB33" s="9">
        <v>0</v>
      </c>
      <c r="AC33" s="7">
        <v>0</v>
      </c>
      <c r="AD33" s="7">
        <v>196.97</v>
      </c>
      <c r="AE33" s="9">
        <v>0.3344</v>
      </c>
      <c r="AF33" s="9">
        <v>5.0189</v>
      </c>
      <c r="AG33" s="6">
        <v>0</v>
      </c>
      <c r="AH33" s="9">
        <v>0</v>
      </c>
      <c r="AI33" s="6">
        <v>91</v>
      </c>
      <c r="AJ33" s="6">
        <v>144</v>
      </c>
      <c r="AK33" s="6">
        <v>235</v>
      </c>
      <c r="AL33" s="6">
        <v>120</v>
      </c>
      <c r="AM33" s="6">
        <v>183</v>
      </c>
      <c r="AN33" s="6">
        <v>303</v>
      </c>
      <c r="AO33" s="9">
        <v>0.97</v>
      </c>
      <c r="AP33" s="9">
        <v>0.1106</v>
      </c>
      <c r="AQ33" s="9">
        <v>0.1106</v>
      </c>
      <c r="AR33" s="4"/>
      <c r="AS33" s="9">
        <v>0</v>
      </c>
      <c r="AT33" s="7">
        <v>0</v>
      </c>
      <c r="AU33" s="10">
        <v>0</v>
      </c>
      <c r="AV33" s="9">
        <v>0</v>
      </c>
      <c r="AW33" s="9">
        <v>0</v>
      </c>
      <c r="AX33" s="9">
        <v>0</v>
      </c>
      <c r="AY33" s="4"/>
      <c r="AZ33" s="7">
        <v>0</v>
      </c>
      <c r="BA33" s="7">
        <v>0</v>
      </c>
      <c r="BB33" s="6">
        <v>0</v>
      </c>
      <c r="BC33" s="9">
        <v>0</v>
      </c>
      <c r="BD33" s="9">
        <v>0</v>
      </c>
      <c r="BE33" s="6">
        <v>0</v>
      </c>
      <c r="BF33" s="6">
        <v>0</v>
      </c>
      <c r="BG33" s="4"/>
    </row>
    <row r="34" spans="1:59">
      <c r="A34" t="str">
        <f t="shared" si="0"/>
        <v>46286XXXX-111</v>
      </c>
      <c r="B34" s="3">
        <v>46286</v>
      </c>
      <c r="C34" s="4" t="s">
        <v>410</v>
      </c>
      <c r="D34" s="4"/>
      <c r="E34" s="4" t="s">
        <v>5</v>
      </c>
      <c r="F34" s="4"/>
      <c r="G34" s="5">
        <v>16.99</v>
      </c>
      <c r="H34" s="6">
        <v>572</v>
      </c>
      <c r="I34" s="6">
        <v>0</v>
      </c>
      <c r="J34" s="6">
        <v>21</v>
      </c>
      <c r="K34" s="6">
        <v>21</v>
      </c>
      <c r="L34" s="7">
        <v>356.79</v>
      </c>
      <c r="M34" s="7">
        <v>356.79</v>
      </c>
      <c r="N34" s="6">
        <v>0</v>
      </c>
      <c r="O34" s="7">
        <v>0</v>
      </c>
      <c r="P34" s="6">
        <v>0</v>
      </c>
      <c r="Q34" s="6">
        <v>0</v>
      </c>
      <c r="R34" s="7">
        <v>0</v>
      </c>
      <c r="S34" s="6">
        <v>0</v>
      </c>
      <c r="T34" s="7">
        <v>16.99</v>
      </c>
      <c r="U34" s="8">
        <v>0.4</v>
      </c>
      <c r="V34" s="4"/>
      <c r="W34" s="4"/>
      <c r="X34" s="6">
        <v>0</v>
      </c>
      <c r="Y34" s="9">
        <v>0</v>
      </c>
      <c r="Z34" s="8">
        <v>4.7</v>
      </c>
      <c r="AA34" s="6">
        <v>18</v>
      </c>
      <c r="AB34" s="9">
        <v>0</v>
      </c>
      <c r="AC34" s="7">
        <v>0</v>
      </c>
      <c r="AD34" s="7">
        <v>136.59</v>
      </c>
      <c r="AE34" s="9">
        <v>0.3343</v>
      </c>
      <c r="AF34" s="9">
        <v>5.1586</v>
      </c>
      <c r="AG34" s="6">
        <v>0</v>
      </c>
      <c r="AH34" s="9">
        <v>0</v>
      </c>
      <c r="AI34" s="6">
        <v>88</v>
      </c>
      <c r="AJ34" s="6">
        <v>138</v>
      </c>
      <c r="AK34" s="6">
        <v>226</v>
      </c>
      <c r="AL34" s="6">
        <v>121</v>
      </c>
      <c r="AM34" s="6">
        <v>186</v>
      </c>
      <c r="AN34" s="6">
        <v>307</v>
      </c>
      <c r="AO34" s="9">
        <v>0.98</v>
      </c>
      <c r="AP34" s="9">
        <v>0.0929</v>
      </c>
      <c r="AQ34" s="9">
        <v>0.0929</v>
      </c>
      <c r="AR34" s="4"/>
      <c r="AS34" s="9">
        <v>0</v>
      </c>
      <c r="AT34" s="7">
        <v>0</v>
      </c>
      <c r="AU34" s="10">
        <v>0</v>
      </c>
      <c r="AV34" s="9">
        <v>0</v>
      </c>
      <c r="AW34" s="9">
        <v>0</v>
      </c>
      <c r="AX34" s="9">
        <v>0</v>
      </c>
      <c r="AY34" s="4"/>
      <c r="AZ34" s="7">
        <v>0</v>
      </c>
      <c r="BA34" s="7">
        <v>0</v>
      </c>
      <c r="BB34" s="6">
        <v>0</v>
      </c>
      <c r="BC34" s="9">
        <v>0</v>
      </c>
      <c r="BD34" s="9">
        <v>0</v>
      </c>
      <c r="BE34" s="6">
        <v>0</v>
      </c>
      <c r="BF34" s="6">
        <v>0</v>
      </c>
      <c r="BG34" s="4"/>
    </row>
    <row r="35" spans="1:59">
      <c r="A35" t="str">
        <f t="shared" si="0"/>
        <v>46287XXXX-111</v>
      </c>
      <c r="B35" s="3">
        <v>46287</v>
      </c>
      <c r="C35" s="4" t="s">
        <v>410</v>
      </c>
      <c r="D35" s="4"/>
      <c r="E35" s="4" t="s">
        <v>5</v>
      </c>
      <c r="F35" s="4"/>
      <c r="G35" s="5">
        <v>16.99</v>
      </c>
      <c r="H35" s="6">
        <v>546</v>
      </c>
      <c r="I35" s="6">
        <v>0</v>
      </c>
      <c r="J35" s="6">
        <v>35</v>
      </c>
      <c r="K35" s="6">
        <v>35</v>
      </c>
      <c r="L35" s="7">
        <v>594.65</v>
      </c>
      <c r="M35" s="7">
        <v>594.65</v>
      </c>
      <c r="N35" s="6">
        <v>2</v>
      </c>
      <c r="O35" s="7">
        <v>33.98</v>
      </c>
      <c r="P35" s="6">
        <v>2</v>
      </c>
      <c r="Q35" s="6">
        <v>0</v>
      </c>
      <c r="R35" s="7">
        <v>0</v>
      </c>
      <c r="S35" s="6">
        <v>0</v>
      </c>
      <c r="T35" s="7">
        <v>16.99</v>
      </c>
      <c r="U35" s="8">
        <v>0.6</v>
      </c>
      <c r="V35" s="4"/>
      <c r="W35" s="4"/>
      <c r="X35" s="6">
        <v>0</v>
      </c>
      <c r="Y35" s="9">
        <v>0</v>
      </c>
      <c r="Z35" s="8">
        <v>4.7</v>
      </c>
      <c r="AA35" s="6">
        <v>18</v>
      </c>
      <c r="AB35" s="9">
        <v>0</v>
      </c>
      <c r="AC35" s="7">
        <v>0</v>
      </c>
      <c r="AD35" s="7">
        <v>127.92</v>
      </c>
      <c r="AE35" s="9">
        <v>0.371</v>
      </c>
      <c r="AF35" s="9">
        <v>5.091</v>
      </c>
      <c r="AG35" s="6">
        <v>1</v>
      </c>
      <c r="AH35" s="9">
        <v>0.0286</v>
      </c>
      <c r="AI35" s="6">
        <v>76</v>
      </c>
      <c r="AJ35" s="6">
        <v>144</v>
      </c>
      <c r="AK35" s="6">
        <v>220</v>
      </c>
      <c r="AL35" s="6">
        <v>100</v>
      </c>
      <c r="AM35" s="6">
        <v>179</v>
      </c>
      <c r="AN35" s="6">
        <v>279</v>
      </c>
      <c r="AO35" s="9">
        <v>0.99</v>
      </c>
      <c r="AP35" s="9">
        <v>0.1591</v>
      </c>
      <c r="AQ35" s="9">
        <v>0.1591</v>
      </c>
      <c r="AR35" s="4"/>
      <c r="AS35" s="9">
        <v>0</v>
      </c>
      <c r="AT35" s="7">
        <v>0</v>
      </c>
      <c r="AU35" s="10">
        <v>0</v>
      </c>
      <c r="AV35" s="9">
        <v>0</v>
      </c>
      <c r="AW35" s="9">
        <v>0</v>
      </c>
      <c r="AX35" s="9">
        <v>0</v>
      </c>
      <c r="AY35" s="4"/>
      <c r="AZ35" s="7">
        <v>0</v>
      </c>
      <c r="BA35" s="7">
        <v>0</v>
      </c>
      <c r="BB35" s="6">
        <v>0</v>
      </c>
      <c r="BC35" s="9">
        <v>0</v>
      </c>
      <c r="BD35" s="9">
        <v>0</v>
      </c>
      <c r="BE35" s="6">
        <v>0</v>
      </c>
      <c r="BF35" s="6">
        <v>0</v>
      </c>
      <c r="BG35" s="4"/>
    </row>
    <row r="36" spans="1:59">
      <c r="A36" t="str">
        <f t="shared" si="0"/>
        <v>46288XXXX-111</v>
      </c>
      <c r="B36" s="3">
        <v>46288</v>
      </c>
      <c r="C36" s="4" t="s">
        <v>410</v>
      </c>
      <c r="D36" s="4"/>
      <c r="E36" s="4" t="s">
        <v>5</v>
      </c>
      <c r="F36" s="4"/>
      <c r="G36" s="5">
        <v>16.99</v>
      </c>
      <c r="H36" s="6">
        <v>530</v>
      </c>
      <c r="I36" s="6">
        <v>0</v>
      </c>
      <c r="J36" s="6">
        <v>27</v>
      </c>
      <c r="K36" s="6">
        <v>27</v>
      </c>
      <c r="L36" s="7">
        <v>458.73</v>
      </c>
      <c r="M36" s="7">
        <v>446.42</v>
      </c>
      <c r="N36" s="6">
        <v>0</v>
      </c>
      <c r="O36" s="7">
        <v>0</v>
      </c>
      <c r="P36" s="6">
        <v>0</v>
      </c>
      <c r="Q36" s="6">
        <v>0</v>
      </c>
      <c r="R36" s="7">
        <v>0</v>
      </c>
      <c r="S36" s="6">
        <v>0</v>
      </c>
      <c r="T36" s="7">
        <v>16.53</v>
      </c>
      <c r="U36" s="8">
        <v>0.5</v>
      </c>
      <c r="V36" s="4"/>
      <c r="W36" s="4"/>
      <c r="X36" s="6">
        <v>2</v>
      </c>
      <c r="Y36" s="9">
        <v>0.0741</v>
      </c>
      <c r="Z36" s="8">
        <v>4.7</v>
      </c>
      <c r="AA36" s="6">
        <v>21</v>
      </c>
      <c r="AB36" s="9">
        <v>0</v>
      </c>
      <c r="AC36" s="7">
        <v>0</v>
      </c>
      <c r="AD36" s="7">
        <v>195.34</v>
      </c>
      <c r="AE36" s="9">
        <v>0.3466</v>
      </c>
      <c r="AF36" s="9">
        <v>5.0606</v>
      </c>
      <c r="AG36" s="6">
        <v>0</v>
      </c>
      <c r="AH36" s="9">
        <v>0</v>
      </c>
      <c r="AI36" s="6">
        <v>67</v>
      </c>
      <c r="AJ36" s="6">
        <v>139</v>
      </c>
      <c r="AK36" s="6">
        <v>206</v>
      </c>
      <c r="AL36" s="6">
        <v>87</v>
      </c>
      <c r="AM36" s="6">
        <v>176</v>
      </c>
      <c r="AN36" s="6">
        <v>263</v>
      </c>
      <c r="AO36" s="9">
        <v>0.99</v>
      </c>
      <c r="AP36" s="9">
        <v>0.1311</v>
      </c>
      <c r="AQ36" s="9">
        <v>0.1311</v>
      </c>
      <c r="AR36" s="4"/>
      <c r="AS36" s="9">
        <v>0</v>
      </c>
      <c r="AT36" s="7">
        <v>0</v>
      </c>
      <c r="AU36" s="10">
        <v>0</v>
      </c>
      <c r="AV36" s="9">
        <v>0</v>
      </c>
      <c r="AW36" s="9">
        <v>0</v>
      </c>
      <c r="AX36" s="9">
        <v>0</v>
      </c>
      <c r="AY36" s="4"/>
      <c r="AZ36" s="7">
        <v>0</v>
      </c>
      <c r="BA36" s="7">
        <v>0</v>
      </c>
      <c r="BB36" s="6">
        <v>0</v>
      </c>
      <c r="BC36" s="9">
        <v>0</v>
      </c>
      <c r="BD36" s="9">
        <v>0</v>
      </c>
      <c r="BE36" s="6">
        <v>0</v>
      </c>
      <c r="BF36" s="6">
        <v>0</v>
      </c>
      <c r="BG36" s="4"/>
    </row>
    <row r="37" spans="1:59">
      <c r="A37" t="str">
        <f t="shared" si="0"/>
        <v>46289XXXX-111</v>
      </c>
      <c r="B37" s="3">
        <v>46289</v>
      </c>
      <c r="C37" s="4" t="s">
        <v>410</v>
      </c>
      <c r="D37" s="4"/>
      <c r="E37" s="4" t="s">
        <v>5</v>
      </c>
      <c r="F37" s="4"/>
      <c r="G37" s="5">
        <v>16.99</v>
      </c>
      <c r="H37" s="6">
        <v>507</v>
      </c>
      <c r="I37" s="6">
        <v>0</v>
      </c>
      <c r="J37" s="6">
        <v>24</v>
      </c>
      <c r="K37" s="6">
        <v>24</v>
      </c>
      <c r="L37" s="7">
        <v>407.76</v>
      </c>
      <c r="M37" s="7">
        <v>407.76</v>
      </c>
      <c r="N37" s="6">
        <v>0</v>
      </c>
      <c r="O37" s="7">
        <v>0</v>
      </c>
      <c r="P37" s="6">
        <v>0</v>
      </c>
      <c r="Q37" s="6">
        <v>0</v>
      </c>
      <c r="R37" s="7">
        <v>0</v>
      </c>
      <c r="S37" s="6">
        <v>0</v>
      </c>
      <c r="T37" s="7">
        <v>16.99</v>
      </c>
      <c r="U37" s="8">
        <v>0.4</v>
      </c>
      <c r="V37" s="4"/>
      <c r="W37" s="4"/>
      <c r="X37" s="6">
        <v>0</v>
      </c>
      <c r="Y37" s="9">
        <v>0</v>
      </c>
      <c r="Z37" s="8">
        <v>4.7</v>
      </c>
      <c r="AA37" s="6">
        <v>21</v>
      </c>
      <c r="AB37" s="9">
        <v>0</v>
      </c>
      <c r="AC37" s="7">
        <v>0</v>
      </c>
      <c r="AD37" s="7">
        <v>153.31</v>
      </c>
      <c r="AE37" s="9">
        <v>0.3749</v>
      </c>
      <c r="AF37" s="9">
        <v>5.0189</v>
      </c>
      <c r="AG37" s="6">
        <v>0</v>
      </c>
      <c r="AH37" s="9">
        <v>0</v>
      </c>
      <c r="AI37" s="6">
        <v>73</v>
      </c>
      <c r="AJ37" s="6">
        <v>177</v>
      </c>
      <c r="AK37" s="6">
        <v>250</v>
      </c>
      <c r="AL37" s="6">
        <v>93</v>
      </c>
      <c r="AM37" s="6">
        <v>224</v>
      </c>
      <c r="AN37" s="6">
        <v>317</v>
      </c>
      <c r="AO37" s="9">
        <v>0.98</v>
      </c>
      <c r="AP37" s="9">
        <v>0.096</v>
      </c>
      <c r="AQ37" s="9">
        <v>0.096</v>
      </c>
      <c r="AR37" s="4"/>
      <c r="AS37" s="9">
        <v>0</v>
      </c>
      <c r="AT37" s="7">
        <v>0</v>
      </c>
      <c r="AU37" s="10">
        <v>0</v>
      </c>
      <c r="AV37" s="9">
        <v>0</v>
      </c>
      <c r="AW37" s="9">
        <v>0</v>
      </c>
      <c r="AX37" s="9">
        <v>0</v>
      </c>
      <c r="AY37" s="4"/>
      <c r="AZ37" s="7">
        <v>0</v>
      </c>
      <c r="BA37" s="7">
        <v>0</v>
      </c>
      <c r="BB37" s="6">
        <v>0</v>
      </c>
      <c r="BC37" s="9">
        <v>0</v>
      </c>
      <c r="BD37" s="9">
        <v>0</v>
      </c>
      <c r="BE37" s="6">
        <v>0</v>
      </c>
      <c r="BF37" s="6">
        <v>0</v>
      </c>
      <c r="BG37" s="4"/>
    </row>
    <row r="38" spans="1:59">
      <c r="A38" t="str">
        <f t="shared" si="0"/>
        <v>46290XXXX-111</v>
      </c>
      <c r="B38" s="3">
        <v>46290</v>
      </c>
      <c r="C38" s="4" t="s">
        <v>410</v>
      </c>
      <c r="D38" s="4"/>
      <c r="E38" s="4" t="s">
        <v>5</v>
      </c>
      <c r="F38" s="4"/>
      <c r="G38" s="5">
        <v>16.99</v>
      </c>
      <c r="H38" s="6">
        <v>476</v>
      </c>
      <c r="I38" s="6">
        <v>0</v>
      </c>
      <c r="J38" s="6">
        <v>35</v>
      </c>
      <c r="K38" s="6">
        <v>35</v>
      </c>
      <c r="L38" s="7">
        <v>594.65</v>
      </c>
      <c r="M38" s="7">
        <v>594.65</v>
      </c>
      <c r="N38" s="6">
        <v>1</v>
      </c>
      <c r="O38" s="7">
        <v>16.99</v>
      </c>
      <c r="P38" s="6">
        <v>1</v>
      </c>
      <c r="Q38" s="6">
        <v>0</v>
      </c>
      <c r="R38" s="7">
        <v>0</v>
      </c>
      <c r="S38" s="6">
        <v>0</v>
      </c>
      <c r="T38" s="7">
        <v>16.99</v>
      </c>
      <c r="U38" s="8">
        <v>0.6</v>
      </c>
      <c r="V38" s="4"/>
      <c r="W38" s="4"/>
      <c r="X38" s="6">
        <v>0</v>
      </c>
      <c r="Y38" s="9">
        <v>0</v>
      </c>
      <c r="Z38" s="8">
        <v>4.7</v>
      </c>
      <c r="AA38" s="6">
        <v>21</v>
      </c>
      <c r="AB38" s="9">
        <v>0</v>
      </c>
      <c r="AC38" s="7">
        <v>0</v>
      </c>
      <c r="AD38" s="7">
        <v>171.36</v>
      </c>
      <c r="AE38" s="9">
        <v>0.3744</v>
      </c>
      <c r="AF38" s="9">
        <v>5.0246</v>
      </c>
      <c r="AG38" s="6">
        <v>0</v>
      </c>
      <c r="AH38" s="9">
        <v>0</v>
      </c>
      <c r="AI38" s="6">
        <v>99</v>
      </c>
      <c r="AJ38" s="6">
        <v>215</v>
      </c>
      <c r="AK38" s="6">
        <v>314</v>
      </c>
      <c r="AL38" s="6">
        <v>127</v>
      </c>
      <c r="AM38" s="6">
        <v>275</v>
      </c>
      <c r="AN38" s="6">
        <v>402</v>
      </c>
      <c r="AO38" s="9">
        <v>0.98</v>
      </c>
      <c r="AP38" s="9">
        <v>0.1115</v>
      </c>
      <c r="AQ38" s="9">
        <v>0.1115</v>
      </c>
      <c r="AR38" s="4"/>
      <c r="AS38" s="9">
        <v>0</v>
      </c>
      <c r="AT38" s="7">
        <v>0</v>
      </c>
      <c r="AU38" s="10">
        <v>0</v>
      </c>
      <c r="AV38" s="9">
        <v>0</v>
      </c>
      <c r="AW38" s="9">
        <v>0</v>
      </c>
      <c r="AX38" s="9">
        <v>0</v>
      </c>
      <c r="AY38" s="4"/>
      <c r="AZ38" s="7">
        <v>0</v>
      </c>
      <c r="BA38" s="7">
        <v>0</v>
      </c>
      <c r="BB38" s="6">
        <v>0</v>
      </c>
      <c r="BC38" s="9">
        <v>0</v>
      </c>
      <c r="BD38" s="9">
        <v>0</v>
      </c>
      <c r="BE38" s="6">
        <v>0</v>
      </c>
      <c r="BF38" s="6">
        <v>0</v>
      </c>
      <c r="BG38" s="4"/>
    </row>
    <row r="39" spans="1:59">
      <c r="A39" t="str">
        <f t="shared" si="0"/>
        <v>46291XXXX-111</v>
      </c>
      <c r="B39" s="3">
        <v>46291</v>
      </c>
      <c r="C39" s="4" t="s">
        <v>410</v>
      </c>
      <c r="D39" s="4"/>
      <c r="E39" s="4" t="s">
        <v>5</v>
      </c>
      <c r="F39" s="4"/>
      <c r="G39" s="5">
        <v>17.99</v>
      </c>
      <c r="H39" s="6">
        <v>452</v>
      </c>
      <c r="I39" s="6">
        <v>0</v>
      </c>
      <c r="J39" s="6">
        <v>25</v>
      </c>
      <c r="K39" s="6">
        <v>25</v>
      </c>
      <c r="L39" s="7">
        <v>449.75</v>
      </c>
      <c r="M39" s="7">
        <v>434.8</v>
      </c>
      <c r="N39" s="6">
        <v>1</v>
      </c>
      <c r="O39" s="7">
        <v>17.99</v>
      </c>
      <c r="P39" s="6">
        <v>1</v>
      </c>
      <c r="Q39" s="6">
        <v>0</v>
      </c>
      <c r="R39" s="7">
        <v>0</v>
      </c>
      <c r="S39" s="6">
        <v>0</v>
      </c>
      <c r="T39" s="7">
        <v>17.39</v>
      </c>
      <c r="U39" s="8">
        <v>0.4</v>
      </c>
      <c r="V39" s="4"/>
      <c r="W39" s="4"/>
      <c r="X39" s="6">
        <v>1</v>
      </c>
      <c r="Y39" s="9">
        <v>0.04</v>
      </c>
      <c r="Z39" s="8">
        <v>4.7</v>
      </c>
      <c r="AA39" s="6">
        <v>22</v>
      </c>
      <c r="AB39" s="9">
        <v>0</v>
      </c>
      <c r="AC39" s="7">
        <v>0</v>
      </c>
      <c r="AD39" s="7">
        <v>248.13</v>
      </c>
      <c r="AE39" s="9">
        <v>0.3663</v>
      </c>
      <c r="AF39" s="9">
        <v>5.3731</v>
      </c>
      <c r="AG39" s="6">
        <v>0</v>
      </c>
      <c r="AH39" s="9">
        <v>0</v>
      </c>
      <c r="AI39" s="6">
        <v>93</v>
      </c>
      <c r="AJ39" s="6">
        <v>138</v>
      </c>
      <c r="AK39" s="6">
        <v>231</v>
      </c>
      <c r="AL39" s="6">
        <v>130</v>
      </c>
      <c r="AM39" s="6">
        <v>167</v>
      </c>
      <c r="AN39" s="6">
        <v>297</v>
      </c>
      <c r="AO39" s="9">
        <v>0.98</v>
      </c>
      <c r="AP39" s="9">
        <v>0.1082</v>
      </c>
      <c r="AQ39" s="9">
        <v>0.1082</v>
      </c>
      <c r="AR39" s="4"/>
      <c r="AS39" s="9">
        <v>0</v>
      </c>
      <c r="AT39" s="7">
        <v>0</v>
      </c>
      <c r="AU39" s="10">
        <v>0</v>
      </c>
      <c r="AV39" s="9">
        <v>0</v>
      </c>
      <c r="AW39" s="9">
        <v>0</v>
      </c>
      <c r="AX39" s="9">
        <v>0</v>
      </c>
      <c r="AY39" s="4"/>
      <c r="AZ39" s="7">
        <v>0</v>
      </c>
      <c r="BA39" s="7">
        <v>0</v>
      </c>
      <c r="BB39" s="6">
        <v>0</v>
      </c>
      <c r="BC39" s="9">
        <v>0</v>
      </c>
      <c r="BD39" s="9">
        <v>0</v>
      </c>
      <c r="BE39" s="6">
        <v>0</v>
      </c>
      <c r="BF39" s="6">
        <v>0</v>
      </c>
      <c r="BG39" s="4"/>
    </row>
    <row r="40" spans="1:59">
      <c r="A40" t="str">
        <f t="shared" si="0"/>
        <v>46292XXXX-111</v>
      </c>
      <c r="B40" s="3">
        <v>46292</v>
      </c>
      <c r="C40" s="4" t="s">
        <v>410</v>
      </c>
      <c r="D40" s="4"/>
      <c r="E40" s="4" t="s">
        <v>5</v>
      </c>
      <c r="F40" s="4"/>
      <c r="G40" s="5">
        <v>17.99</v>
      </c>
      <c r="H40" s="6">
        <v>423</v>
      </c>
      <c r="I40" s="6">
        <v>0</v>
      </c>
      <c r="J40" s="6">
        <v>31</v>
      </c>
      <c r="K40" s="6">
        <v>31</v>
      </c>
      <c r="L40" s="7">
        <v>557.69</v>
      </c>
      <c r="M40" s="7">
        <v>557.69</v>
      </c>
      <c r="N40" s="6">
        <v>6</v>
      </c>
      <c r="O40" s="7">
        <v>107.94</v>
      </c>
      <c r="P40" s="6">
        <v>6</v>
      </c>
      <c r="Q40" s="6">
        <v>0</v>
      </c>
      <c r="R40" s="7">
        <v>0</v>
      </c>
      <c r="S40" s="6">
        <v>0</v>
      </c>
      <c r="T40" s="7">
        <v>17.99</v>
      </c>
      <c r="U40" s="8">
        <v>0.5</v>
      </c>
      <c r="V40" s="4"/>
      <c r="W40" s="4"/>
      <c r="X40" s="6">
        <v>0</v>
      </c>
      <c r="Y40" s="9">
        <v>0</v>
      </c>
      <c r="Z40" s="8">
        <v>4.7</v>
      </c>
      <c r="AA40" s="6">
        <v>22</v>
      </c>
      <c r="AB40" s="9">
        <v>0.0323</v>
      </c>
      <c r="AC40" s="7">
        <v>0</v>
      </c>
      <c r="AD40" s="7">
        <v>191.92</v>
      </c>
      <c r="AE40" s="9">
        <v>0.4017</v>
      </c>
      <c r="AF40" s="9">
        <v>5.3731</v>
      </c>
      <c r="AG40" s="6">
        <v>0</v>
      </c>
      <c r="AH40" s="9">
        <v>0</v>
      </c>
      <c r="AI40" s="6">
        <v>76</v>
      </c>
      <c r="AJ40" s="6">
        <v>138</v>
      </c>
      <c r="AK40" s="6">
        <v>214</v>
      </c>
      <c r="AL40" s="6">
        <v>94</v>
      </c>
      <c r="AM40" s="6">
        <v>160</v>
      </c>
      <c r="AN40" s="6">
        <v>254</v>
      </c>
      <c r="AO40" s="9">
        <v>0.96</v>
      </c>
      <c r="AP40" s="9">
        <v>0.1449</v>
      </c>
      <c r="AQ40" s="9">
        <v>0.1449</v>
      </c>
      <c r="AR40" s="4"/>
      <c r="AS40" s="9">
        <v>0</v>
      </c>
      <c r="AT40" s="7">
        <v>0</v>
      </c>
      <c r="AU40" s="10">
        <v>0</v>
      </c>
      <c r="AV40" s="9">
        <v>0</v>
      </c>
      <c r="AW40" s="9">
        <v>0</v>
      </c>
      <c r="AX40" s="9">
        <v>0</v>
      </c>
      <c r="AY40" s="4"/>
      <c r="AZ40" s="7">
        <v>0</v>
      </c>
      <c r="BA40" s="7">
        <v>0</v>
      </c>
      <c r="BB40" s="6">
        <v>0</v>
      </c>
      <c r="BC40" s="9">
        <v>0</v>
      </c>
      <c r="BD40" s="9">
        <v>0</v>
      </c>
      <c r="BE40" s="6">
        <v>0</v>
      </c>
      <c r="BF40" s="6">
        <v>0</v>
      </c>
      <c r="BG40" s="4"/>
    </row>
    <row r="41" spans="1:59">
      <c r="A41" t="str">
        <f t="shared" si="0"/>
        <v>46293XXXX-111</v>
      </c>
      <c r="B41" s="3">
        <v>46293</v>
      </c>
      <c r="C41" s="4" t="s">
        <v>410</v>
      </c>
      <c r="D41" s="4"/>
      <c r="E41" s="4" t="s">
        <v>5</v>
      </c>
      <c r="F41" s="4"/>
      <c r="G41" s="5">
        <v>17.99</v>
      </c>
      <c r="H41" s="6">
        <v>389</v>
      </c>
      <c r="I41" s="6">
        <v>0</v>
      </c>
      <c r="J41" s="6">
        <v>24</v>
      </c>
      <c r="K41" s="6">
        <v>24</v>
      </c>
      <c r="L41" s="7">
        <v>431.76</v>
      </c>
      <c r="M41" s="7">
        <v>416.81</v>
      </c>
      <c r="N41" s="6">
        <v>2</v>
      </c>
      <c r="O41" s="7">
        <v>35.98</v>
      </c>
      <c r="P41" s="6">
        <v>2</v>
      </c>
      <c r="Q41" s="6">
        <v>0</v>
      </c>
      <c r="R41" s="7">
        <v>0</v>
      </c>
      <c r="S41" s="6">
        <v>0</v>
      </c>
      <c r="T41" s="7">
        <v>17.37</v>
      </c>
      <c r="U41" s="8">
        <v>0.4</v>
      </c>
      <c r="V41" s="4"/>
      <c r="W41" s="4"/>
      <c r="X41" s="6">
        <v>1</v>
      </c>
      <c r="Y41" s="9">
        <v>0.0417</v>
      </c>
      <c r="Z41" s="8">
        <v>4.7</v>
      </c>
      <c r="AA41" s="6">
        <v>22</v>
      </c>
      <c r="AB41" s="9">
        <v>0</v>
      </c>
      <c r="AC41" s="7">
        <v>0</v>
      </c>
      <c r="AD41" s="7">
        <v>165.62</v>
      </c>
      <c r="AE41" s="9">
        <v>0.3699</v>
      </c>
      <c r="AF41" s="9">
        <v>5.3731</v>
      </c>
      <c r="AG41" s="6">
        <v>0</v>
      </c>
      <c r="AH41" s="9">
        <v>0</v>
      </c>
      <c r="AI41" s="6">
        <v>84</v>
      </c>
      <c r="AJ41" s="6">
        <v>107</v>
      </c>
      <c r="AK41" s="6">
        <v>191</v>
      </c>
      <c r="AL41" s="6">
        <v>113</v>
      </c>
      <c r="AM41" s="6">
        <v>130</v>
      </c>
      <c r="AN41" s="6">
        <v>243</v>
      </c>
      <c r="AO41" s="9">
        <v>0.97</v>
      </c>
      <c r="AP41" s="9">
        <v>0.1257</v>
      </c>
      <c r="AQ41" s="9">
        <v>0.1257</v>
      </c>
      <c r="AR41" s="4"/>
      <c r="AS41" s="9">
        <v>0</v>
      </c>
      <c r="AT41" s="7">
        <v>0</v>
      </c>
      <c r="AU41" s="10">
        <v>0</v>
      </c>
      <c r="AV41" s="9">
        <v>0</v>
      </c>
      <c r="AW41" s="9">
        <v>0</v>
      </c>
      <c r="AX41" s="9">
        <v>0</v>
      </c>
      <c r="AY41" s="4"/>
      <c r="AZ41" s="7">
        <v>0</v>
      </c>
      <c r="BA41" s="7">
        <v>0</v>
      </c>
      <c r="BB41" s="6">
        <v>0</v>
      </c>
      <c r="BC41" s="9">
        <v>0</v>
      </c>
      <c r="BD41" s="9">
        <v>0</v>
      </c>
      <c r="BE41" s="6">
        <v>0</v>
      </c>
      <c r="BF41" s="6">
        <v>0</v>
      </c>
      <c r="BG41" s="4"/>
    </row>
    <row r="42" spans="1:59">
      <c r="A42" t="str">
        <f t="shared" si="0"/>
        <v>46294XXXX-111</v>
      </c>
      <c r="B42" s="3">
        <v>46294</v>
      </c>
      <c r="C42" s="4" t="s">
        <v>410</v>
      </c>
      <c r="D42" s="4"/>
      <c r="E42" s="4" t="s">
        <v>5</v>
      </c>
      <c r="F42" s="4"/>
      <c r="G42" s="5">
        <v>17.99</v>
      </c>
      <c r="H42" s="6">
        <v>362</v>
      </c>
      <c r="I42" s="6">
        <v>0</v>
      </c>
      <c r="J42" s="6">
        <v>29</v>
      </c>
      <c r="K42" s="6">
        <v>29</v>
      </c>
      <c r="L42" s="7">
        <v>521.71</v>
      </c>
      <c r="M42" s="7">
        <v>506.76</v>
      </c>
      <c r="N42" s="6">
        <v>1</v>
      </c>
      <c r="O42" s="7">
        <v>17.99</v>
      </c>
      <c r="P42" s="6">
        <v>1</v>
      </c>
      <c r="Q42" s="6">
        <v>0</v>
      </c>
      <c r="R42" s="7">
        <v>0</v>
      </c>
      <c r="S42" s="6">
        <v>0</v>
      </c>
      <c r="T42" s="7">
        <v>17.47</v>
      </c>
      <c r="U42" s="8">
        <v>0.5</v>
      </c>
      <c r="V42" s="4"/>
      <c r="W42" s="4"/>
      <c r="X42" s="6">
        <v>1</v>
      </c>
      <c r="Y42" s="9">
        <v>0.0345</v>
      </c>
      <c r="Z42" s="8">
        <v>4.7</v>
      </c>
      <c r="AA42" s="6">
        <v>24</v>
      </c>
      <c r="AB42" s="9">
        <v>0</v>
      </c>
      <c r="AC42" s="7">
        <v>0</v>
      </c>
      <c r="AD42" s="7">
        <v>182.2</v>
      </c>
      <c r="AE42" s="9">
        <v>0.3705</v>
      </c>
      <c r="AF42" s="9">
        <v>5.4891</v>
      </c>
      <c r="AG42" s="6">
        <v>0</v>
      </c>
      <c r="AH42" s="9">
        <v>0</v>
      </c>
      <c r="AI42" s="6">
        <v>70</v>
      </c>
      <c r="AJ42" s="6">
        <v>121</v>
      </c>
      <c r="AK42" s="6">
        <v>191</v>
      </c>
      <c r="AL42" s="6">
        <v>88</v>
      </c>
      <c r="AM42" s="6">
        <v>151</v>
      </c>
      <c r="AN42" s="6">
        <v>239</v>
      </c>
      <c r="AO42" s="9">
        <v>0.99</v>
      </c>
      <c r="AP42" s="9">
        <v>0.1518</v>
      </c>
      <c r="AQ42" s="9">
        <v>0.1518</v>
      </c>
      <c r="AR42" s="4"/>
      <c r="AS42" s="9">
        <v>0</v>
      </c>
      <c r="AT42" s="7">
        <v>0</v>
      </c>
      <c r="AU42" s="10">
        <v>0</v>
      </c>
      <c r="AV42" s="9">
        <v>0</v>
      </c>
      <c r="AW42" s="9">
        <v>0</v>
      </c>
      <c r="AX42" s="9">
        <v>0</v>
      </c>
      <c r="AY42" s="4"/>
      <c r="AZ42" s="7">
        <v>0</v>
      </c>
      <c r="BA42" s="7">
        <v>0</v>
      </c>
      <c r="BB42" s="6">
        <v>0</v>
      </c>
      <c r="BC42" s="9">
        <v>0</v>
      </c>
      <c r="BD42" s="9">
        <v>0</v>
      </c>
      <c r="BE42" s="6">
        <v>0</v>
      </c>
      <c r="BF42" s="6">
        <v>0</v>
      </c>
      <c r="BG42" s="4"/>
    </row>
    <row r="43" spans="1:59">
      <c r="A43" t="str">
        <f t="shared" si="0"/>
        <v>46295XXXX-111</v>
      </c>
      <c r="B43" s="3">
        <v>46295</v>
      </c>
      <c r="C43" s="4" t="s">
        <v>410</v>
      </c>
      <c r="D43" s="4"/>
      <c r="E43" s="4" t="s">
        <v>5</v>
      </c>
      <c r="F43" s="4"/>
      <c r="G43" s="5">
        <v>17.99</v>
      </c>
      <c r="H43" s="6">
        <v>330</v>
      </c>
      <c r="I43" s="6">
        <v>0</v>
      </c>
      <c r="J43" s="6">
        <v>29</v>
      </c>
      <c r="K43" s="6">
        <v>29</v>
      </c>
      <c r="L43" s="7">
        <v>521.71</v>
      </c>
      <c r="M43" s="7">
        <v>509.4</v>
      </c>
      <c r="N43" s="6">
        <v>1</v>
      </c>
      <c r="O43" s="7">
        <v>17.99</v>
      </c>
      <c r="P43" s="6">
        <v>1</v>
      </c>
      <c r="Q43" s="6">
        <v>0</v>
      </c>
      <c r="R43" s="7">
        <v>0</v>
      </c>
      <c r="S43" s="6">
        <v>0</v>
      </c>
      <c r="T43" s="7">
        <v>17.57</v>
      </c>
      <c r="U43" s="8">
        <v>0.5</v>
      </c>
      <c r="V43" s="4"/>
      <c r="W43" s="4"/>
      <c r="X43" s="6">
        <v>1</v>
      </c>
      <c r="Y43" s="9">
        <v>0.0345</v>
      </c>
      <c r="Z43" s="8">
        <v>4.7</v>
      </c>
      <c r="AA43" s="6">
        <v>24</v>
      </c>
      <c r="AB43" s="9">
        <v>0</v>
      </c>
      <c r="AC43" s="7">
        <v>0</v>
      </c>
      <c r="AD43" s="7">
        <v>214.21</v>
      </c>
      <c r="AE43" s="9">
        <v>0.3824</v>
      </c>
      <c r="AF43" s="9">
        <v>5.3731</v>
      </c>
      <c r="AG43" s="6">
        <v>0</v>
      </c>
      <c r="AH43" s="9">
        <v>0</v>
      </c>
      <c r="AI43" s="6">
        <v>67</v>
      </c>
      <c r="AJ43" s="6">
        <v>149</v>
      </c>
      <c r="AK43" s="6">
        <v>216</v>
      </c>
      <c r="AL43" s="6">
        <v>86</v>
      </c>
      <c r="AM43" s="6">
        <v>202</v>
      </c>
      <c r="AN43" s="6">
        <v>288</v>
      </c>
      <c r="AO43" s="9">
        <v>0.99</v>
      </c>
      <c r="AP43" s="9">
        <v>0.1343</v>
      </c>
      <c r="AQ43" s="9">
        <v>0.1343</v>
      </c>
      <c r="AR43" s="4"/>
      <c r="AS43" s="9">
        <v>0</v>
      </c>
      <c r="AT43" s="7">
        <v>0</v>
      </c>
      <c r="AU43" s="10">
        <v>0</v>
      </c>
      <c r="AV43" s="9">
        <v>0</v>
      </c>
      <c r="AW43" s="9">
        <v>0</v>
      </c>
      <c r="AX43" s="9">
        <v>0</v>
      </c>
      <c r="AY43" s="4"/>
      <c r="AZ43" s="7">
        <v>0</v>
      </c>
      <c r="BA43" s="7">
        <v>0</v>
      </c>
      <c r="BB43" s="6">
        <v>0</v>
      </c>
      <c r="BC43" s="9">
        <v>0</v>
      </c>
      <c r="BD43" s="9">
        <v>0</v>
      </c>
      <c r="BE43" s="6">
        <v>0</v>
      </c>
      <c r="BF43" s="6">
        <v>0</v>
      </c>
      <c r="BG43" s="4"/>
    </row>
    <row r="44" spans="1:59">
      <c r="A44" t="str">
        <f t="shared" si="0"/>
        <v>46296XXXX-111</v>
      </c>
      <c r="B44" s="3">
        <v>46296</v>
      </c>
      <c r="C44" s="4" t="s">
        <v>410</v>
      </c>
      <c r="D44" s="4"/>
      <c r="E44" s="4" t="s">
        <v>5</v>
      </c>
      <c r="F44" s="4"/>
      <c r="G44" s="5">
        <v>17.99</v>
      </c>
      <c r="H44" s="6">
        <v>293</v>
      </c>
      <c r="I44" s="6">
        <v>0</v>
      </c>
      <c r="J44" s="6">
        <v>47</v>
      </c>
      <c r="K44" s="6">
        <v>47</v>
      </c>
      <c r="L44" s="7">
        <v>845.53</v>
      </c>
      <c r="M44" s="7">
        <v>829.7</v>
      </c>
      <c r="N44" s="6">
        <v>0</v>
      </c>
      <c r="O44" s="7">
        <v>0</v>
      </c>
      <c r="P44" s="6">
        <v>0</v>
      </c>
      <c r="Q44" s="6">
        <v>0</v>
      </c>
      <c r="R44" s="7">
        <v>0</v>
      </c>
      <c r="S44" s="6">
        <v>0</v>
      </c>
      <c r="T44" s="7">
        <v>17.65</v>
      </c>
      <c r="U44" s="8">
        <v>0.8</v>
      </c>
      <c r="V44" s="4"/>
      <c r="W44" s="4"/>
      <c r="X44" s="6">
        <v>1</v>
      </c>
      <c r="Y44" s="9">
        <v>0.0213</v>
      </c>
      <c r="Z44" s="8">
        <v>4.7</v>
      </c>
      <c r="AA44" s="6">
        <v>24</v>
      </c>
      <c r="AB44" s="9">
        <v>0.0213</v>
      </c>
      <c r="AC44" s="7">
        <v>0</v>
      </c>
      <c r="AD44" s="7">
        <v>203.19</v>
      </c>
      <c r="AE44" s="9">
        <v>0.3765</v>
      </c>
      <c r="AF44" s="9">
        <v>2.7339</v>
      </c>
      <c r="AG44" s="6">
        <v>2</v>
      </c>
      <c r="AH44" s="9">
        <v>0.0426</v>
      </c>
      <c r="AI44" s="6">
        <v>106</v>
      </c>
      <c r="AJ44" s="6">
        <v>247</v>
      </c>
      <c r="AK44" s="6">
        <v>353</v>
      </c>
      <c r="AL44" s="6">
        <v>130</v>
      </c>
      <c r="AM44" s="6">
        <v>317</v>
      </c>
      <c r="AN44" s="6">
        <v>447</v>
      </c>
      <c r="AO44" s="9">
        <v>0.98</v>
      </c>
      <c r="AP44" s="9">
        <v>0.1331</v>
      </c>
      <c r="AQ44" s="9">
        <v>0.1331</v>
      </c>
      <c r="AR44" s="4"/>
      <c r="AS44" s="9">
        <v>0</v>
      </c>
      <c r="AT44" s="7">
        <v>0</v>
      </c>
      <c r="AU44" s="10">
        <v>0</v>
      </c>
      <c r="AV44" s="9">
        <v>0</v>
      </c>
      <c r="AW44" s="9">
        <v>0</v>
      </c>
      <c r="AX44" s="9">
        <v>0</v>
      </c>
      <c r="AY44" s="4"/>
      <c r="AZ44" s="7">
        <v>0</v>
      </c>
      <c r="BA44" s="7">
        <v>0</v>
      </c>
      <c r="BB44" s="6">
        <v>0</v>
      </c>
      <c r="BC44" s="9">
        <v>0</v>
      </c>
      <c r="BD44" s="9">
        <v>0</v>
      </c>
      <c r="BE44" s="6">
        <v>0</v>
      </c>
      <c r="BF44" s="6">
        <v>0</v>
      </c>
      <c r="BG44" s="4"/>
    </row>
    <row r="45" spans="1:59">
      <c r="A45" t="str">
        <f t="shared" si="0"/>
        <v>46297XXXX-111</v>
      </c>
      <c r="B45" s="3">
        <v>46297</v>
      </c>
      <c r="C45" s="4" t="s">
        <v>410</v>
      </c>
      <c r="D45" s="4"/>
      <c r="E45" s="4" t="s">
        <v>5</v>
      </c>
      <c r="F45" s="4"/>
      <c r="G45" s="5">
        <v>17.99</v>
      </c>
      <c r="H45" s="6">
        <v>241</v>
      </c>
      <c r="I45" s="6">
        <v>0</v>
      </c>
      <c r="J45" s="6">
        <v>49</v>
      </c>
      <c r="K45" s="6">
        <v>49</v>
      </c>
      <c r="L45" s="7">
        <v>881.51</v>
      </c>
      <c r="M45" s="7">
        <v>865.68</v>
      </c>
      <c r="N45" s="6">
        <v>1</v>
      </c>
      <c r="O45" s="7">
        <v>17.99</v>
      </c>
      <c r="P45" s="6">
        <v>1</v>
      </c>
      <c r="Q45" s="6">
        <v>0</v>
      </c>
      <c r="R45" s="7">
        <v>0</v>
      </c>
      <c r="S45" s="6">
        <v>0</v>
      </c>
      <c r="T45" s="7">
        <v>17.67</v>
      </c>
      <c r="U45" s="8">
        <v>0.9</v>
      </c>
      <c r="V45" s="4"/>
      <c r="W45" s="4"/>
      <c r="X45" s="6">
        <v>1</v>
      </c>
      <c r="Y45" s="9">
        <v>0.0204</v>
      </c>
      <c r="Z45" s="8">
        <v>4.7</v>
      </c>
      <c r="AA45" s="6">
        <v>24</v>
      </c>
      <c r="AB45" s="9">
        <v>0</v>
      </c>
      <c r="AC45" s="7">
        <v>0</v>
      </c>
      <c r="AD45" s="7">
        <v>262.16</v>
      </c>
      <c r="AE45" s="9">
        <v>0.3835</v>
      </c>
      <c r="AF45" s="9">
        <v>2.7339</v>
      </c>
      <c r="AG45" s="6">
        <v>0</v>
      </c>
      <c r="AH45" s="9">
        <v>0</v>
      </c>
      <c r="AI45" s="6">
        <v>107</v>
      </c>
      <c r="AJ45" s="6">
        <v>296</v>
      </c>
      <c r="AK45" s="6">
        <v>403</v>
      </c>
      <c r="AL45" s="6">
        <v>138</v>
      </c>
      <c r="AM45" s="6">
        <v>355</v>
      </c>
      <c r="AN45" s="6">
        <v>493</v>
      </c>
      <c r="AO45" s="9">
        <v>0.98</v>
      </c>
      <c r="AP45" s="9">
        <v>0.1216</v>
      </c>
      <c r="AQ45" s="9">
        <v>0.1216</v>
      </c>
      <c r="AR45" s="4"/>
      <c r="AS45" s="9">
        <v>0</v>
      </c>
      <c r="AT45" s="7">
        <v>0</v>
      </c>
      <c r="AU45" s="10">
        <v>0</v>
      </c>
      <c r="AV45" s="9">
        <v>0</v>
      </c>
      <c r="AW45" s="9">
        <v>0</v>
      </c>
      <c r="AX45" s="9">
        <v>0</v>
      </c>
      <c r="AY45" s="4"/>
      <c r="AZ45" s="7">
        <v>0</v>
      </c>
      <c r="BA45" s="7">
        <v>0</v>
      </c>
      <c r="BB45" s="6">
        <v>0</v>
      </c>
      <c r="BC45" s="9">
        <v>0</v>
      </c>
      <c r="BD45" s="9">
        <v>0</v>
      </c>
      <c r="BE45" s="6">
        <v>0</v>
      </c>
      <c r="BF45" s="6">
        <v>0</v>
      </c>
      <c r="BG45" s="4"/>
    </row>
    <row r="46" spans="1:59">
      <c r="A46" t="str">
        <f t="shared" si="0"/>
        <v>46298XXXX-111</v>
      </c>
      <c r="B46" s="3">
        <v>46298</v>
      </c>
      <c r="C46" s="4" t="s">
        <v>410</v>
      </c>
      <c r="D46" s="4"/>
      <c r="E46" s="4" t="s">
        <v>5</v>
      </c>
      <c r="F46" s="4"/>
      <c r="G46" s="5">
        <v>19.99</v>
      </c>
      <c r="H46" s="6">
        <v>204</v>
      </c>
      <c r="I46" s="6">
        <v>0</v>
      </c>
      <c r="J46" s="6">
        <v>38</v>
      </c>
      <c r="K46" s="6">
        <v>38</v>
      </c>
      <c r="L46" s="7">
        <v>761.62</v>
      </c>
      <c r="M46" s="7">
        <v>761.62</v>
      </c>
      <c r="N46" s="6">
        <v>3</v>
      </c>
      <c r="O46" s="7">
        <v>59.97</v>
      </c>
      <c r="P46" s="6">
        <v>3</v>
      </c>
      <c r="Q46" s="6">
        <v>0</v>
      </c>
      <c r="R46" s="7">
        <v>0</v>
      </c>
      <c r="S46" s="6">
        <v>0</v>
      </c>
      <c r="T46" s="7">
        <v>20.04</v>
      </c>
      <c r="U46" s="8">
        <v>0.7</v>
      </c>
      <c r="V46" s="4"/>
      <c r="W46" s="4"/>
      <c r="X46" s="6">
        <v>0</v>
      </c>
      <c r="Y46" s="9">
        <v>0</v>
      </c>
      <c r="Z46" s="8">
        <v>4.7</v>
      </c>
      <c r="AA46" s="6">
        <v>24</v>
      </c>
      <c r="AB46" s="9">
        <v>0</v>
      </c>
      <c r="AC46" s="7">
        <v>0</v>
      </c>
      <c r="AD46" s="7">
        <v>312.2</v>
      </c>
      <c r="AE46" s="9">
        <v>0.4163</v>
      </c>
      <c r="AF46" s="9">
        <v>3.4242</v>
      </c>
      <c r="AG46" s="6">
        <v>1</v>
      </c>
      <c r="AH46" s="9">
        <v>0.0263</v>
      </c>
      <c r="AI46" s="6">
        <v>112</v>
      </c>
      <c r="AJ46" s="6">
        <v>173</v>
      </c>
      <c r="AK46" s="6">
        <v>285</v>
      </c>
      <c r="AL46" s="6">
        <v>141</v>
      </c>
      <c r="AM46" s="6">
        <v>235</v>
      </c>
      <c r="AN46" s="6">
        <v>376</v>
      </c>
      <c r="AO46" s="9">
        <v>0.98</v>
      </c>
      <c r="AP46" s="9">
        <v>0.1333</v>
      </c>
      <c r="AQ46" s="9">
        <v>0.1333</v>
      </c>
      <c r="AR46" s="4"/>
      <c r="AS46" s="9">
        <v>0</v>
      </c>
      <c r="AT46" s="7">
        <v>0</v>
      </c>
      <c r="AU46" s="10">
        <v>0</v>
      </c>
      <c r="AV46" s="9">
        <v>0</v>
      </c>
      <c r="AW46" s="9">
        <v>0</v>
      </c>
      <c r="AX46" s="9">
        <v>0</v>
      </c>
      <c r="AY46" s="4"/>
      <c r="AZ46" s="7">
        <v>0</v>
      </c>
      <c r="BA46" s="7">
        <v>0</v>
      </c>
      <c r="BB46" s="6">
        <v>0</v>
      </c>
      <c r="BC46" s="9">
        <v>0</v>
      </c>
      <c r="BD46" s="9">
        <v>0</v>
      </c>
      <c r="BE46" s="6">
        <v>0</v>
      </c>
      <c r="BF46" s="6">
        <v>0</v>
      </c>
      <c r="BG46" s="4"/>
    </row>
    <row r="47" spans="1:59">
      <c r="A47" t="str">
        <f t="shared" si="0"/>
        <v>46299XXXX-111</v>
      </c>
      <c r="B47" s="3">
        <v>46299</v>
      </c>
      <c r="C47" s="4" t="s">
        <v>410</v>
      </c>
      <c r="D47" s="4"/>
      <c r="E47" s="4" t="s">
        <v>5</v>
      </c>
      <c r="F47" s="4"/>
      <c r="G47" s="5">
        <v>21.99</v>
      </c>
      <c r="H47" s="6">
        <v>172</v>
      </c>
      <c r="I47" s="6">
        <v>0</v>
      </c>
      <c r="J47" s="6">
        <v>27</v>
      </c>
      <c r="K47" s="6">
        <v>27</v>
      </c>
      <c r="L47" s="7">
        <v>593.73</v>
      </c>
      <c r="M47" s="7">
        <v>579.66</v>
      </c>
      <c r="N47" s="6">
        <v>2</v>
      </c>
      <c r="O47" s="7">
        <v>43.98</v>
      </c>
      <c r="P47" s="6">
        <v>2</v>
      </c>
      <c r="Q47" s="6">
        <v>0</v>
      </c>
      <c r="R47" s="7">
        <v>0</v>
      </c>
      <c r="S47" s="6">
        <v>0</v>
      </c>
      <c r="T47" s="7">
        <v>21.47</v>
      </c>
      <c r="U47" s="8">
        <v>0.5</v>
      </c>
      <c r="V47" s="4"/>
      <c r="W47" s="4"/>
      <c r="X47" s="6">
        <v>1</v>
      </c>
      <c r="Y47" s="9">
        <v>0.037</v>
      </c>
      <c r="Z47" s="8">
        <v>4.5</v>
      </c>
      <c r="AA47" s="6">
        <v>28</v>
      </c>
      <c r="AB47" s="9">
        <v>0</v>
      </c>
      <c r="AC47" s="7">
        <v>0</v>
      </c>
      <c r="AD47" s="7">
        <v>312.99</v>
      </c>
      <c r="AE47" s="9">
        <v>0.4048</v>
      </c>
      <c r="AF47" s="9">
        <v>4.044</v>
      </c>
      <c r="AG47" s="6">
        <v>1</v>
      </c>
      <c r="AH47" s="9">
        <v>0.037</v>
      </c>
      <c r="AI47" s="6">
        <v>89</v>
      </c>
      <c r="AJ47" s="6">
        <v>140</v>
      </c>
      <c r="AK47" s="6">
        <v>229</v>
      </c>
      <c r="AL47" s="6">
        <v>120</v>
      </c>
      <c r="AM47" s="6">
        <v>178</v>
      </c>
      <c r="AN47" s="6">
        <v>298</v>
      </c>
      <c r="AO47" s="9">
        <v>0.98</v>
      </c>
      <c r="AP47" s="9">
        <v>0.1179</v>
      </c>
      <c r="AQ47" s="9">
        <v>0.1179</v>
      </c>
      <c r="AR47" s="4"/>
      <c r="AS47" s="9">
        <v>0</v>
      </c>
      <c r="AT47" s="7">
        <v>0</v>
      </c>
      <c r="AU47" s="10">
        <v>0</v>
      </c>
      <c r="AV47" s="9">
        <v>0</v>
      </c>
      <c r="AW47" s="9">
        <v>0</v>
      </c>
      <c r="AX47" s="9">
        <v>0</v>
      </c>
      <c r="AY47" s="4"/>
      <c r="AZ47" s="7">
        <v>0</v>
      </c>
      <c r="BA47" s="7">
        <v>0</v>
      </c>
      <c r="BB47" s="6">
        <v>0</v>
      </c>
      <c r="BC47" s="9">
        <v>0</v>
      </c>
      <c r="BD47" s="9">
        <v>0</v>
      </c>
      <c r="BE47" s="6">
        <v>0</v>
      </c>
      <c r="BF47" s="6">
        <v>0</v>
      </c>
      <c r="BG47" s="4"/>
    </row>
    <row r="48" spans="1:59">
      <c r="A48" t="str">
        <f t="shared" si="0"/>
        <v>46300XXXX-111</v>
      </c>
      <c r="B48" s="3">
        <v>46300</v>
      </c>
      <c r="C48" s="4" t="s">
        <v>410</v>
      </c>
      <c r="D48" s="4"/>
      <c r="E48" s="4" t="s">
        <v>5</v>
      </c>
      <c r="F48" s="4"/>
      <c r="G48" s="5">
        <v>21.99</v>
      </c>
      <c r="H48" s="6">
        <v>148</v>
      </c>
      <c r="I48" s="6">
        <v>0</v>
      </c>
      <c r="J48" s="6">
        <v>32</v>
      </c>
      <c r="K48" s="6">
        <v>32</v>
      </c>
      <c r="L48" s="7">
        <v>703.68</v>
      </c>
      <c r="M48" s="7">
        <v>687.85</v>
      </c>
      <c r="N48" s="6">
        <v>2</v>
      </c>
      <c r="O48" s="7">
        <v>43.98</v>
      </c>
      <c r="P48" s="6">
        <v>2</v>
      </c>
      <c r="Q48" s="6">
        <v>0</v>
      </c>
      <c r="R48" s="7">
        <v>0</v>
      </c>
      <c r="S48" s="6">
        <v>0</v>
      </c>
      <c r="T48" s="7">
        <v>21.5</v>
      </c>
      <c r="U48" s="8">
        <v>0.6</v>
      </c>
      <c r="V48" s="4"/>
      <c r="W48" s="4"/>
      <c r="X48" s="6">
        <v>1</v>
      </c>
      <c r="Y48" s="9">
        <v>0.0312</v>
      </c>
      <c r="Z48" s="8">
        <v>4.5</v>
      </c>
      <c r="AA48" s="6">
        <v>28</v>
      </c>
      <c r="AB48" s="9">
        <v>0</v>
      </c>
      <c r="AC48" s="7">
        <v>0</v>
      </c>
      <c r="AD48" s="7">
        <v>311.23</v>
      </c>
      <c r="AE48" s="9">
        <v>0.4482</v>
      </c>
      <c r="AF48" s="9">
        <v>4.0275</v>
      </c>
      <c r="AG48" s="6">
        <v>0</v>
      </c>
      <c r="AH48" s="9">
        <v>0</v>
      </c>
      <c r="AI48" s="6">
        <v>86</v>
      </c>
      <c r="AJ48" s="6">
        <v>122</v>
      </c>
      <c r="AK48" s="6">
        <v>208</v>
      </c>
      <c r="AL48" s="6">
        <v>113</v>
      </c>
      <c r="AM48" s="6">
        <v>143</v>
      </c>
      <c r="AN48" s="6">
        <v>256</v>
      </c>
      <c r="AO48" s="9">
        <v>0.97</v>
      </c>
      <c r="AP48" s="9">
        <v>0.1538</v>
      </c>
      <c r="AQ48" s="9">
        <v>0.1538</v>
      </c>
      <c r="AR48" s="4"/>
      <c r="AS48" s="9">
        <v>0</v>
      </c>
      <c r="AT48" s="7">
        <v>0</v>
      </c>
      <c r="AU48" s="10">
        <v>0</v>
      </c>
      <c r="AV48" s="9">
        <v>0</v>
      </c>
      <c r="AW48" s="9">
        <v>0</v>
      </c>
      <c r="AX48" s="9">
        <v>0</v>
      </c>
      <c r="AY48" s="4"/>
      <c r="AZ48" s="7">
        <v>0</v>
      </c>
      <c r="BA48" s="7">
        <v>0</v>
      </c>
      <c r="BB48" s="6">
        <v>0</v>
      </c>
      <c r="BC48" s="9">
        <v>0</v>
      </c>
      <c r="BD48" s="9">
        <v>0</v>
      </c>
      <c r="BE48" s="6">
        <v>0</v>
      </c>
      <c r="BF48" s="6">
        <v>0</v>
      </c>
      <c r="BG48" s="4"/>
    </row>
    <row r="49" spans="1:59">
      <c r="A49" t="str">
        <f t="shared" si="0"/>
        <v>46301XXXX-111</v>
      </c>
      <c r="B49" s="3">
        <v>46301</v>
      </c>
      <c r="C49" s="4" t="s">
        <v>410</v>
      </c>
      <c r="D49" s="4"/>
      <c r="E49" s="4" t="s">
        <v>5</v>
      </c>
      <c r="F49" s="4"/>
      <c r="G49" s="5">
        <v>21.99</v>
      </c>
      <c r="H49" s="6">
        <v>130</v>
      </c>
      <c r="I49" s="6">
        <v>0</v>
      </c>
      <c r="J49" s="6">
        <v>20</v>
      </c>
      <c r="K49" s="6">
        <v>20</v>
      </c>
      <c r="L49" s="7">
        <v>439.8</v>
      </c>
      <c r="M49" s="7">
        <v>439.8</v>
      </c>
      <c r="N49" s="6">
        <v>2</v>
      </c>
      <c r="O49" s="7">
        <v>43.98</v>
      </c>
      <c r="P49" s="6">
        <v>2</v>
      </c>
      <c r="Q49" s="6">
        <v>0</v>
      </c>
      <c r="R49" s="7">
        <v>0</v>
      </c>
      <c r="S49" s="6">
        <v>0</v>
      </c>
      <c r="T49" s="7">
        <v>21.99</v>
      </c>
      <c r="U49" s="8">
        <v>0.4</v>
      </c>
      <c r="V49" s="4"/>
      <c r="W49" s="4"/>
      <c r="X49" s="6">
        <v>0</v>
      </c>
      <c r="Y49" s="9">
        <v>0</v>
      </c>
      <c r="Z49" s="8">
        <v>4.5</v>
      </c>
      <c r="AA49" s="6">
        <v>28</v>
      </c>
      <c r="AB49" s="9">
        <v>0</v>
      </c>
      <c r="AC49" s="7">
        <v>0</v>
      </c>
      <c r="AD49" s="7">
        <v>304.8</v>
      </c>
      <c r="AE49" s="9">
        <v>0.4742</v>
      </c>
      <c r="AF49" s="9">
        <v>4.081</v>
      </c>
      <c r="AG49" s="6">
        <v>0</v>
      </c>
      <c r="AH49" s="9">
        <v>0</v>
      </c>
      <c r="AI49" s="6">
        <v>59</v>
      </c>
      <c r="AJ49" s="6">
        <v>108</v>
      </c>
      <c r="AK49" s="6">
        <v>167</v>
      </c>
      <c r="AL49" s="6">
        <v>89</v>
      </c>
      <c r="AM49" s="6">
        <v>131</v>
      </c>
      <c r="AN49" s="6">
        <v>220</v>
      </c>
      <c r="AO49" s="9">
        <v>0.99</v>
      </c>
      <c r="AP49" s="9">
        <v>0.1198</v>
      </c>
      <c r="AQ49" s="9">
        <v>0.1198</v>
      </c>
      <c r="AR49" s="4"/>
      <c r="AS49" s="9">
        <v>0</v>
      </c>
      <c r="AT49" s="7">
        <v>0</v>
      </c>
      <c r="AU49" s="10">
        <v>0</v>
      </c>
      <c r="AV49" s="9">
        <v>0</v>
      </c>
      <c r="AW49" s="9">
        <v>0</v>
      </c>
      <c r="AX49" s="9">
        <v>0</v>
      </c>
      <c r="AY49" s="4"/>
      <c r="AZ49" s="7">
        <v>0</v>
      </c>
      <c r="BA49" s="7">
        <v>0</v>
      </c>
      <c r="BB49" s="6">
        <v>0</v>
      </c>
      <c r="BC49" s="9">
        <v>0</v>
      </c>
      <c r="BD49" s="9">
        <v>0</v>
      </c>
      <c r="BE49" s="6">
        <v>0</v>
      </c>
      <c r="BF49" s="6">
        <v>0</v>
      </c>
      <c r="BG49" s="4"/>
    </row>
    <row r="50" spans="1:59">
      <c r="A50" t="str">
        <f t="shared" si="0"/>
        <v>46302XXXX-111</v>
      </c>
      <c r="B50" s="3">
        <v>46302</v>
      </c>
      <c r="C50" s="4" t="s">
        <v>410</v>
      </c>
      <c r="D50" s="4"/>
      <c r="E50" s="4" t="s">
        <v>5</v>
      </c>
      <c r="F50" s="4"/>
      <c r="G50" s="5">
        <v>19.99</v>
      </c>
      <c r="H50" s="6">
        <v>96</v>
      </c>
      <c r="I50" s="6">
        <v>0</v>
      </c>
      <c r="J50" s="6">
        <v>24</v>
      </c>
      <c r="K50" s="6">
        <v>24</v>
      </c>
      <c r="L50" s="7">
        <v>487.76</v>
      </c>
      <c r="M50" s="7">
        <v>472.81</v>
      </c>
      <c r="N50" s="6">
        <v>2</v>
      </c>
      <c r="O50" s="7">
        <v>39.98</v>
      </c>
      <c r="P50" s="6">
        <v>2</v>
      </c>
      <c r="Q50" s="6">
        <v>0</v>
      </c>
      <c r="R50" s="7">
        <v>0</v>
      </c>
      <c r="S50" s="6">
        <v>0</v>
      </c>
      <c r="T50" s="7">
        <v>19.7</v>
      </c>
      <c r="U50" s="8">
        <v>0.4</v>
      </c>
      <c r="V50" s="4"/>
      <c r="W50" s="4"/>
      <c r="X50" s="6">
        <v>1</v>
      </c>
      <c r="Y50" s="9">
        <v>0.0417</v>
      </c>
      <c r="Z50" s="8">
        <v>4.4</v>
      </c>
      <c r="AA50" s="6">
        <v>30</v>
      </c>
      <c r="AB50" s="9">
        <v>0</v>
      </c>
      <c r="AC50" s="7">
        <v>0</v>
      </c>
      <c r="AD50" s="7">
        <v>285.44</v>
      </c>
      <c r="AE50" s="9">
        <v>0.4476</v>
      </c>
      <c r="AF50" s="9">
        <v>3.4365</v>
      </c>
      <c r="AG50" s="6">
        <v>0</v>
      </c>
      <c r="AH50" s="9">
        <v>0</v>
      </c>
      <c r="AI50" s="6">
        <v>62</v>
      </c>
      <c r="AJ50" s="6">
        <v>98</v>
      </c>
      <c r="AK50" s="6">
        <v>160</v>
      </c>
      <c r="AL50" s="6">
        <v>87</v>
      </c>
      <c r="AM50" s="6">
        <v>123</v>
      </c>
      <c r="AN50" s="6">
        <v>210</v>
      </c>
      <c r="AO50" s="9">
        <v>1</v>
      </c>
      <c r="AP50" s="9">
        <v>0.15</v>
      </c>
      <c r="AQ50" s="9">
        <v>0.15</v>
      </c>
      <c r="AR50" s="4"/>
      <c r="AS50" s="9">
        <v>0</v>
      </c>
      <c r="AT50" s="7">
        <v>0</v>
      </c>
      <c r="AU50" s="10">
        <v>0</v>
      </c>
      <c r="AV50" s="9">
        <v>0</v>
      </c>
      <c r="AW50" s="9">
        <v>0</v>
      </c>
      <c r="AX50" s="9">
        <v>0</v>
      </c>
      <c r="AY50" s="4"/>
      <c r="AZ50" s="7">
        <v>0</v>
      </c>
      <c r="BA50" s="7">
        <v>0</v>
      </c>
      <c r="BB50" s="6">
        <v>0</v>
      </c>
      <c r="BC50" s="9">
        <v>0</v>
      </c>
      <c r="BD50" s="9">
        <v>0</v>
      </c>
      <c r="BE50" s="6">
        <v>0</v>
      </c>
      <c r="BF50" s="6">
        <v>0</v>
      </c>
      <c r="BG50" s="4"/>
    </row>
    <row r="51" spans="1:59">
      <c r="A51" t="str">
        <f t="shared" si="0"/>
        <v>46303XXXX-111</v>
      </c>
      <c r="B51" s="3">
        <v>46303</v>
      </c>
      <c r="C51" s="4" t="s">
        <v>410</v>
      </c>
      <c r="D51" s="4"/>
      <c r="E51" s="4" t="s">
        <v>5</v>
      </c>
      <c r="F51" s="4"/>
      <c r="G51" s="5">
        <v>19.99</v>
      </c>
      <c r="H51" s="6">
        <v>89</v>
      </c>
      <c r="I51" s="6">
        <v>0</v>
      </c>
      <c r="J51" s="6">
        <v>10</v>
      </c>
      <c r="K51" s="6">
        <v>10</v>
      </c>
      <c r="L51" s="7">
        <v>189.9</v>
      </c>
      <c r="M51" s="7">
        <v>172.31</v>
      </c>
      <c r="N51" s="6">
        <v>1</v>
      </c>
      <c r="O51" s="7">
        <v>19.99</v>
      </c>
      <c r="P51" s="6">
        <v>1</v>
      </c>
      <c r="Q51" s="6">
        <v>0</v>
      </c>
      <c r="R51" s="7">
        <v>0</v>
      </c>
      <c r="S51" s="6">
        <v>0</v>
      </c>
      <c r="T51" s="7">
        <v>17.23</v>
      </c>
      <c r="U51" s="8">
        <v>0.2</v>
      </c>
      <c r="V51" s="4"/>
      <c r="W51" s="4"/>
      <c r="X51" s="6">
        <v>1</v>
      </c>
      <c r="Y51" s="9">
        <v>0.1</v>
      </c>
      <c r="Z51" s="8">
        <v>4.4</v>
      </c>
      <c r="AA51" s="6">
        <v>30</v>
      </c>
      <c r="AB51" s="9">
        <v>0</v>
      </c>
      <c r="AC51" s="7">
        <v>0</v>
      </c>
      <c r="AD51" s="7">
        <v>66.74</v>
      </c>
      <c r="AE51" s="9">
        <v>0.3629</v>
      </c>
      <c r="AF51" s="9">
        <v>3.035</v>
      </c>
      <c r="AG51" s="6">
        <v>0</v>
      </c>
      <c r="AH51" s="9">
        <v>0</v>
      </c>
      <c r="AI51" s="6">
        <v>54</v>
      </c>
      <c r="AJ51" s="6">
        <v>138</v>
      </c>
      <c r="AK51" s="6">
        <v>192</v>
      </c>
      <c r="AL51" s="6">
        <v>69</v>
      </c>
      <c r="AM51" s="6">
        <v>185</v>
      </c>
      <c r="AN51" s="6">
        <v>254</v>
      </c>
      <c r="AO51" s="9">
        <v>1</v>
      </c>
      <c r="AP51" s="9">
        <v>0.0521</v>
      </c>
      <c r="AQ51" s="9">
        <v>0.0521</v>
      </c>
      <c r="AR51" s="4"/>
      <c r="AS51" s="9">
        <v>0</v>
      </c>
      <c r="AT51" s="7">
        <v>0</v>
      </c>
      <c r="AU51" s="10">
        <v>0</v>
      </c>
      <c r="AV51" s="9">
        <v>0</v>
      </c>
      <c r="AW51" s="9">
        <v>0</v>
      </c>
      <c r="AX51" s="9">
        <v>0</v>
      </c>
      <c r="AY51" s="4"/>
      <c r="AZ51" s="7">
        <v>0</v>
      </c>
      <c r="BA51" s="7">
        <v>0</v>
      </c>
      <c r="BB51" s="6">
        <v>0</v>
      </c>
      <c r="BC51" s="9">
        <v>0</v>
      </c>
      <c r="BD51" s="9">
        <v>0</v>
      </c>
      <c r="BE51" s="6">
        <v>0</v>
      </c>
      <c r="BF51" s="6">
        <v>0</v>
      </c>
      <c r="BG51" s="4"/>
    </row>
    <row r="52" spans="1:59">
      <c r="A52" t="str">
        <f t="shared" si="0"/>
        <v>46304XXXX-111</v>
      </c>
      <c r="B52" s="3">
        <v>46304</v>
      </c>
      <c r="C52" s="4" t="s">
        <v>410</v>
      </c>
      <c r="D52" s="4"/>
      <c r="E52" s="4" t="s">
        <v>5</v>
      </c>
      <c r="F52" s="4"/>
      <c r="G52" s="5">
        <v>17.99</v>
      </c>
      <c r="H52" s="6">
        <v>72</v>
      </c>
      <c r="I52" s="6">
        <v>0</v>
      </c>
      <c r="J52" s="6">
        <v>17</v>
      </c>
      <c r="K52" s="6">
        <v>17</v>
      </c>
      <c r="L52" s="7">
        <v>297.83</v>
      </c>
      <c r="M52" s="7">
        <v>285.52</v>
      </c>
      <c r="N52" s="6">
        <v>1</v>
      </c>
      <c r="O52" s="7">
        <v>15.99</v>
      </c>
      <c r="P52" s="6">
        <v>1</v>
      </c>
      <c r="Q52" s="6">
        <v>0</v>
      </c>
      <c r="R52" s="7">
        <v>0</v>
      </c>
      <c r="S52" s="6">
        <v>0</v>
      </c>
      <c r="T52" s="7">
        <v>16.8</v>
      </c>
      <c r="U52" s="8">
        <v>0.3</v>
      </c>
      <c r="V52" s="4"/>
      <c r="W52" s="4"/>
      <c r="X52" s="6">
        <v>1</v>
      </c>
      <c r="Y52" s="9">
        <v>0.0588</v>
      </c>
      <c r="Z52" s="8">
        <v>4.4</v>
      </c>
      <c r="AA52" s="6">
        <v>30</v>
      </c>
      <c r="AB52" s="9">
        <v>0</v>
      </c>
      <c r="AC52" s="7">
        <v>0</v>
      </c>
      <c r="AD52" s="7">
        <v>117.39</v>
      </c>
      <c r="AE52" s="9">
        <v>0.3995</v>
      </c>
      <c r="AF52" s="9">
        <v>2.7474</v>
      </c>
      <c r="AG52" s="6">
        <v>0</v>
      </c>
      <c r="AH52" s="9">
        <v>0</v>
      </c>
      <c r="AI52" s="6">
        <v>58</v>
      </c>
      <c r="AJ52" s="6">
        <v>137</v>
      </c>
      <c r="AK52" s="6">
        <v>195</v>
      </c>
      <c r="AL52" s="6">
        <v>75</v>
      </c>
      <c r="AM52" s="6">
        <v>177</v>
      </c>
      <c r="AN52" s="6">
        <v>252</v>
      </c>
      <c r="AO52" s="9">
        <v>1</v>
      </c>
      <c r="AP52" s="9">
        <v>0.0872</v>
      </c>
      <c r="AQ52" s="9">
        <v>0.0872</v>
      </c>
      <c r="AR52" s="4"/>
      <c r="AS52" s="9">
        <v>0</v>
      </c>
      <c r="AT52" s="7">
        <v>0</v>
      </c>
      <c r="AU52" s="10">
        <v>0</v>
      </c>
      <c r="AV52" s="9">
        <v>0</v>
      </c>
      <c r="AW52" s="9">
        <v>0</v>
      </c>
      <c r="AX52" s="9">
        <v>0</v>
      </c>
      <c r="AY52" s="4"/>
      <c r="AZ52" s="7">
        <v>0</v>
      </c>
      <c r="BA52" s="7">
        <v>0</v>
      </c>
      <c r="BB52" s="6">
        <v>0</v>
      </c>
      <c r="BC52" s="9">
        <v>0</v>
      </c>
      <c r="BD52" s="9">
        <v>0</v>
      </c>
      <c r="BE52" s="6">
        <v>0</v>
      </c>
      <c r="BF52" s="6">
        <v>0</v>
      </c>
      <c r="BG52" s="4"/>
    </row>
    <row r="53" spans="1:59">
      <c r="A53" t="str">
        <f t="shared" si="0"/>
        <v>46305XXXX-111</v>
      </c>
      <c r="B53" s="3">
        <v>46305</v>
      </c>
      <c r="C53" s="4" t="s">
        <v>410</v>
      </c>
      <c r="D53" s="4"/>
      <c r="E53" s="4" t="s">
        <v>5</v>
      </c>
      <c r="F53" s="4"/>
      <c r="G53" s="5">
        <v>15.99</v>
      </c>
      <c r="H53" s="6">
        <v>54</v>
      </c>
      <c r="I53" s="6">
        <v>0</v>
      </c>
      <c r="J53" s="6">
        <v>19</v>
      </c>
      <c r="K53" s="6">
        <v>18</v>
      </c>
      <c r="L53" s="7">
        <v>303.81</v>
      </c>
      <c r="M53" s="7">
        <v>303.81</v>
      </c>
      <c r="N53" s="6">
        <v>1</v>
      </c>
      <c r="O53" s="7">
        <v>15.99</v>
      </c>
      <c r="P53" s="6">
        <v>1</v>
      </c>
      <c r="Q53" s="6">
        <v>0</v>
      </c>
      <c r="R53" s="7">
        <v>0</v>
      </c>
      <c r="S53" s="6">
        <v>0</v>
      </c>
      <c r="T53" s="7">
        <v>15.99</v>
      </c>
      <c r="U53" s="8">
        <v>0.3</v>
      </c>
      <c r="V53" s="4"/>
      <c r="W53" s="4"/>
      <c r="X53" s="6">
        <v>0</v>
      </c>
      <c r="Y53" s="9">
        <v>0</v>
      </c>
      <c r="Z53" s="8">
        <v>4.4</v>
      </c>
      <c r="AA53" s="6">
        <v>33</v>
      </c>
      <c r="AB53" s="9">
        <v>0.0556</v>
      </c>
      <c r="AC53" s="7">
        <v>0</v>
      </c>
      <c r="AD53" s="7">
        <v>174.85</v>
      </c>
      <c r="AE53" s="9">
        <v>0.4069</v>
      </c>
      <c r="AF53" s="9">
        <v>2.265</v>
      </c>
      <c r="AG53" s="6">
        <v>0</v>
      </c>
      <c r="AH53" s="9">
        <v>0</v>
      </c>
      <c r="AI53" s="6">
        <v>64</v>
      </c>
      <c r="AJ53" s="6">
        <v>117</v>
      </c>
      <c r="AK53" s="6">
        <v>181</v>
      </c>
      <c r="AL53" s="6">
        <v>82</v>
      </c>
      <c r="AM53" s="6">
        <v>146</v>
      </c>
      <c r="AN53" s="6">
        <v>228</v>
      </c>
      <c r="AO53" s="9">
        <v>1</v>
      </c>
      <c r="AP53" s="9">
        <v>0.0994</v>
      </c>
      <c r="AQ53" s="9">
        <v>0.105</v>
      </c>
      <c r="AR53" s="4"/>
      <c r="AS53" s="9">
        <v>0</v>
      </c>
      <c r="AT53" s="7">
        <v>0</v>
      </c>
      <c r="AU53" s="10">
        <v>0</v>
      </c>
      <c r="AV53" s="9">
        <v>0</v>
      </c>
      <c r="AW53" s="9">
        <v>0</v>
      </c>
      <c r="AX53" s="9">
        <v>0</v>
      </c>
      <c r="AY53" s="4"/>
      <c r="AZ53" s="7">
        <v>0</v>
      </c>
      <c r="BA53" s="7">
        <v>0</v>
      </c>
      <c r="BB53" s="6">
        <v>0</v>
      </c>
      <c r="BC53" s="9">
        <v>0</v>
      </c>
      <c r="BD53" s="9">
        <v>0</v>
      </c>
      <c r="BE53" s="6">
        <v>0</v>
      </c>
      <c r="BF53" s="6">
        <v>0</v>
      </c>
      <c r="BG53" s="4"/>
    </row>
    <row r="54" spans="1:59">
      <c r="A54" t="str">
        <f t="shared" si="0"/>
        <v>46306XXXX-111</v>
      </c>
      <c r="B54" s="3">
        <v>46306</v>
      </c>
      <c r="C54" s="4" t="s">
        <v>410</v>
      </c>
      <c r="D54" s="4"/>
      <c r="E54" s="4" t="s">
        <v>5</v>
      </c>
      <c r="F54" s="4"/>
      <c r="G54" s="5">
        <v>17.99</v>
      </c>
      <c r="H54" s="6">
        <v>37</v>
      </c>
      <c r="I54" s="6">
        <v>0</v>
      </c>
      <c r="J54" s="6">
        <v>19</v>
      </c>
      <c r="K54" s="6">
        <v>19</v>
      </c>
      <c r="L54" s="7">
        <v>349.81</v>
      </c>
      <c r="M54" s="7">
        <v>337.5</v>
      </c>
      <c r="N54" s="6">
        <v>1</v>
      </c>
      <c r="O54" s="7">
        <v>19.99</v>
      </c>
      <c r="P54" s="6">
        <v>1</v>
      </c>
      <c r="Q54" s="6">
        <v>0</v>
      </c>
      <c r="R54" s="7">
        <v>0</v>
      </c>
      <c r="S54" s="6">
        <v>0</v>
      </c>
      <c r="T54" s="7">
        <v>17.76</v>
      </c>
      <c r="U54" s="8">
        <v>0.3</v>
      </c>
      <c r="V54" s="4"/>
      <c r="W54" s="4"/>
      <c r="X54" s="6">
        <v>1</v>
      </c>
      <c r="Y54" s="9">
        <v>0.0526</v>
      </c>
      <c r="Z54" s="8">
        <v>4.4</v>
      </c>
      <c r="AA54" s="6">
        <v>33</v>
      </c>
      <c r="AB54" s="9">
        <v>0</v>
      </c>
      <c r="AC54" s="7">
        <v>0</v>
      </c>
      <c r="AD54" s="7">
        <v>95</v>
      </c>
      <c r="AE54" s="9">
        <v>0.3423</v>
      </c>
      <c r="AF54" s="9">
        <v>3.0052</v>
      </c>
      <c r="AG54" s="6">
        <v>0</v>
      </c>
      <c r="AH54" s="9">
        <v>0</v>
      </c>
      <c r="AI54" s="6">
        <v>60</v>
      </c>
      <c r="AJ54" s="6">
        <v>56</v>
      </c>
      <c r="AK54" s="6">
        <v>116</v>
      </c>
      <c r="AL54" s="6">
        <v>73</v>
      </c>
      <c r="AM54" s="6">
        <v>67</v>
      </c>
      <c r="AN54" s="6">
        <v>140</v>
      </c>
      <c r="AO54" s="9">
        <v>0.99</v>
      </c>
      <c r="AP54" s="9">
        <v>0.1638</v>
      </c>
      <c r="AQ54" s="9">
        <v>0.1638</v>
      </c>
      <c r="AR54" s="4"/>
      <c r="AS54" s="9">
        <v>0</v>
      </c>
      <c r="AT54" s="7">
        <v>0</v>
      </c>
      <c r="AU54" s="10">
        <v>0</v>
      </c>
      <c r="AV54" s="9">
        <v>0</v>
      </c>
      <c r="AW54" s="9">
        <v>0</v>
      </c>
      <c r="AX54" s="9">
        <v>0</v>
      </c>
      <c r="AY54" s="4"/>
      <c r="AZ54" s="7">
        <v>0</v>
      </c>
      <c r="BA54" s="7">
        <v>0</v>
      </c>
      <c r="BB54" s="6">
        <v>0</v>
      </c>
      <c r="BC54" s="9">
        <v>0</v>
      </c>
      <c r="BD54" s="9">
        <v>0</v>
      </c>
      <c r="BE54" s="6">
        <v>0</v>
      </c>
      <c r="BF54" s="6">
        <v>0</v>
      </c>
      <c r="BG54" s="4"/>
    </row>
    <row r="55" spans="1:59">
      <c r="A55" t="str">
        <f t="shared" si="0"/>
        <v>46307XXXX-111</v>
      </c>
      <c r="B55" s="3">
        <v>46307</v>
      </c>
      <c r="C55" s="4" t="s">
        <v>410</v>
      </c>
      <c r="D55" s="4"/>
      <c r="E55" s="4" t="s">
        <v>5</v>
      </c>
      <c r="F55" s="4"/>
      <c r="G55" s="5">
        <v>19.99</v>
      </c>
      <c r="H55" s="6">
        <v>22</v>
      </c>
      <c r="I55" s="6">
        <v>0</v>
      </c>
      <c r="J55" s="6">
        <v>18</v>
      </c>
      <c r="K55" s="6">
        <v>17</v>
      </c>
      <c r="L55" s="7">
        <v>359.82</v>
      </c>
      <c r="M55" s="7">
        <v>329.04</v>
      </c>
      <c r="N55" s="6">
        <v>4</v>
      </c>
      <c r="O55" s="7">
        <v>79.96</v>
      </c>
      <c r="P55" s="6">
        <v>4</v>
      </c>
      <c r="Q55" s="6">
        <v>0</v>
      </c>
      <c r="R55" s="7">
        <v>0</v>
      </c>
      <c r="S55" s="6">
        <v>0</v>
      </c>
      <c r="T55" s="7">
        <v>18.28</v>
      </c>
      <c r="U55" s="8">
        <v>0.3</v>
      </c>
      <c r="V55" s="4"/>
      <c r="W55" s="4"/>
      <c r="X55" s="6">
        <v>2</v>
      </c>
      <c r="Y55" s="9">
        <v>0.1111</v>
      </c>
      <c r="Z55" s="8">
        <v>4.4</v>
      </c>
      <c r="AA55" s="6">
        <v>33</v>
      </c>
      <c r="AB55" s="9">
        <v>0</v>
      </c>
      <c r="AC55" s="7">
        <v>0</v>
      </c>
      <c r="AD55" s="7">
        <v>116.31</v>
      </c>
      <c r="AE55" s="9">
        <v>0.2984</v>
      </c>
      <c r="AF55" s="9">
        <v>3.7939</v>
      </c>
      <c r="AG55" s="6">
        <v>2</v>
      </c>
      <c r="AH55" s="9">
        <v>0.1111</v>
      </c>
      <c r="AI55" s="6">
        <v>41</v>
      </c>
      <c r="AJ55" s="6">
        <v>64</v>
      </c>
      <c r="AK55" s="6">
        <v>105</v>
      </c>
      <c r="AL55" s="6">
        <v>48</v>
      </c>
      <c r="AM55" s="6">
        <v>76</v>
      </c>
      <c r="AN55" s="6">
        <v>124</v>
      </c>
      <c r="AO55" s="9">
        <v>1</v>
      </c>
      <c r="AP55" s="9">
        <v>0.1619</v>
      </c>
      <c r="AQ55" s="9">
        <v>0.1714</v>
      </c>
      <c r="AR55" s="4"/>
      <c r="AS55" s="9">
        <v>0</v>
      </c>
      <c r="AT55" s="7">
        <v>0</v>
      </c>
      <c r="AU55" s="10">
        <v>0</v>
      </c>
      <c r="AV55" s="9">
        <v>0</v>
      </c>
      <c r="AW55" s="9">
        <v>0</v>
      </c>
      <c r="AX55" s="9">
        <v>0</v>
      </c>
      <c r="AY55" s="4"/>
      <c r="AZ55" s="7">
        <v>0</v>
      </c>
      <c r="BA55" s="7">
        <v>0</v>
      </c>
      <c r="BB55" s="6">
        <v>0</v>
      </c>
      <c r="BC55" s="9">
        <v>0</v>
      </c>
      <c r="BD55" s="9">
        <v>0</v>
      </c>
      <c r="BE55" s="6">
        <v>0</v>
      </c>
      <c r="BF55" s="6">
        <v>0</v>
      </c>
      <c r="BG55" s="4"/>
    </row>
    <row r="56" spans="1:59">
      <c r="A56" t="str">
        <f t="shared" si="0"/>
        <v>46308XXXX-111</v>
      </c>
      <c r="B56" s="3">
        <v>46308</v>
      </c>
      <c r="C56" s="4" t="s">
        <v>410</v>
      </c>
      <c r="D56" s="4"/>
      <c r="E56" s="4" t="s">
        <v>5</v>
      </c>
      <c r="F56" s="4"/>
      <c r="G56" s="5">
        <v>19.99</v>
      </c>
      <c r="H56" s="6">
        <v>6</v>
      </c>
      <c r="I56" s="6">
        <v>0</v>
      </c>
      <c r="J56" s="6">
        <v>8</v>
      </c>
      <c r="K56" s="6">
        <v>8</v>
      </c>
      <c r="L56" s="7">
        <v>159.92</v>
      </c>
      <c r="M56" s="7">
        <v>159.92</v>
      </c>
      <c r="N56" s="6">
        <v>2</v>
      </c>
      <c r="O56" s="7">
        <v>39.98</v>
      </c>
      <c r="P56" s="6">
        <v>2</v>
      </c>
      <c r="Q56" s="6">
        <v>0</v>
      </c>
      <c r="R56" s="7">
        <v>0</v>
      </c>
      <c r="S56" s="6">
        <v>0</v>
      </c>
      <c r="T56" s="7">
        <v>19.99</v>
      </c>
      <c r="U56" s="8">
        <v>0.1</v>
      </c>
      <c r="V56" s="4"/>
      <c r="W56" s="4"/>
      <c r="X56" s="6">
        <v>0</v>
      </c>
      <c r="Y56" s="9">
        <v>0</v>
      </c>
      <c r="Z56" s="8">
        <v>4.4</v>
      </c>
      <c r="AA56" s="6">
        <v>36</v>
      </c>
      <c r="AB56" s="9">
        <v>0</v>
      </c>
      <c r="AC56" s="7">
        <v>0</v>
      </c>
      <c r="AD56" s="7">
        <v>67.39</v>
      </c>
      <c r="AE56" s="9">
        <v>0.4665</v>
      </c>
      <c r="AF56" s="9">
        <v>6.0817</v>
      </c>
      <c r="AG56" s="6">
        <v>0</v>
      </c>
      <c r="AH56" s="9">
        <v>0</v>
      </c>
      <c r="AI56" s="6">
        <v>27</v>
      </c>
      <c r="AJ56" s="6">
        <v>58</v>
      </c>
      <c r="AK56" s="6">
        <v>85</v>
      </c>
      <c r="AL56" s="6">
        <v>33</v>
      </c>
      <c r="AM56" s="6">
        <v>69</v>
      </c>
      <c r="AN56" s="6">
        <v>102</v>
      </c>
      <c r="AO56" s="9">
        <v>0.99</v>
      </c>
      <c r="AP56" s="9">
        <v>0.0941</v>
      </c>
      <c r="AQ56" s="9">
        <v>0.0941</v>
      </c>
      <c r="AR56" s="4"/>
      <c r="AS56" s="9">
        <v>0</v>
      </c>
      <c r="AT56" s="7">
        <v>0</v>
      </c>
      <c r="AU56" s="10">
        <v>0</v>
      </c>
      <c r="AV56" s="9">
        <v>0</v>
      </c>
      <c r="AW56" s="9">
        <v>0</v>
      </c>
      <c r="AX56" s="9">
        <v>0</v>
      </c>
      <c r="AY56" s="4"/>
      <c r="AZ56" s="7">
        <v>0</v>
      </c>
      <c r="BA56" s="7">
        <v>0</v>
      </c>
      <c r="BB56" s="6">
        <v>0</v>
      </c>
      <c r="BC56" s="9">
        <v>0</v>
      </c>
      <c r="BD56" s="9">
        <v>0</v>
      </c>
      <c r="BE56" s="6">
        <v>0</v>
      </c>
      <c r="BF56" s="6">
        <v>0</v>
      </c>
      <c r="BG56" s="4"/>
    </row>
    <row r="57" spans="1:59">
      <c r="A57" t="str">
        <f t="shared" si="0"/>
        <v>46309XXXX-111</v>
      </c>
      <c r="B57" s="3">
        <v>46309</v>
      </c>
      <c r="C57" s="4" t="s">
        <v>410</v>
      </c>
      <c r="D57" s="4"/>
      <c r="E57" s="4" t="s">
        <v>5</v>
      </c>
      <c r="F57" s="4"/>
      <c r="G57" s="5">
        <v>19.99</v>
      </c>
      <c r="H57" s="6">
        <v>1</v>
      </c>
      <c r="I57" s="6">
        <v>0</v>
      </c>
      <c r="J57" s="6">
        <v>4</v>
      </c>
      <c r="K57" s="6">
        <v>4</v>
      </c>
      <c r="L57" s="7">
        <v>79.96</v>
      </c>
      <c r="M57" s="7">
        <v>79.96</v>
      </c>
      <c r="N57" s="6">
        <v>1</v>
      </c>
      <c r="O57" s="7">
        <v>19.99</v>
      </c>
      <c r="P57" s="6">
        <v>1</v>
      </c>
      <c r="Q57" s="6">
        <v>0</v>
      </c>
      <c r="R57" s="7">
        <v>0</v>
      </c>
      <c r="S57" s="6">
        <v>0</v>
      </c>
      <c r="T57" s="7">
        <v>19.99</v>
      </c>
      <c r="U57" s="8">
        <v>0.1</v>
      </c>
      <c r="V57" s="4"/>
      <c r="W57" s="4"/>
      <c r="X57" s="6">
        <v>2</v>
      </c>
      <c r="Y57" s="9">
        <v>0.5</v>
      </c>
      <c r="Z57" s="8">
        <v>4.4</v>
      </c>
      <c r="AA57" s="6">
        <v>36</v>
      </c>
      <c r="AB57" s="9">
        <v>0</v>
      </c>
      <c r="AC57" s="7">
        <v>0</v>
      </c>
      <c r="AD57" s="7">
        <v>30.12</v>
      </c>
      <c r="AE57" s="9">
        <v>0.3075</v>
      </c>
      <c r="AF57" s="9">
        <v>6.0817</v>
      </c>
      <c r="AG57" s="6">
        <v>0</v>
      </c>
      <c r="AH57" s="9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4"/>
      <c r="AP57" s="9">
        <v>0</v>
      </c>
      <c r="AQ57" s="9">
        <v>0</v>
      </c>
      <c r="AR57" s="4"/>
      <c r="AS57" s="9">
        <v>0</v>
      </c>
      <c r="AT57" s="7">
        <v>0</v>
      </c>
      <c r="AU57" s="10">
        <v>0</v>
      </c>
      <c r="AV57" s="9">
        <v>0</v>
      </c>
      <c r="AW57" s="9">
        <v>0</v>
      </c>
      <c r="AX57" s="9">
        <v>0</v>
      </c>
      <c r="AY57" s="4"/>
      <c r="AZ57" s="7">
        <v>0</v>
      </c>
      <c r="BA57" s="7">
        <v>0</v>
      </c>
      <c r="BB57" s="6">
        <v>0</v>
      </c>
      <c r="BC57" s="9">
        <v>0</v>
      </c>
      <c r="BD57" s="9">
        <v>0</v>
      </c>
      <c r="BE57" s="6">
        <v>0</v>
      </c>
      <c r="BF57" s="6">
        <v>0</v>
      </c>
      <c r="BG57" s="4"/>
    </row>
    <row r="58" spans="1:59">
      <c r="A58" t="str">
        <f t="shared" si="0"/>
        <v>46310XXXX-111</v>
      </c>
      <c r="B58" s="3">
        <v>46310</v>
      </c>
      <c r="C58" s="4" t="s">
        <v>410</v>
      </c>
      <c r="D58" s="4"/>
      <c r="E58" s="4" t="s">
        <v>5</v>
      </c>
      <c r="F58" s="4"/>
      <c r="G58" s="5">
        <v>19.99</v>
      </c>
      <c r="H58" s="6">
        <v>1</v>
      </c>
      <c r="I58" s="6">
        <v>0</v>
      </c>
      <c r="J58" s="6">
        <v>0</v>
      </c>
      <c r="K58" s="6">
        <v>0</v>
      </c>
      <c r="L58" s="7">
        <v>0</v>
      </c>
      <c r="M58" s="7">
        <v>0</v>
      </c>
      <c r="N58" s="6">
        <v>0</v>
      </c>
      <c r="O58" s="7">
        <v>0</v>
      </c>
      <c r="P58" s="6">
        <v>0</v>
      </c>
      <c r="Q58" s="6">
        <v>0</v>
      </c>
      <c r="R58" s="7">
        <v>0</v>
      </c>
      <c r="S58" s="6">
        <v>0</v>
      </c>
      <c r="T58" s="4"/>
      <c r="U58" s="8">
        <v>0</v>
      </c>
      <c r="V58" s="4"/>
      <c r="W58" s="4"/>
      <c r="X58" s="6">
        <v>0</v>
      </c>
      <c r="Y58" s="9">
        <v>0</v>
      </c>
      <c r="Z58" s="8">
        <v>4.4</v>
      </c>
      <c r="AA58" s="6">
        <v>36</v>
      </c>
      <c r="AB58" s="9">
        <v>0</v>
      </c>
      <c r="AC58" s="7">
        <v>0</v>
      </c>
      <c r="AD58" s="7">
        <v>0</v>
      </c>
      <c r="AE58" s="9">
        <v>0</v>
      </c>
      <c r="AF58" s="9">
        <v>0</v>
      </c>
      <c r="AG58" s="6">
        <v>0</v>
      </c>
      <c r="AH58" s="9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4"/>
      <c r="AP58" s="9">
        <v>0</v>
      </c>
      <c r="AQ58" s="9">
        <v>0</v>
      </c>
      <c r="AR58" s="4"/>
      <c r="AS58" s="9">
        <v>0</v>
      </c>
      <c r="AT58" s="7">
        <v>0</v>
      </c>
      <c r="AU58" s="10">
        <v>0</v>
      </c>
      <c r="AV58" s="9">
        <v>0</v>
      </c>
      <c r="AW58" s="9">
        <v>0</v>
      </c>
      <c r="AX58" s="9">
        <v>0</v>
      </c>
      <c r="AY58" s="4"/>
      <c r="AZ58" s="7">
        <v>0</v>
      </c>
      <c r="BA58" s="7">
        <v>0</v>
      </c>
      <c r="BB58" s="6">
        <v>0</v>
      </c>
      <c r="BC58" s="9">
        <v>0</v>
      </c>
      <c r="BD58" s="9">
        <v>0</v>
      </c>
      <c r="BE58" s="6">
        <v>0</v>
      </c>
      <c r="BF58" s="6">
        <v>0</v>
      </c>
      <c r="BG58" s="4"/>
    </row>
    <row r="59" spans="1:59">
      <c r="A59" t="str">
        <f t="shared" si="0"/>
        <v/>
      </c>
    </row>
    <row r="60" spans="1:59">
      <c r="A60" t="str">
        <f t="shared" si="0"/>
        <v>时间MSKU</v>
      </c>
      <c r="B60" s="2" t="s">
        <v>475</v>
      </c>
      <c r="C60" s="2" t="s">
        <v>239</v>
      </c>
      <c r="D60" s="2" t="s">
        <v>861</v>
      </c>
      <c r="E60" s="2" t="s">
        <v>474</v>
      </c>
      <c r="F60" s="2" t="s">
        <v>862</v>
      </c>
      <c r="G60" s="2" t="s">
        <v>863</v>
      </c>
      <c r="H60" s="2" t="s">
        <v>864</v>
      </c>
      <c r="I60" s="2" t="s">
        <v>865</v>
      </c>
      <c r="J60" s="2" t="s">
        <v>413</v>
      </c>
      <c r="K60" s="2" t="s">
        <v>866</v>
      </c>
      <c r="L60" s="2" t="s">
        <v>867</v>
      </c>
      <c r="M60" s="2" t="s">
        <v>868</v>
      </c>
      <c r="N60" s="2" t="s">
        <v>869</v>
      </c>
      <c r="O60" s="2" t="s">
        <v>870</v>
      </c>
      <c r="P60" s="2" t="s">
        <v>871</v>
      </c>
      <c r="Q60" s="2" t="s">
        <v>872</v>
      </c>
      <c r="R60" s="2" t="s">
        <v>873</v>
      </c>
      <c r="S60" s="2" t="s">
        <v>874</v>
      </c>
      <c r="T60" s="2" t="s">
        <v>875</v>
      </c>
      <c r="U60" s="2" t="s">
        <v>876</v>
      </c>
      <c r="V60" s="2"/>
      <c r="W60" s="2"/>
      <c r="X60" s="2" t="s">
        <v>879</v>
      </c>
      <c r="Y60" s="2" t="s">
        <v>880</v>
      </c>
      <c r="Z60" s="2" t="s">
        <v>881</v>
      </c>
      <c r="AA60" s="2" t="s">
        <v>882</v>
      </c>
      <c r="AB60" s="2" t="s">
        <v>883</v>
      </c>
      <c r="AC60" s="2" t="s">
        <v>884</v>
      </c>
      <c r="AD60" s="2" t="s">
        <v>269</v>
      </c>
      <c r="AE60" s="2" t="s">
        <v>885</v>
      </c>
      <c r="AF60" s="2" t="s">
        <v>886</v>
      </c>
      <c r="AG60" s="2" t="s">
        <v>887</v>
      </c>
      <c r="AH60" s="2" t="s">
        <v>888</v>
      </c>
      <c r="AI60" s="2" t="s">
        <v>889</v>
      </c>
      <c r="AJ60" s="2" t="s">
        <v>890</v>
      </c>
      <c r="AK60" s="2" t="s">
        <v>891</v>
      </c>
      <c r="AL60" s="2" t="s">
        <v>892</v>
      </c>
      <c r="AM60" s="2" t="s">
        <v>893</v>
      </c>
      <c r="AN60" s="2" t="s">
        <v>894</v>
      </c>
      <c r="AO60" s="2" t="s">
        <v>895</v>
      </c>
      <c r="AP60" s="2" t="s">
        <v>896</v>
      </c>
      <c r="AQ60" s="2" t="s">
        <v>897</v>
      </c>
      <c r="AR60" s="2" t="s">
        <v>898</v>
      </c>
      <c r="AS60" s="2" t="s">
        <v>899</v>
      </c>
      <c r="AT60" s="2" t="s">
        <v>900</v>
      </c>
      <c r="AU60" s="2" t="s">
        <v>901</v>
      </c>
      <c r="AV60" s="2" t="s">
        <v>902</v>
      </c>
      <c r="AW60" s="2" t="s">
        <v>903</v>
      </c>
      <c r="AX60" s="2" t="s">
        <v>904</v>
      </c>
      <c r="AY60" s="2" t="s">
        <v>905</v>
      </c>
      <c r="AZ60" s="2" t="s">
        <v>906</v>
      </c>
      <c r="BA60" s="2" t="s">
        <v>907</v>
      </c>
      <c r="BB60" s="2" t="s">
        <v>575</v>
      </c>
      <c r="BC60" s="2" t="s">
        <v>908</v>
      </c>
      <c r="BD60" s="2" t="s">
        <v>909</v>
      </c>
      <c r="BE60" s="2" t="s">
        <v>910</v>
      </c>
      <c r="BF60" s="2" t="s">
        <v>911</v>
      </c>
      <c r="BG60" s="2"/>
    </row>
    <row r="61" spans="1:59">
      <c r="A61" t="str">
        <f t="shared" si="0"/>
        <v>46254XXXX-222</v>
      </c>
      <c r="B61" s="3">
        <v>46254</v>
      </c>
      <c r="C61" s="4" t="s">
        <v>412</v>
      </c>
      <c r="D61" s="4"/>
      <c r="E61" s="4" t="s">
        <v>261</v>
      </c>
      <c r="F61" s="4"/>
      <c r="G61" s="5">
        <v>13.99</v>
      </c>
      <c r="H61" s="6">
        <v>240</v>
      </c>
      <c r="I61" s="6">
        <v>0</v>
      </c>
      <c r="J61" s="6">
        <v>0</v>
      </c>
      <c r="K61" s="6">
        <v>0</v>
      </c>
      <c r="L61" s="7">
        <v>0</v>
      </c>
      <c r="M61" s="7">
        <v>0</v>
      </c>
      <c r="N61" s="6">
        <v>0</v>
      </c>
      <c r="O61" s="7">
        <v>0</v>
      </c>
      <c r="P61" s="6">
        <v>0</v>
      </c>
      <c r="Q61" s="6">
        <v>0</v>
      </c>
      <c r="R61" s="7">
        <v>0</v>
      </c>
      <c r="S61" s="6">
        <v>0</v>
      </c>
      <c r="T61" s="4"/>
      <c r="U61" s="8">
        <v>0</v>
      </c>
      <c r="V61" s="4"/>
      <c r="W61" s="4"/>
      <c r="X61" s="6">
        <v>0</v>
      </c>
      <c r="Y61" s="9">
        <v>0</v>
      </c>
      <c r="Z61" s="8">
        <v>0</v>
      </c>
      <c r="AA61" s="6">
        <v>0</v>
      </c>
      <c r="AB61" s="9">
        <v>0</v>
      </c>
      <c r="AC61" s="7">
        <v>0</v>
      </c>
      <c r="AD61" s="7">
        <v>0</v>
      </c>
      <c r="AE61" s="9">
        <v>0</v>
      </c>
      <c r="AF61" s="9">
        <v>0</v>
      </c>
      <c r="AG61" s="6">
        <v>0</v>
      </c>
      <c r="AH61" s="9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4"/>
      <c r="AP61" s="9">
        <v>0</v>
      </c>
      <c r="AQ61" s="9">
        <v>0</v>
      </c>
      <c r="AR61" s="4"/>
      <c r="AS61" s="9">
        <v>0</v>
      </c>
      <c r="AT61" s="7">
        <v>0</v>
      </c>
      <c r="AU61" s="10">
        <v>0</v>
      </c>
      <c r="AV61" s="9">
        <v>0</v>
      </c>
      <c r="AW61" s="9">
        <v>0</v>
      </c>
      <c r="AX61" s="9">
        <v>0</v>
      </c>
      <c r="AY61" s="4"/>
      <c r="AZ61" s="7">
        <v>0</v>
      </c>
      <c r="BA61" s="7">
        <v>0</v>
      </c>
      <c r="BB61" s="6">
        <v>0</v>
      </c>
      <c r="BC61" s="9">
        <v>0</v>
      </c>
      <c r="BD61" s="9">
        <v>0</v>
      </c>
      <c r="BE61" s="6">
        <v>0</v>
      </c>
      <c r="BF61" s="6">
        <v>0</v>
      </c>
      <c r="BG61" s="4"/>
    </row>
    <row r="62" spans="1:59">
      <c r="A62" t="str">
        <f t="shared" si="0"/>
        <v>46255XXXX-222</v>
      </c>
      <c r="B62" s="3">
        <v>46255</v>
      </c>
      <c r="C62" s="4" t="s">
        <v>412</v>
      </c>
      <c r="D62" s="4"/>
      <c r="E62" s="4" t="s">
        <v>261</v>
      </c>
      <c r="F62" s="4"/>
      <c r="G62" s="5">
        <v>13.99</v>
      </c>
      <c r="H62" s="6">
        <v>284</v>
      </c>
      <c r="I62" s="6">
        <v>0</v>
      </c>
      <c r="J62" s="6">
        <v>0</v>
      </c>
      <c r="K62" s="6">
        <v>0</v>
      </c>
      <c r="L62" s="7">
        <v>0</v>
      </c>
      <c r="M62" s="7">
        <v>0</v>
      </c>
      <c r="N62" s="6">
        <v>0</v>
      </c>
      <c r="O62" s="7">
        <v>0</v>
      </c>
      <c r="P62" s="6">
        <v>0</v>
      </c>
      <c r="Q62" s="6">
        <v>0</v>
      </c>
      <c r="R62" s="7">
        <v>0</v>
      </c>
      <c r="S62" s="6">
        <v>0</v>
      </c>
      <c r="T62" s="4"/>
      <c r="U62" s="8">
        <v>0</v>
      </c>
      <c r="V62" s="4"/>
      <c r="W62" s="4"/>
      <c r="X62" s="6">
        <v>0</v>
      </c>
      <c r="Y62" s="9">
        <v>0</v>
      </c>
      <c r="Z62" s="8">
        <v>0</v>
      </c>
      <c r="AA62" s="6">
        <v>0</v>
      </c>
      <c r="AB62" s="9">
        <v>0</v>
      </c>
      <c r="AC62" s="7">
        <v>0</v>
      </c>
      <c r="AD62" s="7">
        <v>0</v>
      </c>
      <c r="AE62" s="9">
        <v>0</v>
      </c>
      <c r="AF62" s="9">
        <v>0</v>
      </c>
      <c r="AG62" s="6">
        <v>0</v>
      </c>
      <c r="AH62" s="9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4"/>
      <c r="AP62" s="9">
        <v>0</v>
      </c>
      <c r="AQ62" s="9">
        <v>0</v>
      </c>
      <c r="AR62" s="4"/>
      <c r="AS62" s="9">
        <v>0</v>
      </c>
      <c r="AT62" s="7">
        <v>0</v>
      </c>
      <c r="AU62" s="10">
        <v>0</v>
      </c>
      <c r="AV62" s="9">
        <v>0</v>
      </c>
      <c r="AW62" s="9">
        <v>0</v>
      </c>
      <c r="AX62" s="9">
        <v>0</v>
      </c>
      <c r="AY62" s="4"/>
      <c r="AZ62" s="7">
        <v>0</v>
      </c>
      <c r="BA62" s="7">
        <v>0</v>
      </c>
      <c r="BB62" s="6">
        <v>0</v>
      </c>
      <c r="BC62" s="9">
        <v>0</v>
      </c>
      <c r="BD62" s="9">
        <v>0</v>
      </c>
      <c r="BE62" s="6">
        <v>0</v>
      </c>
      <c r="BF62" s="6">
        <v>0</v>
      </c>
      <c r="BG62" s="4"/>
    </row>
    <row r="63" spans="1:59">
      <c r="A63" t="str">
        <f t="shared" si="0"/>
        <v>46256XXXX-222</v>
      </c>
      <c r="B63" s="3">
        <v>46256</v>
      </c>
      <c r="C63" s="4" t="s">
        <v>412</v>
      </c>
      <c r="D63" s="4"/>
      <c r="E63" s="4" t="s">
        <v>261</v>
      </c>
      <c r="F63" s="4"/>
      <c r="G63" s="5">
        <v>13.99</v>
      </c>
      <c r="H63" s="6">
        <v>344</v>
      </c>
      <c r="I63" s="6">
        <v>0</v>
      </c>
      <c r="J63" s="6">
        <v>0</v>
      </c>
      <c r="K63" s="6">
        <v>0</v>
      </c>
      <c r="L63" s="7">
        <v>0</v>
      </c>
      <c r="M63" s="7">
        <v>0</v>
      </c>
      <c r="N63" s="6">
        <v>0</v>
      </c>
      <c r="O63" s="7">
        <v>0</v>
      </c>
      <c r="P63" s="6">
        <v>0</v>
      </c>
      <c r="Q63" s="6">
        <v>0</v>
      </c>
      <c r="R63" s="7">
        <v>0</v>
      </c>
      <c r="S63" s="6">
        <v>0</v>
      </c>
      <c r="T63" s="4"/>
      <c r="U63" s="8">
        <v>0</v>
      </c>
      <c r="V63" s="4"/>
      <c r="W63" s="4"/>
      <c r="X63" s="6">
        <v>0</v>
      </c>
      <c r="Y63" s="9">
        <v>0</v>
      </c>
      <c r="Z63" s="8">
        <v>0</v>
      </c>
      <c r="AA63" s="6">
        <v>0</v>
      </c>
      <c r="AB63" s="9">
        <v>0</v>
      </c>
      <c r="AC63" s="7">
        <v>0</v>
      </c>
      <c r="AD63" s="7">
        <v>0</v>
      </c>
      <c r="AE63" s="9">
        <v>0</v>
      </c>
      <c r="AF63" s="9">
        <v>0</v>
      </c>
      <c r="AG63" s="6">
        <v>0</v>
      </c>
      <c r="AH63" s="9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4"/>
      <c r="AP63" s="9">
        <v>0</v>
      </c>
      <c r="AQ63" s="9">
        <v>0</v>
      </c>
      <c r="AR63" s="4"/>
      <c r="AS63" s="9">
        <v>0</v>
      </c>
      <c r="AT63" s="7">
        <v>0</v>
      </c>
      <c r="AU63" s="10">
        <v>0</v>
      </c>
      <c r="AV63" s="9">
        <v>0</v>
      </c>
      <c r="AW63" s="9">
        <v>0</v>
      </c>
      <c r="AX63" s="9">
        <v>0</v>
      </c>
      <c r="AY63" s="4"/>
      <c r="AZ63" s="7">
        <v>0</v>
      </c>
      <c r="BA63" s="7">
        <v>0</v>
      </c>
      <c r="BB63" s="6">
        <v>0</v>
      </c>
      <c r="BC63" s="9">
        <v>0</v>
      </c>
      <c r="BD63" s="9">
        <v>0</v>
      </c>
      <c r="BE63" s="6">
        <v>0</v>
      </c>
      <c r="BF63" s="6">
        <v>0</v>
      </c>
      <c r="BG63" s="4"/>
    </row>
    <row r="64" spans="1:59">
      <c r="A64" t="str">
        <f t="shared" si="0"/>
        <v>46257XXXX-222</v>
      </c>
      <c r="B64" s="3">
        <v>46257</v>
      </c>
      <c r="C64" s="4" t="s">
        <v>412</v>
      </c>
      <c r="D64" s="4"/>
      <c r="E64" s="4" t="s">
        <v>261</v>
      </c>
      <c r="F64" s="4"/>
      <c r="G64" s="5">
        <v>13.99</v>
      </c>
      <c r="H64" s="6">
        <v>365</v>
      </c>
      <c r="I64" s="6">
        <v>0</v>
      </c>
      <c r="J64" s="6">
        <v>1</v>
      </c>
      <c r="K64" s="6">
        <v>1</v>
      </c>
      <c r="L64" s="7">
        <v>13.99</v>
      </c>
      <c r="M64" s="7">
        <v>13.99</v>
      </c>
      <c r="N64" s="6">
        <v>0</v>
      </c>
      <c r="O64" s="7">
        <v>0</v>
      </c>
      <c r="P64" s="6">
        <v>0</v>
      </c>
      <c r="Q64" s="6">
        <v>0</v>
      </c>
      <c r="R64" s="7">
        <v>0</v>
      </c>
      <c r="S64" s="6">
        <v>0</v>
      </c>
      <c r="T64" s="7">
        <v>13.99</v>
      </c>
      <c r="U64" s="8">
        <v>0</v>
      </c>
      <c r="V64" s="4"/>
      <c r="W64" s="4"/>
      <c r="X64" s="6">
        <v>0</v>
      </c>
      <c r="Y64" s="9">
        <v>0</v>
      </c>
      <c r="Z64" s="8">
        <v>0</v>
      </c>
      <c r="AA64" s="6">
        <v>0</v>
      </c>
      <c r="AB64" s="9">
        <v>0</v>
      </c>
      <c r="AC64" s="7">
        <v>0</v>
      </c>
      <c r="AD64" s="7">
        <v>-15.72</v>
      </c>
      <c r="AE64" s="9">
        <v>0</v>
      </c>
      <c r="AF64" s="9">
        <v>-1.6129</v>
      </c>
      <c r="AG64" s="6">
        <v>0</v>
      </c>
      <c r="AH64" s="9">
        <v>0</v>
      </c>
      <c r="AI64" s="6">
        <v>6</v>
      </c>
      <c r="AJ64" s="6">
        <v>19</v>
      </c>
      <c r="AK64" s="6">
        <v>25</v>
      </c>
      <c r="AL64" s="6">
        <v>7</v>
      </c>
      <c r="AM64" s="6">
        <v>23</v>
      </c>
      <c r="AN64" s="6">
        <v>30</v>
      </c>
      <c r="AO64" s="9">
        <v>1</v>
      </c>
      <c r="AP64" s="9">
        <v>0.04</v>
      </c>
      <c r="AQ64" s="9">
        <v>0.04</v>
      </c>
      <c r="AR64" s="7">
        <v>0.98</v>
      </c>
      <c r="AS64" s="9">
        <v>0.0045</v>
      </c>
      <c r="AT64" s="7">
        <v>-15.72</v>
      </c>
      <c r="AU64" s="10">
        <v>0</v>
      </c>
      <c r="AV64" s="9">
        <v>1</v>
      </c>
      <c r="AW64" s="9">
        <v>1.1237</v>
      </c>
      <c r="AX64" s="9">
        <v>0</v>
      </c>
      <c r="AY64" s="4"/>
      <c r="AZ64" s="7">
        <v>4.43</v>
      </c>
      <c r="BA64" s="7">
        <v>0</v>
      </c>
      <c r="BB64" s="6">
        <v>0</v>
      </c>
      <c r="BC64" s="9">
        <v>0</v>
      </c>
      <c r="BD64" s="9">
        <v>0</v>
      </c>
      <c r="BE64" s="6">
        <v>3551</v>
      </c>
      <c r="BF64" s="6">
        <v>16</v>
      </c>
      <c r="BG64" s="4"/>
    </row>
    <row r="65" spans="1:59">
      <c r="A65" t="str">
        <f t="shared" si="0"/>
        <v>46258XXXX-222</v>
      </c>
      <c r="B65" s="3">
        <v>46258</v>
      </c>
      <c r="C65" s="4" t="s">
        <v>412</v>
      </c>
      <c r="D65" s="4"/>
      <c r="E65" s="4" t="s">
        <v>261</v>
      </c>
      <c r="F65" s="4"/>
      <c r="G65" s="5">
        <v>13.99</v>
      </c>
      <c r="H65" s="6">
        <v>364</v>
      </c>
      <c r="I65" s="6">
        <v>0</v>
      </c>
      <c r="J65" s="6">
        <v>0</v>
      </c>
      <c r="K65" s="6">
        <v>0</v>
      </c>
      <c r="L65" s="7">
        <v>0</v>
      </c>
      <c r="M65" s="7">
        <v>0</v>
      </c>
      <c r="N65" s="6">
        <v>0</v>
      </c>
      <c r="O65" s="7">
        <v>0</v>
      </c>
      <c r="P65" s="6">
        <v>0</v>
      </c>
      <c r="Q65" s="6">
        <v>0</v>
      </c>
      <c r="R65" s="7">
        <v>0</v>
      </c>
      <c r="S65" s="6">
        <v>0</v>
      </c>
      <c r="T65" s="4"/>
      <c r="U65" s="8">
        <v>0</v>
      </c>
      <c r="V65" s="4"/>
      <c r="W65" s="4"/>
      <c r="X65" s="6">
        <v>0</v>
      </c>
      <c r="Y65" s="9">
        <v>0</v>
      </c>
      <c r="Z65" s="8">
        <v>0</v>
      </c>
      <c r="AA65" s="6">
        <v>0</v>
      </c>
      <c r="AB65" s="9">
        <v>0</v>
      </c>
      <c r="AC65" s="7">
        <v>0</v>
      </c>
      <c r="AD65" s="7">
        <v>-6.68</v>
      </c>
      <c r="AE65" s="9">
        <v>0</v>
      </c>
      <c r="AF65" s="9">
        <v>0</v>
      </c>
      <c r="AG65" s="6">
        <v>0</v>
      </c>
      <c r="AH65" s="9">
        <v>0</v>
      </c>
      <c r="AI65" s="6">
        <v>7</v>
      </c>
      <c r="AJ65" s="6">
        <v>9</v>
      </c>
      <c r="AK65" s="6">
        <v>16</v>
      </c>
      <c r="AL65" s="6">
        <v>7</v>
      </c>
      <c r="AM65" s="6">
        <v>10</v>
      </c>
      <c r="AN65" s="6">
        <v>17</v>
      </c>
      <c r="AO65" s="9">
        <v>1</v>
      </c>
      <c r="AP65" s="9">
        <v>0</v>
      </c>
      <c r="AQ65" s="9">
        <v>0</v>
      </c>
      <c r="AR65" s="7">
        <v>0.83</v>
      </c>
      <c r="AS65" s="9">
        <v>0.0031</v>
      </c>
      <c r="AT65" s="7">
        <v>-6.68</v>
      </c>
      <c r="AU65" s="10">
        <v>0</v>
      </c>
      <c r="AV65" s="9">
        <v>1</v>
      </c>
      <c r="AW65" s="9">
        <v>1</v>
      </c>
      <c r="AX65" s="9">
        <v>0</v>
      </c>
      <c r="AY65" s="4"/>
      <c r="AZ65" s="7">
        <v>2.57</v>
      </c>
      <c r="BA65" s="7">
        <v>0</v>
      </c>
      <c r="BB65" s="6">
        <v>0</v>
      </c>
      <c r="BC65" s="9">
        <v>0</v>
      </c>
      <c r="BD65" s="9">
        <v>0</v>
      </c>
      <c r="BE65" s="6">
        <v>2595</v>
      </c>
      <c r="BF65" s="6">
        <v>8</v>
      </c>
      <c r="BG65" s="4"/>
    </row>
    <row r="66" spans="1:59">
      <c r="A66" t="str">
        <f t="shared" ref="A66:A117" si="1">B66&amp;E66</f>
        <v>46259XXXX-222</v>
      </c>
      <c r="B66" s="3">
        <v>46259</v>
      </c>
      <c r="C66" s="4" t="s">
        <v>412</v>
      </c>
      <c r="D66" s="4"/>
      <c r="E66" s="4" t="s">
        <v>261</v>
      </c>
      <c r="F66" s="4"/>
      <c r="G66" s="5">
        <v>13.99</v>
      </c>
      <c r="H66" s="6">
        <v>379</v>
      </c>
      <c r="I66" s="6">
        <v>0</v>
      </c>
      <c r="J66" s="6">
        <v>1</v>
      </c>
      <c r="K66" s="6">
        <v>1</v>
      </c>
      <c r="L66" s="7">
        <v>13.99</v>
      </c>
      <c r="M66" s="7">
        <v>13.99</v>
      </c>
      <c r="N66" s="6">
        <v>0</v>
      </c>
      <c r="O66" s="7">
        <v>0</v>
      </c>
      <c r="P66" s="6">
        <v>0</v>
      </c>
      <c r="Q66" s="6">
        <v>0</v>
      </c>
      <c r="R66" s="7">
        <v>0</v>
      </c>
      <c r="S66" s="6">
        <v>0</v>
      </c>
      <c r="T66" s="7">
        <v>13.99</v>
      </c>
      <c r="U66" s="8">
        <v>0</v>
      </c>
      <c r="V66" s="4"/>
      <c r="W66" s="4"/>
      <c r="X66" s="6">
        <v>0</v>
      </c>
      <c r="Y66" s="9">
        <v>0</v>
      </c>
      <c r="Z66" s="8">
        <v>0</v>
      </c>
      <c r="AA66" s="6">
        <v>0</v>
      </c>
      <c r="AB66" s="9">
        <v>0</v>
      </c>
      <c r="AC66" s="7">
        <v>0</v>
      </c>
      <c r="AD66" s="7">
        <v>-25.23</v>
      </c>
      <c r="AE66" s="9">
        <v>0</v>
      </c>
      <c r="AF66" s="9">
        <v>-4.9819</v>
      </c>
      <c r="AG66" s="6">
        <v>0</v>
      </c>
      <c r="AH66" s="9">
        <v>0</v>
      </c>
      <c r="AI66" s="6">
        <v>11</v>
      </c>
      <c r="AJ66" s="6">
        <v>17</v>
      </c>
      <c r="AK66" s="6">
        <v>28</v>
      </c>
      <c r="AL66" s="6">
        <v>13</v>
      </c>
      <c r="AM66" s="6">
        <v>24</v>
      </c>
      <c r="AN66" s="6">
        <v>37</v>
      </c>
      <c r="AO66" s="9">
        <v>1</v>
      </c>
      <c r="AP66" s="9">
        <v>0.0357</v>
      </c>
      <c r="AQ66" s="9">
        <v>0.0357</v>
      </c>
      <c r="AR66" s="7">
        <v>1.01</v>
      </c>
      <c r="AS66" s="9">
        <v>0.0059</v>
      </c>
      <c r="AT66" s="7">
        <v>-25.23</v>
      </c>
      <c r="AU66" s="10">
        <v>1.66</v>
      </c>
      <c r="AV66" s="9">
        <v>0.6011</v>
      </c>
      <c r="AW66" s="9">
        <v>1.8034</v>
      </c>
      <c r="AX66" s="9">
        <v>3</v>
      </c>
      <c r="AY66" s="7">
        <v>8.41</v>
      </c>
      <c r="AZ66" s="7">
        <v>5.94</v>
      </c>
      <c r="BA66" s="7">
        <v>41.97</v>
      </c>
      <c r="BB66" s="6">
        <v>3</v>
      </c>
      <c r="BC66" s="9">
        <v>3</v>
      </c>
      <c r="BD66" s="9">
        <v>0.12</v>
      </c>
      <c r="BE66" s="6">
        <v>4249</v>
      </c>
      <c r="BF66" s="6">
        <v>25</v>
      </c>
      <c r="BG66" s="4"/>
    </row>
    <row r="67" spans="1:59">
      <c r="A67" t="str">
        <f t="shared" si="1"/>
        <v>46260XXXX-222</v>
      </c>
      <c r="B67" s="3">
        <v>46260</v>
      </c>
      <c r="C67" s="4" t="s">
        <v>412</v>
      </c>
      <c r="D67" s="4"/>
      <c r="E67" s="4" t="s">
        <v>261</v>
      </c>
      <c r="F67" s="4"/>
      <c r="G67" s="5">
        <v>13.99</v>
      </c>
      <c r="H67" s="6">
        <v>497</v>
      </c>
      <c r="I67" s="6">
        <v>0</v>
      </c>
      <c r="J67" s="6">
        <v>5</v>
      </c>
      <c r="K67" s="6">
        <v>5</v>
      </c>
      <c r="L67" s="7">
        <v>69.95</v>
      </c>
      <c r="M67" s="7">
        <v>69.95</v>
      </c>
      <c r="N67" s="6">
        <v>0</v>
      </c>
      <c r="O67" s="7">
        <v>0</v>
      </c>
      <c r="P67" s="6">
        <v>0</v>
      </c>
      <c r="Q67" s="6">
        <v>0</v>
      </c>
      <c r="R67" s="7">
        <v>0</v>
      </c>
      <c r="S67" s="6">
        <v>0</v>
      </c>
      <c r="T67" s="7">
        <v>13.99</v>
      </c>
      <c r="U67" s="8">
        <v>0.1</v>
      </c>
      <c r="V67" s="4"/>
      <c r="W67" s="4"/>
      <c r="X67" s="6">
        <v>0</v>
      </c>
      <c r="Y67" s="9">
        <v>0</v>
      </c>
      <c r="Z67" s="8">
        <v>0</v>
      </c>
      <c r="AA67" s="6">
        <v>0</v>
      </c>
      <c r="AB67" s="9">
        <v>0</v>
      </c>
      <c r="AC67" s="7">
        <v>0</v>
      </c>
      <c r="AD67" s="7">
        <v>-14.15</v>
      </c>
      <c r="AE67" s="9">
        <v>-0.3146</v>
      </c>
      <c r="AF67" s="9">
        <v>2.369</v>
      </c>
      <c r="AG67" s="6">
        <v>0</v>
      </c>
      <c r="AH67" s="9">
        <v>0</v>
      </c>
      <c r="AI67" s="6">
        <v>14</v>
      </c>
      <c r="AJ67" s="6">
        <v>23</v>
      </c>
      <c r="AK67" s="6">
        <v>37</v>
      </c>
      <c r="AL67" s="6">
        <v>16</v>
      </c>
      <c r="AM67" s="6">
        <v>31</v>
      </c>
      <c r="AN67" s="6">
        <v>47</v>
      </c>
      <c r="AO67" s="9">
        <v>1</v>
      </c>
      <c r="AP67" s="9">
        <v>0.1351</v>
      </c>
      <c r="AQ67" s="9">
        <v>0.1351</v>
      </c>
      <c r="AR67" s="7">
        <v>1.02</v>
      </c>
      <c r="AS67" s="9">
        <v>0.003</v>
      </c>
      <c r="AT67" s="7">
        <v>-25.39</v>
      </c>
      <c r="AU67" s="10">
        <v>1.65</v>
      </c>
      <c r="AV67" s="9">
        <v>0.605</v>
      </c>
      <c r="AW67" s="9">
        <v>0.363</v>
      </c>
      <c r="AX67" s="9">
        <v>0.6</v>
      </c>
      <c r="AY67" s="7">
        <v>8.46</v>
      </c>
      <c r="AZ67" s="7">
        <v>3.03</v>
      </c>
      <c r="BA67" s="7">
        <v>41.97</v>
      </c>
      <c r="BB67" s="6">
        <v>3</v>
      </c>
      <c r="BC67" s="9">
        <v>0.6</v>
      </c>
      <c r="BD67" s="9">
        <v>0.12</v>
      </c>
      <c r="BE67" s="6">
        <v>8366</v>
      </c>
      <c r="BF67" s="6">
        <v>25</v>
      </c>
      <c r="BG67" s="4"/>
    </row>
    <row r="68" spans="1:59">
      <c r="A68" t="str">
        <f t="shared" si="1"/>
        <v>46261XXXX-222</v>
      </c>
      <c r="B68" s="3">
        <v>46261</v>
      </c>
      <c r="C68" s="4" t="s">
        <v>412</v>
      </c>
      <c r="D68" s="4"/>
      <c r="E68" s="4" t="s">
        <v>261</v>
      </c>
      <c r="F68" s="4"/>
      <c r="G68" s="5">
        <v>13.99</v>
      </c>
      <c r="H68" s="6">
        <v>513</v>
      </c>
      <c r="I68" s="6">
        <v>0</v>
      </c>
      <c r="J68" s="6">
        <v>2</v>
      </c>
      <c r="K68" s="6">
        <v>2</v>
      </c>
      <c r="L68" s="7">
        <v>27.98</v>
      </c>
      <c r="M68" s="7">
        <v>27.98</v>
      </c>
      <c r="N68" s="6">
        <v>0</v>
      </c>
      <c r="O68" s="7">
        <v>0</v>
      </c>
      <c r="P68" s="6">
        <v>0</v>
      </c>
      <c r="Q68" s="6">
        <v>0</v>
      </c>
      <c r="R68" s="7">
        <v>0</v>
      </c>
      <c r="S68" s="6">
        <v>0</v>
      </c>
      <c r="T68" s="7">
        <v>13.99</v>
      </c>
      <c r="U68" s="8">
        <v>0</v>
      </c>
      <c r="V68" s="4"/>
      <c r="W68" s="4"/>
      <c r="X68" s="6">
        <v>0</v>
      </c>
      <c r="Y68" s="9">
        <v>0</v>
      </c>
      <c r="Z68" s="8">
        <v>0</v>
      </c>
      <c r="AA68" s="6">
        <v>0</v>
      </c>
      <c r="AB68" s="9">
        <v>0</v>
      </c>
      <c r="AC68" s="7">
        <v>0</v>
      </c>
      <c r="AD68" s="7">
        <v>-11.46</v>
      </c>
      <c r="AE68" s="9">
        <v>-0.2729</v>
      </c>
      <c r="AF68" s="9">
        <v>0.2559</v>
      </c>
      <c r="AG68" s="6">
        <v>0</v>
      </c>
      <c r="AH68" s="9">
        <v>0</v>
      </c>
      <c r="AI68" s="6">
        <v>11</v>
      </c>
      <c r="AJ68" s="6">
        <v>36</v>
      </c>
      <c r="AK68" s="6">
        <v>47</v>
      </c>
      <c r="AL68" s="6">
        <v>13</v>
      </c>
      <c r="AM68" s="6">
        <v>42</v>
      </c>
      <c r="AN68" s="6">
        <v>55</v>
      </c>
      <c r="AO68" s="9">
        <v>1</v>
      </c>
      <c r="AP68" s="9">
        <v>0.0426</v>
      </c>
      <c r="AQ68" s="9">
        <v>0.0426</v>
      </c>
      <c r="AR68" s="7">
        <v>1.04</v>
      </c>
      <c r="AS68" s="9">
        <v>0.0043</v>
      </c>
      <c r="AT68" s="7">
        <v>-20.89</v>
      </c>
      <c r="AU68" s="10">
        <v>0.67</v>
      </c>
      <c r="AV68" s="9">
        <v>1.4932</v>
      </c>
      <c r="AW68" s="9">
        <v>0.7466</v>
      </c>
      <c r="AX68" s="9">
        <v>0.5</v>
      </c>
      <c r="AY68" s="7">
        <v>20.89</v>
      </c>
      <c r="AZ68" s="7">
        <v>4.46</v>
      </c>
      <c r="BA68" s="7">
        <v>13.99</v>
      </c>
      <c r="BB68" s="6">
        <v>1</v>
      </c>
      <c r="BC68" s="9">
        <v>0.5</v>
      </c>
      <c r="BD68" s="9">
        <v>0.05</v>
      </c>
      <c r="BE68" s="6">
        <v>4684</v>
      </c>
      <c r="BF68" s="6">
        <v>20</v>
      </c>
      <c r="BG68" s="4"/>
    </row>
    <row r="69" spans="1:59">
      <c r="A69" t="str">
        <f t="shared" si="1"/>
        <v>46262XXXX-222</v>
      </c>
      <c r="B69" s="3">
        <v>46262</v>
      </c>
      <c r="C69" s="4" t="s">
        <v>412</v>
      </c>
      <c r="D69" s="4"/>
      <c r="E69" s="4" t="s">
        <v>261</v>
      </c>
      <c r="F69" s="4"/>
      <c r="G69" s="5">
        <v>13.99</v>
      </c>
      <c r="H69" s="6">
        <v>551</v>
      </c>
      <c r="I69" s="6">
        <v>0</v>
      </c>
      <c r="J69" s="6">
        <v>1</v>
      </c>
      <c r="K69" s="6">
        <v>1</v>
      </c>
      <c r="L69" s="7">
        <v>13.99</v>
      </c>
      <c r="M69" s="7">
        <v>1.68</v>
      </c>
      <c r="N69" s="6">
        <v>0</v>
      </c>
      <c r="O69" s="7">
        <v>0</v>
      </c>
      <c r="P69" s="6">
        <v>0</v>
      </c>
      <c r="Q69" s="6">
        <v>0</v>
      </c>
      <c r="R69" s="7">
        <v>0</v>
      </c>
      <c r="S69" s="6">
        <v>0</v>
      </c>
      <c r="T69" s="7">
        <v>1.68</v>
      </c>
      <c r="U69" s="8">
        <v>0</v>
      </c>
      <c r="V69" s="4"/>
      <c r="W69" s="4"/>
      <c r="X69" s="6">
        <v>1</v>
      </c>
      <c r="Y69" s="9">
        <v>1</v>
      </c>
      <c r="Z69" s="8">
        <v>0</v>
      </c>
      <c r="AA69" s="6">
        <v>0</v>
      </c>
      <c r="AB69" s="9">
        <v>0</v>
      </c>
      <c r="AC69" s="7">
        <v>0</v>
      </c>
      <c r="AD69" s="7">
        <v>-27.75</v>
      </c>
      <c r="AE69" s="9">
        <v>-1.9838</v>
      </c>
      <c r="AF69" s="9">
        <v>-2.9768</v>
      </c>
      <c r="AG69" s="6">
        <v>0</v>
      </c>
      <c r="AH69" s="9">
        <v>0</v>
      </c>
      <c r="AI69" s="6">
        <v>16</v>
      </c>
      <c r="AJ69" s="6">
        <v>34</v>
      </c>
      <c r="AK69" s="6">
        <v>50</v>
      </c>
      <c r="AL69" s="6">
        <v>20</v>
      </c>
      <c r="AM69" s="6">
        <v>43</v>
      </c>
      <c r="AN69" s="6">
        <v>63</v>
      </c>
      <c r="AO69" s="9">
        <v>1</v>
      </c>
      <c r="AP69" s="9">
        <v>0.02</v>
      </c>
      <c r="AQ69" s="9">
        <v>0.02</v>
      </c>
      <c r="AR69" s="7">
        <v>0.98</v>
      </c>
      <c r="AS69" s="9">
        <v>0.0099</v>
      </c>
      <c r="AT69" s="7">
        <v>-19.57</v>
      </c>
      <c r="AU69" s="10">
        <v>2.14</v>
      </c>
      <c r="AV69" s="9">
        <v>0.4663</v>
      </c>
      <c r="AW69" s="9">
        <v>1.3989</v>
      </c>
      <c r="AX69" s="9">
        <v>3</v>
      </c>
      <c r="AY69" s="7">
        <v>9.79</v>
      </c>
      <c r="AZ69" s="7">
        <v>9.65</v>
      </c>
      <c r="BA69" s="7">
        <v>41.97</v>
      </c>
      <c r="BB69" s="6">
        <v>2</v>
      </c>
      <c r="BC69" s="9">
        <v>2</v>
      </c>
      <c r="BD69" s="9">
        <v>0.1</v>
      </c>
      <c r="BE69" s="6">
        <v>2027</v>
      </c>
      <c r="BF69" s="6">
        <v>20</v>
      </c>
      <c r="BG69" s="4"/>
    </row>
    <row r="70" spans="1:59">
      <c r="A70" t="str">
        <f t="shared" si="1"/>
        <v>46263XXXX-222</v>
      </c>
      <c r="B70" s="3">
        <v>46263</v>
      </c>
      <c r="C70" s="4" t="s">
        <v>412</v>
      </c>
      <c r="D70" s="4"/>
      <c r="E70" s="4" t="s">
        <v>261</v>
      </c>
      <c r="F70" s="4"/>
      <c r="G70" s="5">
        <v>13.99</v>
      </c>
      <c r="H70" s="6">
        <v>550</v>
      </c>
      <c r="I70" s="6">
        <v>0</v>
      </c>
      <c r="J70" s="6">
        <v>1</v>
      </c>
      <c r="K70" s="6">
        <v>1</v>
      </c>
      <c r="L70" s="7">
        <v>13.99</v>
      </c>
      <c r="M70" s="7">
        <v>13.99</v>
      </c>
      <c r="N70" s="6">
        <v>0</v>
      </c>
      <c r="O70" s="7">
        <v>0</v>
      </c>
      <c r="P70" s="6">
        <v>0</v>
      </c>
      <c r="Q70" s="6">
        <v>0</v>
      </c>
      <c r="R70" s="7">
        <v>0</v>
      </c>
      <c r="S70" s="6">
        <v>0</v>
      </c>
      <c r="T70" s="7">
        <v>13.99</v>
      </c>
      <c r="U70" s="8">
        <v>0</v>
      </c>
      <c r="V70" s="4"/>
      <c r="W70" s="4"/>
      <c r="X70" s="6">
        <v>0</v>
      </c>
      <c r="Y70" s="9">
        <v>0</v>
      </c>
      <c r="Z70" s="8">
        <v>0</v>
      </c>
      <c r="AA70" s="6">
        <v>0</v>
      </c>
      <c r="AB70" s="9">
        <v>0</v>
      </c>
      <c r="AC70" s="7">
        <v>0</v>
      </c>
      <c r="AD70" s="7">
        <v>-11.42</v>
      </c>
      <c r="AE70" s="9">
        <v>-0.408</v>
      </c>
      <c r="AF70" s="9">
        <v>-2.9803</v>
      </c>
      <c r="AG70" s="6">
        <v>0</v>
      </c>
      <c r="AH70" s="9">
        <v>0</v>
      </c>
      <c r="AI70" s="6">
        <v>16</v>
      </c>
      <c r="AJ70" s="6">
        <v>18</v>
      </c>
      <c r="AK70" s="6">
        <v>34</v>
      </c>
      <c r="AL70" s="6">
        <v>21</v>
      </c>
      <c r="AM70" s="6">
        <v>19</v>
      </c>
      <c r="AN70" s="6">
        <v>40</v>
      </c>
      <c r="AO70" s="9">
        <v>1</v>
      </c>
      <c r="AP70" s="9">
        <v>0.0294</v>
      </c>
      <c r="AQ70" s="9">
        <v>0.0294</v>
      </c>
      <c r="AR70" s="7">
        <v>1.03</v>
      </c>
      <c r="AS70" s="9">
        <v>0.0081</v>
      </c>
      <c r="AT70" s="7">
        <v>-19.58</v>
      </c>
      <c r="AU70" s="10">
        <v>0.71</v>
      </c>
      <c r="AV70" s="9">
        <v>1.3996</v>
      </c>
      <c r="AW70" s="9">
        <v>1.3996</v>
      </c>
      <c r="AX70" s="9">
        <v>1</v>
      </c>
      <c r="AY70" s="7">
        <v>19.58</v>
      </c>
      <c r="AZ70" s="7">
        <v>8.35</v>
      </c>
      <c r="BA70" s="7">
        <v>13.99</v>
      </c>
      <c r="BB70" s="6">
        <v>1</v>
      </c>
      <c r="BC70" s="9">
        <v>1</v>
      </c>
      <c r="BD70" s="9">
        <v>0.0526</v>
      </c>
      <c r="BE70" s="6">
        <v>2344</v>
      </c>
      <c r="BF70" s="6">
        <v>19</v>
      </c>
      <c r="BG70" s="4"/>
    </row>
    <row r="71" spans="1:59">
      <c r="A71" t="str">
        <f t="shared" si="1"/>
        <v>46264XXXX-222</v>
      </c>
      <c r="B71" s="3">
        <v>46264</v>
      </c>
      <c r="C71" s="4" t="s">
        <v>412</v>
      </c>
      <c r="D71" s="4"/>
      <c r="E71" s="4" t="s">
        <v>261</v>
      </c>
      <c r="F71" s="4"/>
      <c r="G71" s="5">
        <v>13.99</v>
      </c>
      <c r="H71" s="6">
        <v>565</v>
      </c>
      <c r="I71" s="6">
        <v>0</v>
      </c>
      <c r="J71" s="6">
        <v>5</v>
      </c>
      <c r="K71" s="6">
        <v>5</v>
      </c>
      <c r="L71" s="7">
        <v>69.95</v>
      </c>
      <c r="M71" s="7">
        <v>69.95</v>
      </c>
      <c r="N71" s="6">
        <v>0</v>
      </c>
      <c r="O71" s="7">
        <v>0</v>
      </c>
      <c r="P71" s="6">
        <v>0</v>
      </c>
      <c r="Q71" s="6">
        <v>0</v>
      </c>
      <c r="R71" s="7">
        <v>0</v>
      </c>
      <c r="S71" s="6">
        <v>0</v>
      </c>
      <c r="T71" s="7">
        <v>13.99</v>
      </c>
      <c r="U71" s="8">
        <v>0.1</v>
      </c>
      <c r="V71" s="4"/>
      <c r="W71" s="4"/>
      <c r="X71" s="6">
        <v>0</v>
      </c>
      <c r="Y71" s="9">
        <v>0</v>
      </c>
      <c r="Z71" s="8">
        <v>0</v>
      </c>
      <c r="AA71" s="6">
        <v>0</v>
      </c>
      <c r="AB71" s="9">
        <v>0</v>
      </c>
      <c r="AC71" s="7">
        <v>0</v>
      </c>
      <c r="AD71" s="7">
        <v>-16.15</v>
      </c>
      <c r="AE71" s="9">
        <v>-1.1546</v>
      </c>
      <c r="AF71" s="9">
        <v>2.5972</v>
      </c>
      <c r="AG71" s="6">
        <v>0</v>
      </c>
      <c r="AH71" s="9">
        <v>0</v>
      </c>
      <c r="AI71" s="6">
        <v>10</v>
      </c>
      <c r="AJ71" s="6">
        <v>38</v>
      </c>
      <c r="AK71" s="6">
        <v>48</v>
      </c>
      <c r="AL71" s="6">
        <v>11</v>
      </c>
      <c r="AM71" s="6">
        <v>46</v>
      </c>
      <c r="AN71" s="6">
        <v>57</v>
      </c>
      <c r="AO71" s="9">
        <v>1</v>
      </c>
      <c r="AP71" s="9">
        <v>0.1042</v>
      </c>
      <c r="AQ71" s="9">
        <v>0.1042</v>
      </c>
      <c r="AR71" s="7">
        <v>1.18</v>
      </c>
      <c r="AS71" s="9">
        <v>0.0063</v>
      </c>
      <c r="AT71" s="7">
        <v>-20.08</v>
      </c>
      <c r="AU71" s="10">
        <v>0.7</v>
      </c>
      <c r="AV71" s="9">
        <v>1.4353</v>
      </c>
      <c r="AW71" s="9">
        <v>0.2871</v>
      </c>
      <c r="AX71" s="9">
        <v>0.2</v>
      </c>
      <c r="AY71" s="7">
        <v>20.08</v>
      </c>
      <c r="AZ71" s="7">
        <v>7.49</v>
      </c>
      <c r="BA71" s="7">
        <v>13.99</v>
      </c>
      <c r="BB71" s="6">
        <v>1</v>
      </c>
      <c r="BC71" s="9">
        <v>0.2</v>
      </c>
      <c r="BD71" s="9">
        <v>0.0588</v>
      </c>
      <c r="BE71" s="6">
        <v>2680</v>
      </c>
      <c r="BF71" s="6">
        <v>17</v>
      </c>
      <c r="BG71" s="4"/>
    </row>
    <row r="72" spans="1:59">
      <c r="A72" t="str">
        <f t="shared" si="1"/>
        <v>46265XXXX-222</v>
      </c>
      <c r="B72" s="3">
        <v>46265</v>
      </c>
      <c r="C72" s="4" t="s">
        <v>412</v>
      </c>
      <c r="D72" s="4"/>
      <c r="E72" s="4" t="s">
        <v>261</v>
      </c>
      <c r="F72" s="4"/>
      <c r="G72" s="5">
        <v>13.99</v>
      </c>
      <c r="H72" s="6">
        <v>644</v>
      </c>
      <c r="I72" s="6">
        <v>0</v>
      </c>
      <c r="J72" s="6">
        <v>3</v>
      </c>
      <c r="K72" s="6">
        <v>3</v>
      </c>
      <c r="L72" s="7">
        <v>41.97</v>
      </c>
      <c r="M72" s="7">
        <v>41.97</v>
      </c>
      <c r="N72" s="6">
        <v>0</v>
      </c>
      <c r="O72" s="7">
        <v>0</v>
      </c>
      <c r="P72" s="6">
        <v>0</v>
      </c>
      <c r="Q72" s="6">
        <v>0</v>
      </c>
      <c r="R72" s="7">
        <v>0</v>
      </c>
      <c r="S72" s="6">
        <v>0</v>
      </c>
      <c r="T72" s="7">
        <v>13.99</v>
      </c>
      <c r="U72" s="8">
        <v>0.1</v>
      </c>
      <c r="V72" s="4"/>
      <c r="W72" s="4"/>
      <c r="X72" s="6">
        <v>0</v>
      </c>
      <c r="Y72" s="9">
        <v>0</v>
      </c>
      <c r="Z72" s="8">
        <v>0</v>
      </c>
      <c r="AA72" s="6">
        <v>0</v>
      </c>
      <c r="AB72" s="9">
        <v>0</v>
      </c>
      <c r="AC72" s="7">
        <v>0</v>
      </c>
      <c r="AD72" s="7">
        <v>-8.25</v>
      </c>
      <c r="AE72" s="9">
        <v>-0.1924</v>
      </c>
      <c r="AF72" s="9">
        <v>1.5743</v>
      </c>
      <c r="AG72" s="6">
        <v>0</v>
      </c>
      <c r="AH72" s="9">
        <v>0</v>
      </c>
      <c r="AI72" s="6">
        <v>17</v>
      </c>
      <c r="AJ72" s="6">
        <v>45</v>
      </c>
      <c r="AK72" s="6">
        <v>62</v>
      </c>
      <c r="AL72" s="6">
        <v>18</v>
      </c>
      <c r="AM72" s="6">
        <v>57</v>
      </c>
      <c r="AN72" s="6">
        <v>75</v>
      </c>
      <c r="AO72" s="9">
        <v>1</v>
      </c>
      <c r="AP72" s="9">
        <v>0.0484</v>
      </c>
      <c r="AQ72" s="9">
        <v>0.0484</v>
      </c>
      <c r="AR72" s="7">
        <v>1.12</v>
      </c>
      <c r="AS72" s="9">
        <v>0.0044</v>
      </c>
      <c r="AT72" s="7">
        <v>-20.17</v>
      </c>
      <c r="AU72" s="10">
        <v>0</v>
      </c>
      <c r="AV72" s="9">
        <v>1</v>
      </c>
      <c r="AW72" s="9">
        <v>0.4806</v>
      </c>
      <c r="AX72" s="9">
        <v>0</v>
      </c>
      <c r="AY72" s="4"/>
      <c r="AZ72" s="7">
        <v>4.97</v>
      </c>
      <c r="BA72" s="7">
        <v>0</v>
      </c>
      <c r="BB72" s="6">
        <v>0</v>
      </c>
      <c r="BC72" s="9">
        <v>0</v>
      </c>
      <c r="BD72" s="9">
        <v>0</v>
      </c>
      <c r="BE72" s="6">
        <v>4058</v>
      </c>
      <c r="BF72" s="6">
        <v>18</v>
      </c>
      <c r="BG72" s="4"/>
    </row>
    <row r="73" spans="1:59">
      <c r="A73" t="str">
        <f t="shared" si="1"/>
        <v>46266XXXX-222</v>
      </c>
      <c r="B73" s="3">
        <v>46266</v>
      </c>
      <c r="C73" s="4" t="s">
        <v>412</v>
      </c>
      <c r="D73" s="4"/>
      <c r="E73" s="4" t="s">
        <v>261</v>
      </c>
      <c r="F73" s="4"/>
      <c r="G73" s="5">
        <v>13.99</v>
      </c>
      <c r="H73" s="6">
        <v>780</v>
      </c>
      <c r="I73" s="6">
        <v>0</v>
      </c>
      <c r="J73" s="6">
        <v>5</v>
      </c>
      <c r="K73" s="6">
        <v>5</v>
      </c>
      <c r="L73" s="7">
        <v>69.95</v>
      </c>
      <c r="M73" s="7">
        <v>69.95</v>
      </c>
      <c r="N73" s="6">
        <v>0</v>
      </c>
      <c r="O73" s="7">
        <v>0</v>
      </c>
      <c r="P73" s="6">
        <v>0</v>
      </c>
      <c r="Q73" s="6">
        <v>0</v>
      </c>
      <c r="R73" s="7">
        <v>0</v>
      </c>
      <c r="S73" s="6">
        <v>0</v>
      </c>
      <c r="T73" s="7">
        <v>13.99</v>
      </c>
      <c r="U73" s="8">
        <v>0.1</v>
      </c>
      <c r="V73" s="4"/>
      <c r="W73" s="4"/>
      <c r="X73" s="6">
        <v>0</v>
      </c>
      <c r="Y73" s="9">
        <v>0</v>
      </c>
      <c r="Z73" s="8">
        <v>0</v>
      </c>
      <c r="AA73" s="6">
        <v>0</v>
      </c>
      <c r="AB73" s="9">
        <v>0</v>
      </c>
      <c r="AC73" s="7">
        <v>0</v>
      </c>
      <c r="AD73" s="7">
        <v>12.65</v>
      </c>
      <c r="AE73" s="9">
        <v>0.1005</v>
      </c>
      <c r="AF73" s="9">
        <v>2.4788</v>
      </c>
      <c r="AG73" s="6">
        <v>0</v>
      </c>
      <c r="AH73" s="9">
        <v>0</v>
      </c>
      <c r="AI73" s="6">
        <v>13</v>
      </c>
      <c r="AJ73" s="6">
        <v>39</v>
      </c>
      <c r="AK73" s="6">
        <v>52</v>
      </c>
      <c r="AL73" s="6">
        <v>17</v>
      </c>
      <c r="AM73" s="6">
        <v>52</v>
      </c>
      <c r="AN73" s="6">
        <v>69</v>
      </c>
      <c r="AO73" s="9">
        <v>1</v>
      </c>
      <c r="AP73" s="9">
        <v>0.0962</v>
      </c>
      <c r="AQ73" s="9">
        <v>0.0962</v>
      </c>
      <c r="AR73" s="7">
        <v>1.16</v>
      </c>
      <c r="AS73" s="9">
        <v>0.0053</v>
      </c>
      <c r="AT73" s="7">
        <v>-20.85</v>
      </c>
      <c r="AU73" s="10">
        <v>2.01</v>
      </c>
      <c r="AV73" s="9">
        <v>0.4968</v>
      </c>
      <c r="AW73" s="9">
        <v>0.2981</v>
      </c>
      <c r="AX73" s="9">
        <v>0.6</v>
      </c>
      <c r="AY73" s="7">
        <v>6.95</v>
      </c>
      <c r="AZ73" s="7">
        <v>6.19</v>
      </c>
      <c r="BA73" s="7">
        <v>41.97</v>
      </c>
      <c r="BB73" s="6">
        <v>3</v>
      </c>
      <c r="BC73" s="9">
        <v>0.6</v>
      </c>
      <c r="BD73" s="9">
        <v>0.1667</v>
      </c>
      <c r="BE73" s="6">
        <v>3370</v>
      </c>
      <c r="BF73" s="6">
        <v>18</v>
      </c>
      <c r="BG73" s="4"/>
    </row>
    <row r="74" spans="1:59">
      <c r="A74" t="str">
        <f t="shared" si="1"/>
        <v>46267XXXX-222</v>
      </c>
      <c r="B74" s="3">
        <v>46267</v>
      </c>
      <c r="C74" s="4" t="s">
        <v>412</v>
      </c>
      <c r="D74" s="4"/>
      <c r="E74" s="4" t="s">
        <v>261</v>
      </c>
      <c r="F74" s="4"/>
      <c r="G74" s="5">
        <v>13.99</v>
      </c>
      <c r="H74" s="6">
        <v>819</v>
      </c>
      <c r="I74" s="6">
        <v>0</v>
      </c>
      <c r="J74" s="6">
        <v>3</v>
      </c>
      <c r="K74" s="6">
        <v>3</v>
      </c>
      <c r="L74" s="7">
        <v>41.97</v>
      </c>
      <c r="M74" s="7">
        <v>41.97</v>
      </c>
      <c r="N74" s="6">
        <v>0</v>
      </c>
      <c r="O74" s="7">
        <v>0</v>
      </c>
      <c r="P74" s="6">
        <v>0</v>
      </c>
      <c r="Q74" s="6">
        <v>0</v>
      </c>
      <c r="R74" s="7">
        <v>0</v>
      </c>
      <c r="S74" s="6">
        <v>0</v>
      </c>
      <c r="T74" s="7">
        <v>13.99</v>
      </c>
      <c r="U74" s="8">
        <v>0.1</v>
      </c>
      <c r="V74" s="4"/>
      <c r="W74" s="4"/>
      <c r="X74" s="6">
        <v>0</v>
      </c>
      <c r="Y74" s="9">
        <v>0</v>
      </c>
      <c r="Z74" s="8">
        <v>0</v>
      </c>
      <c r="AA74" s="6">
        <v>0</v>
      </c>
      <c r="AB74" s="9">
        <v>0</v>
      </c>
      <c r="AC74" s="7">
        <v>0</v>
      </c>
      <c r="AD74" s="7">
        <v>-15.83</v>
      </c>
      <c r="AE74" s="9">
        <v>-1.1317</v>
      </c>
      <c r="AF74" s="9">
        <v>1.6499</v>
      </c>
      <c r="AG74" s="6">
        <v>0</v>
      </c>
      <c r="AH74" s="9">
        <v>0</v>
      </c>
      <c r="AI74" s="6">
        <v>19</v>
      </c>
      <c r="AJ74" s="6">
        <v>42</v>
      </c>
      <c r="AK74" s="6">
        <v>61</v>
      </c>
      <c r="AL74" s="6">
        <v>25</v>
      </c>
      <c r="AM74" s="6">
        <v>48</v>
      </c>
      <c r="AN74" s="6">
        <v>73</v>
      </c>
      <c r="AO74" s="9">
        <v>1</v>
      </c>
      <c r="AP74" s="9">
        <v>0.0492</v>
      </c>
      <c r="AQ74" s="9">
        <v>0.0492</v>
      </c>
      <c r="AR74" s="7">
        <v>1.15</v>
      </c>
      <c r="AS74" s="9">
        <v>0.0082</v>
      </c>
      <c r="AT74" s="7">
        <v>-19.53</v>
      </c>
      <c r="AU74" s="10">
        <v>0.72</v>
      </c>
      <c r="AV74" s="9">
        <v>1.396</v>
      </c>
      <c r="AW74" s="9">
        <v>0.4653</v>
      </c>
      <c r="AX74" s="9">
        <v>0.3333</v>
      </c>
      <c r="AY74" s="7">
        <v>19.53</v>
      </c>
      <c r="AZ74" s="7">
        <v>9.37</v>
      </c>
      <c r="BA74" s="7">
        <v>13.99</v>
      </c>
      <c r="BB74" s="6">
        <v>1</v>
      </c>
      <c r="BC74" s="9">
        <v>0.3333</v>
      </c>
      <c r="BD74" s="9">
        <v>0.0588</v>
      </c>
      <c r="BE74" s="6">
        <v>2085</v>
      </c>
      <c r="BF74" s="6">
        <v>17</v>
      </c>
      <c r="BG74" s="4"/>
    </row>
    <row r="75" spans="1:59">
      <c r="A75" t="str">
        <f t="shared" si="1"/>
        <v>46268XXXX-222</v>
      </c>
      <c r="B75" s="3">
        <v>46268</v>
      </c>
      <c r="C75" s="4" t="s">
        <v>412</v>
      </c>
      <c r="D75" s="4"/>
      <c r="E75" s="4" t="s">
        <v>261</v>
      </c>
      <c r="F75" s="4"/>
      <c r="G75" s="5">
        <v>13.99</v>
      </c>
      <c r="H75" s="6">
        <v>816</v>
      </c>
      <c r="I75" s="6">
        <v>0</v>
      </c>
      <c r="J75" s="6">
        <v>2</v>
      </c>
      <c r="K75" s="6">
        <v>2</v>
      </c>
      <c r="L75" s="7">
        <v>27.98</v>
      </c>
      <c r="M75" s="7">
        <v>27.98</v>
      </c>
      <c r="N75" s="6">
        <v>0</v>
      </c>
      <c r="O75" s="7">
        <v>0</v>
      </c>
      <c r="P75" s="6">
        <v>0</v>
      </c>
      <c r="Q75" s="6">
        <v>0</v>
      </c>
      <c r="R75" s="7">
        <v>0</v>
      </c>
      <c r="S75" s="6">
        <v>0</v>
      </c>
      <c r="T75" s="7">
        <v>13.99</v>
      </c>
      <c r="U75" s="8">
        <v>0</v>
      </c>
      <c r="V75" s="4"/>
      <c r="W75" s="4"/>
      <c r="X75" s="6">
        <v>0</v>
      </c>
      <c r="Y75" s="9">
        <v>0</v>
      </c>
      <c r="Z75" s="8">
        <v>0</v>
      </c>
      <c r="AA75" s="6">
        <v>0</v>
      </c>
      <c r="AB75" s="9">
        <v>0</v>
      </c>
      <c r="AC75" s="7">
        <v>0</v>
      </c>
      <c r="AD75" s="7">
        <v>-16.01</v>
      </c>
      <c r="AE75" s="9">
        <v>-1.1446</v>
      </c>
      <c r="AF75" s="9">
        <v>0.4613</v>
      </c>
      <c r="AG75" s="6">
        <v>0</v>
      </c>
      <c r="AH75" s="9">
        <v>0</v>
      </c>
      <c r="AI75" s="6">
        <v>12</v>
      </c>
      <c r="AJ75" s="6">
        <v>69</v>
      </c>
      <c r="AK75" s="6">
        <v>81</v>
      </c>
      <c r="AL75" s="6">
        <v>19</v>
      </c>
      <c r="AM75" s="6">
        <v>89</v>
      </c>
      <c r="AN75" s="6">
        <v>108</v>
      </c>
      <c r="AO75" s="9">
        <v>1</v>
      </c>
      <c r="AP75" s="9">
        <v>0.0247</v>
      </c>
      <c r="AQ75" s="9">
        <v>0.0247</v>
      </c>
      <c r="AR75" s="7">
        <v>1.16</v>
      </c>
      <c r="AS75" s="9">
        <v>0.0078</v>
      </c>
      <c r="AT75" s="7">
        <v>-19.73</v>
      </c>
      <c r="AU75" s="10">
        <v>1.42</v>
      </c>
      <c r="AV75" s="9">
        <v>0.7051</v>
      </c>
      <c r="AW75" s="9">
        <v>0.7051</v>
      </c>
      <c r="AX75" s="9">
        <v>1</v>
      </c>
      <c r="AY75" s="7">
        <v>9.87</v>
      </c>
      <c r="AZ75" s="7">
        <v>9.09</v>
      </c>
      <c r="BA75" s="7">
        <v>27.98</v>
      </c>
      <c r="BB75" s="6">
        <v>2</v>
      </c>
      <c r="BC75" s="9">
        <v>1</v>
      </c>
      <c r="BD75" s="9">
        <v>0.1176</v>
      </c>
      <c r="BE75" s="6">
        <v>2171</v>
      </c>
      <c r="BF75" s="6">
        <v>17</v>
      </c>
      <c r="BG75" s="4"/>
    </row>
    <row r="76" spans="1:59">
      <c r="A76" t="str">
        <f t="shared" si="1"/>
        <v>46269XXXX-222</v>
      </c>
      <c r="B76" s="3">
        <v>46269</v>
      </c>
      <c r="C76" s="4" t="s">
        <v>412</v>
      </c>
      <c r="D76" s="4"/>
      <c r="E76" s="4" t="s">
        <v>261</v>
      </c>
      <c r="F76" s="4"/>
      <c r="G76" s="5">
        <v>13.99</v>
      </c>
      <c r="H76" s="6">
        <v>803</v>
      </c>
      <c r="I76" s="6">
        <v>0</v>
      </c>
      <c r="J76" s="6">
        <v>11</v>
      </c>
      <c r="K76" s="6">
        <v>11</v>
      </c>
      <c r="L76" s="7">
        <v>153.89</v>
      </c>
      <c r="M76" s="7">
        <v>141.58</v>
      </c>
      <c r="N76" s="6">
        <v>1</v>
      </c>
      <c r="O76" s="7">
        <v>13.99</v>
      </c>
      <c r="P76" s="6">
        <v>1</v>
      </c>
      <c r="Q76" s="6">
        <v>0</v>
      </c>
      <c r="R76" s="7">
        <v>0</v>
      </c>
      <c r="S76" s="6">
        <v>0</v>
      </c>
      <c r="T76" s="7">
        <v>12.87</v>
      </c>
      <c r="U76" s="8">
        <v>0.2</v>
      </c>
      <c r="V76" s="4"/>
      <c r="W76" s="4"/>
      <c r="X76" s="6">
        <v>1</v>
      </c>
      <c r="Y76" s="9">
        <v>0.0909</v>
      </c>
      <c r="Z76" s="8">
        <v>0</v>
      </c>
      <c r="AA76" s="6">
        <v>0</v>
      </c>
      <c r="AB76" s="9">
        <v>0</v>
      </c>
      <c r="AC76" s="7">
        <v>0</v>
      </c>
      <c r="AD76" s="7">
        <v>-13.09</v>
      </c>
      <c r="AE76" s="9">
        <v>-0.1872</v>
      </c>
      <c r="AF76" s="9">
        <v>3.3358</v>
      </c>
      <c r="AG76" s="6">
        <v>0</v>
      </c>
      <c r="AH76" s="9">
        <v>0</v>
      </c>
      <c r="AI76" s="6">
        <v>28</v>
      </c>
      <c r="AJ76" s="6">
        <v>62</v>
      </c>
      <c r="AK76" s="6">
        <v>90</v>
      </c>
      <c r="AL76" s="6">
        <v>40</v>
      </c>
      <c r="AM76" s="6">
        <v>80</v>
      </c>
      <c r="AN76" s="6">
        <v>120</v>
      </c>
      <c r="AO76" s="9">
        <v>1</v>
      </c>
      <c r="AP76" s="9">
        <v>0.1222</v>
      </c>
      <c r="AQ76" s="9">
        <v>0.1222</v>
      </c>
      <c r="AR76" s="7">
        <v>1.13</v>
      </c>
      <c r="AS76" s="9">
        <v>0.0078</v>
      </c>
      <c r="AT76" s="7">
        <v>-19.26</v>
      </c>
      <c r="AU76" s="10">
        <v>2.18</v>
      </c>
      <c r="AV76" s="9">
        <v>0.4589</v>
      </c>
      <c r="AW76" s="9">
        <v>0.1252</v>
      </c>
      <c r="AX76" s="9">
        <v>0.2727</v>
      </c>
      <c r="AY76" s="7">
        <v>6.42</v>
      </c>
      <c r="AZ76" s="7">
        <v>8.85</v>
      </c>
      <c r="BA76" s="7">
        <v>41.97</v>
      </c>
      <c r="BB76" s="6">
        <v>3</v>
      </c>
      <c r="BC76" s="9">
        <v>0.2727</v>
      </c>
      <c r="BD76" s="9">
        <v>0.1765</v>
      </c>
      <c r="BE76" s="6">
        <v>2177</v>
      </c>
      <c r="BF76" s="6">
        <v>17</v>
      </c>
      <c r="BG76" s="4"/>
    </row>
    <row r="77" spans="1:59">
      <c r="A77" t="str">
        <f t="shared" si="1"/>
        <v>46270XXXX-222</v>
      </c>
      <c r="B77" s="3">
        <v>46270</v>
      </c>
      <c r="C77" s="4" t="s">
        <v>412</v>
      </c>
      <c r="D77" s="4"/>
      <c r="E77" s="4" t="s">
        <v>261</v>
      </c>
      <c r="F77" s="4"/>
      <c r="G77" s="5">
        <v>13.99</v>
      </c>
      <c r="H77" s="6">
        <v>827</v>
      </c>
      <c r="I77" s="6">
        <v>0</v>
      </c>
      <c r="J77" s="6">
        <v>11</v>
      </c>
      <c r="K77" s="6">
        <v>11</v>
      </c>
      <c r="L77" s="7">
        <v>153.89</v>
      </c>
      <c r="M77" s="7">
        <v>153.89</v>
      </c>
      <c r="N77" s="6">
        <v>1</v>
      </c>
      <c r="O77" s="7">
        <v>13.99</v>
      </c>
      <c r="P77" s="6">
        <v>1</v>
      </c>
      <c r="Q77" s="6">
        <v>0</v>
      </c>
      <c r="R77" s="7">
        <v>0</v>
      </c>
      <c r="S77" s="6">
        <v>0</v>
      </c>
      <c r="T77" s="7">
        <v>13.99</v>
      </c>
      <c r="U77" s="8">
        <v>0.2</v>
      </c>
      <c r="V77" s="4"/>
      <c r="W77" s="4"/>
      <c r="X77" s="6">
        <v>0</v>
      </c>
      <c r="Y77" s="9">
        <v>0</v>
      </c>
      <c r="Z77" s="8">
        <v>0</v>
      </c>
      <c r="AA77" s="6">
        <v>0</v>
      </c>
      <c r="AB77" s="9">
        <v>0</v>
      </c>
      <c r="AC77" s="7">
        <v>0</v>
      </c>
      <c r="AD77" s="7">
        <v>6.5</v>
      </c>
      <c r="AE77" s="9">
        <v>0.0644</v>
      </c>
      <c r="AF77" s="9">
        <v>3.4089</v>
      </c>
      <c r="AG77" s="6">
        <v>0</v>
      </c>
      <c r="AH77" s="9">
        <v>0</v>
      </c>
      <c r="AI77" s="6">
        <v>37</v>
      </c>
      <c r="AJ77" s="6">
        <v>92</v>
      </c>
      <c r="AK77" s="6">
        <v>129</v>
      </c>
      <c r="AL77" s="6">
        <v>46</v>
      </c>
      <c r="AM77" s="6">
        <v>117</v>
      </c>
      <c r="AN77" s="6">
        <v>163</v>
      </c>
      <c r="AO77" s="9">
        <v>1</v>
      </c>
      <c r="AP77" s="9">
        <v>0.0853</v>
      </c>
      <c r="AQ77" s="9">
        <v>0.0853</v>
      </c>
      <c r="AR77" s="7">
        <v>1.18</v>
      </c>
      <c r="AS77" s="9">
        <v>0.0036</v>
      </c>
      <c r="AT77" s="7">
        <v>-19.98</v>
      </c>
      <c r="AU77" s="10">
        <v>0.7</v>
      </c>
      <c r="AV77" s="9">
        <v>1.4282</v>
      </c>
      <c r="AW77" s="9">
        <v>0.1298</v>
      </c>
      <c r="AX77" s="9">
        <v>0.0909</v>
      </c>
      <c r="AY77" s="7">
        <v>19.98</v>
      </c>
      <c r="AZ77" s="7">
        <v>4.22</v>
      </c>
      <c r="BA77" s="7">
        <v>13.99</v>
      </c>
      <c r="BB77" s="6">
        <v>1</v>
      </c>
      <c r="BC77" s="9">
        <v>0.0909</v>
      </c>
      <c r="BD77" s="9">
        <v>0.0588</v>
      </c>
      <c r="BE77" s="6">
        <v>4737</v>
      </c>
      <c r="BF77" s="6">
        <v>17</v>
      </c>
      <c r="BG77" s="4"/>
    </row>
    <row r="78" spans="1:59">
      <c r="A78" t="str">
        <f t="shared" si="1"/>
        <v>46271XXXX-222</v>
      </c>
      <c r="B78" s="3">
        <v>46271</v>
      </c>
      <c r="C78" s="4" t="s">
        <v>412</v>
      </c>
      <c r="D78" s="4"/>
      <c r="E78" s="4" t="s">
        <v>261</v>
      </c>
      <c r="F78" s="4"/>
      <c r="G78" s="5">
        <v>13.99</v>
      </c>
      <c r="H78" s="6">
        <v>859</v>
      </c>
      <c r="I78" s="6">
        <v>0</v>
      </c>
      <c r="J78" s="6">
        <v>10</v>
      </c>
      <c r="K78" s="6">
        <v>7</v>
      </c>
      <c r="L78" s="7">
        <v>139.9</v>
      </c>
      <c r="M78" s="7">
        <v>139.9</v>
      </c>
      <c r="N78" s="6">
        <v>4</v>
      </c>
      <c r="O78" s="7">
        <v>55.96</v>
      </c>
      <c r="P78" s="6">
        <v>1</v>
      </c>
      <c r="Q78" s="6">
        <v>0</v>
      </c>
      <c r="R78" s="7">
        <v>0</v>
      </c>
      <c r="S78" s="6">
        <v>0</v>
      </c>
      <c r="T78" s="7">
        <v>13.99</v>
      </c>
      <c r="U78" s="8">
        <v>0.2</v>
      </c>
      <c r="V78" s="4"/>
      <c r="W78" s="4"/>
      <c r="X78" s="6">
        <v>0</v>
      </c>
      <c r="Y78" s="9">
        <v>0</v>
      </c>
      <c r="Z78" s="8">
        <v>0</v>
      </c>
      <c r="AA78" s="6">
        <v>0</v>
      </c>
      <c r="AB78" s="9">
        <v>0</v>
      </c>
      <c r="AC78" s="7">
        <v>0</v>
      </c>
      <c r="AD78" s="7">
        <v>58.96</v>
      </c>
      <c r="AE78" s="9">
        <v>0.281</v>
      </c>
      <c r="AF78" s="9">
        <v>3.9561</v>
      </c>
      <c r="AG78" s="6">
        <v>1</v>
      </c>
      <c r="AH78" s="9">
        <v>0.1</v>
      </c>
      <c r="AI78" s="6">
        <v>12</v>
      </c>
      <c r="AJ78" s="6">
        <v>65</v>
      </c>
      <c r="AK78" s="6">
        <v>77</v>
      </c>
      <c r="AL78" s="6">
        <v>15</v>
      </c>
      <c r="AM78" s="6">
        <v>80</v>
      </c>
      <c r="AN78" s="6">
        <v>95</v>
      </c>
      <c r="AO78" s="9">
        <v>1</v>
      </c>
      <c r="AP78" s="9">
        <v>0.0909</v>
      </c>
      <c r="AQ78" s="9">
        <v>0.1299</v>
      </c>
      <c r="AR78" s="4"/>
      <c r="AS78" s="9">
        <v>0</v>
      </c>
      <c r="AT78" s="7">
        <v>0</v>
      </c>
      <c r="AU78" s="10">
        <v>0</v>
      </c>
      <c r="AV78" s="9">
        <v>0</v>
      </c>
      <c r="AW78" s="9">
        <v>0</v>
      </c>
      <c r="AX78" s="9">
        <v>0</v>
      </c>
      <c r="AY78" s="4"/>
      <c r="AZ78" s="7">
        <v>0</v>
      </c>
      <c r="BA78" s="7">
        <v>0</v>
      </c>
      <c r="BB78" s="6">
        <v>0</v>
      </c>
      <c r="BC78" s="9">
        <v>0</v>
      </c>
      <c r="BD78" s="9">
        <v>0</v>
      </c>
      <c r="BE78" s="6">
        <v>299</v>
      </c>
      <c r="BF78" s="6">
        <v>0</v>
      </c>
      <c r="BG78" s="4"/>
    </row>
    <row r="79" spans="1:59">
      <c r="A79" t="str">
        <f t="shared" si="1"/>
        <v>46272XXXX-222</v>
      </c>
      <c r="B79" s="3">
        <v>46272</v>
      </c>
      <c r="C79" s="4" t="s">
        <v>412</v>
      </c>
      <c r="D79" s="4"/>
      <c r="E79" s="4" t="s">
        <v>261</v>
      </c>
      <c r="F79" s="4"/>
      <c r="G79" s="5">
        <v>13.99</v>
      </c>
      <c r="H79" s="6">
        <v>886</v>
      </c>
      <c r="I79" s="6">
        <v>0</v>
      </c>
      <c r="J79" s="6">
        <v>4</v>
      </c>
      <c r="K79" s="6">
        <v>4</v>
      </c>
      <c r="L79" s="7">
        <v>55.96</v>
      </c>
      <c r="M79" s="7">
        <v>55.96</v>
      </c>
      <c r="N79" s="6">
        <v>1</v>
      </c>
      <c r="O79" s="7">
        <v>13.99</v>
      </c>
      <c r="P79" s="6">
        <v>1</v>
      </c>
      <c r="Q79" s="6">
        <v>0</v>
      </c>
      <c r="R79" s="7">
        <v>0</v>
      </c>
      <c r="S79" s="6">
        <v>0</v>
      </c>
      <c r="T79" s="7">
        <v>13.99</v>
      </c>
      <c r="U79" s="8">
        <v>0.1</v>
      </c>
      <c r="V79" s="4"/>
      <c r="W79" s="4"/>
      <c r="X79" s="6">
        <v>0</v>
      </c>
      <c r="Y79" s="9">
        <v>0</v>
      </c>
      <c r="Z79" s="8">
        <v>0</v>
      </c>
      <c r="AA79" s="6">
        <v>0</v>
      </c>
      <c r="AB79" s="9">
        <v>0</v>
      </c>
      <c r="AC79" s="7">
        <v>0</v>
      </c>
      <c r="AD79" s="7">
        <v>25.87</v>
      </c>
      <c r="AE79" s="9">
        <v>0.2642</v>
      </c>
      <c r="AF79" s="9">
        <v>3.9561</v>
      </c>
      <c r="AG79" s="6">
        <v>0</v>
      </c>
      <c r="AH79" s="9">
        <v>0</v>
      </c>
      <c r="AI79" s="6">
        <v>16</v>
      </c>
      <c r="AJ79" s="6">
        <v>46</v>
      </c>
      <c r="AK79" s="6">
        <v>62</v>
      </c>
      <c r="AL79" s="6">
        <v>20</v>
      </c>
      <c r="AM79" s="6">
        <v>61</v>
      </c>
      <c r="AN79" s="6">
        <v>81</v>
      </c>
      <c r="AO79" s="9">
        <v>1</v>
      </c>
      <c r="AP79" s="9">
        <v>0.0645</v>
      </c>
      <c r="AQ79" s="9">
        <v>0.0645</v>
      </c>
      <c r="AR79" s="4"/>
      <c r="AS79" s="9">
        <v>0</v>
      </c>
      <c r="AT79" s="7">
        <v>0</v>
      </c>
      <c r="AU79" s="10">
        <v>0</v>
      </c>
      <c r="AV79" s="9">
        <v>0</v>
      </c>
      <c r="AW79" s="9">
        <v>0</v>
      </c>
      <c r="AX79" s="9">
        <v>0</v>
      </c>
      <c r="AY79" s="4"/>
      <c r="AZ79" s="7">
        <v>0</v>
      </c>
      <c r="BA79" s="7">
        <v>0</v>
      </c>
      <c r="BB79" s="6">
        <v>0</v>
      </c>
      <c r="BC79" s="9">
        <v>0</v>
      </c>
      <c r="BD79" s="9">
        <v>0</v>
      </c>
      <c r="BE79" s="6">
        <v>0</v>
      </c>
      <c r="BF79" s="6">
        <v>0</v>
      </c>
      <c r="BG79" s="4"/>
    </row>
    <row r="80" spans="1:59">
      <c r="A80" t="str">
        <f t="shared" si="1"/>
        <v>46273XXXX-222</v>
      </c>
      <c r="B80" s="3">
        <v>46273</v>
      </c>
      <c r="C80" s="4" t="s">
        <v>412</v>
      </c>
      <c r="D80" s="4"/>
      <c r="E80" s="4" t="s">
        <v>261</v>
      </c>
      <c r="F80" s="4"/>
      <c r="G80" s="5">
        <v>13.99</v>
      </c>
      <c r="H80" s="6">
        <v>882</v>
      </c>
      <c r="I80" s="6">
        <v>0</v>
      </c>
      <c r="J80" s="6">
        <v>4</v>
      </c>
      <c r="K80" s="6">
        <v>4</v>
      </c>
      <c r="L80" s="7">
        <v>55.96</v>
      </c>
      <c r="M80" s="7">
        <v>31.34</v>
      </c>
      <c r="N80" s="6">
        <v>0</v>
      </c>
      <c r="O80" s="7">
        <v>0</v>
      </c>
      <c r="P80" s="6">
        <v>0</v>
      </c>
      <c r="Q80" s="6">
        <v>0</v>
      </c>
      <c r="R80" s="7">
        <v>0</v>
      </c>
      <c r="S80" s="6">
        <v>0</v>
      </c>
      <c r="T80" s="7">
        <v>7.84</v>
      </c>
      <c r="U80" s="8">
        <v>0.1</v>
      </c>
      <c r="V80" s="4"/>
      <c r="W80" s="4"/>
      <c r="X80" s="6">
        <v>2</v>
      </c>
      <c r="Y80" s="9">
        <v>0.5</v>
      </c>
      <c r="Z80" s="8">
        <v>0</v>
      </c>
      <c r="AA80" s="6">
        <v>0</v>
      </c>
      <c r="AB80" s="9">
        <v>0</v>
      </c>
      <c r="AC80" s="7">
        <v>0</v>
      </c>
      <c r="AD80" s="7">
        <v>-2.77</v>
      </c>
      <c r="AE80" s="9">
        <v>-0.033</v>
      </c>
      <c r="AF80" s="9">
        <v>3.9561</v>
      </c>
      <c r="AG80" s="6">
        <v>0</v>
      </c>
      <c r="AH80" s="9">
        <v>0</v>
      </c>
      <c r="AI80" s="6">
        <v>20</v>
      </c>
      <c r="AJ80" s="6">
        <v>41</v>
      </c>
      <c r="AK80" s="6">
        <v>61</v>
      </c>
      <c r="AL80" s="6">
        <v>25</v>
      </c>
      <c r="AM80" s="6">
        <v>50</v>
      </c>
      <c r="AN80" s="6">
        <v>75</v>
      </c>
      <c r="AO80" s="9">
        <v>1</v>
      </c>
      <c r="AP80" s="9">
        <v>0.0656</v>
      </c>
      <c r="AQ80" s="9">
        <v>0.0656</v>
      </c>
      <c r="AR80" s="4"/>
      <c r="AS80" s="9">
        <v>0</v>
      </c>
      <c r="AT80" s="7">
        <v>0</v>
      </c>
      <c r="AU80" s="10">
        <v>0</v>
      </c>
      <c r="AV80" s="9">
        <v>0</v>
      </c>
      <c r="AW80" s="9">
        <v>0</v>
      </c>
      <c r="AX80" s="9">
        <v>0</v>
      </c>
      <c r="AY80" s="4"/>
      <c r="AZ80" s="7">
        <v>0</v>
      </c>
      <c r="BA80" s="7">
        <v>0</v>
      </c>
      <c r="BB80" s="6">
        <v>0</v>
      </c>
      <c r="BC80" s="9">
        <v>0</v>
      </c>
      <c r="BD80" s="9">
        <v>0</v>
      </c>
      <c r="BE80" s="6">
        <v>0</v>
      </c>
      <c r="BF80" s="6">
        <v>0</v>
      </c>
      <c r="BG80" s="4"/>
    </row>
    <row r="81" spans="1:59">
      <c r="A81" t="str">
        <f t="shared" si="1"/>
        <v>46274XXXX-222</v>
      </c>
      <c r="B81" s="3">
        <v>46274</v>
      </c>
      <c r="C81" s="4" t="s">
        <v>412</v>
      </c>
      <c r="D81" s="4"/>
      <c r="E81" s="4" t="s">
        <v>261</v>
      </c>
      <c r="F81" s="4"/>
      <c r="G81" s="5">
        <v>13.99</v>
      </c>
      <c r="H81" s="6">
        <v>878</v>
      </c>
      <c r="I81" s="6">
        <v>0</v>
      </c>
      <c r="J81" s="6">
        <v>5</v>
      </c>
      <c r="K81" s="6">
        <v>5</v>
      </c>
      <c r="L81" s="7">
        <v>69.95</v>
      </c>
      <c r="M81" s="7">
        <v>69.95</v>
      </c>
      <c r="N81" s="6">
        <v>0</v>
      </c>
      <c r="O81" s="7">
        <v>0</v>
      </c>
      <c r="P81" s="6">
        <v>0</v>
      </c>
      <c r="Q81" s="6">
        <v>0</v>
      </c>
      <c r="R81" s="7">
        <v>0</v>
      </c>
      <c r="S81" s="6">
        <v>0</v>
      </c>
      <c r="T81" s="7">
        <v>13.99</v>
      </c>
      <c r="U81" s="8">
        <v>0.1</v>
      </c>
      <c r="V81" s="4"/>
      <c r="W81" s="4"/>
      <c r="X81" s="6">
        <v>0</v>
      </c>
      <c r="Y81" s="9">
        <v>0</v>
      </c>
      <c r="Z81" s="8">
        <v>3</v>
      </c>
      <c r="AA81" s="6">
        <v>1</v>
      </c>
      <c r="AB81" s="9">
        <v>0</v>
      </c>
      <c r="AC81" s="7">
        <v>0</v>
      </c>
      <c r="AD81" s="7">
        <v>11.21</v>
      </c>
      <c r="AE81" s="9">
        <v>0.2671</v>
      </c>
      <c r="AF81" s="9">
        <v>3.9561</v>
      </c>
      <c r="AG81" s="6">
        <v>0</v>
      </c>
      <c r="AH81" s="9">
        <v>0</v>
      </c>
      <c r="AI81" s="6">
        <v>14</v>
      </c>
      <c r="AJ81" s="6">
        <v>44</v>
      </c>
      <c r="AK81" s="6">
        <v>58</v>
      </c>
      <c r="AL81" s="6">
        <v>16</v>
      </c>
      <c r="AM81" s="6">
        <v>53</v>
      </c>
      <c r="AN81" s="6">
        <v>69</v>
      </c>
      <c r="AO81" s="9">
        <v>1</v>
      </c>
      <c r="AP81" s="9">
        <v>0.0862</v>
      </c>
      <c r="AQ81" s="9">
        <v>0.0862</v>
      </c>
      <c r="AR81" s="4"/>
      <c r="AS81" s="9">
        <v>0</v>
      </c>
      <c r="AT81" s="7">
        <v>0</v>
      </c>
      <c r="AU81" s="10">
        <v>0</v>
      </c>
      <c r="AV81" s="9">
        <v>0</v>
      </c>
      <c r="AW81" s="9">
        <v>0</v>
      </c>
      <c r="AX81" s="9">
        <v>0</v>
      </c>
      <c r="AY81" s="4"/>
      <c r="AZ81" s="7">
        <v>0</v>
      </c>
      <c r="BA81" s="7">
        <v>0</v>
      </c>
      <c r="BB81" s="6">
        <v>0</v>
      </c>
      <c r="BC81" s="9">
        <v>0</v>
      </c>
      <c r="BD81" s="9">
        <v>0</v>
      </c>
      <c r="BE81" s="6">
        <v>0</v>
      </c>
      <c r="BF81" s="6">
        <v>0</v>
      </c>
      <c r="BG81" s="4"/>
    </row>
    <row r="82" spans="1:59">
      <c r="A82" t="str">
        <f t="shared" si="1"/>
        <v>46275XXXX-222</v>
      </c>
      <c r="B82" s="3">
        <v>46275</v>
      </c>
      <c r="C82" s="4" t="s">
        <v>412</v>
      </c>
      <c r="D82" s="4"/>
      <c r="E82" s="4" t="s">
        <v>261</v>
      </c>
      <c r="F82" s="4"/>
      <c r="G82" s="5">
        <v>13.99</v>
      </c>
      <c r="H82" s="6">
        <v>872</v>
      </c>
      <c r="I82" s="6">
        <v>0</v>
      </c>
      <c r="J82" s="6">
        <v>5</v>
      </c>
      <c r="K82" s="6">
        <v>5</v>
      </c>
      <c r="L82" s="7">
        <v>69.95</v>
      </c>
      <c r="M82" s="7">
        <v>69.95</v>
      </c>
      <c r="N82" s="6">
        <v>0</v>
      </c>
      <c r="O82" s="7">
        <v>0</v>
      </c>
      <c r="P82" s="6">
        <v>0</v>
      </c>
      <c r="Q82" s="6">
        <v>0</v>
      </c>
      <c r="R82" s="7">
        <v>0</v>
      </c>
      <c r="S82" s="6">
        <v>0</v>
      </c>
      <c r="T82" s="7">
        <v>13.99</v>
      </c>
      <c r="U82" s="8">
        <v>0.1</v>
      </c>
      <c r="V82" s="4"/>
      <c r="W82" s="4"/>
      <c r="X82" s="6">
        <v>0</v>
      </c>
      <c r="Y82" s="9">
        <v>0</v>
      </c>
      <c r="Z82" s="8">
        <v>3</v>
      </c>
      <c r="AA82" s="6">
        <v>1</v>
      </c>
      <c r="AB82" s="9">
        <v>0</v>
      </c>
      <c r="AC82" s="7">
        <v>0</v>
      </c>
      <c r="AD82" s="7">
        <v>14.94</v>
      </c>
      <c r="AE82" s="9">
        <v>0.267</v>
      </c>
      <c r="AF82" s="9">
        <v>3.9561</v>
      </c>
      <c r="AG82" s="6">
        <v>1</v>
      </c>
      <c r="AH82" s="9">
        <v>0.2</v>
      </c>
      <c r="AI82" s="6">
        <v>16</v>
      </c>
      <c r="AJ82" s="6">
        <v>51</v>
      </c>
      <c r="AK82" s="6">
        <v>67</v>
      </c>
      <c r="AL82" s="6">
        <v>19</v>
      </c>
      <c r="AM82" s="6">
        <v>63</v>
      </c>
      <c r="AN82" s="6">
        <v>82</v>
      </c>
      <c r="AO82" s="9">
        <v>1</v>
      </c>
      <c r="AP82" s="9">
        <v>0.0746</v>
      </c>
      <c r="AQ82" s="9">
        <v>0.0746</v>
      </c>
      <c r="AR82" s="4"/>
      <c r="AS82" s="9">
        <v>0</v>
      </c>
      <c r="AT82" s="7">
        <v>0</v>
      </c>
      <c r="AU82" s="10">
        <v>0</v>
      </c>
      <c r="AV82" s="9">
        <v>0</v>
      </c>
      <c r="AW82" s="9">
        <v>0</v>
      </c>
      <c r="AX82" s="9">
        <v>0</v>
      </c>
      <c r="AY82" s="4"/>
      <c r="AZ82" s="7">
        <v>0</v>
      </c>
      <c r="BA82" s="7">
        <v>0</v>
      </c>
      <c r="BB82" s="6">
        <v>0</v>
      </c>
      <c r="BC82" s="9">
        <v>0</v>
      </c>
      <c r="BD82" s="9">
        <v>0</v>
      </c>
      <c r="BE82" s="6">
        <v>0</v>
      </c>
      <c r="BF82" s="6">
        <v>0</v>
      </c>
      <c r="BG82" s="4"/>
    </row>
    <row r="83" spans="1:59">
      <c r="A83" t="str">
        <f t="shared" si="1"/>
        <v>46276XXXX-222</v>
      </c>
      <c r="B83" s="3">
        <v>46276</v>
      </c>
      <c r="C83" s="4" t="s">
        <v>412</v>
      </c>
      <c r="D83" s="4"/>
      <c r="E83" s="4" t="s">
        <v>261</v>
      </c>
      <c r="F83" s="4"/>
      <c r="G83" s="5">
        <v>13.99</v>
      </c>
      <c r="H83" s="6">
        <v>861</v>
      </c>
      <c r="I83" s="6">
        <v>0</v>
      </c>
      <c r="J83" s="6">
        <v>10</v>
      </c>
      <c r="K83" s="6">
        <v>10</v>
      </c>
      <c r="L83" s="7">
        <v>139.9</v>
      </c>
      <c r="M83" s="7">
        <v>139.9</v>
      </c>
      <c r="N83" s="6">
        <v>0</v>
      </c>
      <c r="O83" s="7">
        <v>0</v>
      </c>
      <c r="P83" s="6">
        <v>0</v>
      </c>
      <c r="Q83" s="6">
        <v>0</v>
      </c>
      <c r="R83" s="7">
        <v>0</v>
      </c>
      <c r="S83" s="6">
        <v>0</v>
      </c>
      <c r="T83" s="7">
        <v>13.99</v>
      </c>
      <c r="U83" s="8">
        <v>0.2</v>
      </c>
      <c r="V83" s="4"/>
      <c r="W83" s="4"/>
      <c r="X83" s="6">
        <v>0</v>
      </c>
      <c r="Y83" s="9">
        <v>0</v>
      </c>
      <c r="Z83" s="8">
        <v>3</v>
      </c>
      <c r="AA83" s="6">
        <v>1</v>
      </c>
      <c r="AB83" s="9">
        <v>0</v>
      </c>
      <c r="AC83" s="7">
        <v>0</v>
      </c>
      <c r="AD83" s="7">
        <v>22.91</v>
      </c>
      <c r="AE83" s="9">
        <v>0.273</v>
      </c>
      <c r="AF83" s="9">
        <v>3.9561</v>
      </c>
      <c r="AG83" s="6">
        <v>0</v>
      </c>
      <c r="AH83" s="9">
        <v>0</v>
      </c>
      <c r="AI83" s="6">
        <v>19</v>
      </c>
      <c r="AJ83" s="6">
        <v>62</v>
      </c>
      <c r="AK83" s="6">
        <v>81</v>
      </c>
      <c r="AL83" s="6">
        <v>23</v>
      </c>
      <c r="AM83" s="6">
        <v>77</v>
      </c>
      <c r="AN83" s="6">
        <v>100</v>
      </c>
      <c r="AO83" s="9">
        <v>1</v>
      </c>
      <c r="AP83" s="9">
        <v>0.1235</v>
      </c>
      <c r="AQ83" s="9">
        <v>0.1235</v>
      </c>
      <c r="AR83" s="4"/>
      <c r="AS83" s="9">
        <v>0</v>
      </c>
      <c r="AT83" s="7">
        <v>0</v>
      </c>
      <c r="AU83" s="10">
        <v>0</v>
      </c>
      <c r="AV83" s="9">
        <v>0</v>
      </c>
      <c r="AW83" s="9">
        <v>0</v>
      </c>
      <c r="AX83" s="9">
        <v>0</v>
      </c>
      <c r="AY83" s="4"/>
      <c r="AZ83" s="7">
        <v>0</v>
      </c>
      <c r="BA83" s="7">
        <v>0</v>
      </c>
      <c r="BB83" s="6">
        <v>0</v>
      </c>
      <c r="BC83" s="9">
        <v>0</v>
      </c>
      <c r="BD83" s="9">
        <v>0</v>
      </c>
      <c r="BE83" s="6">
        <v>0</v>
      </c>
      <c r="BF83" s="6">
        <v>0</v>
      </c>
      <c r="BG83" s="4"/>
    </row>
    <row r="84" spans="1:59">
      <c r="A84" t="str">
        <f t="shared" si="1"/>
        <v>46277XXXX-222</v>
      </c>
      <c r="B84" s="3">
        <v>46277</v>
      </c>
      <c r="C84" s="4" t="s">
        <v>412</v>
      </c>
      <c r="D84" s="4"/>
      <c r="E84" s="4" t="s">
        <v>261</v>
      </c>
      <c r="F84" s="4"/>
      <c r="G84" s="5">
        <v>13.99</v>
      </c>
      <c r="H84" s="6">
        <v>859</v>
      </c>
      <c r="I84" s="6">
        <v>0</v>
      </c>
      <c r="J84" s="6">
        <v>5</v>
      </c>
      <c r="K84" s="6">
        <v>5</v>
      </c>
      <c r="L84" s="7">
        <v>69.95</v>
      </c>
      <c r="M84" s="7">
        <v>69.95</v>
      </c>
      <c r="N84" s="6">
        <v>0</v>
      </c>
      <c r="O84" s="7">
        <v>0</v>
      </c>
      <c r="P84" s="6">
        <v>0</v>
      </c>
      <c r="Q84" s="6">
        <v>0</v>
      </c>
      <c r="R84" s="7">
        <v>0</v>
      </c>
      <c r="S84" s="6">
        <v>0</v>
      </c>
      <c r="T84" s="7">
        <v>13.99</v>
      </c>
      <c r="U84" s="8">
        <v>0.1</v>
      </c>
      <c r="V84" s="4"/>
      <c r="W84" s="4"/>
      <c r="X84" s="6">
        <v>0</v>
      </c>
      <c r="Y84" s="9">
        <v>0</v>
      </c>
      <c r="Z84" s="8">
        <v>4.6</v>
      </c>
      <c r="AA84" s="6">
        <v>16</v>
      </c>
      <c r="AB84" s="9">
        <v>0</v>
      </c>
      <c r="AC84" s="7">
        <v>0</v>
      </c>
      <c r="AD84" s="7">
        <v>34.8</v>
      </c>
      <c r="AE84" s="9">
        <v>0.2764</v>
      </c>
      <c r="AF84" s="9">
        <v>3.9561</v>
      </c>
      <c r="AG84" s="6">
        <v>0</v>
      </c>
      <c r="AH84" s="9">
        <v>0</v>
      </c>
      <c r="AI84" s="6">
        <v>19</v>
      </c>
      <c r="AJ84" s="6">
        <v>37</v>
      </c>
      <c r="AK84" s="6">
        <v>56</v>
      </c>
      <c r="AL84" s="6">
        <v>25</v>
      </c>
      <c r="AM84" s="6">
        <v>48</v>
      </c>
      <c r="AN84" s="6">
        <v>73</v>
      </c>
      <c r="AO84" s="9">
        <v>1</v>
      </c>
      <c r="AP84" s="9">
        <v>0.0893</v>
      </c>
      <c r="AQ84" s="9">
        <v>0.0893</v>
      </c>
      <c r="AR84" s="4"/>
      <c r="AS84" s="9">
        <v>0</v>
      </c>
      <c r="AT84" s="7">
        <v>0</v>
      </c>
      <c r="AU84" s="10">
        <v>0</v>
      </c>
      <c r="AV84" s="9">
        <v>0</v>
      </c>
      <c r="AW84" s="9">
        <v>0</v>
      </c>
      <c r="AX84" s="9">
        <v>0</v>
      </c>
      <c r="AY84" s="4"/>
      <c r="AZ84" s="7">
        <v>0</v>
      </c>
      <c r="BA84" s="7">
        <v>0</v>
      </c>
      <c r="BB84" s="6">
        <v>0</v>
      </c>
      <c r="BC84" s="9">
        <v>0</v>
      </c>
      <c r="BD84" s="9">
        <v>0</v>
      </c>
      <c r="BE84" s="6">
        <v>0</v>
      </c>
      <c r="BF84" s="6">
        <v>0</v>
      </c>
      <c r="BG84" s="4"/>
    </row>
    <row r="85" spans="1:59">
      <c r="A85" t="str">
        <f t="shared" si="1"/>
        <v>46278XXXX-222</v>
      </c>
      <c r="B85" s="3">
        <v>46278</v>
      </c>
      <c r="C85" s="4" t="s">
        <v>412</v>
      </c>
      <c r="D85" s="4"/>
      <c r="E85" s="4" t="s">
        <v>261</v>
      </c>
      <c r="F85" s="4"/>
      <c r="G85" s="5">
        <v>13.99</v>
      </c>
      <c r="H85" s="6">
        <v>849</v>
      </c>
      <c r="I85" s="6">
        <v>0</v>
      </c>
      <c r="J85" s="6">
        <v>10</v>
      </c>
      <c r="K85" s="6">
        <v>10</v>
      </c>
      <c r="L85" s="7">
        <v>139.9</v>
      </c>
      <c r="M85" s="7">
        <v>139.9</v>
      </c>
      <c r="N85" s="6">
        <v>1</v>
      </c>
      <c r="O85" s="7">
        <v>13.99</v>
      </c>
      <c r="P85" s="6">
        <v>1</v>
      </c>
      <c r="Q85" s="6">
        <v>0</v>
      </c>
      <c r="R85" s="7">
        <v>0</v>
      </c>
      <c r="S85" s="6">
        <v>0</v>
      </c>
      <c r="T85" s="7">
        <v>13.99</v>
      </c>
      <c r="U85" s="8">
        <v>0.2</v>
      </c>
      <c r="V85" s="4"/>
      <c r="W85" s="4"/>
      <c r="X85" s="6">
        <v>0</v>
      </c>
      <c r="Y85" s="9">
        <v>0</v>
      </c>
      <c r="Z85" s="8">
        <v>4.6</v>
      </c>
      <c r="AA85" s="6">
        <v>16</v>
      </c>
      <c r="AB85" s="9">
        <v>0</v>
      </c>
      <c r="AC85" s="7">
        <v>0</v>
      </c>
      <c r="AD85" s="7">
        <v>23.13</v>
      </c>
      <c r="AE85" s="9">
        <v>0.2756</v>
      </c>
      <c r="AF85" s="9">
        <v>3.9823</v>
      </c>
      <c r="AG85" s="6">
        <v>0</v>
      </c>
      <c r="AH85" s="9">
        <v>0</v>
      </c>
      <c r="AI85" s="6">
        <v>29</v>
      </c>
      <c r="AJ85" s="6">
        <v>31</v>
      </c>
      <c r="AK85" s="6">
        <v>60</v>
      </c>
      <c r="AL85" s="6">
        <v>44</v>
      </c>
      <c r="AM85" s="6">
        <v>38</v>
      </c>
      <c r="AN85" s="6">
        <v>82</v>
      </c>
      <c r="AO85" s="9">
        <v>1</v>
      </c>
      <c r="AP85" s="9">
        <v>0.1667</v>
      </c>
      <c r="AQ85" s="9">
        <v>0.1667</v>
      </c>
      <c r="AR85" s="4"/>
      <c r="AS85" s="9">
        <v>0</v>
      </c>
      <c r="AT85" s="7">
        <v>0</v>
      </c>
      <c r="AU85" s="10">
        <v>0</v>
      </c>
      <c r="AV85" s="9">
        <v>0</v>
      </c>
      <c r="AW85" s="9">
        <v>0</v>
      </c>
      <c r="AX85" s="9">
        <v>0</v>
      </c>
      <c r="AY85" s="4"/>
      <c r="AZ85" s="7">
        <v>0</v>
      </c>
      <c r="BA85" s="7">
        <v>0</v>
      </c>
      <c r="BB85" s="6">
        <v>0</v>
      </c>
      <c r="BC85" s="9">
        <v>0</v>
      </c>
      <c r="BD85" s="9">
        <v>0</v>
      </c>
      <c r="BE85" s="6">
        <v>0</v>
      </c>
      <c r="BF85" s="6">
        <v>0</v>
      </c>
      <c r="BG85" s="4"/>
    </row>
    <row r="86" spans="1:59">
      <c r="A86" t="str">
        <f t="shared" si="1"/>
        <v>46279XXXX-222</v>
      </c>
      <c r="B86" s="3">
        <v>46279</v>
      </c>
      <c r="C86" s="4" t="s">
        <v>412</v>
      </c>
      <c r="D86" s="4"/>
      <c r="E86" s="4" t="s">
        <v>261</v>
      </c>
      <c r="F86" s="4"/>
      <c r="G86" s="5">
        <v>13.99</v>
      </c>
      <c r="H86" s="6">
        <v>827</v>
      </c>
      <c r="I86" s="6">
        <v>0</v>
      </c>
      <c r="J86" s="6">
        <v>6</v>
      </c>
      <c r="K86" s="6">
        <v>6</v>
      </c>
      <c r="L86" s="7">
        <v>83.94</v>
      </c>
      <c r="M86" s="7">
        <v>71.63</v>
      </c>
      <c r="N86" s="6">
        <v>1</v>
      </c>
      <c r="O86" s="7">
        <v>13.99</v>
      </c>
      <c r="P86" s="6">
        <v>1</v>
      </c>
      <c r="Q86" s="6">
        <v>0</v>
      </c>
      <c r="R86" s="7">
        <v>0</v>
      </c>
      <c r="S86" s="6">
        <v>0</v>
      </c>
      <c r="T86" s="7">
        <v>11.94</v>
      </c>
      <c r="U86" s="8">
        <v>0.1</v>
      </c>
      <c r="V86" s="4"/>
      <c r="W86" s="4"/>
      <c r="X86" s="6">
        <v>1</v>
      </c>
      <c r="Y86" s="9">
        <v>0.1667</v>
      </c>
      <c r="Z86" s="8">
        <v>4.6</v>
      </c>
      <c r="AA86" s="6">
        <v>16</v>
      </c>
      <c r="AB86" s="9">
        <v>0</v>
      </c>
      <c r="AC86" s="7">
        <v>0</v>
      </c>
      <c r="AD86" s="7">
        <v>11.57</v>
      </c>
      <c r="AE86" s="9">
        <v>0.1379</v>
      </c>
      <c r="AF86" s="9">
        <v>3.9561</v>
      </c>
      <c r="AG86" s="6">
        <v>0</v>
      </c>
      <c r="AH86" s="9">
        <v>0</v>
      </c>
      <c r="AI86" s="6">
        <v>22</v>
      </c>
      <c r="AJ86" s="6">
        <v>49</v>
      </c>
      <c r="AK86" s="6">
        <v>71</v>
      </c>
      <c r="AL86" s="6">
        <v>31</v>
      </c>
      <c r="AM86" s="6">
        <v>57</v>
      </c>
      <c r="AN86" s="6">
        <v>88</v>
      </c>
      <c r="AO86" s="9">
        <v>1</v>
      </c>
      <c r="AP86" s="9">
        <v>0.0845</v>
      </c>
      <c r="AQ86" s="9">
        <v>0.0845</v>
      </c>
      <c r="AR86" s="4"/>
      <c r="AS86" s="9">
        <v>0</v>
      </c>
      <c r="AT86" s="7">
        <v>0</v>
      </c>
      <c r="AU86" s="10">
        <v>0</v>
      </c>
      <c r="AV86" s="9">
        <v>0</v>
      </c>
      <c r="AW86" s="9">
        <v>0</v>
      </c>
      <c r="AX86" s="9">
        <v>0</v>
      </c>
      <c r="AY86" s="4"/>
      <c r="AZ86" s="7">
        <v>0</v>
      </c>
      <c r="BA86" s="7">
        <v>0</v>
      </c>
      <c r="BB86" s="6">
        <v>0</v>
      </c>
      <c r="BC86" s="9">
        <v>0</v>
      </c>
      <c r="BD86" s="9">
        <v>0</v>
      </c>
      <c r="BE86" s="6">
        <v>0</v>
      </c>
      <c r="BF86" s="6">
        <v>0</v>
      </c>
      <c r="BG86" s="4"/>
    </row>
    <row r="87" spans="1:59">
      <c r="A87" t="str">
        <f t="shared" si="1"/>
        <v>46280XXXX-222</v>
      </c>
      <c r="B87" s="3">
        <v>46280</v>
      </c>
      <c r="C87" s="4" t="s">
        <v>412</v>
      </c>
      <c r="D87" s="4"/>
      <c r="E87" s="4" t="s">
        <v>261</v>
      </c>
      <c r="F87" s="4"/>
      <c r="G87" s="5">
        <v>13.99</v>
      </c>
      <c r="H87" s="6">
        <v>821</v>
      </c>
      <c r="I87" s="6">
        <v>0</v>
      </c>
      <c r="J87" s="6">
        <v>14</v>
      </c>
      <c r="K87" s="6">
        <v>13</v>
      </c>
      <c r="L87" s="7">
        <v>195.86</v>
      </c>
      <c r="M87" s="7">
        <v>183.55</v>
      </c>
      <c r="N87" s="6">
        <v>0</v>
      </c>
      <c r="O87" s="7">
        <v>0</v>
      </c>
      <c r="P87" s="6">
        <v>0</v>
      </c>
      <c r="Q87" s="6">
        <v>0</v>
      </c>
      <c r="R87" s="7">
        <v>0</v>
      </c>
      <c r="S87" s="6">
        <v>0</v>
      </c>
      <c r="T87" s="7">
        <v>13.11</v>
      </c>
      <c r="U87" s="8">
        <v>0.2</v>
      </c>
      <c r="V87" s="4"/>
      <c r="W87" s="4"/>
      <c r="X87" s="6">
        <v>1</v>
      </c>
      <c r="Y87" s="9">
        <v>0.0714</v>
      </c>
      <c r="Z87" s="8">
        <v>4.6</v>
      </c>
      <c r="AA87" s="6">
        <v>16</v>
      </c>
      <c r="AB87" s="9">
        <v>0</v>
      </c>
      <c r="AC87" s="7">
        <v>0</v>
      </c>
      <c r="AD87" s="7">
        <v>22.84</v>
      </c>
      <c r="AE87" s="9">
        <v>0.1455</v>
      </c>
      <c r="AF87" s="9">
        <v>4.0158</v>
      </c>
      <c r="AG87" s="6">
        <v>1</v>
      </c>
      <c r="AH87" s="9">
        <v>0.0714</v>
      </c>
      <c r="AI87" s="6">
        <v>22</v>
      </c>
      <c r="AJ87" s="6">
        <v>50</v>
      </c>
      <c r="AK87" s="6">
        <v>72</v>
      </c>
      <c r="AL87" s="6">
        <v>29</v>
      </c>
      <c r="AM87" s="6">
        <v>61</v>
      </c>
      <c r="AN87" s="6">
        <v>90</v>
      </c>
      <c r="AO87" s="9">
        <v>1</v>
      </c>
      <c r="AP87" s="9">
        <v>0.1806</v>
      </c>
      <c r="AQ87" s="9">
        <v>0.1944</v>
      </c>
      <c r="AR87" s="4"/>
      <c r="AS87" s="9">
        <v>0</v>
      </c>
      <c r="AT87" s="7">
        <v>0</v>
      </c>
      <c r="AU87" s="10">
        <v>0</v>
      </c>
      <c r="AV87" s="9">
        <v>0</v>
      </c>
      <c r="AW87" s="9">
        <v>0</v>
      </c>
      <c r="AX87" s="9">
        <v>0</v>
      </c>
      <c r="AY87" s="4"/>
      <c r="AZ87" s="7">
        <v>0</v>
      </c>
      <c r="BA87" s="7">
        <v>0</v>
      </c>
      <c r="BB87" s="6">
        <v>0</v>
      </c>
      <c r="BC87" s="9">
        <v>0</v>
      </c>
      <c r="BD87" s="9">
        <v>0</v>
      </c>
      <c r="BE87" s="6">
        <v>0</v>
      </c>
      <c r="BF87" s="6">
        <v>0</v>
      </c>
      <c r="BG87" s="4"/>
    </row>
    <row r="88" spans="1:59">
      <c r="A88" t="str">
        <f t="shared" si="1"/>
        <v>46281XXXX-222</v>
      </c>
      <c r="B88" s="3">
        <v>46281</v>
      </c>
      <c r="C88" s="4" t="s">
        <v>412</v>
      </c>
      <c r="D88" s="4"/>
      <c r="E88" s="4" t="s">
        <v>261</v>
      </c>
      <c r="F88" s="4"/>
      <c r="G88" s="5">
        <v>13.99</v>
      </c>
      <c r="H88" s="6">
        <v>812</v>
      </c>
      <c r="I88" s="6">
        <v>0</v>
      </c>
      <c r="J88" s="6">
        <v>7</v>
      </c>
      <c r="K88" s="6">
        <v>7</v>
      </c>
      <c r="L88" s="7">
        <v>97.93</v>
      </c>
      <c r="M88" s="7">
        <v>85.62</v>
      </c>
      <c r="N88" s="6">
        <v>0</v>
      </c>
      <c r="O88" s="7">
        <v>0</v>
      </c>
      <c r="P88" s="6">
        <v>0</v>
      </c>
      <c r="Q88" s="6">
        <v>0</v>
      </c>
      <c r="R88" s="7">
        <v>0</v>
      </c>
      <c r="S88" s="6">
        <v>0</v>
      </c>
      <c r="T88" s="7">
        <v>12.23</v>
      </c>
      <c r="U88" s="8">
        <v>0.1</v>
      </c>
      <c r="V88" s="4"/>
      <c r="W88" s="4"/>
      <c r="X88" s="6">
        <v>1</v>
      </c>
      <c r="Y88" s="9">
        <v>0.1429</v>
      </c>
      <c r="Z88" s="8">
        <v>4.6</v>
      </c>
      <c r="AA88" s="6">
        <v>16</v>
      </c>
      <c r="AB88" s="9">
        <v>0</v>
      </c>
      <c r="AC88" s="7">
        <v>0</v>
      </c>
      <c r="AD88" s="7">
        <v>40.45</v>
      </c>
      <c r="AE88" s="9">
        <v>0.2065</v>
      </c>
      <c r="AF88" s="9">
        <v>3.9561</v>
      </c>
      <c r="AG88" s="6">
        <v>0</v>
      </c>
      <c r="AH88" s="9">
        <v>0</v>
      </c>
      <c r="AI88" s="6">
        <v>15</v>
      </c>
      <c r="AJ88" s="6">
        <v>52</v>
      </c>
      <c r="AK88" s="6">
        <v>67</v>
      </c>
      <c r="AL88" s="6">
        <v>17</v>
      </c>
      <c r="AM88" s="6">
        <v>65</v>
      </c>
      <c r="AN88" s="6">
        <v>82</v>
      </c>
      <c r="AO88" s="9">
        <v>1</v>
      </c>
      <c r="AP88" s="9">
        <v>0.1045</v>
      </c>
      <c r="AQ88" s="9">
        <v>0.1045</v>
      </c>
      <c r="AR88" s="4"/>
      <c r="AS88" s="9">
        <v>0</v>
      </c>
      <c r="AT88" s="7">
        <v>0</v>
      </c>
      <c r="AU88" s="10">
        <v>0</v>
      </c>
      <c r="AV88" s="9">
        <v>0</v>
      </c>
      <c r="AW88" s="9">
        <v>0</v>
      </c>
      <c r="AX88" s="9">
        <v>0</v>
      </c>
      <c r="AY88" s="4"/>
      <c r="AZ88" s="7">
        <v>0</v>
      </c>
      <c r="BA88" s="7">
        <v>0</v>
      </c>
      <c r="BB88" s="6">
        <v>0</v>
      </c>
      <c r="BC88" s="9">
        <v>0</v>
      </c>
      <c r="BD88" s="9">
        <v>0</v>
      </c>
      <c r="BE88" s="6">
        <v>0</v>
      </c>
      <c r="BF88" s="6">
        <v>0</v>
      </c>
      <c r="BG88" s="4"/>
    </row>
    <row r="89" spans="1:59">
      <c r="A89" t="str">
        <f t="shared" si="1"/>
        <v>46282XXXX-222</v>
      </c>
      <c r="B89" s="3">
        <v>46282</v>
      </c>
      <c r="C89" s="4" t="s">
        <v>412</v>
      </c>
      <c r="D89" s="4"/>
      <c r="E89" s="4" t="s">
        <v>261</v>
      </c>
      <c r="F89" s="4"/>
      <c r="G89" s="5">
        <v>13.99</v>
      </c>
      <c r="H89" s="6">
        <v>804</v>
      </c>
      <c r="I89" s="6">
        <v>0</v>
      </c>
      <c r="J89" s="6">
        <v>8</v>
      </c>
      <c r="K89" s="6">
        <v>8</v>
      </c>
      <c r="L89" s="7">
        <v>111.92</v>
      </c>
      <c r="M89" s="7">
        <v>111.92</v>
      </c>
      <c r="N89" s="6">
        <v>0</v>
      </c>
      <c r="O89" s="7">
        <v>0</v>
      </c>
      <c r="P89" s="6">
        <v>0</v>
      </c>
      <c r="Q89" s="6">
        <v>0</v>
      </c>
      <c r="R89" s="7">
        <v>0</v>
      </c>
      <c r="S89" s="6">
        <v>0</v>
      </c>
      <c r="T89" s="7">
        <v>13.99</v>
      </c>
      <c r="U89" s="8">
        <v>0.1</v>
      </c>
      <c r="V89" s="4"/>
      <c r="W89" s="4"/>
      <c r="X89" s="6">
        <v>0</v>
      </c>
      <c r="Y89" s="9">
        <v>0</v>
      </c>
      <c r="Z89" s="8">
        <v>4.6</v>
      </c>
      <c r="AA89" s="6">
        <v>16</v>
      </c>
      <c r="AB89" s="9">
        <v>0</v>
      </c>
      <c r="AC89" s="7">
        <v>0</v>
      </c>
      <c r="AD89" s="7">
        <v>30.44</v>
      </c>
      <c r="AE89" s="9">
        <v>0.272</v>
      </c>
      <c r="AF89" s="9">
        <v>3.9561</v>
      </c>
      <c r="AG89" s="6">
        <v>0</v>
      </c>
      <c r="AH89" s="9">
        <v>0</v>
      </c>
      <c r="AI89" s="6">
        <v>21</v>
      </c>
      <c r="AJ89" s="6">
        <v>70</v>
      </c>
      <c r="AK89" s="6">
        <v>91</v>
      </c>
      <c r="AL89" s="6">
        <v>27</v>
      </c>
      <c r="AM89" s="6">
        <v>85</v>
      </c>
      <c r="AN89" s="6">
        <v>112</v>
      </c>
      <c r="AO89" s="9">
        <v>1</v>
      </c>
      <c r="AP89" s="9">
        <v>0.0879</v>
      </c>
      <c r="AQ89" s="9">
        <v>0.0879</v>
      </c>
      <c r="AR89" s="4"/>
      <c r="AS89" s="9">
        <v>0</v>
      </c>
      <c r="AT89" s="7">
        <v>0</v>
      </c>
      <c r="AU89" s="10">
        <v>0</v>
      </c>
      <c r="AV89" s="9">
        <v>0</v>
      </c>
      <c r="AW89" s="9">
        <v>0</v>
      </c>
      <c r="AX89" s="9">
        <v>0</v>
      </c>
      <c r="AY89" s="4"/>
      <c r="AZ89" s="7">
        <v>0</v>
      </c>
      <c r="BA89" s="7">
        <v>0</v>
      </c>
      <c r="BB89" s="6">
        <v>0</v>
      </c>
      <c r="BC89" s="9">
        <v>0</v>
      </c>
      <c r="BD89" s="9">
        <v>0</v>
      </c>
      <c r="BE89" s="6">
        <v>0</v>
      </c>
      <c r="BF89" s="6">
        <v>0</v>
      </c>
      <c r="BG89" s="4"/>
    </row>
    <row r="90" spans="1:59">
      <c r="A90" t="str">
        <f t="shared" si="1"/>
        <v>46283XXXX-222</v>
      </c>
      <c r="B90" s="3">
        <v>46283</v>
      </c>
      <c r="C90" s="4" t="s">
        <v>412</v>
      </c>
      <c r="D90" s="4"/>
      <c r="E90" s="4" t="s">
        <v>261</v>
      </c>
      <c r="F90" s="4"/>
      <c r="G90" s="5">
        <v>13.99</v>
      </c>
      <c r="H90" s="6">
        <v>785</v>
      </c>
      <c r="I90" s="6">
        <v>0</v>
      </c>
      <c r="J90" s="6">
        <v>20</v>
      </c>
      <c r="K90" s="6">
        <v>20</v>
      </c>
      <c r="L90" s="7">
        <v>279.8</v>
      </c>
      <c r="M90" s="7">
        <v>279.8</v>
      </c>
      <c r="N90" s="6">
        <v>0</v>
      </c>
      <c r="O90" s="7">
        <v>0</v>
      </c>
      <c r="P90" s="6">
        <v>0</v>
      </c>
      <c r="Q90" s="6">
        <v>0</v>
      </c>
      <c r="R90" s="7">
        <v>0</v>
      </c>
      <c r="S90" s="6">
        <v>0</v>
      </c>
      <c r="T90" s="7">
        <v>13.99</v>
      </c>
      <c r="U90" s="8">
        <v>0.4</v>
      </c>
      <c r="V90" s="4"/>
      <c r="W90" s="4"/>
      <c r="X90" s="6">
        <v>0</v>
      </c>
      <c r="Y90" s="9">
        <v>0</v>
      </c>
      <c r="Z90" s="8">
        <v>4.6</v>
      </c>
      <c r="AA90" s="6">
        <v>16</v>
      </c>
      <c r="AB90" s="9">
        <v>0</v>
      </c>
      <c r="AC90" s="7">
        <v>0</v>
      </c>
      <c r="AD90" s="7">
        <v>42.49</v>
      </c>
      <c r="AE90" s="9">
        <v>0.2761</v>
      </c>
      <c r="AF90" s="9">
        <v>3.96</v>
      </c>
      <c r="AG90" s="6">
        <v>0</v>
      </c>
      <c r="AH90" s="9">
        <v>0</v>
      </c>
      <c r="AI90" s="6">
        <v>25</v>
      </c>
      <c r="AJ90" s="6">
        <v>100</v>
      </c>
      <c r="AK90" s="6">
        <v>125</v>
      </c>
      <c r="AL90" s="6">
        <v>29</v>
      </c>
      <c r="AM90" s="6">
        <v>126</v>
      </c>
      <c r="AN90" s="6">
        <v>155</v>
      </c>
      <c r="AO90" s="9">
        <v>1</v>
      </c>
      <c r="AP90" s="9">
        <v>0.16</v>
      </c>
      <c r="AQ90" s="9">
        <v>0.16</v>
      </c>
      <c r="AR90" s="4"/>
      <c r="AS90" s="9">
        <v>0</v>
      </c>
      <c r="AT90" s="7">
        <v>0</v>
      </c>
      <c r="AU90" s="10">
        <v>0</v>
      </c>
      <c r="AV90" s="9">
        <v>0</v>
      </c>
      <c r="AW90" s="9">
        <v>0</v>
      </c>
      <c r="AX90" s="9">
        <v>0</v>
      </c>
      <c r="AY90" s="4"/>
      <c r="AZ90" s="7">
        <v>0</v>
      </c>
      <c r="BA90" s="7">
        <v>0</v>
      </c>
      <c r="BB90" s="6">
        <v>0</v>
      </c>
      <c r="BC90" s="9">
        <v>0</v>
      </c>
      <c r="BD90" s="9">
        <v>0</v>
      </c>
      <c r="BE90" s="6">
        <v>0</v>
      </c>
      <c r="BF90" s="6">
        <v>0</v>
      </c>
      <c r="BG90" s="4"/>
    </row>
    <row r="91" spans="1:59">
      <c r="A91" t="str">
        <f t="shared" si="1"/>
        <v>46284XXXX-222</v>
      </c>
      <c r="B91" s="3">
        <v>46284</v>
      </c>
      <c r="C91" s="4" t="s">
        <v>412</v>
      </c>
      <c r="D91" s="4"/>
      <c r="E91" s="4" t="s">
        <v>261</v>
      </c>
      <c r="F91" s="4"/>
      <c r="G91" s="5">
        <v>14.99</v>
      </c>
      <c r="H91" s="6">
        <v>790</v>
      </c>
      <c r="I91" s="6">
        <v>0</v>
      </c>
      <c r="J91" s="6">
        <v>8</v>
      </c>
      <c r="K91" s="6">
        <v>8</v>
      </c>
      <c r="L91" s="7">
        <v>119.92</v>
      </c>
      <c r="M91" s="7">
        <v>119.92</v>
      </c>
      <c r="N91" s="6">
        <v>0</v>
      </c>
      <c r="O91" s="7">
        <v>0</v>
      </c>
      <c r="P91" s="6">
        <v>0</v>
      </c>
      <c r="Q91" s="6">
        <v>0</v>
      </c>
      <c r="R91" s="7">
        <v>0</v>
      </c>
      <c r="S91" s="6">
        <v>0</v>
      </c>
      <c r="T91" s="7">
        <v>14.99</v>
      </c>
      <c r="U91" s="8">
        <v>0.1</v>
      </c>
      <c r="V91" s="4"/>
      <c r="W91" s="4"/>
      <c r="X91" s="6">
        <v>0</v>
      </c>
      <c r="Y91" s="9">
        <v>0</v>
      </c>
      <c r="Z91" s="8">
        <v>4.6</v>
      </c>
      <c r="AA91" s="6">
        <v>16</v>
      </c>
      <c r="AB91" s="9">
        <v>0</v>
      </c>
      <c r="AC91" s="7">
        <v>0</v>
      </c>
      <c r="AD91" s="7">
        <v>40.66</v>
      </c>
      <c r="AE91" s="9">
        <v>0.2866</v>
      </c>
      <c r="AF91" s="9">
        <v>4.3104</v>
      </c>
      <c r="AG91" s="6">
        <v>0</v>
      </c>
      <c r="AH91" s="9">
        <v>0</v>
      </c>
      <c r="AI91" s="6">
        <v>21</v>
      </c>
      <c r="AJ91" s="6">
        <v>52</v>
      </c>
      <c r="AK91" s="6">
        <v>73</v>
      </c>
      <c r="AL91" s="6">
        <v>25</v>
      </c>
      <c r="AM91" s="6">
        <v>60</v>
      </c>
      <c r="AN91" s="6">
        <v>85</v>
      </c>
      <c r="AO91" s="9">
        <v>1</v>
      </c>
      <c r="AP91" s="9">
        <v>0.1096</v>
      </c>
      <c r="AQ91" s="9">
        <v>0.1096</v>
      </c>
      <c r="AR91" s="4"/>
      <c r="AS91" s="9">
        <v>0</v>
      </c>
      <c r="AT91" s="7">
        <v>0</v>
      </c>
      <c r="AU91" s="10">
        <v>0</v>
      </c>
      <c r="AV91" s="9">
        <v>0</v>
      </c>
      <c r="AW91" s="9">
        <v>0</v>
      </c>
      <c r="AX91" s="9">
        <v>0</v>
      </c>
      <c r="AY91" s="4"/>
      <c r="AZ91" s="7">
        <v>0</v>
      </c>
      <c r="BA91" s="7">
        <v>0</v>
      </c>
      <c r="BB91" s="6">
        <v>0</v>
      </c>
      <c r="BC91" s="9">
        <v>0</v>
      </c>
      <c r="BD91" s="9">
        <v>0</v>
      </c>
      <c r="BE91" s="6">
        <v>0</v>
      </c>
      <c r="BF91" s="6">
        <v>0</v>
      </c>
      <c r="BG91" s="4"/>
    </row>
    <row r="92" spans="1:59">
      <c r="A92" t="str">
        <f t="shared" si="1"/>
        <v>46285XXXX-222</v>
      </c>
      <c r="B92" s="3">
        <v>46285</v>
      </c>
      <c r="C92" s="4" t="s">
        <v>412</v>
      </c>
      <c r="D92" s="4"/>
      <c r="E92" s="4" t="s">
        <v>261</v>
      </c>
      <c r="F92" s="4"/>
      <c r="G92" s="5">
        <v>14.99</v>
      </c>
      <c r="H92" s="6">
        <v>782</v>
      </c>
      <c r="I92" s="6">
        <v>0</v>
      </c>
      <c r="J92" s="6">
        <v>10</v>
      </c>
      <c r="K92" s="6">
        <v>10</v>
      </c>
      <c r="L92" s="7">
        <v>149.9</v>
      </c>
      <c r="M92" s="7">
        <v>149.9</v>
      </c>
      <c r="N92" s="6">
        <v>1</v>
      </c>
      <c r="O92" s="7">
        <v>14.99</v>
      </c>
      <c r="P92" s="6">
        <v>1</v>
      </c>
      <c r="Q92" s="6">
        <v>0</v>
      </c>
      <c r="R92" s="7">
        <v>0</v>
      </c>
      <c r="S92" s="6">
        <v>0</v>
      </c>
      <c r="T92" s="7">
        <v>14.99</v>
      </c>
      <c r="U92" s="8">
        <v>0.2</v>
      </c>
      <c r="V92" s="4"/>
      <c r="W92" s="4"/>
      <c r="X92" s="6">
        <v>0</v>
      </c>
      <c r="Y92" s="9">
        <v>0</v>
      </c>
      <c r="Z92" s="8">
        <v>4.7</v>
      </c>
      <c r="AA92" s="6">
        <v>18</v>
      </c>
      <c r="AB92" s="9">
        <v>0</v>
      </c>
      <c r="AC92" s="7">
        <v>0</v>
      </c>
      <c r="AD92" s="7">
        <v>53.01</v>
      </c>
      <c r="AE92" s="9">
        <v>0.2789</v>
      </c>
      <c r="AF92" s="9">
        <v>4.3104</v>
      </c>
      <c r="AG92" s="6">
        <v>0</v>
      </c>
      <c r="AH92" s="9">
        <v>0</v>
      </c>
      <c r="AI92" s="6">
        <v>32</v>
      </c>
      <c r="AJ92" s="6">
        <v>60</v>
      </c>
      <c r="AK92" s="6">
        <v>92</v>
      </c>
      <c r="AL92" s="6">
        <v>40</v>
      </c>
      <c r="AM92" s="6">
        <v>70</v>
      </c>
      <c r="AN92" s="6">
        <v>110</v>
      </c>
      <c r="AO92" s="9">
        <v>1</v>
      </c>
      <c r="AP92" s="9">
        <v>0.1087</v>
      </c>
      <c r="AQ92" s="9">
        <v>0.1087</v>
      </c>
      <c r="AR92" s="4"/>
      <c r="AS92" s="9">
        <v>0</v>
      </c>
      <c r="AT92" s="7">
        <v>0</v>
      </c>
      <c r="AU92" s="10">
        <v>0</v>
      </c>
      <c r="AV92" s="9">
        <v>0</v>
      </c>
      <c r="AW92" s="9">
        <v>0</v>
      </c>
      <c r="AX92" s="9">
        <v>0</v>
      </c>
      <c r="AY92" s="4"/>
      <c r="AZ92" s="7">
        <v>0</v>
      </c>
      <c r="BA92" s="7">
        <v>0</v>
      </c>
      <c r="BB92" s="6">
        <v>0</v>
      </c>
      <c r="BC92" s="9">
        <v>0</v>
      </c>
      <c r="BD92" s="9">
        <v>0</v>
      </c>
      <c r="BE92" s="6">
        <v>0</v>
      </c>
      <c r="BF92" s="6">
        <v>0</v>
      </c>
      <c r="BG92" s="4"/>
    </row>
    <row r="93" spans="1:59">
      <c r="A93" t="str">
        <f t="shared" si="1"/>
        <v>46286XXXX-222</v>
      </c>
      <c r="B93" s="3">
        <v>46286</v>
      </c>
      <c r="C93" s="4" t="s">
        <v>412</v>
      </c>
      <c r="D93" s="4"/>
      <c r="E93" s="4" t="s">
        <v>261</v>
      </c>
      <c r="F93" s="4"/>
      <c r="G93" s="5">
        <v>14.99</v>
      </c>
      <c r="H93" s="6">
        <v>777</v>
      </c>
      <c r="I93" s="6">
        <v>0</v>
      </c>
      <c r="J93" s="6">
        <v>13</v>
      </c>
      <c r="K93" s="6">
        <v>13</v>
      </c>
      <c r="L93" s="7">
        <v>194.87</v>
      </c>
      <c r="M93" s="7">
        <v>194.87</v>
      </c>
      <c r="N93" s="6">
        <v>0</v>
      </c>
      <c r="O93" s="7">
        <v>0</v>
      </c>
      <c r="P93" s="6">
        <v>0</v>
      </c>
      <c r="Q93" s="6">
        <v>0</v>
      </c>
      <c r="R93" s="7">
        <v>0</v>
      </c>
      <c r="S93" s="6">
        <v>0</v>
      </c>
      <c r="T93" s="7">
        <v>14.99</v>
      </c>
      <c r="U93" s="8">
        <v>0.2</v>
      </c>
      <c r="V93" s="4"/>
      <c r="W93" s="4"/>
      <c r="X93" s="6">
        <v>0</v>
      </c>
      <c r="Y93" s="9">
        <v>0</v>
      </c>
      <c r="Z93" s="8">
        <v>4.7</v>
      </c>
      <c r="AA93" s="6">
        <v>18</v>
      </c>
      <c r="AB93" s="9">
        <v>0</v>
      </c>
      <c r="AC93" s="7">
        <v>0</v>
      </c>
      <c r="AD93" s="7">
        <v>40.51</v>
      </c>
      <c r="AE93" s="9">
        <v>0.3003</v>
      </c>
      <c r="AF93" s="9">
        <v>4.3104</v>
      </c>
      <c r="AG93" s="6">
        <v>1</v>
      </c>
      <c r="AH93" s="9">
        <v>0.0769</v>
      </c>
      <c r="AI93" s="6">
        <v>28</v>
      </c>
      <c r="AJ93" s="6">
        <v>57</v>
      </c>
      <c r="AK93" s="6">
        <v>85</v>
      </c>
      <c r="AL93" s="6">
        <v>32</v>
      </c>
      <c r="AM93" s="6">
        <v>72</v>
      </c>
      <c r="AN93" s="6">
        <v>104</v>
      </c>
      <c r="AO93" s="9">
        <v>1</v>
      </c>
      <c r="AP93" s="9">
        <v>0.1529</v>
      </c>
      <c r="AQ93" s="9">
        <v>0.1529</v>
      </c>
      <c r="AR93" s="4"/>
      <c r="AS93" s="9">
        <v>0</v>
      </c>
      <c r="AT93" s="7">
        <v>0</v>
      </c>
      <c r="AU93" s="10">
        <v>0</v>
      </c>
      <c r="AV93" s="9">
        <v>0</v>
      </c>
      <c r="AW93" s="9">
        <v>0</v>
      </c>
      <c r="AX93" s="9">
        <v>0</v>
      </c>
      <c r="AY93" s="4"/>
      <c r="AZ93" s="7">
        <v>0</v>
      </c>
      <c r="BA93" s="7">
        <v>0</v>
      </c>
      <c r="BB93" s="6">
        <v>0</v>
      </c>
      <c r="BC93" s="9">
        <v>0</v>
      </c>
      <c r="BD93" s="9">
        <v>0</v>
      </c>
      <c r="BE93" s="6">
        <v>0</v>
      </c>
      <c r="BF93" s="6">
        <v>0</v>
      </c>
      <c r="BG93" s="4"/>
    </row>
    <row r="94" spans="1:59">
      <c r="A94" t="str">
        <f t="shared" si="1"/>
        <v>46287XXXX-222</v>
      </c>
      <c r="B94" s="3">
        <v>46287</v>
      </c>
      <c r="C94" s="4" t="s">
        <v>412</v>
      </c>
      <c r="D94" s="4"/>
      <c r="E94" s="4" t="s">
        <v>261</v>
      </c>
      <c r="F94" s="4"/>
      <c r="G94" s="5">
        <v>14.99</v>
      </c>
      <c r="H94" s="6">
        <v>762</v>
      </c>
      <c r="I94" s="6">
        <v>0</v>
      </c>
      <c r="J94" s="6">
        <v>7</v>
      </c>
      <c r="K94" s="6">
        <v>7</v>
      </c>
      <c r="L94" s="7">
        <v>104.93</v>
      </c>
      <c r="M94" s="7">
        <v>104.93</v>
      </c>
      <c r="N94" s="6">
        <v>1</v>
      </c>
      <c r="O94" s="7">
        <v>14.99</v>
      </c>
      <c r="P94" s="6">
        <v>1</v>
      </c>
      <c r="Q94" s="6">
        <v>0</v>
      </c>
      <c r="R94" s="7">
        <v>0</v>
      </c>
      <c r="S94" s="6">
        <v>0</v>
      </c>
      <c r="T94" s="7">
        <v>14.99</v>
      </c>
      <c r="U94" s="8">
        <v>0.1</v>
      </c>
      <c r="V94" s="4"/>
      <c r="W94" s="4"/>
      <c r="X94" s="6">
        <v>0</v>
      </c>
      <c r="Y94" s="9">
        <v>0</v>
      </c>
      <c r="Z94" s="8">
        <v>4.7</v>
      </c>
      <c r="AA94" s="6">
        <v>18</v>
      </c>
      <c r="AB94" s="9">
        <v>0</v>
      </c>
      <c r="AC94" s="7">
        <v>0</v>
      </c>
      <c r="AD94" s="7">
        <v>43.97</v>
      </c>
      <c r="AE94" s="9">
        <v>0.3283</v>
      </c>
      <c r="AF94" s="9">
        <v>4.3104</v>
      </c>
      <c r="AG94" s="6">
        <v>1</v>
      </c>
      <c r="AH94" s="9">
        <v>0.1429</v>
      </c>
      <c r="AI94" s="6">
        <v>26</v>
      </c>
      <c r="AJ94" s="6">
        <v>40</v>
      </c>
      <c r="AK94" s="6">
        <v>66</v>
      </c>
      <c r="AL94" s="6">
        <v>29</v>
      </c>
      <c r="AM94" s="6">
        <v>44</v>
      </c>
      <c r="AN94" s="6">
        <v>73</v>
      </c>
      <c r="AO94" s="9">
        <v>1</v>
      </c>
      <c r="AP94" s="9">
        <v>0.1061</v>
      </c>
      <c r="AQ94" s="9">
        <v>0.1061</v>
      </c>
      <c r="AR94" s="4"/>
      <c r="AS94" s="9">
        <v>0</v>
      </c>
      <c r="AT94" s="7">
        <v>0</v>
      </c>
      <c r="AU94" s="10">
        <v>0</v>
      </c>
      <c r="AV94" s="9">
        <v>0</v>
      </c>
      <c r="AW94" s="9">
        <v>0</v>
      </c>
      <c r="AX94" s="9">
        <v>0</v>
      </c>
      <c r="AY94" s="4"/>
      <c r="AZ94" s="7">
        <v>0</v>
      </c>
      <c r="BA94" s="7">
        <v>0</v>
      </c>
      <c r="BB94" s="6">
        <v>0</v>
      </c>
      <c r="BC94" s="9">
        <v>0</v>
      </c>
      <c r="BD94" s="9">
        <v>0</v>
      </c>
      <c r="BE94" s="6">
        <v>0</v>
      </c>
      <c r="BF94" s="6">
        <v>0</v>
      </c>
      <c r="BG94" s="4"/>
    </row>
    <row r="95" spans="1:59">
      <c r="A95" t="str">
        <f t="shared" si="1"/>
        <v>46288XXXX-222</v>
      </c>
      <c r="B95" s="3">
        <v>46288</v>
      </c>
      <c r="C95" s="4" t="s">
        <v>412</v>
      </c>
      <c r="D95" s="4"/>
      <c r="E95" s="4" t="s">
        <v>261</v>
      </c>
      <c r="F95" s="4"/>
      <c r="G95" s="5">
        <v>14.99</v>
      </c>
      <c r="H95" s="6">
        <v>793</v>
      </c>
      <c r="I95" s="6">
        <v>0</v>
      </c>
      <c r="J95" s="6">
        <v>13</v>
      </c>
      <c r="K95" s="6">
        <v>13</v>
      </c>
      <c r="L95" s="7">
        <v>194.87</v>
      </c>
      <c r="M95" s="7">
        <v>194.87</v>
      </c>
      <c r="N95" s="6">
        <v>0</v>
      </c>
      <c r="O95" s="7">
        <v>0</v>
      </c>
      <c r="P95" s="6">
        <v>0</v>
      </c>
      <c r="Q95" s="6">
        <v>0</v>
      </c>
      <c r="R95" s="7">
        <v>0</v>
      </c>
      <c r="S95" s="6">
        <v>0</v>
      </c>
      <c r="T95" s="7">
        <v>14.99</v>
      </c>
      <c r="U95" s="8">
        <v>0.2</v>
      </c>
      <c r="V95" s="4"/>
      <c r="W95" s="4"/>
      <c r="X95" s="6">
        <v>0</v>
      </c>
      <c r="Y95" s="9">
        <v>0</v>
      </c>
      <c r="Z95" s="8">
        <v>4.7</v>
      </c>
      <c r="AA95" s="6">
        <v>21</v>
      </c>
      <c r="AB95" s="9">
        <v>0</v>
      </c>
      <c r="AC95" s="7">
        <v>0</v>
      </c>
      <c r="AD95" s="7">
        <v>42.53</v>
      </c>
      <c r="AE95" s="9">
        <v>0.3153</v>
      </c>
      <c r="AF95" s="9">
        <v>4.3591</v>
      </c>
      <c r="AG95" s="6">
        <v>0</v>
      </c>
      <c r="AH95" s="9">
        <v>0</v>
      </c>
      <c r="AI95" s="6">
        <v>21</v>
      </c>
      <c r="AJ95" s="6">
        <v>53</v>
      </c>
      <c r="AK95" s="6">
        <v>74</v>
      </c>
      <c r="AL95" s="6">
        <v>29</v>
      </c>
      <c r="AM95" s="6">
        <v>60</v>
      </c>
      <c r="AN95" s="6">
        <v>89</v>
      </c>
      <c r="AO95" s="9">
        <v>1</v>
      </c>
      <c r="AP95" s="9">
        <v>0.1757</v>
      </c>
      <c r="AQ95" s="9">
        <v>0.1757</v>
      </c>
      <c r="AR95" s="4"/>
      <c r="AS95" s="9">
        <v>0</v>
      </c>
      <c r="AT95" s="7">
        <v>0</v>
      </c>
      <c r="AU95" s="10">
        <v>0</v>
      </c>
      <c r="AV95" s="9">
        <v>0</v>
      </c>
      <c r="AW95" s="9">
        <v>0</v>
      </c>
      <c r="AX95" s="9">
        <v>0</v>
      </c>
      <c r="AY95" s="4"/>
      <c r="AZ95" s="7">
        <v>0</v>
      </c>
      <c r="BA95" s="7">
        <v>0</v>
      </c>
      <c r="BB95" s="6">
        <v>0</v>
      </c>
      <c r="BC95" s="9">
        <v>0</v>
      </c>
      <c r="BD95" s="9">
        <v>0</v>
      </c>
      <c r="BE95" s="6">
        <v>0</v>
      </c>
      <c r="BF95" s="6">
        <v>0</v>
      </c>
      <c r="BG95" s="4"/>
    </row>
    <row r="96" spans="1:59">
      <c r="A96" t="str">
        <f t="shared" si="1"/>
        <v>46289XXXX-222</v>
      </c>
      <c r="B96" s="3">
        <v>46289</v>
      </c>
      <c r="C96" s="4" t="s">
        <v>412</v>
      </c>
      <c r="D96" s="4"/>
      <c r="E96" s="4" t="s">
        <v>261</v>
      </c>
      <c r="F96" s="4"/>
      <c r="G96" s="5">
        <v>14.99</v>
      </c>
      <c r="H96" s="6">
        <v>778</v>
      </c>
      <c r="I96" s="6">
        <v>0</v>
      </c>
      <c r="J96" s="6">
        <v>18</v>
      </c>
      <c r="K96" s="6">
        <v>18</v>
      </c>
      <c r="L96" s="7">
        <v>254.83</v>
      </c>
      <c r="M96" s="7">
        <v>254.83</v>
      </c>
      <c r="N96" s="6">
        <v>0</v>
      </c>
      <c r="O96" s="7">
        <v>0</v>
      </c>
      <c r="P96" s="6">
        <v>0</v>
      </c>
      <c r="Q96" s="6">
        <v>0</v>
      </c>
      <c r="R96" s="7">
        <v>0</v>
      </c>
      <c r="S96" s="6">
        <v>0</v>
      </c>
      <c r="T96" s="7">
        <v>14.16</v>
      </c>
      <c r="U96" s="8">
        <v>0.3</v>
      </c>
      <c r="V96" s="4"/>
      <c r="W96" s="4"/>
      <c r="X96" s="6">
        <v>0</v>
      </c>
      <c r="Y96" s="9">
        <v>0</v>
      </c>
      <c r="Z96" s="8">
        <v>4.7</v>
      </c>
      <c r="AA96" s="6">
        <v>21</v>
      </c>
      <c r="AB96" s="9">
        <v>0</v>
      </c>
      <c r="AC96" s="7">
        <v>0</v>
      </c>
      <c r="AD96" s="7">
        <v>58.86</v>
      </c>
      <c r="AE96" s="9">
        <v>0.2993</v>
      </c>
      <c r="AF96" s="9">
        <v>4.0153</v>
      </c>
      <c r="AG96" s="6">
        <v>0</v>
      </c>
      <c r="AH96" s="9">
        <v>0</v>
      </c>
      <c r="AI96" s="6">
        <v>25</v>
      </c>
      <c r="AJ96" s="6">
        <v>52</v>
      </c>
      <c r="AK96" s="6">
        <v>77</v>
      </c>
      <c r="AL96" s="6">
        <v>28</v>
      </c>
      <c r="AM96" s="6">
        <v>62</v>
      </c>
      <c r="AN96" s="6">
        <v>90</v>
      </c>
      <c r="AO96" s="9">
        <v>1</v>
      </c>
      <c r="AP96" s="9">
        <v>0.2338</v>
      </c>
      <c r="AQ96" s="9">
        <v>0.2338</v>
      </c>
      <c r="AR96" s="4"/>
      <c r="AS96" s="9">
        <v>0</v>
      </c>
      <c r="AT96" s="7">
        <v>0</v>
      </c>
      <c r="AU96" s="10">
        <v>0</v>
      </c>
      <c r="AV96" s="9">
        <v>0</v>
      </c>
      <c r="AW96" s="9">
        <v>0</v>
      </c>
      <c r="AX96" s="9">
        <v>0</v>
      </c>
      <c r="AY96" s="4"/>
      <c r="AZ96" s="7">
        <v>0</v>
      </c>
      <c r="BA96" s="7">
        <v>0</v>
      </c>
      <c r="BB96" s="6">
        <v>0</v>
      </c>
      <c r="BC96" s="9">
        <v>0</v>
      </c>
      <c r="BD96" s="9">
        <v>0</v>
      </c>
      <c r="BE96" s="6">
        <v>0</v>
      </c>
      <c r="BF96" s="6">
        <v>0</v>
      </c>
      <c r="BG96" s="4"/>
    </row>
    <row r="97" spans="1:59">
      <c r="A97" t="str">
        <f t="shared" si="1"/>
        <v>46290XXXX-222</v>
      </c>
      <c r="B97" s="3">
        <v>46290</v>
      </c>
      <c r="C97" s="4" t="s">
        <v>412</v>
      </c>
      <c r="D97" s="4"/>
      <c r="E97" s="4" t="s">
        <v>261</v>
      </c>
      <c r="F97" s="4"/>
      <c r="G97" s="5">
        <v>14.99</v>
      </c>
      <c r="H97" s="6">
        <v>765</v>
      </c>
      <c r="I97" s="6">
        <v>0</v>
      </c>
      <c r="J97" s="6">
        <v>8</v>
      </c>
      <c r="K97" s="6">
        <v>8</v>
      </c>
      <c r="L97" s="7">
        <v>119.92</v>
      </c>
      <c r="M97" s="7">
        <v>119.92</v>
      </c>
      <c r="N97" s="6">
        <v>0</v>
      </c>
      <c r="O97" s="7">
        <v>0</v>
      </c>
      <c r="P97" s="6">
        <v>0</v>
      </c>
      <c r="Q97" s="6">
        <v>0</v>
      </c>
      <c r="R97" s="7">
        <v>0</v>
      </c>
      <c r="S97" s="6">
        <v>0</v>
      </c>
      <c r="T97" s="7">
        <v>14.99</v>
      </c>
      <c r="U97" s="8">
        <v>0.1</v>
      </c>
      <c r="V97" s="4"/>
      <c r="W97" s="4"/>
      <c r="X97" s="6">
        <v>0</v>
      </c>
      <c r="Y97" s="9">
        <v>0</v>
      </c>
      <c r="Z97" s="8">
        <v>4.7</v>
      </c>
      <c r="AA97" s="6">
        <v>21</v>
      </c>
      <c r="AB97" s="9">
        <v>0</v>
      </c>
      <c r="AC97" s="7">
        <v>0</v>
      </c>
      <c r="AD97" s="7">
        <v>70.2</v>
      </c>
      <c r="AE97" s="9">
        <v>0.3136</v>
      </c>
      <c r="AF97" s="9">
        <v>4.3104</v>
      </c>
      <c r="AG97" s="6">
        <v>0</v>
      </c>
      <c r="AH97" s="9">
        <v>0</v>
      </c>
      <c r="AI97" s="6">
        <v>28</v>
      </c>
      <c r="AJ97" s="6">
        <v>85</v>
      </c>
      <c r="AK97" s="6">
        <v>113</v>
      </c>
      <c r="AL97" s="6">
        <v>33</v>
      </c>
      <c r="AM97" s="6">
        <v>105</v>
      </c>
      <c r="AN97" s="6">
        <v>138</v>
      </c>
      <c r="AO97" s="9">
        <v>1</v>
      </c>
      <c r="AP97" s="9">
        <v>0.0708</v>
      </c>
      <c r="AQ97" s="9">
        <v>0.0708</v>
      </c>
      <c r="AR97" s="4"/>
      <c r="AS97" s="9">
        <v>0</v>
      </c>
      <c r="AT97" s="7">
        <v>0</v>
      </c>
      <c r="AU97" s="10">
        <v>0</v>
      </c>
      <c r="AV97" s="9">
        <v>0</v>
      </c>
      <c r="AW97" s="9">
        <v>0</v>
      </c>
      <c r="AX97" s="9">
        <v>0</v>
      </c>
      <c r="AY97" s="4"/>
      <c r="AZ97" s="7">
        <v>0</v>
      </c>
      <c r="BA97" s="7">
        <v>0</v>
      </c>
      <c r="BB97" s="6">
        <v>0</v>
      </c>
      <c r="BC97" s="9">
        <v>0</v>
      </c>
      <c r="BD97" s="9">
        <v>0</v>
      </c>
      <c r="BE97" s="6">
        <v>0</v>
      </c>
      <c r="BF97" s="6">
        <v>0</v>
      </c>
      <c r="BG97" s="4"/>
    </row>
    <row r="98" spans="1:59">
      <c r="A98" t="str">
        <f t="shared" si="1"/>
        <v>46291XXXX-222</v>
      </c>
      <c r="B98" s="3">
        <v>46291</v>
      </c>
      <c r="C98" s="4" t="s">
        <v>412</v>
      </c>
      <c r="D98" s="4"/>
      <c r="E98" s="4" t="s">
        <v>261</v>
      </c>
      <c r="F98" s="4"/>
      <c r="G98" s="5">
        <v>14.99</v>
      </c>
      <c r="H98" s="6">
        <v>754</v>
      </c>
      <c r="I98" s="6">
        <v>0</v>
      </c>
      <c r="J98" s="6">
        <v>12</v>
      </c>
      <c r="K98" s="6">
        <v>12</v>
      </c>
      <c r="L98" s="7">
        <v>179.88</v>
      </c>
      <c r="M98" s="7">
        <v>179.88</v>
      </c>
      <c r="N98" s="6">
        <v>0</v>
      </c>
      <c r="O98" s="7">
        <v>0</v>
      </c>
      <c r="P98" s="6">
        <v>0</v>
      </c>
      <c r="Q98" s="6">
        <v>0</v>
      </c>
      <c r="R98" s="7">
        <v>0</v>
      </c>
      <c r="S98" s="6">
        <v>0</v>
      </c>
      <c r="T98" s="7">
        <v>14.99</v>
      </c>
      <c r="U98" s="8">
        <v>0.2</v>
      </c>
      <c r="V98" s="4"/>
      <c r="W98" s="4"/>
      <c r="X98" s="6">
        <v>0</v>
      </c>
      <c r="Y98" s="9">
        <v>0</v>
      </c>
      <c r="Z98" s="8">
        <v>4.7</v>
      </c>
      <c r="AA98" s="6">
        <v>22</v>
      </c>
      <c r="AB98" s="9">
        <v>0.0833</v>
      </c>
      <c r="AC98" s="7">
        <v>0</v>
      </c>
      <c r="AD98" s="7">
        <v>56.21</v>
      </c>
      <c r="AE98" s="9">
        <v>0.3409</v>
      </c>
      <c r="AF98" s="9">
        <v>4.3369</v>
      </c>
      <c r="AG98" s="6">
        <v>2</v>
      </c>
      <c r="AH98" s="9">
        <v>0.1667</v>
      </c>
      <c r="AI98" s="6">
        <v>25</v>
      </c>
      <c r="AJ98" s="6">
        <v>60</v>
      </c>
      <c r="AK98" s="6">
        <v>85</v>
      </c>
      <c r="AL98" s="6">
        <v>34</v>
      </c>
      <c r="AM98" s="6">
        <v>70</v>
      </c>
      <c r="AN98" s="6">
        <v>104</v>
      </c>
      <c r="AO98" s="9">
        <v>0.99</v>
      </c>
      <c r="AP98" s="9">
        <v>0.1412</v>
      </c>
      <c r="AQ98" s="9">
        <v>0.1412</v>
      </c>
      <c r="AR98" s="4"/>
      <c r="AS98" s="9">
        <v>0</v>
      </c>
      <c r="AT98" s="7">
        <v>0</v>
      </c>
      <c r="AU98" s="10">
        <v>0</v>
      </c>
      <c r="AV98" s="9">
        <v>0</v>
      </c>
      <c r="AW98" s="9">
        <v>0</v>
      </c>
      <c r="AX98" s="9">
        <v>0</v>
      </c>
      <c r="AY98" s="4"/>
      <c r="AZ98" s="7">
        <v>0</v>
      </c>
      <c r="BA98" s="7">
        <v>0</v>
      </c>
      <c r="BB98" s="6">
        <v>0</v>
      </c>
      <c r="BC98" s="9">
        <v>0</v>
      </c>
      <c r="BD98" s="9">
        <v>0</v>
      </c>
      <c r="BE98" s="6">
        <v>0</v>
      </c>
      <c r="BF98" s="6">
        <v>0</v>
      </c>
      <c r="BG98" s="4"/>
    </row>
    <row r="99" spans="1:59">
      <c r="A99" t="str">
        <f t="shared" si="1"/>
        <v>46292XXXX-222</v>
      </c>
      <c r="B99" s="3">
        <v>46292</v>
      </c>
      <c r="C99" s="4" t="s">
        <v>412</v>
      </c>
      <c r="D99" s="4"/>
      <c r="E99" s="4" t="s">
        <v>261</v>
      </c>
      <c r="F99" s="4"/>
      <c r="G99" s="5">
        <v>14.99</v>
      </c>
      <c r="H99" s="6">
        <v>742</v>
      </c>
      <c r="I99" s="6">
        <v>0</v>
      </c>
      <c r="J99" s="6">
        <v>14</v>
      </c>
      <c r="K99" s="6">
        <v>14</v>
      </c>
      <c r="L99" s="7">
        <v>209.86</v>
      </c>
      <c r="M99" s="7">
        <v>209.86</v>
      </c>
      <c r="N99" s="6">
        <v>1</v>
      </c>
      <c r="O99" s="7">
        <v>14.99</v>
      </c>
      <c r="P99" s="6">
        <v>1</v>
      </c>
      <c r="Q99" s="6">
        <v>0</v>
      </c>
      <c r="R99" s="7">
        <v>0</v>
      </c>
      <c r="S99" s="6">
        <v>0</v>
      </c>
      <c r="T99" s="7">
        <v>14.99</v>
      </c>
      <c r="U99" s="8">
        <v>0.2</v>
      </c>
      <c r="V99" s="4"/>
      <c r="W99" s="4"/>
      <c r="X99" s="6">
        <v>0</v>
      </c>
      <c r="Y99" s="9">
        <v>0</v>
      </c>
      <c r="Z99" s="8">
        <v>4.7</v>
      </c>
      <c r="AA99" s="6">
        <v>22</v>
      </c>
      <c r="AB99" s="9">
        <v>0</v>
      </c>
      <c r="AC99" s="7">
        <v>0</v>
      </c>
      <c r="AD99" s="7">
        <v>87.57</v>
      </c>
      <c r="AE99" s="9">
        <v>0.3245</v>
      </c>
      <c r="AF99" s="9">
        <v>4.3104</v>
      </c>
      <c r="AG99" s="6">
        <v>0</v>
      </c>
      <c r="AH99" s="9">
        <v>0</v>
      </c>
      <c r="AI99" s="6">
        <v>16</v>
      </c>
      <c r="AJ99" s="6">
        <v>45</v>
      </c>
      <c r="AK99" s="6">
        <v>61</v>
      </c>
      <c r="AL99" s="6">
        <v>19</v>
      </c>
      <c r="AM99" s="6">
        <v>60</v>
      </c>
      <c r="AN99" s="6">
        <v>79</v>
      </c>
      <c r="AO99" s="9">
        <v>1</v>
      </c>
      <c r="AP99" s="9">
        <v>0.2295</v>
      </c>
      <c r="AQ99" s="9">
        <v>0.2295</v>
      </c>
      <c r="AR99" s="4"/>
      <c r="AS99" s="9">
        <v>0</v>
      </c>
      <c r="AT99" s="7">
        <v>0</v>
      </c>
      <c r="AU99" s="10">
        <v>0</v>
      </c>
      <c r="AV99" s="9">
        <v>0</v>
      </c>
      <c r="AW99" s="9">
        <v>0</v>
      </c>
      <c r="AX99" s="9">
        <v>0</v>
      </c>
      <c r="AY99" s="4"/>
      <c r="AZ99" s="7">
        <v>0</v>
      </c>
      <c r="BA99" s="7">
        <v>0</v>
      </c>
      <c r="BB99" s="6">
        <v>0</v>
      </c>
      <c r="BC99" s="9">
        <v>0</v>
      </c>
      <c r="BD99" s="9">
        <v>0</v>
      </c>
      <c r="BE99" s="6">
        <v>0</v>
      </c>
      <c r="BF99" s="6">
        <v>0</v>
      </c>
      <c r="BG99" s="4"/>
    </row>
    <row r="100" spans="1:59">
      <c r="A100" t="str">
        <f t="shared" si="1"/>
        <v>46293XXXX-222</v>
      </c>
      <c r="B100" s="3">
        <v>46293</v>
      </c>
      <c r="C100" s="4" t="s">
        <v>412</v>
      </c>
      <c r="D100" s="4"/>
      <c r="E100" s="4" t="s">
        <v>261</v>
      </c>
      <c r="F100" s="4"/>
      <c r="G100" s="5">
        <v>14.99</v>
      </c>
      <c r="H100" s="6">
        <v>733</v>
      </c>
      <c r="I100" s="6">
        <v>0</v>
      </c>
      <c r="J100" s="6">
        <v>9</v>
      </c>
      <c r="K100" s="6">
        <v>9</v>
      </c>
      <c r="L100" s="7">
        <v>134.91</v>
      </c>
      <c r="M100" s="7">
        <v>134.91</v>
      </c>
      <c r="N100" s="6">
        <v>0</v>
      </c>
      <c r="O100" s="7">
        <v>0</v>
      </c>
      <c r="P100" s="6">
        <v>0</v>
      </c>
      <c r="Q100" s="6">
        <v>0</v>
      </c>
      <c r="R100" s="7">
        <v>0</v>
      </c>
      <c r="S100" s="6">
        <v>0</v>
      </c>
      <c r="T100" s="7">
        <v>14.99</v>
      </c>
      <c r="U100" s="8">
        <v>0.2</v>
      </c>
      <c r="V100" s="4"/>
      <c r="W100" s="4"/>
      <c r="X100" s="6">
        <v>0</v>
      </c>
      <c r="Y100" s="9">
        <v>0</v>
      </c>
      <c r="Z100" s="8">
        <v>4.7</v>
      </c>
      <c r="AA100" s="6">
        <v>22</v>
      </c>
      <c r="AB100" s="9">
        <v>0</v>
      </c>
      <c r="AC100" s="7">
        <v>0</v>
      </c>
      <c r="AD100" s="7">
        <v>52.91</v>
      </c>
      <c r="AE100" s="9">
        <v>0.3191</v>
      </c>
      <c r="AF100" s="9">
        <v>4.3104</v>
      </c>
      <c r="AG100" s="6">
        <v>0</v>
      </c>
      <c r="AH100" s="9">
        <v>0</v>
      </c>
      <c r="AI100" s="6">
        <v>22</v>
      </c>
      <c r="AJ100" s="6">
        <v>38</v>
      </c>
      <c r="AK100" s="6">
        <v>60</v>
      </c>
      <c r="AL100" s="6">
        <v>31</v>
      </c>
      <c r="AM100" s="6">
        <v>46</v>
      </c>
      <c r="AN100" s="6">
        <v>77</v>
      </c>
      <c r="AO100" s="9">
        <v>1</v>
      </c>
      <c r="AP100" s="9">
        <v>0.15</v>
      </c>
      <c r="AQ100" s="9">
        <v>0.15</v>
      </c>
      <c r="AR100" s="4"/>
      <c r="AS100" s="9">
        <v>0</v>
      </c>
      <c r="AT100" s="7">
        <v>0</v>
      </c>
      <c r="AU100" s="10">
        <v>0</v>
      </c>
      <c r="AV100" s="9">
        <v>0</v>
      </c>
      <c r="AW100" s="9">
        <v>0</v>
      </c>
      <c r="AX100" s="9">
        <v>0</v>
      </c>
      <c r="AY100" s="4"/>
      <c r="AZ100" s="7">
        <v>0</v>
      </c>
      <c r="BA100" s="7">
        <v>0</v>
      </c>
      <c r="BB100" s="6">
        <v>0</v>
      </c>
      <c r="BC100" s="9">
        <v>0</v>
      </c>
      <c r="BD100" s="9">
        <v>0</v>
      </c>
      <c r="BE100" s="6">
        <v>0</v>
      </c>
      <c r="BF100" s="6">
        <v>0</v>
      </c>
      <c r="BG100" s="4"/>
    </row>
    <row r="101" spans="1:59">
      <c r="A101" t="str">
        <f t="shared" si="1"/>
        <v>46294XXXX-222</v>
      </c>
      <c r="B101" s="3">
        <v>46294</v>
      </c>
      <c r="C101" s="4" t="s">
        <v>412</v>
      </c>
      <c r="D101" s="4"/>
      <c r="E101" s="4" t="s">
        <v>261</v>
      </c>
      <c r="F101" s="4"/>
      <c r="G101" s="5">
        <v>14.99</v>
      </c>
      <c r="H101" s="6">
        <v>728</v>
      </c>
      <c r="I101" s="6">
        <v>0</v>
      </c>
      <c r="J101" s="6">
        <v>6</v>
      </c>
      <c r="K101" s="6">
        <v>6</v>
      </c>
      <c r="L101" s="7">
        <v>89.94</v>
      </c>
      <c r="M101" s="7">
        <v>64.44</v>
      </c>
      <c r="N101" s="6">
        <v>0</v>
      </c>
      <c r="O101" s="7">
        <v>0</v>
      </c>
      <c r="P101" s="6">
        <v>0</v>
      </c>
      <c r="Q101" s="6">
        <v>0</v>
      </c>
      <c r="R101" s="7">
        <v>0</v>
      </c>
      <c r="S101" s="6">
        <v>0</v>
      </c>
      <c r="T101" s="7">
        <v>10.74</v>
      </c>
      <c r="U101" s="8">
        <v>0.1</v>
      </c>
      <c r="V101" s="4"/>
      <c r="W101" s="4"/>
      <c r="X101" s="6">
        <v>2</v>
      </c>
      <c r="Y101" s="9">
        <v>0.3333</v>
      </c>
      <c r="Z101" s="8">
        <v>4.7</v>
      </c>
      <c r="AA101" s="6">
        <v>24</v>
      </c>
      <c r="AB101" s="9">
        <v>0</v>
      </c>
      <c r="AC101" s="7">
        <v>0</v>
      </c>
      <c r="AD101" s="7">
        <v>-1.39</v>
      </c>
      <c r="AE101" s="9">
        <v>-0.0186</v>
      </c>
      <c r="AF101" s="9">
        <v>4.3104</v>
      </c>
      <c r="AG101" s="6">
        <v>0</v>
      </c>
      <c r="AH101" s="9">
        <v>0</v>
      </c>
      <c r="AI101" s="6">
        <v>26</v>
      </c>
      <c r="AJ101" s="6">
        <v>43</v>
      </c>
      <c r="AK101" s="6">
        <v>69</v>
      </c>
      <c r="AL101" s="6">
        <v>36</v>
      </c>
      <c r="AM101" s="6">
        <v>53</v>
      </c>
      <c r="AN101" s="6">
        <v>89</v>
      </c>
      <c r="AO101" s="9">
        <v>1</v>
      </c>
      <c r="AP101" s="9">
        <v>0.087</v>
      </c>
      <c r="AQ101" s="9">
        <v>0.087</v>
      </c>
      <c r="AR101" s="4"/>
      <c r="AS101" s="9">
        <v>0</v>
      </c>
      <c r="AT101" s="7">
        <v>0</v>
      </c>
      <c r="AU101" s="10">
        <v>0</v>
      </c>
      <c r="AV101" s="9">
        <v>0</v>
      </c>
      <c r="AW101" s="9">
        <v>0</v>
      </c>
      <c r="AX101" s="9">
        <v>0</v>
      </c>
      <c r="AY101" s="4"/>
      <c r="AZ101" s="7">
        <v>0</v>
      </c>
      <c r="BA101" s="7">
        <v>0</v>
      </c>
      <c r="BB101" s="6">
        <v>0</v>
      </c>
      <c r="BC101" s="9">
        <v>0</v>
      </c>
      <c r="BD101" s="9">
        <v>0</v>
      </c>
      <c r="BE101" s="6">
        <v>0</v>
      </c>
      <c r="BF101" s="6">
        <v>0</v>
      </c>
      <c r="BG101" s="4"/>
    </row>
    <row r="102" spans="1:59">
      <c r="A102" t="str">
        <f t="shared" si="1"/>
        <v>46295XXXX-222</v>
      </c>
      <c r="B102" s="3">
        <v>46295</v>
      </c>
      <c r="C102" s="4" t="s">
        <v>412</v>
      </c>
      <c r="D102" s="4"/>
      <c r="E102" s="4" t="s">
        <v>261</v>
      </c>
      <c r="F102" s="4"/>
      <c r="G102" s="5">
        <v>13.99</v>
      </c>
      <c r="H102" s="6">
        <v>716</v>
      </c>
      <c r="I102" s="6">
        <v>0</v>
      </c>
      <c r="J102" s="6">
        <v>10</v>
      </c>
      <c r="K102" s="6">
        <v>10</v>
      </c>
      <c r="L102" s="7">
        <v>139.9</v>
      </c>
      <c r="M102" s="7">
        <v>139.9</v>
      </c>
      <c r="N102" s="6">
        <v>0</v>
      </c>
      <c r="O102" s="7">
        <v>0</v>
      </c>
      <c r="P102" s="6">
        <v>0</v>
      </c>
      <c r="Q102" s="6">
        <v>0</v>
      </c>
      <c r="R102" s="7">
        <v>0</v>
      </c>
      <c r="S102" s="6">
        <v>0</v>
      </c>
      <c r="T102" s="7">
        <v>13.99</v>
      </c>
      <c r="U102" s="8">
        <v>0.2</v>
      </c>
      <c r="V102" s="4"/>
      <c r="W102" s="4"/>
      <c r="X102" s="6">
        <v>0</v>
      </c>
      <c r="Y102" s="9">
        <v>0</v>
      </c>
      <c r="Z102" s="8">
        <v>4.7</v>
      </c>
      <c r="AA102" s="6">
        <v>24</v>
      </c>
      <c r="AB102" s="9">
        <v>0</v>
      </c>
      <c r="AC102" s="7">
        <v>0</v>
      </c>
      <c r="AD102" s="7">
        <v>43.5</v>
      </c>
      <c r="AE102" s="9">
        <v>0.3023</v>
      </c>
      <c r="AF102" s="9">
        <v>3.9561</v>
      </c>
      <c r="AG102" s="6">
        <v>0</v>
      </c>
      <c r="AH102" s="9">
        <v>0</v>
      </c>
      <c r="AI102" s="6">
        <v>27</v>
      </c>
      <c r="AJ102" s="6">
        <v>42</v>
      </c>
      <c r="AK102" s="6">
        <v>69</v>
      </c>
      <c r="AL102" s="6">
        <v>34</v>
      </c>
      <c r="AM102" s="6">
        <v>51</v>
      </c>
      <c r="AN102" s="6">
        <v>85</v>
      </c>
      <c r="AO102" s="9">
        <v>1</v>
      </c>
      <c r="AP102" s="9">
        <v>0.1449</v>
      </c>
      <c r="AQ102" s="9">
        <v>0.1449</v>
      </c>
      <c r="AR102" s="4"/>
      <c r="AS102" s="9">
        <v>0</v>
      </c>
      <c r="AT102" s="7">
        <v>0</v>
      </c>
      <c r="AU102" s="10">
        <v>0</v>
      </c>
      <c r="AV102" s="9">
        <v>0</v>
      </c>
      <c r="AW102" s="9">
        <v>0</v>
      </c>
      <c r="AX102" s="9">
        <v>0</v>
      </c>
      <c r="AY102" s="4"/>
      <c r="AZ102" s="7">
        <v>0</v>
      </c>
      <c r="BA102" s="7">
        <v>0</v>
      </c>
      <c r="BB102" s="6">
        <v>0</v>
      </c>
      <c r="BC102" s="9">
        <v>0</v>
      </c>
      <c r="BD102" s="9">
        <v>0</v>
      </c>
      <c r="BE102" s="6">
        <v>0</v>
      </c>
      <c r="BF102" s="6">
        <v>0</v>
      </c>
      <c r="BG102" s="4"/>
    </row>
    <row r="103" spans="1:59">
      <c r="A103" t="str">
        <f t="shared" si="1"/>
        <v>46296XXXX-222</v>
      </c>
      <c r="B103" s="3">
        <v>46296</v>
      </c>
      <c r="C103" s="4" t="s">
        <v>412</v>
      </c>
      <c r="D103" s="4"/>
      <c r="E103" s="4" t="s">
        <v>261</v>
      </c>
      <c r="F103" s="4"/>
      <c r="G103" s="5">
        <v>11.99</v>
      </c>
      <c r="H103" s="6">
        <v>685</v>
      </c>
      <c r="I103" s="6">
        <v>0</v>
      </c>
      <c r="J103" s="6">
        <v>36</v>
      </c>
      <c r="K103" s="6">
        <v>36</v>
      </c>
      <c r="L103" s="7">
        <v>431.64</v>
      </c>
      <c r="M103" s="7">
        <v>405.26</v>
      </c>
      <c r="N103" s="6">
        <v>0</v>
      </c>
      <c r="O103" s="7">
        <v>0</v>
      </c>
      <c r="P103" s="6">
        <v>0</v>
      </c>
      <c r="Q103" s="6">
        <v>0</v>
      </c>
      <c r="R103" s="7">
        <v>0</v>
      </c>
      <c r="S103" s="6">
        <v>0</v>
      </c>
      <c r="T103" s="7">
        <v>11.26</v>
      </c>
      <c r="U103" s="8">
        <v>0.6</v>
      </c>
      <c r="V103" s="4"/>
      <c r="W103" s="4"/>
      <c r="X103" s="6">
        <v>2</v>
      </c>
      <c r="Y103" s="9">
        <v>0.0556</v>
      </c>
      <c r="Z103" s="8">
        <v>4.7</v>
      </c>
      <c r="AA103" s="6">
        <v>24</v>
      </c>
      <c r="AB103" s="9">
        <v>0</v>
      </c>
      <c r="AC103" s="7">
        <v>0</v>
      </c>
      <c r="AD103" s="7">
        <v>29.65</v>
      </c>
      <c r="AE103" s="9">
        <v>0.1133</v>
      </c>
      <c r="AF103" s="9">
        <v>0.9272</v>
      </c>
      <c r="AG103" s="6">
        <v>0</v>
      </c>
      <c r="AH103" s="9">
        <v>0</v>
      </c>
      <c r="AI103" s="6">
        <v>41</v>
      </c>
      <c r="AJ103" s="6">
        <v>139</v>
      </c>
      <c r="AK103" s="6">
        <v>180</v>
      </c>
      <c r="AL103" s="6">
        <v>62</v>
      </c>
      <c r="AM103" s="6">
        <v>166</v>
      </c>
      <c r="AN103" s="6">
        <v>228</v>
      </c>
      <c r="AO103" s="9">
        <v>1</v>
      </c>
      <c r="AP103" s="9">
        <v>0.2</v>
      </c>
      <c r="AQ103" s="9">
        <v>0.2</v>
      </c>
      <c r="AR103" s="4"/>
      <c r="AS103" s="9">
        <v>0</v>
      </c>
      <c r="AT103" s="7">
        <v>0</v>
      </c>
      <c r="AU103" s="10">
        <v>0</v>
      </c>
      <c r="AV103" s="9">
        <v>0</v>
      </c>
      <c r="AW103" s="9">
        <v>0</v>
      </c>
      <c r="AX103" s="9">
        <v>0</v>
      </c>
      <c r="AY103" s="4"/>
      <c r="AZ103" s="7">
        <v>0</v>
      </c>
      <c r="BA103" s="7">
        <v>0</v>
      </c>
      <c r="BB103" s="6">
        <v>0</v>
      </c>
      <c r="BC103" s="9">
        <v>0</v>
      </c>
      <c r="BD103" s="9">
        <v>0</v>
      </c>
      <c r="BE103" s="6">
        <v>0</v>
      </c>
      <c r="BF103" s="6">
        <v>0</v>
      </c>
      <c r="BG103" s="4"/>
    </row>
    <row r="104" spans="1:59">
      <c r="A104" t="str">
        <f t="shared" si="1"/>
        <v>46297XXXX-222</v>
      </c>
      <c r="B104" s="3">
        <v>46297</v>
      </c>
      <c r="C104" s="4" t="s">
        <v>412</v>
      </c>
      <c r="D104" s="4"/>
      <c r="E104" s="4" t="s">
        <v>261</v>
      </c>
      <c r="F104" s="4"/>
      <c r="G104" s="5">
        <v>11.99</v>
      </c>
      <c r="H104" s="6">
        <v>644</v>
      </c>
      <c r="I104" s="6">
        <v>0</v>
      </c>
      <c r="J104" s="6">
        <v>40</v>
      </c>
      <c r="K104" s="6">
        <v>39</v>
      </c>
      <c r="L104" s="7">
        <v>479.6</v>
      </c>
      <c r="M104" s="7">
        <v>479.6</v>
      </c>
      <c r="N104" s="6">
        <v>1</v>
      </c>
      <c r="O104" s="7">
        <v>11.99</v>
      </c>
      <c r="P104" s="6">
        <v>1</v>
      </c>
      <c r="Q104" s="6">
        <v>0</v>
      </c>
      <c r="R104" s="7">
        <v>0</v>
      </c>
      <c r="S104" s="6">
        <v>0</v>
      </c>
      <c r="T104" s="7">
        <v>11.99</v>
      </c>
      <c r="U104" s="8">
        <v>0.7</v>
      </c>
      <c r="V104" s="4"/>
      <c r="W104" s="4"/>
      <c r="X104" s="6">
        <v>0</v>
      </c>
      <c r="Y104" s="9">
        <v>0</v>
      </c>
      <c r="Z104" s="8">
        <v>4.7</v>
      </c>
      <c r="AA104" s="6">
        <v>24</v>
      </c>
      <c r="AB104" s="9">
        <v>0.0256</v>
      </c>
      <c r="AC104" s="7">
        <v>0</v>
      </c>
      <c r="AD104" s="7">
        <v>46.3</v>
      </c>
      <c r="AE104" s="9">
        <v>0.201</v>
      </c>
      <c r="AF104" s="9">
        <v>0.9273</v>
      </c>
      <c r="AG104" s="6">
        <v>0</v>
      </c>
      <c r="AH104" s="9">
        <v>0</v>
      </c>
      <c r="AI104" s="6">
        <v>60</v>
      </c>
      <c r="AJ104" s="6">
        <v>161</v>
      </c>
      <c r="AK104" s="6">
        <v>221</v>
      </c>
      <c r="AL104" s="6">
        <v>80</v>
      </c>
      <c r="AM104" s="6">
        <v>203</v>
      </c>
      <c r="AN104" s="6">
        <v>283</v>
      </c>
      <c r="AO104" s="9">
        <v>1</v>
      </c>
      <c r="AP104" s="9">
        <v>0.1765</v>
      </c>
      <c r="AQ104" s="9">
        <v>0.181</v>
      </c>
      <c r="AR104" s="4"/>
      <c r="AS104" s="9">
        <v>0</v>
      </c>
      <c r="AT104" s="7">
        <v>0</v>
      </c>
      <c r="AU104" s="10">
        <v>0</v>
      </c>
      <c r="AV104" s="9">
        <v>0</v>
      </c>
      <c r="AW104" s="9">
        <v>0</v>
      </c>
      <c r="AX104" s="9">
        <v>0</v>
      </c>
      <c r="AY104" s="4"/>
      <c r="AZ104" s="7">
        <v>0</v>
      </c>
      <c r="BA104" s="7">
        <v>0</v>
      </c>
      <c r="BB104" s="6">
        <v>0</v>
      </c>
      <c r="BC104" s="9">
        <v>0</v>
      </c>
      <c r="BD104" s="9">
        <v>0</v>
      </c>
      <c r="BE104" s="6">
        <v>0</v>
      </c>
      <c r="BF104" s="6">
        <v>0</v>
      </c>
      <c r="BG104" s="4"/>
    </row>
    <row r="105" spans="1:59">
      <c r="A105" t="str">
        <f t="shared" si="1"/>
        <v>46298XXXX-222</v>
      </c>
      <c r="B105" s="3">
        <v>46298</v>
      </c>
      <c r="C105" s="4" t="s">
        <v>412</v>
      </c>
      <c r="D105" s="4"/>
      <c r="E105" s="4" t="s">
        <v>261</v>
      </c>
      <c r="F105" s="4"/>
      <c r="G105" s="5">
        <v>13.99</v>
      </c>
      <c r="H105" s="6">
        <v>611</v>
      </c>
      <c r="I105" s="6">
        <v>0</v>
      </c>
      <c r="J105" s="6">
        <v>23</v>
      </c>
      <c r="K105" s="6">
        <v>23</v>
      </c>
      <c r="L105" s="7">
        <v>319.77</v>
      </c>
      <c r="M105" s="7">
        <v>319.77</v>
      </c>
      <c r="N105" s="6">
        <v>0</v>
      </c>
      <c r="O105" s="7">
        <v>0</v>
      </c>
      <c r="P105" s="6">
        <v>0</v>
      </c>
      <c r="Q105" s="6">
        <v>0</v>
      </c>
      <c r="R105" s="7">
        <v>0</v>
      </c>
      <c r="S105" s="6">
        <v>0</v>
      </c>
      <c r="T105" s="7">
        <v>13.9</v>
      </c>
      <c r="U105" s="8">
        <v>0.4</v>
      </c>
      <c r="V105" s="4"/>
      <c r="W105" s="4"/>
      <c r="X105" s="6">
        <v>0</v>
      </c>
      <c r="Y105" s="9">
        <v>0</v>
      </c>
      <c r="Z105" s="8">
        <v>4.7</v>
      </c>
      <c r="AA105" s="6">
        <v>24</v>
      </c>
      <c r="AB105" s="9">
        <v>0</v>
      </c>
      <c r="AC105" s="7">
        <v>0</v>
      </c>
      <c r="AD105" s="7">
        <v>103.22</v>
      </c>
      <c r="AE105" s="9">
        <v>0.2291</v>
      </c>
      <c r="AF105" s="9">
        <v>1.5032</v>
      </c>
      <c r="AG105" s="6">
        <v>0</v>
      </c>
      <c r="AH105" s="9">
        <v>0</v>
      </c>
      <c r="AI105" s="6">
        <v>44</v>
      </c>
      <c r="AJ105" s="6">
        <v>82</v>
      </c>
      <c r="AK105" s="6">
        <v>126</v>
      </c>
      <c r="AL105" s="6">
        <v>56</v>
      </c>
      <c r="AM105" s="6">
        <v>104</v>
      </c>
      <c r="AN105" s="6">
        <v>160</v>
      </c>
      <c r="AO105" s="9">
        <v>0.99</v>
      </c>
      <c r="AP105" s="9">
        <v>0.1825</v>
      </c>
      <c r="AQ105" s="9">
        <v>0.1825</v>
      </c>
      <c r="AR105" s="4"/>
      <c r="AS105" s="9">
        <v>0</v>
      </c>
      <c r="AT105" s="7">
        <v>0</v>
      </c>
      <c r="AU105" s="10">
        <v>0</v>
      </c>
      <c r="AV105" s="9">
        <v>0</v>
      </c>
      <c r="AW105" s="9">
        <v>0</v>
      </c>
      <c r="AX105" s="9">
        <v>0</v>
      </c>
      <c r="AY105" s="4"/>
      <c r="AZ105" s="7">
        <v>0</v>
      </c>
      <c r="BA105" s="7">
        <v>0</v>
      </c>
      <c r="BB105" s="6">
        <v>0</v>
      </c>
      <c r="BC105" s="9">
        <v>0</v>
      </c>
      <c r="BD105" s="9">
        <v>0</v>
      </c>
      <c r="BE105" s="6">
        <v>0</v>
      </c>
      <c r="BF105" s="6">
        <v>0</v>
      </c>
      <c r="BG105" s="4"/>
    </row>
    <row r="106" spans="1:59">
      <c r="A106" t="str">
        <f t="shared" si="1"/>
        <v>46299XXXX-222</v>
      </c>
      <c r="B106" s="3">
        <v>46299</v>
      </c>
      <c r="C106" s="4" t="s">
        <v>412</v>
      </c>
      <c r="D106" s="4"/>
      <c r="E106" s="4" t="s">
        <v>261</v>
      </c>
      <c r="F106" s="4"/>
      <c r="G106" s="5">
        <v>13.99</v>
      </c>
      <c r="H106" s="6">
        <v>601</v>
      </c>
      <c r="I106" s="6">
        <v>0</v>
      </c>
      <c r="J106" s="6">
        <v>18</v>
      </c>
      <c r="K106" s="6">
        <v>18</v>
      </c>
      <c r="L106" s="7">
        <v>251.82</v>
      </c>
      <c r="M106" s="7">
        <v>238.63</v>
      </c>
      <c r="N106" s="6">
        <v>1</v>
      </c>
      <c r="O106" s="7">
        <v>13.99</v>
      </c>
      <c r="P106" s="6">
        <v>1</v>
      </c>
      <c r="Q106" s="6">
        <v>0</v>
      </c>
      <c r="R106" s="7">
        <v>0</v>
      </c>
      <c r="S106" s="6">
        <v>0</v>
      </c>
      <c r="T106" s="7">
        <v>13.26</v>
      </c>
      <c r="U106" s="8">
        <v>0.3</v>
      </c>
      <c r="V106" s="4"/>
      <c r="W106" s="4"/>
      <c r="X106" s="6">
        <v>1</v>
      </c>
      <c r="Y106" s="9">
        <v>0.0556</v>
      </c>
      <c r="Z106" s="8">
        <v>4.5</v>
      </c>
      <c r="AA106" s="6">
        <v>28</v>
      </c>
      <c r="AB106" s="9">
        <v>0</v>
      </c>
      <c r="AC106" s="7">
        <v>0</v>
      </c>
      <c r="AD106" s="7">
        <v>61.2</v>
      </c>
      <c r="AE106" s="9">
        <v>0.1992</v>
      </c>
      <c r="AF106" s="9">
        <v>1.5294</v>
      </c>
      <c r="AG106" s="6">
        <v>1</v>
      </c>
      <c r="AH106" s="9">
        <v>0.0556</v>
      </c>
      <c r="AI106" s="6">
        <v>43</v>
      </c>
      <c r="AJ106" s="6">
        <v>76</v>
      </c>
      <c r="AK106" s="6">
        <v>119</v>
      </c>
      <c r="AL106" s="6">
        <v>57</v>
      </c>
      <c r="AM106" s="6">
        <v>97</v>
      </c>
      <c r="AN106" s="6">
        <v>154</v>
      </c>
      <c r="AO106" s="9">
        <v>1</v>
      </c>
      <c r="AP106" s="9">
        <v>0.1513</v>
      </c>
      <c r="AQ106" s="9">
        <v>0.1513</v>
      </c>
      <c r="AR106" s="4"/>
      <c r="AS106" s="9">
        <v>0</v>
      </c>
      <c r="AT106" s="7">
        <v>0</v>
      </c>
      <c r="AU106" s="10">
        <v>0</v>
      </c>
      <c r="AV106" s="9">
        <v>0</v>
      </c>
      <c r="AW106" s="9">
        <v>0</v>
      </c>
      <c r="AX106" s="9">
        <v>0</v>
      </c>
      <c r="AY106" s="4"/>
      <c r="AZ106" s="7">
        <v>0</v>
      </c>
      <c r="BA106" s="7">
        <v>0</v>
      </c>
      <c r="BB106" s="6">
        <v>0</v>
      </c>
      <c r="BC106" s="9">
        <v>0</v>
      </c>
      <c r="BD106" s="9">
        <v>0</v>
      </c>
      <c r="BE106" s="6">
        <v>0</v>
      </c>
      <c r="BF106" s="6">
        <v>0</v>
      </c>
      <c r="BG106" s="4"/>
    </row>
    <row r="107" spans="1:59">
      <c r="A107" t="str">
        <f t="shared" si="1"/>
        <v>46300XXXX-222</v>
      </c>
      <c r="B107" s="3">
        <v>46300</v>
      </c>
      <c r="C107" s="4" t="s">
        <v>412</v>
      </c>
      <c r="D107" s="4"/>
      <c r="E107" s="4" t="s">
        <v>261</v>
      </c>
      <c r="F107" s="4"/>
      <c r="G107" s="5">
        <v>13.99</v>
      </c>
      <c r="H107" s="6">
        <v>574</v>
      </c>
      <c r="I107" s="6">
        <v>0</v>
      </c>
      <c r="J107" s="6">
        <v>26</v>
      </c>
      <c r="K107" s="6">
        <v>26</v>
      </c>
      <c r="L107" s="7">
        <v>363.74</v>
      </c>
      <c r="M107" s="7">
        <v>363.74</v>
      </c>
      <c r="N107" s="6">
        <v>4</v>
      </c>
      <c r="O107" s="7">
        <v>55.96</v>
      </c>
      <c r="P107" s="6">
        <v>4</v>
      </c>
      <c r="Q107" s="6">
        <v>0</v>
      </c>
      <c r="R107" s="7">
        <v>0</v>
      </c>
      <c r="S107" s="6">
        <v>0</v>
      </c>
      <c r="T107" s="7">
        <v>13.99</v>
      </c>
      <c r="U107" s="8">
        <v>0.5</v>
      </c>
      <c r="V107" s="4"/>
      <c r="W107" s="4"/>
      <c r="X107" s="6">
        <v>0</v>
      </c>
      <c r="Y107" s="9">
        <v>0</v>
      </c>
      <c r="Z107" s="8">
        <v>4.5</v>
      </c>
      <c r="AA107" s="6">
        <v>28</v>
      </c>
      <c r="AB107" s="9">
        <v>0.0385</v>
      </c>
      <c r="AC107" s="7">
        <v>0</v>
      </c>
      <c r="AD107" s="7">
        <v>90.89</v>
      </c>
      <c r="AE107" s="9">
        <v>0.286</v>
      </c>
      <c r="AF107" s="9">
        <v>1.5294</v>
      </c>
      <c r="AG107" s="6">
        <v>0</v>
      </c>
      <c r="AH107" s="9">
        <v>0</v>
      </c>
      <c r="AI107" s="6">
        <v>50</v>
      </c>
      <c r="AJ107" s="6">
        <v>67</v>
      </c>
      <c r="AK107" s="6">
        <v>117</v>
      </c>
      <c r="AL107" s="6">
        <v>68</v>
      </c>
      <c r="AM107" s="6">
        <v>77</v>
      </c>
      <c r="AN107" s="6">
        <v>145</v>
      </c>
      <c r="AO107" s="9">
        <v>0.99</v>
      </c>
      <c r="AP107" s="9">
        <v>0.2222</v>
      </c>
      <c r="AQ107" s="9">
        <v>0.2222</v>
      </c>
      <c r="AR107" s="4"/>
      <c r="AS107" s="9">
        <v>0</v>
      </c>
      <c r="AT107" s="7">
        <v>0</v>
      </c>
      <c r="AU107" s="10">
        <v>0</v>
      </c>
      <c r="AV107" s="9">
        <v>0</v>
      </c>
      <c r="AW107" s="9">
        <v>0</v>
      </c>
      <c r="AX107" s="9">
        <v>0</v>
      </c>
      <c r="AY107" s="4"/>
      <c r="AZ107" s="7">
        <v>0</v>
      </c>
      <c r="BA107" s="7">
        <v>0</v>
      </c>
      <c r="BB107" s="6">
        <v>0</v>
      </c>
      <c r="BC107" s="9">
        <v>0</v>
      </c>
      <c r="BD107" s="9">
        <v>0</v>
      </c>
      <c r="BE107" s="6">
        <v>0</v>
      </c>
      <c r="BF107" s="6">
        <v>0</v>
      </c>
      <c r="BG107" s="4"/>
    </row>
    <row r="108" spans="1:59">
      <c r="A108" t="str">
        <f t="shared" si="1"/>
        <v>46301XXXX-222</v>
      </c>
      <c r="B108" s="3">
        <v>46301</v>
      </c>
      <c r="C108" s="4" t="s">
        <v>412</v>
      </c>
      <c r="D108" s="4"/>
      <c r="E108" s="4" t="s">
        <v>261</v>
      </c>
      <c r="F108" s="4"/>
      <c r="G108" s="5">
        <v>11.99</v>
      </c>
      <c r="H108" s="6">
        <v>562</v>
      </c>
      <c r="I108" s="6">
        <v>0</v>
      </c>
      <c r="J108" s="6">
        <v>22</v>
      </c>
      <c r="K108" s="6">
        <v>21</v>
      </c>
      <c r="L108" s="7">
        <v>263.78</v>
      </c>
      <c r="M108" s="7">
        <v>263.78</v>
      </c>
      <c r="N108" s="6">
        <v>0</v>
      </c>
      <c r="O108" s="7">
        <v>0</v>
      </c>
      <c r="P108" s="6">
        <v>0</v>
      </c>
      <c r="Q108" s="6">
        <v>0</v>
      </c>
      <c r="R108" s="7">
        <v>0</v>
      </c>
      <c r="S108" s="6">
        <v>0</v>
      </c>
      <c r="T108" s="7">
        <v>11.99</v>
      </c>
      <c r="U108" s="8">
        <v>0.4</v>
      </c>
      <c r="V108" s="4"/>
      <c r="W108" s="4"/>
      <c r="X108" s="6">
        <v>0</v>
      </c>
      <c r="Y108" s="9">
        <v>0</v>
      </c>
      <c r="Z108" s="8">
        <v>4.5</v>
      </c>
      <c r="AA108" s="6">
        <v>28</v>
      </c>
      <c r="AB108" s="9">
        <v>0</v>
      </c>
      <c r="AC108" s="7">
        <v>0</v>
      </c>
      <c r="AD108" s="7">
        <v>93.75</v>
      </c>
      <c r="AE108" s="9">
        <v>0.2606</v>
      </c>
      <c r="AF108" s="9">
        <v>0.9273</v>
      </c>
      <c r="AG108" s="6">
        <v>0</v>
      </c>
      <c r="AH108" s="9">
        <v>0</v>
      </c>
      <c r="AI108" s="6">
        <v>38</v>
      </c>
      <c r="AJ108" s="6">
        <v>77</v>
      </c>
      <c r="AK108" s="6">
        <v>115</v>
      </c>
      <c r="AL108" s="6">
        <v>51</v>
      </c>
      <c r="AM108" s="6">
        <v>89</v>
      </c>
      <c r="AN108" s="6">
        <v>140</v>
      </c>
      <c r="AO108" s="9">
        <v>0.99</v>
      </c>
      <c r="AP108" s="9">
        <v>0.1826</v>
      </c>
      <c r="AQ108" s="9">
        <v>0.1913</v>
      </c>
      <c r="AR108" s="4"/>
      <c r="AS108" s="9">
        <v>0</v>
      </c>
      <c r="AT108" s="7">
        <v>0</v>
      </c>
      <c r="AU108" s="10">
        <v>0</v>
      </c>
      <c r="AV108" s="9">
        <v>0</v>
      </c>
      <c r="AW108" s="9">
        <v>0</v>
      </c>
      <c r="AX108" s="9">
        <v>0</v>
      </c>
      <c r="AY108" s="4"/>
      <c r="AZ108" s="7">
        <v>0</v>
      </c>
      <c r="BA108" s="7">
        <v>0</v>
      </c>
      <c r="BB108" s="6">
        <v>0</v>
      </c>
      <c r="BC108" s="9">
        <v>0</v>
      </c>
      <c r="BD108" s="9">
        <v>0</v>
      </c>
      <c r="BE108" s="6">
        <v>0</v>
      </c>
      <c r="BF108" s="6">
        <v>0</v>
      </c>
      <c r="BG108" s="4"/>
    </row>
    <row r="109" spans="1:59">
      <c r="A109" t="str">
        <f t="shared" si="1"/>
        <v>46302XXXX-222</v>
      </c>
      <c r="B109" s="3">
        <v>46302</v>
      </c>
      <c r="C109" s="4" t="s">
        <v>412</v>
      </c>
      <c r="D109" s="4"/>
      <c r="E109" s="4" t="s">
        <v>261</v>
      </c>
      <c r="F109" s="4"/>
      <c r="G109" s="5">
        <v>11.99</v>
      </c>
      <c r="H109" s="6">
        <v>541</v>
      </c>
      <c r="I109" s="6">
        <v>0</v>
      </c>
      <c r="J109" s="6">
        <v>12</v>
      </c>
      <c r="K109" s="6">
        <v>12</v>
      </c>
      <c r="L109" s="7">
        <v>143.88</v>
      </c>
      <c r="M109" s="7">
        <v>143.88</v>
      </c>
      <c r="N109" s="6">
        <v>0</v>
      </c>
      <c r="O109" s="7">
        <v>0</v>
      </c>
      <c r="P109" s="6">
        <v>0</v>
      </c>
      <c r="Q109" s="6">
        <v>0</v>
      </c>
      <c r="R109" s="7">
        <v>0</v>
      </c>
      <c r="S109" s="6">
        <v>0</v>
      </c>
      <c r="T109" s="7">
        <v>11.99</v>
      </c>
      <c r="U109" s="8">
        <v>0.2</v>
      </c>
      <c r="V109" s="4"/>
      <c r="W109" s="4"/>
      <c r="X109" s="6">
        <v>0</v>
      </c>
      <c r="Y109" s="9">
        <v>0</v>
      </c>
      <c r="Z109" s="8">
        <v>4.4</v>
      </c>
      <c r="AA109" s="6">
        <v>30</v>
      </c>
      <c r="AB109" s="9">
        <v>0</v>
      </c>
      <c r="AC109" s="7">
        <v>0</v>
      </c>
      <c r="AD109" s="7">
        <v>48.16</v>
      </c>
      <c r="AE109" s="9">
        <v>0.2252</v>
      </c>
      <c r="AF109" s="9">
        <v>0.9272</v>
      </c>
      <c r="AG109" s="6">
        <v>0</v>
      </c>
      <c r="AH109" s="9">
        <v>0</v>
      </c>
      <c r="AI109" s="6">
        <v>27</v>
      </c>
      <c r="AJ109" s="6">
        <v>69</v>
      </c>
      <c r="AK109" s="6">
        <v>96</v>
      </c>
      <c r="AL109" s="6">
        <v>32</v>
      </c>
      <c r="AM109" s="6">
        <v>90</v>
      </c>
      <c r="AN109" s="6">
        <v>122</v>
      </c>
      <c r="AO109" s="9">
        <v>0.99</v>
      </c>
      <c r="AP109" s="9">
        <v>0.125</v>
      </c>
      <c r="AQ109" s="9">
        <v>0.125</v>
      </c>
      <c r="AR109" s="4"/>
      <c r="AS109" s="9">
        <v>0</v>
      </c>
      <c r="AT109" s="7">
        <v>0</v>
      </c>
      <c r="AU109" s="10">
        <v>0</v>
      </c>
      <c r="AV109" s="9">
        <v>0</v>
      </c>
      <c r="AW109" s="9">
        <v>0</v>
      </c>
      <c r="AX109" s="9">
        <v>0</v>
      </c>
      <c r="AY109" s="4"/>
      <c r="AZ109" s="7">
        <v>0</v>
      </c>
      <c r="BA109" s="7">
        <v>0</v>
      </c>
      <c r="BB109" s="6">
        <v>0</v>
      </c>
      <c r="BC109" s="9">
        <v>0</v>
      </c>
      <c r="BD109" s="9">
        <v>0</v>
      </c>
      <c r="BE109" s="6">
        <v>0</v>
      </c>
      <c r="BF109" s="6">
        <v>0</v>
      </c>
      <c r="BG109" s="4"/>
    </row>
    <row r="110" spans="1:59">
      <c r="A110" t="str">
        <f t="shared" si="1"/>
        <v>46303XXXX-222</v>
      </c>
      <c r="B110" s="3">
        <v>46303</v>
      </c>
      <c r="C110" s="4" t="s">
        <v>412</v>
      </c>
      <c r="D110" s="4"/>
      <c r="E110" s="4" t="s">
        <v>261</v>
      </c>
      <c r="F110" s="4"/>
      <c r="G110" s="5">
        <v>11.99</v>
      </c>
      <c r="H110" s="6">
        <v>524</v>
      </c>
      <c r="I110" s="6">
        <v>0</v>
      </c>
      <c r="J110" s="6">
        <v>20</v>
      </c>
      <c r="K110" s="6">
        <v>20</v>
      </c>
      <c r="L110" s="7">
        <v>239.8</v>
      </c>
      <c r="M110" s="7">
        <v>229.25</v>
      </c>
      <c r="N110" s="6">
        <v>0</v>
      </c>
      <c r="O110" s="7">
        <v>0</v>
      </c>
      <c r="P110" s="6">
        <v>0</v>
      </c>
      <c r="Q110" s="6">
        <v>0</v>
      </c>
      <c r="R110" s="7">
        <v>0</v>
      </c>
      <c r="S110" s="6">
        <v>0</v>
      </c>
      <c r="T110" s="7">
        <v>11.46</v>
      </c>
      <c r="U110" s="8">
        <v>0.4</v>
      </c>
      <c r="V110" s="4"/>
      <c r="W110" s="4"/>
      <c r="X110" s="6">
        <v>1</v>
      </c>
      <c r="Y110" s="9">
        <v>0.05</v>
      </c>
      <c r="Z110" s="8">
        <v>4.4</v>
      </c>
      <c r="AA110" s="6">
        <v>30</v>
      </c>
      <c r="AB110" s="9">
        <v>0</v>
      </c>
      <c r="AC110" s="7">
        <v>0</v>
      </c>
      <c r="AD110" s="7">
        <v>32.08</v>
      </c>
      <c r="AE110" s="9">
        <v>0.1486</v>
      </c>
      <c r="AF110" s="9">
        <v>0.9272</v>
      </c>
      <c r="AG110" s="6">
        <v>0</v>
      </c>
      <c r="AH110" s="9">
        <v>0</v>
      </c>
      <c r="AI110" s="6">
        <v>43</v>
      </c>
      <c r="AJ110" s="6">
        <v>91</v>
      </c>
      <c r="AK110" s="6">
        <v>134</v>
      </c>
      <c r="AL110" s="6">
        <v>52</v>
      </c>
      <c r="AM110" s="6">
        <v>112</v>
      </c>
      <c r="AN110" s="6">
        <v>164</v>
      </c>
      <c r="AO110" s="9">
        <v>1</v>
      </c>
      <c r="AP110" s="9">
        <v>0.1493</v>
      </c>
      <c r="AQ110" s="9">
        <v>0.1493</v>
      </c>
      <c r="AR110" s="4"/>
      <c r="AS110" s="9">
        <v>0</v>
      </c>
      <c r="AT110" s="7">
        <v>0</v>
      </c>
      <c r="AU110" s="10">
        <v>0</v>
      </c>
      <c r="AV110" s="9">
        <v>0</v>
      </c>
      <c r="AW110" s="9">
        <v>0</v>
      </c>
      <c r="AX110" s="9">
        <v>0</v>
      </c>
      <c r="AY110" s="4"/>
      <c r="AZ110" s="7">
        <v>0</v>
      </c>
      <c r="BA110" s="7">
        <v>0</v>
      </c>
      <c r="BB110" s="6">
        <v>0</v>
      </c>
      <c r="BC110" s="9">
        <v>0</v>
      </c>
      <c r="BD110" s="9">
        <v>0</v>
      </c>
      <c r="BE110" s="6">
        <v>0</v>
      </c>
      <c r="BF110" s="6">
        <v>0</v>
      </c>
      <c r="BG110" s="4"/>
    </row>
    <row r="111" spans="1:59">
      <c r="A111" t="str">
        <f t="shared" si="1"/>
        <v>46304XXXX-222</v>
      </c>
      <c r="B111" s="3">
        <v>46304</v>
      </c>
      <c r="C111" s="4" t="s">
        <v>412</v>
      </c>
      <c r="D111" s="4"/>
      <c r="E111" s="4" t="s">
        <v>261</v>
      </c>
      <c r="F111" s="4"/>
      <c r="G111" s="5">
        <v>11.99</v>
      </c>
      <c r="H111" s="6">
        <v>504</v>
      </c>
      <c r="I111" s="6">
        <v>0</v>
      </c>
      <c r="J111" s="6">
        <v>24</v>
      </c>
      <c r="K111" s="6">
        <v>24</v>
      </c>
      <c r="L111" s="7">
        <v>273.76</v>
      </c>
      <c r="M111" s="7">
        <v>273.76</v>
      </c>
      <c r="N111" s="6">
        <v>0</v>
      </c>
      <c r="O111" s="7">
        <v>0</v>
      </c>
      <c r="P111" s="6">
        <v>0</v>
      </c>
      <c r="Q111" s="6">
        <v>0</v>
      </c>
      <c r="R111" s="7">
        <v>0</v>
      </c>
      <c r="S111" s="6">
        <v>0</v>
      </c>
      <c r="T111" s="7">
        <v>11.41</v>
      </c>
      <c r="U111" s="8">
        <v>0.4</v>
      </c>
      <c r="V111" s="4"/>
      <c r="W111" s="4"/>
      <c r="X111" s="6">
        <v>0</v>
      </c>
      <c r="Y111" s="9">
        <v>0</v>
      </c>
      <c r="Z111" s="8">
        <v>4.4</v>
      </c>
      <c r="AA111" s="6">
        <v>30</v>
      </c>
      <c r="AB111" s="9">
        <v>0</v>
      </c>
      <c r="AC111" s="7">
        <v>0</v>
      </c>
      <c r="AD111" s="7">
        <v>48.74</v>
      </c>
      <c r="AE111" s="9">
        <v>0.1983</v>
      </c>
      <c r="AF111" s="9">
        <v>0.7515</v>
      </c>
      <c r="AG111" s="6">
        <v>0</v>
      </c>
      <c r="AH111" s="9">
        <v>0</v>
      </c>
      <c r="AI111" s="6">
        <v>41</v>
      </c>
      <c r="AJ111" s="6">
        <v>91</v>
      </c>
      <c r="AK111" s="6">
        <v>132</v>
      </c>
      <c r="AL111" s="6">
        <v>56</v>
      </c>
      <c r="AM111" s="6">
        <v>119</v>
      </c>
      <c r="AN111" s="6">
        <v>175</v>
      </c>
      <c r="AO111" s="9">
        <v>1</v>
      </c>
      <c r="AP111" s="9">
        <v>0.1818</v>
      </c>
      <c r="AQ111" s="9">
        <v>0.1818</v>
      </c>
      <c r="AR111" s="4"/>
      <c r="AS111" s="9">
        <v>0</v>
      </c>
      <c r="AT111" s="7">
        <v>0</v>
      </c>
      <c r="AU111" s="10">
        <v>0</v>
      </c>
      <c r="AV111" s="9">
        <v>0</v>
      </c>
      <c r="AW111" s="9">
        <v>0</v>
      </c>
      <c r="AX111" s="9">
        <v>0</v>
      </c>
      <c r="AY111" s="4"/>
      <c r="AZ111" s="7">
        <v>0</v>
      </c>
      <c r="BA111" s="7">
        <v>0</v>
      </c>
      <c r="BB111" s="6">
        <v>0</v>
      </c>
      <c r="BC111" s="9">
        <v>0</v>
      </c>
      <c r="BD111" s="9">
        <v>0</v>
      </c>
      <c r="BE111" s="6">
        <v>0</v>
      </c>
      <c r="BF111" s="6">
        <v>0</v>
      </c>
      <c r="BG111" s="4"/>
    </row>
    <row r="112" spans="1:59">
      <c r="A112" t="str">
        <f t="shared" si="1"/>
        <v>46305XXXX-222</v>
      </c>
      <c r="B112" s="3">
        <v>46305</v>
      </c>
      <c r="C112" s="4" t="s">
        <v>412</v>
      </c>
      <c r="D112" s="4"/>
      <c r="E112" s="4" t="s">
        <v>261</v>
      </c>
      <c r="F112" s="4"/>
      <c r="G112" s="5">
        <v>9.99</v>
      </c>
      <c r="H112" s="6">
        <v>471</v>
      </c>
      <c r="I112" s="6">
        <v>0</v>
      </c>
      <c r="J112" s="6">
        <v>18</v>
      </c>
      <c r="K112" s="6">
        <v>18</v>
      </c>
      <c r="L112" s="7">
        <v>179.82</v>
      </c>
      <c r="M112" s="7">
        <v>169.27</v>
      </c>
      <c r="N112" s="6">
        <v>0</v>
      </c>
      <c r="O112" s="7">
        <v>0</v>
      </c>
      <c r="P112" s="6">
        <v>0</v>
      </c>
      <c r="Q112" s="6">
        <v>0</v>
      </c>
      <c r="R112" s="7">
        <v>0</v>
      </c>
      <c r="S112" s="6">
        <v>0</v>
      </c>
      <c r="T112" s="7">
        <v>9.4</v>
      </c>
      <c r="U112" s="8">
        <v>0.3</v>
      </c>
      <c r="V112" s="4"/>
      <c r="W112" s="4"/>
      <c r="X112" s="6">
        <v>1</v>
      </c>
      <c r="Y112" s="9">
        <v>0.0556</v>
      </c>
      <c r="Z112" s="8">
        <v>4.4</v>
      </c>
      <c r="AA112" s="6">
        <v>33</v>
      </c>
      <c r="AB112" s="9">
        <v>0</v>
      </c>
      <c r="AC112" s="7">
        <v>0</v>
      </c>
      <c r="AD112" s="7">
        <v>20.23</v>
      </c>
      <c r="AE112" s="9">
        <v>0.0686</v>
      </c>
      <c r="AF112" s="9">
        <v>0.1911</v>
      </c>
      <c r="AG112" s="6">
        <v>1</v>
      </c>
      <c r="AH112" s="9">
        <v>0.0556</v>
      </c>
      <c r="AI112" s="6">
        <v>57</v>
      </c>
      <c r="AJ112" s="6">
        <v>111</v>
      </c>
      <c r="AK112" s="6">
        <v>168</v>
      </c>
      <c r="AL112" s="6">
        <v>69</v>
      </c>
      <c r="AM112" s="6">
        <v>133</v>
      </c>
      <c r="AN112" s="6">
        <v>202</v>
      </c>
      <c r="AO112" s="9">
        <v>1</v>
      </c>
      <c r="AP112" s="9">
        <v>0.1071</v>
      </c>
      <c r="AQ112" s="9">
        <v>0.1071</v>
      </c>
      <c r="AR112" s="7">
        <v>0.85</v>
      </c>
      <c r="AS112" s="9">
        <v>0.0113</v>
      </c>
      <c r="AT112" s="7">
        <v>-6.8</v>
      </c>
      <c r="AU112" s="10">
        <v>1.47</v>
      </c>
      <c r="AV112" s="9">
        <v>0.6807</v>
      </c>
      <c r="AW112" s="9">
        <v>0.0378</v>
      </c>
      <c r="AX112" s="9">
        <v>0.0556</v>
      </c>
      <c r="AY112" s="7">
        <v>3.4</v>
      </c>
      <c r="AZ112" s="7">
        <v>9.6</v>
      </c>
      <c r="BA112" s="7">
        <v>9.99</v>
      </c>
      <c r="BB112" s="6">
        <v>2</v>
      </c>
      <c r="BC112" s="9">
        <v>0.1111</v>
      </c>
      <c r="BD112" s="9">
        <v>0.25</v>
      </c>
      <c r="BE112" s="6">
        <v>708</v>
      </c>
      <c r="BF112" s="6">
        <v>8</v>
      </c>
      <c r="BG112" s="4"/>
    </row>
    <row r="113" spans="1:59">
      <c r="A113" t="str">
        <f t="shared" si="1"/>
        <v>46306XXXX-222</v>
      </c>
      <c r="B113" s="3">
        <v>46306</v>
      </c>
      <c r="C113" s="4" t="s">
        <v>412</v>
      </c>
      <c r="D113" s="4"/>
      <c r="E113" s="4" t="s">
        <v>261</v>
      </c>
      <c r="F113" s="4"/>
      <c r="G113" s="5">
        <v>9.99</v>
      </c>
      <c r="H113" s="6">
        <v>444</v>
      </c>
      <c r="I113" s="6">
        <v>0</v>
      </c>
      <c r="J113" s="6">
        <v>38</v>
      </c>
      <c r="K113" s="6">
        <v>38</v>
      </c>
      <c r="L113" s="7">
        <v>379.62</v>
      </c>
      <c r="M113" s="7">
        <v>358.52</v>
      </c>
      <c r="N113" s="6">
        <v>5</v>
      </c>
      <c r="O113" s="7">
        <v>49.95</v>
      </c>
      <c r="P113" s="6">
        <v>5</v>
      </c>
      <c r="Q113" s="6">
        <v>0</v>
      </c>
      <c r="R113" s="7">
        <v>0</v>
      </c>
      <c r="S113" s="6">
        <v>0</v>
      </c>
      <c r="T113" s="7">
        <v>9.43</v>
      </c>
      <c r="U113" s="8">
        <v>0.7</v>
      </c>
      <c r="V113" s="4"/>
      <c r="W113" s="4"/>
      <c r="X113" s="6">
        <v>2</v>
      </c>
      <c r="Y113" s="9">
        <v>0.0526</v>
      </c>
      <c r="Z113" s="8">
        <v>4.4</v>
      </c>
      <c r="AA113" s="6">
        <v>33</v>
      </c>
      <c r="AB113" s="9">
        <v>0</v>
      </c>
      <c r="AC113" s="7">
        <v>0</v>
      </c>
      <c r="AD113" s="7">
        <v>-12.84</v>
      </c>
      <c r="AE113" s="9">
        <v>-0.0409</v>
      </c>
      <c r="AF113" s="9">
        <v>0.1297</v>
      </c>
      <c r="AG113" s="6">
        <v>1</v>
      </c>
      <c r="AH113" s="9">
        <v>0.0263</v>
      </c>
      <c r="AI113" s="6">
        <v>62</v>
      </c>
      <c r="AJ113" s="6">
        <v>96</v>
      </c>
      <c r="AK113" s="6">
        <v>158</v>
      </c>
      <c r="AL113" s="6">
        <v>94</v>
      </c>
      <c r="AM113" s="6">
        <v>132</v>
      </c>
      <c r="AN113" s="6">
        <v>226</v>
      </c>
      <c r="AO113" s="9">
        <v>0.99</v>
      </c>
      <c r="AP113" s="9">
        <v>0.2405</v>
      </c>
      <c r="AQ113" s="9">
        <v>0.2405</v>
      </c>
      <c r="AR113" s="7">
        <v>0.85</v>
      </c>
      <c r="AS113" s="9">
        <v>0.0057</v>
      </c>
      <c r="AT113" s="7">
        <v>-27.19</v>
      </c>
      <c r="AU113" s="10">
        <v>0.37</v>
      </c>
      <c r="AV113" s="9">
        <v>2.7217</v>
      </c>
      <c r="AW113" s="9">
        <v>0.0716</v>
      </c>
      <c r="AX113" s="9">
        <v>0.0263</v>
      </c>
      <c r="AY113" s="7">
        <v>27.19</v>
      </c>
      <c r="AZ113" s="7">
        <v>4.84</v>
      </c>
      <c r="BA113" s="7">
        <v>9.99</v>
      </c>
      <c r="BB113" s="6">
        <v>1</v>
      </c>
      <c r="BC113" s="9">
        <v>0.0263</v>
      </c>
      <c r="BD113" s="9">
        <v>0.0312</v>
      </c>
      <c r="BE113" s="6">
        <v>5618</v>
      </c>
      <c r="BF113" s="6">
        <v>32</v>
      </c>
      <c r="BG113" s="4"/>
    </row>
    <row r="114" spans="1:59">
      <c r="A114" t="str">
        <f t="shared" si="1"/>
        <v>46307XXXX-222</v>
      </c>
      <c r="B114" s="3">
        <v>46307</v>
      </c>
      <c r="C114" s="4" t="s">
        <v>412</v>
      </c>
      <c r="D114" s="4"/>
      <c r="E114" s="4" t="s">
        <v>261</v>
      </c>
      <c r="F114" s="4"/>
      <c r="G114" s="5">
        <v>9.99</v>
      </c>
      <c r="H114" s="6">
        <v>417</v>
      </c>
      <c r="I114" s="6">
        <v>0</v>
      </c>
      <c r="J114" s="6">
        <v>34</v>
      </c>
      <c r="K114" s="6">
        <v>33</v>
      </c>
      <c r="L114" s="7">
        <v>329.67</v>
      </c>
      <c r="M114" s="7">
        <v>306.81</v>
      </c>
      <c r="N114" s="6">
        <v>2</v>
      </c>
      <c r="O114" s="7">
        <v>19.98</v>
      </c>
      <c r="P114" s="6">
        <v>2</v>
      </c>
      <c r="Q114" s="6">
        <v>0</v>
      </c>
      <c r="R114" s="7">
        <v>0</v>
      </c>
      <c r="S114" s="6">
        <v>0</v>
      </c>
      <c r="T114" s="7">
        <v>9.02</v>
      </c>
      <c r="U114" s="8">
        <v>0.6</v>
      </c>
      <c r="V114" s="4"/>
      <c r="W114" s="4"/>
      <c r="X114" s="6">
        <v>2</v>
      </c>
      <c r="Y114" s="9">
        <v>0.0588</v>
      </c>
      <c r="Z114" s="8">
        <v>4.4</v>
      </c>
      <c r="AA114" s="6">
        <v>33</v>
      </c>
      <c r="AB114" s="9">
        <v>0</v>
      </c>
      <c r="AC114" s="7">
        <v>0</v>
      </c>
      <c r="AD114" s="7">
        <v>-47.36</v>
      </c>
      <c r="AE114" s="9">
        <v>-0.173</v>
      </c>
      <c r="AF114" s="9">
        <v>0.1019</v>
      </c>
      <c r="AG114" s="6">
        <v>1</v>
      </c>
      <c r="AH114" s="9">
        <v>0.0294</v>
      </c>
      <c r="AI114" s="6">
        <v>40</v>
      </c>
      <c r="AJ114" s="6">
        <v>101</v>
      </c>
      <c r="AK114" s="6">
        <v>141</v>
      </c>
      <c r="AL114" s="6">
        <v>48</v>
      </c>
      <c r="AM114" s="6">
        <v>128</v>
      </c>
      <c r="AN114" s="6">
        <v>176</v>
      </c>
      <c r="AO114" s="9">
        <v>1</v>
      </c>
      <c r="AP114" s="9">
        <v>0.234</v>
      </c>
      <c r="AQ114" s="9">
        <v>0.2411</v>
      </c>
      <c r="AR114" s="7">
        <v>0.84</v>
      </c>
      <c r="AS114" s="9">
        <v>0.0073</v>
      </c>
      <c r="AT114" s="7">
        <v>-30.18</v>
      </c>
      <c r="AU114" s="10">
        <v>2.85</v>
      </c>
      <c r="AV114" s="9">
        <v>0.3512</v>
      </c>
      <c r="AW114" s="9">
        <v>0.0915</v>
      </c>
      <c r="AX114" s="9">
        <v>0.2607</v>
      </c>
      <c r="AY114" s="7">
        <v>4.31</v>
      </c>
      <c r="AZ114" s="7">
        <v>6.1</v>
      </c>
      <c r="BA114" s="7">
        <v>85.93</v>
      </c>
      <c r="BB114" s="6">
        <v>7</v>
      </c>
      <c r="BC114" s="9">
        <v>0.2121</v>
      </c>
      <c r="BD114" s="9">
        <v>0.1944</v>
      </c>
      <c r="BE114" s="6">
        <v>4948</v>
      </c>
      <c r="BF114" s="6">
        <v>36</v>
      </c>
      <c r="BG114" s="4"/>
    </row>
    <row r="115" spans="1:59">
      <c r="A115" t="str">
        <f t="shared" si="1"/>
        <v>46308XXXX-222</v>
      </c>
      <c r="B115" s="3">
        <v>46308</v>
      </c>
      <c r="C115" s="4" t="s">
        <v>412</v>
      </c>
      <c r="D115" s="4"/>
      <c r="E115" s="4" t="s">
        <v>261</v>
      </c>
      <c r="F115" s="4"/>
      <c r="G115" s="5">
        <v>9.99</v>
      </c>
      <c r="H115" s="6">
        <v>385</v>
      </c>
      <c r="I115" s="6">
        <v>0</v>
      </c>
      <c r="J115" s="6">
        <v>27</v>
      </c>
      <c r="K115" s="6">
        <v>23</v>
      </c>
      <c r="L115" s="7">
        <v>269.73</v>
      </c>
      <c r="M115" s="7">
        <v>260.94</v>
      </c>
      <c r="N115" s="6">
        <v>3</v>
      </c>
      <c r="O115" s="7">
        <v>29.97</v>
      </c>
      <c r="P115" s="6">
        <v>1</v>
      </c>
      <c r="Q115" s="6">
        <v>0</v>
      </c>
      <c r="R115" s="7">
        <v>0</v>
      </c>
      <c r="S115" s="6">
        <v>0</v>
      </c>
      <c r="T115" s="7">
        <v>9.66</v>
      </c>
      <c r="U115" s="8">
        <v>0.5</v>
      </c>
      <c r="V115" s="4"/>
      <c r="W115" s="4"/>
      <c r="X115" s="6">
        <v>1</v>
      </c>
      <c r="Y115" s="9">
        <v>0.037</v>
      </c>
      <c r="Z115" s="8">
        <v>4.4</v>
      </c>
      <c r="AA115" s="6">
        <v>36</v>
      </c>
      <c r="AB115" s="9">
        <v>0</v>
      </c>
      <c r="AC115" s="7">
        <v>0</v>
      </c>
      <c r="AD115" s="7">
        <v>-20.93</v>
      </c>
      <c r="AE115" s="9">
        <v>-0.0771</v>
      </c>
      <c r="AF115" s="9">
        <v>1.0938</v>
      </c>
      <c r="AG115" s="6">
        <v>0</v>
      </c>
      <c r="AH115" s="9">
        <v>0</v>
      </c>
      <c r="AI115" s="6">
        <v>61</v>
      </c>
      <c r="AJ115" s="6">
        <v>81</v>
      </c>
      <c r="AK115" s="6">
        <v>142</v>
      </c>
      <c r="AL115" s="6">
        <v>81</v>
      </c>
      <c r="AM115" s="6">
        <v>102</v>
      </c>
      <c r="AN115" s="6">
        <v>183</v>
      </c>
      <c r="AO115" s="9">
        <v>0.99</v>
      </c>
      <c r="AP115" s="9">
        <v>0.162</v>
      </c>
      <c r="AQ115" s="9">
        <v>0.1901</v>
      </c>
      <c r="AR115" s="7">
        <v>0.78</v>
      </c>
      <c r="AS115" s="9">
        <v>0.0049</v>
      </c>
      <c r="AT115" s="7">
        <v>-28.91</v>
      </c>
      <c r="AU115" s="10">
        <v>2.7</v>
      </c>
      <c r="AV115" s="9">
        <v>0.371</v>
      </c>
      <c r="AW115" s="9">
        <v>0.1072</v>
      </c>
      <c r="AX115" s="9">
        <v>0.2889</v>
      </c>
      <c r="AY115" s="7">
        <v>3.61</v>
      </c>
      <c r="AZ115" s="7">
        <v>3.81</v>
      </c>
      <c r="BA115" s="7">
        <v>77.92</v>
      </c>
      <c r="BB115" s="6">
        <v>8</v>
      </c>
      <c r="BC115" s="9">
        <v>0.3478</v>
      </c>
      <c r="BD115" s="9">
        <v>0.2162</v>
      </c>
      <c r="BE115" s="6">
        <v>7592</v>
      </c>
      <c r="BF115" s="6">
        <v>37</v>
      </c>
      <c r="BG115" s="4"/>
    </row>
    <row r="116" spans="1:59">
      <c r="A116" t="str">
        <f t="shared" si="1"/>
        <v>46309XXXX-222</v>
      </c>
      <c r="B116" s="3">
        <v>46309</v>
      </c>
      <c r="C116" s="4" t="s">
        <v>412</v>
      </c>
      <c r="D116" s="4"/>
      <c r="E116" s="4" t="s">
        <v>261</v>
      </c>
      <c r="F116" s="4"/>
      <c r="G116" s="5">
        <v>9.99</v>
      </c>
      <c r="H116" s="6">
        <v>355</v>
      </c>
      <c r="I116" s="6">
        <v>0</v>
      </c>
      <c r="J116" s="6">
        <v>28</v>
      </c>
      <c r="K116" s="6">
        <v>26</v>
      </c>
      <c r="L116" s="7">
        <v>279.72</v>
      </c>
      <c r="M116" s="7">
        <v>279.72</v>
      </c>
      <c r="N116" s="6">
        <v>1</v>
      </c>
      <c r="O116" s="7">
        <v>9.99</v>
      </c>
      <c r="P116" s="6">
        <v>1</v>
      </c>
      <c r="Q116" s="6">
        <v>0</v>
      </c>
      <c r="R116" s="7">
        <v>0</v>
      </c>
      <c r="S116" s="6">
        <v>0</v>
      </c>
      <c r="T116" s="7">
        <v>9.99</v>
      </c>
      <c r="U116" s="8">
        <v>0.5</v>
      </c>
      <c r="V116" s="4"/>
      <c r="W116" s="4"/>
      <c r="X116" s="6">
        <v>1</v>
      </c>
      <c r="Y116" s="9">
        <v>0.0357</v>
      </c>
      <c r="Z116" s="8">
        <v>4.4</v>
      </c>
      <c r="AA116" s="6">
        <v>36</v>
      </c>
      <c r="AB116" s="9">
        <v>0</v>
      </c>
      <c r="AC116" s="7">
        <v>0</v>
      </c>
      <c r="AD116" s="7">
        <v>-36.52</v>
      </c>
      <c r="AE116" s="9">
        <v>-0.7312</v>
      </c>
      <c r="AF116" s="9">
        <v>2.1829</v>
      </c>
      <c r="AG116" s="6">
        <v>0</v>
      </c>
      <c r="AH116" s="9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4"/>
      <c r="AP116" s="9">
        <v>0</v>
      </c>
      <c r="AQ116" s="9">
        <v>0</v>
      </c>
      <c r="AR116" s="7">
        <v>0.98</v>
      </c>
      <c r="AS116" s="9">
        <v>0.0035</v>
      </c>
      <c r="AT116" s="7">
        <v>-33.32</v>
      </c>
      <c r="AU116" s="10">
        <v>1.5</v>
      </c>
      <c r="AV116" s="9">
        <v>0.6671</v>
      </c>
      <c r="AW116" s="9">
        <v>0.1191</v>
      </c>
      <c r="AX116" s="9">
        <v>0.1786</v>
      </c>
      <c r="AY116" s="7">
        <v>6.66</v>
      </c>
      <c r="AZ116" s="7">
        <v>3.38</v>
      </c>
      <c r="BA116" s="7">
        <v>49.95</v>
      </c>
      <c r="BB116" s="6">
        <v>5</v>
      </c>
      <c r="BC116" s="9">
        <v>0.1923</v>
      </c>
      <c r="BD116" s="9">
        <v>0.1471</v>
      </c>
      <c r="BE116" s="6">
        <v>9844</v>
      </c>
      <c r="BF116" s="6">
        <v>34</v>
      </c>
      <c r="BG116" s="4"/>
    </row>
    <row r="117" spans="1:59">
      <c r="A117" t="str">
        <f t="shared" si="1"/>
        <v>46310XXXX-222</v>
      </c>
      <c r="B117" s="3">
        <v>46310</v>
      </c>
      <c r="C117" s="4" t="s">
        <v>412</v>
      </c>
      <c r="D117" s="4"/>
      <c r="E117" s="4" t="s">
        <v>261</v>
      </c>
      <c r="F117" s="4"/>
      <c r="G117" s="5">
        <v>9.99</v>
      </c>
      <c r="H117" s="6">
        <v>342</v>
      </c>
      <c r="I117" s="6">
        <v>0</v>
      </c>
      <c r="J117" s="6">
        <v>0</v>
      </c>
      <c r="K117" s="6">
        <v>0</v>
      </c>
      <c r="L117" s="7">
        <v>0</v>
      </c>
      <c r="M117" s="7">
        <v>0</v>
      </c>
      <c r="N117" s="6">
        <v>0</v>
      </c>
      <c r="O117" s="7">
        <v>0</v>
      </c>
      <c r="P117" s="6">
        <v>0</v>
      </c>
      <c r="Q117" s="6">
        <v>0</v>
      </c>
      <c r="R117" s="7">
        <v>0</v>
      </c>
      <c r="S117" s="6">
        <v>0</v>
      </c>
      <c r="T117" s="4"/>
      <c r="U117" s="8">
        <v>0</v>
      </c>
      <c r="V117" s="4"/>
      <c r="W117" s="4"/>
      <c r="X117" s="6">
        <v>0</v>
      </c>
      <c r="Y117" s="9">
        <v>0</v>
      </c>
      <c r="Z117" s="8">
        <v>4.4</v>
      </c>
      <c r="AA117" s="6">
        <v>36</v>
      </c>
      <c r="AB117" s="9">
        <v>0</v>
      </c>
      <c r="AC117" s="7">
        <v>0</v>
      </c>
      <c r="AD117" s="7">
        <v>0</v>
      </c>
      <c r="AE117" s="9">
        <v>0</v>
      </c>
      <c r="AF117" s="9">
        <v>0</v>
      </c>
      <c r="AG117" s="6">
        <v>0</v>
      </c>
      <c r="AH117" s="9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4"/>
      <c r="AP117" s="9">
        <v>0</v>
      </c>
      <c r="AQ117" s="9">
        <v>0</v>
      </c>
      <c r="AR117" s="4"/>
      <c r="AS117" s="9">
        <v>0</v>
      </c>
      <c r="AT117" s="7">
        <v>0</v>
      </c>
      <c r="AU117" s="10">
        <v>0</v>
      </c>
      <c r="AV117" s="9">
        <v>0</v>
      </c>
      <c r="AW117" s="9">
        <v>0</v>
      </c>
      <c r="AX117" s="9">
        <v>0</v>
      </c>
      <c r="AY117" s="4"/>
      <c r="AZ117" s="7">
        <v>0</v>
      </c>
      <c r="BA117" s="7">
        <v>0</v>
      </c>
      <c r="BB117" s="6">
        <v>0</v>
      </c>
      <c r="BC117" s="9">
        <v>0</v>
      </c>
      <c r="BD117" s="9">
        <v>0</v>
      </c>
      <c r="BE117" s="6">
        <v>0</v>
      </c>
      <c r="BF117" s="6">
        <v>0</v>
      </c>
      <c r="BG117" s="4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��ꁨR^JT ���{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WWO_wpscloud_20221013151327-476f312e53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项目进度</vt:lpstr>
      <vt:lpstr>设计进度安排</vt:lpstr>
      <vt:lpstr>测评</vt:lpstr>
      <vt:lpstr>站外营销</vt:lpstr>
      <vt:lpstr>1.1核心竞争对手调研</vt:lpstr>
      <vt:lpstr>1.2 产品定价</vt:lpstr>
      <vt:lpstr>2.1 销售和库存规划</vt:lpstr>
      <vt:lpstr>2.2 运营策略</vt:lpstr>
      <vt:lpstr> 3.1 ASIN数据</vt:lpstr>
      <vt:lpstr>3.2 关键词数据</vt:lpstr>
      <vt:lpstr>3.3 广告数据</vt:lpstr>
      <vt:lpstr>4.1 关键词原始数据</vt:lpstr>
      <vt:lpstr>4.2 产品详情原始数据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86131</dc:creator>
  <cp:lastModifiedBy>ouyan</cp:lastModifiedBy>
  <dcterms:created xsi:type="dcterms:W3CDTF">2019-11-15T22:53:00Z</dcterms:created>
  <dcterms:modified xsi:type="dcterms:W3CDTF">2026-03-31T07:08:44Z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D5D87B004E9549C387B0A0409A2FE763_13</vt:lpwstr>
  </property>
  <property fmtid="{D5CDD505-2E9C-101B-9397-08002B2CF9AE}" pid="4" name="CalculationRule">
    <vt:i4>0</vt:i4>
  </property>
</Properties>
</file>