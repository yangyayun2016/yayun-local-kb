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activeTab="2"/>
  </bookViews>
  <sheets>
    <sheet name="产品信息" sheetId="1" r:id="rId1"/>
    <sheet name="Walmart核算" sheetId="2" r:id="rId2"/>
    <sheet name="2026欧洲listing SOP流程" sheetId="3" r:id="rId3"/>
    <sheet name="美国SC毛利测算" sheetId="4" r:id="rId4"/>
    <sheet name="美国VC毛利测算" sheetId="5" r:id="rId5"/>
    <sheet name="欧洲SC毛利测算" sheetId="6" r:id="rId6"/>
    <sheet name="欧洲VC毛利测算" sheetId="7" r:id="rId7"/>
    <sheet name="活动排期" sheetId="8" r:id="rId8"/>
    <sheet name="发货物流价格" sheetId="9" r:id="rId9"/>
    <sheet name="除螨仪-采购计划" sheetId="10" r:id="rId10"/>
    <sheet name="AP100A-采购计划" sheetId="11" r:id="rId11"/>
    <sheet name="39in1-采购计划" sheetId="12" r:id="rId12"/>
    <sheet name="TK视频链接" sheetId="13" r:id="rId13"/>
    <sheet name="佣金" sheetId="14" r:id="rId14"/>
    <sheet name="美国DI毛利测算" sheetId="15" r:id="rId15"/>
    <sheet name="欧洲DI毛利测算" sheetId="16" r:id="rId16"/>
    <sheet name="美国DF上架测算" sheetId="17" r:id="rId17"/>
  </sheets>
  <definedNames>
    <definedName name="_xlnm._FilterDatabase" localSheetId="0" hidden="1">产品信息!$A$1:$Y$238</definedName>
    <definedName name="_xlnm._FilterDatabase" localSheetId="8" hidden="1">发货物流价格!$A$1:$T$200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1780124631850521</author>
  </authors>
  <commentList>
    <comment ref="B2" authorId="0">
      <text>
        <r>
          <rPr>
            <sz val="9"/>
            <color rgb="FF000000"/>
            <rFont val="宋体"/>
            <scheme val="minor"/>
            <charset val="0"/>
          </rPr>
          <t>DU-8OG7-EMPI</t>
        </r>
      </text>
    </comment>
  </commentList>
</comments>
</file>

<file path=xl/comments2.xml><?xml version="1.0" encoding="utf-8"?>
<comments xmlns="http://schemas.openxmlformats.org/spreadsheetml/2006/main">
  <authors>
    <author>1780124631913076</author>
  </authors>
  <commentList>
    <comment ref="E1" authorId="0">
      <text>
        <r>
          <rPr>
            <sz val="9"/>
            <color rgb="FF000000"/>
            <rFont val="宋体"/>
            <scheme val="minor"/>
            <charset val="0"/>
          </rPr>
          <t>战略款
 (目标是小类头部,以私模或产品本身有绝对的 优势和体量为主,日销150单以上,利润10%-15%,备货不能断货)
主推款
 (小众化/蓝海产品,毛利高,季节性产品,非持续性发展产品,需要快进快出的产品,日销30以上,利润25%以上(空派至少15%以上),高毛利的尽量少断货,季节产品以快进快出为主;)
品牌 
利润款
季节款
主推款
基础款</t>
        </r>
      </text>
    </comment>
    <comment ref="K1" authorId="0">
      <text>
        <r>
          <rPr>
            <sz val="9"/>
            <color rgb="FF000000"/>
            <rFont val="宋体"/>
            <scheme val="minor"/>
            <charset val="0"/>
          </rPr>
          <t>pending待定</t>
        </r>
      </text>
    </comment>
    <comment ref="L1" authorId="0">
      <text>
        <r>
          <rPr>
            <sz val="9"/>
            <color rgb="FF000000"/>
            <rFont val="宋体"/>
            <scheme val="minor"/>
            <charset val="0"/>
          </rPr>
          <t>环节1:种子链接布局：
1.为了链接的冷启动准备，提前一个月  发货给种子链接，（5-10个链接，每个2-3个 vine）可以空派，一定要和主推链接错开，立项之后和开发沟通最优的解决方案；
2.做种子链接的时候考虑是否要做网红视频，和自拍视频，可以一起规划样品。
3.一个产品可以给10-50个产品做种子链接，链接可以是5-25条，具体根据类目评论或者参考竞对的评论布局；
4.为推广前期维护评论做准备；
5.新品评论节奏安排
6.测评</t>
        </r>
      </text>
    </comment>
    <comment ref="M1" authorId="0">
      <text>
        <r>
          <rPr>
            <sz val="9"/>
            <color rgb="FF000000"/>
            <rFont val="宋体"/>
            <scheme val="minor"/>
            <charset val="0"/>
          </rPr>
          <t>竞对信息收集-发货前任务   项目跟进表完整
1. 竞对的评论怎么布局的，时间节奏是什么样的？
2. 站外是否有规划，价格折扣比是多少 效果如何？
3. 秒杀活动效果如何？对应BD效果的显著性如何
4. 广告节奏是怎样的，怎么配合的？
5.广告ROI,竞价 CPC， 单个广告成本CPA ，
ACOS分析 TACOS分析</t>
        </r>
      </text>
    </comment>
    <comment ref="N1" authorId="0">
      <text>
        <r>
          <rPr>
            <sz val="9"/>
            <color rgb="FF000000"/>
            <rFont val="宋体"/>
            <scheme val="minor"/>
            <charset val="0"/>
          </rPr>
          <t xml:space="preserve">
多变体和其他站点布局 情况  -发货前任务:
1.判断产品是否能多变体售卖;
2.北美考虑加拿大站点是否布局;</t>
        </r>
      </text>
    </comment>
    <comment ref="O1" authorId="0">
      <text>
        <r>
          <rPr>
            <sz val="9"/>
            <color rgb="FF000000"/>
            <rFont val="宋体"/>
            <scheme val="minor"/>
            <charset val="0"/>
          </rPr>
          <t xml:space="preserve">建立关键词库- 上架前任务:
1. SIF  卖家精灵：关键词反查/关键词挖掘
2. Helium10:cerebro    H10 keepa PC 西柚找词 积目数据 ABA(自己asin放前面，然后选3-4个类目榜靠前且和自己产品同类型的竞品)下载下来汇总成全流量词表，筛选出评分8-10分相关度高的词
3. 后台ABA 报告：转化高的词
4. 高频词：QA/Review 板块
5. 直接方式：竞品标题及文案词 
6. SIF:竞品广告词 CPC广告架构分析
7. 亚马逊导航栏下拉关键词
8. 其它工具查词(基本大同小异)H10 keepa PC 西柚找词 积目数据
H10 keepa PC 西柚找词 积目数据
新品关键词优化路径：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
⑦ 关键词CPC情况（具体看是 在哪个类目下）
</t>
        </r>
      </text>
    </comment>
    <comment ref="P1" authorId="0">
      <text>
        <r>
          <rPr>
            <sz val="9"/>
            <color rgb="FF000000"/>
            <rFont val="宋体"/>
            <scheme val="minor"/>
            <charset val="0"/>
          </rPr>
          <t xml:space="preserve">
环节1:布局关键词收录布局 埋词技巧-上架前任务
创建链接务必按照以下标准，因为后期无法更改亚马逊的抓取数据
1. 做关键词收录布局，页面关键词出现频次大于3次，属于高频词；
2. 后台创链接发货时，就要注意权威链接和收录问题，写好完整标题，注意用空格-空格百分百收录；
3. 后台关键属性填全，不知道填的就填空格，保证不被跳过；
4. 标题，五点，QA和图片中埋词，使核心关键词成为高频词；
:5  “ - " 空 杠 空  百分百收录，IT思维运营</t>
        </r>
      </text>
    </comment>
    <comment ref="Q1" authorId="0">
      <text>
        <r>
          <rPr>
            <sz val="9"/>
            <color rgb="FF000000"/>
            <rFont val="宋体"/>
            <scheme val="minor"/>
            <charset val="0"/>
          </rPr>
          <t xml:space="preserve">
在线项目跟进表  listing 完成情况  -发货前任务
1.在立项之后；项目跟进表， 
2.表格中的定价表和目标表的更新；</t>
        </r>
      </text>
    </comment>
    <comment ref="T1" authorId="0">
      <text>
        <r>
          <rPr>
            <sz val="9"/>
            <color rgb="FF000000"/>
            <rFont val="宋体"/>
            <scheme val="minor"/>
            <charset val="0"/>
          </rPr>
          <t xml:space="preserve">
透明计划 布局情况  -发货前任务
根据商标TM/R标的状态来看是否需要做透明计划，在备货前就要考虑
透明计划SOP-ASIN注册+代码请求及下载+OPR开启启</t>
        </r>
      </text>
    </comment>
    <comment ref="W1" authorId="0">
      <text>
        <r>
          <rPr>
            <sz val="9"/>
            <color rgb="FF000000"/>
            <rFont val="宋体"/>
            <scheme val="minor"/>
            <charset val="0"/>
          </rPr>
          <t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X1" authorId="0">
      <text>
        <r>
          <rPr>
            <sz val="9"/>
            <color rgb="FF000000"/>
            <rFont val="宋体"/>
            <scheme val="minor"/>
            <charset val="0"/>
          </rPr>
          <t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AA1" authorId="0">
      <text>
        <r>
          <rPr>
            <sz val="9"/>
            <color rgb="FF000000"/>
            <rFont val="宋体"/>
            <scheme val="minor"/>
            <charset val="0"/>
          </rPr>
          <t xml:space="preserve">
时效：
空运15天 卡航30 铁路40 海运45</t>
        </r>
      </text>
    </comment>
    <comment ref="AC1" authorId="0">
      <text>
        <r>
          <rPr>
            <sz val="9"/>
            <color rgb="FF000000"/>
            <rFont val="宋体"/>
            <scheme val="minor"/>
            <charset val="0"/>
          </rPr>
          <t xml:space="preserve">
环节1:开发包材需求表-发货前任务
1. 由开发部门  提供需求表给设计，设计师自己主导设计，运营协助 检查修改确定最终版本
2. 提需求时，考虑产品包装说明书，是否印刷社媒二维码/售后落地页（可邀评）；
3. 同时需要配售后卡；</t>
        </r>
      </text>
    </comment>
    <comment ref="AE1" authorId="0">
      <text>
        <r>
          <rPr>
            <sz val="9"/>
            <color rgb="FF000000"/>
            <rFont val="宋体"/>
            <scheme val="minor"/>
            <charset val="0"/>
          </rPr>
          <t xml:space="preserve">
环节2:布局直评-发货后
每个ASIN可上10条以内，质保7天到30天，提交后7-10天左右显示，提交10条后会提示限制留直评，此时自己和竞对都无法再给这条链接上直评（防止前期被竞对上直评差评）；</t>
        </r>
      </text>
    </comment>
    <comment ref="AF1" authorId="0">
      <text>
        <r>
          <rPr>
            <sz val="9"/>
            <color rgb="FF000000"/>
            <rFont val="宋体"/>
            <scheme val="minor"/>
            <charset val="0"/>
          </rPr>
          <t xml:space="preserve">
环节2:运营产品图片需求表--发货后  模板 ：  xx-图片需求表-时间
1.在新品出货一周后务必完结任务
2.注意给到需要我们需要打标签关键词，方便美工填写图片属性中做埋词
3. 运营根据竞对的信息，把对方做的比较好的点 提供给设计</t>
        </r>
      </text>
    </comment>
    <comment ref="AY1" authorId="0">
      <text>
        <r>
          <rPr>
            <sz val="9"/>
            <color rgb="FF000000"/>
            <rFont val="宋体"/>
            <scheme val="minor"/>
            <charset val="0"/>
          </rPr>
          <t xml:space="preserve">
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AZ1" authorId="0">
      <text>
        <r>
          <rPr>
            <sz val="9"/>
            <color rgb="FF000000"/>
            <rFont val="宋体"/>
            <scheme val="minor"/>
            <charset val="0"/>
          </rPr>
          <t>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BA1" authorId="0">
      <text>
        <r>
          <rPr>
            <sz val="9"/>
            <color rgb="FF000000"/>
            <rFont val="宋体"/>
            <scheme val="minor"/>
            <charset val="0"/>
          </rPr>
          <t xml:space="preserve">
环节2:网红视频-上架前任务
需要提前给到剧本，让网红按剧本进行产品介绍
需要提前给到脚本，让网红按脚本进行产品介绍  
红人合作拍摄视频流程及标准</t>
        </r>
      </text>
    </comment>
    <comment ref="BC1" authorId="0">
      <text>
        <r>
          <rPr>
            <sz val="9"/>
            <color rgb="FF000000"/>
            <rFont val="宋体"/>
            <scheme val="minor"/>
            <charset val="0"/>
          </rPr>
          <t xml:space="preserve">
品牌故事 -上架前任务
一个账号可以两个品牌故事线。
协调好情感故事与专业能力协调，需要有类似十几年专业生产经验、几位专业工程师设计开发等</t>
        </r>
      </text>
    </comment>
    <comment ref="BD1" authorId="0">
      <text>
        <r>
          <rPr>
            <sz val="9"/>
            <color rgb="FF000000"/>
            <rFont val="宋体"/>
            <scheme val="minor"/>
            <charset val="0"/>
          </rPr>
          <t xml:space="preserve">
品牌旗舰店装修 -上架前任务
1.需要有合理夸张的数据图片，奠定客户信任基础
2.展示的产品必须是合理搭配，展示位给到主推款，不能出现停售产品
3.产品 风格 ， 品牌调性</t>
        </r>
      </text>
    </comment>
    <comment ref="BF1" authorId="0">
      <text>
        <r>
          <rPr>
            <sz val="9"/>
            <color rgb="FF000000"/>
            <rFont val="宋体"/>
            <scheme val="minor"/>
            <charset val="0"/>
          </rPr>
          <t>环节3:QA-上架后任务
1.参考竞对的评价和QA，站在买家的角度来提问题；
2.前期安排3-5条，找靠谱的服务商上；
3.QA埋标题五点图片中同样的高频词；
4. 测评与QA对接流程</t>
        </r>
      </text>
    </comment>
    <comment ref="BG1" authorId="0">
      <text>
        <r>
          <rPr>
            <sz val="9"/>
            <color rgb="FF000000"/>
            <rFont val="宋体"/>
            <scheme val="minor"/>
            <charset val="0"/>
          </rPr>
          <t xml:space="preserve">
很重要：SIF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H1" authorId="0">
      <text>
        <r>
          <rPr>
            <sz val="9"/>
            <color rgb="FF000000"/>
            <rFont val="宋体"/>
            <scheme val="minor"/>
            <charset val="0"/>
          </rPr>
          <t>检查产品属性填写完成度
Listing的属性必须全部填写（防被跟卖篡改信息和成人标记）
很重要：防止竞争对手 恶意差评，标记成人，篡改类目 节点，独立站上架listing，时间戳，投诉，做证据
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I1" authorId="0">
      <text>
        <r>
          <rPr>
            <sz val="9"/>
            <color rgb="FF000000"/>
            <rFont val="宋体"/>
            <scheme val="minor"/>
            <charset val="0"/>
          </rPr>
          <t>环节3:产品关联-上架后任务
1.   new model（手动添加）老带新需要注意2者价差设定，中文case不行就英语状态下绑定
2.   系统自动强关联（半手动）成本+配件必须关联上，且配件链接重点突出品牌正品概念。
3.   A+页面关联（手动添加）ASIN数据属性对比
4   一起购买 FBT
5.自动 广告  SD展示广告，流量位，防御+攻击策略
6.视频，主图5+视频以上，红人，联盟影响，影响者计划视频，QA  REVIEW视频布局</t>
        </r>
      </text>
    </comment>
    <comment ref="BJ1" authorId="0">
      <text>
        <r>
          <rPr>
            <sz val="9"/>
            <color rgb="FF000000"/>
            <rFont val="宋体"/>
            <scheme val="minor"/>
            <charset val="0"/>
          </rPr>
          <t xml:space="preserve">
环节3:划线价-激活listing思路
设置listing price高价，做高折扣，利用自己的买手号出第一单（不留评）有些类目需要3-5单最近30天内操作，收货之后调回原价，就会出现划线价；买手账号下单， 留评论；
步骤如下：
设置listing price高价，做高折扣，利用自己的买手号出第一单（不留评）有些类目需要3-5单最近30天内操作，收货之后调回原价，就会出现划线价；买手账号下单， 留评论；
设置高价，做高折扣，利用自己的买手号出第一单（不留评），收货之后调回原价，就会出现划线价；；
新品评论节奏安排 HX划线价  明信片 
注意事项 不用留评论</t>
        </r>
      </text>
    </comment>
    <comment ref="BN1" authorId="0">
      <text>
        <r>
          <rPr>
            <sz val="9"/>
            <color rgb="FF000000"/>
            <rFont val="宋体"/>
            <scheme val="minor"/>
            <charset val="0"/>
          </rPr>
          <t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O1" authorId="0">
      <text>
        <r>
          <rPr>
            <sz val="9"/>
            <color rgb="FF000000"/>
            <rFont val="宋体"/>
            <scheme val="minor"/>
            <charset val="0"/>
          </rPr>
          <t xml:space="preserve">环节3:站外辅助--推广中的配合
1.站外放单之前一定要有评论，保证转化率；
2.站外放单是配合五星评论的逐步完成和关键词上首页的；所以这个里面的时间节奏要把握好；
3.站外有站外的节奏，务必先规划站外计划表：3.站外有站外的节奏,务必先规划站外计划表:
 站外冷启动打收录方式推新品
xxx-项目跟进表-xxxx人-时间 
买手号下单
测评
</t>
        </r>
      </text>
    </comment>
    <comment ref="BP1" authorId="0">
      <text>
        <r>
          <rPr>
            <sz val="9"/>
            <color rgb="FF000000"/>
            <rFont val="宋体"/>
            <scheme val="minor"/>
            <charset val="0"/>
          </rPr>
          <t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Q1" authorId="0">
      <text>
        <r>
          <rPr>
            <sz val="9"/>
            <color rgb="FF000000"/>
            <rFont val="宋体"/>
            <scheme val="minor"/>
            <charset val="0"/>
          </rPr>
          <t>环节3:五星评论布局-推广前期准备
1. 一开售后--有节奏合理规划5-20个好评，以合并种子为主，实在不行真人测评同时还可以刷关键词排名；评论布局表
2.服务商补单
3. 开售后--万一被别人上差评的备用方案，可以提前准备好种子链接
新品评论节奏安排;
xxx-项目跟进表-xxxx人-时间
环节3:五星评论布局-推广前期准备
1. 一开售后--有节奏合理规划5-20个好评，以合并种子为主，实在不行真人测评同时还可以刷关键词排名；评论布局表
3. 开售后--万一被别人上差评的备用方案，可以提前准备好种子链接
新品评论节奏安排;
xxx-项目跟进表-xxxx人-时间</t>
        </r>
      </text>
    </comment>
    <comment ref="BR1" authorId="0">
      <text>
        <r>
          <rPr>
            <sz val="9"/>
            <color rgb="FF000000"/>
            <rFont val="宋体"/>
            <scheme val="minor"/>
            <charset val="0"/>
          </rPr>
          <t>五星评论完结时间
评论数据根据产品定位来判断，逐步上评，上评率控制在5%以内</t>
        </r>
      </text>
    </comment>
    <comment ref="BT1" authorId="0">
      <text>
        <r>
          <rPr>
            <sz val="9"/>
            <color rgb="FF000000"/>
            <rFont val="宋体"/>
            <scheme val="minor"/>
            <charset val="0"/>
          </rPr>
          <t xml:space="preserve">
A:文案(埋词)用SIF关键词格局  西柚找词，（SIF, H10  卖家精灵也可以）
1. 标题：最重要的关键词放标题，标题要秉承可读性，可搜索性，不重复的原则，忌关键词堆砌； 一般格式：核心词+主参数(主卖点)+核心词+主特色+应用场景(适用范围/适用人群)（一般200字符内，除介词外单词首字母大写(不同国家语言习惯不一样，具体跟对应国家走) 避免主观评价(最畅销，最受欢迎等)）
2. 五点描述：提炼产品的核心卖点和痛点，对应痛点提出解决方案--从买家的角度而非卖家的角度去写--每一点前面都要有总结性的短语--前面3点重要性大于后面2点 最重要：注意埋词
3. 后台ST：一般是250字符以内(可能有的类目更少)--前台描述页面放不下的词 --不要重复使用用过的关键词--可以不使用介词，冠词等连接词 --可以全部用小写字母--用半角空格分隔词语，不要用其他标点符号--勿使用其他品牌名称，asin等--千万不要放与产品不相关的词
4. 商品详情描述 (长描述 )--在 做A+之前会显示在前台页面，做A+之后会显示在买家购买页面（做A+前：参考五行描述，对产品的卖点和痛点做一些阐述；对于功能性产品将五行中没有明确的 参数，细节可以罗列到这里。(简言之把自己当成产品经理来介绍自己的产品)也要注意埋词。
5.做A+后：补充前台文案没有出现或者不能出现的细节，包括本店的品牌优势以及服务保障等，让 客户更放心购买。继续埋词）
6.收录词 分析 特征词 分析 拓展
</t>
        </r>
      </text>
    </comment>
    <comment ref="BU1" authorId="0">
      <text>
        <r>
          <rPr>
            <sz val="9"/>
            <color rgb="FF000000"/>
            <rFont val="宋体"/>
            <scheme val="minor"/>
            <charset val="0"/>
          </rPr>
          <t xml:space="preserve">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  ⑥关键词广告点击转化率 ACOS  CPA 利润率
⑦ 关键词CPC情况（具体看是 在哪个类目下）A:文案(埋词)用SIF关键词格局  西柚找词，（SIF, H10  卖家精灵也可以）
1. 标题：最重要的关键词放标题，标题要秉承可读性，可搜索性，不重复的原则，忌关键词堆砌； 一般格式：核心词+主参数(主卖点)+核心词+主特色+应用场景(适用范围/适用人群)（一般200字符内，除介词外单词首字母大写(不同国家语言习惯不一样，具体跟对应国家走) 避免主观评价(最畅销，最受欢迎等)）
2. 五点描述：提炼产品的核心卖点和痛点，对应痛点提出解决方案--从买家的角度而非卖家的角度去写--每一点前面都要有总结性的短语--前面3点重要性大于后面2点 最重要：注意埋词
3. 后台ST：一般是250字符以内(可能有的类目更少)--前台描述页面放不下的词 --不要重复使用用过的关键词--可以不使用介词，冠词等连接词 --可以全部用小写字母--用半角空格分隔词语，不要用其他标点符号--勿使用其他品牌名称，asin等--千万不要放与产品不相关的词
4. 商品详情描述 (长描述 )--在 做A+之前会显示在前台页面，做A+之后会显示在买家购买页面（做A+前：参考五行描述，对产品的卖点和痛点做一些阐述；对于功能性产品将五行中没有明确的 参数，细节可以罗列到这里。(简言之把自己当成产品经理来介绍自己的产品)也要注意埋词。
5.做A+后：补充前台文案没有出现或者不能出现的细节，包括本店的品牌优势以及服务保障等，让 客户更放心购买。继续埋词）
6.收录词 分析 特征词 分析 拓展
</t>
        </r>
      </text>
    </comment>
  </commentList>
</comments>
</file>

<file path=xl/comments3.xml><?xml version="1.0" encoding="utf-8"?>
<comments xmlns="http://schemas.openxmlformats.org/spreadsheetml/2006/main">
  <authors>
    <author>1780124632021243</author>
  </authors>
  <commentList>
    <comment ref="F1" authorId="0">
      <text>
        <r>
          <rPr>
            <sz val="12"/>
            <color rgb="FF000000"/>
            <rFont val="宋体"/>
            <scheme val="minor"/>
            <charset val="0"/>
          </rPr>
          <t xml:space="preserve">PO主供应商代码：ZU208
PO托盘供应商代码：ZU7MJ
DI供应商代码：J671X
</t>
        </r>
      </text>
    </comment>
    <comment ref="N1" authorId="0">
      <text>
        <r>
          <rPr>
            <sz val="12"/>
            <color rgb="FF000000"/>
            <rFont val="宋体"/>
            <scheme val="minor"/>
            <charset val="0"/>
          </rPr>
          <t>人民币：不含税采购成本+头程</t>
        </r>
      </text>
    </comment>
    <comment ref="Q1" authorId="0">
      <text>
        <r>
          <rPr>
            <sz val="12"/>
            <color rgb="FF000000"/>
            <rFont val="宋体"/>
            <scheme val="minor"/>
            <charset val="0"/>
          </rPr>
          <t>外币兑人民币</t>
        </r>
      </text>
    </comment>
    <comment ref="R1" authorId="0">
      <text>
        <r>
          <rPr>
            <sz val="12"/>
            <color rgb="FF000000"/>
            <rFont val="宋体"/>
            <scheme val="minor"/>
            <charset val="0"/>
          </rPr>
          <t>广告费/PO价</t>
        </r>
      </text>
    </comment>
    <comment ref="S1" authorId="0">
      <text>
        <r>
          <rPr>
            <sz val="12"/>
            <color rgb="FF000000"/>
            <rFont val="宋体"/>
            <scheme val="minor"/>
            <charset val="0"/>
          </rPr>
          <t>促销费/PO价
不是前台价的折扣比例！！</t>
        </r>
      </text>
    </comment>
    <comment ref="U1" authorId="0">
      <text>
        <r>
          <rPr>
            <sz val="12"/>
            <color rgb="FF000000"/>
            <rFont val="宋体"/>
            <scheme val="minor"/>
            <charset val="0"/>
          </rPr>
          <t>”不含税采购价+头程“占比</t>
        </r>
      </text>
    </comment>
    <comment ref="W1" authorId="0">
      <text>
        <r>
          <rPr>
            <sz val="12"/>
            <color rgb="FF000000"/>
            <rFont val="宋体"/>
            <scheme val="minor"/>
            <charset val="0"/>
          </rPr>
          <t>DI无佣，普通PO佣金19%+2%</t>
        </r>
      </text>
    </comment>
    <comment ref="AB1" authorId="0">
      <text>
        <r>
          <rPr>
            <sz val="12"/>
            <color rgb="FF000000"/>
            <rFont val="宋体"/>
            <scheme val="minor"/>
            <charset val="0"/>
          </rPr>
          <t>优先匹配财务采购成本&amp;头程；
其次匹配马帮采购成本；
最后匹配原始成本记录信息。</t>
        </r>
      </text>
    </comment>
  </commentList>
</comments>
</file>

<file path=xl/comments4.xml><?xml version="1.0" encoding="utf-8"?>
<comments xmlns="http://schemas.openxmlformats.org/spreadsheetml/2006/main">
  <authors>
    <author>1780124632542800</author>
  </authors>
  <commentList>
    <comment ref="AX1" authorId="0">
      <text>
        <r>
          <rPr>
            <sz val="9"/>
            <color rgb="FF000000"/>
            <rFont val="宋体"/>
            <scheme val="minor"/>
            <charset val="0"/>
          </rPr>
          <t>2026年</t>
        </r>
      </text>
    </comment>
  </commentList>
</comments>
</file>

<file path=xl/comments5.xml><?xml version="1.0" encoding="utf-8"?>
<comments xmlns="http://schemas.openxmlformats.org/spreadsheetml/2006/main">
  <authors>
    <author>1780124632710057</author>
  </authors>
  <commentList>
    <comment ref="G1" authorId="0">
      <text>
        <r>
          <rPr>
            <sz val="9"/>
            <color rgb="FF000000"/>
            <rFont val="宋体"/>
            <scheme val="minor"/>
            <charset val="0"/>
          </rPr>
          <t>+34%  +50%</t>
        </r>
      </text>
    </comment>
    <comment ref="F35" authorId="0">
      <text>
        <r>
          <rPr>
            <sz val="9"/>
            <color rgb="FF000000"/>
            <rFont val="宋体"/>
            <scheme val="minor"/>
            <charset val="0"/>
          </rPr>
          <t>17.1  18.4（货代）</t>
        </r>
      </text>
    </comment>
  </commentList>
</comments>
</file>

<file path=xl/comments6.xml><?xml version="1.0" encoding="utf-8"?>
<comments xmlns="http://schemas.openxmlformats.org/spreadsheetml/2006/main">
  <authors>
    <author>1780124632836921</author>
  </authors>
  <commentList>
    <comment ref="I1" authorId="0">
      <text>
        <r>
          <rPr>
            <sz val="12"/>
            <color rgb="FF000000"/>
            <rFont val="宋体"/>
            <scheme val="minor"/>
            <charset val="0"/>
          </rPr>
          <t>PO主供应商代码：ZU7MJ
PO托盘供应商代码：ZU208
DI供应商代码：J671X
DF供应商代码：ZOKK6</t>
        </r>
      </text>
    </comment>
    <comment ref="O1" authorId="0">
      <text>
        <r>
          <rPr>
            <sz val="12"/>
            <color rgb="FF000000"/>
            <rFont val="宋体"/>
            <scheme val="minor"/>
            <charset val="0"/>
          </rPr>
          <t>Net PPM=(不含税销售额-POcost总金额+佣金）/不含税销售额
=(J1-I1+I1*0.12-J1*0.1)/(J1*0.9)
未扣减折扣</t>
        </r>
      </text>
    </comment>
    <comment ref="Q1" authorId="0">
      <text>
        <r>
          <rPr>
            <sz val="12"/>
            <color rgb="FF000000"/>
            <rFont val="宋体"/>
            <scheme val="minor"/>
            <charset val="0"/>
          </rPr>
          <t>人民币：不含税采购成本+头程</t>
        </r>
      </text>
    </comment>
    <comment ref="S1" authorId="0">
      <text>
        <r>
          <rPr>
            <sz val="12"/>
            <color rgb="FF000000"/>
            <rFont val="宋体"/>
            <scheme val="minor"/>
            <charset val="0"/>
          </rPr>
          <t>促销费/cost price
不是前台价的折扣比例！</t>
        </r>
      </text>
    </comment>
  </commentList>
</comments>
</file>

<file path=xl/sharedStrings.xml><?xml version="1.0" encoding="utf-8"?>
<sst xmlns="http://schemas.openxmlformats.org/spreadsheetml/2006/main" count="21748" uniqueCount="1090">
  <si>
    <t>SKU</t>
  </si>
  <si>
    <t>ASIN</t>
  </si>
  <si>
    <t>ERP SKU</t>
  </si>
  <si>
    <t>产品名称</t>
  </si>
  <si>
    <t>采购成本（含税）</t>
  </si>
  <si>
    <t>长cm（单）</t>
  </si>
  <si>
    <t>宽cm（单）</t>
  </si>
  <si>
    <t>高cm（单）</t>
  </si>
  <si>
    <t>重量Kg（单）</t>
  </si>
  <si>
    <t>装箱数</t>
  </si>
  <si>
    <t>长cm（箱）</t>
  </si>
  <si>
    <t>宽cm（箱）</t>
  </si>
  <si>
    <t>高cm（箱）</t>
  </si>
  <si>
    <t>重量Kg（箱）</t>
  </si>
  <si>
    <t>体积重</t>
  </si>
  <si>
    <t>体积</t>
  </si>
  <si>
    <t>重量体积</t>
  </si>
  <si>
    <t>首单</t>
  </si>
  <si>
    <t>空运</t>
  </si>
  <si>
    <t>美森/卡航</t>
  </si>
  <si>
    <t>铁路</t>
  </si>
  <si>
    <t>海运</t>
  </si>
  <si>
    <t>R0001US</t>
  </si>
  <si>
    <t>B0F3CK5TDN</t>
  </si>
  <si>
    <t>US-MV2501</t>
  </si>
  <si>
    <t>HYCHIKA-MV2501-除螨仪</t>
  </si>
  <si>
    <t>吸尘器</t>
  </si>
  <si>
    <t>R0001EU</t>
  </si>
  <si>
    <t>B0F1F7J8V3</t>
  </si>
  <si>
    <t>EU-MV2501</t>
  </si>
  <si>
    <t>R0001UK</t>
  </si>
  <si>
    <t>B0F1F535PC</t>
  </si>
  <si>
    <t>UK-MV2501</t>
  </si>
  <si>
    <t>R1001EU</t>
  </si>
  <si>
    <t>HYCHIKA-MV2501-除螨仪滤芯</t>
  </si>
  <si>
    <t>HM0001EU</t>
  </si>
  <si>
    <t>B0FFGQXWGT</t>
  </si>
  <si>
    <t>EU-VC025</t>
  </si>
  <si>
    <t>HYCHIKA-VC025-手持吸尘器</t>
  </si>
  <si>
    <t>HM0006EU</t>
  </si>
  <si>
    <t>B0FFGKNZNN</t>
  </si>
  <si>
    <t>EU-T2225</t>
  </si>
  <si>
    <t>HYCHIKA-T2225-启动电源&amp;充气泵</t>
  </si>
  <si>
    <t>HM0006UK</t>
  </si>
  <si>
    <t>R0004EU</t>
  </si>
  <si>
    <t>B0FFGHJ575</t>
  </si>
  <si>
    <t>EU-RS1</t>
  </si>
  <si>
    <t>HYCHIKA-RS1-棘轮螺丝刀套装</t>
  </si>
  <si>
    <t>R0004UK</t>
  </si>
  <si>
    <t>UK-RS1</t>
  </si>
  <si>
    <t>HM0002EU</t>
  </si>
  <si>
    <t>B0FFLJ2HMW</t>
  </si>
  <si>
    <t>EU-HES62</t>
  </si>
  <si>
    <t>HYCHIKA-HES62-电动精密螺丝刀</t>
  </si>
  <si>
    <t>HM0003EU</t>
  </si>
  <si>
    <t>B0FFG95G7F</t>
  </si>
  <si>
    <t>EU-HPS39</t>
  </si>
  <si>
    <t>HYCHIKA-HPS39-精密螺丝刀套装</t>
  </si>
  <si>
    <t>R0007US</t>
  </si>
  <si>
    <t>B0FNM83LN5
B0FNR23GX1</t>
  </si>
  <si>
    <t>US-AP100A</t>
  </si>
  <si>
    <t>HYCHIKA-AP100A-空净</t>
  </si>
  <si>
    <t>空气净化器</t>
  </si>
  <si>
    <t>R0007EU</t>
  </si>
  <si>
    <t>B0FNMBQFBC</t>
  </si>
  <si>
    <t>EU-AP100A</t>
  </si>
  <si>
    <t>R0007UK</t>
  </si>
  <si>
    <t>B0FNM5M6R6</t>
  </si>
  <si>
    <t>UK-AP100A</t>
  </si>
  <si>
    <t>R0008US</t>
  </si>
  <si>
    <t>B0FSDB4TBK</t>
  </si>
  <si>
    <t>US-F100A</t>
  </si>
  <si>
    <t>HYCHIKA-F100A-滤芯</t>
  </si>
  <si>
    <t>空气净化器滤芯</t>
  </si>
  <si>
    <t>R0008EU</t>
  </si>
  <si>
    <t>B0FNMDMVCG</t>
  </si>
  <si>
    <t>EU-F100A</t>
  </si>
  <si>
    <t>R0008UK</t>
  </si>
  <si>
    <t>B0FNM6DBJM</t>
  </si>
  <si>
    <t>UK-F100A</t>
  </si>
  <si>
    <t>R0003EU</t>
  </si>
  <si>
    <t>1月</t>
  </si>
  <si>
    <t>EU-CY201</t>
  </si>
  <si>
    <t>HYCHIKA-CY201-除螨仪</t>
  </si>
  <si>
    <t>R0003UK</t>
  </si>
  <si>
    <t>UK-CY201</t>
  </si>
  <si>
    <t>R0002US</t>
  </si>
  <si>
    <t>B0GDCZCXNJ</t>
  </si>
  <si>
    <t>US-BY101</t>
  </si>
  <si>
    <t>HYCHIKA-BY101-布艺机</t>
  </si>
  <si>
    <t>布艺清洗机</t>
  </si>
  <si>
    <t>R0002EU</t>
  </si>
  <si>
    <t>B0GDCZ7BWK</t>
  </si>
  <si>
    <t>EU-BY101</t>
  </si>
  <si>
    <t>R0002UK</t>
  </si>
  <si>
    <t>B0GDDKS6ZJ</t>
  </si>
  <si>
    <t>UK-BY101</t>
  </si>
  <si>
    <t>待定</t>
  </si>
  <si>
    <t>EU-B2-1(PRO)</t>
  </si>
  <si>
    <t>HYCHIKA-B2-1-手动精密螺丝批</t>
  </si>
  <si>
    <t>R0005EU</t>
  </si>
  <si>
    <t>EU-B3-1(MAX)</t>
  </si>
  <si>
    <t>HYCHIKA-B3-1-手动精密螺丝批</t>
  </si>
  <si>
    <t>R0006EU</t>
  </si>
  <si>
    <t>EU-GS-PS1(MAX)</t>
  </si>
  <si>
    <t>HYCHIKA-GS-PS1-电动精密螺丝批</t>
  </si>
  <si>
    <t>R0009EU</t>
  </si>
  <si>
    <t>EU-GS-CS04C(PRO)</t>
  </si>
  <si>
    <t>HYCHIKA-GS-CS04C-电动精密螺丝批</t>
  </si>
  <si>
    <t>R0010EU</t>
  </si>
  <si>
    <t>3月</t>
  </si>
  <si>
    <t>EU-GS-S1(PRO)</t>
  </si>
  <si>
    <t>HYCHIKA-GS-S1-电动螺丝批</t>
  </si>
  <si>
    <t>R0011EU</t>
  </si>
  <si>
    <t>EU-CG01(PRO)</t>
  </si>
  <si>
    <t>HYCHIKA-CG01-电动胶枪</t>
  </si>
  <si>
    <t>R0012EU</t>
  </si>
  <si>
    <t>无刷精密电磨</t>
  </si>
  <si>
    <t>R0013EU</t>
  </si>
  <si>
    <t>4V3系电磨</t>
  </si>
  <si>
    <t>R0014EU</t>
  </si>
  <si>
    <t>清洁刷</t>
  </si>
  <si>
    <t>R0015EU</t>
  </si>
  <si>
    <t>5月</t>
  </si>
  <si>
    <t>空净-KJ330</t>
  </si>
  <si>
    <t>83-in-1手动</t>
  </si>
  <si>
    <t>83-in-1电动</t>
  </si>
  <si>
    <t>36-in-1螺丝批</t>
  </si>
  <si>
    <t>暴力风扇</t>
  </si>
  <si>
    <t>蒸汽熨斗</t>
  </si>
  <si>
    <t>名称</t>
  </si>
  <si>
    <t>长</t>
  </si>
  <si>
    <t>宽</t>
  </si>
  <si>
    <t>高</t>
  </si>
  <si>
    <t>重</t>
  </si>
  <si>
    <t>汇率</t>
  </si>
  <si>
    <t>售价</t>
  </si>
  <si>
    <t>成交价</t>
  </si>
  <si>
    <t>采购价</t>
  </si>
  <si>
    <t>头程</t>
  </si>
  <si>
    <t>二程</t>
  </si>
  <si>
    <t>总成本（$)</t>
  </si>
  <si>
    <t>佣金（$)</t>
  </si>
  <si>
    <t>配送费（$)</t>
  </si>
  <si>
    <t>退货（$)</t>
  </si>
  <si>
    <t>广告（$)</t>
  </si>
  <si>
    <t>活动（$)</t>
  </si>
  <si>
    <t>仓储费（$)</t>
  </si>
  <si>
    <t>利润（$)</t>
  </si>
  <si>
    <t>利润率</t>
  </si>
  <si>
    <t>采购成本占比</t>
  </si>
  <si>
    <t>头程费用占比</t>
  </si>
  <si>
    <t>配送费占比</t>
  </si>
  <si>
    <t>佣金占比</t>
  </si>
  <si>
    <t>广告占比</t>
  </si>
  <si>
    <t>活动占比</t>
  </si>
  <si>
    <t>退货占比</t>
  </si>
  <si>
    <t>R0001US-W</t>
  </si>
  <si>
    <t>R0007US-W</t>
  </si>
  <si>
    <t>B0FNR23GX1</t>
  </si>
  <si>
    <t>E0036US-W</t>
  </si>
  <si>
    <t>B098L66VWW</t>
  </si>
  <si>
    <t>HYCHIKA-FL117-圆砂</t>
  </si>
  <si>
    <t>E0016US-W</t>
  </si>
  <si>
    <t>B07ZH3Y5Q9</t>
  </si>
  <si>
    <t>HYCHIKA-RB01-往复锯锯片</t>
  </si>
  <si>
    <t>E0025US-W</t>
  </si>
  <si>
    <t>B086SQWZK5</t>
  </si>
  <si>
    <t>HYCHIKA-HS13B-双金属孔锯</t>
  </si>
  <si>
    <t>E0178US-W</t>
  </si>
  <si>
    <t>B0G6D7TQVK</t>
  </si>
  <si>
    <t>HYCHIKA-TX110-3.6V电磨</t>
  </si>
  <si>
    <t>E0041US-W</t>
  </si>
  <si>
    <t>B08HQ59Q91</t>
  </si>
  <si>
    <t>HYCHIKA-FL118A-鼠砂</t>
  </si>
  <si>
    <t>E0224US-W</t>
  </si>
  <si>
    <t>B0G8JRYFBD</t>
  </si>
  <si>
    <t>HYCHIKA-S1J-AJ9-10-L-电磨布包套装</t>
  </si>
  <si>
    <t>E0160US-W</t>
  </si>
  <si>
    <t>B0CZ3GP76F</t>
  </si>
  <si>
    <t>HYCHIKA-TX104-140W鼠砂</t>
  </si>
  <si>
    <t>E0179US-W</t>
  </si>
  <si>
    <t>B0G51CXHKT</t>
  </si>
  <si>
    <t>HYCHIKA-TX111-8V电磨</t>
  </si>
  <si>
    <t>E0180US-W</t>
  </si>
  <si>
    <t>B0F59Y18ZS</t>
  </si>
  <si>
    <t>HYCHIKA-TX108-150W电磨</t>
  </si>
  <si>
    <t>E0209EU</t>
  </si>
  <si>
    <t>HYCHIKA-DWK-Q0C-02-4V裁布剪</t>
  </si>
  <si>
    <t>W41917531</t>
  </si>
  <si>
    <t>遮阳伞（199.99）</t>
  </si>
  <si>
    <t>W2505P175804</t>
  </si>
  <si>
    <t>60米绿色鸡笼网（199.99/149.99）</t>
  </si>
  <si>
    <t>W2505P184736</t>
  </si>
  <si>
    <t>3*2m鸡笼（399.99/299.99）</t>
  </si>
  <si>
    <t>W419P445700</t>
  </si>
  <si>
    <t>帐篷（199.99/149.99）</t>
  </si>
  <si>
    <t>W465140910</t>
  </si>
  <si>
    <t>产品分配时间</t>
  </si>
  <si>
    <t>产品定位</t>
  </si>
  <si>
    <t xml:space="preserve">品牌 </t>
  </si>
  <si>
    <t>店铺</t>
  </si>
  <si>
    <t>站点</t>
  </si>
  <si>
    <t>开发人员</t>
  </si>
  <si>
    <t xml:space="preserve"> 产品认领人</t>
  </si>
  <si>
    <t>部门主管</t>
  </si>
  <si>
    <t>环节1:种子链接布局</t>
  </si>
  <si>
    <t xml:space="preserve">竞对信息收集-发货前任务 </t>
  </si>
  <si>
    <t>多变体和其他站点布局 情况  -发货前任务</t>
  </si>
  <si>
    <t>建立关键词库- 上架前任务</t>
  </si>
  <si>
    <t>环节1:布局关键词收录布局 埋词技巧-上架前任务</t>
  </si>
  <si>
    <t>项目跟进表  完成情况  -发货前任务</t>
  </si>
  <si>
    <t>市场调研</t>
  </si>
  <si>
    <t>新品推广计划，广告</t>
  </si>
  <si>
    <t>透明计划 布局情况  -发货前任务</t>
  </si>
  <si>
    <t>盈利模型分析</t>
  </si>
  <si>
    <t>欧洲除螨仪  VC 选品利润测算表_EU V1.0欧洲五国</t>
  </si>
  <si>
    <t>备货规划  -发货前任务</t>
  </si>
  <si>
    <t xml:space="preserve">ASIN   </t>
  </si>
  <si>
    <t># 出货数量</t>
  </si>
  <si>
    <t>#具体出货时间</t>
  </si>
  <si>
    <t>预计到货时间(FBA)</t>
  </si>
  <si>
    <t>开售时间 手动填写</t>
  </si>
  <si>
    <t>环节1:开发包材需求表-发货前任务</t>
  </si>
  <si>
    <t>开发提交包材需求的具体时间</t>
  </si>
  <si>
    <t>环节2:布局直评-发货后</t>
  </si>
  <si>
    <t xml:space="preserve">环节2:运营产品图片需求表--发货后  </t>
  </si>
  <si>
    <t>运营提交产品图片需求时间</t>
  </si>
  <si>
    <t>运营提交产品视频需求时间</t>
  </si>
  <si>
    <t>Review</t>
  </si>
  <si>
    <t>运营提交产品测评需求时间</t>
  </si>
  <si>
    <t>客服部完成测评时间</t>
  </si>
  <si>
    <t>Q&amp;A</t>
  </si>
  <si>
    <t>运营提交产品问答需求时间</t>
  </si>
  <si>
    <t>客服部完成问答时间</t>
  </si>
  <si>
    <t>主图视频</t>
  </si>
  <si>
    <t>设计部完成视频时间</t>
  </si>
  <si>
    <t>Related Videos</t>
  </si>
  <si>
    <t>运营提交产品相关视频需求时间</t>
  </si>
  <si>
    <t>推广部完成视频时间</t>
  </si>
  <si>
    <t>环节2:开发产品图片需求表--发货后</t>
  </si>
  <si>
    <t>开发提交产品设计需求时间</t>
  </si>
  <si>
    <t>产品图片完结时间</t>
  </si>
  <si>
    <t>环节2:检查图片详情属性-关键词打标</t>
  </si>
  <si>
    <t>环节2:运营提供自拍视频需求表-上架前任务</t>
  </si>
  <si>
    <t>运营提供自拍视频需求表时间</t>
  </si>
  <si>
    <t>环节2:网红视频-上架前任务</t>
  </si>
  <si>
    <t>视频完结时间 -上架前任务</t>
  </si>
  <si>
    <t>品牌故事 -上架前任务</t>
  </si>
  <si>
    <t>品牌旗舰店装修 -上架前任务</t>
  </si>
  <si>
    <t>环节2:上架前任务完结时间</t>
  </si>
  <si>
    <t>环节3:QA-上架后任务</t>
  </si>
  <si>
    <t>检查asin收录，节点，类目，  -上架前任务</t>
  </si>
  <si>
    <t>检查产品属性填写完成度</t>
  </si>
  <si>
    <t>环节3:产品关联-上架后任务</t>
  </si>
  <si>
    <t>环节3:划线价-激活listing</t>
  </si>
  <si>
    <t>环节3:划线价完结时间</t>
  </si>
  <si>
    <t>环节3:listing审核时间</t>
  </si>
  <si>
    <t>环节3:该listing完成度 %</t>
  </si>
  <si>
    <t>环节3:关键词上首页-推广前期准备</t>
  </si>
  <si>
    <t>环节3:站外辅助--推广中的配合</t>
  </si>
  <si>
    <t>关键上首页完结时间</t>
  </si>
  <si>
    <t>环节3:五星评论布局-推广前期准备</t>
  </si>
  <si>
    <t>五星评论完结时间</t>
  </si>
  <si>
    <t>父记录</t>
  </si>
  <si>
    <t>A:文案(埋词)</t>
  </si>
  <si>
    <t>关键词库搭建</t>
  </si>
  <si>
    <t>完成情况</t>
  </si>
  <si>
    <t>项目跟进表</t>
  </si>
  <si>
    <t>备选</t>
  </si>
  <si>
    <t>参考资料</t>
  </si>
  <si>
    <t>Z0001EU</t>
  </si>
  <si>
    <t>B0F1F6W85W</t>
  </si>
  <si>
    <t>SC电动牙刷黑色 德国站</t>
  </si>
  <si>
    <t>主推款</t>
  </si>
  <si>
    <t>HYCHIKA</t>
  </si>
  <si>
    <t>祥乐牛 EU+US和tiktok店铺</t>
  </si>
  <si>
    <t>DE</t>
  </si>
  <si>
    <t>马孝飞</t>
  </si>
  <si>
    <t>阳亚运</t>
  </si>
  <si>
    <t>X</t>
  </si>
  <si>
    <t>NO</t>
  </si>
  <si>
    <t>-</t>
  </si>
  <si>
    <t>YES 布局多变体 合并国际评论，VINE</t>
  </si>
  <si>
    <t>德国 电动牙刷关键词收集数据-德国标题2关键词库搭建</t>
  </si>
  <si>
    <t>YES</t>
  </si>
  <si>
    <t>德国电动牙刷- 项目跟进表-阳亚运-20250325</t>
  </si>
  <si>
    <t>市调</t>
  </si>
  <si>
    <t>电动牙刷德国ASIN 定投广告</t>
  </si>
  <si>
    <t>电动牙刷VC 选品利润测算表_EU V1.0欧洲五国</t>
  </si>
  <si>
    <t>SC电动牙刷黑色 德国站432空运</t>
  </si>
  <si>
    <t>1+10+10VP+10VINE</t>
  </si>
  <si>
    <t>3组</t>
  </si>
  <si>
    <t xml:space="preserve">3.1关键词库高效搭建策略方法.pdf </t>
  </si>
  <si>
    <t>已完成</t>
  </si>
  <si>
    <t>项目跟进表模板</t>
  </si>
  <si>
    <t>Listing后台全属性填写标准</t>
  </si>
  <si>
    <t>Z0001UK</t>
  </si>
  <si>
    <t>B0F1F5JSWK</t>
  </si>
  <si>
    <t>SC电动牙刷黑色 英国站</t>
  </si>
  <si>
    <t>UK</t>
  </si>
  <si>
    <t>英国 电动牙刷关键词收集数据-德国标题2关键词库搭建</t>
  </si>
  <si>
    <t>英国电动牙刷- 项目跟进表-阳亚运-20250325</t>
  </si>
  <si>
    <t>SC电动牙刷黑色 英国站270空运</t>
  </si>
  <si>
    <t>项目跟进表--20241016</t>
  </si>
  <si>
    <t>Z0002EU</t>
  </si>
  <si>
    <t>B0F1TQRVJK</t>
  </si>
  <si>
    <t>SC电动牙刷白色 德国站</t>
  </si>
  <si>
    <t>SC电动牙刷白色 德国站432空运</t>
  </si>
  <si>
    <t>Z0002UK</t>
  </si>
  <si>
    <t>B0F1TWR4BJ</t>
  </si>
  <si>
    <t>SC电动牙刷白色 英国站</t>
  </si>
  <si>
    <t>SC电动牙刷白色 英国站270空运</t>
  </si>
  <si>
    <t>https://shimo.im/sheets/xaLcxBgvfrrvr6At/x4LSY</t>
  </si>
  <si>
    <t>SC除螨仪灰色 德国站</t>
  </si>
  <si>
    <t>唐高峰</t>
  </si>
  <si>
    <t>德国除螨仪竞品分析</t>
  </si>
  <si>
    <t>德国除螨仪标题和关键词库搭建</t>
  </si>
  <si>
    <t>德国除螨仪 - 项目跟进表-阳亚运-20250325</t>
  </si>
  <si>
    <t>除螨仪市调</t>
  </si>
  <si>
    <t>德国除螨仪的推广计划——德国除螨仪 欧洲</t>
  </si>
  <si>
    <t>德国除螨仪 -盈利模型分析</t>
  </si>
  <si>
    <t>欧洲除螨仪 VC 选品利润测算表_EU V1.0欧洲五国</t>
  </si>
  <si>
    <t>SC除螨仪灰色 德国站360铁路</t>
  </si>
  <si>
    <t>1+10+9VP+2VINE</t>
  </si>
  <si>
    <t>SC除螨仪灰色 英国站</t>
  </si>
  <si>
    <t>英国除螨仪标题 关键词库搭建</t>
  </si>
  <si>
    <t>英国除螨仪 - 项目跟进表-阳亚运-20250325</t>
  </si>
  <si>
    <t>欧洲五国VC选品利润测算表EU V10</t>
  </si>
  <si>
    <t>SC除螨仪灰色 英国站160铁路</t>
  </si>
  <si>
    <t>VC电动牙刷黑色 德国站</t>
  </si>
  <si>
    <t>VC1_EU</t>
  </si>
  <si>
    <t>关键词词库查看SC</t>
  </si>
  <si>
    <t>项目跟进表查看SC</t>
  </si>
  <si>
    <t>VC电动牙刷黑色 德国站  540卡航1080</t>
  </si>
  <si>
    <t>VC电动牙刷黑色 德国站  540铁路0</t>
  </si>
  <si>
    <t>VC电动牙刷黑色 英国站</t>
  </si>
  <si>
    <t>VC电动牙刷黑色 英国站 540卡航</t>
  </si>
  <si>
    <t>VC电动牙刷白色 德国站</t>
  </si>
  <si>
    <t>VC电动牙刷白色 德国站  540卡航1080</t>
  </si>
  <si>
    <t>VC电动牙刷白色 德国站  540铁路0</t>
  </si>
  <si>
    <t>VC电动牙刷白色 英国站</t>
  </si>
  <si>
    <t>VC电动牙刷白色 英国站 540卡航</t>
  </si>
  <si>
    <t>VC除螨仪灰色 德国站</t>
  </si>
  <si>
    <t>VC除螨仪灰色 德国站 340卡航</t>
  </si>
  <si>
    <t>VC除螨仪灰色 德国站 1140海运</t>
  </si>
  <si>
    <t>VC除螨仪灰色 英国站</t>
  </si>
  <si>
    <t>VC除螨仪灰色 英国站 340海运</t>
  </si>
  <si>
    <t>SC牙套超声波清洗机 德国站</t>
  </si>
  <si>
    <t>德国超声波清洗机竞争程度分析</t>
  </si>
  <si>
    <t>德国牙套超声波清洗机标题和关键词库搭建</t>
  </si>
  <si>
    <t>超声波清洗机市调</t>
  </si>
  <si>
    <t>SC牙套超声波清洗机 英国站</t>
  </si>
  <si>
    <t>SC杆式吸尘器 德国站</t>
  </si>
  <si>
    <t>杆式吸尘器竞品分析-84ASIN</t>
  </si>
  <si>
    <t>杆式吸尘器市调</t>
  </si>
  <si>
    <t>SC杆式吸尘器 英国站</t>
  </si>
  <si>
    <t>SC空气净化器德国站</t>
  </si>
  <si>
    <t>空气净化器 竞品分析</t>
  </si>
  <si>
    <t>德国空气净化器标题和关键词库搭建</t>
  </si>
  <si>
    <t>德国空气净化器 - 项目跟进表-阳亚运-20250611</t>
  </si>
  <si>
    <t>空气净化器市调</t>
  </si>
  <si>
    <t>SC空气净化器英国站</t>
  </si>
  <si>
    <t>英国空气净化器 - 项目跟进表-阳亚运-20250611</t>
  </si>
  <si>
    <t>VC空气净化器  德国站</t>
  </si>
  <si>
    <t>VC空气净化器  英国站</t>
  </si>
  <si>
    <t>牙齿美白德国</t>
  </si>
  <si>
    <t>牙齿美白英国</t>
  </si>
  <si>
    <t>面部按摩器德国</t>
  </si>
  <si>
    <t>面部按摩器英国</t>
  </si>
  <si>
    <t>雾化器德国</t>
  </si>
  <si>
    <t>雾化器英国</t>
  </si>
  <si>
    <t>智能电子口喷美国</t>
  </si>
  <si>
    <t>US 口喷市调 SIF所有数据oral spray</t>
  </si>
  <si>
    <t>US口喷市调 Tik Tok所有数据ALL</t>
  </si>
  <si>
    <t>智能电子口喷德国</t>
  </si>
  <si>
    <t>DE 口腔喷雾剂Mundsprays(卖家精灵)</t>
  </si>
  <si>
    <t>智能电子口喷英国</t>
  </si>
  <si>
    <t>UK(口腔喷雾剂)Sprays</t>
  </si>
  <si>
    <t>RS1棘轮螺丝刀套装英国，</t>
  </si>
  <si>
    <t>新款</t>
  </si>
  <si>
    <t>EU</t>
  </si>
  <si>
    <t>RS1棘轮螺丝刀套装，欧洲</t>
  </si>
  <si>
    <t>HM0006-EU-XLN</t>
  </si>
  <si>
    <t>T2225启动电源&amp;充气泵，</t>
  </si>
  <si>
    <t>HM0003-EU-XLN</t>
  </si>
  <si>
    <t>HPS39精密螺丝刀套装，</t>
  </si>
  <si>
    <t>HM0002-EU-XLN</t>
  </si>
  <si>
    <t>HES62电动精密螺丝刀，</t>
  </si>
  <si>
    <t>HM0007EU-XLN</t>
  </si>
  <si>
    <t>B0FFGM2W7H</t>
  </si>
  <si>
    <t>EGSl11电烙铁套装，</t>
  </si>
  <si>
    <t>HM0008EU-XLN</t>
  </si>
  <si>
    <t>B0FFGLFC4X</t>
  </si>
  <si>
    <t>ESG11电动精密螺丝批套件，</t>
  </si>
  <si>
    <t>R0007US-1</t>
  </si>
  <si>
    <t>B0FNM83LN5</t>
  </si>
  <si>
    <t>/</t>
  </si>
  <si>
    <t>VC025手持吸尘器</t>
  </si>
  <si>
    <t>空净</t>
  </si>
  <si>
    <t>UV杀菌牙刷架</t>
  </si>
  <si>
    <t>HM0001UK-XLN</t>
  </si>
  <si>
    <t>VC025手持吸尘器英国</t>
  </si>
  <si>
    <t>R0008EU-1</t>
  </si>
  <si>
    <t>HM0001EU-XLN</t>
  </si>
  <si>
    <t>VC025手持吸尘器欧洲</t>
  </si>
  <si>
    <t>美国空净100 机子</t>
  </si>
  <si>
    <t>US</t>
  </si>
  <si>
    <t>欧洲 空净100 机子</t>
  </si>
  <si>
    <t>英国空净100 机子</t>
  </si>
  <si>
    <t>美国空净100 滤芯</t>
  </si>
  <si>
    <t>欧洲 空净100 滤芯</t>
  </si>
  <si>
    <t>英国空净100 滤芯</t>
  </si>
  <si>
    <t>品名</t>
  </si>
  <si>
    <t>采购（￥不含税价）</t>
  </si>
  <si>
    <t>进价（$）</t>
  </si>
  <si>
    <t>头程￥</t>
  </si>
  <si>
    <t>头程（$）</t>
  </si>
  <si>
    <t>成本合计</t>
  </si>
  <si>
    <t>抽佣比例</t>
  </si>
  <si>
    <t>佣金</t>
  </si>
  <si>
    <t>配送费</t>
  </si>
  <si>
    <t>毛利</t>
  </si>
  <si>
    <t>毛利率</t>
  </si>
  <si>
    <t>仓库调拨费</t>
  </si>
  <si>
    <t>退货</t>
  </si>
  <si>
    <t>送测</t>
  </si>
  <si>
    <t>广告</t>
  </si>
  <si>
    <t>备注</t>
  </si>
  <si>
    <t>采购比</t>
  </si>
  <si>
    <t>头程占比</t>
  </si>
  <si>
    <t>尾程占比</t>
  </si>
  <si>
    <t>FBA配送费占比</t>
  </si>
  <si>
    <t>其他费用占比</t>
  </si>
  <si>
    <t>预估退货率</t>
  </si>
  <si>
    <t>站外推广</t>
  </si>
  <si>
    <t>除螨仪-灰</t>
  </si>
  <si>
    <t>物流运费总账单金额59259.1，发货数量1000</t>
  </si>
  <si>
    <t>除螨仪-灰(折扣-20%）</t>
  </si>
  <si>
    <t>除螨仪-灰(折扣-25%）</t>
  </si>
  <si>
    <t>除螨仪-灰(折扣-PD）</t>
  </si>
  <si>
    <t>冰箱除味器对装</t>
  </si>
  <si>
    <t>空气净化器330</t>
  </si>
  <si>
    <t>空净100</t>
  </si>
  <si>
    <t>成本底价30美金</t>
  </si>
  <si>
    <t>空净100(划线-20%）</t>
  </si>
  <si>
    <t>空净100(折扣-30%）</t>
  </si>
  <si>
    <t>空净100（滤芯）</t>
  </si>
  <si>
    <t>空净100（滤芯）(划线-20%）</t>
  </si>
  <si>
    <t>空净100（滤芯）(折扣-30%）</t>
  </si>
  <si>
    <t>空气净化器AP100A</t>
  </si>
  <si>
    <t>类型</t>
  </si>
  <si>
    <t>品牌</t>
  </si>
  <si>
    <t>供应商代码</t>
  </si>
  <si>
    <t>cost price
外币</t>
  </si>
  <si>
    <t>建议售价
亚马逊售价-外币</t>
  </si>
  <si>
    <t>毛利
外币</t>
  </si>
  <si>
    <t>Profit Margin (%)</t>
  </si>
  <si>
    <t>NET PPM</t>
  </si>
  <si>
    <t>亚马逊毛利
外币</t>
  </si>
  <si>
    <t>成本</t>
  </si>
  <si>
    <t>海外仓
操作费</t>
  </si>
  <si>
    <t>促销占比</t>
  </si>
  <si>
    <t>其他占比</t>
  </si>
  <si>
    <t>成本占比</t>
  </si>
  <si>
    <t>广告
外币</t>
  </si>
  <si>
    <t>促销
外币</t>
  </si>
  <si>
    <t>其它
外币</t>
  </si>
  <si>
    <t>佣金
外币</t>
  </si>
  <si>
    <t>采购成本
 ¥含税</t>
  </si>
  <si>
    <t>采购成本
 ¥不含税</t>
  </si>
  <si>
    <t>头程 
RMB</t>
  </si>
  <si>
    <t>采购占比</t>
  </si>
  <si>
    <t>PO</t>
  </si>
  <si>
    <t>ZU7MJ</t>
  </si>
  <si>
    <t>DI</t>
  </si>
  <si>
    <t>J671X</t>
  </si>
  <si>
    <t>B0F2FT16RB</t>
  </si>
  <si>
    <t>Z0001US</t>
  </si>
  <si>
    <t>HYCHIKA-P2-电动牙刷</t>
  </si>
  <si>
    <t>HYCHIKA-AP100A-空净（0%）</t>
  </si>
  <si>
    <t>HYCHIKA-AP100A-空净（5%）</t>
  </si>
  <si>
    <t>HYCHIKA-AP100A-空净（10%）</t>
  </si>
  <si>
    <t>HYCHIKA-AP100A-空净（15%）</t>
  </si>
  <si>
    <t>国家</t>
  </si>
  <si>
    <t>国家代码</t>
  </si>
  <si>
    <t>有无VAT</t>
  </si>
  <si>
    <t>成本价(0边利)</t>
  </si>
  <si>
    <t>建议价(20%边利)</t>
  </si>
  <si>
    <t>实际定价</t>
  </si>
  <si>
    <t>FBA Fee</t>
  </si>
  <si>
    <t>佣金比例</t>
  </si>
  <si>
    <t>VAT</t>
  </si>
  <si>
    <t>广告费率</t>
  </si>
  <si>
    <t>FBA仓储费</t>
  </si>
  <si>
    <t>其他费用</t>
  </si>
  <si>
    <t>广告费用</t>
  </si>
  <si>
    <t>包装后实重</t>
  </si>
  <si>
    <t>计费重</t>
  </si>
  <si>
    <t>运输方式</t>
  </si>
  <si>
    <t>运费单价</t>
  </si>
  <si>
    <t>运费</t>
  </si>
  <si>
    <t>利润/USD</t>
  </si>
  <si>
    <t>利润率/USD</t>
  </si>
  <si>
    <t>各费用占比分析</t>
  </si>
  <si>
    <t>除螨仪（划线30%）</t>
  </si>
  <si>
    <t>德国</t>
  </si>
  <si>
    <t>有</t>
  </si>
  <si>
    <t>除螨仪（15%）coupon</t>
  </si>
  <si>
    <t>除螨仪（20%）PD</t>
  </si>
  <si>
    <t>法国</t>
  </si>
  <si>
    <t>FR</t>
  </si>
  <si>
    <t>意大利</t>
  </si>
  <si>
    <t>IT</t>
  </si>
  <si>
    <t>除螨仪企业购价85.11（20%）coupon</t>
  </si>
  <si>
    <t>西班牙</t>
  </si>
  <si>
    <t>ES</t>
  </si>
  <si>
    <t>英国</t>
  </si>
  <si>
    <t>VC025吸尘器   定59.99  17%划线价 49.99</t>
  </si>
  <si>
    <t>VC025吸尘器（10%）coupon</t>
  </si>
  <si>
    <t>VC025吸尘器（15%）coupon</t>
  </si>
  <si>
    <t>VC025吸尘器（20%）PD</t>
  </si>
  <si>
    <t>HPS39  定24.99  20%划线价19.99</t>
  </si>
  <si>
    <t>HPS39 （10%）coupon</t>
  </si>
  <si>
    <t>HPS39 （15%）coupon</t>
  </si>
  <si>
    <t>HPS39 （20%）PD</t>
  </si>
  <si>
    <t>HES62  定59.99  25%划线价 44.99</t>
  </si>
  <si>
    <t>HES62 （10%）coupon</t>
  </si>
  <si>
    <t>HES62 （15%）coupon</t>
  </si>
  <si>
    <t>HES62 （20%）PD</t>
  </si>
  <si>
    <t>T2225 气泵  定119.99  20%划线价 94.99</t>
  </si>
  <si>
    <t>T2225 气泵 （10%）coupon</t>
  </si>
  <si>
    <t>T2225 气泵 （15%）coupon</t>
  </si>
  <si>
    <t>T2225 气泵 （20%）PD</t>
  </si>
  <si>
    <t>T2225 气泵  定119.99  25%划线价 89.99</t>
  </si>
  <si>
    <t>RS1棘轮  定39.99  25%划线价 29.99</t>
  </si>
  <si>
    <t>RS1棘轮 （10%）coupon</t>
  </si>
  <si>
    <t>RS1棘轮 （15%）coupon</t>
  </si>
  <si>
    <t>RS1棘轮 （20%）PD</t>
  </si>
  <si>
    <t>杆式- 吸尘器德国日常价走海运</t>
  </si>
  <si>
    <t>杆式-吸尘器英国日常价走海运</t>
  </si>
  <si>
    <t>空净250德国日常价走海运129.99</t>
  </si>
  <si>
    <t>空净250英国日常价走海运119.99</t>
  </si>
  <si>
    <t>空净330德国日常价走海运129.99</t>
  </si>
  <si>
    <t>空净330英国日常价走海运119.99</t>
  </si>
  <si>
    <t>空净AP100A(划线价59.99）</t>
  </si>
  <si>
    <t>无</t>
  </si>
  <si>
    <t>空净AP100A(coupon-10%）</t>
  </si>
  <si>
    <t>空净AP100A(coupon-20%）</t>
  </si>
  <si>
    <t>空净AP100A (划线价64.99）</t>
  </si>
  <si>
    <t>空净AP100A (划线价59.99）</t>
  </si>
  <si>
    <t>滤芯(划线价）</t>
  </si>
  <si>
    <t>美国</t>
  </si>
  <si>
    <t>滤芯(coupon-10%）</t>
  </si>
  <si>
    <t>滤芯(coupon-20%）</t>
  </si>
  <si>
    <t>测距仪  美国B07QXS15N1</t>
  </si>
  <si>
    <t>蒸汽熨斗-（划线30%）</t>
  </si>
  <si>
    <t>蒸汽熨斗-（15%）coupon</t>
  </si>
  <si>
    <t>蒸汽熨斗-（20%）PD</t>
  </si>
  <si>
    <t>蒸汽熨斗-企业购价85.11（20%）coupon</t>
  </si>
  <si>
    <t>布艺清洗机（15%）coupon</t>
  </si>
  <si>
    <t>78-in-1-（64.99划线）</t>
  </si>
  <si>
    <t>78-in-1-（15%）coupon</t>
  </si>
  <si>
    <t>83-in-1手动-（划线30%）</t>
  </si>
  <si>
    <t>83-in-1手动-（15%）coupon</t>
  </si>
  <si>
    <t>83-in-1电动-（划线30%）</t>
  </si>
  <si>
    <t>83-in-1电动-（15%）coupon</t>
  </si>
  <si>
    <t>36-in-1螺丝批-（划线30%）</t>
  </si>
  <si>
    <t>36-in-1螺丝批-（15%）coupon</t>
  </si>
  <si>
    <t>暴力风扇-（划线30%）</t>
  </si>
  <si>
    <t>暴力风扇-（15%）coupon</t>
  </si>
  <si>
    <t>PO售价
外币</t>
  </si>
  <si>
    <t>建议售价(含税)
亚马逊售价-外币</t>
  </si>
  <si>
    <t>成交价
(含税）</t>
  </si>
  <si>
    <t>成交价
(不含税）</t>
  </si>
  <si>
    <t>建议售价
不含税外币</t>
  </si>
  <si>
    <t>二程外币</t>
  </si>
  <si>
    <t>广告
占比</t>
  </si>
  <si>
    <t>前台广告
占比</t>
  </si>
  <si>
    <t>促销
占比</t>
  </si>
  <si>
    <t>其他
占比</t>
  </si>
  <si>
    <t>成本
占比</t>
  </si>
  <si>
    <t>尾程
占比</t>
  </si>
  <si>
    <t>佣金
占比</t>
  </si>
  <si>
    <t>头程
外币</t>
  </si>
  <si>
    <t>2025年
3月</t>
  </si>
  <si>
    <t>4月</t>
  </si>
  <si>
    <t>6月</t>
  </si>
  <si>
    <t>7月</t>
  </si>
  <si>
    <t>8月</t>
  </si>
  <si>
    <t>9月</t>
  </si>
  <si>
    <t>10月</t>
  </si>
  <si>
    <t>11月</t>
  </si>
  <si>
    <t>12月</t>
  </si>
  <si>
    <t>24年
1月</t>
  </si>
  <si>
    <t>2月</t>
  </si>
  <si>
    <t>25年
1月</t>
  </si>
  <si>
    <t>PO价
监控</t>
  </si>
  <si>
    <t>运营</t>
  </si>
  <si>
    <t>除螨仪（coupon-0%）</t>
  </si>
  <si>
    <t>☆</t>
  </si>
  <si>
    <t>#NULL!</t>
  </si>
  <si>
    <t>除螨仪（coupon-5%）</t>
  </si>
  <si>
    <t>除螨仪（coupon-10%）</t>
  </si>
  <si>
    <t>除螨仪（coupon-15%）</t>
  </si>
  <si>
    <t>NL</t>
  </si>
  <si>
    <t>除螨仪荷兰</t>
  </si>
  <si>
    <t>PL</t>
  </si>
  <si>
    <t>除螨仪波兰</t>
  </si>
  <si>
    <t>SE</t>
  </si>
  <si>
    <t>除螨仪瑞典</t>
  </si>
  <si>
    <t>BE</t>
  </si>
  <si>
    <t>除螨仪比利时</t>
  </si>
  <si>
    <t>布艺清洗机（coupon-0%）</t>
  </si>
  <si>
    <t>布艺清洗机（coupon-5%）</t>
  </si>
  <si>
    <t>布艺清洗机（coupon-10%）</t>
  </si>
  <si>
    <t>布艺清洗机（coupon-15%）</t>
  </si>
  <si>
    <t>布艺清洗机荷兰</t>
  </si>
  <si>
    <t>布艺清洗机波兰</t>
  </si>
  <si>
    <t>布艺清洗机瑞典</t>
  </si>
  <si>
    <t>布艺清洗机比利时</t>
  </si>
  <si>
    <t>空净AP100A（coupon-0%）</t>
  </si>
  <si>
    <t>空净AP100A（coupon-5%）</t>
  </si>
  <si>
    <t>空净AP100A（coupon-10%）</t>
  </si>
  <si>
    <t>空净AP100A（coupon-15%）</t>
  </si>
  <si>
    <t>空净AP100A</t>
  </si>
  <si>
    <t>NEW</t>
  </si>
  <si>
    <t>RS1棘轮（coupon-0%）</t>
  </si>
  <si>
    <t>RS1棘轮（coupon-5%）</t>
  </si>
  <si>
    <t>RS1棘轮（coupon-10%）</t>
  </si>
  <si>
    <t>RS1棘轮（coupon-15%）</t>
  </si>
  <si>
    <t>RS1棘轮荷兰</t>
  </si>
  <si>
    <t>RS1棘轮波兰</t>
  </si>
  <si>
    <t>RS1棘轮瑞典</t>
  </si>
  <si>
    <t>RS1棘轮比利时</t>
  </si>
  <si>
    <t>手持吸尘器（coupon-0%）</t>
  </si>
  <si>
    <t>手持吸尘器（coupon-10%）</t>
  </si>
  <si>
    <t>手持吸尘器（coupon-15%）</t>
  </si>
  <si>
    <t>手持吸尘器荷兰</t>
  </si>
  <si>
    <t>手持吸尘器波兰</t>
  </si>
  <si>
    <t>手持吸尘器瑞典</t>
  </si>
  <si>
    <t>手持吸尘器比利时</t>
  </si>
  <si>
    <t>气泵（coupon-0%）</t>
  </si>
  <si>
    <t>气泵（coupon-10%）</t>
  </si>
  <si>
    <t>气泵（coupon-15%）</t>
  </si>
  <si>
    <t>气泵荷兰</t>
  </si>
  <si>
    <t>气泵波兰</t>
  </si>
  <si>
    <t>气泵瑞典</t>
  </si>
  <si>
    <t>气泵比利时</t>
  </si>
  <si>
    <t>HES62-电（coupon-0%）</t>
  </si>
  <si>
    <t>HES62-电（coupon-10%）</t>
  </si>
  <si>
    <t>HES62-电（coupon-15%）</t>
  </si>
  <si>
    <t>HES62-电荷兰</t>
  </si>
  <si>
    <t>HES62-电波兰</t>
  </si>
  <si>
    <t>HES62-电瑞典</t>
  </si>
  <si>
    <t>HES62-电比利时</t>
  </si>
  <si>
    <t>HPS39-手（coupon-0%）</t>
  </si>
  <si>
    <t>HPS39-手（coupon-10%）</t>
  </si>
  <si>
    <t>HPS39-手（coupon-15%）</t>
  </si>
  <si>
    <t>HPS39-手荷兰</t>
  </si>
  <si>
    <t>HPS39-手波兰</t>
  </si>
  <si>
    <t>HPS39-手瑞典</t>
  </si>
  <si>
    <t>HPS39-手比利时</t>
  </si>
  <si>
    <t>杆式吸尘器</t>
  </si>
  <si>
    <t>空净KJ-330</t>
  </si>
  <si>
    <t>B2-1(PRO)(coupon-0%)</t>
  </si>
  <si>
    <t>B2-1(PRO)(coupon-10%)</t>
  </si>
  <si>
    <t>B2-1(PRO)(coupon-15%)</t>
  </si>
  <si>
    <t>B2-1(PRO)荷兰</t>
  </si>
  <si>
    <t>B2-1(PRO)波兰</t>
  </si>
  <si>
    <t>B2-1(PRO)瑞典</t>
  </si>
  <si>
    <t>B2-1(PRO)比利时</t>
  </si>
  <si>
    <t>B3-1(MAX)(coupon-0%）</t>
  </si>
  <si>
    <t>B3-1(MAX)(coupon-10%）</t>
  </si>
  <si>
    <t>B3-1(MAX)(coupon-15%）</t>
  </si>
  <si>
    <t>B3-1(MAX)荷兰</t>
  </si>
  <si>
    <t>B3-1(MAX)波兰</t>
  </si>
  <si>
    <t>B3-1(MAX)瑞典</t>
  </si>
  <si>
    <t>B3-1(MAX)比利时</t>
  </si>
  <si>
    <t>GS-PS1(MAX)(coupon-0%)</t>
  </si>
  <si>
    <t>GS-PS1(MAX)(coupon-10%)</t>
  </si>
  <si>
    <t>GS-PS1(MAX)(coupon-15%)</t>
  </si>
  <si>
    <t>GS-PS1(MAX)荷兰</t>
  </si>
  <si>
    <t>GS-PS1(MAX)波兰</t>
  </si>
  <si>
    <t>GS-PS1(MAX)瑞典</t>
  </si>
  <si>
    <t>GS-PS1(MAX)比利时</t>
  </si>
  <si>
    <t>GS-CS04C(PRO)(coupon-0%）</t>
  </si>
  <si>
    <t>GS-CS04C(PRO)(coupon-10%）</t>
  </si>
  <si>
    <t>GS-CS04C(PRO)(coupon-15%）</t>
  </si>
  <si>
    <t>GS-CS04C(PRO)荷兰</t>
  </si>
  <si>
    <t>GS-CS04C(PRO)波兰</t>
  </si>
  <si>
    <t>GGS-CS04C(PRO)瑞典</t>
  </si>
  <si>
    <t>GS-CS04C(PRO)比利时</t>
  </si>
  <si>
    <t>GS-S1(PRO)(coupon-0%）</t>
  </si>
  <si>
    <t>GS-S1(PRO)(coupon-10%）</t>
  </si>
  <si>
    <t>GS-S1(PRO)(coupon-15%）</t>
  </si>
  <si>
    <t>GS-S1(PRO)荷兰</t>
  </si>
  <si>
    <t>GS-S1(PRO)波兰</t>
  </si>
  <si>
    <t>GS-S1(PRO)瑞典</t>
  </si>
  <si>
    <t>GS-S1(PRO)比利时</t>
  </si>
  <si>
    <t>CG01(PRO)胶枪(coupon-0%）</t>
  </si>
  <si>
    <t>CG01(PRO)胶枪(coupon-10%）</t>
  </si>
  <si>
    <t>CG01(PRO)胶枪(coupon-15%）</t>
  </si>
  <si>
    <t>CG01(PRO)胶枪荷兰</t>
  </si>
  <si>
    <t>CG01(PRO)胶枪波兰</t>
  </si>
  <si>
    <t>CG01(PRO)胶枪瑞典</t>
  </si>
  <si>
    <t>CG01(PRO)胶枪比利时</t>
  </si>
  <si>
    <t>无刷精密电磨(coupon-0%）</t>
  </si>
  <si>
    <t>无刷精密电磨(coupon-10%）</t>
  </si>
  <si>
    <t>无刷精密电磨(coupon-15%）</t>
  </si>
  <si>
    <t>无刷精密电磨荷兰</t>
  </si>
  <si>
    <t>无刷精密电磨波兰</t>
  </si>
  <si>
    <t>无刷精密电磨瑞典</t>
  </si>
  <si>
    <t>无刷精密电磨比利时</t>
  </si>
  <si>
    <t>电磨(coupon-0%）</t>
  </si>
  <si>
    <t>电磨(coupon-10%）</t>
  </si>
  <si>
    <t>电磨(coupon-15%）</t>
  </si>
  <si>
    <t>电磨荷兰</t>
  </si>
  <si>
    <t>电磨波兰</t>
  </si>
  <si>
    <t>电磨瑞典</t>
  </si>
  <si>
    <t>电磨比利时</t>
  </si>
  <si>
    <t>清洁刷(coupon-0%）</t>
  </si>
  <si>
    <t>清洁刷(coupon-10%）</t>
  </si>
  <si>
    <t>清洁刷(coupon-15%）</t>
  </si>
  <si>
    <t>清洁刷荷兰</t>
  </si>
  <si>
    <t>清洁刷波兰</t>
  </si>
  <si>
    <t>清洁刷瑞典</t>
  </si>
  <si>
    <t>清洁刷比利时</t>
  </si>
  <si>
    <t>空净AP300A（coupon-0%）</t>
  </si>
  <si>
    <t>空净AP300A（coupon-10%）</t>
  </si>
  <si>
    <t>空净AP300A（coupon-15%）</t>
  </si>
  <si>
    <t>空净AP300A</t>
  </si>
  <si>
    <t>产品</t>
  </si>
  <si>
    <t>活动</t>
  </si>
  <si>
    <t>除螨仪
B0F1F7J8V3
B0F1F535PC</t>
  </si>
  <si>
    <t>优惠券</t>
  </si>
  <si>
    <t>Coupon 20%</t>
  </si>
  <si>
    <t>Coupon 15%</t>
  </si>
  <si>
    <t>Funding 12，广告8，毛利5.03</t>
  </si>
  <si>
    <t>SC BD</t>
  </si>
  <si>
    <t>VC BFCM;Funding 11.04€</t>
  </si>
  <si>
    <t>SC Price discount:28%，毛利3.07€，1-30号</t>
  </si>
  <si>
    <t>VC BD;Funding 10.09€(300pcs)</t>
  </si>
  <si>
    <t>VC BD;Funding 10.09€(200pcs)</t>
  </si>
  <si>
    <t>VC BD;Funding 10.1€(300pcs)</t>
  </si>
  <si>
    <t>VC BD;Funding 12.97€(400pcs)</t>
  </si>
  <si>
    <t>VC BD;Funding 12.97€(300pcs)</t>
  </si>
  <si>
    <t>COUPON 15%</t>
  </si>
  <si>
    <t>Funding 12，广告8，毛利3.01</t>
  </si>
  <si>
    <t>SC Price discount</t>
  </si>
  <si>
    <t>VC BFCM;Funding 6.48€</t>
  </si>
  <si>
    <t>SC Price discount:15%，8.57€，1-30号</t>
  </si>
  <si>
    <t>VC BD;Funding 9.21€(100pcs)</t>
  </si>
  <si>
    <t>VC BD;Funding 5.87€(100pcs)</t>
  </si>
  <si>
    <t>VC BD;Funding 5.87€(150pcs)</t>
  </si>
  <si>
    <t>VC BD;Funding 5.57€(200pcs)</t>
  </si>
  <si>
    <t>VC BD;Funding 4.17€(200pcs)</t>
  </si>
  <si>
    <t>VC BD;Funding 9.29€(250pcs)</t>
  </si>
  <si>
    <t>Coupon 5%</t>
  </si>
  <si>
    <t>Funding 12，广告8，毛利2.76</t>
  </si>
  <si>
    <t>VC BD;Funding 11.41€</t>
  </si>
  <si>
    <t>VC BD;Funding 9.46€(200pcs)</t>
  </si>
  <si>
    <t>VC BD;Funding 12.13€(200pcs)</t>
  </si>
  <si>
    <t>VC BD;Funding 14.36€(300pcs)</t>
  </si>
  <si>
    <t>VC BD;Funding 9.38€(300pcs)</t>
  </si>
  <si>
    <t>VC BD;Funding 10.33€(400pcs)</t>
  </si>
  <si>
    <t>Coupon 10%</t>
  </si>
  <si>
    <t>Coupon 17%</t>
  </si>
  <si>
    <t>Funding 12，广告8，毛利1.76</t>
  </si>
  <si>
    <t>VC BD;Funding 11.5€</t>
  </si>
  <si>
    <t>VC Price discount:Funding12.75€</t>
  </si>
  <si>
    <t>VC BD;Funding 10.54€(100pcs)</t>
  </si>
  <si>
    <t>VC BD;Funding 13.52€(100pcs)</t>
  </si>
  <si>
    <t>VC BD;Funding 10.54€(200pcs)</t>
  </si>
  <si>
    <t>VC BD;Funding 13.52€(150pcs)</t>
  </si>
  <si>
    <t>VC BD;Funding 12.23€(200pcs)</t>
  </si>
  <si>
    <t>Discount：12%</t>
  </si>
  <si>
    <t>COUPON 12%</t>
  </si>
  <si>
    <t>Funding 10.5，广告8，毛利2.64</t>
  </si>
  <si>
    <t>VC BFCM;Funding 8.75￡</t>
  </si>
  <si>
    <t>VC BD;Funding 8.75€(100pcs)</t>
  </si>
  <si>
    <t>VC BD;Funding 9.33￡(150pcs)</t>
  </si>
  <si>
    <t>VC BD;Funding 9.33€(150pcs)</t>
  </si>
  <si>
    <t>VC BD;Funding 10.42€(200pcs)</t>
  </si>
  <si>
    <t>VC BD;Funding 8.22€(150pcs)</t>
  </si>
  <si>
    <t>VC BD;Funding 8.22€(100pcs)</t>
  </si>
  <si>
    <t>空净
B0FNMBQFBC
B0FNM5M6R6</t>
  </si>
  <si>
    <t>COUPON 10%</t>
  </si>
  <si>
    <t>Funding 7.5，广告5，毛利1.99</t>
  </si>
  <si>
    <t>VC BD;Funding 7.56￡(50pcs)</t>
  </si>
  <si>
    <t>VC BD;Funding 7.5€(50pcs)</t>
  </si>
  <si>
    <t>VC BD;Funding 6.31€(100pcs)</t>
  </si>
  <si>
    <t>VC BD;Funding 7.75€(200pcs)</t>
  </si>
  <si>
    <t>PD15%</t>
  </si>
  <si>
    <t>Funding 7.5，广告5，毛利1.27</t>
  </si>
  <si>
    <t>VC BD;Funding 7￡(50pcs)</t>
  </si>
  <si>
    <t>VC BD;Funding 1.9€(100pcs)</t>
  </si>
  <si>
    <t>VC BD;Funding 7€(100pcs)</t>
  </si>
  <si>
    <t>Coupon 8%</t>
  </si>
  <si>
    <t>Funding 7.5，广告5，毛利1.916</t>
  </si>
  <si>
    <t>VC BD;Funding 8.25￡(50pcs)</t>
  </si>
  <si>
    <t>VC BD;Funding 7.02€(50pcs)</t>
  </si>
  <si>
    <t>Funding 7.5，广告5，毛利0.71</t>
  </si>
  <si>
    <t>VC BD;Funding 6.82￡(50pcs)</t>
  </si>
  <si>
    <t>VC BD;Funding 5.8€(80pcs)</t>
  </si>
  <si>
    <t>VC BD;Funding 6.17€(200pcs)</t>
  </si>
  <si>
    <t>Coupon 12%</t>
  </si>
  <si>
    <t>Funding 6，广告5，毛利-0.06</t>
  </si>
  <si>
    <t>VC BD;Funding 6.25￡(50pcs)</t>
  </si>
  <si>
    <t>VC BD;Funding 5.63€(50pcs)</t>
  </si>
  <si>
    <t>VC BD;Funding 5.32€(50pcs)</t>
  </si>
  <si>
    <t>VC BD;Funding 5.18€</t>
  </si>
  <si>
    <t>VC BD;Funding 5.44€(150pcs)</t>
  </si>
  <si>
    <t>VM 提报 Funding 6.66€</t>
  </si>
  <si>
    <t>手持吸尘器
B0FFGQXWGT</t>
  </si>
  <si>
    <t>Discount：3.5€</t>
  </si>
  <si>
    <t>Discount：5€</t>
  </si>
  <si>
    <t>SC:优惠券10%</t>
  </si>
  <si>
    <t>COUPON 20% SC</t>
  </si>
  <si>
    <t>COUPON 10% VC</t>
  </si>
  <si>
    <t>Funding 5.25，广告2，毛利-0.02</t>
  </si>
  <si>
    <t>SC:优惠券15%</t>
  </si>
  <si>
    <t>Funding 5.25，广告2，毛利-1.03</t>
  </si>
  <si>
    <t>VC Price discount:Funding 4.38€</t>
  </si>
  <si>
    <r>
      <rPr>
        <sz val="9"/>
        <rFont val="等线"/>
        <charset val="134"/>
      </rPr>
      <t>VC BD;Funding 5.62€；</t>
    </r>
    <r>
      <rPr>
        <sz val="10"/>
        <color rgb="FFFF0000"/>
        <rFont val="宋体"/>
        <charset val="134"/>
      </rPr>
      <t>无广告预算</t>
    </r>
  </si>
  <si>
    <t>VC BD;Funding 3€(100pcs)</t>
  </si>
  <si>
    <t>Funding 5.25，广告2，毛利-0.75</t>
  </si>
  <si>
    <t>VC Price discount:Funding 4.31€</t>
  </si>
  <si>
    <t>VC Price discount:Funding 3€</t>
  </si>
  <si>
    <t>VC BD;Funding 4.31€(50pcs)</t>
  </si>
  <si>
    <t>SC:优惠券17%</t>
  </si>
  <si>
    <t>Funding 5.25，广告2，毛利-0.47</t>
  </si>
  <si>
    <t>VC Price discount:Funding 4.34€</t>
  </si>
  <si>
    <r>
      <rPr>
        <sz val="9"/>
        <rFont val="等线"/>
        <charset val="134"/>
      </rPr>
      <t>VC BD;Funding 6.22€；</t>
    </r>
    <r>
      <rPr>
        <sz val="10"/>
        <color rgb="FFFF0000"/>
        <rFont val="宋体"/>
        <charset val="134"/>
      </rPr>
      <t>无广告预算</t>
    </r>
  </si>
  <si>
    <t>气泵
B0FFGKNZNN</t>
  </si>
  <si>
    <t>Funding 12.3，广告8，毛利0.78</t>
  </si>
  <si>
    <t>BD:11.18-11.19 FUNDING (SC)</t>
  </si>
  <si>
    <t xml:space="preserve">COUPON 15% </t>
  </si>
  <si>
    <t>Funding 12.3，广告8，毛利-1.37</t>
  </si>
  <si>
    <t>VC BD;Funding 15.83€；</t>
  </si>
  <si>
    <t>8.19价格折扣10%</t>
  </si>
  <si>
    <t>Discount：15%</t>
  </si>
  <si>
    <t>Funding 12.3，广告8，毛利-0.7</t>
  </si>
  <si>
    <t>VC Price discount:20%</t>
  </si>
  <si>
    <t>Funding 12.3，广告8，毛利0.1</t>
  </si>
  <si>
    <t>Funding 11.25，广告8，毛利0.4</t>
  </si>
  <si>
    <t>62合1
B0FFLJ2HMW</t>
  </si>
  <si>
    <t>Discount：20%</t>
  </si>
  <si>
    <t>无货</t>
  </si>
  <si>
    <t>Funding 5.5，广告4，毛利1.26</t>
  </si>
  <si>
    <t>VC BD;Funding 4.67€；</t>
  </si>
  <si>
    <t>VC BD;Funding 4.67€</t>
  </si>
  <si>
    <t>Funding 5.5，广告4，毛利0.32</t>
  </si>
  <si>
    <t>VC BD;Funding 4.17€</t>
  </si>
  <si>
    <t>BD结束</t>
  </si>
  <si>
    <r>
      <rPr>
        <sz val="9"/>
        <rFont val="等线"/>
        <charset val="134"/>
      </rPr>
      <t>VC BD;Funding 4.67€；</t>
    </r>
    <r>
      <rPr>
        <sz val="9"/>
        <color rgb="FFFF0000"/>
        <rFont val="宋体"/>
        <charset val="134"/>
      </rPr>
      <t>（报错）</t>
    </r>
  </si>
  <si>
    <t>VC BD;Funding 3.04€</t>
  </si>
  <si>
    <t>COUPON 7%</t>
  </si>
  <si>
    <t>Funding 5.5，广告4，毛利0.63</t>
  </si>
  <si>
    <t>VC BD;Funding 4.55€</t>
  </si>
  <si>
    <t>VC BD;Funding 5.84€；</t>
  </si>
  <si>
    <t>Discount：10%</t>
  </si>
  <si>
    <t>Funding 5.5，广告4，毛利1</t>
  </si>
  <si>
    <t>39IN1
B0FFG95G7F</t>
  </si>
  <si>
    <t>Discount：1.5€</t>
  </si>
  <si>
    <t xml:space="preserve">COUPON 5% </t>
  </si>
  <si>
    <t>Funding 2.55，广告2.5，毛利0.8</t>
  </si>
  <si>
    <t>VC BD;Funding 2.4€；</t>
  </si>
  <si>
    <t>VC BD;Funding 2.15€</t>
  </si>
  <si>
    <t>VC BD;Funding 2.15€(100pcs)</t>
  </si>
  <si>
    <t xml:space="preserve">Discount：1.5€ </t>
  </si>
  <si>
    <t>Funding 2.55，广告2.5，毛利0.43</t>
  </si>
  <si>
    <t>VC BD;Funding 2.5€</t>
  </si>
  <si>
    <t>VC BD;Funding 2.31€</t>
  </si>
  <si>
    <t>VC BD;Funding 2.9€(50pcs)</t>
  </si>
  <si>
    <t>COUPON 25%</t>
  </si>
  <si>
    <t>Funding 2.55，广告2.5，毛利0.59</t>
  </si>
  <si>
    <t>VC BD;Funding 2.69€</t>
  </si>
  <si>
    <t>VC BD;Funding 2.68€；</t>
  </si>
  <si>
    <t>VC BD;Funding 2.68€</t>
  </si>
  <si>
    <t>COUPON 8%</t>
  </si>
  <si>
    <t>VC BD;Funding 2.48€</t>
  </si>
  <si>
    <t>VM BD:Funding 4.17€（无进度条）</t>
  </si>
  <si>
    <t>COUPON 9%</t>
  </si>
  <si>
    <t>VC BD;Funding 2.74€(100pcs)</t>
  </si>
  <si>
    <t>RS1
B0FFGHJ575</t>
  </si>
  <si>
    <t>Funding 3，广告2，毛利-0.13</t>
  </si>
  <si>
    <r>
      <rPr>
        <sz val="9"/>
        <rFont val="等线"/>
        <charset val="134"/>
      </rPr>
      <t>VM提报 BFCM;Funding 4.71€；</t>
    </r>
    <r>
      <rPr>
        <sz val="10"/>
        <color rgb="FFFF0000"/>
        <rFont val="宋体"/>
        <charset val="134"/>
      </rPr>
      <t>无广告预算，无进度条</t>
    </r>
  </si>
  <si>
    <t>Discount：2.5€，报错取消</t>
  </si>
  <si>
    <t>Funding 3，广告2，毛利-0.65</t>
  </si>
  <si>
    <t>VC Price discount:Funding 3.34€</t>
  </si>
  <si>
    <t>VC BD;Funding 2.5€；</t>
  </si>
  <si>
    <t>Funding 3，广告2，毛利-0.48</t>
  </si>
  <si>
    <t>VC Price discount:Funding 2.46€</t>
  </si>
  <si>
    <t>VC BD;Funding 2.46€</t>
  </si>
  <si>
    <t>Funding 3，广告2，毛利-0.29</t>
  </si>
  <si>
    <t>VC BD;Funding 2.48€；提前结束</t>
  </si>
  <si>
    <r>
      <rPr>
        <sz val="9"/>
        <rFont val="等线"/>
        <charset val="134"/>
      </rPr>
      <t>VM提报 BFCM;Funding 4.85€；</t>
    </r>
    <r>
      <rPr>
        <sz val="10"/>
        <color rgb="FFFF0000"/>
        <rFont val="宋体"/>
        <charset val="134"/>
      </rPr>
      <t>无广告预算，无进度条</t>
    </r>
  </si>
  <si>
    <t>VC BD;Funding 5.5€；</t>
  </si>
  <si>
    <t>COUPON Funding2.5</t>
  </si>
  <si>
    <t>Funding 2.85，广告2，毛利0.28</t>
  </si>
  <si>
    <t>VC BD;Funding 2￡；</t>
  </si>
  <si>
    <t>VM BD:Funding 4.56€（暂未显示）</t>
  </si>
  <si>
    <t>VC BD;Funding 2.9€(100pcs)</t>
  </si>
  <si>
    <t>批次</t>
  </si>
  <si>
    <t>中文名</t>
  </si>
  <si>
    <t>渠道</t>
  </si>
  <si>
    <t>数量</t>
  </si>
  <si>
    <t>单价</t>
  </si>
  <si>
    <t>报关+清关</t>
  </si>
  <si>
    <t>关税</t>
  </si>
  <si>
    <t>总费用</t>
  </si>
  <si>
    <t>均价</t>
  </si>
  <si>
    <t>货代</t>
  </si>
  <si>
    <t>付款</t>
  </si>
  <si>
    <t>No-2025021101</t>
  </si>
  <si>
    <t>美森</t>
  </si>
  <si>
    <t>佳景</t>
  </si>
  <si>
    <t>已付</t>
  </si>
  <si>
    <t>普船</t>
  </si>
  <si>
    <t>降关税</t>
  </si>
  <si>
    <t>天运</t>
  </si>
  <si>
    <t>整柜</t>
  </si>
  <si>
    <t>4PX</t>
  </si>
  <si>
    <t>飞高</t>
  </si>
  <si>
    <t>HYCHIKA-RS1棘轮螺丝刀套装</t>
  </si>
  <si>
    <t>空运-C1</t>
  </si>
  <si>
    <t>美易</t>
  </si>
  <si>
    <t>铁路-UPS</t>
  </si>
  <si>
    <t>空运-A0</t>
  </si>
  <si>
    <t>铁路-DPD</t>
  </si>
  <si>
    <t>No-2025062702</t>
  </si>
  <si>
    <t>嘀嗒嘀</t>
  </si>
  <si>
    <t>No-2025062701</t>
  </si>
  <si>
    <t>欧铁</t>
  </si>
  <si>
    <t>No-2025063001</t>
  </si>
  <si>
    <t>散货</t>
  </si>
  <si>
    <t>保英达</t>
  </si>
  <si>
    <t>No-2025090201</t>
  </si>
  <si>
    <t>No-2025080801</t>
  </si>
  <si>
    <t>No-2025111401</t>
  </si>
  <si>
    <t>No-2025121801</t>
  </si>
  <si>
    <t>No-2025111402</t>
  </si>
  <si>
    <t>No-2026013001</t>
  </si>
  <si>
    <t>No-2025123101</t>
  </si>
  <si>
    <t>海运费：2850美金
港杂费：2500RMB
拖车费：1000RMB
提进费：650RMB
报关费：350RMB
后端清提派：2400欧</t>
  </si>
  <si>
    <t>No-2025122601</t>
  </si>
  <si>
    <t>No-2026030501</t>
  </si>
  <si>
    <t>No-2026032401</t>
  </si>
  <si>
    <t>月份</t>
  </si>
  <si>
    <t>期初库存</t>
  </si>
  <si>
    <t>入库数量</t>
  </si>
  <si>
    <t>待发PO</t>
  </si>
  <si>
    <t>普通PO</t>
  </si>
  <si>
    <t>PO计划
月销</t>
  </si>
  <si>
    <t>PO实际
月销</t>
  </si>
  <si>
    <t>前台
月销</t>
  </si>
  <si>
    <t>前台期末库存</t>
  </si>
  <si>
    <t>入库备注</t>
  </si>
  <si>
    <t>到货时间</t>
  </si>
  <si>
    <t>出货时间</t>
  </si>
  <si>
    <t>下单时间</t>
  </si>
  <si>
    <t>订单状态</t>
  </si>
  <si>
    <t>采购单号</t>
  </si>
  <si>
    <t>物流
交期</t>
  </si>
  <si>
    <t>生产
交期</t>
  </si>
  <si>
    <t>已入库</t>
  </si>
  <si>
    <t>在途</t>
  </si>
  <si>
    <t>已下单</t>
  </si>
  <si>
    <t>新订单</t>
  </si>
  <si>
    <t>视频链接</t>
  </si>
  <si>
    <t>https://www.tiktok.com/@/video/7507733538158972191?shop_region=US</t>
  </si>
  <si>
    <t>https://www.tiktok.com/@/video/7505007970158185771?shop_region=US</t>
  </si>
  <si>
    <t>https://www.tiktok.com/@/video/7510315444860063022?shop_region=US</t>
  </si>
  <si>
    <t>https://www.tiktok.com/@/video/7509468659413372206?shop_region=US</t>
  </si>
  <si>
    <t>https://www.tiktok.com/@/video/7507463120143600939?shop_region=US</t>
  </si>
  <si>
    <t>https://www.tiktok.com/@/video/7509602854680710443?shop_region=US</t>
  </si>
  <si>
    <t>https://www.tiktok.com/@/video/7512260049553607966?shop_region=US</t>
  </si>
  <si>
    <t>https://www.tiktok.com/@/video/7510281518846135582?shop_region=US</t>
  </si>
  <si>
    <t>https://www.tiktok.com/@/video/7512121539337194782?shop_region=US</t>
  </si>
  <si>
    <t>https://www.tiktok.com/@/video/7512217482250177838?shop_region=US</t>
  </si>
  <si>
    <t>https://www.tiktok.com/@/video/7510822530660289823?shop_region=US</t>
  </si>
  <si>
    <t>https://www.tiktok.com/@/video/7513258934547860779?shop_region=US</t>
  </si>
  <si>
    <t>2025年10月1日生效（减2.5%）</t>
  </si>
  <si>
    <t>占比</t>
  </si>
  <si>
    <t>2026年1月1日生效</t>
  </si>
  <si>
    <t>Brand</t>
  </si>
  <si>
    <t>原PO售价
外币</t>
  </si>
  <si>
    <t>原建议售价(含税)
亚马逊售价-外币</t>
  </si>
  <si>
    <t>后台PO价</t>
  </si>
  <si>
    <t>对比
PO价</t>
  </si>
  <si>
    <t>尾程
外币</t>
  </si>
  <si>
    <t>头程 
*1.5</t>
  </si>
  <si>
    <t>23年
3月</t>
  </si>
  <si>
    <t>除螨仪英国灰色</t>
  </si>
  <si>
    <t>除螨仪德国灰色</t>
  </si>
  <si>
    <t>除螨仪法国灰色</t>
  </si>
  <si>
    <t>除螨仪意大利灰</t>
  </si>
  <si>
    <t>除螨仪西班牙灰</t>
  </si>
  <si>
    <t>除螨仪荷兰灰色</t>
  </si>
  <si>
    <t>除螨仪波兰灰色</t>
  </si>
  <si>
    <t>除螨仪瑞典灰色</t>
  </si>
  <si>
    <t>除螨仪比利时灰</t>
  </si>
  <si>
    <t xml:space="preserve">电动牙刷英国 </t>
  </si>
  <si>
    <t>电动牙刷德国</t>
  </si>
  <si>
    <t>电动牙刷法国</t>
  </si>
  <si>
    <t>电动牙刷意大利</t>
  </si>
  <si>
    <t>电动牙刷西班牙</t>
  </si>
  <si>
    <t>电动牙刷荷兰</t>
  </si>
  <si>
    <t>电动牙刷波兰</t>
  </si>
  <si>
    <t>电动牙刷瑞典</t>
  </si>
  <si>
    <t>电动牙刷比利时</t>
  </si>
  <si>
    <t>渠道SKU</t>
  </si>
  <si>
    <t>供货价</t>
  </si>
  <si>
    <t>出库费</t>
  </si>
  <si>
    <t>DF cost price</t>
  </si>
  <si>
    <t>Net
PPM</t>
  </si>
  <si>
    <t>海外仓库存</t>
  </si>
  <si>
    <t>VC前台库存</t>
  </si>
  <si>
    <t>大健云仓</t>
  </si>
  <si>
    <t>W2938P336074</t>
  </si>
  <si>
    <t>暂停</t>
  </si>
  <si>
    <t>R2938P336074</t>
  </si>
  <si>
    <t>4头烤炉</t>
  </si>
  <si>
    <t>ZOKK6</t>
  </si>
  <si>
    <t>W2938P336104</t>
  </si>
  <si>
    <t>R2938P336104</t>
  </si>
  <si>
    <t>3头烤炉</t>
  </si>
  <si>
    <t>W2938P332357</t>
  </si>
  <si>
    <t>R2938P332357</t>
  </si>
  <si>
    <t>6头烤炉+1侧炉</t>
  </si>
  <si>
    <t>W2717P187987</t>
  </si>
  <si>
    <t>类目问题</t>
  </si>
  <si>
    <t>R2717P187987</t>
  </si>
  <si>
    <t>五步黑色</t>
  </si>
  <si>
    <t>W2717P239455</t>
  </si>
  <si>
    <t>R2717P239455</t>
  </si>
  <si>
    <t>五步白色</t>
  </si>
  <si>
    <t>W2717P186130</t>
  </si>
  <si>
    <t>R2717P186130</t>
  </si>
  <si>
    <t>四步黑色</t>
  </si>
  <si>
    <t>W2717P239467</t>
  </si>
  <si>
    <t>R2717P239467</t>
  </si>
  <si>
    <t>四步白色</t>
  </si>
  <si>
    <t>W2660P278755</t>
  </si>
  <si>
    <t>R2660P278755</t>
  </si>
  <si>
    <t>W3267P309443</t>
  </si>
  <si>
    <t>R3267P309443</t>
  </si>
  <si>
    <t>W1239137222</t>
  </si>
  <si>
    <t>R1239137222</t>
  </si>
  <si>
    <t>W1961P290529</t>
  </si>
  <si>
    <t>R1961P290529</t>
  </si>
  <si>
    <t>W46538539</t>
  </si>
  <si>
    <t>R46538539</t>
  </si>
  <si>
    <t>W2885P246380</t>
  </si>
  <si>
    <t>R2885P246380</t>
  </si>
  <si>
    <t>W2660P180063</t>
  </si>
  <si>
    <t>R2660P180063</t>
  </si>
  <si>
    <t>红色七层抽屉可滚动工具储物工具车</t>
  </si>
  <si>
    <t>W2660P217919</t>
  </si>
  <si>
    <t>R2660P217919</t>
  </si>
  <si>
    <t>黑色七层抽屉可滚动工具储物工具车</t>
  </si>
  <si>
    <t>W2660P217926</t>
  </si>
  <si>
    <t>R2660P217926</t>
  </si>
  <si>
    <t>黑色四层抽屉可滚动工具储物工具车</t>
  </si>
  <si>
    <t>W2391P167675</t>
  </si>
  <si>
    <t>R2391P167675</t>
  </si>
  <si>
    <t>100L Laundry Hamper
100升脏衣喽</t>
  </si>
  <si>
    <t>W2391P167690</t>
  </si>
  <si>
    <t>R2391P167690</t>
  </si>
  <si>
    <t>W2391P167699</t>
  </si>
  <si>
    <t>R2391P167699</t>
  </si>
  <si>
    <t>160L Laundry Hamper
160升脏衣喽</t>
  </si>
  <si>
    <t>W2391P167709</t>
  </si>
  <si>
    <t>R2391P167709</t>
  </si>
  <si>
    <t>B0FB3XYNDP</t>
  </si>
  <si>
    <t>FW26600008US</t>
  </si>
  <si>
    <t>16.5FT</t>
  </si>
  <si>
    <t>B0FB3V4NZ8</t>
  </si>
  <si>
    <t>FW26600007US</t>
  </si>
  <si>
    <t>14.5FT</t>
  </si>
  <si>
    <t>B0FB3TTBC2</t>
  </si>
  <si>
    <t>FW26600006US</t>
  </si>
  <si>
    <t>12.5FT</t>
  </si>
  <si>
    <t>B0FB3SWK8Z</t>
  </si>
  <si>
    <t>FW26600004US</t>
  </si>
  <si>
    <t>8.5FT</t>
  </si>
  <si>
    <t>B0FB3SMMT6</t>
  </si>
  <si>
    <t>FW26600005US</t>
  </si>
  <si>
    <t>10.5FT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</si>
</sst>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  <numFmt numFmtId="177" formatCode="0.00_);[Red]\(0.00\)"/>
    <numFmt numFmtId="178" formatCode="&quot;$&quot;#,##0.00;[Red]\-&quot;$&quot;#,##0.00"/>
    <numFmt numFmtId="179" formatCode="0.00_ ;[Red]\-0.00\ "/>
    <numFmt numFmtId="180" formatCode="0.0%"/>
    <numFmt numFmtId="181" formatCode="&quot;$&quot;#,##0.0;[Red]\-&quot;$&quot;#,##0.0"/>
    <numFmt numFmtId="182" formatCode="0.0_ ;[Red]\-0.0\ "/>
    <numFmt numFmtId="183" formatCode="0.0"/>
    <numFmt numFmtId="184" formatCode="&quot;$&quot;#,##0.00_);[Red]\(&quot;$&quot;#,##0.00\)"/>
    <numFmt numFmtId="185" formatCode="0_ "/>
    <numFmt numFmtId="186" formatCode="0_);[Red]\(0\)"/>
    <numFmt numFmtId="187" formatCode="yyyy/m;@"/>
    <numFmt numFmtId="188" formatCode="0_ ;[Red]\-0\ "/>
    <numFmt numFmtId="189" formatCode="#,##0.0_);[Red]\(#,##0.0\)"/>
    <numFmt numFmtId="190" formatCode="m/d;@"/>
    <numFmt numFmtId="191" formatCode="m&quot;月&quot;d&quot;日&quot;;@"/>
    <numFmt numFmtId="192" formatCode="&quot;$&quot;#,##0.0_);[Red]\(&quot;$&quot;#,##0.0\)"/>
    <numFmt numFmtId="193" formatCode="\¥#,##0.0_);[Red]\(\¥#,##0.0\)"/>
  </numFmts>
  <fonts count="54">
    <font>
      <sz val="9"/>
      <name val="等线"/>
      <charset val="64"/>
    </font>
    <font>
      <b/>
      <sz val="9"/>
      <name val="微软雅黑"/>
      <charset val="134"/>
    </font>
    <font>
      <b/>
      <sz val="9"/>
      <color rgb="FF0D0015"/>
      <name val="微软雅黑"/>
      <charset val="134"/>
    </font>
    <font>
      <sz val="9"/>
      <name val="等线"/>
      <charset val="134"/>
    </font>
    <font>
      <b/>
      <sz val="10"/>
      <color rgb="FF0D0015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rgb="FF0D0015"/>
      <name val="微软雅黑"/>
      <charset val="134"/>
    </font>
    <font>
      <sz val="12"/>
      <name val="BlinkMacSystemFont"/>
      <charset val="134"/>
    </font>
    <font>
      <u/>
      <sz val="12"/>
      <color rgb="FF3861AF"/>
      <name val="BlinkMacSystemFont"/>
      <charset val="134"/>
    </font>
    <font>
      <u/>
      <sz val="12"/>
      <color rgb="FF0066CC"/>
      <name val="BlinkMacSystemFont"/>
      <charset val="134"/>
    </font>
    <font>
      <sz val="14"/>
      <name val="BlinkMacSystemFont"/>
      <charset val="134"/>
    </font>
    <font>
      <sz val="9"/>
      <name val="BlinkMacSystemFont"/>
      <charset val="134"/>
    </font>
    <font>
      <b/>
      <sz val="9"/>
      <name val="等线"/>
      <charset val="134"/>
    </font>
    <font>
      <sz val="9"/>
      <name val="微软雅黑"/>
      <charset val="134"/>
    </font>
    <font>
      <b/>
      <sz val="10"/>
      <name val="等线"/>
      <charset val="134"/>
    </font>
    <font>
      <sz val="9"/>
      <color rgb="FF000000"/>
      <name val="等线"/>
      <charset val="134"/>
    </font>
    <font>
      <sz val="9"/>
      <color rgb="FFFF0000"/>
      <name val="等线"/>
      <charset val="134"/>
    </font>
    <font>
      <sz val="9"/>
      <color rgb="FF0D0015"/>
      <name val="微软雅黑"/>
      <charset val="134"/>
    </font>
    <font>
      <b/>
      <sz val="11"/>
      <name val="宋体"/>
      <charset val="134"/>
    </font>
    <font>
      <b/>
      <sz val="11"/>
      <name val="等线"/>
      <charset val="134"/>
    </font>
    <font>
      <b/>
      <sz val="9"/>
      <color rgb="FFFF0000"/>
      <name val="等线"/>
      <charset val="134"/>
    </font>
    <font>
      <sz val="11"/>
      <name val="等线"/>
      <charset val="134"/>
    </font>
    <font>
      <b/>
      <sz val="9"/>
      <name val="BlinkMacSystemFont"/>
      <charset val="134"/>
    </font>
    <font>
      <u/>
      <sz val="9"/>
      <color rgb="FF0066CC"/>
      <name val="BlinkMacSystemFont"/>
      <charset val="134"/>
    </font>
    <font>
      <sz val="8"/>
      <color rgb="FF000000"/>
      <name val="BlinkMacSystemFont"/>
      <charset val="134"/>
    </font>
    <font>
      <u/>
      <sz val="9"/>
      <color rgb="FF3861AF"/>
      <name val="等线"/>
      <charset val="134"/>
    </font>
    <font>
      <u/>
      <sz val="9"/>
      <color rgb="FF3861AF"/>
      <name val="BlinkMacSystemFont"/>
      <charset val="134"/>
    </font>
    <font>
      <sz val="9"/>
      <color rgb="FF000000"/>
      <name val="BlinkMacSystemFont"/>
      <charset val="134"/>
    </font>
    <font>
      <u/>
      <sz val="9"/>
      <color rgb="FF0066CC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宋体"/>
      <charset val="134"/>
    </font>
    <font>
      <sz val="10"/>
      <color rgb="FFFF0000"/>
      <name val="宋体"/>
      <charset val="134"/>
    </font>
    <font>
      <sz val="9"/>
      <color rgb="FF000000"/>
      <name val="宋体"/>
      <charset val="0"/>
      <scheme val="minor"/>
    </font>
    <font>
      <sz val="12"/>
      <color rgb="FF0000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A3E043"/>
        <bgColor indexed="64"/>
      </patternFill>
    </fill>
    <fill>
      <patternFill patternType="solid">
        <fgColor rgb="FF4DA8EE"/>
        <bgColor indexed="64"/>
      </patternFill>
    </fill>
    <fill>
      <patternFill patternType="solid">
        <fgColor rgb="FFFFD900"/>
        <bgColor indexed="64"/>
      </patternFill>
    </fill>
    <fill>
      <patternFill patternType="solid">
        <fgColor rgb="FF98FA1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8C091"/>
        <bgColor indexed="64"/>
      </patternFill>
    </fill>
    <fill>
      <patternFill patternType="solid">
        <fgColor rgb="FFEE7976"/>
        <bgColor indexed="64"/>
      </patternFill>
    </fill>
    <fill>
      <patternFill patternType="solid">
        <fgColor rgb="FFD7D8D9"/>
        <bgColor indexed="64"/>
      </patternFill>
    </fill>
    <fill>
      <patternFill patternType="solid">
        <fgColor rgb="FF956FE7"/>
        <bgColor indexed="64"/>
      </patternFill>
    </fill>
    <fill>
      <patternFill patternType="solid">
        <fgColor rgb="FF9C8E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7D9F0"/>
        <bgColor indexed="64"/>
      </patternFill>
    </fill>
    <fill>
      <patternFill patternType="solid">
        <fgColor rgb="FFFF78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B2B2B"/>
      </left>
      <right/>
      <top style="thin">
        <color rgb="FF2B2B2B"/>
      </top>
      <bottom/>
      <diagonal/>
    </border>
    <border>
      <left/>
      <right/>
      <top style="thin">
        <color rgb="FF2B2B2B"/>
      </top>
      <bottom/>
      <diagonal/>
    </border>
    <border>
      <left/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/>
      <top/>
      <bottom/>
      <diagonal/>
    </border>
    <border>
      <left/>
      <right style="thin">
        <color rgb="FF2B2B2B"/>
      </right>
      <top/>
      <bottom/>
      <diagonal/>
    </border>
    <border>
      <left style="thin">
        <color rgb="FF2B2B2B"/>
      </left>
      <right/>
      <top/>
      <bottom style="thin">
        <color rgb="FF2B2B2B"/>
      </bottom>
      <diagonal/>
    </border>
    <border>
      <left/>
      <right/>
      <top/>
      <bottom style="thin">
        <color rgb="FF2B2B2B"/>
      </bottom>
      <diagonal/>
    </border>
    <border>
      <left/>
      <right style="thin">
        <color rgb="FF2B2B2B"/>
      </right>
      <top/>
      <bottom style="thin">
        <color rgb="FF2B2B2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7" borderId="14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8" borderId="17" applyNumberFormat="0" applyAlignment="0" applyProtection="0">
      <alignment vertical="center"/>
    </xf>
    <xf numFmtId="0" fontId="40" fillId="19" borderId="18" applyNumberFormat="0" applyAlignment="0" applyProtection="0">
      <alignment vertical="center"/>
    </xf>
    <xf numFmtId="0" fontId="41" fillId="19" borderId="17" applyNumberFormat="0" applyAlignment="0" applyProtection="0">
      <alignment vertical="center"/>
    </xf>
    <xf numFmtId="0" fontId="42" fillId="20" borderId="19" applyNumberFormat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</cellStyleXfs>
  <cellXfs count="330">
    <xf numFmtId="0" fontId="0" fillId="0" borderId="0" xfId="0" applyFon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3" borderId="1" xfId="0" applyNumberFormat="1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horizontal="center" vertical="center" wrapText="1"/>
    </xf>
    <xf numFmtId="179" fontId="2" fillId="3" borderId="1" xfId="0" applyNumberFormat="1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181" fontId="2" fillId="3" borderId="2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82" fontId="3" fillId="0" borderId="0" xfId="0" applyNumberFormat="1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83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181" fontId="3" fillId="0" borderId="0" xfId="0" applyNumberFormat="1" applyFont="1">
      <alignment vertical="center"/>
    </xf>
    <xf numFmtId="182" fontId="3" fillId="0" borderId="0" xfId="0" applyNumberFormat="1" applyFont="1">
      <alignment vertical="center"/>
    </xf>
    <xf numFmtId="184" fontId="3" fillId="0" borderId="0" xfId="0" applyNumberFormat="1" applyFont="1">
      <alignment vertical="center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 wrapText="1"/>
    </xf>
    <xf numFmtId="177" fontId="5" fillId="7" borderId="1" xfId="0" applyNumberFormat="1" applyFont="1" applyFill="1" applyBorder="1" applyAlignment="1">
      <alignment horizontal="center" vertical="center" wrapText="1"/>
    </xf>
    <xf numFmtId="179" fontId="5" fillId="8" borderId="1" xfId="0" applyNumberFormat="1" applyFont="1" applyFill="1" applyBorder="1" applyAlignment="1">
      <alignment horizontal="center" vertical="center" wrapText="1"/>
    </xf>
    <xf numFmtId="179" fontId="5" fillId="3" borderId="1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17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0" fontId="4" fillId="9" borderId="1" xfId="0" applyNumberFormat="1" applyFont="1" applyFill="1" applyBorder="1" applyAlignment="1">
      <alignment horizontal="center" vertical="center" wrapText="1"/>
    </xf>
    <xf numFmtId="182" fontId="4" fillId="3" borderId="1" xfId="0" applyNumberFormat="1" applyFont="1" applyFill="1" applyBorder="1" applyAlignment="1">
      <alignment horizontal="center" vertical="center" wrapText="1"/>
    </xf>
    <xf numFmtId="177" fontId="5" fillId="8" borderId="1" xfId="0" applyNumberFormat="1" applyFont="1" applyFill="1" applyBorder="1" applyAlignment="1">
      <alignment horizontal="left" vertical="center" wrapText="1"/>
    </xf>
    <xf numFmtId="10" fontId="5" fillId="3" borderId="1" xfId="0" applyNumberFormat="1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177" fontId="4" fillId="10" borderId="1" xfId="0" applyNumberFormat="1" applyFont="1" applyFill="1" applyBorder="1" applyAlignment="1">
      <alignment horizontal="left" vertical="center" wrapText="1"/>
    </xf>
    <xf numFmtId="0" fontId="4" fillId="10" borderId="1" xfId="0" applyNumberFormat="1" applyFont="1" applyFill="1" applyBorder="1" applyAlignment="1">
      <alignment horizontal="left" vertical="center" wrapText="1"/>
    </xf>
    <xf numFmtId="9" fontId="5" fillId="11" borderId="1" xfId="0" applyNumberFormat="1" applyFont="1" applyFill="1" applyBorder="1" applyAlignment="1">
      <alignment horizontal="center" vertical="center" wrapText="1"/>
    </xf>
    <xf numFmtId="177" fontId="4" fillId="1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9" fontId="5" fillId="2" borderId="1" xfId="0" applyNumberFormat="1" applyFont="1" applyFill="1" applyBorder="1" applyAlignment="1">
      <alignment horizontal="center" vertical="center" wrapText="1"/>
    </xf>
    <xf numFmtId="0" fontId="5" fillId="11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wrapText="1"/>
    </xf>
    <xf numFmtId="185" fontId="6" fillId="0" borderId="1" xfId="0" applyNumberFormat="1" applyFont="1" applyBorder="1" applyAlignment="1">
      <alignment horizontal="center" vertical="center" wrapText="1"/>
    </xf>
    <xf numFmtId="0" fontId="6" fillId="0" borderId="3" xfId="0" applyNumberFormat="1" applyFont="1" applyBorder="1" applyAlignment="1">
      <alignment horizontal="center"/>
    </xf>
    <xf numFmtId="177" fontId="6" fillId="0" borderId="1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/>
    </xf>
    <xf numFmtId="179" fontId="6" fillId="0" borderId="1" xfId="0" applyNumberFormat="1" applyFont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3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0" fontId="7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/>
    <xf numFmtId="0" fontId="6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186" fontId="6" fillId="0" borderId="1" xfId="0" applyNumberFormat="1" applyFont="1" applyBorder="1" applyAlignment="1">
      <alignment horizontal="center" vertical="center"/>
    </xf>
    <xf numFmtId="10" fontId="3" fillId="0" borderId="0" xfId="0" applyNumberFormat="1" applyFont="1">
      <alignment vertical="center"/>
    </xf>
    <xf numFmtId="9" fontId="3" fillId="0" borderId="0" xfId="0" applyNumberFormat="1" applyFont="1">
      <alignment vertical="center"/>
    </xf>
    <xf numFmtId="0" fontId="8" fillId="4" borderId="0" xfId="0" applyNumberFormat="1" applyFont="1" applyFill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10" fillId="0" borderId="0" xfId="0" applyNumberFormat="1" applyFont="1" applyAlignment="1"/>
    <xf numFmtId="0" fontId="11" fillId="0" borderId="0" xfId="0" applyNumberFormat="1" applyFont="1" applyAlignment="1">
      <alignment horizontal="center" vertical="center"/>
    </xf>
    <xf numFmtId="0" fontId="12" fillId="0" borderId="0" xfId="0" applyNumberFormat="1" applyFont="1" applyAlignment="1"/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7" fontId="12" fillId="0" borderId="1" xfId="0" applyNumberFormat="1" applyFont="1" applyBorder="1" applyAlignment="1">
      <alignment horizontal="center" vertical="center"/>
    </xf>
    <xf numFmtId="188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/>
    </xf>
    <xf numFmtId="0" fontId="12" fillId="0" borderId="1" xfId="0" applyNumberFormat="1" applyFont="1" applyBorder="1" applyAlignment="1"/>
    <xf numFmtId="0" fontId="12" fillId="0" borderId="0" xfId="0" applyNumberFormat="1" applyFont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6" fillId="12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Border="1">
      <alignment vertical="center"/>
    </xf>
    <xf numFmtId="14" fontId="12" fillId="0" borderId="1" xfId="0" applyNumberFormat="1" applyFont="1" applyBorder="1" applyAlignment="1">
      <alignment horizontal="center" vertical="center"/>
    </xf>
    <xf numFmtId="0" fontId="6" fillId="5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0" fontId="13" fillId="0" borderId="0" xfId="0" applyNumberFormat="1" applyFont="1" applyAlignment="1">
      <alignment horizontal="center" vertical="center"/>
    </xf>
    <xf numFmtId="189" fontId="13" fillId="0" borderId="0" xfId="0" applyNumberFormat="1" applyFont="1" applyAlignment="1">
      <alignment horizontal="center" vertical="center"/>
    </xf>
    <xf numFmtId="40" fontId="3" fillId="0" borderId="0" xfId="0" applyNumberFormat="1" applyFont="1" applyAlignment="1">
      <alignment horizontal="center" vertical="center"/>
    </xf>
    <xf numFmtId="189" fontId="3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0" fontId="3" fillId="0" borderId="0" xfId="0" applyNumberFormat="1" applyFont="1">
      <alignment vertical="center"/>
    </xf>
    <xf numFmtId="0" fontId="3" fillId="12" borderId="0" xfId="0" applyFont="1" applyFill="1" applyAlignment="1">
      <alignment horizontal="center" vertical="center"/>
    </xf>
    <xf numFmtId="187" fontId="3" fillId="0" borderId="0" xfId="0" applyNumberFormat="1" applyFont="1">
      <alignment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4" fillId="0" borderId="0" xfId="0" applyNumberFormat="1" applyFont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190" fontId="15" fillId="4" borderId="0" xfId="0" applyNumberFormat="1" applyFont="1" applyFill="1" applyAlignment="1">
      <alignment horizontal="center" vertical="center"/>
    </xf>
    <xf numFmtId="191" fontId="15" fillId="4" borderId="0" xfId="0" applyNumberFormat="1" applyFont="1" applyFill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13" fillId="0" borderId="5" xfId="0" applyNumberFormat="1" applyFont="1" applyBorder="1">
      <alignment vertical="center"/>
    </xf>
    <xf numFmtId="0" fontId="3" fillId="0" borderId="5" xfId="0" applyFont="1" applyBorder="1">
      <alignment vertical="center"/>
    </xf>
    <xf numFmtId="9" fontId="3" fillId="0" borderId="6" xfId="0" applyNumberFormat="1" applyFont="1" applyBorder="1" applyAlignment="1">
      <alignment horizontal="left" vertical="center"/>
    </xf>
    <xf numFmtId="0" fontId="3" fillId="13" borderId="0" xfId="0" applyFont="1" applyFill="1" applyAlignment="1">
      <alignment horizontal="center" vertical="center"/>
    </xf>
    <xf numFmtId="0" fontId="3" fillId="0" borderId="7" xfId="0" applyNumberFormat="1" applyFont="1" applyBorder="1">
      <alignment vertical="center"/>
    </xf>
    <xf numFmtId="0" fontId="13" fillId="0" borderId="0" xfId="0" applyNumberFormat="1" applyFont="1">
      <alignment vertical="center"/>
    </xf>
    <xf numFmtId="0" fontId="3" fillId="0" borderId="8" xfId="0" applyFont="1" applyBorder="1" applyAlignment="1">
      <alignment horizontal="left" vertical="center"/>
    </xf>
    <xf numFmtId="0" fontId="3" fillId="13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left" vertical="center"/>
    </xf>
    <xf numFmtId="0" fontId="3" fillId="5" borderId="0" xfId="0" applyNumberFormat="1" applyFont="1" applyFill="1" applyAlignment="1">
      <alignment horizontal="center" vertical="center"/>
    </xf>
    <xf numFmtId="9" fontId="3" fillId="0" borderId="8" xfId="0" applyNumberFormat="1" applyFont="1" applyBorder="1" applyAlignment="1">
      <alignment horizontal="left" vertical="center"/>
    </xf>
    <xf numFmtId="0" fontId="3" fillId="6" borderId="0" xfId="0" applyNumberFormat="1" applyFont="1" applyFill="1" applyAlignment="1">
      <alignment horizontal="center" vertical="center"/>
    </xf>
    <xf numFmtId="9" fontId="3" fillId="5" borderId="0" xfId="0" applyNumberFormat="1" applyFont="1" applyFill="1" applyAlignment="1">
      <alignment horizontal="center" vertical="center"/>
    </xf>
    <xf numFmtId="0" fontId="3" fillId="0" borderId="9" xfId="0" applyNumberFormat="1" applyFont="1" applyBorder="1">
      <alignment vertical="center"/>
    </xf>
    <xf numFmtId="0" fontId="13" fillId="0" borderId="10" xfId="0" applyNumberFormat="1" applyFont="1" applyBorder="1">
      <alignment vertical="center"/>
    </xf>
    <xf numFmtId="0" fontId="3" fillId="0" borderId="10" xfId="0" applyNumberFormat="1" applyFont="1" applyBorder="1">
      <alignment vertical="center"/>
    </xf>
    <xf numFmtId="0" fontId="3" fillId="0" borderId="7" xfId="0" applyFont="1" applyBorder="1">
      <alignment vertical="center"/>
    </xf>
    <xf numFmtId="0" fontId="16" fillId="13" borderId="0" xfId="0" applyNumberFormat="1" applyFont="1" applyFill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11" xfId="0" applyFont="1" applyBorder="1" applyAlignment="1">
      <alignment horizontal="left" vertical="center"/>
    </xf>
    <xf numFmtId="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5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8" xfId="0" applyNumberFormat="1" applyFont="1" applyBorder="1" applyAlignment="1">
      <alignment horizontal="left" vertical="center"/>
    </xf>
    <xf numFmtId="0" fontId="3" fillId="0" borderId="11" xfId="0" applyNumberFormat="1" applyFont="1" applyBorder="1" applyAlignment="1">
      <alignment horizontal="left" vertical="center"/>
    </xf>
    <xf numFmtId="0" fontId="3" fillId="0" borderId="5" xfId="0" applyNumberFormat="1" applyFont="1" applyBorder="1">
      <alignment vertical="center"/>
    </xf>
    <xf numFmtId="0" fontId="17" fillId="13" borderId="0" xfId="0" applyFont="1" applyFill="1" applyAlignment="1">
      <alignment horizontal="center" vertical="center"/>
    </xf>
    <xf numFmtId="0" fontId="17" fillId="13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3" fillId="0" borderId="0" xfId="0" applyFont="1">
      <alignment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horizontal="center" vertical="center" wrapText="1"/>
    </xf>
    <xf numFmtId="177" fontId="5" fillId="12" borderId="1" xfId="0" applyNumberFormat="1" applyFont="1" applyFill="1" applyBorder="1" applyAlignment="1">
      <alignment horizontal="center" vertical="center" wrapText="1"/>
    </xf>
    <xf numFmtId="179" fontId="4" fillId="2" borderId="1" xfId="0" applyNumberFormat="1" applyFont="1" applyFill="1" applyBorder="1" applyAlignment="1">
      <alignment horizontal="center" vertical="center" wrapText="1"/>
    </xf>
    <xf numFmtId="180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 wrapText="1"/>
    </xf>
    <xf numFmtId="182" fontId="4" fillId="12" borderId="1" xfId="0" applyNumberFormat="1" applyFont="1" applyFill="1" applyBorder="1" applyAlignment="1">
      <alignment horizontal="center" vertical="center" wrapText="1"/>
    </xf>
    <xf numFmtId="179" fontId="4" fillId="12" borderId="1" xfId="0" applyNumberFormat="1" applyFont="1" applyFill="1" applyBorder="1" applyAlignment="1">
      <alignment horizontal="center" vertical="center" wrapText="1"/>
    </xf>
    <xf numFmtId="0" fontId="4" fillId="12" borderId="1" xfId="0" applyNumberFormat="1" applyFont="1" applyFill="1" applyBorder="1" applyAlignment="1">
      <alignment horizontal="center" vertical="center" wrapText="1"/>
    </xf>
    <xf numFmtId="10" fontId="5" fillId="12" borderId="1" xfId="0" applyNumberFormat="1" applyFont="1" applyFill="1" applyBorder="1" applyAlignment="1">
      <alignment horizontal="center" vertical="center" wrapText="1"/>
    </xf>
    <xf numFmtId="10" fontId="5" fillId="2" borderId="1" xfId="0" applyNumberFormat="1" applyFont="1" applyFill="1" applyBorder="1" applyAlignment="1">
      <alignment horizontal="center" vertical="center" wrapText="1"/>
    </xf>
    <xf numFmtId="177" fontId="4" fillId="1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wrapText="1"/>
    </xf>
    <xf numFmtId="10" fontId="6" fillId="12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>
      <alignment vertical="center"/>
    </xf>
    <xf numFmtId="179" fontId="6" fillId="13" borderId="1" xfId="0" applyNumberFormat="1" applyFont="1" applyFill="1" applyBorder="1" applyAlignment="1">
      <alignment horizontal="center" vertical="center"/>
    </xf>
    <xf numFmtId="0" fontId="6" fillId="14" borderId="1" xfId="0" applyNumberFormat="1" applyFont="1" applyFill="1" applyBorder="1" applyAlignment="1">
      <alignment horizontal="left" wrapText="1"/>
    </xf>
    <xf numFmtId="0" fontId="6" fillId="0" borderId="3" xfId="0" applyFont="1" applyBorder="1" applyAlignment="1">
      <alignment horizontal="center"/>
    </xf>
    <xf numFmtId="0" fontId="6" fillId="14" borderId="1" xfId="0" applyFont="1" applyFill="1" applyBorder="1" applyAlignment="1">
      <alignment horizontal="left" wrapText="1"/>
    </xf>
    <xf numFmtId="0" fontId="6" fillId="12" borderId="1" xfId="0" applyNumberFormat="1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3" fillId="0" borderId="1" xfId="0" applyNumberFormat="1" applyFont="1" applyBorder="1" applyAlignment="1">
      <alignment horizontal="center" vertical="center"/>
    </xf>
    <xf numFmtId="177" fontId="6" fillId="5" borderId="1" xfId="0" applyNumberFormat="1" applyFont="1" applyFill="1" applyBorder="1" applyAlignment="1">
      <alignment horizontal="center" vertical="center"/>
    </xf>
    <xf numFmtId="177" fontId="6" fillId="5" borderId="1" xfId="0" applyNumberFormat="1" applyFont="1" applyFill="1" applyBorder="1" applyAlignment="1">
      <alignment horizontal="center" vertical="center" wrapText="1"/>
    </xf>
    <xf numFmtId="179" fontId="6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6" fillId="4" borderId="12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3" xfId="0" applyNumberFormat="1" applyFont="1" applyFill="1" applyBorder="1" applyAlignment="1">
      <alignment horizontal="center"/>
    </xf>
    <xf numFmtId="2" fontId="6" fillId="0" borderId="12" xfId="0" applyNumberFormat="1" applyFont="1" applyBorder="1" applyAlignment="1">
      <alignment horizontal="center"/>
    </xf>
    <xf numFmtId="0" fontId="3" fillId="0" borderId="1" xfId="0" applyFont="1" applyBorder="1">
      <alignment vertical="center"/>
    </xf>
    <xf numFmtId="0" fontId="3" fillId="0" borderId="1" xfId="0" applyNumberFormat="1" applyFont="1" applyBorder="1">
      <alignment vertical="center"/>
    </xf>
    <xf numFmtId="0" fontId="6" fillId="10" borderId="1" xfId="0" applyFont="1" applyFill="1" applyBorder="1" applyAlignment="1">
      <alignment horizontal="left" wrapText="1"/>
    </xf>
    <xf numFmtId="0" fontId="6" fillId="10" borderId="1" xfId="0" applyNumberFormat="1" applyFont="1" applyFill="1" applyBorder="1" applyAlignment="1">
      <alignment horizontal="left" wrapText="1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0" fontId="15" fillId="0" borderId="0" xfId="0" applyNumberFormat="1" applyFont="1" applyAlignment="1">
      <alignment horizontal="center" vertical="center"/>
    </xf>
    <xf numFmtId="186" fontId="15" fillId="0" borderId="0" xfId="0" applyNumberFormat="1" applyFont="1" applyAlignment="1">
      <alignment horizontal="center" vertical="center"/>
    </xf>
    <xf numFmtId="177" fontId="15" fillId="4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80" fontId="15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86" fontId="3" fillId="0" borderId="0" xfId="0" applyNumberFormat="1" applyFont="1" applyAlignment="1">
      <alignment horizontal="center" vertical="center"/>
    </xf>
    <xf numFmtId="177" fontId="3" fillId="4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5" borderId="0" xfId="0" applyNumberFormat="1" applyFont="1" applyFill="1">
      <alignment vertical="center"/>
    </xf>
    <xf numFmtId="0" fontId="3" fillId="4" borderId="0" xfId="0" applyFont="1" applyFill="1">
      <alignment vertical="center"/>
    </xf>
    <xf numFmtId="2" fontId="3" fillId="5" borderId="0" xfId="0" applyNumberFormat="1" applyFont="1" applyFill="1" applyAlignment="1">
      <alignment horizontal="center" vertical="center"/>
    </xf>
    <xf numFmtId="0" fontId="3" fillId="4" borderId="0" xfId="0" applyNumberFormat="1" applyFont="1" applyFill="1">
      <alignment vertical="center"/>
    </xf>
    <xf numFmtId="9" fontId="3" fillId="6" borderId="0" xfId="0" applyNumberFormat="1" applyFont="1" applyFill="1" applyAlignment="1">
      <alignment horizontal="center" vertical="center"/>
    </xf>
    <xf numFmtId="177" fontId="3" fillId="0" borderId="0" xfId="0" applyNumberFormat="1" applyFont="1">
      <alignment vertical="center"/>
    </xf>
    <xf numFmtId="186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3" fillId="14" borderId="0" xfId="0" applyFont="1" applyFill="1">
      <alignment vertical="center"/>
    </xf>
    <xf numFmtId="0" fontId="3" fillId="14" borderId="0" xfId="0" applyNumberFormat="1" applyFont="1" applyFill="1">
      <alignment vertical="center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9" fontId="1" fillId="12" borderId="1" xfId="0" applyNumberFormat="1" applyFont="1" applyFill="1" applyBorder="1" applyAlignment="1">
      <alignment horizontal="center" vertical="center" wrapText="1"/>
    </xf>
    <xf numFmtId="177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left" vertical="center"/>
    </xf>
    <xf numFmtId="184" fontId="14" fillId="0" borderId="1" xfId="0" applyNumberFormat="1" applyFon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/>
    </xf>
    <xf numFmtId="10" fontId="14" fillId="0" borderId="1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/>
    </xf>
    <xf numFmtId="192" fontId="18" fillId="0" borderId="1" xfId="0" applyNumberFormat="1" applyFont="1" applyBorder="1" applyAlignment="1">
      <alignment horizontal="center" vertical="center" wrapText="1"/>
    </xf>
    <xf numFmtId="192" fontId="14" fillId="0" borderId="1" xfId="0" applyNumberFormat="1" applyFont="1" applyBorder="1" applyAlignment="1">
      <alignment horizontal="center" vertical="center"/>
    </xf>
    <xf numFmtId="193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80" fontId="14" fillId="4" borderId="1" xfId="0" applyNumberFormat="1" applyFont="1" applyFill="1" applyBorder="1" applyAlignment="1">
      <alignment horizontal="center" vertical="center"/>
    </xf>
    <xf numFmtId="192" fontId="18" fillId="4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178" fontId="14" fillId="5" borderId="1" xfId="0" applyNumberFormat="1" applyFont="1" applyFill="1" applyBorder="1" applyAlignment="1">
      <alignment horizontal="center" vertical="center"/>
    </xf>
    <xf numFmtId="184" fontId="14" fillId="5" borderId="1" xfId="0" applyNumberFormat="1" applyFont="1" applyFill="1" applyBorder="1" applyAlignment="1">
      <alignment horizontal="center" vertical="center"/>
    </xf>
    <xf numFmtId="0" fontId="19" fillId="15" borderId="3" xfId="0" applyNumberFormat="1" applyFont="1" applyFill="1" applyBorder="1" applyAlignment="1">
      <alignment horizontal="center" vertical="center"/>
    </xf>
    <xf numFmtId="177" fontId="19" fillId="15" borderId="3" xfId="0" applyNumberFormat="1" applyFont="1" applyFill="1" applyBorder="1" applyAlignment="1">
      <alignment horizontal="center" vertical="center"/>
    </xf>
    <xf numFmtId="177" fontId="19" fillId="15" borderId="3" xfId="0" applyNumberFormat="1" applyFont="1" applyFill="1" applyBorder="1" applyAlignment="1">
      <alignment horizontal="left" vertical="center"/>
    </xf>
    <xf numFmtId="0" fontId="19" fillId="5" borderId="3" xfId="0" applyNumberFormat="1" applyFont="1" applyFill="1" applyBorder="1" applyAlignment="1">
      <alignment horizontal="center" vertical="center"/>
    </xf>
    <xf numFmtId="0" fontId="19" fillId="15" borderId="3" xfId="0" applyFont="1" applyFill="1" applyBorder="1" applyAlignment="1">
      <alignment horizontal="center" vertical="center"/>
    </xf>
    <xf numFmtId="186" fontId="19" fillId="15" borderId="3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19" fillId="15" borderId="3" xfId="0" applyNumberFormat="1" applyFont="1" applyFill="1" applyBorder="1" applyAlignment="1">
      <alignment horizontal="center" vertical="center"/>
    </xf>
    <xf numFmtId="9" fontId="15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12" borderId="1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184" fontId="13" fillId="16" borderId="3" xfId="0" applyNumberFormat="1" applyFont="1" applyFill="1" applyBorder="1" applyAlignment="1">
      <alignment horizontal="center" vertical="center"/>
    </xf>
    <xf numFmtId="177" fontId="13" fillId="16" borderId="13" xfId="0" applyNumberFormat="1" applyFont="1" applyFill="1" applyBorder="1" applyAlignment="1">
      <alignment horizontal="center" vertical="center"/>
    </xf>
    <xf numFmtId="184" fontId="13" fillId="16" borderId="13" xfId="0" applyNumberFormat="1" applyFont="1" applyFill="1" applyBorder="1" applyAlignment="1">
      <alignment horizontal="center" vertical="center"/>
    </xf>
    <xf numFmtId="177" fontId="13" fillId="16" borderId="3" xfId="0" applyNumberFormat="1" applyFont="1" applyFill="1" applyBorder="1" applyAlignment="1">
      <alignment horizontal="center" vertical="center"/>
    </xf>
    <xf numFmtId="10" fontId="13" fillId="16" borderId="13" xfId="0" applyNumberFormat="1" applyFont="1" applyFill="1" applyBorder="1" applyAlignment="1">
      <alignment horizontal="center" vertical="center"/>
    </xf>
    <xf numFmtId="9" fontId="13" fillId="16" borderId="13" xfId="0" applyNumberFormat="1" applyFont="1" applyFill="1" applyBorder="1" applyAlignment="1">
      <alignment horizontal="center" vertical="center"/>
    </xf>
    <xf numFmtId="186" fontId="13" fillId="16" borderId="13" xfId="0" applyNumberFormat="1" applyFont="1" applyFill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10" fontId="13" fillId="0" borderId="0" xfId="0" applyNumberFormat="1" applyFont="1">
      <alignment vertical="center"/>
    </xf>
    <xf numFmtId="9" fontId="13" fillId="0" borderId="0" xfId="0" applyNumberFormat="1" applyFont="1">
      <alignment vertical="center"/>
    </xf>
    <xf numFmtId="184" fontId="13" fillId="0" borderId="0" xfId="0" applyNumberFormat="1" applyFont="1">
      <alignment vertical="center"/>
    </xf>
    <xf numFmtId="0" fontId="13" fillId="16" borderId="3" xfId="0" applyNumberFormat="1" applyFont="1" applyFill="1" applyBorder="1" applyAlignment="1">
      <alignment horizontal="center" vertical="center"/>
    </xf>
    <xf numFmtId="2" fontId="13" fillId="16" borderId="3" xfId="0" applyNumberFormat="1" applyFont="1" applyFill="1" applyBorder="1" applyAlignment="1">
      <alignment horizontal="center" vertical="center"/>
    </xf>
    <xf numFmtId="0" fontId="13" fillId="16" borderId="13" xfId="0" applyNumberFormat="1" applyFont="1" applyFill="1" applyBorder="1" applyAlignment="1">
      <alignment horizontal="center" vertical="center"/>
    </xf>
    <xf numFmtId="0" fontId="13" fillId="16" borderId="13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177" fontId="20" fillId="0" borderId="0" xfId="0" applyNumberFormat="1" applyFont="1">
      <alignment vertical="center"/>
    </xf>
    <xf numFmtId="9" fontId="20" fillId="0" borderId="0" xfId="0" applyNumberFormat="1" applyFont="1" applyAlignment="1">
      <alignment horizontal="center" vertical="center"/>
    </xf>
    <xf numFmtId="9" fontId="20" fillId="0" borderId="0" xfId="0" applyNumberFormat="1" applyFont="1">
      <alignment vertical="center"/>
    </xf>
    <xf numFmtId="0" fontId="20" fillId="0" borderId="0" xfId="0" applyNumberFormat="1" applyFont="1">
      <alignment vertical="center"/>
    </xf>
    <xf numFmtId="0" fontId="23" fillId="0" borderId="0" xfId="0" applyFont="1" applyAlignment="1">
      <alignment horizontal="center" vertical="center" wrapText="1"/>
    </xf>
    <xf numFmtId="0" fontId="23" fillId="0" borderId="0" xfId="0" applyNumberFormat="1" applyFont="1" applyAlignment="1">
      <alignment horizontal="center" vertical="center" wrapText="1"/>
    </xf>
    <xf numFmtId="0" fontId="23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14" borderId="0" xfId="0" applyFont="1" applyFill="1" applyAlignment="1">
      <alignment horizontal="center" vertical="center" wrapText="1"/>
    </xf>
    <xf numFmtId="0" fontId="23" fillId="14" borderId="0" xfId="0" applyNumberFormat="1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12" fillId="14" borderId="0" xfId="0" applyFont="1" applyFill="1" applyAlignment="1">
      <alignment horizontal="center" vertical="center"/>
    </xf>
    <xf numFmtId="0" fontId="25" fillId="0" borderId="0" xfId="0" applyNumberFormat="1" applyFont="1">
      <alignment vertical="center"/>
    </xf>
    <xf numFmtId="9" fontId="12" fillId="0" borderId="0" xfId="0" applyNumberFormat="1" applyFont="1" applyAlignment="1">
      <alignment horizontal="center" vertical="center"/>
    </xf>
    <xf numFmtId="0" fontId="24" fillId="0" borderId="0" xfId="0" applyNumberFormat="1" applyFont="1" applyAlignment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7" fillId="0" borderId="0" xfId="0" applyNumberFormat="1" applyFont="1" applyAlignment="1">
      <alignment horizontal="left" vertical="center"/>
    </xf>
    <xf numFmtId="0" fontId="12" fillId="0" borderId="0" xfId="0" applyNumberFormat="1" applyFont="1" applyAlignment="1">
      <alignment horizontal="left" vertical="center"/>
    </xf>
    <xf numFmtId="0" fontId="26" fillId="0" borderId="0" xfId="0" applyNumberFormat="1" applyFont="1" applyAlignment="1">
      <alignment horizontal="left" vertical="center"/>
    </xf>
    <xf numFmtId="0" fontId="3" fillId="14" borderId="0" xfId="0" applyFont="1" applyFill="1" applyAlignment="1">
      <alignment horizontal="center" vertical="center"/>
    </xf>
    <xf numFmtId="0" fontId="29" fillId="0" borderId="0" xfId="0" applyNumberFormat="1" applyFo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15" fillId="5" borderId="0" xfId="0" applyFont="1" applyFill="1" applyAlignment="1">
      <alignment horizontal="center" vertical="center"/>
    </xf>
    <xf numFmtId="0" fontId="15" fillId="5" borderId="0" xfId="0" applyNumberFormat="1" applyFont="1" applyFill="1" applyAlignment="1">
      <alignment horizontal="center" vertical="center"/>
    </xf>
    <xf numFmtId="177" fontId="15" fillId="5" borderId="0" xfId="0" applyNumberFormat="1" applyFont="1" applyFill="1" applyAlignment="1">
      <alignment horizontal="center" vertical="center"/>
    </xf>
    <xf numFmtId="177" fontId="15" fillId="12" borderId="0" xfId="0" applyNumberFormat="1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10" fontId="15" fillId="12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0" fontId="3" fillId="12" borderId="0" xfId="0" applyFont="1" applyFill="1" applyAlignment="1">
      <alignment horizontal="left" vertical="center"/>
    </xf>
    <xf numFmtId="2" fontId="3" fillId="13" borderId="0" xfId="0" applyNumberFormat="1" applyFont="1" applyFill="1" applyAlignment="1">
      <alignment horizontal="center" vertical="center"/>
    </xf>
    <xf numFmtId="0" fontId="3" fillId="12" borderId="0" xfId="0" applyFont="1" applyFill="1">
      <alignment vertical="center"/>
    </xf>
    <xf numFmtId="0" fontId="3" fillId="0" borderId="0" xfId="0" applyFont="1" applyAlignment="1"/>
    <xf numFmtId="0" fontId="3" fillId="0" borderId="0" xfId="0" applyNumberFormat="1" applyFont="1" applyAlignment="1"/>
    <xf numFmtId="0" fontId="14" fillId="10" borderId="1" xfId="0" applyFont="1" applyFill="1" applyBorder="1" applyAlignment="1">
      <alignment horizontal="center" vertical="center"/>
    </xf>
    <xf numFmtId="183" fontId="3" fillId="0" borderId="0" xfId="0" applyNumberFormat="1" applyFont="1">
      <alignment vertical="center"/>
    </xf>
    <xf numFmtId="0" fontId="13" fillId="2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4" borderId="0" xfId="0" applyNumberFormat="1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183" fontId="3" fillId="4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b val="0"/>
        <i val="0"/>
        <strike val="0"/>
        <u val="none"/>
        <color rgb="FF2C3033"/>
      </font>
      <fill>
        <patternFill patternType="solid">
          <bgColor rgb="FFFBD4D0"/>
        </patternFill>
      </fill>
    </dxf>
    <dxf>
      <font>
        <b val="0"/>
        <i val="0"/>
        <strike val="0"/>
        <u val="none"/>
        <color rgb="FFFE2C23"/>
      </font>
      <fill>
        <patternFill patternType="solid">
          <bgColor rgb="FFFFFFFF"/>
        </patternFill>
      </fill>
    </dxf>
    <dxf>
      <font>
        <b val="0"/>
        <i val="0"/>
        <strike val="0"/>
        <u val="none"/>
        <color rgb="FFFF0000"/>
      </font>
      <fill>
        <patternFill patternType="solid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0</xdr:colOff>
      <xdr:row>0</xdr:row>
      <xdr:rowOff>44450</xdr:rowOff>
    </xdr:from>
    <xdr:to>
      <xdr:col>23</xdr:col>
      <xdr:colOff>-1</xdr:colOff>
      <xdr:row>0</xdr:row>
      <xdr:rowOff>311150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405975" y="44450"/>
          <a:ext cx="1010920" cy="222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12</xdr:row>
      <xdr:rowOff>0</xdr:rowOff>
    </xdr:from>
    <xdr:to>
      <xdr:col>4</xdr:col>
      <xdr:colOff>0</xdr:colOff>
      <xdr:row>13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3610" y="2339340"/>
          <a:ext cx="2288540" cy="3689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155</xdr:col>
      <xdr:colOff>0</xdr:colOff>
      <xdr:row>23</xdr:row>
      <xdr:rowOff>99695</xdr:rowOff>
    </xdr:from>
    <xdr:to>
      <xdr:col>156</xdr:col>
      <xdr:colOff>-1</xdr:colOff>
      <xdr:row>23</xdr:row>
      <xdr:rowOff>179705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01135" y="3452495"/>
          <a:ext cx="0" cy="450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0</xdr:colOff>
      <xdr:row>43</xdr:row>
      <xdr:rowOff>59690</xdr:rowOff>
    </xdr:from>
    <xdr:to>
      <xdr:col>18</xdr:col>
      <xdr:colOff>-1</xdr:colOff>
      <xdr:row>43</xdr:row>
      <xdr:rowOff>219709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24530" y="6654800"/>
          <a:ext cx="1010920" cy="159385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42</xdr:row>
      <xdr:rowOff>0</xdr:rowOff>
    </xdr:from>
    <xdr:to>
      <xdr:col>18</xdr:col>
      <xdr:colOff>0</xdr:colOff>
      <xdr:row>43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924530" y="6080760"/>
          <a:ext cx="1011555" cy="51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sanjdqeje0.feishu.cn/file/YT4Ob07PyogqKgxeXFrclrmZnfc" TargetMode="External"/><Relationship Id="rId8" Type="http://schemas.openxmlformats.org/officeDocument/2006/relationships/hyperlink" Target="https://shimo.im/sheets/5bqndwNRpvUWYNAy/hctQE" TargetMode="External"/><Relationship Id="rId7" Type="http://schemas.openxmlformats.org/officeDocument/2006/relationships/hyperlink" Target="https://shimo.im/file/5rk9KXwYjmtmpo3x" TargetMode="External"/><Relationship Id="rId6" Type="http://schemas.openxmlformats.org/officeDocument/2006/relationships/hyperlink" Target="https://shimo.im/docx/m8AZMGg5pWs8Kekb" TargetMode="External"/><Relationship Id="rId5" Type="http://schemas.openxmlformats.org/officeDocument/2006/relationships/hyperlink" Target="https://shimo.im/sheets/gO3odwvxdEcW7OqD/cusv7" TargetMode="External"/><Relationship Id="rId40" Type="http://schemas.openxmlformats.org/officeDocument/2006/relationships/hyperlink" Target="https://shimo.im/file/NJkbn7vwLQCRpkRp" TargetMode="External"/><Relationship Id="rId4" Type="http://schemas.openxmlformats.org/officeDocument/2006/relationships/hyperlink" Target="https://shimo.im/sheets/zdkyd5GBB8syL0q6/GTpiM" TargetMode="External"/><Relationship Id="rId39" Type="http://schemas.openxmlformats.org/officeDocument/2006/relationships/hyperlink" Target="https://shimo.im/file/vVAXMG2zLju25d3m" TargetMode="External"/><Relationship Id="rId38" Type="http://schemas.openxmlformats.org/officeDocument/2006/relationships/hyperlink" Target="https://shimo.im/docx/1lq7rnX8jNSe903e" TargetMode="External"/><Relationship Id="rId37" Type="http://schemas.openxmlformats.org/officeDocument/2006/relationships/hyperlink" Target="https://shimo.im/sheets/e1Azdp2E7ph1lzqW/NICpS" TargetMode="External"/><Relationship Id="rId36" Type="http://schemas.openxmlformats.org/officeDocument/2006/relationships/hyperlink" Target="https://shimo.im/docx/Wr3DpbnyN9tEMP3J" TargetMode="External"/><Relationship Id="rId35" Type="http://schemas.openxmlformats.org/officeDocument/2006/relationships/hyperlink" Target="https://shimo.im/docx/2wAldwarwyia7gAP" TargetMode="External"/><Relationship Id="rId34" Type="http://schemas.openxmlformats.org/officeDocument/2006/relationships/hyperlink" Target="https://shimo.im/file/913JMZXYlJf5z4AE" TargetMode="External"/><Relationship Id="rId33" Type="http://schemas.openxmlformats.org/officeDocument/2006/relationships/hyperlink" Target="https://shimo.im/file/KrkElQ9QYdS84XqJ" TargetMode="External"/><Relationship Id="rId32" Type="http://schemas.openxmlformats.org/officeDocument/2006/relationships/hyperlink" Target="https://shimo.im/file/25q5XbZLowS7PR3D" TargetMode="External"/><Relationship Id="rId31" Type="http://schemas.openxmlformats.org/officeDocument/2006/relationships/hyperlink" Target="https://shimo.im/sheets/16q8x2ywXVFK9mq7/hdwA2" TargetMode="External"/><Relationship Id="rId30" Type="http://schemas.openxmlformats.org/officeDocument/2006/relationships/hyperlink" Target="https://shimo.im/sheets/R13jdwQw60uWm6k5/UV2uf" TargetMode="External"/><Relationship Id="rId3" Type="http://schemas.openxmlformats.org/officeDocument/2006/relationships/hyperlink" Target="https://sanjdqeje0.feishu.cn/file/TJihbfhluoFrtdxwf86c6yUxndx?office_edit=1" TargetMode="External"/><Relationship Id="rId29" Type="http://schemas.openxmlformats.org/officeDocument/2006/relationships/hyperlink" Target="https://shimo.im/docx/8Nk6emELG8TwWxqL" TargetMode="External"/><Relationship Id="rId28" Type="http://schemas.openxmlformats.org/officeDocument/2006/relationships/hyperlink" Target="https://shimo.im/sheets/Wr3Dp1B0mnh8Zm3J/ZfbUi" TargetMode="External"/><Relationship Id="rId27" Type="http://schemas.openxmlformats.org/officeDocument/2006/relationships/hyperlink" Target="https://shimo.im/docx/N2A1gPjYr4h47GqD" TargetMode="External"/><Relationship Id="rId26" Type="http://schemas.openxmlformats.org/officeDocument/2006/relationships/hyperlink" Target="https://shimo.im/sheets/m5kvdwonvnSRwD3X/Zz48c" TargetMode="External"/><Relationship Id="rId25" Type="http://schemas.openxmlformats.org/officeDocument/2006/relationships/hyperlink" Target="https://shimo.im/sheets/gO3odw62KrFQVpqD/0j0dU" TargetMode="External"/><Relationship Id="rId24" Type="http://schemas.openxmlformats.org/officeDocument/2006/relationships/hyperlink" Target="https://shimo.im/docx/RKAWMDjJgeUJvXq8" TargetMode="External"/><Relationship Id="rId23" Type="http://schemas.openxmlformats.org/officeDocument/2006/relationships/hyperlink" Target="https://shimo.im/sheets/aBAYMYKEOah2rJAj/aj3k0" TargetMode="External"/><Relationship Id="rId22" Type="http://schemas.openxmlformats.org/officeDocument/2006/relationships/hyperlink" Target="https://shimo.im/sheets/1d3aMwgMnPse2Y3g/RmTDc" TargetMode="External"/><Relationship Id="rId21" Type="http://schemas.openxmlformats.org/officeDocument/2006/relationships/hyperlink" Target="https://shimo.im/sheets/ZzkLMZ0LzGC28eAQ/i7L3Q" TargetMode="External"/><Relationship Id="rId20" Type="http://schemas.openxmlformats.org/officeDocument/2006/relationships/hyperlink" Target="https://shimo.im/sheets/Wr3Dp1XYQwhaeM3J/TkhgB" TargetMode="External"/><Relationship Id="rId2" Type="http://schemas.openxmlformats.org/officeDocument/2006/relationships/vmlDrawing" Target="../drawings/vmlDrawing2.vml"/><Relationship Id="rId19" Type="http://schemas.openxmlformats.org/officeDocument/2006/relationships/hyperlink" Target="https://shimo.im/sheets/KrkElQwjEzFWEqJp/xXMQQ" TargetMode="External"/><Relationship Id="rId18" Type="http://schemas.openxmlformats.org/officeDocument/2006/relationships/hyperlink" Target="https://shimo.im/docx/25q5Xg6ddNcJ8Z3D" TargetMode="External"/><Relationship Id="rId17" Type="http://schemas.openxmlformats.org/officeDocument/2006/relationships/hyperlink" Target="https://shimo.im/sheets/913JMP2Z91cJPrAE/ZBXMH" TargetMode="External"/><Relationship Id="rId16" Type="http://schemas.openxmlformats.org/officeDocument/2006/relationships/hyperlink" Target="https://shimo.im/sheets/5rk9KXRngOSw6J3x/Uh9jY" TargetMode="External"/><Relationship Id="rId15" Type="http://schemas.openxmlformats.org/officeDocument/2006/relationships/hyperlink" Target="https://sanjdqeje0.feishu.cn/sheets/KU8Gs3PQfhloEbtWoX8cHAqjnyS?from=from_copylink" TargetMode="External"/><Relationship Id="rId14" Type="http://schemas.openxmlformats.org/officeDocument/2006/relationships/hyperlink" Target="https://shimo.im/sheets/xaLcxBgvfrrvr6At/x4LSY" TargetMode="External"/><Relationship Id="rId13" Type="http://schemas.openxmlformats.org/officeDocument/2006/relationships/hyperlink" Target="https://shimo.im/sheets/16q8x20zMRfQ8Gq7/Va8UM" TargetMode="External"/><Relationship Id="rId12" Type="http://schemas.openxmlformats.org/officeDocument/2006/relationships/hyperlink" Target="https://shimo.im/sheets/m5kvdw4dOmFDDZ3X/G1jVx" TargetMode="External"/><Relationship Id="rId11" Type="http://schemas.openxmlformats.org/officeDocument/2006/relationships/hyperlink" Target="https://shimo.im/docx/5rk9KXGjdKsxEZ3x" TargetMode="External"/><Relationship Id="rId10" Type="http://schemas.openxmlformats.org/officeDocument/2006/relationships/hyperlink" Target="https://sanjdqeje0.feishu.cn/sheets/O2MTszxKDh9uVNtRbLRcD9xBnYb?from=from_copylink" TargetMode="Externa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iktok.com/@/video/7512121539337194782?shop_region=US" TargetMode="External"/><Relationship Id="rId8" Type="http://schemas.openxmlformats.org/officeDocument/2006/relationships/hyperlink" Target="https://www.tiktok.com/@/video/7510281518846135582?shop_region=US" TargetMode="External"/><Relationship Id="rId7" Type="http://schemas.openxmlformats.org/officeDocument/2006/relationships/hyperlink" Target="https://www.tiktok.com/@/video/7512260049553607966?shop_region=US" TargetMode="External"/><Relationship Id="rId6" Type="http://schemas.openxmlformats.org/officeDocument/2006/relationships/hyperlink" Target="https://www.tiktok.com/@/video/7509602854680710443?shop_region=US" TargetMode="External"/><Relationship Id="rId5" Type="http://schemas.openxmlformats.org/officeDocument/2006/relationships/hyperlink" Target="https://www.tiktok.com/@/video/7507463120143600939?shop_region=US" TargetMode="External"/><Relationship Id="rId4" Type="http://schemas.openxmlformats.org/officeDocument/2006/relationships/hyperlink" Target="https://www.tiktok.com/@/video/7509468659413372206?shop_region=US" TargetMode="External"/><Relationship Id="rId3" Type="http://schemas.openxmlformats.org/officeDocument/2006/relationships/hyperlink" Target="https://www.tiktok.com/@/video/7510315444860063022?shop_region=US" TargetMode="External"/><Relationship Id="rId2" Type="http://schemas.openxmlformats.org/officeDocument/2006/relationships/hyperlink" Target="https://www.tiktok.com/@/video/7505007970158185771?shop_region=US" TargetMode="External"/><Relationship Id="rId12" Type="http://schemas.openxmlformats.org/officeDocument/2006/relationships/hyperlink" Target="https://www.tiktok.com/@/video/7513258934547860779?shop_region=US" TargetMode="External"/><Relationship Id="rId11" Type="http://schemas.openxmlformats.org/officeDocument/2006/relationships/hyperlink" Target="https://www.tiktok.com/@/video/7510822530660289823?shop_region=US" TargetMode="External"/><Relationship Id="rId10" Type="http://schemas.openxmlformats.org/officeDocument/2006/relationships/hyperlink" Target="https://www.tiktok.com/@/video/7512217482250177838?shop_region=US" TargetMode="External"/><Relationship Id="rId1" Type="http://schemas.openxmlformats.org/officeDocument/2006/relationships/hyperlink" Target="https://www.tiktok.com/@/video/7507733538158972191?shop_region=US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8"/>
  <sheetViews>
    <sheetView workbookViewId="0">
      <pane xSplit="5" ySplit="1" topLeftCell="F2" activePane="bottomRight" state="frozen"/>
      <selection/>
      <selection pane="topRight"/>
      <selection pane="bottomLeft"/>
      <selection pane="bottomRight" activeCell="A1" sqref="A1"/>
    </sheetView>
  </sheetViews>
  <sheetFormatPr defaultColWidth="17" defaultRowHeight="11.4"/>
  <cols>
    <col min="1" max="1" width="18.6770833333333" customWidth="1"/>
    <col min="2" max="2" width="16.59375" customWidth="1"/>
    <col min="3" max="3" width="24.4375" customWidth="1"/>
    <col min="4" max="4" width="36.6666666666667" customWidth="1"/>
    <col min="5" max="5" width="16.7604166666667" customWidth="1"/>
    <col min="6" max="9" width="14.6666666666667" customWidth="1"/>
    <col min="10" max="10" width="12.9166666666667" customWidth="1"/>
    <col min="11" max="14" width="14.6666666666667" customWidth="1"/>
    <col min="15" max="15" width="13.4375" customWidth="1"/>
    <col min="16" max="16" width="13.625" customWidth="1"/>
    <col min="17" max="17" width="14.1354166666667" customWidth="1"/>
    <col min="18" max="25" width="16.59375" customWidth="1"/>
  </cols>
  <sheetData>
    <row r="1" ht="21" customHeight="1" spans="1:25">
      <c r="A1" s="324" t="s">
        <v>0</v>
      </c>
      <c r="B1" s="324" t="s">
        <v>1</v>
      </c>
      <c r="C1" s="324" t="s">
        <v>2</v>
      </c>
      <c r="D1" s="324" t="s">
        <v>3</v>
      </c>
      <c r="E1" s="324" t="s">
        <v>4</v>
      </c>
      <c r="F1" s="324" t="s">
        <v>5</v>
      </c>
      <c r="G1" s="324" t="s">
        <v>6</v>
      </c>
      <c r="H1" s="324" t="s">
        <v>7</v>
      </c>
      <c r="I1" s="324" t="s">
        <v>8</v>
      </c>
      <c r="J1" s="324" t="s">
        <v>9</v>
      </c>
      <c r="K1" s="324" t="s">
        <v>10</v>
      </c>
      <c r="L1" s="324" t="s">
        <v>11</v>
      </c>
      <c r="M1" s="324" t="s">
        <v>12</v>
      </c>
      <c r="N1" s="324" t="s">
        <v>13</v>
      </c>
      <c r="O1" s="324" t="s">
        <v>14</v>
      </c>
      <c r="P1" s="324" t="s">
        <v>15</v>
      </c>
      <c r="Q1" s="324" t="s">
        <v>16</v>
      </c>
      <c r="R1" s="325" t="s">
        <v>17</v>
      </c>
      <c r="S1" s="325" t="s">
        <v>18</v>
      </c>
      <c r="T1" s="325" t="s">
        <v>19</v>
      </c>
      <c r="U1" s="325" t="s">
        <v>20</v>
      </c>
      <c r="V1" s="325" t="s">
        <v>21</v>
      </c>
      <c r="W1" s="98"/>
      <c r="X1" s="98"/>
      <c r="Y1" s="98"/>
    </row>
    <row r="2" ht="24" customHeight="1" spans="1:25">
      <c r="A2" s="122" t="s">
        <v>22</v>
      </c>
      <c r="B2" s="14" t="s">
        <v>23</v>
      </c>
      <c r="C2" s="14" t="s">
        <v>24</v>
      </c>
      <c r="D2" s="136" t="s">
        <v>25</v>
      </c>
      <c r="E2" s="14">
        <v>135.5</v>
      </c>
      <c r="F2" s="14">
        <v>33.5</v>
      </c>
      <c r="G2" s="14">
        <v>26.5</v>
      </c>
      <c r="H2" s="14">
        <v>25</v>
      </c>
      <c r="I2" s="14">
        <v>2.3</v>
      </c>
      <c r="J2" s="14">
        <v>4</v>
      </c>
      <c r="K2" s="14">
        <v>55</v>
      </c>
      <c r="L2" s="14">
        <v>35</v>
      </c>
      <c r="M2" s="14">
        <v>52</v>
      </c>
      <c r="N2" s="14">
        <v>10</v>
      </c>
      <c r="O2" s="198">
        <f>K2*L2*M2/6000</f>
        <v>16.6833333333333</v>
      </c>
      <c r="P2" s="198">
        <f>K2*L2*M2/1000000</f>
        <v>0.1001</v>
      </c>
      <c r="Q2" s="198">
        <f>N2/365</f>
        <v>0.0273972602739726</v>
      </c>
      <c r="R2" s="19">
        <v>1000</v>
      </c>
      <c r="S2" s="19">
        <f>49*O2/J2</f>
        <v>204.370833333333</v>
      </c>
      <c r="T2" s="19">
        <f>14*MAX(N2:O2)/J2</f>
        <v>58.3916666666667</v>
      </c>
      <c r="U2" s="19"/>
      <c r="V2" s="19">
        <f>780*P2/J2+18</f>
        <v>37.5195</v>
      </c>
      <c r="W2" s="14"/>
      <c r="X2" s="14">
        <v>8508119000</v>
      </c>
      <c r="Y2" s="14" t="s">
        <v>26</v>
      </c>
    </row>
    <row r="3" ht="24" customHeight="1" spans="1:25">
      <c r="A3" s="122" t="s">
        <v>27</v>
      </c>
      <c r="B3" s="14" t="s">
        <v>28</v>
      </c>
      <c r="C3" s="14" t="s">
        <v>29</v>
      </c>
      <c r="D3" s="136" t="s">
        <v>25</v>
      </c>
      <c r="E3" s="14">
        <v>137.5</v>
      </c>
      <c r="F3" s="20">
        <v>33.5</v>
      </c>
      <c r="G3" s="20">
        <v>26.5</v>
      </c>
      <c r="H3" s="20">
        <v>25</v>
      </c>
      <c r="I3" s="20">
        <v>2.3</v>
      </c>
      <c r="J3" s="20">
        <v>4</v>
      </c>
      <c r="K3" s="20">
        <v>55</v>
      </c>
      <c r="L3" s="20">
        <v>35</v>
      </c>
      <c r="M3" s="20">
        <v>52</v>
      </c>
      <c r="N3" s="20">
        <v>10</v>
      </c>
      <c r="O3" s="198">
        <f>K3*L3*M3/6000</f>
        <v>16.6833333333333</v>
      </c>
      <c r="P3" s="198">
        <f>K3*L3*M3/1000000</f>
        <v>0.1001</v>
      </c>
      <c r="Q3" s="198">
        <f>N3/365</f>
        <v>0.0273972602739726</v>
      </c>
      <c r="R3" s="19">
        <v>1500</v>
      </c>
      <c r="S3" s="19">
        <f>O3*35/J3</f>
        <v>145.979166666667</v>
      </c>
      <c r="T3" s="19">
        <f>15*O3/J3</f>
        <v>62.5625</v>
      </c>
      <c r="U3" s="19">
        <f>8.5*O3/J3+80*7.8*0.3*0.027</f>
        <v>40.5064833333333</v>
      </c>
      <c r="V3" s="19">
        <f>700*P3/J3+80*7.8*0.3*0.027</f>
        <v>22.5719</v>
      </c>
      <c r="W3" s="14"/>
      <c r="X3" s="20">
        <v>8508119000</v>
      </c>
      <c r="Y3" s="14" t="s">
        <v>26</v>
      </c>
    </row>
    <row r="4" ht="24" customHeight="1" spans="1:25">
      <c r="A4" s="122" t="s">
        <v>30</v>
      </c>
      <c r="B4" s="14" t="s">
        <v>31</v>
      </c>
      <c r="C4" s="14" t="s">
        <v>32</v>
      </c>
      <c r="D4" s="136" t="s">
        <v>25</v>
      </c>
      <c r="E4" s="20">
        <v>137.5</v>
      </c>
      <c r="F4" s="20">
        <v>33.5</v>
      </c>
      <c r="G4" s="20">
        <v>26.5</v>
      </c>
      <c r="H4" s="20">
        <v>25</v>
      </c>
      <c r="I4" s="20">
        <v>2.3</v>
      </c>
      <c r="J4" s="20">
        <v>4</v>
      </c>
      <c r="K4" s="20">
        <v>55</v>
      </c>
      <c r="L4" s="20">
        <v>35</v>
      </c>
      <c r="M4" s="20">
        <v>52</v>
      </c>
      <c r="N4" s="20">
        <v>10</v>
      </c>
      <c r="O4" s="198">
        <f>K4*L4*M4/6000</f>
        <v>16.6833333333333</v>
      </c>
      <c r="P4" s="198">
        <f>K4*L4*M4/1000000</f>
        <v>0.1001</v>
      </c>
      <c r="Q4" s="198">
        <f>N4/365</f>
        <v>0.0273972602739726</v>
      </c>
      <c r="R4" s="19">
        <v>500</v>
      </c>
      <c r="S4" s="19">
        <f>O4*35/J4</f>
        <v>145.979166666667</v>
      </c>
      <c r="T4" s="19">
        <f>15*O4/J4</f>
        <v>62.5625</v>
      </c>
      <c r="U4" s="19">
        <f>10.5*O4/J4+80*7.8*0.3*0.027</f>
        <v>48.84815</v>
      </c>
      <c r="V4" s="19">
        <f>700*P4/J4+80*7.8*0.3*0.027</f>
        <v>22.5719</v>
      </c>
      <c r="W4" s="14"/>
      <c r="X4" s="20">
        <v>8508119000</v>
      </c>
      <c r="Y4" s="14" t="s">
        <v>26</v>
      </c>
    </row>
    <row r="5" ht="24" customHeight="1" spans="1:25">
      <c r="A5" s="122" t="s">
        <v>33</v>
      </c>
      <c r="B5" s="14"/>
      <c r="C5" s="14"/>
      <c r="D5" s="136" t="s">
        <v>34</v>
      </c>
      <c r="E5" s="14"/>
      <c r="F5" s="19"/>
      <c r="G5" s="19"/>
      <c r="H5" s="19"/>
      <c r="I5" s="14"/>
      <c r="J5" s="14"/>
      <c r="K5" s="14"/>
      <c r="L5" s="14"/>
      <c r="M5" s="14"/>
      <c r="N5" s="14"/>
      <c r="O5" s="198"/>
      <c r="P5" s="198"/>
      <c r="Q5" s="198"/>
      <c r="R5" s="14"/>
      <c r="S5" s="19"/>
      <c r="T5" s="19"/>
      <c r="U5" s="19"/>
      <c r="V5" s="19"/>
      <c r="W5" s="14"/>
      <c r="X5" s="14"/>
      <c r="Y5" s="14"/>
    </row>
    <row r="6" ht="24" customHeight="1" spans="1:25">
      <c r="A6" s="14" t="s">
        <v>35</v>
      </c>
      <c r="B6" s="14" t="s">
        <v>36</v>
      </c>
      <c r="C6" s="14" t="s">
        <v>37</v>
      </c>
      <c r="D6" s="136" t="s">
        <v>38</v>
      </c>
      <c r="E6" s="14">
        <v>100.1</v>
      </c>
      <c r="F6" s="14">
        <v>21.5</v>
      </c>
      <c r="G6" s="14">
        <v>20.5</v>
      </c>
      <c r="H6" s="14">
        <v>7.5</v>
      </c>
      <c r="I6" s="14">
        <v>0.7</v>
      </c>
      <c r="J6" s="14">
        <v>20</v>
      </c>
      <c r="K6" s="14">
        <v>45</v>
      </c>
      <c r="L6" s="14">
        <v>42.5</v>
      </c>
      <c r="M6" s="14">
        <v>40</v>
      </c>
      <c r="N6" s="14">
        <v>15</v>
      </c>
      <c r="O6" s="198">
        <f t="shared" ref="O6:O27" si="0">K6*L6*M6/6000</f>
        <v>12.75</v>
      </c>
      <c r="P6" s="198">
        <f t="shared" ref="P6:P27" si="1">K6*L6*M6/1000000</f>
        <v>0.0765</v>
      </c>
      <c r="Q6" s="198">
        <f t="shared" ref="Q6:Q27" si="2">N6/365</f>
        <v>0.0410958904109589</v>
      </c>
      <c r="R6" s="14"/>
      <c r="S6" s="19"/>
      <c r="T6" s="19">
        <f>15*MAX(N6:O6)/J6</f>
        <v>11.25</v>
      </c>
      <c r="U6" s="19"/>
      <c r="V6" s="19">
        <f>1200*P6/J6+40*7.8*0.3*0.027</f>
        <v>7.1172</v>
      </c>
      <c r="W6" s="14"/>
      <c r="X6" s="14"/>
      <c r="Y6" s="14"/>
    </row>
    <row r="7" ht="24" customHeight="1" spans="1:25">
      <c r="A7" s="14" t="s">
        <v>39</v>
      </c>
      <c r="B7" s="14" t="s">
        <v>40</v>
      </c>
      <c r="C7" s="14" t="s">
        <v>41</v>
      </c>
      <c r="D7" s="136" t="s">
        <v>42</v>
      </c>
      <c r="E7" s="14">
        <v>208</v>
      </c>
      <c r="F7" s="14">
        <v>14</v>
      </c>
      <c r="G7" s="14">
        <v>10</v>
      </c>
      <c r="H7" s="14">
        <v>19</v>
      </c>
      <c r="I7" s="14">
        <v>1.2</v>
      </c>
      <c r="J7" s="14">
        <v>12</v>
      </c>
      <c r="K7" s="14">
        <v>32</v>
      </c>
      <c r="L7" s="14">
        <v>29</v>
      </c>
      <c r="M7" s="14">
        <v>40</v>
      </c>
      <c r="N7" s="14">
        <v>15</v>
      </c>
      <c r="O7" s="198">
        <f t="shared" si="0"/>
        <v>6.18666666666667</v>
      </c>
      <c r="P7" s="198">
        <f t="shared" si="1"/>
        <v>0.03712</v>
      </c>
      <c r="Q7" s="198">
        <f t="shared" si="2"/>
        <v>0.0410958904109589</v>
      </c>
      <c r="R7" s="14"/>
      <c r="S7" s="19"/>
      <c r="T7" s="19">
        <f>15*MAX(N7:O7)/J7</f>
        <v>18.75</v>
      </c>
      <c r="U7" s="19"/>
      <c r="V7" s="19">
        <f>1200*P7/J7+80*7.8*0.3*0.027</f>
        <v>8.7664</v>
      </c>
      <c r="W7" s="14"/>
      <c r="X7" s="14"/>
      <c r="Y7" s="14"/>
    </row>
    <row r="8" ht="24" customHeight="1" spans="1:25">
      <c r="A8" s="14" t="s">
        <v>43</v>
      </c>
      <c r="B8" s="14" t="s">
        <v>40</v>
      </c>
      <c r="C8" s="14" t="s">
        <v>41</v>
      </c>
      <c r="D8" s="136" t="s">
        <v>42</v>
      </c>
      <c r="E8" s="14">
        <v>208</v>
      </c>
      <c r="F8" s="14">
        <v>14</v>
      </c>
      <c r="G8" s="14">
        <v>10</v>
      </c>
      <c r="H8" s="14">
        <v>19</v>
      </c>
      <c r="I8" s="14">
        <v>1.2</v>
      </c>
      <c r="J8" s="14">
        <v>12</v>
      </c>
      <c r="K8" s="14">
        <v>32</v>
      </c>
      <c r="L8" s="14">
        <v>29</v>
      </c>
      <c r="M8" s="14">
        <v>40</v>
      </c>
      <c r="N8" s="14">
        <v>15</v>
      </c>
      <c r="O8" s="198">
        <f t="shared" si="0"/>
        <v>6.18666666666667</v>
      </c>
      <c r="P8" s="198">
        <f t="shared" si="1"/>
        <v>0.03712</v>
      </c>
      <c r="Q8" s="198">
        <f t="shared" si="2"/>
        <v>0.0410958904109589</v>
      </c>
      <c r="R8" s="14"/>
      <c r="S8" s="19"/>
      <c r="T8" s="19">
        <f>15*MAX(N8:O8)/J8</f>
        <v>18.75</v>
      </c>
      <c r="U8" s="19"/>
      <c r="V8" s="19">
        <f>1200*P8/J8+80*7.8*0.3*0.027</f>
        <v>8.7664</v>
      </c>
      <c r="W8" s="14"/>
      <c r="X8" s="14"/>
      <c r="Y8" s="14"/>
    </row>
    <row r="9" ht="24" customHeight="1" spans="1:25">
      <c r="A9" s="122" t="s">
        <v>44</v>
      </c>
      <c r="B9" s="14" t="s">
        <v>45</v>
      </c>
      <c r="C9" s="14" t="s">
        <v>46</v>
      </c>
      <c r="D9" s="138" t="s">
        <v>47</v>
      </c>
      <c r="E9" s="14">
        <v>49</v>
      </c>
      <c r="F9" s="14">
        <v>17.2</v>
      </c>
      <c r="G9" s="14">
        <v>9.8</v>
      </c>
      <c r="H9" s="14">
        <v>4.4</v>
      </c>
      <c r="I9" s="14">
        <v>0.5</v>
      </c>
      <c r="J9" s="14">
        <v>50</v>
      </c>
      <c r="K9" s="14">
        <v>51.5</v>
      </c>
      <c r="L9" s="14">
        <v>42</v>
      </c>
      <c r="M9" s="14">
        <v>20</v>
      </c>
      <c r="N9" s="14">
        <v>19.75</v>
      </c>
      <c r="O9" s="198">
        <f t="shared" si="0"/>
        <v>7.21</v>
      </c>
      <c r="P9" s="198">
        <f t="shared" si="1"/>
        <v>0.04326</v>
      </c>
      <c r="Q9" s="198">
        <f t="shared" si="2"/>
        <v>0.0541095890410959</v>
      </c>
      <c r="R9" s="14"/>
      <c r="S9" s="19"/>
      <c r="T9" s="19"/>
      <c r="U9" s="19"/>
      <c r="V9" s="19">
        <f>1200*P9/J9+80*7.8*0.3*0.027</f>
        <v>6.09264</v>
      </c>
      <c r="W9" s="14"/>
      <c r="X9" s="14"/>
      <c r="Y9" s="14"/>
    </row>
    <row r="10" ht="24" customHeight="1" spans="1:25">
      <c r="A10" s="122" t="s">
        <v>48</v>
      </c>
      <c r="B10" s="14" t="s">
        <v>45</v>
      </c>
      <c r="C10" s="14" t="s">
        <v>49</v>
      </c>
      <c r="D10" s="138" t="s">
        <v>47</v>
      </c>
      <c r="E10" s="14">
        <v>49</v>
      </c>
      <c r="F10" s="14">
        <v>17.2</v>
      </c>
      <c r="G10" s="14">
        <v>9.8</v>
      </c>
      <c r="H10" s="14">
        <v>4.4</v>
      </c>
      <c r="I10" s="14">
        <v>0.5</v>
      </c>
      <c r="J10" s="14">
        <v>50</v>
      </c>
      <c r="K10" s="14">
        <v>51.5</v>
      </c>
      <c r="L10" s="14">
        <v>42</v>
      </c>
      <c r="M10" s="14">
        <v>20</v>
      </c>
      <c r="N10" s="14">
        <v>19.75</v>
      </c>
      <c r="O10" s="198">
        <f t="shared" si="0"/>
        <v>7.21</v>
      </c>
      <c r="P10" s="198">
        <f t="shared" si="1"/>
        <v>0.04326</v>
      </c>
      <c r="Q10" s="198">
        <f t="shared" si="2"/>
        <v>0.0541095890410959</v>
      </c>
      <c r="R10" s="14"/>
      <c r="S10" s="19"/>
      <c r="T10" s="19"/>
      <c r="U10" s="19"/>
      <c r="V10" s="19">
        <f>1200*P10/J10+80*7.8*0.3*0.027</f>
        <v>6.09264</v>
      </c>
      <c r="W10" s="14"/>
      <c r="X10" s="14"/>
      <c r="Y10" s="14"/>
    </row>
    <row r="11" ht="24" customHeight="1" spans="1:25">
      <c r="A11" s="14" t="s">
        <v>50</v>
      </c>
      <c r="B11" s="14" t="s">
        <v>51</v>
      </c>
      <c r="C11" s="14" t="s">
        <v>52</v>
      </c>
      <c r="D11" s="136" t="s">
        <v>53</v>
      </c>
      <c r="E11" s="14">
        <v>80.4</v>
      </c>
      <c r="F11" s="14">
        <v>26.5</v>
      </c>
      <c r="G11" s="14">
        <v>13.5</v>
      </c>
      <c r="H11" s="14">
        <v>3.5</v>
      </c>
      <c r="I11" s="14">
        <v>1.1</v>
      </c>
      <c r="J11" s="14">
        <v>30</v>
      </c>
      <c r="K11" s="14">
        <v>42.5</v>
      </c>
      <c r="L11" s="14">
        <v>27</v>
      </c>
      <c r="M11" s="14">
        <v>38</v>
      </c>
      <c r="N11" s="14">
        <v>18.05</v>
      </c>
      <c r="O11" s="198">
        <f t="shared" si="0"/>
        <v>7.2675</v>
      </c>
      <c r="P11" s="198">
        <f t="shared" si="1"/>
        <v>0.043605</v>
      </c>
      <c r="Q11" s="198">
        <f t="shared" si="2"/>
        <v>0.0494520547945205</v>
      </c>
      <c r="R11" s="14"/>
      <c r="S11" s="19"/>
      <c r="T11" s="19"/>
      <c r="U11" s="19"/>
      <c r="V11" s="19"/>
      <c r="W11" s="14"/>
      <c r="X11" s="14"/>
      <c r="Y11" s="14"/>
    </row>
    <row r="12" ht="24" customHeight="1" spans="1:25">
      <c r="A12" s="14" t="s">
        <v>54</v>
      </c>
      <c r="B12" s="14" t="s">
        <v>55</v>
      </c>
      <c r="C12" s="20" t="s">
        <v>56</v>
      </c>
      <c r="D12" s="136" t="s">
        <v>57</v>
      </c>
      <c r="E12" s="14">
        <v>29.38</v>
      </c>
      <c r="F12" s="14">
        <v>16</v>
      </c>
      <c r="G12" s="14">
        <v>2</v>
      </c>
      <c r="H12" s="14">
        <v>2</v>
      </c>
      <c r="I12" s="14">
        <v>0.1</v>
      </c>
      <c r="J12" s="14">
        <v>200</v>
      </c>
      <c r="K12" s="14">
        <v>36</v>
      </c>
      <c r="L12" s="14">
        <v>36</v>
      </c>
      <c r="M12" s="14">
        <v>24</v>
      </c>
      <c r="N12" s="14">
        <v>19.5</v>
      </c>
      <c r="O12" s="198">
        <f t="shared" si="0"/>
        <v>5.184</v>
      </c>
      <c r="P12" s="198">
        <f t="shared" si="1"/>
        <v>0.031104</v>
      </c>
      <c r="Q12" s="198">
        <f t="shared" si="2"/>
        <v>0.0534246575342466</v>
      </c>
      <c r="R12" s="14"/>
      <c r="S12" s="19"/>
      <c r="T12" s="19"/>
      <c r="U12" s="19"/>
      <c r="V12" s="19"/>
      <c r="W12" s="14"/>
      <c r="X12" s="14"/>
      <c r="Y12" s="14"/>
    </row>
    <row r="13" ht="24" customHeight="1" spans="1:25">
      <c r="A13" s="122" t="s">
        <v>58</v>
      </c>
      <c r="B13" s="326" t="s">
        <v>59</v>
      </c>
      <c r="C13" s="14" t="s">
        <v>60</v>
      </c>
      <c r="D13" s="136" t="s">
        <v>61</v>
      </c>
      <c r="E13" s="14">
        <v>94.4</v>
      </c>
      <c r="F13" s="14">
        <v>32</v>
      </c>
      <c r="G13" s="14">
        <v>18.5</v>
      </c>
      <c r="H13" s="20">
        <v>18.5</v>
      </c>
      <c r="I13" s="14">
        <v>1.6</v>
      </c>
      <c r="J13" s="14">
        <v>9</v>
      </c>
      <c r="K13" s="14">
        <v>55</v>
      </c>
      <c r="L13" s="14">
        <v>55</v>
      </c>
      <c r="M13" s="14">
        <v>35</v>
      </c>
      <c r="N13" s="14">
        <v>14</v>
      </c>
      <c r="O13" s="198">
        <f t="shared" si="0"/>
        <v>17.6458333333333</v>
      </c>
      <c r="P13" s="198">
        <f t="shared" si="1"/>
        <v>0.105875</v>
      </c>
      <c r="Q13" s="198">
        <f t="shared" si="2"/>
        <v>0.0383561643835616</v>
      </c>
      <c r="R13" s="14"/>
      <c r="S13" s="19"/>
      <c r="T13" s="19">
        <f>10*MAX(N13:O13)/J13</f>
        <v>19.6064814814815</v>
      </c>
      <c r="U13" s="19"/>
      <c r="V13" s="19">
        <f>6.5*MAX(N13:O13)/J13</f>
        <v>12.744212962963</v>
      </c>
      <c r="W13" s="14"/>
      <c r="X13" s="20">
        <v>8421391000</v>
      </c>
      <c r="Y13" s="20" t="s">
        <v>62</v>
      </c>
    </row>
    <row r="14" ht="24" customHeight="1" spans="1:25">
      <c r="A14" s="122" t="s">
        <v>63</v>
      </c>
      <c r="B14" s="14" t="s">
        <v>64</v>
      </c>
      <c r="C14" s="14" t="s">
        <v>65</v>
      </c>
      <c r="D14" s="138" t="s">
        <v>61</v>
      </c>
      <c r="E14" s="20">
        <v>94.4</v>
      </c>
      <c r="F14" s="14">
        <v>32</v>
      </c>
      <c r="G14" s="20">
        <v>18.5</v>
      </c>
      <c r="H14" s="20">
        <v>18.5</v>
      </c>
      <c r="I14" s="14">
        <v>1.6</v>
      </c>
      <c r="J14" s="14">
        <v>9</v>
      </c>
      <c r="K14" s="20">
        <v>55</v>
      </c>
      <c r="L14" s="20">
        <v>55</v>
      </c>
      <c r="M14" s="14">
        <v>35</v>
      </c>
      <c r="N14" s="14">
        <v>14</v>
      </c>
      <c r="O14" s="198">
        <f t="shared" si="0"/>
        <v>17.6458333333333</v>
      </c>
      <c r="P14" s="198">
        <f t="shared" si="1"/>
        <v>0.105875</v>
      </c>
      <c r="Q14" s="198">
        <f t="shared" si="2"/>
        <v>0.0383561643835616</v>
      </c>
      <c r="R14" s="14"/>
      <c r="S14" s="19"/>
      <c r="T14" s="19">
        <f>15*MAX(N14:O14)/J14</f>
        <v>29.4097222222222</v>
      </c>
      <c r="U14" s="19">
        <f>11*MAX(N14:O14)/J14</f>
        <v>21.5671296296296</v>
      </c>
      <c r="V14" s="19">
        <f>700*P14/J14+50*7.8*0.3*0.027</f>
        <v>11.3937222222222</v>
      </c>
      <c r="W14" s="14"/>
      <c r="X14" s="14">
        <v>8421391000</v>
      </c>
      <c r="Y14" s="20" t="s">
        <v>62</v>
      </c>
    </row>
    <row r="15" ht="24" customHeight="1" spans="1:25">
      <c r="A15" s="122" t="s">
        <v>66</v>
      </c>
      <c r="B15" s="14" t="s">
        <v>67</v>
      </c>
      <c r="C15" s="14" t="s">
        <v>68</v>
      </c>
      <c r="D15" s="138" t="s">
        <v>61</v>
      </c>
      <c r="E15" s="20">
        <v>94.4</v>
      </c>
      <c r="F15" s="14">
        <v>32</v>
      </c>
      <c r="G15" s="20">
        <v>18.5</v>
      </c>
      <c r="H15" s="20">
        <v>18.5</v>
      </c>
      <c r="I15" s="14">
        <v>1.6</v>
      </c>
      <c r="J15" s="14">
        <v>9</v>
      </c>
      <c r="K15" s="20">
        <v>55</v>
      </c>
      <c r="L15" s="20">
        <v>55</v>
      </c>
      <c r="M15" s="14">
        <v>35</v>
      </c>
      <c r="N15" s="14">
        <v>14</v>
      </c>
      <c r="O15" s="198">
        <f t="shared" si="0"/>
        <v>17.6458333333333</v>
      </c>
      <c r="P15" s="198">
        <f t="shared" si="1"/>
        <v>0.105875</v>
      </c>
      <c r="Q15" s="198">
        <f t="shared" si="2"/>
        <v>0.0383561643835616</v>
      </c>
      <c r="R15" s="14"/>
      <c r="S15" s="19"/>
      <c r="T15" s="19">
        <f>15*MAX(N15:O15)/J15</f>
        <v>29.4097222222222</v>
      </c>
      <c r="U15" s="19">
        <f>11*MAX(N15:O15)/J15</f>
        <v>21.5671296296296</v>
      </c>
      <c r="V15" s="19">
        <f>900*P15/J15+50*7.8*0.3*0.027</f>
        <v>13.7465</v>
      </c>
      <c r="W15" s="14"/>
      <c r="X15" s="20">
        <v>8421391000</v>
      </c>
      <c r="Y15" s="20" t="s">
        <v>62</v>
      </c>
    </row>
    <row r="16" ht="24" customHeight="1" spans="1:25">
      <c r="A16" s="122" t="s">
        <v>69</v>
      </c>
      <c r="B16" s="14" t="s">
        <v>70</v>
      </c>
      <c r="C16" s="14" t="s">
        <v>71</v>
      </c>
      <c r="D16" s="136" t="s">
        <v>72</v>
      </c>
      <c r="E16" s="14">
        <v>16.9</v>
      </c>
      <c r="F16" s="14">
        <v>16</v>
      </c>
      <c r="G16" s="20">
        <v>16</v>
      </c>
      <c r="H16" s="20">
        <v>16</v>
      </c>
      <c r="I16" s="14">
        <v>0.3</v>
      </c>
      <c r="J16" s="14">
        <v>27</v>
      </c>
      <c r="K16" s="14">
        <v>50</v>
      </c>
      <c r="L16" s="14">
        <v>50</v>
      </c>
      <c r="M16" s="14">
        <v>50</v>
      </c>
      <c r="N16" s="14">
        <v>7.5</v>
      </c>
      <c r="O16" s="198">
        <f t="shared" si="0"/>
        <v>20.8333333333333</v>
      </c>
      <c r="P16" s="198">
        <f t="shared" si="1"/>
        <v>0.125</v>
      </c>
      <c r="Q16" s="198">
        <f t="shared" si="2"/>
        <v>0.0205479452054795</v>
      </c>
      <c r="R16" s="14"/>
      <c r="S16" s="19"/>
      <c r="T16" s="19">
        <f>10*MAX(N16:O16)/J16</f>
        <v>7.71604938271605</v>
      </c>
      <c r="U16" s="19"/>
      <c r="V16" s="19">
        <f>780*P16/J16+E16*0.1*0.5</f>
        <v>4.45611111111111</v>
      </c>
      <c r="W16" s="14"/>
      <c r="X16" s="14">
        <v>8421991000</v>
      </c>
      <c r="Y16" s="14" t="s">
        <v>73</v>
      </c>
    </row>
    <row r="17" ht="24" customHeight="1" spans="1:25">
      <c r="A17" s="122" t="s">
        <v>74</v>
      </c>
      <c r="B17" s="14" t="s">
        <v>75</v>
      </c>
      <c r="C17" s="14" t="s">
        <v>76</v>
      </c>
      <c r="D17" s="138" t="s">
        <v>72</v>
      </c>
      <c r="E17" s="20">
        <v>16.9</v>
      </c>
      <c r="F17" s="20">
        <v>16</v>
      </c>
      <c r="G17" s="20">
        <v>16</v>
      </c>
      <c r="H17" s="20">
        <v>16</v>
      </c>
      <c r="I17" s="14">
        <v>0.3</v>
      </c>
      <c r="J17" s="14">
        <v>27</v>
      </c>
      <c r="K17" s="14">
        <v>50</v>
      </c>
      <c r="L17" s="20">
        <v>50</v>
      </c>
      <c r="M17" s="20">
        <v>50</v>
      </c>
      <c r="N17" s="20">
        <v>7.5</v>
      </c>
      <c r="O17" s="198">
        <f t="shared" si="0"/>
        <v>20.8333333333333</v>
      </c>
      <c r="P17" s="198">
        <f t="shared" si="1"/>
        <v>0.125</v>
      </c>
      <c r="Q17" s="198">
        <f t="shared" si="2"/>
        <v>0.0205479452054795</v>
      </c>
      <c r="R17" s="14"/>
      <c r="S17" s="19"/>
      <c r="T17" s="19">
        <f>15*MAX(N17:O17)/J17</f>
        <v>11.5740740740741</v>
      </c>
      <c r="U17" s="19">
        <f>11*MAX(N17:O17)/J17</f>
        <v>8.48765432098765</v>
      </c>
      <c r="V17" s="19">
        <f>700*P17/J17+50*7.8*0.3*0.027</f>
        <v>6.39974074074074</v>
      </c>
      <c r="W17" s="14"/>
      <c r="X17" s="20">
        <v>8421991000</v>
      </c>
      <c r="Y17" s="20" t="s">
        <v>73</v>
      </c>
    </row>
    <row r="18" ht="24" customHeight="1" spans="1:25">
      <c r="A18" s="122" t="s">
        <v>77</v>
      </c>
      <c r="B18" s="14" t="s">
        <v>78</v>
      </c>
      <c r="C18" s="14" t="s">
        <v>79</v>
      </c>
      <c r="D18" s="138" t="s">
        <v>72</v>
      </c>
      <c r="E18" s="20">
        <v>16.9</v>
      </c>
      <c r="F18" s="20">
        <v>16</v>
      </c>
      <c r="G18" s="20">
        <v>16</v>
      </c>
      <c r="H18" s="20">
        <v>16</v>
      </c>
      <c r="I18" s="14">
        <v>0.3</v>
      </c>
      <c r="J18" s="14">
        <v>27</v>
      </c>
      <c r="K18" s="14">
        <v>50</v>
      </c>
      <c r="L18" s="20">
        <v>50</v>
      </c>
      <c r="M18" s="20">
        <v>50</v>
      </c>
      <c r="N18" s="20">
        <v>7.5</v>
      </c>
      <c r="O18" s="198">
        <f t="shared" si="0"/>
        <v>20.8333333333333</v>
      </c>
      <c r="P18" s="198">
        <f t="shared" si="1"/>
        <v>0.125</v>
      </c>
      <c r="Q18" s="198">
        <f t="shared" si="2"/>
        <v>0.0205479452054795</v>
      </c>
      <c r="R18" s="14"/>
      <c r="S18" s="19"/>
      <c r="T18" s="19">
        <f>15*MAX(N18:O18)/J18</f>
        <v>11.5740740740741</v>
      </c>
      <c r="U18" s="19">
        <f>11*MAX(N18:O18)/J18</f>
        <v>8.48765432098765</v>
      </c>
      <c r="V18" s="19">
        <f>600*P18/J18+50*7.8*0.3*0.027</f>
        <v>5.93677777777778</v>
      </c>
      <c r="W18" s="14"/>
      <c r="X18" s="20">
        <v>8421991000</v>
      </c>
      <c r="Y18" s="20" t="s">
        <v>73</v>
      </c>
    </row>
    <row r="19" ht="24" customHeight="1" spans="1:25">
      <c r="A19" s="14" t="s">
        <v>80</v>
      </c>
      <c r="B19" s="14" t="s">
        <v>81</v>
      </c>
      <c r="C19" s="14" t="s">
        <v>82</v>
      </c>
      <c r="D19" s="136" t="s">
        <v>83</v>
      </c>
      <c r="E19" s="14">
        <v>155</v>
      </c>
      <c r="F19" s="14">
        <v>33</v>
      </c>
      <c r="G19" s="14">
        <v>22</v>
      </c>
      <c r="H19" s="14">
        <v>18</v>
      </c>
      <c r="I19" s="20">
        <v>1.8</v>
      </c>
      <c r="J19" s="14">
        <v>8</v>
      </c>
      <c r="K19" s="14">
        <v>61</v>
      </c>
      <c r="L19" s="14">
        <v>47</v>
      </c>
      <c r="M19" s="14">
        <v>37</v>
      </c>
      <c r="N19" s="14">
        <v>16</v>
      </c>
      <c r="O19" s="198">
        <f t="shared" si="0"/>
        <v>17.6798333333333</v>
      </c>
      <c r="P19" s="198">
        <f t="shared" si="1"/>
        <v>0.106079</v>
      </c>
      <c r="Q19" s="198">
        <f t="shared" si="2"/>
        <v>0.0438356164383562</v>
      </c>
      <c r="R19" s="19"/>
      <c r="S19" s="19"/>
      <c r="T19" s="19">
        <f>15*O19/J19</f>
        <v>33.1496875</v>
      </c>
      <c r="U19" s="19">
        <f t="shared" ref="U19:U27" si="3">10.5*MAX(N19:O19)/J19</f>
        <v>23.20478125</v>
      </c>
      <c r="V19" s="19">
        <f>700*P19/J19+80*7.8*0.3*0.027</f>
        <v>14.3363125</v>
      </c>
      <c r="W19" s="14"/>
      <c r="X19" s="20">
        <v>8508110000</v>
      </c>
      <c r="Y19" s="14" t="s">
        <v>26</v>
      </c>
    </row>
    <row r="20" ht="24" customHeight="1" spans="1:25">
      <c r="A20" s="14" t="s">
        <v>84</v>
      </c>
      <c r="B20" s="20" t="s">
        <v>81</v>
      </c>
      <c r="C20" s="14" t="s">
        <v>85</v>
      </c>
      <c r="D20" s="136" t="s">
        <v>83</v>
      </c>
      <c r="E20" s="20">
        <v>155</v>
      </c>
      <c r="F20" s="14">
        <v>33</v>
      </c>
      <c r="G20" s="20">
        <v>22</v>
      </c>
      <c r="H20" s="14">
        <v>18</v>
      </c>
      <c r="I20" s="20">
        <v>1.8</v>
      </c>
      <c r="J20" s="14">
        <v>8</v>
      </c>
      <c r="K20" s="14">
        <v>61</v>
      </c>
      <c r="L20" s="14">
        <v>47</v>
      </c>
      <c r="M20" s="14">
        <v>37</v>
      </c>
      <c r="N20" s="14">
        <v>16</v>
      </c>
      <c r="O20" s="198">
        <f t="shared" si="0"/>
        <v>17.6798333333333</v>
      </c>
      <c r="P20" s="198">
        <f t="shared" si="1"/>
        <v>0.106079</v>
      </c>
      <c r="Q20" s="198">
        <f t="shared" si="2"/>
        <v>0.0438356164383562</v>
      </c>
      <c r="R20" s="19"/>
      <c r="S20" s="19"/>
      <c r="T20" s="19">
        <f>15*O20/J20</f>
        <v>33.1496875</v>
      </c>
      <c r="U20" s="19">
        <f t="shared" si="3"/>
        <v>23.20478125</v>
      </c>
      <c r="V20" s="19">
        <f>700*P20/J20+80*7.8*0.3*0.027</f>
        <v>14.3363125</v>
      </c>
      <c r="W20" s="14"/>
      <c r="X20" s="20">
        <v>8508110000</v>
      </c>
      <c r="Y20" s="14" t="s">
        <v>26</v>
      </c>
    </row>
    <row r="21" ht="24" customHeight="1" spans="1:25">
      <c r="A21" s="122" t="s">
        <v>86</v>
      </c>
      <c r="B21" s="14" t="s">
        <v>87</v>
      </c>
      <c r="C21" s="14" t="s">
        <v>88</v>
      </c>
      <c r="D21" s="138" t="s">
        <v>89</v>
      </c>
      <c r="E21" s="14">
        <v>260</v>
      </c>
      <c r="F21" s="14">
        <v>43</v>
      </c>
      <c r="G21" s="14">
        <v>33</v>
      </c>
      <c r="H21" s="14">
        <v>19</v>
      </c>
      <c r="I21" s="14">
        <v>5.5</v>
      </c>
      <c r="J21" s="14">
        <v>3</v>
      </c>
      <c r="K21" s="14">
        <v>58</v>
      </c>
      <c r="L21" s="14">
        <v>44</v>
      </c>
      <c r="M21" s="14">
        <v>35</v>
      </c>
      <c r="N21" s="14">
        <v>17.2</v>
      </c>
      <c r="O21" s="198">
        <f t="shared" si="0"/>
        <v>14.8866666666667</v>
      </c>
      <c r="P21" s="198">
        <f t="shared" si="1"/>
        <v>0.08932</v>
      </c>
      <c r="Q21" s="198">
        <f t="shared" si="2"/>
        <v>0.0471232876712329</v>
      </c>
      <c r="R21" s="19"/>
      <c r="S21" s="19"/>
      <c r="T21" s="19">
        <f>15*O21/J21</f>
        <v>74.4333333333333</v>
      </c>
      <c r="U21" s="19">
        <f t="shared" si="3"/>
        <v>60.2</v>
      </c>
      <c r="V21" s="19">
        <f>6.5*MAX(N21:O21)/J21</f>
        <v>37.2666666666667</v>
      </c>
      <c r="W21" s="14"/>
      <c r="X21" s="14">
        <v>8451400000</v>
      </c>
      <c r="Y21" s="14" t="s">
        <v>90</v>
      </c>
    </row>
    <row r="22" ht="24" customHeight="1" spans="1:25">
      <c r="A22" s="122" t="s">
        <v>91</v>
      </c>
      <c r="B22" s="14" t="s">
        <v>92</v>
      </c>
      <c r="C22" s="14" t="s">
        <v>93</v>
      </c>
      <c r="D22" s="138" t="s">
        <v>89</v>
      </c>
      <c r="E22" s="14">
        <v>249</v>
      </c>
      <c r="F22" s="14">
        <v>43</v>
      </c>
      <c r="G22" s="14">
        <v>33</v>
      </c>
      <c r="H22" s="14">
        <v>19</v>
      </c>
      <c r="I22" s="20">
        <v>5.5</v>
      </c>
      <c r="J22" s="14">
        <v>3</v>
      </c>
      <c r="K22" s="20">
        <v>58</v>
      </c>
      <c r="L22" s="20">
        <v>44</v>
      </c>
      <c r="M22" s="20">
        <v>35</v>
      </c>
      <c r="N22" s="20">
        <v>17.2</v>
      </c>
      <c r="O22" s="198">
        <f t="shared" si="0"/>
        <v>14.8866666666667</v>
      </c>
      <c r="P22" s="198">
        <f t="shared" si="1"/>
        <v>0.08932</v>
      </c>
      <c r="Q22" s="198">
        <f t="shared" si="2"/>
        <v>0.0471232876712329</v>
      </c>
      <c r="R22" s="19"/>
      <c r="S22" s="19"/>
      <c r="T22" s="19">
        <f>15*O22/J22</f>
        <v>74.4333333333333</v>
      </c>
      <c r="U22" s="19">
        <f t="shared" si="3"/>
        <v>60.2</v>
      </c>
      <c r="V22" s="19">
        <f>700*P22/J22+120*7.8*0.3*0.022</f>
        <v>27.0189333333333</v>
      </c>
      <c r="W22" s="14"/>
      <c r="X22" s="20">
        <v>8451400000</v>
      </c>
      <c r="Y22" s="20" t="s">
        <v>90</v>
      </c>
    </row>
    <row r="23" ht="24" customHeight="1" spans="1:25">
      <c r="A23" s="122" t="s">
        <v>94</v>
      </c>
      <c r="B23" s="14" t="s">
        <v>95</v>
      </c>
      <c r="C23" s="14" t="s">
        <v>96</v>
      </c>
      <c r="D23" s="138" t="s">
        <v>89</v>
      </c>
      <c r="E23" s="20">
        <v>249</v>
      </c>
      <c r="F23" s="20">
        <v>43</v>
      </c>
      <c r="G23" s="20">
        <v>33</v>
      </c>
      <c r="H23" s="20">
        <v>19</v>
      </c>
      <c r="I23" s="20">
        <v>5.5</v>
      </c>
      <c r="J23" s="14">
        <v>3</v>
      </c>
      <c r="K23" s="20">
        <v>58</v>
      </c>
      <c r="L23" s="20">
        <v>44</v>
      </c>
      <c r="M23" s="20">
        <v>35</v>
      </c>
      <c r="N23" s="20">
        <v>17.2</v>
      </c>
      <c r="O23" s="198">
        <f t="shared" si="0"/>
        <v>14.8866666666667</v>
      </c>
      <c r="P23" s="198">
        <f t="shared" si="1"/>
        <v>0.08932</v>
      </c>
      <c r="Q23" s="198">
        <f t="shared" si="2"/>
        <v>0.0471232876712329</v>
      </c>
      <c r="R23" s="19"/>
      <c r="S23" s="19"/>
      <c r="T23" s="19">
        <f>15*O23/J23</f>
        <v>74.4333333333333</v>
      </c>
      <c r="U23" s="19">
        <f t="shared" si="3"/>
        <v>60.2</v>
      </c>
      <c r="V23" s="19">
        <f>600*P23/J23+120*7.8*0.3*0.02</f>
        <v>23.48</v>
      </c>
      <c r="W23" s="14"/>
      <c r="X23" s="20">
        <v>8451400000</v>
      </c>
      <c r="Y23" s="20" t="s">
        <v>90</v>
      </c>
    </row>
    <row r="24" ht="24" customHeight="1" spans="1:25">
      <c r="A24" s="14"/>
      <c r="B24" s="14" t="s">
        <v>97</v>
      </c>
      <c r="C24" s="14" t="s">
        <v>98</v>
      </c>
      <c r="D24" s="136" t="s">
        <v>99</v>
      </c>
      <c r="E24" s="14">
        <v>17.8</v>
      </c>
      <c r="F24" s="14">
        <v>13</v>
      </c>
      <c r="G24" s="20">
        <v>5.5</v>
      </c>
      <c r="H24" s="20">
        <v>5.5</v>
      </c>
      <c r="I24" s="14">
        <v>0.23</v>
      </c>
      <c r="J24" s="14">
        <v>48</v>
      </c>
      <c r="K24" s="14">
        <v>36.5</v>
      </c>
      <c r="L24" s="14">
        <v>28.5</v>
      </c>
      <c r="M24" s="14">
        <v>24</v>
      </c>
      <c r="N24" s="14">
        <v>10.6</v>
      </c>
      <c r="O24" s="198">
        <f t="shared" si="0"/>
        <v>4.161</v>
      </c>
      <c r="P24" s="198">
        <f t="shared" si="1"/>
        <v>0.024966</v>
      </c>
      <c r="Q24" s="198">
        <f t="shared" si="2"/>
        <v>0.029041095890411</v>
      </c>
      <c r="R24" s="14"/>
      <c r="S24" s="19"/>
      <c r="T24" s="19">
        <f t="shared" ref="T24:T32" si="4">15*N24/J24</f>
        <v>3.3125</v>
      </c>
      <c r="U24" s="19">
        <f t="shared" si="3"/>
        <v>2.31875</v>
      </c>
      <c r="V24" s="19">
        <f>600*P24/J24+20*7.8*0.3*0.027</f>
        <v>1.575675</v>
      </c>
      <c r="W24" s="14"/>
      <c r="X24" s="14"/>
      <c r="Y24" s="14"/>
    </row>
    <row r="25" ht="24" customHeight="1" spans="1:25">
      <c r="A25" s="14" t="s">
        <v>100</v>
      </c>
      <c r="B25" s="14" t="s">
        <v>97</v>
      </c>
      <c r="C25" s="14" t="s">
        <v>101</v>
      </c>
      <c r="D25" s="136" t="s">
        <v>102</v>
      </c>
      <c r="E25" s="14">
        <v>24.5</v>
      </c>
      <c r="F25" s="14">
        <v>16</v>
      </c>
      <c r="G25" s="14">
        <v>4.5</v>
      </c>
      <c r="H25" s="14">
        <v>4.5</v>
      </c>
      <c r="I25" s="14">
        <v>0.22</v>
      </c>
      <c r="J25" s="14">
        <v>60</v>
      </c>
      <c r="K25" s="14">
        <v>36</v>
      </c>
      <c r="L25" s="14">
        <v>30.5</v>
      </c>
      <c r="M25" s="14">
        <v>26.5</v>
      </c>
      <c r="N25" s="14">
        <v>13</v>
      </c>
      <c r="O25" s="198">
        <f t="shared" si="0"/>
        <v>4.8495</v>
      </c>
      <c r="P25" s="198">
        <f t="shared" si="1"/>
        <v>0.029097</v>
      </c>
      <c r="Q25" s="198">
        <f t="shared" si="2"/>
        <v>0.0356164383561644</v>
      </c>
      <c r="R25" s="14"/>
      <c r="S25" s="19"/>
      <c r="T25" s="19">
        <f t="shared" si="4"/>
        <v>3.25</v>
      </c>
      <c r="U25" s="19">
        <f t="shared" si="3"/>
        <v>2.275</v>
      </c>
      <c r="V25" s="19">
        <f>600*P25/J25+30*7.8*0.3*0.027</f>
        <v>2.18637</v>
      </c>
      <c r="W25" s="14"/>
      <c r="X25" s="14"/>
      <c r="Y25" s="14"/>
    </row>
    <row r="26" ht="24" customHeight="1" spans="1:25">
      <c r="A26" s="14" t="s">
        <v>103</v>
      </c>
      <c r="B26" s="14" t="s">
        <v>81</v>
      </c>
      <c r="C26" s="14" t="s">
        <v>104</v>
      </c>
      <c r="D26" s="136" t="s">
        <v>105</v>
      </c>
      <c r="E26" s="14">
        <v>85</v>
      </c>
      <c r="F26" s="14">
        <v>18.5</v>
      </c>
      <c r="G26" s="14">
        <v>7</v>
      </c>
      <c r="H26" s="14">
        <v>7</v>
      </c>
      <c r="I26" s="14">
        <v>0.55</v>
      </c>
      <c r="J26" s="14">
        <v>20</v>
      </c>
      <c r="K26" s="14">
        <v>36.5</v>
      </c>
      <c r="L26" s="14">
        <v>29</v>
      </c>
      <c r="M26" s="14">
        <v>21</v>
      </c>
      <c r="N26" s="14">
        <v>11</v>
      </c>
      <c r="O26" s="198">
        <f t="shared" si="0"/>
        <v>3.70475</v>
      </c>
      <c r="P26" s="198">
        <f t="shared" si="1"/>
        <v>0.0222285</v>
      </c>
      <c r="Q26" s="198">
        <f t="shared" si="2"/>
        <v>0.0301369863013699</v>
      </c>
      <c r="R26" s="14"/>
      <c r="S26" s="19"/>
      <c r="T26" s="19">
        <f t="shared" si="4"/>
        <v>8.25</v>
      </c>
      <c r="U26" s="19">
        <f t="shared" si="3"/>
        <v>5.775</v>
      </c>
      <c r="V26" s="19">
        <f>600*P26/J26+50*7.8*0.3*0.027</f>
        <v>3.825855</v>
      </c>
      <c r="W26" s="14"/>
      <c r="X26" s="14"/>
      <c r="Y26" s="14"/>
    </row>
    <row r="27" ht="24" customHeight="1" spans="1:25">
      <c r="A27" s="20" t="s">
        <v>106</v>
      </c>
      <c r="B27" s="14" t="s">
        <v>81</v>
      </c>
      <c r="C27" s="14" t="s">
        <v>107</v>
      </c>
      <c r="D27" s="136" t="s">
        <v>108</v>
      </c>
      <c r="E27" s="14">
        <v>75</v>
      </c>
      <c r="F27" s="14">
        <v>21.6</v>
      </c>
      <c r="G27" s="14">
        <v>4.5</v>
      </c>
      <c r="H27" s="14">
        <v>4.5</v>
      </c>
      <c r="I27" s="14">
        <v>0.45</v>
      </c>
      <c r="J27" s="14">
        <v>40</v>
      </c>
      <c r="K27" s="14">
        <v>45</v>
      </c>
      <c r="L27" s="14">
        <v>24</v>
      </c>
      <c r="M27" s="14">
        <v>20.5</v>
      </c>
      <c r="N27" s="14">
        <v>18</v>
      </c>
      <c r="O27" s="198">
        <f t="shared" si="0"/>
        <v>3.69</v>
      </c>
      <c r="P27" s="198">
        <f t="shared" si="1"/>
        <v>0.02214</v>
      </c>
      <c r="Q27" s="198">
        <f t="shared" si="2"/>
        <v>0.0493150684931507</v>
      </c>
      <c r="R27" s="14"/>
      <c r="S27" s="19"/>
      <c r="T27" s="19">
        <f t="shared" si="4"/>
        <v>6.75</v>
      </c>
      <c r="U27" s="19">
        <f t="shared" si="3"/>
        <v>4.725</v>
      </c>
      <c r="V27" s="19">
        <f>600*P27/J27+40*7.8*0.3*0.027</f>
        <v>2.8593</v>
      </c>
      <c r="W27" s="14"/>
      <c r="X27" s="14"/>
      <c r="Y27" s="14"/>
    </row>
    <row r="28" ht="24" customHeight="1" spans="1:25">
      <c r="A28" s="14" t="s">
        <v>109</v>
      </c>
      <c r="B28" s="14" t="s">
        <v>110</v>
      </c>
      <c r="C28" s="14" t="s">
        <v>111</v>
      </c>
      <c r="D28" s="136" t="s">
        <v>112</v>
      </c>
      <c r="E28" s="14">
        <v>75</v>
      </c>
      <c r="F28" s="14"/>
      <c r="G28" s="14"/>
      <c r="H28" s="14"/>
      <c r="I28" s="14"/>
      <c r="J28" s="20"/>
      <c r="K28" s="20"/>
      <c r="L28" s="20"/>
      <c r="M28" s="20"/>
      <c r="N28" s="20"/>
      <c r="O28" s="198"/>
      <c r="P28" s="198"/>
      <c r="Q28" s="198"/>
      <c r="R28" s="14"/>
      <c r="S28" s="19"/>
      <c r="T28" s="19" t="e">
        <f t="shared" si="4"/>
        <v>#DIV/0!</v>
      </c>
      <c r="U28" s="19" t="e">
        <f>10.5*O28/J28+80*7.8*0.3*0.027</f>
        <v>#DIV/0!</v>
      </c>
      <c r="V28" s="19" t="e">
        <f>600*P28/J28+80*7.8*0.3*0.027</f>
        <v>#DIV/0!</v>
      </c>
      <c r="W28" s="14"/>
      <c r="X28" s="14"/>
      <c r="Y28" s="14"/>
    </row>
    <row r="29" ht="24" customHeight="1" spans="1:25">
      <c r="A29" s="14" t="s">
        <v>113</v>
      </c>
      <c r="B29" s="14" t="s">
        <v>81</v>
      </c>
      <c r="C29" s="14" t="s">
        <v>114</v>
      </c>
      <c r="D29" s="136" t="s">
        <v>115</v>
      </c>
      <c r="E29" s="14"/>
      <c r="F29" s="14"/>
      <c r="G29" s="14"/>
      <c r="H29" s="14"/>
      <c r="I29" s="20">
        <v>0.55</v>
      </c>
      <c r="J29" s="14">
        <v>24</v>
      </c>
      <c r="K29" s="14">
        <v>45.5</v>
      </c>
      <c r="L29" s="14">
        <v>35</v>
      </c>
      <c r="M29" s="14">
        <v>29</v>
      </c>
      <c r="N29" s="14">
        <v>14</v>
      </c>
      <c r="O29" s="198">
        <f>K29*L29*M29/6000</f>
        <v>7.69708333333333</v>
      </c>
      <c r="P29" s="198">
        <f>K29*L29*M29/1000000</f>
        <v>0.0461825</v>
      </c>
      <c r="Q29" s="198">
        <f>N29/365</f>
        <v>0.0383561643835616</v>
      </c>
      <c r="R29" s="14"/>
      <c r="S29" s="19"/>
      <c r="T29" s="19">
        <f t="shared" si="4"/>
        <v>8.75</v>
      </c>
      <c r="U29" s="19">
        <f>10.5*O29/J29+80*7.8*0.3*0.027</f>
        <v>8.42187395833333</v>
      </c>
      <c r="V29" s="19">
        <f>600*P29/J29+30*7.8*0.3*0.027</f>
        <v>3.0499625</v>
      </c>
      <c r="W29" s="14"/>
      <c r="X29" s="14"/>
      <c r="Y29" s="14"/>
    </row>
    <row r="30" ht="24" customHeight="1" spans="1:25">
      <c r="A30" s="14" t="s">
        <v>116</v>
      </c>
      <c r="B30" s="14" t="s">
        <v>110</v>
      </c>
      <c r="C30" s="14" t="s">
        <v>97</v>
      </c>
      <c r="D30" s="136" t="s">
        <v>117</v>
      </c>
      <c r="E30" s="14"/>
      <c r="F30" s="14"/>
      <c r="G30" s="14"/>
      <c r="H30" s="14"/>
      <c r="I30" s="14"/>
      <c r="J30" s="20"/>
      <c r="K30" s="20"/>
      <c r="L30" s="20"/>
      <c r="M30" s="20"/>
      <c r="N30" s="20"/>
      <c r="O30" s="198"/>
      <c r="P30" s="198"/>
      <c r="Q30" s="198"/>
      <c r="R30" s="14"/>
      <c r="S30" s="19"/>
      <c r="T30" s="19" t="e">
        <f t="shared" si="4"/>
        <v>#DIV/0!</v>
      </c>
      <c r="U30" s="19" t="e">
        <f>10.5*O30/J30+80*7.8*0.3*0.027</f>
        <v>#DIV/0!</v>
      </c>
      <c r="V30" s="19" t="e">
        <f>600*P30/J30+80*7.8*0.3*0.027</f>
        <v>#DIV/0!</v>
      </c>
      <c r="W30" s="14"/>
      <c r="X30" s="14"/>
      <c r="Y30" s="14"/>
    </row>
    <row r="31" ht="24" customHeight="1" spans="1:25">
      <c r="A31" s="14" t="s">
        <v>118</v>
      </c>
      <c r="B31" s="20" t="s">
        <v>110</v>
      </c>
      <c r="C31" s="20" t="s">
        <v>97</v>
      </c>
      <c r="D31" s="136" t="s">
        <v>119</v>
      </c>
      <c r="E31" s="14"/>
      <c r="F31" s="14"/>
      <c r="G31" s="14"/>
      <c r="H31" s="14"/>
      <c r="I31" s="14"/>
      <c r="J31" s="20"/>
      <c r="K31" s="20"/>
      <c r="L31" s="20"/>
      <c r="M31" s="20"/>
      <c r="N31" s="20"/>
      <c r="O31" s="198"/>
      <c r="P31" s="198"/>
      <c r="Q31" s="198"/>
      <c r="R31" s="14"/>
      <c r="S31" s="19"/>
      <c r="T31" s="19" t="e">
        <f t="shared" si="4"/>
        <v>#DIV/0!</v>
      </c>
      <c r="U31" s="19" t="e">
        <f>10.5*O31/J31+80*7.8*0.3*0.027</f>
        <v>#DIV/0!</v>
      </c>
      <c r="V31" s="19" t="e">
        <f>600*P31/J31+80*7.8*0.3*0.027</f>
        <v>#DIV/0!</v>
      </c>
      <c r="W31" s="14"/>
      <c r="X31" s="14"/>
      <c r="Y31" s="14"/>
    </row>
    <row r="32" ht="24" customHeight="1" spans="1:25">
      <c r="A32" s="14" t="s">
        <v>120</v>
      </c>
      <c r="B32" s="20" t="s">
        <v>110</v>
      </c>
      <c r="C32" s="20" t="s">
        <v>97</v>
      </c>
      <c r="D32" s="136" t="s">
        <v>121</v>
      </c>
      <c r="E32" s="14"/>
      <c r="F32" s="14"/>
      <c r="G32" s="14"/>
      <c r="H32" s="14"/>
      <c r="I32" s="14"/>
      <c r="J32" s="20"/>
      <c r="K32" s="20"/>
      <c r="L32" s="20"/>
      <c r="M32" s="20"/>
      <c r="N32" s="20"/>
      <c r="O32" s="198"/>
      <c r="P32" s="198"/>
      <c r="Q32" s="198"/>
      <c r="R32" s="14"/>
      <c r="S32" s="19"/>
      <c r="T32" s="19" t="e">
        <f t="shared" si="4"/>
        <v>#DIV/0!</v>
      </c>
      <c r="U32" s="19" t="e">
        <f>10.5*O32/J32+80*7.8*0.3*0.027</f>
        <v>#DIV/0!</v>
      </c>
      <c r="V32" s="19" t="e">
        <f>600*P32/J32+80*7.8*0.3*0.027</f>
        <v>#DIV/0!</v>
      </c>
      <c r="W32" s="14"/>
      <c r="X32" s="14"/>
      <c r="Y32" s="14"/>
    </row>
    <row r="33" ht="24" customHeight="1" spans="1:25">
      <c r="A33" s="14" t="s">
        <v>122</v>
      </c>
      <c r="B33" s="14" t="s">
        <v>123</v>
      </c>
      <c r="C33" s="20" t="s">
        <v>97</v>
      </c>
      <c r="D33" s="136" t="s">
        <v>124</v>
      </c>
      <c r="E33" s="14">
        <v>270</v>
      </c>
      <c r="F33" s="14">
        <v>43.5</v>
      </c>
      <c r="G33" s="14">
        <v>32.3</v>
      </c>
      <c r="H33" s="14">
        <v>19</v>
      </c>
      <c r="I33" s="14">
        <v>3.05</v>
      </c>
      <c r="J33" s="14">
        <v>1</v>
      </c>
      <c r="K33" s="14">
        <v>43.5</v>
      </c>
      <c r="L33" s="14">
        <v>32.5</v>
      </c>
      <c r="M33" s="14">
        <v>19</v>
      </c>
      <c r="N33" s="14">
        <v>3.05</v>
      </c>
      <c r="O33" s="198">
        <f t="shared" ref="O33:O43" si="5">K33*L33*M33/6000</f>
        <v>4.476875</v>
      </c>
      <c r="P33" s="198">
        <f t="shared" ref="P33:P43" si="6">K33*L33*M33/1000000</f>
        <v>0.02686125</v>
      </c>
      <c r="Q33" s="198">
        <f t="shared" ref="Q33:Q43" si="7">N33/365</f>
        <v>0.00835616438356164</v>
      </c>
      <c r="R33" s="14"/>
      <c r="S33" s="19"/>
      <c r="T33" s="19">
        <f t="shared" ref="T33:T40" si="8">15*MAX(N33:O33)/J33</f>
        <v>67.153125</v>
      </c>
      <c r="U33" s="19">
        <f t="shared" ref="U33:U38" si="9">11*MAX(N33:O33)/J33</f>
        <v>49.245625</v>
      </c>
      <c r="V33" s="19">
        <f>600*P33/J33+110*7.8*0.3*0.027</f>
        <v>23.06655</v>
      </c>
      <c r="W33" s="14"/>
      <c r="X33" s="14"/>
      <c r="Y33" s="14"/>
    </row>
    <row r="34" ht="24" customHeight="1" spans="1:25">
      <c r="A34" s="103"/>
      <c r="B34" s="103"/>
      <c r="C34" s="103"/>
      <c r="D34" s="103" t="s">
        <v>125</v>
      </c>
      <c r="E34" s="103">
        <f>67*1.13</f>
        <v>75.71</v>
      </c>
      <c r="F34" s="103">
        <v>19</v>
      </c>
      <c r="G34" s="103">
        <v>9</v>
      </c>
      <c r="H34" s="103">
        <v>6.5</v>
      </c>
      <c r="I34" s="103">
        <v>0.8</v>
      </c>
      <c r="J34" s="327">
        <v>24</v>
      </c>
      <c r="K34" s="327">
        <v>43</v>
      </c>
      <c r="L34" s="327">
        <v>33</v>
      </c>
      <c r="M34" s="327">
        <v>28</v>
      </c>
      <c r="N34" s="327">
        <v>20</v>
      </c>
      <c r="O34" s="328">
        <f t="shared" si="5"/>
        <v>6.622</v>
      </c>
      <c r="P34" s="328">
        <f t="shared" si="6"/>
        <v>0.039732</v>
      </c>
      <c r="Q34" s="328">
        <f t="shared" si="7"/>
        <v>0.0547945205479452</v>
      </c>
      <c r="R34" s="103"/>
      <c r="S34" s="329"/>
      <c r="T34" s="329">
        <f t="shared" si="8"/>
        <v>12.5</v>
      </c>
      <c r="U34" s="329">
        <f t="shared" si="9"/>
        <v>9.16666666666667</v>
      </c>
      <c r="V34" s="329">
        <f>1000*MAX(P34,Q34)/J34+E34*2.7%</f>
        <v>4.32727502283105</v>
      </c>
      <c r="W34" s="103"/>
      <c r="X34" s="103"/>
      <c r="Y34" s="103"/>
    </row>
    <row r="35" ht="24" customHeight="1" spans="1:25">
      <c r="A35" s="14"/>
      <c r="B35" s="14"/>
      <c r="C35" s="14"/>
      <c r="D35" s="14" t="s">
        <v>126</v>
      </c>
      <c r="E35" s="14">
        <f>130*1.13</f>
        <v>146.9</v>
      </c>
      <c r="F35" s="20">
        <v>19</v>
      </c>
      <c r="G35" s="20">
        <v>9</v>
      </c>
      <c r="H35" s="20">
        <v>6.5</v>
      </c>
      <c r="I35" s="20">
        <v>0.8</v>
      </c>
      <c r="J35" s="14">
        <v>24</v>
      </c>
      <c r="K35" s="14">
        <v>43</v>
      </c>
      <c r="L35" s="14">
        <v>33</v>
      </c>
      <c r="M35" s="14">
        <v>28</v>
      </c>
      <c r="N35" s="14">
        <v>20</v>
      </c>
      <c r="O35" s="198">
        <f t="shared" si="5"/>
        <v>6.622</v>
      </c>
      <c r="P35" s="198">
        <f t="shared" si="6"/>
        <v>0.039732</v>
      </c>
      <c r="Q35" s="198">
        <f t="shared" si="7"/>
        <v>0.0547945205479452</v>
      </c>
      <c r="R35" s="14"/>
      <c r="S35" s="19"/>
      <c r="T35" s="19">
        <f t="shared" si="8"/>
        <v>12.5</v>
      </c>
      <c r="U35" s="19">
        <f t="shared" si="9"/>
        <v>9.16666666666667</v>
      </c>
      <c r="V35" s="19">
        <f>1000*MAX(P35,Q35)/J35+E35*2.7%</f>
        <v>6.24940502283105</v>
      </c>
      <c r="W35" s="14"/>
      <c r="X35" s="14"/>
      <c r="Y35" s="14"/>
    </row>
    <row r="36" ht="24" customHeight="1" spans="1:25">
      <c r="A36" s="14"/>
      <c r="B36" s="14"/>
      <c r="C36" s="14"/>
      <c r="D36" s="14" t="s">
        <v>127</v>
      </c>
      <c r="E36" s="14">
        <v>108</v>
      </c>
      <c r="F36" s="14">
        <v>18</v>
      </c>
      <c r="G36" s="14">
        <v>17</v>
      </c>
      <c r="H36" s="14">
        <v>7</v>
      </c>
      <c r="I36" s="14">
        <v>0.8</v>
      </c>
      <c r="J36" s="14">
        <v>20</v>
      </c>
      <c r="K36" s="14">
        <v>38</v>
      </c>
      <c r="L36" s="14">
        <v>35</v>
      </c>
      <c r="M36" s="14">
        <v>35</v>
      </c>
      <c r="N36" s="14">
        <v>16.5</v>
      </c>
      <c r="O36" s="198">
        <f t="shared" si="5"/>
        <v>7.75833333333333</v>
      </c>
      <c r="P36" s="198">
        <f t="shared" si="6"/>
        <v>0.04655</v>
      </c>
      <c r="Q36" s="198">
        <f t="shared" si="7"/>
        <v>0.0452054794520548</v>
      </c>
      <c r="R36" s="14"/>
      <c r="S36" s="19"/>
      <c r="T36" s="19">
        <f t="shared" si="8"/>
        <v>12.375</v>
      </c>
      <c r="U36" s="19">
        <f t="shared" si="9"/>
        <v>9.075</v>
      </c>
      <c r="V36" s="19">
        <f>1000*MAX(P36,Q36)/J36+E36*2.7%</f>
        <v>5.2435</v>
      </c>
      <c r="W36" s="14"/>
      <c r="X36" s="14"/>
      <c r="Y36" s="14"/>
    </row>
    <row r="37" ht="24" customHeight="1" spans="1:25">
      <c r="A37" s="14"/>
      <c r="B37" s="14"/>
      <c r="C37" s="14"/>
      <c r="D37" s="14" t="s">
        <v>128</v>
      </c>
      <c r="E37" s="14">
        <v>61.6</v>
      </c>
      <c r="F37" s="14">
        <v>18</v>
      </c>
      <c r="G37" s="14">
        <v>13</v>
      </c>
      <c r="H37" s="14">
        <v>5</v>
      </c>
      <c r="I37" s="14">
        <v>0.35</v>
      </c>
      <c r="J37" s="14">
        <v>24</v>
      </c>
      <c r="K37" s="14">
        <v>40</v>
      </c>
      <c r="L37" s="14">
        <v>38</v>
      </c>
      <c r="M37" s="14">
        <v>20</v>
      </c>
      <c r="N37" s="14">
        <v>8.5</v>
      </c>
      <c r="O37" s="198">
        <f t="shared" si="5"/>
        <v>5.06666666666667</v>
      </c>
      <c r="P37" s="198">
        <f t="shared" si="6"/>
        <v>0.0304</v>
      </c>
      <c r="Q37" s="198">
        <f t="shared" si="7"/>
        <v>0.0232876712328767</v>
      </c>
      <c r="R37" s="14"/>
      <c r="S37" s="19"/>
      <c r="T37" s="19">
        <f t="shared" si="8"/>
        <v>5.3125</v>
      </c>
      <c r="U37" s="19">
        <f t="shared" si="9"/>
        <v>3.89583333333333</v>
      </c>
      <c r="V37" s="19">
        <f>1000*MAX(P37,Q37)/J37+E37*2.7%</f>
        <v>2.92986666666667</v>
      </c>
      <c r="W37" s="14"/>
      <c r="X37" s="14"/>
      <c r="Y37" s="14"/>
    </row>
    <row r="38" ht="24" customHeight="1" spans="1:25">
      <c r="A38" s="14"/>
      <c r="B38" s="14"/>
      <c r="C38" s="14"/>
      <c r="D38" s="14" t="s">
        <v>124</v>
      </c>
      <c r="E38" s="14">
        <v>270</v>
      </c>
      <c r="F38" s="14">
        <v>43.5</v>
      </c>
      <c r="G38" s="14">
        <v>32.3</v>
      </c>
      <c r="H38" s="14">
        <v>19</v>
      </c>
      <c r="I38" s="14">
        <v>3.05</v>
      </c>
      <c r="J38" s="14">
        <v>1</v>
      </c>
      <c r="K38" s="14">
        <v>43.5</v>
      </c>
      <c r="L38" s="14">
        <v>32.5</v>
      </c>
      <c r="M38" s="14">
        <v>19</v>
      </c>
      <c r="N38" s="14">
        <v>3.05</v>
      </c>
      <c r="O38" s="198">
        <f t="shared" si="5"/>
        <v>4.476875</v>
      </c>
      <c r="P38" s="198">
        <f t="shared" si="6"/>
        <v>0.02686125</v>
      </c>
      <c r="Q38" s="198">
        <f t="shared" si="7"/>
        <v>0.00835616438356164</v>
      </c>
      <c r="R38" s="14"/>
      <c r="S38" s="19"/>
      <c r="T38" s="19">
        <f t="shared" si="8"/>
        <v>67.153125</v>
      </c>
      <c r="U38" s="19">
        <f t="shared" si="9"/>
        <v>49.245625</v>
      </c>
      <c r="V38" s="19">
        <f>780*P38/J38+E38*0.1*0.5</f>
        <v>34.451775</v>
      </c>
      <c r="W38" s="14"/>
      <c r="X38" s="14"/>
      <c r="Y38" s="14"/>
    </row>
    <row r="39" ht="24" customHeight="1" spans="1:25">
      <c r="A39" s="14"/>
      <c r="B39" s="14"/>
      <c r="C39" s="14"/>
      <c r="D39" s="14" t="s">
        <v>124</v>
      </c>
      <c r="E39" s="14">
        <v>270</v>
      </c>
      <c r="F39" s="14">
        <v>43.5</v>
      </c>
      <c r="G39" s="14">
        <v>32.3</v>
      </c>
      <c r="H39" s="14">
        <v>19</v>
      </c>
      <c r="I39" s="14">
        <v>3.05</v>
      </c>
      <c r="J39" s="14">
        <v>1</v>
      </c>
      <c r="K39" s="14">
        <v>43.5</v>
      </c>
      <c r="L39" s="14">
        <v>32.5</v>
      </c>
      <c r="M39" s="14">
        <v>19</v>
      </c>
      <c r="N39" s="14">
        <v>3.05</v>
      </c>
      <c r="O39" s="198">
        <f t="shared" si="5"/>
        <v>4.476875</v>
      </c>
      <c r="P39" s="198">
        <f t="shared" si="6"/>
        <v>0.02686125</v>
      </c>
      <c r="Q39" s="198">
        <f t="shared" si="7"/>
        <v>0.00835616438356164</v>
      </c>
      <c r="R39" s="14"/>
      <c r="S39" s="19"/>
      <c r="T39" s="19">
        <f t="shared" si="8"/>
        <v>67.153125</v>
      </c>
      <c r="U39" s="19">
        <f>8.5*O39/J39+80*7.8*0.3*0.027</f>
        <v>43.1078375</v>
      </c>
      <c r="V39" s="19">
        <f>700*P39/J39+130*7.8*0.3*0.027</f>
        <v>27.016275</v>
      </c>
      <c r="W39" s="14"/>
      <c r="X39" s="14"/>
      <c r="Y39" s="14"/>
    </row>
    <row r="40" ht="24" customHeight="1" spans="1:25">
      <c r="A40" s="14"/>
      <c r="B40" s="14"/>
      <c r="C40" s="14"/>
      <c r="D40" s="14" t="s">
        <v>124</v>
      </c>
      <c r="E40" s="14">
        <v>270</v>
      </c>
      <c r="F40" s="14">
        <v>43.5</v>
      </c>
      <c r="G40" s="14">
        <v>32.3</v>
      </c>
      <c r="H40" s="14">
        <v>19</v>
      </c>
      <c r="I40" s="14">
        <v>3.05</v>
      </c>
      <c r="J40" s="14">
        <v>1</v>
      </c>
      <c r="K40" s="14">
        <v>43.5</v>
      </c>
      <c r="L40" s="14">
        <v>32.5</v>
      </c>
      <c r="M40" s="14">
        <v>19</v>
      </c>
      <c r="N40" s="14">
        <v>3.05</v>
      </c>
      <c r="O40" s="198">
        <f t="shared" si="5"/>
        <v>4.476875</v>
      </c>
      <c r="P40" s="198">
        <f t="shared" si="6"/>
        <v>0.02686125</v>
      </c>
      <c r="Q40" s="198">
        <f t="shared" si="7"/>
        <v>0.00835616438356164</v>
      </c>
      <c r="R40" s="14"/>
      <c r="S40" s="19"/>
      <c r="T40" s="19">
        <f t="shared" si="8"/>
        <v>67.153125</v>
      </c>
      <c r="U40" s="19">
        <f>10.5*O40/J40+80*7.8*0.3*0.027</f>
        <v>52.0615875</v>
      </c>
      <c r="V40" s="19">
        <f>700*P40/J40+130*7.8*0.3*0.027</f>
        <v>27.016275</v>
      </c>
      <c r="W40" s="14"/>
      <c r="X40" s="14"/>
      <c r="Y40" s="14"/>
    </row>
    <row r="41" ht="24" customHeight="1" spans="1:25">
      <c r="A41" s="14"/>
      <c r="B41" s="20"/>
      <c r="C41" s="20"/>
      <c r="D41" s="14" t="s">
        <v>129</v>
      </c>
      <c r="E41" s="14">
        <v>80</v>
      </c>
      <c r="F41" s="20">
        <f>12*2.5</f>
        <v>30</v>
      </c>
      <c r="G41" s="20">
        <f>7*2.5</f>
        <v>17.5</v>
      </c>
      <c r="H41" s="20">
        <f>5*2.5</f>
        <v>12.5</v>
      </c>
      <c r="I41" s="20">
        <v>1.2</v>
      </c>
      <c r="J41" s="14">
        <v>1</v>
      </c>
      <c r="K41" s="20">
        <f>12*2.5</f>
        <v>30</v>
      </c>
      <c r="L41" s="20">
        <f>7*2.5</f>
        <v>17.5</v>
      </c>
      <c r="M41" s="20">
        <f>5*2.5</f>
        <v>12.5</v>
      </c>
      <c r="N41" s="20">
        <v>1.2</v>
      </c>
      <c r="O41" s="198">
        <f t="shared" si="5"/>
        <v>1.09375</v>
      </c>
      <c r="P41" s="198">
        <f t="shared" si="6"/>
        <v>0.0065625</v>
      </c>
      <c r="Q41" s="198">
        <f t="shared" si="7"/>
        <v>0.00328767123287671</v>
      </c>
      <c r="R41" s="14"/>
      <c r="S41" s="19"/>
      <c r="T41" s="19">
        <f>15*MAX(N41,O41)/J41</f>
        <v>18</v>
      </c>
      <c r="U41" s="19"/>
      <c r="V41" s="19">
        <f>780*P41/J41+E41*0.1*0.5</f>
        <v>9.11875</v>
      </c>
      <c r="W41" s="14"/>
      <c r="X41" s="14"/>
      <c r="Y41" s="14"/>
    </row>
    <row r="42" ht="24" customHeight="1" spans="1:25">
      <c r="A42" s="14"/>
      <c r="B42" s="20"/>
      <c r="C42" s="20"/>
      <c r="D42" s="20" t="s">
        <v>129</v>
      </c>
      <c r="E42" s="14">
        <v>80</v>
      </c>
      <c r="F42" s="20">
        <f>12*2.5</f>
        <v>30</v>
      </c>
      <c r="G42" s="20">
        <f>7*2.5</f>
        <v>17.5</v>
      </c>
      <c r="H42" s="20">
        <f>5*2.5</f>
        <v>12.5</v>
      </c>
      <c r="I42" s="20">
        <v>1.2</v>
      </c>
      <c r="J42" s="14">
        <v>1</v>
      </c>
      <c r="K42" s="20">
        <f>12*2.5</f>
        <v>30</v>
      </c>
      <c r="L42" s="20">
        <f>7*2.5</f>
        <v>17.5</v>
      </c>
      <c r="M42" s="20">
        <f>5*2.5</f>
        <v>12.5</v>
      </c>
      <c r="N42" s="20">
        <v>1.2</v>
      </c>
      <c r="O42" s="198">
        <f t="shared" si="5"/>
        <v>1.09375</v>
      </c>
      <c r="P42" s="198">
        <f t="shared" si="6"/>
        <v>0.0065625</v>
      </c>
      <c r="Q42" s="198">
        <f t="shared" si="7"/>
        <v>0.00328767123287671</v>
      </c>
      <c r="R42" s="14"/>
      <c r="S42" s="19"/>
      <c r="T42" s="19">
        <f>15*MAX(N42,O42)/J42</f>
        <v>18</v>
      </c>
      <c r="U42" s="19">
        <f>8.5*MAX(O42,N42)/J42+80*7.8*0.3*0.027</f>
        <v>15.2544</v>
      </c>
      <c r="V42" s="19">
        <f>700*P42/J42+30*7.8*0.3*0.027</f>
        <v>6.48915</v>
      </c>
      <c r="W42" s="14"/>
      <c r="X42" s="14"/>
      <c r="Y42" s="14"/>
    </row>
    <row r="43" ht="24" customHeight="1" spans="1:25">
      <c r="A43" s="14"/>
      <c r="B43" s="20"/>
      <c r="C43" s="20"/>
      <c r="D43" s="20" t="s">
        <v>129</v>
      </c>
      <c r="E43" s="20">
        <v>80</v>
      </c>
      <c r="F43" s="20">
        <f>12*2.5</f>
        <v>30</v>
      </c>
      <c r="G43" s="20">
        <f>7*2.5</f>
        <v>17.5</v>
      </c>
      <c r="H43" s="20">
        <f>5*2.5</f>
        <v>12.5</v>
      </c>
      <c r="I43" s="20">
        <v>1.2</v>
      </c>
      <c r="J43" s="14">
        <v>1</v>
      </c>
      <c r="K43" s="20">
        <f>12*2.5</f>
        <v>30</v>
      </c>
      <c r="L43" s="20">
        <f>7*2.5</f>
        <v>17.5</v>
      </c>
      <c r="M43" s="20">
        <f>5*2.5</f>
        <v>12.5</v>
      </c>
      <c r="N43" s="20">
        <v>1.2</v>
      </c>
      <c r="O43" s="198">
        <f t="shared" si="5"/>
        <v>1.09375</v>
      </c>
      <c r="P43" s="198">
        <f t="shared" si="6"/>
        <v>0.0065625</v>
      </c>
      <c r="Q43" s="198">
        <f t="shared" si="7"/>
        <v>0.00328767123287671</v>
      </c>
      <c r="R43" s="14"/>
      <c r="S43" s="19"/>
      <c r="T43" s="19">
        <f>15*MAX(N43,O43)/J43</f>
        <v>18</v>
      </c>
      <c r="U43" s="19">
        <f>8.5*MAX(O43,N43)/J43+80*7.8*0.3*0.027</f>
        <v>15.2544</v>
      </c>
      <c r="V43" s="19">
        <f>700*P43/J43+30*7.8*0.3*0.027</f>
        <v>6.48915</v>
      </c>
      <c r="W43" s="14"/>
      <c r="X43" s="14"/>
      <c r="Y43" s="14"/>
    </row>
    <row r="44" spans="1:25">
      <c r="A44" s="14"/>
      <c r="B44" s="20"/>
      <c r="C44" s="20"/>
      <c r="D44" s="20"/>
      <c r="E44" s="20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>
      <c r="A45" s="14"/>
      <c r="B45" s="20"/>
      <c r="C45" s="20"/>
      <c r="D45" s="20"/>
      <c r="E45" s="20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>
      <c r="A46" s="14"/>
      <c r="B46" s="20"/>
      <c r="C46" s="20"/>
      <c r="D46" s="20"/>
      <c r="E46" s="20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>
      <c r="A47" s="14"/>
      <c r="B47" s="20"/>
      <c r="C47" s="20"/>
      <c r="D47" s="20"/>
      <c r="E47" s="20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>
      <c r="A48" s="14"/>
      <c r="B48" s="20"/>
      <c r="C48" s="20"/>
      <c r="D48" s="20"/>
      <c r="E48" s="20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ht="17.25" customHeight="1" spans="1:25">
      <c r="A49" s="14"/>
      <c r="B49" s="20"/>
      <c r="C49" s="20"/>
      <c r="D49" s="14"/>
      <c r="E49" s="14"/>
      <c r="F49" s="20"/>
      <c r="G49" s="14"/>
      <c r="H49" s="14"/>
      <c r="I49" s="14"/>
      <c r="J49" s="14"/>
      <c r="K49" s="14"/>
      <c r="L49" s="14"/>
      <c r="M49" s="14"/>
      <c r="N49" s="14"/>
      <c r="O49" s="20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>
      <c r="A50" s="14"/>
      <c r="B50" s="20"/>
      <c r="C50" s="20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>
      <c r="A51" s="20"/>
      <c r="B51" s="20"/>
      <c r="C51" s="20"/>
      <c r="D51" s="20"/>
      <c r="E51" s="20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>
      <c r="A52" s="20"/>
      <c r="B52" s="20"/>
      <c r="C52" s="20"/>
      <c r="D52" s="20"/>
      <c r="E52" s="20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</sheetData>
  <autoFilter xmlns:etc="http://www.wps.cn/officeDocument/2017/etCustomData" ref="A1:Y238" etc:filterBottomFollowUsedRange="0">
    <extLst/>
  </autoFilter>
  <mergeCells count="1">
    <mergeCell ref="A51:A52"/>
  </mergeCells>
  <pageMargins left="0.7" right="0.7" top="0.75" bottom="0.75" header="0.3" footer="0.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7" defaultRowHeight="11.4"/>
  <cols>
    <col min="1" max="1" width="16.0625" customWidth="1"/>
    <col min="2" max="2" width="15.7083333333333" customWidth="1"/>
    <col min="3" max="3" width="33.875" customWidth="1"/>
    <col min="4" max="4" width="6.8125" customWidth="1"/>
    <col min="5" max="13" width="9.25" customWidth="1"/>
    <col min="14" max="14" width="12.21875" customWidth="1"/>
    <col min="15" max="15" width="10.6458333333333" customWidth="1"/>
    <col min="16" max="16" width="10.125" customWidth="1"/>
    <col min="17" max="17" width="9.94791666666667" customWidth="1"/>
    <col min="18" max="18" width="9.42708333333333" customWidth="1"/>
    <col min="19" max="19" width="12.0520833333333" customWidth="1"/>
    <col min="20" max="20" width="9.42708333333333" customWidth="1"/>
    <col min="21" max="21" width="12.0520833333333" customWidth="1"/>
    <col min="22" max="22" width="10.3020833333333" customWidth="1"/>
    <col min="23" max="23" width="10.125" customWidth="1"/>
    <col min="24" max="24" width="10.3020833333333" customWidth="1"/>
    <col min="25" max="25" width="12.21875" customWidth="1"/>
    <col min="26" max="26" width="10.125" customWidth="1"/>
    <col min="27" max="27" width="11.3541666666667" customWidth="1"/>
    <col min="28" max="34" width="15.7083333333333" customWidth="1"/>
  </cols>
  <sheetData>
    <row r="1" ht="23.25" customHeight="1" spans="1:34">
      <c r="A1" s="310" t="s">
        <v>0</v>
      </c>
      <c r="B1" s="310"/>
      <c r="C1" s="310" t="s">
        <v>130</v>
      </c>
      <c r="D1" s="310" t="s">
        <v>9</v>
      </c>
      <c r="E1" s="310" t="s">
        <v>131</v>
      </c>
      <c r="F1" s="310" t="s">
        <v>132</v>
      </c>
      <c r="G1" s="310" t="s">
        <v>133</v>
      </c>
      <c r="H1" s="310" t="s">
        <v>134</v>
      </c>
      <c r="I1" s="311" t="s">
        <v>131</v>
      </c>
      <c r="J1" s="311" t="s">
        <v>132</v>
      </c>
      <c r="K1" s="311" t="s">
        <v>133</v>
      </c>
      <c r="L1" s="311" t="s">
        <v>134</v>
      </c>
      <c r="M1" s="310" t="s">
        <v>135</v>
      </c>
      <c r="N1" s="310" t="s">
        <v>136</v>
      </c>
      <c r="O1" s="312" t="s">
        <v>137</v>
      </c>
      <c r="P1" s="313" t="s">
        <v>138</v>
      </c>
      <c r="Q1" s="314" t="s">
        <v>139</v>
      </c>
      <c r="R1" s="310" t="s">
        <v>140</v>
      </c>
      <c r="S1" s="310" t="s">
        <v>141</v>
      </c>
      <c r="T1" s="310" t="s">
        <v>142</v>
      </c>
      <c r="U1" s="314" t="s">
        <v>143</v>
      </c>
      <c r="V1" s="310" t="s">
        <v>144</v>
      </c>
      <c r="W1" s="310" t="s">
        <v>145</v>
      </c>
      <c r="X1" s="310" t="s">
        <v>146</v>
      </c>
      <c r="Y1" s="315" t="s">
        <v>147</v>
      </c>
      <c r="Z1" s="312" t="s">
        <v>148</v>
      </c>
      <c r="AA1" s="316" t="s">
        <v>149</v>
      </c>
      <c r="AB1" s="310" t="s">
        <v>150</v>
      </c>
      <c r="AC1" s="310" t="s">
        <v>151</v>
      </c>
      <c r="AD1" s="310" t="s">
        <v>152</v>
      </c>
      <c r="AE1" s="310" t="s">
        <v>153</v>
      </c>
      <c r="AF1" s="110" t="s">
        <v>154</v>
      </c>
      <c r="AG1" s="110" t="s">
        <v>155</v>
      </c>
      <c r="AH1" s="110" t="s">
        <v>156</v>
      </c>
    </row>
    <row r="2" spans="1:34">
      <c r="A2" s="136"/>
      <c r="B2" s="136"/>
      <c r="C2" s="136" t="s">
        <v>25</v>
      </c>
      <c r="D2" s="14"/>
      <c r="E2" s="14"/>
      <c r="F2" s="14"/>
      <c r="G2" s="14"/>
      <c r="H2" s="14"/>
      <c r="I2" s="14"/>
      <c r="J2" s="14"/>
      <c r="K2" s="14"/>
      <c r="L2" s="14"/>
      <c r="M2" s="14">
        <v>6.7</v>
      </c>
      <c r="N2" s="198">
        <v>54.99</v>
      </c>
      <c r="O2" s="193">
        <f>N2-X2</f>
        <v>54.99</v>
      </c>
      <c r="P2" s="193">
        <f>135.5/1.13</f>
        <v>119.911504424779</v>
      </c>
      <c r="Q2" s="19">
        <v>55</v>
      </c>
      <c r="R2" s="19">
        <f>18/4</f>
        <v>4.5</v>
      </c>
      <c r="S2" s="19">
        <f>(P2+Q2)/M2+R2</f>
        <v>30.6061946902655</v>
      </c>
      <c r="T2" s="19">
        <f>O2*AE2</f>
        <v>8.2485</v>
      </c>
      <c r="U2" s="20">
        <v>8.55</v>
      </c>
      <c r="V2" s="19">
        <f>N2*AH2</f>
        <v>2.7495</v>
      </c>
      <c r="W2" s="19">
        <f>N2*AF2</f>
        <v>2.7495</v>
      </c>
      <c r="X2" s="19">
        <f>N2*AG2</f>
        <v>0</v>
      </c>
      <c r="Y2" s="19">
        <v>0.68</v>
      </c>
      <c r="Z2" s="193">
        <f>O2-S2-T2-U2-V2-W2-Y2</f>
        <v>1.40630530973451</v>
      </c>
      <c r="AA2" s="195">
        <f>Z2/N2</f>
        <v>0.0255738372383072</v>
      </c>
      <c r="AB2" s="18">
        <f>P2/M2/O2</f>
        <v>0.325463529121384</v>
      </c>
      <c r="AC2" s="18">
        <f>Q2/M2/O2</f>
        <v>0.149280873320251</v>
      </c>
      <c r="AD2" s="18">
        <f>U2/O2</f>
        <v>0.155482815057283</v>
      </c>
      <c r="AE2" s="18">
        <v>0.15</v>
      </c>
      <c r="AF2" s="18">
        <v>0.05</v>
      </c>
      <c r="AG2" s="18">
        <v>0</v>
      </c>
      <c r="AH2" s="18">
        <v>0.05</v>
      </c>
    </row>
    <row r="3" spans="1:34">
      <c r="A3" s="136"/>
      <c r="B3" s="136"/>
      <c r="C3" s="136" t="s">
        <v>61</v>
      </c>
      <c r="D3" s="20"/>
      <c r="E3" s="20"/>
      <c r="F3" s="20"/>
      <c r="G3" s="20"/>
      <c r="H3" s="20"/>
      <c r="I3" s="20"/>
      <c r="J3" s="20"/>
      <c r="K3" s="20"/>
      <c r="L3" s="20"/>
      <c r="M3" s="20">
        <v>6.7</v>
      </c>
      <c r="N3" s="198">
        <v>37.99</v>
      </c>
      <c r="O3" s="193">
        <f>N3-X3</f>
        <v>37.99</v>
      </c>
      <c r="P3" s="193">
        <f>94.4/1.13</f>
        <v>83.5398230088496</v>
      </c>
      <c r="Q3" s="19">
        <v>16</v>
      </c>
      <c r="R3" s="19">
        <f>18/9</f>
        <v>2</v>
      </c>
      <c r="S3" s="19">
        <f>(P3+Q3)/M3+R3</f>
        <v>16.8566900013208</v>
      </c>
      <c r="T3" s="19">
        <f>O3*AE3</f>
        <v>5.6985</v>
      </c>
      <c r="U3" s="20">
        <v>6.15</v>
      </c>
      <c r="V3" s="19">
        <f>N3*AH3</f>
        <v>0.7598</v>
      </c>
      <c r="W3" s="19">
        <f>N3*AF3</f>
        <v>1.8995</v>
      </c>
      <c r="X3" s="19">
        <f>N3*AG3</f>
        <v>0</v>
      </c>
      <c r="Y3" s="19">
        <v>0.29</v>
      </c>
      <c r="Z3" s="193">
        <f>O3-S3-T3-U3-V3-W3-Y3</f>
        <v>6.33550999867917</v>
      </c>
      <c r="AA3" s="195">
        <f>Z3/N3</f>
        <v>0.166767833605664</v>
      </c>
      <c r="AB3" s="18">
        <f>P3/M3/O3</f>
        <v>0.328208220579845</v>
      </c>
      <c r="AC3" s="18">
        <f>Q3/M3/O3</f>
        <v>0.0628602185178346</v>
      </c>
      <c r="AD3" s="18">
        <f>U3/O3</f>
        <v>0.161884706501711</v>
      </c>
      <c r="AE3" s="18">
        <v>0.15</v>
      </c>
      <c r="AF3" s="18">
        <v>0.05</v>
      </c>
      <c r="AG3" s="18">
        <v>0</v>
      </c>
      <c r="AH3" s="18">
        <v>0.02</v>
      </c>
    </row>
    <row r="4" spans="1:34">
      <c r="A4" s="22"/>
      <c r="B4" s="22"/>
      <c r="C4" s="22"/>
      <c r="D4" s="20"/>
      <c r="E4" s="20"/>
      <c r="F4" s="20"/>
      <c r="G4" s="20"/>
      <c r="H4" s="20"/>
      <c r="I4" s="20"/>
      <c r="J4" s="20"/>
      <c r="K4" s="20"/>
      <c r="L4" s="20"/>
      <c r="M4" s="20"/>
      <c r="N4" s="198"/>
      <c r="O4" s="193"/>
      <c r="P4" s="193"/>
      <c r="Q4" s="20"/>
      <c r="R4" s="20"/>
      <c r="S4" s="20"/>
      <c r="T4" s="20"/>
      <c r="U4" s="20"/>
      <c r="V4" s="18"/>
      <c r="W4" s="18"/>
      <c r="X4" s="18"/>
      <c r="Y4" s="195"/>
      <c r="Z4" s="193"/>
      <c r="AA4" s="195"/>
      <c r="AB4" s="18"/>
      <c r="AC4" s="18"/>
      <c r="AD4" s="18"/>
      <c r="AE4" s="18"/>
      <c r="AF4" s="18"/>
      <c r="AG4" s="18"/>
      <c r="AH4" s="18"/>
    </row>
    <row r="5" spans="1:34">
      <c r="A5" s="136" t="s">
        <v>157</v>
      </c>
      <c r="B5" s="136" t="s">
        <v>23</v>
      </c>
      <c r="C5" s="136" t="s">
        <v>25</v>
      </c>
      <c r="D5" s="14">
        <v>4</v>
      </c>
      <c r="E5" s="19">
        <v>13.1889763779527</v>
      </c>
      <c r="F5" s="19">
        <v>10.4330708661417</v>
      </c>
      <c r="G5" s="19">
        <v>9.842519685</v>
      </c>
      <c r="H5" s="19">
        <v>5.11111111111111</v>
      </c>
      <c r="I5" s="19">
        <v>21.653543307</v>
      </c>
      <c r="J5" s="19">
        <v>13.779527559</v>
      </c>
      <c r="K5" s="19">
        <v>20.4724409448818</v>
      </c>
      <c r="L5" s="19">
        <v>22.2222222222222</v>
      </c>
      <c r="M5" s="20">
        <v>6.7</v>
      </c>
      <c r="N5" s="198">
        <v>53.99</v>
      </c>
      <c r="O5" s="193">
        <f t="shared" ref="O5:O13" si="0">N5-X5</f>
        <v>53.99</v>
      </c>
      <c r="P5" s="193">
        <f>135.5/1.13</f>
        <v>119.911504424779</v>
      </c>
      <c r="Q5" s="19">
        <v>55</v>
      </c>
      <c r="R5" s="19">
        <f t="shared" ref="R5:R13" si="1">18/D5</f>
        <v>4.5</v>
      </c>
      <c r="S5" s="19">
        <f t="shared" ref="S5:S13" si="2">(P5+Q5)/M5+R5</f>
        <v>30.6061946902655</v>
      </c>
      <c r="T5" s="19">
        <f>O5*15%*0.5</f>
        <v>4.04925</v>
      </c>
      <c r="U5" s="198">
        <f>8.55*0.9</f>
        <v>7.695</v>
      </c>
      <c r="V5" s="19">
        <f t="shared" ref="V5:V13" si="3">N5*AH5</f>
        <v>1.0798</v>
      </c>
      <c r="W5" s="19">
        <f t="shared" ref="W5:W13" si="4">N5*AF5</f>
        <v>0</v>
      </c>
      <c r="X5" s="19">
        <f t="shared" ref="X5:X13" si="5">N5*AG5</f>
        <v>0</v>
      </c>
      <c r="Y5" s="19">
        <f>0.68*0.9</f>
        <v>0.612</v>
      </c>
      <c r="Z5" s="193">
        <f t="shared" ref="Z5:Z13" si="6">O5-S5-T5-U5-V5-W5-Y5</f>
        <v>9.94775530973451</v>
      </c>
      <c r="AA5" s="195">
        <f t="shared" ref="AA5:AA13" si="7">Z5/N5</f>
        <v>0.184251811626866</v>
      </c>
      <c r="AB5" s="18">
        <f t="shared" ref="AB5:AB13" si="8">P5/M5/O5</f>
        <v>0.331491747849322</v>
      </c>
      <c r="AC5" s="18">
        <f t="shared" ref="AC5:AC13" si="9">Q5/M5/O5</f>
        <v>0.152045845969265</v>
      </c>
      <c r="AD5" s="18">
        <f t="shared" ref="AD5:AD13" si="10">U5/O5</f>
        <v>0.142526393776625</v>
      </c>
      <c r="AE5" s="18">
        <f t="shared" ref="AE5:AE13" si="11">T5/O5</f>
        <v>0.075</v>
      </c>
      <c r="AF5" s="18">
        <v>0</v>
      </c>
      <c r="AG5" s="18">
        <v>0</v>
      </c>
      <c r="AH5" s="18">
        <v>0.02</v>
      </c>
    </row>
    <row r="6" spans="1:34">
      <c r="A6" s="136" t="s">
        <v>158</v>
      </c>
      <c r="B6" s="136" t="s">
        <v>159</v>
      </c>
      <c r="C6" s="136" t="s">
        <v>61</v>
      </c>
      <c r="D6" s="14">
        <v>9</v>
      </c>
      <c r="E6" s="198">
        <v>12.5984251968503</v>
      </c>
      <c r="F6" s="198">
        <v>7.28346456692913</v>
      </c>
      <c r="G6" s="198">
        <v>7.28346456692913</v>
      </c>
      <c r="H6" s="19">
        <v>3.55555555555555</v>
      </c>
      <c r="I6" s="19">
        <v>21.653543307</v>
      </c>
      <c r="J6" s="19">
        <v>21.653543307</v>
      </c>
      <c r="K6" s="19">
        <v>13.779527559</v>
      </c>
      <c r="L6" s="19">
        <v>31.1111111111111</v>
      </c>
      <c r="M6" s="20">
        <v>6.7</v>
      </c>
      <c r="N6" s="198">
        <v>37.99</v>
      </c>
      <c r="O6" s="193">
        <f t="shared" si="0"/>
        <v>37.99</v>
      </c>
      <c r="P6" s="193">
        <f>94.4/1.13</f>
        <v>83.5398230088496</v>
      </c>
      <c r="Q6" s="19">
        <v>16</v>
      </c>
      <c r="R6" s="19">
        <f t="shared" si="1"/>
        <v>2</v>
      </c>
      <c r="S6" s="19">
        <f t="shared" si="2"/>
        <v>16.8566900013208</v>
      </c>
      <c r="T6" s="19">
        <f>O6*15%*0.5</f>
        <v>2.84925</v>
      </c>
      <c r="U6" s="198">
        <f>6.15*0.9</f>
        <v>5.535</v>
      </c>
      <c r="V6" s="19">
        <f t="shared" si="3"/>
        <v>0.7598</v>
      </c>
      <c r="W6" s="19">
        <f t="shared" si="4"/>
        <v>0</v>
      </c>
      <c r="X6" s="19">
        <f t="shared" si="5"/>
        <v>0</v>
      </c>
      <c r="Y6" s="19">
        <f>0.29*0.9</f>
        <v>0.261</v>
      </c>
      <c r="Z6" s="193">
        <f t="shared" si="6"/>
        <v>11.7282599986792</v>
      </c>
      <c r="AA6" s="195">
        <f t="shared" si="7"/>
        <v>0.308719663034461</v>
      </c>
      <c r="AB6" s="18">
        <f t="shared" si="8"/>
        <v>0.328208220579845</v>
      </c>
      <c r="AC6" s="18">
        <f t="shared" si="9"/>
        <v>0.0628602185178346</v>
      </c>
      <c r="AD6" s="18">
        <f t="shared" si="10"/>
        <v>0.14569623585154</v>
      </c>
      <c r="AE6" s="18">
        <f t="shared" si="11"/>
        <v>0.075</v>
      </c>
      <c r="AF6" s="18">
        <v>0</v>
      </c>
      <c r="AG6" s="18">
        <v>0</v>
      </c>
      <c r="AH6" s="18">
        <v>0.02</v>
      </c>
    </row>
    <row r="7" spans="1:34">
      <c r="A7" s="15" t="s">
        <v>160</v>
      </c>
      <c r="B7" s="15" t="s">
        <v>161</v>
      </c>
      <c r="C7" s="15" t="s">
        <v>162</v>
      </c>
      <c r="D7" s="14">
        <v>8</v>
      </c>
      <c r="E7" s="19">
        <v>9.05511811023622</v>
      </c>
      <c r="F7" s="19">
        <v>6.69291338582677</v>
      </c>
      <c r="G7" s="19">
        <v>5.11811023622047</v>
      </c>
      <c r="H7" s="19">
        <v>3.66666666666666</v>
      </c>
      <c r="I7" s="19">
        <v>21.653543307</v>
      </c>
      <c r="J7" s="19">
        <v>14.1732283464566</v>
      </c>
      <c r="K7" s="19">
        <v>9.842519685</v>
      </c>
      <c r="L7" s="19">
        <v>32</v>
      </c>
      <c r="M7" s="20">
        <v>6.7</v>
      </c>
      <c r="N7" s="198">
        <v>35</v>
      </c>
      <c r="O7" s="193">
        <f t="shared" si="0"/>
        <v>35</v>
      </c>
      <c r="P7" s="193">
        <v>76</v>
      </c>
      <c r="Q7" s="19">
        <v>8.5</v>
      </c>
      <c r="R7" s="19">
        <f t="shared" si="1"/>
        <v>2.25</v>
      </c>
      <c r="S7" s="19">
        <f t="shared" si="2"/>
        <v>14.8619402985075</v>
      </c>
      <c r="T7" s="19">
        <f>O7*12%*0.5</f>
        <v>2.1</v>
      </c>
      <c r="U7" s="198">
        <f>5.75*0.9</f>
        <v>5.175</v>
      </c>
      <c r="V7" s="19">
        <f t="shared" si="3"/>
        <v>0.7</v>
      </c>
      <c r="W7" s="19">
        <f t="shared" si="4"/>
        <v>0</v>
      </c>
      <c r="X7" s="19">
        <f t="shared" si="5"/>
        <v>0</v>
      </c>
      <c r="Y7" s="19">
        <f>0.13*0.9</f>
        <v>0.117</v>
      </c>
      <c r="Z7" s="193">
        <f t="shared" si="6"/>
        <v>12.0460597014925</v>
      </c>
      <c r="AA7" s="195">
        <f t="shared" si="7"/>
        <v>0.344173134328358</v>
      </c>
      <c r="AB7" s="18">
        <f t="shared" si="8"/>
        <v>0.32409381663113</v>
      </c>
      <c r="AC7" s="18">
        <f t="shared" si="9"/>
        <v>0.0362473347547974</v>
      </c>
      <c r="AD7" s="18">
        <f t="shared" si="10"/>
        <v>0.147857142857143</v>
      </c>
      <c r="AE7" s="18">
        <f t="shared" si="11"/>
        <v>0.06</v>
      </c>
      <c r="AF7" s="18">
        <v>0</v>
      </c>
      <c r="AG7" s="18">
        <v>0</v>
      </c>
      <c r="AH7" s="18">
        <v>0.02</v>
      </c>
    </row>
    <row r="8" spans="1:34">
      <c r="A8" s="15" t="s">
        <v>163</v>
      </c>
      <c r="B8" s="15" t="s">
        <v>164</v>
      </c>
      <c r="C8" s="15" t="s">
        <v>165</v>
      </c>
      <c r="D8" s="14">
        <v>20</v>
      </c>
      <c r="E8" s="19">
        <v>9.251968503937</v>
      </c>
      <c r="F8" s="19">
        <v>1.968503937</v>
      </c>
      <c r="G8" s="19">
        <v>1.37795275590551</v>
      </c>
      <c r="H8" s="19">
        <v>1.51111111111111</v>
      </c>
      <c r="I8" s="19">
        <v>11.023622047244</v>
      </c>
      <c r="J8" s="19">
        <v>9.842519685</v>
      </c>
      <c r="K8" s="19">
        <v>7.08661417322834</v>
      </c>
      <c r="L8" s="19">
        <v>30</v>
      </c>
      <c r="M8" s="20">
        <v>6.7</v>
      </c>
      <c r="N8" s="198">
        <v>17.99</v>
      </c>
      <c r="O8" s="193">
        <f t="shared" si="0"/>
        <v>17.99</v>
      </c>
      <c r="P8" s="193">
        <v>36.5</v>
      </c>
      <c r="Q8" s="19">
        <v>3.5</v>
      </c>
      <c r="R8" s="19">
        <f t="shared" si="1"/>
        <v>0.9</v>
      </c>
      <c r="S8" s="19">
        <f t="shared" si="2"/>
        <v>6.87014925373134</v>
      </c>
      <c r="T8" s="19">
        <f>O8*15%*0.5</f>
        <v>1.34925</v>
      </c>
      <c r="U8" s="198">
        <f>4.95*0.9</f>
        <v>4.455</v>
      </c>
      <c r="V8" s="19">
        <f t="shared" si="3"/>
        <v>0.3598</v>
      </c>
      <c r="W8" s="19">
        <f t="shared" si="4"/>
        <v>0</v>
      </c>
      <c r="X8" s="19">
        <f t="shared" si="5"/>
        <v>0</v>
      </c>
      <c r="Y8" s="19">
        <f>0.01*0.9</f>
        <v>0.009</v>
      </c>
      <c r="Z8" s="193">
        <f t="shared" si="6"/>
        <v>4.94680074626866</v>
      </c>
      <c r="AA8" s="195">
        <f t="shared" si="7"/>
        <v>0.274975027585806</v>
      </c>
      <c r="AB8" s="18">
        <f t="shared" si="8"/>
        <v>0.302821633909386</v>
      </c>
      <c r="AC8" s="18">
        <f t="shared" si="9"/>
        <v>0.0290376909228178</v>
      </c>
      <c r="AD8" s="18">
        <f t="shared" si="10"/>
        <v>0.247637576431351</v>
      </c>
      <c r="AE8" s="18">
        <f t="shared" si="11"/>
        <v>0.075</v>
      </c>
      <c r="AF8" s="18">
        <v>0</v>
      </c>
      <c r="AG8" s="18">
        <v>0</v>
      </c>
      <c r="AH8" s="18">
        <v>0.02</v>
      </c>
    </row>
    <row r="9" spans="1:34">
      <c r="A9" s="15" t="s">
        <v>166</v>
      </c>
      <c r="B9" s="15" t="s">
        <v>167</v>
      </c>
      <c r="C9" s="15" t="s">
        <v>168</v>
      </c>
      <c r="D9" s="14">
        <v>10</v>
      </c>
      <c r="E9" s="19">
        <v>8.26771653543307</v>
      </c>
      <c r="F9" s="19">
        <v>5.11811023622047</v>
      </c>
      <c r="G9" s="19">
        <v>2.75590551181102</v>
      </c>
      <c r="H9" s="19">
        <v>3.55555555555555</v>
      </c>
      <c r="I9" s="19">
        <v>16.1417322834645</v>
      </c>
      <c r="J9" s="19">
        <v>11.023622047244</v>
      </c>
      <c r="K9" s="19">
        <v>5.11811023622047</v>
      </c>
      <c r="L9" s="19">
        <v>35.1111111111111</v>
      </c>
      <c r="M9" s="20">
        <v>6.7</v>
      </c>
      <c r="N9" s="198">
        <v>33.99</v>
      </c>
      <c r="O9" s="193">
        <f t="shared" si="0"/>
        <v>33.99</v>
      </c>
      <c r="P9" s="193">
        <v>84.5</v>
      </c>
      <c r="Q9" s="19">
        <v>5.5</v>
      </c>
      <c r="R9" s="19">
        <f t="shared" si="1"/>
        <v>1.8</v>
      </c>
      <c r="S9" s="19">
        <f t="shared" si="2"/>
        <v>15.2328358208955</v>
      </c>
      <c r="T9" s="19">
        <f>O9*15%*0.5</f>
        <v>2.54925</v>
      </c>
      <c r="U9" s="198">
        <f>5.75*0.9</f>
        <v>5.175</v>
      </c>
      <c r="V9" s="19">
        <f t="shared" si="3"/>
        <v>0.6798</v>
      </c>
      <c r="W9" s="19">
        <f t="shared" si="4"/>
        <v>0</v>
      </c>
      <c r="X9" s="19">
        <f t="shared" si="5"/>
        <v>0</v>
      </c>
      <c r="Y9" s="19">
        <f>0.05*0.9</f>
        <v>0.045</v>
      </c>
      <c r="Z9" s="193">
        <f t="shared" si="6"/>
        <v>10.3081141791045</v>
      </c>
      <c r="AA9" s="195">
        <f t="shared" si="7"/>
        <v>0.303269025569417</v>
      </c>
      <c r="AB9" s="18">
        <f t="shared" si="8"/>
        <v>0.371048552471535</v>
      </c>
      <c r="AC9" s="18">
        <f t="shared" si="9"/>
        <v>0.0241510892141236</v>
      </c>
      <c r="AD9" s="18">
        <f t="shared" si="10"/>
        <v>0.1522506619594</v>
      </c>
      <c r="AE9" s="18">
        <f t="shared" si="11"/>
        <v>0.075</v>
      </c>
      <c r="AF9" s="18">
        <v>0</v>
      </c>
      <c r="AG9" s="18">
        <v>0</v>
      </c>
      <c r="AH9" s="18">
        <v>0.02</v>
      </c>
    </row>
    <row r="10" spans="1:34">
      <c r="A10" s="15" t="s">
        <v>169</v>
      </c>
      <c r="B10" s="15" t="s">
        <v>170</v>
      </c>
      <c r="C10" s="15" t="s">
        <v>171</v>
      </c>
      <c r="D10" s="14">
        <v>48</v>
      </c>
      <c r="E10" s="19">
        <v>7.6771653543307</v>
      </c>
      <c r="F10" s="19">
        <v>3.937007874</v>
      </c>
      <c r="G10" s="19">
        <v>1.57480314960629</v>
      </c>
      <c r="H10" s="19">
        <v>0.533333333333333</v>
      </c>
      <c r="I10" s="19">
        <v>18.1102362204724</v>
      </c>
      <c r="J10" s="19">
        <v>16.5354330708661</v>
      </c>
      <c r="K10" s="19">
        <v>12.5984251968503</v>
      </c>
      <c r="L10" s="19">
        <v>33.3333333333333</v>
      </c>
      <c r="M10" s="20">
        <v>6.7</v>
      </c>
      <c r="N10" s="198">
        <v>15.99</v>
      </c>
      <c r="O10" s="193">
        <f t="shared" si="0"/>
        <v>15.99</v>
      </c>
      <c r="P10" s="193">
        <v>39</v>
      </c>
      <c r="Q10" s="19">
        <v>2.5</v>
      </c>
      <c r="R10" s="19">
        <f t="shared" si="1"/>
        <v>0.375</v>
      </c>
      <c r="S10" s="19">
        <f t="shared" si="2"/>
        <v>6.56902985074627</v>
      </c>
      <c r="T10" s="19">
        <f>O10*12%*0.5</f>
        <v>0.9594</v>
      </c>
      <c r="U10" s="198">
        <f>3.45*0.9</f>
        <v>3.105</v>
      </c>
      <c r="V10" s="19">
        <f t="shared" si="3"/>
        <v>0.3198</v>
      </c>
      <c r="W10" s="19">
        <f t="shared" si="4"/>
        <v>0</v>
      </c>
      <c r="X10" s="19">
        <f t="shared" si="5"/>
        <v>0</v>
      </c>
      <c r="Y10" s="19">
        <f>0.05*0.9</f>
        <v>0.045</v>
      </c>
      <c r="Z10" s="193">
        <f t="shared" si="6"/>
        <v>4.99177014925373</v>
      </c>
      <c r="AA10" s="195">
        <f t="shared" si="7"/>
        <v>0.312180747295418</v>
      </c>
      <c r="AB10" s="18">
        <f t="shared" si="8"/>
        <v>0.364033491081179</v>
      </c>
      <c r="AC10" s="18">
        <f t="shared" si="9"/>
        <v>0.0233354801975115</v>
      </c>
      <c r="AD10" s="18">
        <f t="shared" si="10"/>
        <v>0.194183864915572</v>
      </c>
      <c r="AE10" s="18">
        <f t="shared" si="11"/>
        <v>0.06</v>
      </c>
      <c r="AF10" s="18">
        <v>0</v>
      </c>
      <c r="AG10" s="18">
        <v>0</v>
      </c>
      <c r="AH10" s="18">
        <v>0.02</v>
      </c>
    </row>
    <row r="11" spans="1:34">
      <c r="A11" s="15" t="s">
        <v>172</v>
      </c>
      <c r="B11" s="15" t="s">
        <v>173</v>
      </c>
      <c r="C11" s="15" t="s">
        <v>174</v>
      </c>
      <c r="D11" s="14">
        <v>8</v>
      </c>
      <c r="E11" s="19">
        <v>8.26771653543307</v>
      </c>
      <c r="F11" s="19">
        <v>5.11811023622047</v>
      </c>
      <c r="G11" s="19">
        <v>6.49606299212598</v>
      </c>
      <c r="H11" s="19">
        <v>2.77777777777777</v>
      </c>
      <c r="I11" s="19">
        <v>17.1259842519685</v>
      </c>
      <c r="J11" s="19">
        <v>10.2362204724409</v>
      </c>
      <c r="K11" s="19">
        <v>13.1889763779527</v>
      </c>
      <c r="L11" s="19">
        <v>24</v>
      </c>
      <c r="M11" s="20">
        <v>6.7</v>
      </c>
      <c r="N11" s="198">
        <v>31.99</v>
      </c>
      <c r="O11" s="193">
        <f t="shared" si="0"/>
        <v>31.99</v>
      </c>
      <c r="P11" s="193">
        <v>58.5</v>
      </c>
      <c r="Q11" s="19">
        <v>8.5</v>
      </c>
      <c r="R11" s="19">
        <f t="shared" si="1"/>
        <v>2.25</v>
      </c>
      <c r="S11" s="19">
        <f t="shared" si="2"/>
        <v>12.25</v>
      </c>
      <c r="T11" s="19">
        <f>O11*12%*0.5</f>
        <v>1.9194</v>
      </c>
      <c r="U11" s="198">
        <f>5.75*0.9</f>
        <v>5.175</v>
      </c>
      <c r="V11" s="19">
        <f t="shared" si="3"/>
        <v>0.6398</v>
      </c>
      <c r="W11" s="19">
        <f t="shared" si="4"/>
        <v>0</v>
      </c>
      <c r="X11" s="19">
        <f t="shared" si="5"/>
        <v>0</v>
      </c>
      <c r="Y11" s="19">
        <f>0.05*0.9</f>
        <v>0.045</v>
      </c>
      <c r="Z11" s="193">
        <f t="shared" si="6"/>
        <v>11.9608</v>
      </c>
      <c r="AA11" s="195">
        <f t="shared" si="7"/>
        <v>0.373891841200375</v>
      </c>
      <c r="AB11" s="18">
        <f t="shared" si="8"/>
        <v>0.272939771290469</v>
      </c>
      <c r="AC11" s="18">
        <f t="shared" si="9"/>
        <v>0.0396579154866493</v>
      </c>
      <c r="AD11" s="18">
        <f t="shared" si="10"/>
        <v>0.161769302907158</v>
      </c>
      <c r="AE11" s="18">
        <f t="shared" si="11"/>
        <v>0.06</v>
      </c>
      <c r="AF11" s="18">
        <v>0</v>
      </c>
      <c r="AG11" s="18">
        <v>0</v>
      </c>
      <c r="AH11" s="18">
        <v>0.02</v>
      </c>
    </row>
    <row r="12" spans="1:34">
      <c r="A12" s="15" t="s">
        <v>175</v>
      </c>
      <c r="B12" s="15" t="s">
        <v>176</v>
      </c>
      <c r="C12" s="15" t="s">
        <v>177</v>
      </c>
      <c r="D12" s="14">
        <v>12</v>
      </c>
      <c r="E12" s="19">
        <v>11.6141732283464</v>
      </c>
      <c r="F12" s="19">
        <v>7.28346456692913</v>
      </c>
      <c r="G12" s="19">
        <v>3.937007874</v>
      </c>
      <c r="H12" s="19">
        <v>3.33333333333333</v>
      </c>
      <c r="I12" s="19">
        <v>23.622047244</v>
      </c>
      <c r="J12" s="19">
        <v>12.2047244094488</v>
      </c>
      <c r="K12" s="19">
        <v>15.3543307086614</v>
      </c>
      <c r="L12" s="19">
        <v>44.4444444444444</v>
      </c>
      <c r="M12" s="20">
        <v>6.7</v>
      </c>
      <c r="N12" s="198">
        <v>33.99</v>
      </c>
      <c r="O12" s="193">
        <f t="shared" si="0"/>
        <v>33.99</v>
      </c>
      <c r="P12" s="193">
        <v>84</v>
      </c>
      <c r="Q12" s="19">
        <v>8</v>
      </c>
      <c r="R12" s="19">
        <f t="shared" si="1"/>
        <v>1.5</v>
      </c>
      <c r="S12" s="19">
        <f t="shared" si="2"/>
        <v>15.2313432835821</v>
      </c>
      <c r="T12" s="19">
        <f>O12*12%*0.5</f>
        <v>2.0394</v>
      </c>
      <c r="U12" s="198">
        <f>0.9*5.75</f>
        <v>5.175</v>
      </c>
      <c r="V12" s="19">
        <f t="shared" si="3"/>
        <v>0.6798</v>
      </c>
      <c r="W12" s="19">
        <f t="shared" si="4"/>
        <v>0</v>
      </c>
      <c r="X12" s="19">
        <f t="shared" si="5"/>
        <v>0</v>
      </c>
      <c r="Y12" s="19">
        <f>0.11*0.9</f>
        <v>0.099</v>
      </c>
      <c r="Z12" s="193">
        <f t="shared" si="6"/>
        <v>10.7654567164179</v>
      </c>
      <c r="AA12" s="195">
        <f t="shared" si="7"/>
        <v>0.316724234081139</v>
      </c>
      <c r="AB12" s="18">
        <f t="shared" si="8"/>
        <v>0.368852998906614</v>
      </c>
      <c r="AC12" s="18">
        <f t="shared" si="9"/>
        <v>0.0351288570387252</v>
      </c>
      <c r="AD12" s="18">
        <f t="shared" si="10"/>
        <v>0.1522506619594</v>
      </c>
      <c r="AE12" s="18">
        <f t="shared" si="11"/>
        <v>0.06</v>
      </c>
      <c r="AF12" s="18">
        <v>0</v>
      </c>
      <c r="AG12" s="18">
        <v>0</v>
      </c>
      <c r="AH12" s="18">
        <v>0.02</v>
      </c>
    </row>
    <row r="13" spans="1:34">
      <c r="A13" s="15" t="s">
        <v>178</v>
      </c>
      <c r="B13" s="15" t="s">
        <v>179</v>
      </c>
      <c r="C13" s="15" t="s">
        <v>180</v>
      </c>
      <c r="D13" s="14">
        <v>16</v>
      </c>
      <c r="E13" s="19">
        <v>7.874015748</v>
      </c>
      <c r="F13" s="19">
        <v>5.70866141732283</v>
      </c>
      <c r="G13" s="19">
        <v>5.11811023622047</v>
      </c>
      <c r="H13" s="19">
        <v>2.88888888888888</v>
      </c>
      <c r="I13" s="19">
        <v>21.259842519685</v>
      </c>
      <c r="J13" s="19">
        <v>16.5354330708661</v>
      </c>
      <c r="K13" s="19">
        <v>12.7952755905511</v>
      </c>
      <c r="L13" s="19">
        <v>42.2222222222222</v>
      </c>
      <c r="M13" s="20">
        <v>6.7</v>
      </c>
      <c r="N13" s="198">
        <v>25.99</v>
      </c>
      <c r="O13" s="193">
        <f t="shared" si="0"/>
        <v>25.99</v>
      </c>
      <c r="P13" s="193">
        <v>54.5</v>
      </c>
      <c r="Q13" s="19">
        <v>7.5</v>
      </c>
      <c r="R13" s="19">
        <f t="shared" si="1"/>
        <v>1.125</v>
      </c>
      <c r="S13" s="19">
        <f t="shared" si="2"/>
        <v>10.3787313432836</v>
      </c>
      <c r="T13" s="19">
        <f>O13*12%*0.5</f>
        <v>1.5594</v>
      </c>
      <c r="U13" s="198">
        <f>0.9*5.75</f>
        <v>5.175</v>
      </c>
      <c r="V13" s="19">
        <f t="shared" si="3"/>
        <v>0.5198</v>
      </c>
      <c r="W13" s="19">
        <f t="shared" si="4"/>
        <v>0</v>
      </c>
      <c r="X13" s="19">
        <f t="shared" si="5"/>
        <v>0</v>
      </c>
      <c r="Y13" s="19">
        <f>0.11*0.9</f>
        <v>0.099</v>
      </c>
      <c r="Z13" s="193">
        <f t="shared" si="6"/>
        <v>8.25806865671642</v>
      </c>
      <c r="AA13" s="195">
        <f t="shared" si="7"/>
        <v>0.317740233040262</v>
      </c>
      <c r="AB13" s="18">
        <f t="shared" si="8"/>
        <v>0.312979159607886</v>
      </c>
      <c r="AC13" s="18">
        <f t="shared" si="9"/>
        <v>0.0430705265515439</v>
      </c>
      <c r="AD13" s="18">
        <f t="shared" si="10"/>
        <v>0.199115044247788</v>
      </c>
      <c r="AE13" s="18">
        <f t="shared" si="11"/>
        <v>0.06</v>
      </c>
      <c r="AF13" s="18">
        <v>0</v>
      </c>
      <c r="AG13" s="18">
        <v>0</v>
      </c>
      <c r="AH13" s="18">
        <v>0.02</v>
      </c>
    </row>
    <row r="14" spans="1:34">
      <c r="D14" s="14"/>
      <c r="E14" s="19"/>
      <c r="F14" s="19"/>
      <c r="G14" s="19"/>
      <c r="H14" s="19"/>
      <c r="I14" s="19"/>
      <c r="J14" s="19"/>
      <c r="K14" s="19"/>
      <c r="L14" s="19"/>
      <c r="M14" s="20"/>
      <c r="N14" s="198"/>
      <c r="O14" s="193"/>
      <c r="P14" s="193"/>
      <c r="Q14" s="19"/>
      <c r="R14" s="19"/>
      <c r="S14" s="19"/>
      <c r="T14" s="19"/>
      <c r="U14" s="198"/>
      <c r="V14" s="19"/>
      <c r="W14" s="19"/>
      <c r="X14" s="19"/>
      <c r="Y14" s="19"/>
      <c r="Z14" s="193"/>
      <c r="AA14" s="195"/>
      <c r="AB14" s="18"/>
      <c r="AC14" s="18"/>
      <c r="AD14" s="18"/>
      <c r="AE14" s="18"/>
      <c r="AF14" s="18"/>
      <c r="AG14" s="18"/>
      <c r="AH14" s="18"/>
    </row>
    <row r="15" spans="1:34">
      <c r="A15" s="136" t="s">
        <v>157</v>
      </c>
      <c r="B15" s="136" t="s">
        <v>23</v>
      </c>
      <c r="C15" s="136" t="s">
        <v>25</v>
      </c>
      <c r="D15" s="14">
        <v>4</v>
      </c>
      <c r="E15" s="19">
        <v>13.1889763779527</v>
      </c>
      <c r="F15" s="19">
        <v>10.4330708661417</v>
      </c>
      <c r="G15" s="19">
        <v>9.842519685</v>
      </c>
      <c r="H15" s="19">
        <v>5.11111111111111</v>
      </c>
      <c r="I15" s="19">
        <v>21.653543307</v>
      </c>
      <c r="J15" s="19">
        <v>13.779527559</v>
      </c>
      <c r="K15" s="19">
        <v>20.4724409448818</v>
      </c>
      <c r="L15" s="19">
        <v>22.2222222222222</v>
      </c>
      <c r="M15" s="20">
        <v>6.7</v>
      </c>
      <c r="N15" s="198">
        <v>48.49</v>
      </c>
      <c r="O15" s="193">
        <f t="shared" ref="O15:O22" si="12">N15-X15</f>
        <v>48.49</v>
      </c>
      <c r="P15" s="193">
        <f>135.5/1.13</f>
        <v>119.911504424779</v>
      </c>
      <c r="Q15" s="19">
        <v>55</v>
      </c>
      <c r="R15" s="19">
        <f t="shared" ref="R15:R23" si="13">18/D15</f>
        <v>4.5</v>
      </c>
      <c r="S15" s="19">
        <f t="shared" ref="S15:S23" si="14">(P15+Q15)/M15+R15</f>
        <v>30.6061946902655</v>
      </c>
      <c r="T15" s="19">
        <f>O15*15%*0.5</f>
        <v>3.63675</v>
      </c>
      <c r="U15" s="198">
        <f>8.55*0.9</f>
        <v>7.695</v>
      </c>
      <c r="V15" s="19">
        <f t="shared" ref="V15:V23" si="15">N15*AH15</f>
        <v>0.9698</v>
      </c>
      <c r="W15" s="19">
        <f t="shared" ref="W15:W23" si="16">N15*AF15</f>
        <v>0</v>
      </c>
      <c r="X15" s="19">
        <f t="shared" ref="X15:X23" si="17">N15*AG15</f>
        <v>0</v>
      </c>
      <c r="Y15" s="19">
        <f>0.68*0.9</f>
        <v>0.612</v>
      </c>
      <c r="Z15" s="193">
        <f t="shared" ref="Z15:Z23" si="18">O15-S15-T15-U15-V15-W15-Y15</f>
        <v>4.97025530973452</v>
      </c>
      <c r="AA15" s="195">
        <f t="shared" ref="AA15:AA23" si="19">Z15/N15</f>
        <v>0.10250062507186</v>
      </c>
      <c r="AB15" s="18">
        <f t="shared" ref="AB15:AB23" si="20">P15/M15/O15</f>
        <v>0.369091348038459</v>
      </c>
      <c r="AC15" s="18">
        <f t="shared" ref="AC15:AC23" si="21">Q15/M15/O15</f>
        <v>0.169291714247898</v>
      </c>
      <c r="AD15" s="18">
        <f t="shared" ref="AD15:AD23" si="22">U15/O15</f>
        <v>0.158692513920396</v>
      </c>
      <c r="AE15" s="18">
        <f t="shared" ref="AE15:AE23" si="23">T15/O15</f>
        <v>0.075</v>
      </c>
      <c r="AF15" s="18">
        <v>0</v>
      </c>
      <c r="AG15" s="18">
        <v>0</v>
      </c>
      <c r="AH15" s="18">
        <v>0.02</v>
      </c>
    </row>
    <row r="16" spans="1:34">
      <c r="A16" s="136" t="s">
        <v>158</v>
      </c>
      <c r="B16" s="136" t="s">
        <v>159</v>
      </c>
      <c r="C16" s="317" t="s">
        <v>61</v>
      </c>
      <c r="D16" s="14">
        <v>9</v>
      </c>
      <c r="E16" s="198">
        <v>12.5984251968503</v>
      </c>
      <c r="F16" s="198">
        <v>7.28346456692913</v>
      </c>
      <c r="G16" s="198">
        <v>7.28346456692913</v>
      </c>
      <c r="H16" s="19">
        <v>3.55555555555555</v>
      </c>
      <c r="I16" s="19">
        <v>21.653543307</v>
      </c>
      <c r="J16" s="19">
        <v>21.653543307</v>
      </c>
      <c r="K16" s="19">
        <v>13.779527559</v>
      </c>
      <c r="L16" s="19">
        <v>31.1111111111111</v>
      </c>
      <c r="M16" s="20">
        <v>6.7</v>
      </c>
      <c r="N16" s="198">
        <v>32.39</v>
      </c>
      <c r="O16" s="193">
        <f t="shared" si="12"/>
        <v>32.39</v>
      </c>
      <c r="P16" s="193">
        <f>94.4/1.13</f>
        <v>83.5398230088496</v>
      </c>
      <c r="Q16" s="19">
        <v>16</v>
      </c>
      <c r="R16" s="19">
        <f t="shared" si="13"/>
        <v>2</v>
      </c>
      <c r="S16" s="19">
        <f t="shared" si="14"/>
        <v>16.8566900013208</v>
      </c>
      <c r="T16" s="19">
        <f>O16*15%*0.5</f>
        <v>2.42925</v>
      </c>
      <c r="U16" s="198">
        <f>6.15*0.9</f>
        <v>5.535</v>
      </c>
      <c r="V16" s="19">
        <f t="shared" si="15"/>
        <v>0.6478</v>
      </c>
      <c r="W16" s="19">
        <f t="shared" si="16"/>
        <v>0</v>
      </c>
      <c r="X16" s="19">
        <f t="shared" si="17"/>
        <v>0</v>
      </c>
      <c r="Y16" s="19">
        <f>0.29*0.9</f>
        <v>0.261</v>
      </c>
      <c r="Z16" s="193">
        <f t="shared" si="18"/>
        <v>6.66025999867917</v>
      </c>
      <c r="AA16" s="195">
        <f t="shared" si="19"/>
        <v>0.205627045343599</v>
      </c>
      <c r="AB16" s="18">
        <f t="shared" si="20"/>
        <v>0.384953081192599</v>
      </c>
      <c r="AC16" s="18">
        <f t="shared" si="21"/>
        <v>0.0737283019911249</v>
      </c>
      <c r="AD16" s="18">
        <f t="shared" si="22"/>
        <v>0.170886075949367</v>
      </c>
      <c r="AE16" s="18">
        <f t="shared" si="23"/>
        <v>0.075</v>
      </c>
      <c r="AF16" s="18">
        <v>0</v>
      </c>
      <c r="AG16" s="18">
        <v>0</v>
      </c>
      <c r="AH16" s="18">
        <v>0.02</v>
      </c>
    </row>
    <row r="17" spans="1:34">
      <c r="A17" s="15" t="s">
        <v>160</v>
      </c>
      <c r="B17" s="15" t="s">
        <v>161</v>
      </c>
      <c r="C17" s="15" t="s">
        <v>162</v>
      </c>
      <c r="D17" s="14">
        <v>8</v>
      </c>
      <c r="E17" s="19">
        <v>9.05511811023622</v>
      </c>
      <c r="F17" s="19">
        <v>6.69291338582677</v>
      </c>
      <c r="G17" s="19">
        <v>5.11811023622047</v>
      </c>
      <c r="H17" s="19">
        <v>3.66666666666666</v>
      </c>
      <c r="I17" s="19">
        <v>21.653543307</v>
      </c>
      <c r="J17" s="19">
        <v>14.1732283464566</v>
      </c>
      <c r="K17" s="19">
        <v>9.842519685</v>
      </c>
      <c r="L17" s="19">
        <v>32</v>
      </c>
      <c r="M17" s="20">
        <v>6.7</v>
      </c>
      <c r="N17" s="318">
        <v>33.49</v>
      </c>
      <c r="O17" s="193">
        <f t="shared" si="12"/>
        <v>33.49</v>
      </c>
      <c r="P17" s="193">
        <v>76</v>
      </c>
      <c r="Q17" s="19">
        <v>8.5</v>
      </c>
      <c r="R17" s="19">
        <f t="shared" si="13"/>
        <v>2.25</v>
      </c>
      <c r="S17" s="19">
        <f t="shared" si="14"/>
        <v>14.8619402985075</v>
      </c>
      <c r="T17" s="19">
        <f>O17*12%*0.5</f>
        <v>2.0094</v>
      </c>
      <c r="U17" s="198">
        <f>5.75*0.9</f>
        <v>5.175</v>
      </c>
      <c r="V17" s="19">
        <f t="shared" si="15"/>
        <v>0.6698</v>
      </c>
      <c r="W17" s="19">
        <f t="shared" si="16"/>
        <v>0</v>
      </c>
      <c r="X17" s="19">
        <f t="shared" si="17"/>
        <v>0</v>
      </c>
      <c r="Y17" s="19">
        <f>0.13*0.9</f>
        <v>0.117</v>
      </c>
      <c r="Z17" s="193">
        <f t="shared" si="18"/>
        <v>10.6568597014925</v>
      </c>
      <c r="AA17" s="195">
        <f t="shared" si="19"/>
        <v>0.318210203090252</v>
      </c>
      <c r="AB17" s="18">
        <f t="shared" si="20"/>
        <v>0.338706586506108</v>
      </c>
      <c r="AC17" s="18">
        <f t="shared" si="21"/>
        <v>0.037881657701341</v>
      </c>
      <c r="AD17" s="18">
        <f t="shared" si="22"/>
        <v>0.154523738429382</v>
      </c>
      <c r="AE17" s="18">
        <f t="shared" si="23"/>
        <v>0.06</v>
      </c>
      <c r="AF17" s="18">
        <v>0</v>
      </c>
      <c r="AG17" s="18">
        <v>0</v>
      </c>
      <c r="AH17" s="18">
        <v>0.02</v>
      </c>
    </row>
    <row r="18" spans="1:34">
      <c r="A18" s="15" t="s">
        <v>163</v>
      </c>
      <c r="B18" s="15" t="s">
        <v>164</v>
      </c>
      <c r="C18" s="319" t="s">
        <v>165</v>
      </c>
      <c r="D18" s="14">
        <v>20</v>
      </c>
      <c r="E18" s="19">
        <v>9.251968503937</v>
      </c>
      <c r="F18" s="19">
        <v>1.968503937</v>
      </c>
      <c r="G18" s="19">
        <v>1.37795275590551</v>
      </c>
      <c r="H18" s="19">
        <v>1.51111111111111</v>
      </c>
      <c r="I18" s="19">
        <v>11.023622047244</v>
      </c>
      <c r="J18" s="19">
        <v>9.842519685</v>
      </c>
      <c r="K18" s="19">
        <v>7.08661417322834</v>
      </c>
      <c r="L18" s="19">
        <v>30</v>
      </c>
      <c r="M18" s="20">
        <v>6.7</v>
      </c>
      <c r="N18" s="198">
        <v>16.19</v>
      </c>
      <c r="O18" s="193">
        <f t="shared" si="12"/>
        <v>16.19</v>
      </c>
      <c r="P18" s="193">
        <v>36.5</v>
      </c>
      <c r="Q18" s="19">
        <v>3.5</v>
      </c>
      <c r="R18" s="19">
        <f t="shared" si="13"/>
        <v>0.9</v>
      </c>
      <c r="S18" s="19">
        <f t="shared" si="14"/>
        <v>6.87014925373134</v>
      </c>
      <c r="T18" s="19">
        <f>O18*15%*0.5</f>
        <v>1.21425</v>
      </c>
      <c r="U18" s="198">
        <f>4.95*0.9</f>
        <v>4.455</v>
      </c>
      <c r="V18" s="19">
        <f t="shared" si="15"/>
        <v>0.3238</v>
      </c>
      <c r="W18" s="19">
        <f t="shared" si="16"/>
        <v>0</v>
      </c>
      <c r="X18" s="19">
        <f t="shared" si="17"/>
        <v>0</v>
      </c>
      <c r="Y18" s="19">
        <f>0.01*0.9</f>
        <v>0.009</v>
      </c>
      <c r="Z18" s="193">
        <f t="shared" si="18"/>
        <v>3.31780074626866</v>
      </c>
      <c r="AA18" s="195">
        <f t="shared" si="19"/>
        <v>0.204929014593493</v>
      </c>
      <c r="AB18" s="18">
        <f t="shared" si="20"/>
        <v>0.336489264609626</v>
      </c>
      <c r="AC18" s="18">
        <f t="shared" si="21"/>
        <v>0.0322660938666765</v>
      </c>
      <c r="AD18" s="18">
        <f t="shared" si="22"/>
        <v>0.275169857936998</v>
      </c>
      <c r="AE18" s="18">
        <f t="shared" si="23"/>
        <v>0.075</v>
      </c>
      <c r="AF18" s="18">
        <v>0</v>
      </c>
      <c r="AG18" s="18">
        <v>0</v>
      </c>
      <c r="AH18" s="18">
        <v>0.02</v>
      </c>
    </row>
    <row r="19" spans="1:34">
      <c r="A19" s="15" t="s">
        <v>166</v>
      </c>
      <c r="B19" s="15" t="s">
        <v>167</v>
      </c>
      <c r="C19" s="319" t="s">
        <v>168</v>
      </c>
      <c r="D19" s="14">
        <v>10</v>
      </c>
      <c r="E19" s="19">
        <v>8.26771653543307</v>
      </c>
      <c r="F19" s="19">
        <v>5.11811023622047</v>
      </c>
      <c r="G19" s="19">
        <v>2.75590551181102</v>
      </c>
      <c r="H19" s="19">
        <v>3.55555555555555</v>
      </c>
      <c r="I19" s="19">
        <v>16.1417322834645</v>
      </c>
      <c r="J19" s="19">
        <v>11.023622047244</v>
      </c>
      <c r="K19" s="19">
        <v>5.11811023622047</v>
      </c>
      <c r="L19" s="19">
        <v>35.1111111111111</v>
      </c>
      <c r="M19" s="20">
        <v>6.7</v>
      </c>
      <c r="N19" s="318">
        <v>33.99</v>
      </c>
      <c r="O19" s="193">
        <f t="shared" si="12"/>
        <v>33.99</v>
      </c>
      <c r="P19" s="193">
        <v>84.5</v>
      </c>
      <c r="Q19" s="19">
        <v>5.5</v>
      </c>
      <c r="R19" s="19">
        <f t="shared" si="13"/>
        <v>1.8</v>
      </c>
      <c r="S19" s="19">
        <f t="shared" si="14"/>
        <v>15.2328358208955</v>
      </c>
      <c r="T19" s="19">
        <f>O19*15%*0.5</f>
        <v>2.54925</v>
      </c>
      <c r="U19" s="198">
        <f>5.75*0.9</f>
        <v>5.175</v>
      </c>
      <c r="V19" s="19">
        <f t="shared" si="15"/>
        <v>0.6798</v>
      </c>
      <c r="W19" s="19">
        <f t="shared" si="16"/>
        <v>0</v>
      </c>
      <c r="X19" s="19">
        <f t="shared" si="17"/>
        <v>0</v>
      </c>
      <c r="Y19" s="19">
        <f>0.05*0.9</f>
        <v>0.045</v>
      </c>
      <c r="Z19" s="193">
        <f t="shared" si="18"/>
        <v>10.3081141791045</v>
      </c>
      <c r="AA19" s="195">
        <f t="shared" si="19"/>
        <v>0.303269025569417</v>
      </c>
      <c r="AB19" s="18">
        <f t="shared" si="20"/>
        <v>0.371048552471535</v>
      </c>
      <c r="AC19" s="18">
        <f t="shared" si="21"/>
        <v>0.0241510892141236</v>
      </c>
      <c r="AD19" s="18">
        <f t="shared" si="22"/>
        <v>0.1522506619594</v>
      </c>
      <c r="AE19" s="18">
        <f t="shared" si="23"/>
        <v>0.075</v>
      </c>
      <c r="AF19" s="18">
        <v>0</v>
      </c>
      <c r="AG19" s="18">
        <v>0</v>
      </c>
      <c r="AH19" s="18">
        <v>0.02</v>
      </c>
    </row>
    <row r="20" spans="1:34">
      <c r="A20" s="15" t="s">
        <v>169</v>
      </c>
      <c r="B20" s="15" t="s">
        <v>170</v>
      </c>
      <c r="C20" s="15" t="s">
        <v>171</v>
      </c>
      <c r="D20" s="14">
        <v>48</v>
      </c>
      <c r="E20" s="19">
        <v>7.6771653543307</v>
      </c>
      <c r="F20" s="19">
        <v>3.937007874</v>
      </c>
      <c r="G20" s="19">
        <v>1.57480314960629</v>
      </c>
      <c r="H20" s="19">
        <v>0.533333333333333</v>
      </c>
      <c r="I20" s="19">
        <v>18.1102362204724</v>
      </c>
      <c r="J20" s="19">
        <v>16.5354330708661</v>
      </c>
      <c r="K20" s="19">
        <v>12.5984251968503</v>
      </c>
      <c r="L20" s="19">
        <v>33.3333333333333</v>
      </c>
      <c r="M20" s="20">
        <v>6.7</v>
      </c>
      <c r="N20" s="318">
        <v>14.39</v>
      </c>
      <c r="O20" s="193">
        <f t="shared" si="12"/>
        <v>14.39</v>
      </c>
      <c r="P20" s="193">
        <v>39</v>
      </c>
      <c r="Q20" s="19">
        <v>2.5</v>
      </c>
      <c r="R20" s="19">
        <f t="shared" si="13"/>
        <v>0.375</v>
      </c>
      <c r="S20" s="19">
        <f t="shared" si="14"/>
        <v>6.56902985074627</v>
      </c>
      <c r="T20" s="19">
        <f>O20*12%*0.5</f>
        <v>0.8634</v>
      </c>
      <c r="U20" s="198">
        <f>3.45*0.9</f>
        <v>3.105</v>
      </c>
      <c r="V20" s="19">
        <f t="shared" si="15"/>
        <v>0.2878</v>
      </c>
      <c r="W20" s="19">
        <f t="shared" si="16"/>
        <v>0</v>
      </c>
      <c r="X20" s="19">
        <f t="shared" si="17"/>
        <v>0</v>
      </c>
      <c r="Y20" s="19">
        <f>0.05*0.9</f>
        <v>0.045</v>
      </c>
      <c r="Z20" s="193">
        <f t="shared" si="18"/>
        <v>3.51977014925373</v>
      </c>
      <c r="AA20" s="195">
        <f t="shared" si="19"/>
        <v>0.244598342547167</v>
      </c>
      <c r="AB20" s="18">
        <f t="shared" si="20"/>
        <v>0.404509765280616</v>
      </c>
      <c r="AC20" s="18">
        <f t="shared" si="21"/>
        <v>0.0259301131590138</v>
      </c>
      <c r="AD20" s="18">
        <f t="shared" si="22"/>
        <v>0.215774843641418</v>
      </c>
      <c r="AE20" s="18">
        <f t="shared" si="23"/>
        <v>0.06</v>
      </c>
      <c r="AF20" s="18">
        <v>0</v>
      </c>
      <c r="AG20" s="18">
        <v>0</v>
      </c>
      <c r="AH20" s="18">
        <v>0.02</v>
      </c>
    </row>
    <row r="21" spans="1:34">
      <c r="A21" s="15" t="s">
        <v>172</v>
      </c>
      <c r="B21" s="15" t="s">
        <v>173</v>
      </c>
      <c r="C21" s="319" t="s">
        <v>174</v>
      </c>
      <c r="D21" s="14">
        <v>8</v>
      </c>
      <c r="E21" s="19">
        <v>8.26771653543307</v>
      </c>
      <c r="F21" s="19">
        <v>5.11811023622047</v>
      </c>
      <c r="G21" s="19">
        <v>6.49606299212598</v>
      </c>
      <c r="H21" s="19">
        <v>2.77777777777777</v>
      </c>
      <c r="I21" s="19">
        <v>17.1259842519685</v>
      </c>
      <c r="J21" s="19">
        <v>10.2362204724409</v>
      </c>
      <c r="K21" s="19">
        <v>13.1889763779527</v>
      </c>
      <c r="L21" s="19">
        <v>24</v>
      </c>
      <c r="M21" s="20">
        <v>6.7</v>
      </c>
      <c r="N21" s="318">
        <v>29.99</v>
      </c>
      <c r="O21" s="193">
        <f t="shared" si="12"/>
        <v>29.99</v>
      </c>
      <c r="P21" s="193">
        <v>58.5</v>
      </c>
      <c r="Q21" s="19">
        <v>8.5</v>
      </c>
      <c r="R21" s="19">
        <f t="shared" si="13"/>
        <v>2.25</v>
      </c>
      <c r="S21" s="19">
        <f t="shared" si="14"/>
        <v>12.25</v>
      </c>
      <c r="T21" s="19">
        <f>O21*12%*0.5</f>
        <v>1.7994</v>
      </c>
      <c r="U21" s="198">
        <f>5.75*0.9</f>
        <v>5.175</v>
      </c>
      <c r="V21" s="19">
        <f t="shared" si="15"/>
        <v>0.5998</v>
      </c>
      <c r="W21" s="19">
        <f t="shared" si="16"/>
        <v>0</v>
      </c>
      <c r="X21" s="19">
        <f t="shared" si="17"/>
        <v>0</v>
      </c>
      <c r="Y21" s="19">
        <f>0.05*0.9</f>
        <v>0.045</v>
      </c>
      <c r="Z21" s="193">
        <f t="shared" si="18"/>
        <v>10.1208</v>
      </c>
      <c r="AA21" s="195">
        <f t="shared" si="19"/>
        <v>0.337472490830277</v>
      </c>
      <c r="AB21" s="18">
        <f t="shared" si="20"/>
        <v>0.291141823393868</v>
      </c>
      <c r="AC21" s="18">
        <f t="shared" si="21"/>
        <v>0.0423026580999637</v>
      </c>
      <c r="AD21" s="18">
        <f t="shared" si="22"/>
        <v>0.172557519173058</v>
      </c>
      <c r="AE21" s="18">
        <f t="shared" si="23"/>
        <v>0.06</v>
      </c>
      <c r="AF21" s="18">
        <v>0</v>
      </c>
      <c r="AG21" s="18">
        <v>0</v>
      </c>
      <c r="AH21" s="18">
        <v>0.02</v>
      </c>
    </row>
    <row r="22" spans="1:34">
      <c r="A22" s="15" t="s">
        <v>175</v>
      </c>
      <c r="B22" s="15" t="s">
        <v>176</v>
      </c>
      <c r="C22" s="15" t="s">
        <v>177</v>
      </c>
      <c r="D22" s="14">
        <v>12</v>
      </c>
      <c r="E22" s="19">
        <v>11.6141732283464</v>
      </c>
      <c r="F22" s="19">
        <v>7.28346456692913</v>
      </c>
      <c r="G22" s="19">
        <v>3.937007874</v>
      </c>
      <c r="H22" s="19">
        <v>3.33333333333333</v>
      </c>
      <c r="I22" s="19">
        <v>23.622047244</v>
      </c>
      <c r="J22" s="19">
        <v>12.2047244094488</v>
      </c>
      <c r="K22" s="19">
        <v>15.3543307086614</v>
      </c>
      <c r="L22" s="19">
        <v>44.4444444444444</v>
      </c>
      <c r="M22" s="20">
        <v>6.7</v>
      </c>
      <c r="N22" s="318">
        <v>26.99</v>
      </c>
      <c r="O22" s="193">
        <f t="shared" si="12"/>
        <v>26.99</v>
      </c>
      <c r="P22" s="193">
        <v>84</v>
      </c>
      <c r="Q22" s="19">
        <v>8</v>
      </c>
      <c r="R22" s="19">
        <f t="shared" si="13"/>
        <v>1.5</v>
      </c>
      <c r="S22" s="19">
        <f t="shared" si="14"/>
        <v>15.2313432835821</v>
      </c>
      <c r="T22" s="19">
        <f>O22*12%*0.5</f>
        <v>1.6194</v>
      </c>
      <c r="U22" s="198">
        <f>0.9*5.75</f>
        <v>5.175</v>
      </c>
      <c r="V22" s="19">
        <f t="shared" si="15"/>
        <v>0.5398</v>
      </c>
      <c r="W22" s="19">
        <f t="shared" si="16"/>
        <v>0</v>
      </c>
      <c r="X22" s="19">
        <f t="shared" si="17"/>
        <v>0</v>
      </c>
      <c r="Y22" s="19">
        <f>0.11*0.9</f>
        <v>0.099</v>
      </c>
      <c r="Z22" s="193">
        <f t="shared" si="18"/>
        <v>4.32545671641791</v>
      </c>
      <c r="AA22" s="195">
        <f t="shared" si="19"/>
        <v>0.160261456703146</v>
      </c>
      <c r="AB22" s="18">
        <f t="shared" si="20"/>
        <v>0.464516985284765</v>
      </c>
      <c r="AC22" s="18">
        <f t="shared" si="21"/>
        <v>0.0442397128842634</v>
      </c>
      <c r="AD22" s="18">
        <f t="shared" si="22"/>
        <v>0.191737680622453</v>
      </c>
      <c r="AE22" s="18">
        <f t="shared" si="23"/>
        <v>0.06</v>
      </c>
      <c r="AF22" s="18">
        <v>0</v>
      </c>
      <c r="AG22" s="18">
        <v>0</v>
      </c>
      <c r="AH22" s="18">
        <v>0.02</v>
      </c>
    </row>
    <row r="23" spans="1:34">
      <c r="A23" s="15" t="s">
        <v>178</v>
      </c>
      <c r="B23" s="15" t="s">
        <v>179</v>
      </c>
      <c r="C23" s="319" t="s">
        <v>180</v>
      </c>
      <c r="D23" s="14">
        <v>16</v>
      </c>
      <c r="E23" s="19">
        <v>7.874015748</v>
      </c>
      <c r="F23" s="19">
        <v>5.70866141732283</v>
      </c>
      <c r="G23" s="19">
        <v>5.11811023622047</v>
      </c>
      <c r="H23" s="19">
        <v>2.88888888888888</v>
      </c>
      <c r="I23" s="19">
        <v>21.259842519685</v>
      </c>
      <c r="J23" s="19">
        <v>16.5354330708661</v>
      </c>
      <c r="K23" s="19">
        <v>12.7952755905511</v>
      </c>
      <c r="L23" s="19">
        <v>42.2222222222222</v>
      </c>
      <c r="M23" s="20">
        <v>6.7</v>
      </c>
      <c r="N23" s="198">
        <v>25.99</v>
      </c>
      <c r="O23" s="193">
        <v>25.99</v>
      </c>
      <c r="P23" s="193">
        <v>54.5</v>
      </c>
      <c r="Q23" s="19">
        <v>7.5</v>
      </c>
      <c r="R23" s="19">
        <f t="shared" si="13"/>
        <v>1.125</v>
      </c>
      <c r="S23" s="19">
        <f t="shared" si="14"/>
        <v>10.3787313432836</v>
      </c>
      <c r="T23" s="19">
        <f>O23*12%*0.5</f>
        <v>1.5594</v>
      </c>
      <c r="U23" s="198">
        <f>0.9*5.75</f>
        <v>5.175</v>
      </c>
      <c r="V23" s="19">
        <f t="shared" si="15"/>
        <v>0.5198</v>
      </c>
      <c r="W23" s="19">
        <f t="shared" si="16"/>
        <v>0</v>
      </c>
      <c r="X23" s="19">
        <f t="shared" si="17"/>
        <v>0</v>
      </c>
      <c r="Y23" s="19">
        <f>0.11*0.9</f>
        <v>0.099</v>
      </c>
      <c r="Z23" s="193">
        <f t="shared" si="18"/>
        <v>8.25806865671642</v>
      </c>
      <c r="AA23" s="195">
        <f t="shared" si="19"/>
        <v>0.317740233040262</v>
      </c>
      <c r="AB23" s="18">
        <f t="shared" si="20"/>
        <v>0.312979159607886</v>
      </c>
      <c r="AC23" s="18">
        <f t="shared" si="21"/>
        <v>0.0430705265515439</v>
      </c>
      <c r="AD23" s="18">
        <f t="shared" si="22"/>
        <v>0.199115044247788</v>
      </c>
      <c r="AE23" s="18">
        <f t="shared" si="23"/>
        <v>0.06</v>
      </c>
      <c r="AF23" s="18">
        <v>0</v>
      </c>
      <c r="AG23" s="18">
        <v>0</v>
      </c>
      <c r="AH23" s="18">
        <v>0.02</v>
      </c>
    </row>
    <row r="24" spans="1:34">
      <c r="A24" s="15"/>
      <c r="B24" s="15"/>
      <c r="C24" s="15"/>
      <c r="D24" s="14"/>
      <c r="E24" s="19"/>
      <c r="F24" s="19"/>
      <c r="G24" s="19"/>
      <c r="H24" s="19"/>
      <c r="I24" s="19"/>
      <c r="J24" s="19"/>
      <c r="K24" s="19"/>
      <c r="L24" s="19"/>
      <c r="M24" s="20"/>
      <c r="N24" s="198"/>
      <c r="O24" s="193"/>
      <c r="P24" s="193"/>
      <c r="Q24" s="19"/>
      <c r="R24" s="19"/>
      <c r="S24" s="19"/>
      <c r="T24" s="19"/>
      <c r="U24" s="198"/>
      <c r="V24" s="19"/>
      <c r="W24" s="19"/>
      <c r="X24" s="19"/>
      <c r="Y24" s="19"/>
      <c r="Z24" s="193"/>
      <c r="AA24" s="195"/>
      <c r="AB24" s="18"/>
      <c r="AC24" s="18"/>
      <c r="AD24" s="18"/>
      <c r="AE24" s="18"/>
      <c r="AF24" s="18"/>
      <c r="AG24" s="18"/>
      <c r="AH24" s="18"/>
    </row>
    <row r="25" spans="1:34">
      <c r="A25" s="15" t="s">
        <v>181</v>
      </c>
      <c r="B25" s="15" t="s">
        <v>182</v>
      </c>
      <c r="C25" s="15" t="s">
        <v>183</v>
      </c>
      <c r="D25" s="14">
        <v>16</v>
      </c>
      <c r="E25" s="14">
        <v>10.24</v>
      </c>
      <c r="F25" s="14">
        <v>8.66</v>
      </c>
      <c r="G25" s="14">
        <v>2.36</v>
      </c>
      <c r="H25" s="14">
        <v>2.2</v>
      </c>
      <c r="I25" s="14">
        <v>21.26</v>
      </c>
      <c r="J25" s="14">
        <v>17.72</v>
      </c>
      <c r="K25" s="14">
        <v>10.24</v>
      </c>
      <c r="L25" s="14">
        <v>35.8</v>
      </c>
      <c r="M25" s="20">
        <v>6.7</v>
      </c>
      <c r="N25" s="198">
        <v>35</v>
      </c>
      <c r="O25" s="193">
        <f>N25-X25</f>
        <v>35</v>
      </c>
      <c r="P25" s="193">
        <f>94/1.13</f>
        <v>83.1858407079646</v>
      </c>
      <c r="Q25" s="19">
        <v>15</v>
      </c>
      <c r="R25" s="19">
        <v>0</v>
      </c>
      <c r="S25" s="19">
        <f>(P25+Q25)/M25+R25</f>
        <v>14.654603090741</v>
      </c>
      <c r="T25" s="19">
        <f>O25*12%*0.5</f>
        <v>2.1</v>
      </c>
      <c r="U25" s="198">
        <f>0.9*5.45</f>
        <v>4.905</v>
      </c>
      <c r="V25" s="19">
        <f>N25*AH25</f>
        <v>0.7</v>
      </c>
      <c r="W25" s="19">
        <f>N25*AF25</f>
        <v>0</v>
      </c>
      <c r="X25" s="19">
        <f>N25*AG25</f>
        <v>0</v>
      </c>
      <c r="Y25" s="19">
        <f>0.09*0.9</f>
        <v>0.081</v>
      </c>
      <c r="Z25" s="193">
        <f>O25-S25-T25-U25-V25-W25-Y25</f>
        <v>12.559396909259</v>
      </c>
      <c r="AA25" s="195">
        <f>Z25/N25</f>
        <v>0.358839911693115</v>
      </c>
      <c r="AB25" s="18">
        <f>P25/M25/O25</f>
        <v>0.354737060588335</v>
      </c>
      <c r="AC25" s="18">
        <f>Q25/M25/O25</f>
        <v>0.0639658848614072</v>
      </c>
      <c r="AD25" s="18">
        <f>U25/O25</f>
        <v>0.140142857142857</v>
      </c>
      <c r="AE25" s="18">
        <f>T25/O25</f>
        <v>0.06</v>
      </c>
      <c r="AF25" s="18">
        <v>0</v>
      </c>
      <c r="AG25" s="18">
        <v>0</v>
      </c>
      <c r="AH25" s="18">
        <v>0.02</v>
      </c>
    </row>
    <row r="26" spans="1:34">
      <c r="A26" s="15" t="s">
        <v>184</v>
      </c>
      <c r="B26" s="15" t="s">
        <v>185</v>
      </c>
      <c r="C26" s="15" t="s">
        <v>186</v>
      </c>
      <c r="D26" s="14">
        <v>8</v>
      </c>
      <c r="E26" s="19">
        <v>11.22</v>
      </c>
      <c r="F26" s="19">
        <v>9.45</v>
      </c>
      <c r="G26" s="19">
        <v>3.54</v>
      </c>
      <c r="H26" s="19">
        <v>4.8</v>
      </c>
      <c r="I26" s="19">
        <v>17.52</v>
      </c>
      <c r="J26" s="19">
        <v>11.81</v>
      </c>
      <c r="K26" s="19">
        <v>19.69</v>
      </c>
      <c r="L26" s="19">
        <v>40</v>
      </c>
      <c r="M26" s="20">
        <v>6.7</v>
      </c>
      <c r="N26" s="198">
        <v>35</v>
      </c>
      <c r="O26" s="193">
        <f>N26-X26</f>
        <v>35</v>
      </c>
      <c r="P26" s="193">
        <f>87/1.13</f>
        <v>76.9911504424779</v>
      </c>
      <c r="Q26" s="19">
        <v>15</v>
      </c>
      <c r="R26" s="19">
        <v>0</v>
      </c>
      <c r="S26" s="19">
        <f>(P26+Q26)/M26+R26</f>
        <v>13.7300224541012</v>
      </c>
      <c r="T26" s="19">
        <f>O26*12%*0.5</f>
        <v>2.1</v>
      </c>
      <c r="U26" s="198">
        <f>0.9*6.55</f>
        <v>5.895</v>
      </c>
      <c r="V26" s="19">
        <f>N26*AH26</f>
        <v>0.7</v>
      </c>
      <c r="W26" s="19">
        <f>N26*AF26</f>
        <v>0</v>
      </c>
      <c r="X26" s="19">
        <f>N26*AG26</f>
        <v>0</v>
      </c>
      <c r="Y26" s="19">
        <f>0.16*0.9</f>
        <v>0.144</v>
      </c>
      <c r="Z26" s="193">
        <f>O26-S26-T26-U26-V26-W26-Y26</f>
        <v>12.4309775458988</v>
      </c>
      <c r="AA26" s="195">
        <f>Z26/N26</f>
        <v>0.355170787025681</v>
      </c>
      <c r="AB26" s="18">
        <f>P26/M26/O26</f>
        <v>0.328320470970055</v>
      </c>
      <c r="AC26" s="18">
        <f>Q26/M26/O26</f>
        <v>0.0639658848614072</v>
      </c>
      <c r="AD26" s="18">
        <f>U26/O26</f>
        <v>0.168428571428571</v>
      </c>
      <c r="AE26" s="18">
        <f>T26/O26</f>
        <v>0.06</v>
      </c>
      <c r="AF26" s="18">
        <v>0</v>
      </c>
      <c r="AG26" s="18">
        <v>0</v>
      </c>
      <c r="AH26" s="18">
        <v>0.02</v>
      </c>
    </row>
    <row r="27" spans="1:34">
      <c r="A27" s="15" t="s">
        <v>187</v>
      </c>
      <c r="C27" s="15" t="s">
        <v>188</v>
      </c>
      <c r="D27" s="14">
        <v>30</v>
      </c>
      <c r="E27" s="19">
        <v>9.05511811023622</v>
      </c>
      <c r="F27" s="19">
        <v>3.74015748031496</v>
      </c>
      <c r="G27" s="19">
        <v>2.83464566929133</v>
      </c>
      <c r="H27" s="19">
        <v>1</v>
      </c>
      <c r="I27" s="19">
        <v>18.8976377952755</v>
      </c>
      <c r="J27" s="19">
        <v>15.1574803149606</v>
      </c>
      <c r="K27" s="19">
        <v>12.4015748031496</v>
      </c>
      <c r="L27" s="19">
        <v>42.2222222222222</v>
      </c>
      <c r="M27" s="20">
        <v>6.7</v>
      </c>
      <c r="N27" s="198">
        <v>26.99</v>
      </c>
      <c r="O27" s="193">
        <f>N27-X27</f>
        <v>26.99</v>
      </c>
      <c r="P27" s="193">
        <f>69/1.13</f>
        <v>61.0619469026549</v>
      </c>
      <c r="Q27" s="19">
        <v>9</v>
      </c>
      <c r="R27" s="19">
        <v>0</v>
      </c>
      <c r="S27" s="19">
        <f>(P27+Q27)/M27+R27</f>
        <v>10.4570070003963</v>
      </c>
      <c r="T27" s="19">
        <f>O27*15%*0.5</f>
        <v>2.02425</v>
      </c>
      <c r="U27" s="198">
        <f>0.9*4.95</f>
        <v>4.455</v>
      </c>
      <c r="V27" s="19">
        <f>N27*AH27</f>
        <v>0.5398</v>
      </c>
      <c r="W27" s="19">
        <f>N27*AF27</f>
        <v>0</v>
      </c>
      <c r="X27" s="19">
        <f>N27*AG27</f>
        <v>0</v>
      </c>
      <c r="Y27" s="19">
        <f>0.04*0.9</f>
        <v>0.036</v>
      </c>
      <c r="Z27" s="193">
        <f>O27-S27-T27-U27-V27-W27-Y27</f>
        <v>9.47794299960375</v>
      </c>
      <c r="AA27" s="195">
        <f>Z27/N27</f>
        <v>0.351164987017553</v>
      </c>
      <c r="AB27" s="18">
        <f>P27/M27/O27</f>
        <v>0.337670374890948</v>
      </c>
      <c r="AC27" s="18">
        <f>Q27/M27/O27</f>
        <v>0.0497696769947963</v>
      </c>
      <c r="AD27" s="18">
        <f>U27/O27</f>
        <v>0.165061133753242</v>
      </c>
      <c r="AE27" s="18">
        <f>T27/O27</f>
        <v>0.075</v>
      </c>
      <c r="AF27" s="18">
        <v>0</v>
      </c>
      <c r="AG27" s="18">
        <v>0</v>
      </c>
      <c r="AH27" s="18">
        <v>0.02</v>
      </c>
    </row>
    <row r="29" spans="1:34">
      <c r="A29" s="14" t="s">
        <v>189</v>
      </c>
      <c r="B29" s="14" t="s">
        <v>189</v>
      </c>
      <c r="C29" s="14" t="s">
        <v>190</v>
      </c>
      <c r="D29" s="14">
        <v>1</v>
      </c>
      <c r="E29" s="14">
        <v>67.4</v>
      </c>
      <c r="F29" s="14">
        <v>13</v>
      </c>
      <c r="G29" s="14">
        <v>5.9</v>
      </c>
      <c r="H29" s="14">
        <v>31.98</v>
      </c>
      <c r="I29" s="20">
        <v>67.4</v>
      </c>
      <c r="J29" s="20">
        <v>13</v>
      </c>
      <c r="K29" s="20">
        <v>5.9</v>
      </c>
      <c r="L29" s="20">
        <v>31.98</v>
      </c>
      <c r="M29" s="20">
        <v>6.7</v>
      </c>
      <c r="N29" s="14">
        <v>129.99</v>
      </c>
      <c r="O29" s="193">
        <f>N29-X29</f>
        <v>129.99</v>
      </c>
      <c r="P29" s="14">
        <v>69.7</v>
      </c>
      <c r="Q29" s="14">
        <v>0</v>
      </c>
      <c r="R29" s="14">
        <v>0</v>
      </c>
      <c r="S29" s="19">
        <f>(P29+Q29)+R29</f>
        <v>69.7</v>
      </c>
      <c r="T29" s="19">
        <f>O29*12%*0.5</f>
        <v>7.7994</v>
      </c>
      <c r="U29" s="14">
        <v>33.16</v>
      </c>
      <c r="V29" s="19">
        <f>N29*AH29</f>
        <v>2.5998</v>
      </c>
      <c r="W29" s="19">
        <f>N29*AF29</f>
        <v>0</v>
      </c>
      <c r="X29" s="19">
        <f>N29*AG29</f>
        <v>0</v>
      </c>
      <c r="Y29" s="19">
        <f>0.04*0.9</f>
        <v>0.036</v>
      </c>
      <c r="Z29" s="193">
        <f>O29-S29-T29-U29-V29-W29-Y29</f>
        <v>16.6948</v>
      </c>
      <c r="AA29" s="195">
        <f>Z29/N29</f>
        <v>0.128431417801369</v>
      </c>
      <c r="AB29" s="18">
        <f>P29/M29/O29</f>
        <v>0.0800291181985296</v>
      </c>
      <c r="AC29" s="18">
        <f>Q29/M29/O29</f>
        <v>0</v>
      </c>
      <c r="AD29" s="18">
        <f>U29/O29</f>
        <v>0.255096545888145</v>
      </c>
      <c r="AE29" s="18">
        <f>T29/O29</f>
        <v>0.06</v>
      </c>
      <c r="AF29" s="18">
        <v>0</v>
      </c>
      <c r="AG29" s="18">
        <v>0</v>
      </c>
      <c r="AH29" s="18">
        <v>0.02</v>
      </c>
    </row>
    <row r="30" spans="1:34">
      <c r="A30" s="20" t="s">
        <v>191</v>
      </c>
      <c r="B30" s="283">
        <v>6980050610289</v>
      </c>
      <c r="C30" s="14" t="s">
        <v>192</v>
      </c>
      <c r="D30" s="20">
        <v>1</v>
      </c>
      <c r="E30" s="14">
        <v>46.26</v>
      </c>
      <c r="F30" s="14">
        <v>11.22</v>
      </c>
      <c r="G30" s="14">
        <v>6.3</v>
      </c>
      <c r="H30" s="14">
        <v>30.2</v>
      </c>
      <c r="I30" s="20">
        <v>46.26</v>
      </c>
      <c r="J30" s="20">
        <v>11.22</v>
      </c>
      <c r="K30" s="20">
        <v>6.3</v>
      </c>
      <c r="L30" s="20">
        <v>30.2</v>
      </c>
      <c r="M30" s="20">
        <v>6.7</v>
      </c>
      <c r="N30" s="14">
        <v>119.99</v>
      </c>
      <c r="O30" s="193">
        <f>N30-X30</f>
        <v>119.99</v>
      </c>
      <c r="P30" s="14">
        <v>60</v>
      </c>
      <c r="Q30" s="20">
        <v>0</v>
      </c>
      <c r="R30" s="20">
        <v>0</v>
      </c>
      <c r="S30" s="19">
        <f>(P30+Q30)+R30</f>
        <v>60</v>
      </c>
      <c r="T30" s="19">
        <f>O30*12%*0.5</f>
        <v>7.1994</v>
      </c>
      <c r="U30" s="14">
        <v>21</v>
      </c>
      <c r="V30" s="19">
        <f>N30*AH30</f>
        <v>0</v>
      </c>
      <c r="W30" s="19">
        <f>N30*AF30</f>
        <v>0</v>
      </c>
      <c r="X30" s="19">
        <f>N30*AG30</f>
        <v>0</v>
      </c>
      <c r="Y30" s="19">
        <f>0.04*0.9</f>
        <v>0.036</v>
      </c>
      <c r="Z30" s="193">
        <f>O30-S30-T30-U30-V30-W30-Y30</f>
        <v>31.7546</v>
      </c>
      <c r="AA30" s="195">
        <f>Z30/N30</f>
        <v>0.264643720310026</v>
      </c>
      <c r="AB30" s="18">
        <f>P30/M30/O30</f>
        <v>0.0746330850953997</v>
      </c>
      <c r="AC30" s="18">
        <f>Q30/M30/O30</f>
        <v>0</v>
      </c>
      <c r="AD30" s="18">
        <f>U30/O30</f>
        <v>0.175014584548712</v>
      </c>
      <c r="AE30" s="18">
        <f>T30/O30</f>
        <v>0.06</v>
      </c>
      <c r="AF30" s="18">
        <v>0</v>
      </c>
      <c r="AG30" s="18">
        <v>0</v>
      </c>
      <c r="AH30" s="18">
        <v>0</v>
      </c>
    </row>
    <row r="31" spans="1:34">
      <c r="A31" s="15" t="s">
        <v>193</v>
      </c>
      <c r="B31" s="78">
        <v>6980050610296</v>
      </c>
      <c r="C31" s="15" t="s">
        <v>194</v>
      </c>
      <c r="D31" s="20">
        <v>1</v>
      </c>
      <c r="E31" s="14">
        <v>76.97</v>
      </c>
      <c r="F31" s="14">
        <v>11.61</v>
      </c>
      <c r="G31" s="14">
        <v>6.5</v>
      </c>
      <c r="H31" s="14">
        <v>64.2</v>
      </c>
      <c r="I31" s="20">
        <v>76.97</v>
      </c>
      <c r="J31" s="20">
        <v>11.61</v>
      </c>
      <c r="K31" s="20">
        <v>6.5</v>
      </c>
      <c r="L31" s="20">
        <v>64.2</v>
      </c>
      <c r="M31" s="20">
        <v>6.7</v>
      </c>
      <c r="N31" s="14">
        <v>249.99</v>
      </c>
      <c r="O31" s="193">
        <f>N31-X31</f>
        <v>249.99</v>
      </c>
      <c r="P31" s="14">
        <v>126</v>
      </c>
      <c r="Q31" s="20">
        <v>0</v>
      </c>
      <c r="R31" s="20">
        <v>0</v>
      </c>
      <c r="S31" s="19">
        <f>(P31+Q31)+R31</f>
        <v>126</v>
      </c>
      <c r="T31" s="19">
        <f>O31*12%*0.5</f>
        <v>14.9994</v>
      </c>
      <c r="U31" s="14">
        <v>40</v>
      </c>
      <c r="V31" s="19">
        <f>N31*AH31</f>
        <v>0</v>
      </c>
      <c r="W31" s="19">
        <f>N31*AF31</f>
        <v>0</v>
      </c>
      <c r="X31" s="19">
        <f>N31*AG31</f>
        <v>0</v>
      </c>
      <c r="Y31" s="19">
        <f>0.04*0.9</f>
        <v>0.036</v>
      </c>
      <c r="Z31" s="193">
        <f>O31-S31-T31-U31-V31-W31-Y31</f>
        <v>68.9546</v>
      </c>
      <c r="AA31" s="195">
        <f>Z31/N31</f>
        <v>0.275829433177327</v>
      </c>
      <c r="AB31" s="18">
        <f>P31/M31/O31</f>
        <v>0.0752268896726018</v>
      </c>
      <c r="AC31" s="18">
        <f>Q31/M31/O31</f>
        <v>0</v>
      </c>
      <c r="AD31" s="18">
        <f>U31/O31</f>
        <v>0.16000640025601</v>
      </c>
      <c r="AE31" s="18">
        <f>T31/O31</f>
        <v>0.06</v>
      </c>
      <c r="AF31" s="18">
        <v>0</v>
      </c>
      <c r="AG31" s="18">
        <v>0</v>
      </c>
      <c r="AH31" s="18">
        <v>0</v>
      </c>
    </row>
    <row r="32" spans="1:34">
      <c r="A32" s="15" t="s">
        <v>195</v>
      </c>
      <c r="B32" s="15">
        <v>6980050610272</v>
      </c>
      <c r="C32" s="15" t="s">
        <v>196</v>
      </c>
      <c r="D32" s="20">
        <v>1</v>
      </c>
      <c r="E32" s="14">
        <v>47.2</v>
      </c>
      <c r="F32" s="14">
        <v>7.87</v>
      </c>
      <c r="G32" s="14">
        <v>7.87</v>
      </c>
      <c r="H32" s="14">
        <v>34.8</v>
      </c>
      <c r="I32" s="20">
        <v>47.2</v>
      </c>
      <c r="J32" s="20">
        <v>7.87</v>
      </c>
      <c r="K32" s="20">
        <v>7.87</v>
      </c>
      <c r="L32" s="20">
        <v>34.8</v>
      </c>
      <c r="M32" s="20">
        <v>6.7</v>
      </c>
      <c r="N32" s="14">
        <v>119.99</v>
      </c>
      <c r="O32" s="193">
        <f>N32-X32</f>
        <v>119.99</v>
      </c>
      <c r="P32" s="14">
        <v>63.75</v>
      </c>
      <c r="Q32" s="20">
        <v>0</v>
      </c>
      <c r="R32" s="20">
        <v>0</v>
      </c>
      <c r="S32" s="19">
        <f>(P32+Q32)+R32</f>
        <v>63.75</v>
      </c>
      <c r="T32" s="19">
        <f>O32*12%*0.5</f>
        <v>7.1994</v>
      </c>
      <c r="U32" s="14">
        <v>23</v>
      </c>
      <c r="V32" s="19">
        <f>N32*AH32</f>
        <v>0</v>
      </c>
      <c r="W32" s="19">
        <f>N32*AF32</f>
        <v>0</v>
      </c>
      <c r="X32" s="19">
        <f>N32*AG32</f>
        <v>0</v>
      </c>
      <c r="Y32" s="19">
        <f>0.04*0.9</f>
        <v>0.036</v>
      </c>
      <c r="Z32" s="193">
        <f>O32-S32-T32-U32-V32-W32-Y32</f>
        <v>26.0046</v>
      </c>
      <c r="AA32" s="195">
        <f>Z32/N32</f>
        <v>0.216723060255021</v>
      </c>
      <c r="AB32" s="18">
        <f>P32/M32/O32</f>
        <v>0.0792976529138622</v>
      </c>
      <c r="AC32" s="18">
        <f>Q32/M32/O32</f>
        <v>0</v>
      </c>
      <c r="AD32" s="18">
        <f>U32/O32</f>
        <v>0.191682640220018</v>
      </c>
      <c r="AE32" s="18">
        <f>T32/O32</f>
        <v>0.06</v>
      </c>
      <c r="AF32" s="18">
        <v>0</v>
      </c>
      <c r="AG32" s="18">
        <v>0</v>
      </c>
      <c r="AH32" s="18">
        <v>0</v>
      </c>
    </row>
    <row r="33" spans="1:34">
      <c r="A33" s="15" t="s">
        <v>197</v>
      </c>
      <c r="B33" s="21"/>
      <c r="C33" s="21"/>
      <c r="D33" s="20">
        <v>1</v>
      </c>
      <c r="E33" s="20">
        <v>47.2</v>
      </c>
      <c r="F33" s="20">
        <v>7.87</v>
      </c>
      <c r="G33" s="20">
        <v>7.87</v>
      </c>
      <c r="H33" s="20">
        <v>34.8</v>
      </c>
      <c r="I33" s="20">
        <v>47.2</v>
      </c>
      <c r="J33" s="20">
        <v>7.87</v>
      </c>
      <c r="K33" s="20">
        <v>7.87</v>
      </c>
      <c r="L33" s="20">
        <v>34.8</v>
      </c>
      <c r="M33" s="20">
        <v>6.7</v>
      </c>
      <c r="N33" s="14">
        <v>89</v>
      </c>
      <c r="O33" s="193">
        <f>N33-X33</f>
        <v>89</v>
      </c>
      <c r="P33" s="14">
        <v>38</v>
      </c>
      <c r="Q33" s="20">
        <v>0</v>
      </c>
      <c r="R33" s="20">
        <v>0</v>
      </c>
      <c r="S33" s="19">
        <f>(P33+Q33)+R33</f>
        <v>38</v>
      </c>
      <c r="T33" s="19">
        <f>O33*12%*0.5</f>
        <v>5.34</v>
      </c>
      <c r="U33" s="14">
        <v>28</v>
      </c>
      <c r="V33" s="19">
        <f>N33*AH33</f>
        <v>0</v>
      </c>
      <c r="W33" s="19">
        <f>N33*AF33</f>
        <v>0</v>
      </c>
      <c r="X33" s="19">
        <f>N33*AG33</f>
        <v>0</v>
      </c>
      <c r="Y33" s="19">
        <f>0.04*0.9</f>
        <v>0.036</v>
      </c>
      <c r="Z33" s="193">
        <f>O33-S33-T33-U33-V33-W33-Y33</f>
        <v>17.624</v>
      </c>
      <c r="AA33" s="195">
        <f>Z33/N33</f>
        <v>0.198022471910112</v>
      </c>
      <c r="AB33" s="18">
        <f>P33/M33/O33</f>
        <v>0.0637263122589301</v>
      </c>
      <c r="AC33" s="18">
        <f>Q33/M33/O33</f>
        <v>0</v>
      </c>
      <c r="AD33" s="18">
        <f>U33/O33</f>
        <v>0.314606741573034</v>
      </c>
      <c r="AE33" s="18">
        <f>T33/O33</f>
        <v>0.06</v>
      </c>
      <c r="AF33" s="18">
        <v>0</v>
      </c>
      <c r="AG33" s="18">
        <v>0</v>
      </c>
      <c r="AH33" s="18">
        <v>0</v>
      </c>
    </row>
    <row r="34" spans="1:34">
      <c r="C34" s="15"/>
      <c r="P34" s="15"/>
      <c r="Y34" s="15"/>
      <c r="Z34" s="15"/>
      <c r="AA34" s="15"/>
      <c r="AB34" s="15"/>
      <c r="AC34" s="15"/>
      <c r="AE34" s="15"/>
      <c r="AF34" s="15"/>
      <c r="AG34" s="15"/>
    </row>
    <row r="35" spans="1:34">
      <c r="C35" s="15"/>
      <c r="P35" s="15"/>
      <c r="Y35" s="15"/>
      <c r="Z35" s="15"/>
      <c r="AA35" s="15"/>
      <c r="AB35" s="15"/>
      <c r="AC35" s="15"/>
      <c r="AE35" s="15"/>
      <c r="AF35" s="15"/>
      <c r="AG35" s="15"/>
    </row>
    <row r="36" spans="1:34">
      <c r="C36" s="15"/>
      <c r="P36" s="15"/>
      <c r="Y36" s="15"/>
      <c r="Z36" s="15"/>
      <c r="AA36" s="15"/>
      <c r="AB36" s="15"/>
      <c r="AC36" s="15"/>
      <c r="AE36" s="15"/>
      <c r="AF36" s="15"/>
      <c r="AG36" s="15"/>
    </row>
    <row r="37" spans="1:34">
      <c r="C37" s="15"/>
      <c r="P37" s="15"/>
      <c r="Y37" s="15"/>
      <c r="Z37" s="15"/>
      <c r="AA37" s="15"/>
      <c r="AB37" s="15"/>
      <c r="AC37" s="15"/>
      <c r="AE37" s="15"/>
      <c r="AF37" s="15"/>
      <c r="AG37" s="15"/>
    </row>
    <row r="38" ht="13.2" spans="1:34">
      <c r="A38" s="15"/>
      <c r="B38" s="15"/>
      <c r="D38" s="15"/>
      <c r="E38" s="320"/>
      <c r="F38" s="321">
        <v>23</v>
      </c>
      <c r="G38" s="321">
        <v>9.5</v>
      </c>
      <c r="H38" s="321">
        <v>7.2</v>
      </c>
      <c r="I38" s="14">
        <v>2.15</v>
      </c>
      <c r="J38" s="322">
        <v>48</v>
      </c>
      <c r="K38" s="322">
        <v>38.5</v>
      </c>
      <c r="L38" s="322">
        <v>31.5</v>
      </c>
      <c r="M38" s="322">
        <v>16.1</v>
      </c>
      <c r="N38" s="15"/>
      <c r="O38" s="15"/>
      <c r="AH38" s="15"/>
    </row>
    <row r="39" spans="1:34">
      <c r="A39" s="15"/>
      <c r="B39" s="15"/>
      <c r="D39" s="15"/>
      <c r="E39" s="15"/>
      <c r="F39" s="323">
        <f>F38/2.54</f>
        <v>9.05511811023622</v>
      </c>
      <c r="G39" s="323">
        <f>G38/2.54</f>
        <v>3.74015748031496</v>
      </c>
      <c r="H39" s="323">
        <f>H38/2.54</f>
        <v>2.83464566929134</v>
      </c>
      <c r="I39" s="323">
        <f>I38/0.45</f>
        <v>4.77777777777778</v>
      </c>
      <c r="J39" s="323">
        <f>J38/2.54</f>
        <v>18.8976377952756</v>
      </c>
      <c r="K39" s="323">
        <f>K38/2.54</f>
        <v>15.1574803149606</v>
      </c>
      <c r="L39" s="323">
        <f>L38/2.54</f>
        <v>12.4015748031496</v>
      </c>
      <c r="M39" s="323">
        <f>M38/0.45</f>
        <v>35.7777777777778</v>
      </c>
      <c r="N39" s="15"/>
      <c r="AH39" s="15"/>
    </row>
    <row r="40" spans="1:34">
      <c r="A40" s="15"/>
      <c r="B40" s="15"/>
      <c r="D40" s="15"/>
      <c r="E40" s="15"/>
      <c r="F40" s="15"/>
      <c r="G40" s="15"/>
      <c r="H40" s="15"/>
      <c r="I40" s="15"/>
      <c r="J40" s="15"/>
      <c r="K40" s="15"/>
      <c r="L40" s="15"/>
      <c r="O40" s="15"/>
      <c r="Q40" s="15"/>
      <c r="R40" s="15"/>
      <c r="S40" s="15"/>
      <c r="T40" s="15"/>
      <c r="U40" s="15"/>
      <c r="V40" s="15"/>
      <c r="W40" s="15"/>
      <c r="X40" s="15"/>
      <c r="AD40" s="15"/>
    </row>
    <row r="41" spans="1:34">
      <c r="A41" s="15"/>
      <c r="B41" s="15"/>
      <c r="D41" s="15"/>
      <c r="E41" s="15"/>
      <c r="F41" s="15"/>
      <c r="G41" s="15"/>
      <c r="H41" s="15"/>
      <c r="I41" s="15"/>
      <c r="J41" s="15"/>
      <c r="K41" s="15"/>
      <c r="L41" s="15"/>
      <c r="O41" s="15"/>
      <c r="Q41" s="15"/>
      <c r="R41" s="15"/>
      <c r="S41" s="15"/>
      <c r="T41" s="15"/>
      <c r="U41" s="15"/>
      <c r="V41" s="15"/>
      <c r="W41" s="15"/>
      <c r="X41" s="15"/>
      <c r="AD41" s="15"/>
    </row>
    <row r="42" spans="1:34">
      <c r="A42" s="15"/>
      <c r="B42" s="15"/>
      <c r="D42" s="15"/>
      <c r="E42" s="15"/>
      <c r="F42" s="15"/>
      <c r="G42" s="15"/>
      <c r="H42" s="15"/>
      <c r="I42" s="15"/>
      <c r="J42" s="15"/>
      <c r="K42" s="15"/>
      <c r="L42" s="15"/>
      <c r="O42" s="15"/>
      <c r="Q42" s="15"/>
      <c r="R42" s="15"/>
      <c r="S42" s="15"/>
      <c r="T42" s="15"/>
      <c r="U42" s="15"/>
      <c r="V42" s="15"/>
      <c r="W42" s="15"/>
      <c r="X42" s="15"/>
      <c r="AD42" s="15"/>
    </row>
    <row r="43" spans="1:34">
      <c r="A43" s="15"/>
      <c r="B43" s="15"/>
      <c r="D43" s="15"/>
      <c r="E43" s="15"/>
      <c r="F43" s="15"/>
      <c r="G43" s="15"/>
      <c r="H43" s="15"/>
      <c r="I43" s="15"/>
      <c r="J43" s="15"/>
      <c r="K43" s="15"/>
      <c r="L43" s="15"/>
      <c r="O43" s="15"/>
      <c r="Q43" s="15"/>
      <c r="R43" s="15"/>
      <c r="S43" s="15"/>
      <c r="T43" s="15"/>
      <c r="U43" s="15"/>
      <c r="V43" s="15"/>
      <c r="W43" s="15"/>
      <c r="X43" s="15"/>
      <c r="AD43" s="15"/>
    </row>
    <row r="44" spans="1:34">
      <c r="A44" s="15"/>
      <c r="B44" s="15"/>
      <c r="D44" s="15"/>
      <c r="E44" s="15"/>
      <c r="F44" s="15"/>
      <c r="G44" s="15"/>
      <c r="H44" s="15"/>
      <c r="I44" s="15"/>
      <c r="J44" s="15"/>
      <c r="K44" s="15"/>
      <c r="L44" s="15"/>
      <c r="O44" s="15"/>
      <c r="Q44" s="15"/>
      <c r="R44" s="15"/>
      <c r="S44" s="15"/>
      <c r="T44" s="15"/>
      <c r="U44" s="15"/>
      <c r="V44" s="15"/>
      <c r="W44" s="15"/>
      <c r="X44" s="15"/>
      <c r="AD44" s="15"/>
    </row>
    <row r="45" spans="1:34">
      <c r="A45" s="15"/>
      <c r="B45" s="15"/>
      <c r="D45" s="15"/>
      <c r="E45" s="15"/>
      <c r="F45" s="15"/>
      <c r="G45" s="15"/>
      <c r="H45" s="15"/>
      <c r="I45" s="15"/>
      <c r="J45" s="15"/>
      <c r="K45" s="15"/>
      <c r="L45" s="15"/>
      <c r="O45" s="15"/>
      <c r="Q45" s="15"/>
      <c r="R45" s="15"/>
      <c r="S45" s="15"/>
      <c r="T45" s="15"/>
      <c r="U45" s="15"/>
      <c r="V45" s="15"/>
      <c r="W45" s="15"/>
      <c r="X45" s="15"/>
      <c r="AD45" s="15"/>
    </row>
    <row r="46" spans="1:34">
      <c r="A46" s="15"/>
      <c r="B46" s="15"/>
      <c r="D46" s="15"/>
      <c r="E46" s="15"/>
      <c r="F46" s="15"/>
      <c r="G46" s="15"/>
      <c r="H46" s="15"/>
      <c r="I46" s="15"/>
      <c r="J46" s="15"/>
      <c r="K46" s="15"/>
      <c r="L46" s="15"/>
      <c r="O46" s="15"/>
      <c r="Q46" s="15"/>
      <c r="R46" s="15"/>
      <c r="S46" s="15"/>
      <c r="T46" s="15"/>
      <c r="U46" s="15"/>
      <c r="V46" s="15"/>
      <c r="W46" s="15"/>
      <c r="X46" s="15"/>
      <c r="AD46" s="15"/>
    </row>
    <row r="47" spans="1:34">
      <c r="A47" s="15"/>
      <c r="B47" s="15"/>
      <c r="D47" s="15"/>
      <c r="E47" s="15"/>
      <c r="F47" s="15"/>
      <c r="G47" s="15"/>
      <c r="H47" s="15"/>
      <c r="I47" s="15"/>
      <c r="J47" s="15"/>
      <c r="K47" s="15"/>
      <c r="L47" s="15"/>
      <c r="O47" s="15"/>
      <c r="Q47" s="15"/>
      <c r="R47" s="15"/>
      <c r="S47" s="15"/>
      <c r="T47" s="15"/>
      <c r="U47" s="15"/>
      <c r="V47" s="15"/>
      <c r="W47" s="15"/>
      <c r="X47" s="15"/>
      <c r="AD47" s="15"/>
    </row>
    <row r="48" spans="1:34">
      <c r="A48" s="15"/>
      <c r="B48" s="15"/>
      <c r="D48" s="15"/>
      <c r="E48" s="15"/>
      <c r="F48" s="15"/>
      <c r="G48" s="15"/>
      <c r="H48" s="15"/>
      <c r="I48" s="15"/>
      <c r="J48" s="15"/>
      <c r="K48" s="15"/>
      <c r="L48" s="15"/>
      <c r="O48" s="15"/>
      <c r="Q48" s="15"/>
      <c r="R48" s="15"/>
      <c r="S48" s="15"/>
      <c r="T48" s="15"/>
      <c r="U48" s="15"/>
      <c r="V48" s="15"/>
      <c r="W48" s="15"/>
      <c r="X48" s="15"/>
      <c r="AD48" s="15"/>
    </row>
    <row r="49" spans="1:30">
      <c r="A49" s="15"/>
      <c r="B49" s="15"/>
      <c r="D49" s="15"/>
      <c r="E49" s="15"/>
      <c r="F49" s="15"/>
      <c r="G49" s="15"/>
      <c r="H49" s="15"/>
      <c r="I49" s="15"/>
      <c r="J49" s="15"/>
      <c r="K49" s="15"/>
      <c r="L49" s="15"/>
      <c r="O49" s="15"/>
      <c r="Q49" s="15"/>
      <c r="R49" s="15"/>
      <c r="S49" s="15"/>
      <c r="T49" s="15"/>
      <c r="U49" s="15"/>
      <c r="V49" s="15"/>
      <c r="W49" s="15"/>
      <c r="X49" s="15"/>
      <c r="AD49" s="15"/>
    </row>
    <row r="50" spans="1:30">
      <c r="A50" s="15"/>
      <c r="B50" s="15"/>
      <c r="D50" s="15"/>
      <c r="E50" s="15"/>
      <c r="F50" s="15"/>
      <c r="G50" s="15"/>
      <c r="H50" s="15"/>
      <c r="I50" s="15"/>
      <c r="J50" s="15"/>
      <c r="K50" s="15"/>
      <c r="L50" s="15"/>
      <c r="O50" s="15"/>
      <c r="Q50" s="15"/>
      <c r="R50" s="15"/>
      <c r="S50" s="15"/>
      <c r="T50" s="15"/>
      <c r="U50" s="15"/>
      <c r="V50" s="15"/>
      <c r="W50" s="15"/>
      <c r="X50" s="15"/>
      <c r="AD50" s="15"/>
    </row>
    <row r="51" spans="1:30">
      <c r="A51" s="15"/>
      <c r="B51" s="15"/>
      <c r="D51" s="15"/>
      <c r="E51" s="15"/>
      <c r="F51" s="15"/>
      <c r="G51" s="15"/>
      <c r="H51" s="15"/>
      <c r="I51" s="15"/>
      <c r="J51" s="15"/>
      <c r="K51" s="15"/>
      <c r="L51" s="15"/>
      <c r="O51" s="15"/>
      <c r="Q51" s="15"/>
      <c r="R51" s="15"/>
      <c r="S51" s="15"/>
      <c r="T51" s="15"/>
      <c r="U51" s="15"/>
      <c r="V51" s="15"/>
      <c r="W51" s="15"/>
      <c r="X51" s="15"/>
      <c r="AD51" s="15"/>
    </row>
    <row r="52" spans="1:30">
      <c r="A52" s="15"/>
      <c r="B52" s="15"/>
      <c r="D52" s="15"/>
      <c r="E52" s="15"/>
      <c r="F52" s="15"/>
      <c r="G52" s="15"/>
      <c r="H52" s="15"/>
      <c r="I52" s="15"/>
      <c r="J52" s="15"/>
      <c r="K52" s="15"/>
      <c r="L52" s="15"/>
      <c r="O52" s="15"/>
      <c r="Q52" s="15"/>
      <c r="R52" s="15"/>
      <c r="S52" s="15"/>
      <c r="T52" s="15"/>
      <c r="U52" s="15"/>
      <c r="V52" s="15"/>
      <c r="W52" s="15"/>
      <c r="X52" s="15"/>
      <c r="AD52" s="15"/>
    </row>
    <row r="53" spans="1:30">
      <c r="A53" s="15"/>
      <c r="B53" s="15"/>
      <c r="D53" s="15"/>
      <c r="E53" s="15"/>
      <c r="F53" s="15"/>
      <c r="G53" s="15"/>
      <c r="H53" s="15"/>
      <c r="I53" s="15"/>
      <c r="J53" s="15"/>
      <c r="K53" s="15"/>
      <c r="L53" s="15"/>
      <c r="O53" s="15"/>
      <c r="Q53" s="15"/>
      <c r="R53" s="15"/>
      <c r="S53" s="15"/>
      <c r="T53" s="15"/>
      <c r="U53" s="15"/>
      <c r="V53" s="15"/>
      <c r="W53" s="15"/>
      <c r="X53" s="15"/>
      <c r="AD53" s="15"/>
    </row>
    <row r="54" spans="1:30">
      <c r="A54" s="15"/>
      <c r="B54" s="15"/>
      <c r="D54" s="15"/>
      <c r="E54" s="15"/>
      <c r="F54" s="15"/>
      <c r="G54" s="15"/>
      <c r="H54" s="15"/>
      <c r="I54" s="15"/>
      <c r="J54" s="15"/>
      <c r="K54" s="15"/>
      <c r="L54" s="15"/>
      <c r="O54" s="15"/>
      <c r="Q54" s="15"/>
      <c r="R54" s="15"/>
      <c r="S54" s="15"/>
      <c r="T54" s="15"/>
      <c r="U54" s="15"/>
      <c r="V54" s="15"/>
      <c r="W54" s="15"/>
      <c r="X54" s="15"/>
      <c r="AD54" s="15"/>
    </row>
    <row r="55" spans="1:30">
      <c r="A55" s="15"/>
      <c r="B55" s="15"/>
      <c r="D55" s="15"/>
      <c r="E55" s="15"/>
      <c r="F55" s="15"/>
      <c r="G55" s="15"/>
      <c r="H55" s="15"/>
      <c r="I55" s="15"/>
      <c r="J55" s="15"/>
      <c r="K55" s="15"/>
      <c r="L55" s="15"/>
      <c r="O55" s="15"/>
      <c r="Q55" s="15"/>
      <c r="R55" s="15"/>
      <c r="S55" s="15"/>
      <c r="T55" s="15"/>
      <c r="U55" s="15"/>
      <c r="V55" s="15"/>
      <c r="W55" s="15"/>
      <c r="X55" s="15"/>
      <c r="AD55" s="15"/>
    </row>
    <row r="56" spans="1:30">
      <c r="A56" s="15"/>
      <c r="B56" s="15"/>
      <c r="D56" s="15"/>
      <c r="E56" s="15"/>
      <c r="F56" s="15"/>
      <c r="G56" s="15"/>
      <c r="H56" s="15"/>
      <c r="I56" s="15"/>
      <c r="J56" s="15"/>
      <c r="K56" s="15"/>
      <c r="L56" s="15"/>
      <c r="O56" s="15"/>
      <c r="Q56" s="15"/>
      <c r="R56" s="15"/>
      <c r="S56" s="15"/>
      <c r="T56" s="15"/>
      <c r="U56" s="15"/>
      <c r="V56" s="15"/>
      <c r="W56" s="15"/>
      <c r="X56" s="15"/>
      <c r="AD56" s="15"/>
    </row>
    <row r="57" spans="1:30">
      <c r="A57" s="15"/>
      <c r="B57" s="15"/>
      <c r="D57" s="15"/>
      <c r="E57" s="15"/>
      <c r="F57" s="15"/>
      <c r="G57" s="15"/>
      <c r="H57" s="15"/>
      <c r="I57" s="15"/>
      <c r="J57" s="15"/>
      <c r="K57" s="15"/>
      <c r="L57" s="15"/>
      <c r="O57" s="15"/>
      <c r="Q57" s="15"/>
      <c r="R57" s="15"/>
      <c r="S57" s="15"/>
      <c r="T57" s="15"/>
      <c r="U57" s="15"/>
      <c r="V57" s="15"/>
      <c r="W57" s="15"/>
      <c r="X57" s="15"/>
      <c r="AD57" s="15"/>
    </row>
    <row r="58" spans="1:30">
      <c r="A58" s="15"/>
      <c r="B58" s="15"/>
      <c r="D58" s="15"/>
      <c r="E58" s="15"/>
      <c r="F58" s="15"/>
      <c r="G58" s="15"/>
      <c r="H58" s="15"/>
      <c r="I58" s="15"/>
      <c r="J58" s="15"/>
      <c r="K58" s="15"/>
      <c r="L58" s="15"/>
      <c r="O58" s="15"/>
      <c r="Q58" s="15"/>
      <c r="R58" s="15"/>
      <c r="S58" s="15"/>
      <c r="T58" s="15"/>
      <c r="U58" s="15"/>
      <c r="V58" s="15"/>
      <c r="W58" s="15"/>
      <c r="X58" s="15"/>
      <c r="AD58" s="15"/>
    </row>
    <row r="59" spans="1:30">
      <c r="A59" s="15"/>
      <c r="B59" s="15"/>
      <c r="D59" s="15"/>
      <c r="E59" s="15"/>
      <c r="F59" s="15"/>
      <c r="G59" s="15"/>
      <c r="H59" s="15"/>
      <c r="I59" s="15"/>
      <c r="J59" s="15"/>
      <c r="K59" s="15"/>
      <c r="L59" s="15"/>
      <c r="O59" s="15"/>
      <c r="Q59" s="15"/>
      <c r="R59" s="15"/>
      <c r="S59" s="15"/>
      <c r="T59" s="15"/>
      <c r="U59" s="15"/>
      <c r="V59" s="15"/>
      <c r="W59" s="15"/>
      <c r="X59" s="15"/>
      <c r="AD59" s="15"/>
    </row>
    <row r="60" spans="1:30">
      <c r="A60" s="15"/>
      <c r="B60" s="15"/>
      <c r="D60" s="15"/>
      <c r="E60" s="15"/>
      <c r="F60" s="15"/>
      <c r="G60" s="15"/>
      <c r="H60" s="15"/>
      <c r="I60" s="15"/>
      <c r="J60" s="15"/>
      <c r="K60" s="15"/>
      <c r="L60" s="15"/>
      <c r="O60" s="15"/>
      <c r="Q60" s="15"/>
      <c r="R60" s="15"/>
      <c r="S60" s="15"/>
      <c r="T60" s="15"/>
      <c r="U60" s="15"/>
      <c r="V60" s="15"/>
      <c r="W60" s="15"/>
      <c r="X60" s="15"/>
      <c r="AD60" s="15"/>
    </row>
    <row r="61" spans="1:30">
      <c r="A61" s="15"/>
      <c r="B61" s="15"/>
      <c r="D61" s="15"/>
      <c r="E61" s="15"/>
      <c r="F61" s="15"/>
      <c r="G61" s="15"/>
      <c r="H61" s="15"/>
      <c r="I61" s="15"/>
      <c r="J61" s="15"/>
      <c r="K61" s="15"/>
      <c r="L61" s="15"/>
      <c r="O61" s="15"/>
      <c r="Q61" s="15"/>
      <c r="R61" s="15"/>
      <c r="S61" s="15"/>
      <c r="T61" s="15"/>
      <c r="U61" s="15"/>
      <c r="V61" s="15"/>
      <c r="W61" s="15"/>
      <c r="X61" s="15"/>
      <c r="AD61" s="15"/>
    </row>
    <row r="62" spans="1:30">
      <c r="A62" s="15"/>
      <c r="B62" s="15"/>
      <c r="D62" s="15"/>
      <c r="E62" s="15"/>
      <c r="F62" s="15"/>
      <c r="G62" s="15"/>
      <c r="H62" s="15"/>
      <c r="I62" s="15"/>
      <c r="J62" s="15"/>
      <c r="K62" s="15"/>
      <c r="L62" s="15"/>
      <c r="O62" s="15"/>
      <c r="Q62" s="15"/>
      <c r="R62" s="15"/>
      <c r="S62" s="15"/>
      <c r="T62" s="15"/>
      <c r="U62" s="15"/>
      <c r="V62" s="15"/>
      <c r="W62" s="15"/>
      <c r="X62" s="15"/>
      <c r="AD62" s="15"/>
    </row>
    <row r="63" spans="1:30">
      <c r="A63" s="15"/>
      <c r="B63" s="15"/>
      <c r="D63" s="15"/>
      <c r="E63" s="15"/>
      <c r="F63" s="15"/>
      <c r="G63" s="15"/>
      <c r="H63" s="15"/>
      <c r="I63" s="15"/>
      <c r="J63" s="15"/>
      <c r="K63" s="15"/>
      <c r="L63" s="15"/>
      <c r="O63" s="15"/>
      <c r="Q63" s="15"/>
      <c r="R63" s="15"/>
      <c r="S63" s="15"/>
      <c r="T63" s="15"/>
      <c r="U63" s="15"/>
      <c r="V63" s="15"/>
      <c r="W63" s="15"/>
      <c r="X63" s="15"/>
      <c r="AD63" s="15"/>
    </row>
    <row r="64" spans="1:30">
      <c r="A64" s="15"/>
      <c r="B64" s="15"/>
      <c r="D64" s="15"/>
      <c r="E64" s="15"/>
      <c r="F64" s="15"/>
      <c r="G64" s="15"/>
      <c r="H64" s="15"/>
      <c r="I64" s="15"/>
      <c r="J64" s="15"/>
      <c r="K64" s="15"/>
      <c r="L64" s="15"/>
      <c r="O64" s="15"/>
      <c r="Q64" s="15"/>
      <c r="R64" s="15"/>
      <c r="S64" s="15"/>
      <c r="T64" s="15"/>
      <c r="U64" s="15"/>
      <c r="V64" s="15"/>
      <c r="W64" s="15"/>
      <c r="X64" s="15"/>
      <c r="AD64" s="15"/>
    </row>
    <row r="65" spans="1:30">
      <c r="A65" s="15"/>
      <c r="B65" s="15"/>
      <c r="D65" s="15"/>
      <c r="E65" s="15"/>
      <c r="F65" s="15"/>
      <c r="G65" s="15"/>
      <c r="H65" s="15"/>
      <c r="I65" s="15"/>
      <c r="J65" s="15"/>
      <c r="K65" s="15"/>
      <c r="L65" s="15"/>
      <c r="O65" s="15"/>
      <c r="Q65" s="15"/>
      <c r="R65" s="15"/>
      <c r="S65" s="15"/>
      <c r="T65" s="15"/>
      <c r="U65" s="15"/>
      <c r="V65" s="15"/>
      <c r="W65" s="15"/>
      <c r="X65" s="15"/>
      <c r="AD65" s="15"/>
    </row>
    <row r="66" spans="1:30">
      <c r="A66" s="15"/>
      <c r="B66" s="15"/>
      <c r="D66" s="15"/>
      <c r="E66" s="15"/>
      <c r="F66" s="15"/>
      <c r="G66" s="15"/>
      <c r="H66" s="15"/>
      <c r="I66" s="15"/>
      <c r="J66" s="15"/>
      <c r="K66" s="15"/>
      <c r="L66" s="15"/>
      <c r="O66" s="15"/>
      <c r="Q66" s="15"/>
      <c r="R66" s="15"/>
      <c r="S66" s="15"/>
      <c r="T66" s="15"/>
      <c r="U66" s="15"/>
      <c r="V66" s="15"/>
      <c r="W66" s="15"/>
      <c r="X66" s="15"/>
      <c r="AD66" s="15"/>
    </row>
    <row r="67" spans="1:30">
      <c r="A67" s="15"/>
      <c r="B67" s="15"/>
      <c r="D67" s="15"/>
      <c r="E67" s="15"/>
      <c r="F67" s="15"/>
      <c r="G67" s="15"/>
      <c r="H67" s="15"/>
      <c r="I67" s="15"/>
      <c r="J67" s="15"/>
      <c r="K67" s="15"/>
      <c r="L67" s="15"/>
      <c r="O67" s="15"/>
      <c r="Q67" s="15"/>
      <c r="R67" s="15"/>
      <c r="S67" s="15"/>
      <c r="T67" s="15"/>
      <c r="U67" s="15"/>
      <c r="V67" s="15"/>
      <c r="W67" s="15"/>
      <c r="X67" s="15"/>
      <c r="AD67" s="15"/>
    </row>
    <row r="68" spans="1:30">
      <c r="A68" s="15"/>
      <c r="B68" s="15"/>
      <c r="D68" s="15"/>
      <c r="E68" s="15"/>
      <c r="F68" s="15"/>
      <c r="G68" s="15"/>
      <c r="H68" s="15"/>
      <c r="I68" s="15"/>
      <c r="J68" s="15"/>
      <c r="K68" s="15"/>
      <c r="L68" s="15"/>
      <c r="O68" s="15"/>
      <c r="Q68" s="15"/>
      <c r="R68" s="15"/>
      <c r="S68" s="15"/>
      <c r="T68" s="15"/>
      <c r="U68" s="15"/>
      <c r="V68" s="15"/>
      <c r="W68" s="15"/>
      <c r="X68" s="15"/>
      <c r="AD68" s="15"/>
    </row>
    <row r="69" spans="1:30">
      <c r="A69" s="15"/>
      <c r="B69" s="15"/>
      <c r="D69" s="15"/>
      <c r="E69" s="15"/>
      <c r="F69" s="15"/>
      <c r="G69" s="15"/>
      <c r="H69" s="15"/>
      <c r="I69" s="15"/>
      <c r="J69" s="15"/>
      <c r="K69" s="15"/>
      <c r="L69" s="15"/>
      <c r="O69" s="15"/>
      <c r="Q69" s="15"/>
      <c r="R69" s="15"/>
      <c r="S69" s="15"/>
      <c r="T69" s="15"/>
      <c r="U69" s="15"/>
      <c r="V69" s="15"/>
      <c r="W69" s="15"/>
      <c r="X69" s="15"/>
      <c r="AD69" s="15"/>
    </row>
    <row r="70" spans="1:30">
      <c r="A70" s="15"/>
      <c r="B70" s="15"/>
      <c r="D70" s="15"/>
      <c r="E70" s="15"/>
      <c r="F70" s="15"/>
      <c r="G70" s="15"/>
      <c r="H70" s="15"/>
      <c r="I70" s="15"/>
      <c r="J70" s="15"/>
      <c r="K70" s="15"/>
      <c r="L70" s="15"/>
      <c r="O70" s="15"/>
      <c r="Q70" s="15"/>
      <c r="R70" s="15"/>
      <c r="S70" s="15"/>
      <c r="T70" s="15"/>
      <c r="U70" s="15"/>
      <c r="V70" s="15"/>
      <c r="W70" s="15"/>
      <c r="X70" s="15"/>
      <c r="AD70" s="15"/>
    </row>
    <row r="71" spans="1:30">
      <c r="A71" s="15"/>
      <c r="B71" s="15"/>
      <c r="D71" s="15"/>
      <c r="E71" s="15"/>
      <c r="F71" s="15"/>
      <c r="G71" s="15"/>
      <c r="H71" s="15"/>
      <c r="I71" s="15"/>
      <c r="J71" s="15"/>
      <c r="K71" s="15"/>
      <c r="L71" s="15"/>
      <c r="O71" s="15"/>
      <c r="Q71" s="15"/>
      <c r="R71" s="15"/>
      <c r="S71" s="15"/>
      <c r="T71" s="15"/>
      <c r="U71" s="15"/>
      <c r="V71" s="15"/>
      <c r="W71" s="15"/>
      <c r="X71" s="15"/>
      <c r="AD71" s="15"/>
    </row>
    <row r="72" spans="1:30">
      <c r="A72" s="15"/>
      <c r="B72" s="15"/>
      <c r="D72" s="15"/>
      <c r="E72" s="15"/>
      <c r="F72" s="15"/>
      <c r="G72" s="15"/>
      <c r="H72" s="15"/>
      <c r="I72" s="15"/>
      <c r="J72" s="15"/>
      <c r="K72" s="15"/>
      <c r="L72" s="15"/>
      <c r="O72" s="15"/>
      <c r="Q72" s="15"/>
      <c r="R72" s="15"/>
      <c r="S72" s="15"/>
      <c r="T72" s="15"/>
      <c r="U72" s="15"/>
      <c r="V72" s="15"/>
      <c r="W72" s="15"/>
      <c r="X72" s="15"/>
      <c r="AD72" s="15"/>
    </row>
    <row r="73" spans="1:30">
      <c r="A73" s="15"/>
      <c r="B73" s="15"/>
      <c r="D73" s="15"/>
      <c r="E73" s="15"/>
      <c r="F73" s="15"/>
      <c r="G73" s="15"/>
      <c r="H73" s="15"/>
      <c r="I73" s="15"/>
      <c r="J73" s="15"/>
      <c r="K73" s="15"/>
      <c r="L73" s="15"/>
      <c r="O73" s="15"/>
      <c r="Q73" s="15"/>
      <c r="R73" s="15"/>
      <c r="S73" s="15"/>
      <c r="T73" s="15"/>
      <c r="U73" s="15"/>
      <c r="V73" s="15"/>
      <c r="W73" s="15"/>
      <c r="X73" s="15"/>
      <c r="AD73" s="15"/>
    </row>
    <row r="74" spans="1:30">
      <c r="A74" s="15"/>
      <c r="B74" s="15"/>
      <c r="D74" s="15"/>
      <c r="E74" s="15"/>
      <c r="F74" s="15"/>
      <c r="G74" s="15"/>
      <c r="H74" s="15"/>
      <c r="I74" s="15"/>
      <c r="J74" s="15"/>
      <c r="K74" s="15"/>
      <c r="L74" s="15"/>
      <c r="O74" s="15"/>
      <c r="Q74" s="15"/>
      <c r="R74" s="15"/>
      <c r="S74" s="15"/>
      <c r="T74" s="15"/>
      <c r="U74" s="15"/>
      <c r="V74" s="15"/>
      <c r="W74" s="15"/>
      <c r="X74" s="15"/>
      <c r="AD74" s="15"/>
    </row>
    <row r="75" spans="1:30">
      <c r="A75" s="15"/>
      <c r="B75" s="15"/>
      <c r="D75" s="15"/>
      <c r="E75" s="15"/>
      <c r="F75" s="15"/>
      <c r="G75" s="15"/>
      <c r="H75" s="15"/>
      <c r="I75" s="15"/>
      <c r="J75" s="15"/>
      <c r="K75" s="15"/>
      <c r="L75" s="15"/>
      <c r="O75" s="15"/>
      <c r="Q75" s="15"/>
      <c r="R75" s="15"/>
      <c r="S75" s="15"/>
      <c r="T75" s="15"/>
      <c r="U75" s="15"/>
      <c r="V75" s="15"/>
      <c r="W75" s="15"/>
      <c r="X75" s="15"/>
      <c r="AD75" s="15"/>
    </row>
    <row r="76" spans="1:30">
      <c r="A76" s="15"/>
      <c r="B76" s="15"/>
      <c r="D76" s="15"/>
      <c r="E76" s="15"/>
      <c r="F76" s="15"/>
      <c r="G76" s="15"/>
      <c r="H76" s="15"/>
      <c r="I76" s="15"/>
      <c r="J76" s="15"/>
      <c r="K76" s="15"/>
      <c r="L76" s="15"/>
      <c r="O76" s="15"/>
      <c r="Q76" s="15"/>
      <c r="R76" s="15"/>
      <c r="S76" s="15"/>
      <c r="T76" s="15"/>
      <c r="U76" s="15"/>
      <c r="V76" s="15"/>
      <c r="W76" s="15"/>
      <c r="X76" s="15"/>
      <c r="AD76" s="15"/>
    </row>
    <row r="77" spans="1:30">
      <c r="A77" s="15"/>
      <c r="B77" s="15"/>
      <c r="D77" s="15"/>
      <c r="E77" s="15"/>
      <c r="F77" s="15"/>
      <c r="G77" s="15"/>
      <c r="H77" s="15"/>
      <c r="I77" s="15"/>
      <c r="J77" s="15"/>
      <c r="K77" s="15"/>
      <c r="L77" s="15"/>
      <c r="O77" s="15"/>
      <c r="Q77" s="15"/>
      <c r="R77" s="15"/>
      <c r="S77" s="15"/>
      <c r="T77" s="15"/>
      <c r="U77" s="15"/>
      <c r="V77" s="15"/>
      <c r="W77" s="15"/>
      <c r="X77" s="15"/>
      <c r="AD77" s="15"/>
    </row>
    <row r="78" spans="1:30">
      <c r="A78" s="15"/>
      <c r="B78" s="15"/>
      <c r="D78" s="15"/>
      <c r="E78" s="15"/>
      <c r="F78" s="15"/>
      <c r="G78" s="15"/>
      <c r="H78" s="15"/>
      <c r="I78" s="15"/>
      <c r="J78" s="15"/>
      <c r="K78" s="15"/>
      <c r="L78" s="15"/>
      <c r="O78" s="15"/>
      <c r="Q78" s="15"/>
      <c r="R78" s="15"/>
      <c r="S78" s="15"/>
      <c r="T78" s="15"/>
      <c r="U78" s="15"/>
      <c r="V78" s="15"/>
      <c r="W78" s="15"/>
      <c r="X78" s="15"/>
      <c r="AD78" s="15"/>
    </row>
    <row r="79" spans="1:30">
      <c r="A79" s="15"/>
      <c r="B79" s="15"/>
      <c r="D79" s="15"/>
      <c r="E79" s="15"/>
      <c r="F79" s="15"/>
      <c r="G79" s="15"/>
      <c r="H79" s="15"/>
      <c r="I79" s="15"/>
      <c r="J79" s="15"/>
      <c r="K79" s="15"/>
      <c r="L79" s="15"/>
      <c r="O79" s="15"/>
      <c r="Q79" s="15"/>
      <c r="R79" s="15"/>
      <c r="S79" s="15"/>
      <c r="T79" s="15"/>
      <c r="U79" s="15"/>
      <c r="V79" s="15"/>
      <c r="W79" s="15"/>
      <c r="X79" s="15"/>
      <c r="AD79" s="15"/>
    </row>
    <row r="80" spans="1:30">
      <c r="A80" s="15"/>
      <c r="B80" s="15"/>
      <c r="D80" s="15"/>
      <c r="E80" s="15"/>
      <c r="F80" s="15"/>
      <c r="G80" s="15"/>
      <c r="H80" s="15"/>
      <c r="I80" s="15"/>
      <c r="J80" s="15"/>
      <c r="K80" s="15"/>
      <c r="L80" s="15"/>
      <c r="O80" s="15"/>
      <c r="Q80" s="15"/>
      <c r="R80" s="15"/>
      <c r="S80" s="15"/>
      <c r="T80" s="15"/>
      <c r="U80" s="15"/>
      <c r="V80" s="15"/>
      <c r="W80" s="15"/>
      <c r="X80" s="15"/>
      <c r="AD80" s="15"/>
    </row>
    <row r="81" spans="1:30">
      <c r="A81" s="15"/>
      <c r="B81" s="15"/>
      <c r="D81" s="15"/>
      <c r="E81" s="15"/>
      <c r="F81" s="15"/>
      <c r="G81" s="15"/>
      <c r="H81" s="15"/>
      <c r="I81" s="15"/>
      <c r="J81" s="15"/>
      <c r="K81" s="15"/>
      <c r="L81" s="15"/>
      <c r="O81" s="15"/>
      <c r="Q81" s="15"/>
      <c r="R81" s="15"/>
      <c r="S81" s="15"/>
      <c r="T81" s="15"/>
      <c r="U81" s="15"/>
      <c r="V81" s="15"/>
      <c r="W81" s="15"/>
      <c r="X81" s="15"/>
      <c r="AD81" s="15"/>
    </row>
    <row r="82" spans="1:30">
      <c r="A82" s="15"/>
      <c r="B82" s="15"/>
      <c r="D82" s="15"/>
      <c r="E82" s="15"/>
      <c r="F82" s="15"/>
      <c r="G82" s="15"/>
      <c r="H82" s="15"/>
      <c r="I82" s="15"/>
      <c r="J82" s="15"/>
      <c r="K82" s="15"/>
      <c r="L82" s="15"/>
      <c r="O82" s="15"/>
      <c r="Q82" s="15"/>
      <c r="R82" s="15"/>
      <c r="S82" s="15"/>
      <c r="T82" s="15"/>
      <c r="U82" s="15"/>
      <c r="V82" s="15"/>
      <c r="W82" s="15"/>
      <c r="X82" s="15"/>
      <c r="AD82" s="15"/>
    </row>
    <row r="83" spans="1:30">
      <c r="A83" s="15"/>
      <c r="B83" s="15"/>
      <c r="D83" s="15"/>
      <c r="E83" s="15"/>
      <c r="F83" s="15"/>
      <c r="G83" s="15"/>
      <c r="H83" s="15"/>
      <c r="I83" s="15"/>
      <c r="J83" s="15"/>
      <c r="K83" s="15"/>
      <c r="L83" s="15"/>
      <c r="O83" s="15"/>
      <c r="Q83" s="15"/>
      <c r="R83" s="15"/>
      <c r="S83" s="15"/>
      <c r="T83" s="15"/>
      <c r="U83" s="15"/>
      <c r="V83" s="15"/>
      <c r="W83" s="15"/>
      <c r="X83" s="15"/>
      <c r="AD83" s="15"/>
    </row>
    <row r="84" spans="1:30">
      <c r="A84" s="15"/>
      <c r="B84" s="15"/>
      <c r="D84" s="15"/>
      <c r="E84" s="15"/>
      <c r="F84" s="15"/>
      <c r="G84" s="15"/>
      <c r="H84" s="15"/>
      <c r="I84" s="15"/>
      <c r="J84" s="15"/>
      <c r="K84" s="15"/>
      <c r="L84" s="15"/>
      <c r="O84" s="15"/>
      <c r="Q84" s="15"/>
      <c r="R84" s="15"/>
      <c r="S84" s="15"/>
      <c r="T84" s="15"/>
      <c r="U84" s="15"/>
      <c r="V84" s="15"/>
      <c r="W84" s="15"/>
      <c r="X84" s="15"/>
      <c r="AD84" s="15"/>
    </row>
    <row r="85" spans="1:30">
      <c r="A85" s="15"/>
      <c r="B85" s="15"/>
      <c r="D85" s="15"/>
      <c r="E85" s="15"/>
      <c r="F85" s="15"/>
      <c r="G85" s="15"/>
      <c r="H85" s="15"/>
      <c r="I85" s="15"/>
      <c r="J85" s="15"/>
      <c r="K85" s="15"/>
      <c r="L85" s="15"/>
      <c r="O85" s="15"/>
      <c r="Q85" s="15"/>
      <c r="R85" s="15"/>
      <c r="S85" s="15"/>
      <c r="T85" s="15"/>
      <c r="U85" s="15"/>
      <c r="V85" s="15"/>
      <c r="W85" s="15"/>
      <c r="X85" s="15"/>
      <c r="AD85" s="15"/>
    </row>
    <row r="86" spans="1:30">
      <c r="A86" s="15"/>
      <c r="B86" s="15"/>
      <c r="D86" s="15"/>
      <c r="E86" s="15"/>
      <c r="F86" s="15"/>
      <c r="G86" s="15"/>
      <c r="H86" s="15"/>
      <c r="I86" s="15"/>
      <c r="J86" s="15"/>
      <c r="K86" s="15"/>
      <c r="L86" s="15"/>
      <c r="O86" s="15"/>
      <c r="Q86" s="15"/>
      <c r="R86" s="15"/>
      <c r="S86" s="15"/>
      <c r="T86" s="15"/>
      <c r="U86" s="15"/>
      <c r="V86" s="15"/>
      <c r="W86" s="15"/>
      <c r="X86" s="15"/>
      <c r="AD86" s="15"/>
    </row>
    <row r="87" spans="1:30">
      <c r="A87" s="15"/>
      <c r="B87" s="15"/>
      <c r="D87" s="15"/>
      <c r="E87" s="15"/>
      <c r="F87" s="15"/>
      <c r="G87" s="15"/>
      <c r="H87" s="15"/>
      <c r="I87" s="15"/>
      <c r="J87" s="15"/>
      <c r="K87" s="15"/>
      <c r="L87" s="15"/>
      <c r="O87" s="15"/>
      <c r="Q87" s="15"/>
      <c r="R87" s="15"/>
      <c r="S87" s="15"/>
      <c r="T87" s="15"/>
      <c r="U87" s="15"/>
      <c r="V87" s="15"/>
      <c r="W87" s="15"/>
      <c r="X87" s="15"/>
      <c r="AD87" s="15"/>
    </row>
    <row r="88" spans="1:30">
      <c r="A88" s="15"/>
      <c r="B88" s="15"/>
      <c r="D88" s="15"/>
      <c r="E88" s="15"/>
      <c r="F88" s="15"/>
      <c r="G88" s="15"/>
      <c r="H88" s="15"/>
      <c r="I88" s="15"/>
      <c r="J88" s="15"/>
      <c r="K88" s="15"/>
      <c r="L88" s="15"/>
      <c r="O88" s="15"/>
      <c r="Q88" s="15"/>
      <c r="R88" s="15"/>
      <c r="S88" s="15"/>
      <c r="T88" s="15"/>
      <c r="U88" s="15"/>
      <c r="V88" s="15"/>
      <c r="W88" s="15"/>
      <c r="X88" s="15"/>
      <c r="AD88" s="15"/>
    </row>
    <row r="89" spans="1:30">
      <c r="A89" s="15"/>
      <c r="B89" s="15"/>
      <c r="D89" s="15"/>
      <c r="E89" s="15"/>
      <c r="F89" s="15"/>
      <c r="G89" s="15"/>
      <c r="H89" s="15"/>
      <c r="I89" s="15"/>
      <c r="J89" s="15"/>
      <c r="K89" s="15"/>
      <c r="L89" s="15"/>
      <c r="O89" s="15"/>
      <c r="Q89" s="15"/>
      <c r="R89" s="15"/>
      <c r="S89" s="15"/>
      <c r="T89" s="15"/>
      <c r="U89" s="15"/>
      <c r="V89" s="15"/>
      <c r="W89" s="15"/>
      <c r="X89" s="15"/>
      <c r="AD89" s="15"/>
    </row>
    <row r="90" spans="1:30">
      <c r="A90" s="15"/>
      <c r="B90" s="15"/>
      <c r="D90" s="15"/>
      <c r="E90" s="15"/>
      <c r="F90" s="15"/>
      <c r="G90" s="15"/>
      <c r="H90" s="15"/>
      <c r="I90" s="15"/>
      <c r="J90" s="15"/>
      <c r="K90" s="15"/>
      <c r="L90" s="15"/>
      <c r="O90" s="15"/>
      <c r="Q90" s="15"/>
      <c r="R90" s="15"/>
      <c r="S90" s="15"/>
      <c r="T90" s="15"/>
      <c r="U90" s="15"/>
      <c r="V90" s="15"/>
      <c r="W90" s="15"/>
      <c r="X90" s="15"/>
      <c r="AD90" s="15"/>
    </row>
    <row r="91" spans="1:30">
      <c r="A91" s="15"/>
      <c r="B91" s="15"/>
      <c r="D91" s="15"/>
      <c r="E91" s="15"/>
      <c r="F91" s="15"/>
      <c r="G91" s="15"/>
      <c r="H91" s="15"/>
      <c r="I91" s="15"/>
      <c r="J91" s="15"/>
      <c r="K91" s="15"/>
      <c r="L91" s="15"/>
      <c r="O91" s="15"/>
      <c r="Q91" s="15"/>
      <c r="R91" s="15"/>
      <c r="S91" s="15"/>
      <c r="T91" s="15"/>
      <c r="U91" s="15"/>
      <c r="V91" s="15"/>
      <c r="W91" s="15"/>
      <c r="X91" s="15"/>
      <c r="AD91" s="15"/>
    </row>
    <row r="92" spans="1:30">
      <c r="A92" s="15"/>
      <c r="B92" s="15"/>
      <c r="D92" s="15"/>
      <c r="E92" s="15"/>
      <c r="F92" s="15"/>
      <c r="G92" s="15"/>
      <c r="H92" s="15"/>
      <c r="I92" s="15"/>
      <c r="J92" s="15"/>
      <c r="K92" s="15"/>
      <c r="L92" s="15"/>
      <c r="O92" s="15"/>
      <c r="Q92" s="15"/>
      <c r="R92" s="15"/>
      <c r="S92" s="15"/>
      <c r="T92" s="15"/>
      <c r="U92" s="15"/>
      <c r="V92" s="15"/>
      <c r="W92" s="15"/>
      <c r="X92" s="15"/>
      <c r="AD92" s="15"/>
    </row>
    <row r="93" spans="1:30">
      <c r="A93" s="15"/>
      <c r="B93" s="15"/>
      <c r="D93" s="15"/>
      <c r="E93" s="15"/>
      <c r="F93" s="15"/>
      <c r="G93" s="15"/>
      <c r="H93" s="15"/>
      <c r="I93" s="15"/>
      <c r="J93" s="15"/>
      <c r="K93" s="15"/>
      <c r="L93" s="15"/>
      <c r="O93" s="15"/>
      <c r="Q93" s="15"/>
      <c r="R93" s="15"/>
      <c r="S93" s="15"/>
      <c r="T93" s="15"/>
      <c r="U93" s="15"/>
      <c r="V93" s="15"/>
      <c r="W93" s="15"/>
      <c r="X93" s="15"/>
      <c r="AD93" s="15"/>
    </row>
    <row r="94" spans="1:30">
      <c r="A94" s="15"/>
      <c r="B94" s="15"/>
      <c r="D94" s="15"/>
      <c r="E94" s="15"/>
      <c r="F94" s="15"/>
      <c r="G94" s="15"/>
      <c r="H94" s="15"/>
      <c r="I94" s="15"/>
      <c r="J94" s="15"/>
      <c r="K94" s="15"/>
      <c r="L94" s="15"/>
      <c r="O94" s="15"/>
      <c r="Q94" s="15"/>
      <c r="R94" s="15"/>
      <c r="S94" s="15"/>
      <c r="T94" s="15"/>
      <c r="U94" s="15"/>
      <c r="V94" s="15"/>
      <c r="W94" s="15"/>
      <c r="X94" s="15"/>
      <c r="AD94" s="15"/>
    </row>
    <row r="95" spans="1:30">
      <c r="A95" s="15"/>
      <c r="B95" s="15"/>
      <c r="D95" s="15"/>
      <c r="E95" s="15"/>
      <c r="F95" s="15"/>
      <c r="G95" s="15"/>
      <c r="H95" s="15"/>
      <c r="I95" s="15"/>
      <c r="J95" s="15"/>
      <c r="K95" s="15"/>
      <c r="L95" s="15"/>
      <c r="O95" s="15"/>
      <c r="Q95" s="15"/>
      <c r="R95" s="15"/>
      <c r="S95" s="15"/>
      <c r="T95" s="15"/>
      <c r="U95" s="15"/>
      <c r="V95" s="15"/>
      <c r="W95" s="15"/>
      <c r="X95" s="15"/>
      <c r="AD95" s="15"/>
    </row>
    <row r="96" spans="1:30">
      <c r="A96" s="15"/>
      <c r="B96" s="15"/>
      <c r="D96" s="15"/>
      <c r="E96" s="15"/>
      <c r="F96" s="15"/>
      <c r="G96" s="15"/>
      <c r="H96" s="15"/>
      <c r="I96" s="15"/>
      <c r="J96" s="15"/>
      <c r="K96" s="15"/>
      <c r="L96" s="15"/>
      <c r="O96" s="15"/>
      <c r="Q96" s="15"/>
      <c r="R96" s="15"/>
      <c r="S96" s="15"/>
      <c r="T96" s="15"/>
      <c r="U96" s="15"/>
      <c r="V96" s="15"/>
      <c r="W96" s="15"/>
      <c r="X96" s="15"/>
      <c r="AD96" s="15"/>
    </row>
    <row r="97" spans="1:30">
      <c r="A97" s="15"/>
      <c r="B97" s="15"/>
      <c r="D97" s="15"/>
      <c r="E97" s="15"/>
      <c r="F97" s="15"/>
      <c r="G97" s="15"/>
      <c r="H97" s="15"/>
      <c r="I97" s="15"/>
      <c r="J97" s="15"/>
      <c r="K97" s="15"/>
      <c r="L97" s="15"/>
      <c r="O97" s="15"/>
      <c r="Q97" s="15"/>
      <c r="R97" s="15"/>
      <c r="S97" s="15"/>
      <c r="T97" s="15"/>
      <c r="U97" s="15"/>
      <c r="V97" s="15"/>
      <c r="W97" s="15"/>
      <c r="X97" s="15"/>
      <c r="AD97" s="15"/>
    </row>
    <row r="98" spans="1:30">
      <c r="A98" s="15"/>
      <c r="B98" s="15"/>
      <c r="D98" s="15"/>
      <c r="E98" s="15"/>
      <c r="F98" s="15"/>
      <c r="G98" s="15"/>
      <c r="H98" s="15"/>
      <c r="I98" s="15"/>
      <c r="J98" s="15"/>
      <c r="K98" s="15"/>
      <c r="L98" s="15"/>
      <c r="O98" s="15"/>
      <c r="Q98" s="15"/>
      <c r="R98" s="15"/>
      <c r="S98" s="15"/>
      <c r="T98" s="15"/>
      <c r="U98" s="15"/>
      <c r="V98" s="15"/>
      <c r="W98" s="15"/>
      <c r="X98" s="15"/>
      <c r="AD98" s="15"/>
    </row>
    <row r="99" spans="1:30">
      <c r="A99" s="15"/>
      <c r="B99" s="15"/>
      <c r="D99" s="15"/>
      <c r="E99" s="15"/>
      <c r="F99" s="15"/>
      <c r="G99" s="15"/>
      <c r="H99" s="15"/>
      <c r="I99" s="15"/>
      <c r="J99" s="15"/>
      <c r="K99" s="15"/>
      <c r="L99" s="15"/>
      <c r="O99" s="15"/>
      <c r="Q99" s="15"/>
      <c r="R99" s="15"/>
      <c r="S99" s="15"/>
      <c r="T99" s="15"/>
      <c r="U99" s="15"/>
      <c r="V99" s="15"/>
      <c r="W99" s="15"/>
      <c r="X99" s="15"/>
      <c r="AD99" s="15"/>
    </row>
    <row r="100" spans="1:30">
      <c r="A100" s="15"/>
      <c r="B100" s="15"/>
      <c r="D100" s="15"/>
      <c r="E100" s="15"/>
      <c r="F100" s="15"/>
      <c r="G100" s="15"/>
      <c r="H100" s="15"/>
      <c r="I100" s="15"/>
      <c r="J100" s="15"/>
      <c r="K100" s="15"/>
      <c r="L100" s="15"/>
      <c r="O100" s="15"/>
      <c r="Q100" s="15"/>
      <c r="R100" s="15"/>
      <c r="S100" s="15"/>
      <c r="T100" s="15"/>
      <c r="U100" s="15"/>
      <c r="V100" s="15"/>
      <c r="W100" s="15"/>
      <c r="X100" s="15"/>
      <c r="AD100" s="15"/>
    </row>
    <row r="101" spans="1:30">
      <c r="A101" s="15"/>
      <c r="B101" s="15"/>
      <c r="D101" s="15"/>
      <c r="E101" s="15"/>
      <c r="F101" s="15"/>
      <c r="G101" s="15"/>
      <c r="H101" s="15"/>
      <c r="I101" s="15"/>
      <c r="J101" s="15"/>
      <c r="K101" s="15"/>
      <c r="L101" s="15"/>
      <c r="O101" s="15"/>
      <c r="Q101" s="15"/>
      <c r="R101" s="15"/>
      <c r="S101" s="15"/>
      <c r="T101" s="15"/>
      <c r="U101" s="15"/>
      <c r="V101" s="15"/>
      <c r="W101" s="15"/>
      <c r="X101" s="15"/>
      <c r="AD101" s="15"/>
    </row>
    <row r="102" spans="1:30">
      <c r="A102" s="15"/>
      <c r="B102" s="15"/>
      <c r="D102" s="15"/>
      <c r="E102" s="15"/>
      <c r="F102" s="15"/>
      <c r="G102" s="15"/>
      <c r="H102" s="15"/>
      <c r="I102" s="15"/>
      <c r="J102" s="15"/>
      <c r="K102" s="15"/>
      <c r="L102" s="15"/>
      <c r="O102" s="15"/>
      <c r="Q102" s="15"/>
      <c r="R102" s="15"/>
      <c r="S102" s="15"/>
      <c r="T102" s="15"/>
      <c r="U102" s="15"/>
      <c r="V102" s="15"/>
      <c r="W102" s="15"/>
      <c r="X102" s="15"/>
      <c r="AD102" s="15"/>
    </row>
    <row r="103" spans="1:30">
      <c r="A103" s="15"/>
      <c r="B103" s="15"/>
      <c r="D103" s="15"/>
      <c r="E103" s="15"/>
      <c r="F103" s="15"/>
      <c r="G103" s="15"/>
      <c r="H103" s="15"/>
      <c r="I103" s="15"/>
      <c r="J103" s="15"/>
      <c r="K103" s="15"/>
      <c r="L103" s="15"/>
      <c r="O103" s="15"/>
      <c r="Q103" s="15"/>
      <c r="R103" s="15"/>
      <c r="S103" s="15"/>
      <c r="T103" s="15"/>
      <c r="U103" s="15"/>
      <c r="V103" s="15"/>
      <c r="W103" s="15"/>
      <c r="X103" s="15"/>
      <c r="AD103" s="15"/>
    </row>
    <row r="104" spans="1:30">
      <c r="A104" s="15"/>
      <c r="B104" s="15"/>
      <c r="D104" s="15"/>
      <c r="E104" s="15"/>
      <c r="F104" s="15"/>
      <c r="G104" s="15"/>
      <c r="H104" s="15"/>
      <c r="I104" s="15"/>
      <c r="J104" s="15"/>
      <c r="K104" s="15"/>
      <c r="L104" s="15"/>
      <c r="O104" s="15"/>
      <c r="Q104" s="15"/>
      <c r="R104" s="15"/>
      <c r="S104" s="15"/>
      <c r="T104" s="15"/>
      <c r="U104" s="15"/>
      <c r="V104" s="15"/>
      <c r="W104" s="15"/>
      <c r="X104" s="15"/>
      <c r="AD104" s="15"/>
    </row>
    <row r="105" spans="1:30">
      <c r="A105" s="15"/>
      <c r="B105" s="15"/>
      <c r="D105" s="15"/>
      <c r="E105" s="15"/>
      <c r="F105" s="15"/>
      <c r="G105" s="15"/>
      <c r="H105" s="15"/>
      <c r="I105" s="15"/>
      <c r="J105" s="15"/>
      <c r="K105" s="15"/>
      <c r="L105" s="15"/>
      <c r="O105" s="15"/>
      <c r="Q105" s="15"/>
      <c r="R105" s="15"/>
      <c r="S105" s="15"/>
      <c r="T105" s="15"/>
      <c r="U105" s="15"/>
      <c r="V105" s="15"/>
      <c r="W105" s="15"/>
      <c r="X105" s="15"/>
      <c r="AD105" s="15"/>
    </row>
    <row r="106" spans="1:30">
      <c r="A106" s="15"/>
      <c r="B106" s="15"/>
      <c r="D106" s="15"/>
      <c r="E106" s="15"/>
      <c r="F106" s="15"/>
      <c r="G106" s="15"/>
      <c r="H106" s="15"/>
      <c r="I106" s="15"/>
      <c r="J106" s="15"/>
      <c r="K106" s="15"/>
      <c r="L106" s="15"/>
      <c r="O106" s="15"/>
      <c r="Q106" s="15"/>
      <c r="R106" s="15"/>
      <c r="S106" s="15"/>
      <c r="T106" s="15"/>
      <c r="U106" s="15"/>
      <c r="V106" s="15"/>
      <c r="W106" s="15"/>
      <c r="X106" s="15"/>
      <c r="AD106" s="15"/>
    </row>
    <row r="107" spans="1:30">
      <c r="A107" s="15"/>
      <c r="B107" s="15"/>
      <c r="D107" s="15"/>
      <c r="E107" s="15"/>
      <c r="F107" s="15"/>
      <c r="G107" s="15"/>
      <c r="H107" s="15"/>
      <c r="I107" s="15"/>
      <c r="J107" s="15"/>
      <c r="K107" s="15"/>
      <c r="L107" s="15"/>
      <c r="O107" s="15"/>
      <c r="Q107" s="15"/>
      <c r="R107" s="15"/>
      <c r="S107" s="15"/>
      <c r="T107" s="15"/>
      <c r="U107" s="15"/>
      <c r="V107" s="15"/>
      <c r="W107" s="15"/>
      <c r="X107" s="15"/>
      <c r="AD107" s="15"/>
    </row>
    <row r="108" spans="1:30">
      <c r="A108" s="15"/>
      <c r="B108" s="15"/>
      <c r="D108" s="15"/>
      <c r="E108" s="15"/>
      <c r="F108" s="15"/>
      <c r="G108" s="15"/>
      <c r="H108" s="15"/>
      <c r="I108" s="15"/>
      <c r="J108" s="15"/>
      <c r="K108" s="15"/>
      <c r="L108" s="15"/>
      <c r="O108" s="15"/>
      <c r="Q108" s="15"/>
      <c r="R108" s="15"/>
      <c r="S108" s="15"/>
      <c r="T108" s="15"/>
      <c r="U108" s="15"/>
      <c r="V108" s="15"/>
      <c r="W108" s="15"/>
      <c r="X108" s="15"/>
      <c r="AD108" s="15"/>
    </row>
    <row r="109" spans="1:30">
      <c r="A109" s="15"/>
      <c r="B109" s="15"/>
      <c r="D109" s="15"/>
      <c r="E109" s="15"/>
      <c r="F109" s="15"/>
      <c r="G109" s="15"/>
      <c r="H109" s="15"/>
      <c r="I109" s="15"/>
      <c r="J109" s="15"/>
      <c r="K109" s="15"/>
      <c r="L109" s="15"/>
      <c r="O109" s="15"/>
      <c r="Q109" s="15"/>
      <c r="R109" s="15"/>
      <c r="S109" s="15"/>
      <c r="T109" s="15"/>
      <c r="U109" s="15"/>
      <c r="V109" s="15"/>
      <c r="W109" s="15"/>
      <c r="X109" s="15"/>
      <c r="AD109" s="15"/>
    </row>
    <row r="110" spans="1:30">
      <c r="A110" s="15"/>
      <c r="B110" s="15"/>
      <c r="D110" s="15"/>
      <c r="E110" s="15"/>
      <c r="F110" s="15"/>
      <c r="G110" s="15"/>
      <c r="H110" s="15"/>
      <c r="I110" s="15"/>
      <c r="J110" s="15"/>
      <c r="K110" s="15"/>
      <c r="L110" s="15"/>
      <c r="O110" s="15"/>
      <c r="Q110" s="15"/>
      <c r="R110" s="15"/>
      <c r="S110" s="15"/>
      <c r="T110" s="15"/>
      <c r="U110" s="15"/>
      <c r="V110" s="15"/>
      <c r="W110" s="15"/>
      <c r="X110" s="15"/>
      <c r="AD110" s="15"/>
    </row>
    <row r="111" spans="1:30">
      <c r="A111" s="15"/>
      <c r="B111" s="15"/>
      <c r="D111" s="15"/>
      <c r="E111" s="15"/>
      <c r="F111" s="15"/>
      <c r="G111" s="15"/>
      <c r="H111" s="15"/>
      <c r="I111" s="15"/>
      <c r="J111" s="15"/>
      <c r="K111" s="15"/>
      <c r="L111" s="15"/>
      <c r="O111" s="15"/>
      <c r="Q111" s="15"/>
      <c r="R111" s="15"/>
      <c r="S111" s="15"/>
      <c r="T111" s="15"/>
      <c r="U111" s="15"/>
      <c r="V111" s="15"/>
      <c r="W111" s="15"/>
      <c r="X111" s="15"/>
      <c r="AD111" s="15"/>
    </row>
    <row r="112" spans="1:30">
      <c r="A112" s="15"/>
      <c r="B112" s="15"/>
      <c r="D112" s="15"/>
      <c r="E112" s="15"/>
      <c r="F112" s="15"/>
      <c r="G112" s="15"/>
      <c r="H112" s="15"/>
      <c r="I112" s="15"/>
      <c r="J112" s="15"/>
      <c r="K112" s="15"/>
      <c r="L112" s="15"/>
      <c r="O112" s="15"/>
      <c r="Q112" s="15"/>
      <c r="R112" s="15"/>
      <c r="S112" s="15"/>
      <c r="T112" s="15"/>
      <c r="U112" s="15"/>
      <c r="V112" s="15"/>
      <c r="W112" s="15"/>
      <c r="X112" s="15"/>
      <c r="AD112" s="15"/>
    </row>
    <row r="113" spans="1:30">
      <c r="A113" s="15"/>
      <c r="B113" s="15"/>
      <c r="D113" s="15"/>
      <c r="E113" s="15"/>
      <c r="F113" s="15"/>
      <c r="G113" s="15"/>
      <c r="H113" s="15"/>
      <c r="I113" s="15"/>
      <c r="J113" s="15"/>
      <c r="K113" s="15"/>
      <c r="L113" s="15"/>
      <c r="O113" s="15"/>
      <c r="Q113" s="15"/>
      <c r="R113" s="15"/>
      <c r="S113" s="15"/>
      <c r="T113" s="15"/>
      <c r="U113" s="15"/>
      <c r="V113" s="15"/>
      <c r="W113" s="15"/>
      <c r="X113" s="15"/>
      <c r="AD113" s="15"/>
    </row>
    <row r="114" spans="1:30">
      <c r="A114" s="15"/>
      <c r="B114" s="15"/>
      <c r="D114" s="15"/>
      <c r="E114" s="15"/>
      <c r="F114" s="15"/>
      <c r="G114" s="15"/>
      <c r="H114" s="15"/>
      <c r="I114" s="15"/>
      <c r="J114" s="15"/>
      <c r="K114" s="15"/>
      <c r="L114" s="15"/>
      <c r="O114" s="15"/>
      <c r="Q114" s="15"/>
      <c r="R114" s="15"/>
      <c r="S114" s="15"/>
      <c r="T114" s="15"/>
      <c r="U114" s="15"/>
      <c r="V114" s="15"/>
      <c r="W114" s="15"/>
      <c r="X114" s="15"/>
      <c r="AD114" s="15"/>
    </row>
    <row r="115" spans="1:30">
      <c r="A115" s="15"/>
      <c r="B115" s="15"/>
      <c r="D115" s="15"/>
      <c r="E115" s="15"/>
      <c r="F115" s="15"/>
      <c r="G115" s="15"/>
      <c r="H115" s="15"/>
      <c r="I115" s="15"/>
      <c r="J115" s="15"/>
      <c r="K115" s="15"/>
      <c r="L115" s="15"/>
      <c r="O115" s="15"/>
      <c r="Q115" s="15"/>
      <c r="R115" s="15"/>
      <c r="S115" s="15"/>
      <c r="T115" s="15"/>
      <c r="U115" s="15"/>
      <c r="V115" s="15"/>
      <c r="W115" s="15"/>
      <c r="X115" s="15"/>
      <c r="AD115" s="15"/>
    </row>
    <row r="116" spans="1:30">
      <c r="A116" s="15"/>
      <c r="B116" s="15"/>
      <c r="D116" s="15"/>
      <c r="E116" s="15"/>
      <c r="F116" s="15"/>
      <c r="G116" s="15"/>
      <c r="H116" s="15"/>
      <c r="I116" s="15"/>
      <c r="J116" s="15"/>
      <c r="K116" s="15"/>
      <c r="L116" s="15"/>
      <c r="O116" s="15"/>
      <c r="Q116" s="15"/>
      <c r="R116" s="15"/>
      <c r="S116" s="15"/>
      <c r="T116" s="15"/>
      <c r="U116" s="15"/>
      <c r="V116" s="15"/>
      <c r="W116" s="15"/>
      <c r="X116" s="15"/>
      <c r="AD116" s="15"/>
    </row>
    <row r="117" spans="1:30">
      <c r="A117" s="15"/>
      <c r="B117" s="15"/>
      <c r="D117" s="15"/>
      <c r="E117" s="15"/>
      <c r="F117" s="15"/>
      <c r="G117" s="15"/>
      <c r="H117" s="15"/>
      <c r="I117" s="15"/>
      <c r="J117" s="15"/>
      <c r="K117" s="15"/>
      <c r="L117" s="15"/>
      <c r="O117" s="15"/>
      <c r="Q117" s="15"/>
      <c r="R117" s="15"/>
      <c r="S117" s="15"/>
      <c r="T117" s="15"/>
      <c r="U117" s="15"/>
      <c r="V117" s="15"/>
      <c r="W117" s="15"/>
      <c r="X117" s="15"/>
      <c r="AD117" s="15"/>
    </row>
    <row r="118" spans="1:30">
      <c r="A118" s="15"/>
      <c r="B118" s="15"/>
      <c r="D118" s="15"/>
      <c r="E118" s="15"/>
      <c r="F118" s="15"/>
      <c r="G118" s="15"/>
      <c r="H118" s="15"/>
      <c r="I118" s="15"/>
      <c r="J118" s="15"/>
      <c r="K118" s="15"/>
      <c r="L118" s="15"/>
      <c r="O118" s="15"/>
      <c r="Q118" s="15"/>
      <c r="R118" s="15"/>
      <c r="S118" s="15"/>
      <c r="T118" s="15"/>
      <c r="U118" s="15"/>
      <c r="V118" s="15"/>
      <c r="W118" s="15"/>
      <c r="X118" s="15"/>
      <c r="AD118" s="15"/>
    </row>
    <row r="119" spans="1:30">
      <c r="A119" s="15"/>
      <c r="B119" s="15"/>
      <c r="D119" s="15"/>
      <c r="E119" s="15"/>
      <c r="F119" s="15"/>
      <c r="G119" s="15"/>
      <c r="H119" s="15"/>
      <c r="I119" s="15"/>
      <c r="J119" s="15"/>
      <c r="K119" s="15"/>
      <c r="L119" s="15"/>
      <c r="O119" s="15"/>
      <c r="Q119" s="15"/>
      <c r="R119" s="15"/>
      <c r="S119" s="15"/>
      <c r="T119" s="15"/>
      <c r="U119" s="15"/>
      <c r="V119" s="15"/>
      <c r="W119" s="15"/>
      <c r="X119" s="15"/>
      <c r="AD119" s="15"/>
    </row>
    <row r="120" spans="1:30">
      <c r="A120" s="15"/>
      <c r="B120" s="15"/>
      <c r="D120" s="15"/>
      <c r="E120" s="15"/>
      <c r="F120" s="15"/>
      <c r="G120" s="15"/>
      <c r="H120" s="15"/>
      <c r="I120" s="15"/>
      <c r="J120" s="15"/>
      <c r="K120" s="15"/>
      <c r="L120" s="15"/>
      <c r="O120" s="15"/>
      <c r="Q120" s="15"/>
      <c r="R120" s="15"/>
      <c r="S120" s="15"/>
      <c r="T120" s="15"/>
      <c r="U120" s="15"/>
      <c r="V120" s="15"/>
      <c r="W120" s="15"/>
      <c r="X120" s="15"/>
      <c r="AD120" s="15"/>
    </row>
    <row r="121" spans="1:30">
      <c r="A121" s="15"/>
      <c r="B121" s="15"/>
      <c r="D121" s="15"/>
      <c r="E121" s="15"/>
      <c r="F121" s="15"/>
      <c r="G121" s="15"/>
      <c r="H121" s="15"/>
      <c r="I121" s="15"/>
      <c r="J121" s="15"/>
      <c r="K121" s="15"/>
      <c r="L121" s="15"/>
      <c r="O121" s="15"/>
      <c r="Q121" s="15"/>
      <c r="R121" s="15"/>
      <c r="S121" s="15"/>
      <c r="T121" s="15"/>
      <c r="U121" s="15"/>
      <c r="V121" s="15"/>
      <c r="W121" s="15"/>
      <c r="X121" s="15"/>
      <c r="AD121" s="15"/>
    </row>
    <row r="122" spans="1:30">
      <c r="A122" s="15"/>
      <c r="B122" s="15"/>
      <c r="D122" s="15"/>
      <c r="E122" s="15"/>
      <c r="F122" s="15"/>
      <c r="G122" s="15"/>
      <c r="H122" s="15"/>
      <c r="I122" s="15"/>
      <c r="J122" s="15"/>
      <c r="K122" s="15"/>
      <c r="L122" s="15"/>
      <c r="O122" s="15"/>
      <c r="Q122" s="15"/>
      <c r="R122" s="15"/>
      <c r="S122" s="15"/>
      <c r="T122" s="15"/>
      <c r="U122" s="15"/>
      <c r="V122" s="15"/>
      <c r="W122" s="15"/>
      <c r="X122" s="15"/>
      <c r="AD122" s="15"/>
    </row>
    <row r="123" spans="1:30">
      <c r="A123" s="15"/>
      <c r="B123" s="15"/>
      <c r="D123" s="15"/>
      <c r="E123" s="15"/>
      <c r="F123" s="15"/>
      <c r="G123" s="15"/>
      <c r="H123" s="15"/>
      <c r="I123" s="15"/>
      <c r="J123" s="15"/>
      <c r="K123" s="15"/>
      <c r="L123" s="15"/>
      <c r="O123" s="15"/>
      <c r="Q123" s="15"/>
      <c r="R123" s="15"/>
      <c r="S123" s="15"/>
      <c r="T123" s="15"/>
      <c r="U123" s="15"/>
      <c r="V123" s="15"/>
      <c r="W123" s="15"/>
      <c r="X123" s="15"/>
      <c r="AD123" s="15"/>
    </row>
    <row r="124" spans="1:30">
      <c r="A124" s="15"/>
      <c r="B124" s="15"/>
      <c r="D124" s="15"/>
      <c r="E124" s="15"/>
      <c r="F124" s="15"/>
      <c r="G124" s="15"/>
      <c r="H124" s="15"/>
      <c r="I124" s="15"/>
      <c r="J124" s="15"/>
      <c r="K124" s="15"/>
      <c r="L124" s="15"/>
      <c r="O124" s="15"/>
      <c r="Q124" s="15"/>
      <c r="R124" s="15"/>
      <c r="S124" s="15"/>
      <c r="T124" s="15"/>
      <c r="U124" s="15"/>
      <c r="V124" s="15"/>
      <c r="W124" s="15"/>
      <c r="X124" s="15"/>
      <c r="AD124" s="15"/>
    </row>
    <row r="125" spans="1:30">
      <c r="A125" s="15"/>
      <c r="B125" s="15"/>
      <c r="D125" s="15"/>
      <c r="E125" s="15"/>
      <c r="F125" s="15"/>
      <c r="G125" s="15"/>
      <c r="H125" s="15"/>
      <c r="I125" s="15"/>
      <c r="J125" s="15"/>
      <c r="K125" s="15"/>
      <c r="L125" s="15"/>
      <c r="O125" s="15"/>
      <c r="Q125" s="15"/>
      <c r="R125" s="15"/>
      <c r="S125" s="15"/>
      <c r="T125" s="15"/>
      <c r="U125" s="15"/>
      <c r="V125" s="15"/>
      <c r="W125" s="15"/>
      <c r="X125" s="15"/>
      <c r="AD125" s="15"/>
    </row>
    <row r="126" spans="1:30">
      <c r="A126" s="15"/>
      <c r="B126" s="15"/>
      <c r="D126" s="15"/>
      <c r="E126" s="15"/>
      <c r="F126" s="15"/>
      <c r="G126" s="15"/>
      <c r="H126" s="15"/>
      <c r="I126" s="15"/>
      <c r="J126" s="15"/>
      <c r="K126" s="15"/>
      <c r="L126" s="15"/>
      <c r="O126" s="15"/>
      <c r="Q126" s="15"/>
      <c r="R126" s="15"/>
      <c r="S126" s="15"/>
      <c r="T126" s="15"/>
      <c r="U126" s="15"/>
      <c r="V126" s="15"/>
      <c r="W126" s="15"/>
      <c r="X126" s="15"/>
      <c r="AD126" s="15"/>
    </row>
    <row r="127" spans="1:30">
      <c r="A127" s="15"/>
      <c r="B127" s="15"/>
      <c r="D127" s="15"/>
      <c r="E127" s="15"/>
      <c r="F127" s="15"/>
      <c r="G127" s="15"/>
      <c r="H127" s="15"/>
      <c r="I127" s="15"/>
      <c r="J127" s="15"/>
      <c r="K127" s="15"/>
      <c r="L127" s="15"/>
      <c r="O127" s="15"/>
      <c r="Q127" s="15"/>
      <c r="R127" s="15"/>
      <c r="S127" s="15"/>
      <c r="T127" s="15"/>
      <c r="U127" s="15"/>
      <c r="V127" s="15"/>
      <c r="W127" s="15"/>
      <c r="X127" s="15"/>
      <c r="AD127" s="15"/>
    </row>
    <row r="128" spans="1:30">
      <c r="A128" s="15"/>
      <c r="B128" s="15"/>
      <c r="D128" s="15"/>
      <c r="E128" s="15"/>
      <c r="F128" s="15"/>
      <c r="G128" s="15"/>
      <c r="H128" s="15"/>
      <c r="I128" s="15"/>
      <c r="J128" s="15"/>
      <c r="K128" s="15"/>
      <c r="L128" s="15"/>
      <c r="O128" s="15"/>
      <c r="Q128" s="15"/>
      <c r="R128" s="15"/>
      <c r="S128" s="15"/>
      <c r="T128" s="15"/>
      <c r="U128" s="15"/>
      <c r="V128" s="15"/>
      <c r="W128" s="15"/>
      <c r="X128" s="15"/>
      <c r="AD128" s="15"/>
    </row>
    <row r="129" spans="1:30">
      <c r="A129" s="15"/>
      <c r="B129" s="15"/>
      <c r="D129" s="15"/>
      <c r="E129" s="15"/>
      <c r="F129" s="15"/>
      <c r="G129" s="15"/>
      <c r="H129" s="15"/>
      <c r="I129" s="15"/>
      <c r="J129" s="15"/>
      <c r="K129" s="15"/>
      <c r="L129" s="15"/>
      <c r="O129" s="15"/>
      <c r="Q129" s="15"/>
      <c r="R129" s="15"/>
      <c r="S129" s="15"/>
      <c r="T129" s="15"/>
      <c r="U129" s="15"/>
      <c r="V129" s="15"/>
      <c r="W129" s="15"/>
      <c r="X129" s="15"/>
      <c r="AD129" s="15"/>
    </row>
    <row r="130" spans="1:30">
      <c r="A130" s="15"/>
      <c r="B130" s="15"/>
      <c r="D130" s="15"/>
      <c r="E130" s="15"/>
      <c r="F130" s="15"/>
      <c r="G130" s="15"/>
      <c r="H130" s="15"/>
      <c r="I130" s="15"/>
      <c r="J130" s="15"/>
      <c r="K130" s="15"/>
      <c r="L130" s="15"/>
      <c r="O130" s="15"/>
      <c r="Q130" s="15"/>
      <c r="R130" s="15"/>
      <c r="S130" s="15"/>
      <c r="T130" s="15"/>
      <c r="U130" s="15"/>
      <c r="V130" s="15"/>
      <c r="W130" s="15"/>
      <c r="X130" s="15"/>
      <c r="AD130" s="15"/>
    </row>
    <row r="131" spans="1:30">
      <c r="A131" s="15"/>
      <c r="B131" s="15"/>
      <c r="D131" s="15"/>
      <c r="E131" s="15"/>
      <c r="F131" s="15"/>
      <c r="G131" s="15"/>
      <c r="H131" s="15"/>
      <c r="I131" s="15"/>
      <c r="J131" s="15"/>
      <c r="K131" s="15"/>
      <c r="L131" s="15"/>
      <c r="O131" s="15"/>
      <c r="Q131" s="15"/>
      <c r="R131" s="15"/>
      <c r="S131" s="15"/>
      <c r="T131" s="15"/>
      <c r="U131" s="15"/>
      <c r="V131" s="15"/>
      <c r="W131" s="15"/>
      <c r="X131" s="15"/>
      <c r="AD131" s="15"/>
    </row>
    <row r="132" spans="1:30">
      <c r="A132" s="15"/>
      <c r="B132" s="15"/>
      <c r="D132" s="15"/>
      <c r="E132" s="15"/>
      <c r="F132" s="15"/>
      <c r="G132" s="15"/>
      <c r="H132" s="15"/>
      <c r="I132" s="15"/>
      <c r="J132" s="15"/>
      <c r="K132" s="15"/>
      <c r="L132" s="15"/>
      <c r="O132" s="15"/>
      <c r="Q132" s="15"/>
      <c r="R132" s="15"/>
      <c r="S132" s="15"/>
      <c r="T132" s="15"/>
      <c r="U132" s="15"/>
      <c r="V132" s="15"/>
      <c r="W132" s="15"/>
      <c r="X132" s="15"/>
      <c r="AD132" s="15"/>
    </row>
    <row r="133" spans="1:30">
      <c r="A133" s="15"/>
      <c r="B133" s="15"/>
      <c r="D133" s="15"/>
      <c r="E133" s="15"/>
      <c r="F133" s="15"/>
      <c r="G133" s="15"/>
      <c r="H133" s="15"/>
      <c r="I133" s="15"/>
      <c r="J133" s="15"/>
      <c r="K133" s="15"/>
      <c r="L133" s="15"/>
      <c r="O133" s="15"/>
      <c r="Q133" s="15"/>
      <c r="R133" s="15"/>
      <c r="S133" s="15"/>
      <c r="T133" s="15"/>
      <c r="U133" s="15"/>
      <c r="V133" s="15"/>
      <c r="W133" s="15"/>
      <c r="X133" s="15"/>
      <c r="AD133" s="15"/>
    </row>
    <row r="134" spans="1:30">
      <c r="A134" s="15"/>
      <c r="B134" s="15"/>
      <c r="D134" s="15"/>
      <c r="E134" s="15"/>
      <c r="F134" s="15"/>
      <c r="G134" s="15"/>
      <c r="H134" s="15"/>
      <c r="I134" s="15"/>
      <c r="J134" s="15"/>
      <c r="K134" s="15"/>
      <c r="L134" s="15"/>
      <c r="O134" s="15"/>
      <c r="Q134" s="15"/>
      <c r="R134" s="15"/>
      <c r="S134" s="15"/>
      <c r="T134" s="15"/>
      <c r="U134" s="15"/>
      <c r="V134" s="15"/>
      <c r="W134" s="15"/>
      <c r="X134" s="15"/>
      <c r="AD134" s="15"/>
    </row>
    <row r="135" spans="1:30">
      <c r="A135" s="15"/>
      <c r="B135" s="15"/>
      <c r="D135" s="15"/>
      <c r="E135" s="15"/>
      <c r="F135" s="15"/>
      <c r="G135" s="15"/>
      <c r="H135" s="15"/>
      <c r="I135" s="15"/>
      <c r="J135" s="15"/>
      <c r="K135" s="15"/>
      <c r="L135" s="15"/>
      <c r="O135" s="15"/>
      <c r="Q135" s="15"/>
      <c r="R135" s="15"/>
      <c r="S135" s="15"/>
      <c r="T135" s="15"/>
      <c r="U135" s="15"/>
      <c r="V135" s="15"/>
      <c r="W135" s="15"/>
      <c r="X135" s="15"/>
      <c r="AD135" s="15"/>
    </row>
    <row r="136" spans="1:30">
      <c r="A136" s="15"/>
      <c r="B136" s="15"/>
      <c r="D136" s="15"/>
      <c r="E136" s="15"/>
      <c r="F136" s="15"/>
      <c r="G136" s="15"/>
      <c r="H136" s="15"/>
      <c r="I136" s="15"/>
      <c r="J136" s="15"/>
      <c r="K136" s="15"/>
      <c r="L136" s="15"/>
      <c r="O136" s="15"/>
      <c r="Q136" s="15"/>
      <c r="R136" s="15"/>
      <c r="S136" s="15"/>
      <c r="T136" s="15"/>
      <c r="U136" s="15"/>
      <c r="V136" s="15"/>
      <c r="W136" s="15"/>
      <c r="X136" s="15"/>
      <c r="AD136" s="15"/>
    </row>
    <row r="137" spans="1:30">
      <c r="A137" s="15"/>
      <c r="B137" s="15"/>
      <c r="D137" s="15"/>
      <c r="E137" s="15"/>
      <c r="F137" s="15"/>
      <c r="G137" s="15"/>
      <c r="H137" s="15"/>
      <c r="I137" s="15"/>
      <c r="J137" s="15"/>
      <c r="K137" s="15"/>
      <c r="L137" s="15"/>
      <c r="O137" s="15"/>
      <c r="Q137" s="15"/>
      <c r="R137" s="15"/>
      <c r="S137" s="15"/>
      <c r="T137" s="15"/>
      <c r="U137" s="15"/>
      <c r="V137" s="15"/>
      <c r="W137" s="15"/>
      <c r="X137" s="15"/>
      <c r="AD137" s="15"/>
    </row>
    <row r="138" spans="1:30">
      <c r="A138" s="15"/>
      <c r="B138" s="15"/>
      <c r="D138" s="15"/>
      <c r="E138" s="15"/>
      <c r="F138" s="15"/>
      <c r="G138" s="15"/>
      <c r="H138" s="15"/>
      <c r="I138" s="15"/>
      <c r="J138" s="15"/>
      <c r="K138" s="15"/>
      <c r="L138" s="15"/>
      <c r="O138" s="15"/>
      <c r="Q138" s="15"/>
      <c r="R138" s="15"/>
      <c r="S138" s="15"/>
      <c r="T138" s="15"/>
      <c r="U138" s="15"/>
      <c r="V138" s="15"/>
      <c r="W138" s="15"/>
      <c r="X138" s="15"/>
      <c r="AD138" s="15"/>
    </row>
    <row r="139" spans="1:30">
      <c r="A139" s="15"/>
      <c r="B139" s="15"/>
      <c r="D139" s="15"/>
      <c r="E139" s="15"/>
      <c r="F139" s="15"/>
      <c r="G139" s="15"/>
      <c r="H139" s="15"/>
      <c r="I139" s="15"/>
      <c r="J139" s="15"/>
      <c r="K139" s="15"/>
      <c r="L139" s="15"/>
      <c r="O139" s="15"/>
      <c r="Q139" s="15"/>
      <c r="R139" s="15"/>
      <c r="S139" s="15"/>
      <c r="T139" s="15"/>
      <c r="U139" s="15"/>
      <c r="V139" s="15"/>
      <c r="W139" s="15"/>
      <c r="X139" s="15"/>
      <c r="AD139" s="15"/>
    </row>
    <row r="140" spans="1:30">
      <c r="A140" s="15"/>
      <c r="B140" s="15"/>
      <c r="D140" s="15"/>
      <c r="E140" s="15"/>
      <c r="F140" s="15"/>
      <c r="G140" s="15"/>
      <c r="H140" s="15"/>
      <c r="I140" s="15"/>
      <c r="J140" s="15"/>
      <c r="K140" s="15"/>
      <c r="L140" s="15"/>
      <c r="O140" s="15"/>
      <c r="Q140" s="15"/>
      <c r="R140" s="15"/>
      <c r="S140" s="15"/>
      <c r="T140" s="15"/>
      <c r="U140" s="15"/>
      <c r="V140" s="15"/>
      <c r="W140" s="15"/>
      <c r="X140" s="15"/>
      <c r="AD140" s="15"/>
    </row>
    <row r="141" spans="1:30">
      <c r="A141" s="15"/>
      <c r="B141" s="15"/>
      <c r="D141" s="15"/>
      <c r="E141" s="15"/>
      <c r="F141" s="15"/>
      <c r="G141" s="15"/>
      <c r="H141" s="15"/>
      <c r="I141" s="15"/>
      <c r="J141" s="15"/>
      <c r="K141" s="15"/>
      <c r="L141" s="15"/>
      <c r="O141" s="15"/>
      <c r="Q141" s="15"/>
      <c r="R141" s="15"/>
      <c r="S141" s="15"/>
      <c r="T141" s="15"/>
      <c r="U141" s="15"/>
      <c r="V141" s="15"/>
      <c r="W141" s="15"/>
      <c r="X141" s="15"/>
      <c r="AD141" s="15"/>
    </row>
    <row r="142" spans="1:30">
      <c r="A142" s="15"/>
      <c r="B142" s="15"/>
      <c r="D142" s="15"/>
      <c r="E142" s="15"/>
      <c r="F142" s="15"/>
      <c r="G142" s="15"/>
      <c r="H142" s="15"/>
      <c r="I142" s="15"/>
      <c r="J142" s="15"/>
      <c r="K142" s="15"/>
      <c r="L142" s="15"/>
      <c r="O142" s="15"/>
      <c r="Q142" s="15"/>
      <c r="R142" s="15"/>
      <c r="S142" s="15"/>
      <c r="T142" s="15"/>
      <c r="U142" s="15"/>
      <c r="V142" s="15"/>
      <c r="W142" s="15"/>
      <c r="X142" s="15"/>
      <c r="AD142" s="15"/>
    </row>
    <row r="143" spans="1:30">
      <c r="A143" s="15"/>
      <c r="B143" s="15"/>
      <c r="D143" s="15"/>
      <c r="E143" s="15"/>
      <c r="F143" s="15"/>
      <c r="G143" s="15"/>
      <c r="H143" s="15"/>
      <c r="I143" s="15"/>
      <c r="J143" s="15"/>
      <c r="K143" s="15"/>
      <c r="L143" s="15"/>
      <c r="O143" s="15"/>
      <c r="Q143" s="15"/>
      <c r="R143" s="15"/>
      <c r="S143" s="15"/>
      <c r="T143" s="15"/>
      <c r="U143" s="15"/>
      <c r="V143" s="15"/>
      <c r="W143" s="15"/>
      <c r="X143" s="15"/>
      <c r="AD143" s="15"/>
    </row>
    <row r="144" spans="1:30">
      <c r="A144" s="15"/>
      <c r="B144" s="15"/>
      <c r="D144" s="15"/>
      <c r="E144" s="15"/>
      <c r="F144" s="15"/>
      <c r="G144" s="15"/>
      <c r="H144" s="15"/>
      <c r="I144" s="15"/>
      <c r="J144" s="15"/>
      <c r="K144" s="15"/>
      <c r="L144" s="15"/>
      <c r="O144" s="15"/>
      <c r="Q144" s="15"/>
      <c r="R144" s="15"/>
      <c r="S144" s="15"/>
      <c r="T144" s="15"/>
      <c r="U144" s="15"/>
      <c r="V144" s="15"/>
      <c r="W144" s="15"/>
      <c r="X144" s="15"/>
      <c r="AD144" s="15"/>
    </row>
    <row r="145" spans="1:30">
      <c r="A145" s="15"/>
      <c r="B145" s="15"/>
      <c r="D145" s="15"/>
      <c r="E145" s="15"/>
      <c r="F145" s="15"/>
      <c r="G145" s="15"/>
      <c r="H145" s="15"/>
      <c r="I145" s="15"/>
      <c r="J145" s="15"/>
      <c r="K145" s="15"/>
      <c r="L145" s="15"/>
      <c r="O145" s="15"/>
      <c r="Q145" s="15"/>
      <c r="R145" s="15"/>
      <c r="S145" s="15"/>
      <c r="T145" s="15"/>
      <c r="U145" s="15"/>
      <c r="V145" s="15"/>
      <c r="W145" s="15"/>
      <c r="X145" s="15"/>
      <c r="AD145" s="15"/>
    </row>
    <row r="146" spans="1:30">
      <c r="A146" s="15"/>
      <c r="B146" s="15"/>
      <c r="D146" s="15"/>
      <c r="E146" s="15"/>
      <c r="F146" s="15"/>
      <c r="G146" s="15"/>
      <c r="H146" s="15"/>
      <c r="I146" s="15"/>
      <c r="J146" s="15"/>
      <c r="K146" s="15"/>
      <c r="L146" s="15"/>
      <c r="O146" s="15"/>
      <c r="Q146" s="15"/>
      <c r="R146" s="15"/>
      <c r="S146" s="15"/>
      <c r="T146" s="15"/>
      <c r="U146" s="15"/>
      <c r="V146" s="15"/>
      <c r="W146" s="15"/>
      <c r="X146" s="15"/>
      <c r="AD146" s="15"/>
    </row>
    <row r="147" spans="1:30">
      <c r="A147" s="15"/>
      <c r="B147" s="15"/>
      <c r="D147" s="15"/>
      <c r="E147" s="15"/>
      <c r="F147" s="15"/>
      <c r="G147" s="15"/>
      <c r="H147" s="15"/>
      <c r="I147" s="15"/>
      <c r="J147" s="15"/>
      <c r="K147" s="15"/>
      <c r="L147" s="15"/>
      <c r="O147" s="15"/>
      <c r="Q147" s="15"/>
      <c r="R147" s="15"/>
      <c r="S147" s="15"/>
      <c r="T147" s="15"/>
      <c r="U147" s="15"/>
      <c r="V147" s="15"/>
      <c r="W147" s="15"/>
      <c r="X147" s="15"/>
      <c r="AD147" s="15"/>
    </row>
    <row r="148" spans="1:30">
      <c r="A148" s="15"/>
      <c r="B148" s="15"/>
      <c r="D148" s="15"/>
      <c r="E148" s="15"/>
      <c r="F148" s="15"/>
      <c r="G148" s="15"/>
      <c r="H148" s="15"/>
      <c r="I148" s="15"/>
      <c r="J148" s="15"/>
      <c r="K148" s="15"/>
      <c r="L148" s="15"/>
      <c r="O148" s="15"/>
      <c r="Q148" s="15"/>
      <c r="R148" s="15"/>
      <c r="S148" s="15"/>
      <c r="T148" s="15"/>
      <c r="U148" s="15"/>
      <c r="V148" s="15"/>
      <c r="W148" s="15"/>
      <c r="X148" s="15"/>
      <c r="AD148" s="15"/>
    </row>
    <row r="149" spans="1:30">
      <c r="A149" s="15"/>
      <c r="B149" s="15"/>
      <c r="D149" s="15"/>
      <c r="E149" s="15"/>
      <c r="F149" s="15"/>
      <c r="G149" s="15"/>
      <c r="H149" s="15"/>
      <c r="I149" s="15"/>
      <c r="J149" s="15"/>
      <c r="K149" s="15"/>
      <c r="L149" s="15"/>
      <c r="O149" s="15"/>
      <c r="Q149" s="15"/>
      <c r="R149" s="15"/>
      <c r="S149" s="15"/>
      <c r="T149" s="15"/>
      <c r="U149" s="15"/>
      <c r="V149" s="15"/>
      <c r="W149" s="15"/>
      <c r="X149" s="15"/>
      <c r="AD149" s="15"/>
    </row>
    <row r="150" spans="1:30">
      <c r="A150" s="15"/>
      <c r="B150" s="15"/>
      <c r="D150" s="15"/>
      <c r="E150" s="15"/>
      <c r="F150" s="15"/>
      <c r="G150" s="15"/>
      <c r="H150" s="15"/>
      <c r="I150" s="15"/>
      <c r="J150" s="15"/>
      <c r="K150" s="15"/>
      <c r="L150" s="15"/>
      <c r="O150" s="15"/>
      <c r="Q150" s="15"/>
      <c r="R150" s="15"/>
      <c r="S150" s="15"/>
      <c r="T150" s="15"/>
      <c r="U150" s="15"/>
      <c r="V150" s="15"/>
      <c r="W150" s="15"/>
      <c r="X150" s="15"/>
      <c r="AD150" s="15"/>
    </row>
    <row r="151" spans="1:30">
      <c r="A151" s="15"/>
      <c r="B151" s="15"/>
      <c r="D151" s="15"/>
      <c r="E151" s="15"/>
      <c r="F151" s="15"/>
      <c r="G151" s="15"/>
      <c r="H151" s="15"/>
      <c r="I151" s="15"/>
      <c r="J151" s="15"/>
      <c r="K151" s="15"/>
      <c r="L151" s="15"/>
      <c r="O151" s="15"/>
      <c r="Q151" s="15"/>
      <c r="R151" s="15"/>
      <c r="S151" s="15"/>
      <c r="T151" s="15"/>
      <c r="U151" s="15"/>
      <c r="V151" s="15"/>
      <c r="W151" s="15"/>
      <c r="X151" s="15"/>
      <c r="AD151" s="15"/>
    </row>
    <row r="152" spans="1:30">
      <c r="A152" s="15"/>
      <c r="B152" s="15"/>
      <c r="D152" s="15"/>
      <c r="E152" s="15"/>
      <c r="F152" s="15"/>
      <c r="G152" s="15"/>
      <c r="H152" s="15"/>
      <c r="I152" s="15"/>
      <c r="J152" s="15"/>
      <c r="K152" s="15"/>
      <c r="L152" s="15"/>
      <c r="O152" s="15"/>
      <c r="Q152" s="15"/>
      <c r="R152" s="15"/>
      <c r="S152" s="15"/>
      <c r="T152" s="15"/>
      <c r="U152" s="15"/>
      <c r="V152" s="15"/>
      <c r="W152" s="15"/>
      <c r="X152" s="15"/>
      <c r="AD152" s="15"/>
    </row>
    <row r="153" spans="1:30">
      <c r="A153" s="15"/>
      <c r="B153" s="15"/>
      <c r="D153" s="15"/>
      <c r="E153" s="15"/>
      <c r="F153" s="15"/>
      <c r="G153" s="15"/>
      <c r="H153" s="15"/>
      <c r="I153" s="15"/>
      <c r="J153" s="15"/>
      <c r="K153" s="15"/>
      <c r="L153" s="15"/>
      <c r="O153" s="15"/>
      <c r="Q153" s="15"/>
      <c r="R153" s="15"/>
      <c r="S153" s="15"/>
      <c r="T153" s="15"/>
      <c r="U153" s="15"/>
      <c r="V153" s="15"/>
      <c r="W153" s="15"/>
      <c r="X153" s="15"/>
      <c r="AD153" s="15"/>
    </row>
    <row r="154" spans="1:30">
      <c r="A154" s="15"/>
      <c r="B154" s="15"/>
      <c r="D154" s="15"/>
      <c r="E154" s="15"/>
      <c r="F154" s="15"/>
      <c r="G154" s="15"/>
      <c r="H154" s="15"/>
      <c r="I154" s="15"/>
      <c r="J154" s="15"/>
      <c r="K154" s="15"/>
      <c r="L154" s="15"/>
      <c r="O154" s="15"/>
      <c r="Q154" s="15"/>
      <c r="R154" s="15"/>
      <c r="S154" s="15"/>
      <c r="T154" s="15"/>
      <c r="U154" s="15"/>
      <c r="V154" s="15"/>
      <c r="W154" s="15"/>
      <c r="X154" s="15"/>
      <c r="AD154" s="15"/>
    </row>
    <row r="155" spans="1:30">
      <c r="A155" s="15"/>
      <c r="B155" s="15"/>
      <c r="D155" s="15"/>
      <c r="E155" s="15"/>
      <c r="F155" s="15"/>
      <c r="G155" s="15"/>
      <c r="H155" s="15"/>
      <c r="I155" s="15"/>
      <c r="J155" s="15"/>
      <c r="K155" s="15"/>
      <c r="L155" s="15"/>
      <c r="O155" s="15"/>
      <c r="Q155" s="15"/>
      <c r="R155" s="15"/>
      <c r="S155" s="15"/>
      <c r="T155" s="15"/>
      <c r="U155" s="15"/>
      <c r="V155" s="15"/>
      <c r="W155" s="15"/>
      <c r="X155" s="15"/>
      <c r="AD155" s="15"/>
    </row>
    <row r="156" spans="1:30">
      <c r="A156" s="15"/>
      <c r="B156" s="15"/>
      <c r="D156" s="15"/>
      <c r="E156" s="15"/>
      <c r="F156" s="15"/>
      <c r="G156" s="15"/>
      <c r="H156" s="15"/>
      <c r="I156" s="15"/>
      <c r="J156" s="15"/>
      <c r="K156" s="15"/>
      <c r="L156" s="15"/>
      <c r="O156" s="15"/>
      <c r="Q156" s="15"/>
      <c r="R156" s="15"/>
      <c r="S156" s="15"/>
      <c r="T156" s="15"/>
      <c r="U156" s="15"/>
      <c r="V156" s="15"/>
      <c r="W156" s="15"/>
      <c r="X156" s="15"/>
      <c r="AD156" s="15"/>
    </row>
    <row r="157" spans="1:30">
      <c r="A157" s="15"/>
      <c r="B157" s="15"/>
      <c r="D157" s="15"/>
      <c r="E157" s="15"/>
      <c r="F157" s="15"/>
      <c r="G157" s="15"/>
      <c r="H157" s="15"/>
      <c r="I157" s="15"/>
      <c r="J157" s="15"/>
      <c r="K157" s="15"/>
      <c r="L157" s="15"/>
      <c r="O157" s="15"/>
      <c r="Q157" s="15"/>
      <c r="R157" s="15"/>
      <c r="S157" s="15"/>
      <c r="T157" s="15"/>
      <c r="U157" s="15"/>
      <c r="V157" s="15"/>
      <c r="W157" s="15"/>
      <c r="X157" s="15"/>
      <c r="AD157" s="15"/>
    </row>
    <row r="158" spans="1:30">
      <c r="A158" s="15"/>
      <c r="B158" s="15"/>
      <c r="D158" s="15"/>
      <c r="E158" s="15"/>
      <c r="F158" s="15"/>
      <c r="G158" s="15"/>
      <c r="H158" s="15"/>
      <c r="I158" s="15"/>
      <c r="J158" s="15"/>
      <c r="K158" s="15"/>
      <c r="L158" s="15"/>
      <c r="O158" s="15"/>
      <c r="Q158" s="15"/>
      <c r="R158" s="15"/>
      <c r="S158" s="15"/>
      <c r="T158" s="15"/>
      <c r="U158" s="15"/>
      <c r="V158" s="15"/>
      <c r="W158" s="15"/>
      <c r="X158" s="15"/>
      <c r="AD158" s="15"/>
    </row>
    <row r="159" spans="1:30">
      <c r="A159" s="15"/>
      <c r="B159" s="15"/>
      <c r="D159" s="15"/>
      <c r="E159" s="15"/>
      <c r="F159" s="15"/>
      <c r="G159" s="15"/>
      <c r="H159" s="15"/>
      <c r="I159" s="15"/>
      <c r="J159" s="15"/>
      <c r="K159" s="15"/>
      <c r="L159" s="15"/>
      <c r="O159" s="15"/>
      <c r="Q159" s="15"/>
      <c r="R159" s="15"/>
      <c r="S159" s="15"/>
      <c r="T159" s="15"/>
      <c r="U159" s="15"/>
      <c r="V159" s="15"/>
      <c r="W159" s="15"/>
      <c r="X159" s="15"/>
      <c r="AD159" s="15"/>
    </row>
    <row r="160" spans="1:30">
      <c r="A160" s="15"/>
      <c r="B160" s="15"/>
      <c r="D160" s="15"/>
      <c r="E160" s="15"/>
      <c r="F160" s="15"/>
      <c r="G160" s="15"/>
      <c r="H160" s="15"/>
      <c r="I160" s="15"/>
      <c r="J160" s="15"/>
      <c r="K160" s="15"/>
      <c r="L160" s="15"/>
      <c r="O160" s="15"/>
      <c r="Q160" s="15"/>
      <c r="R160" s="15"/>
      <c r="S160" s="15"/>
      <c r="T160" s="15"/>
      <c r="U160" s="15"/>
      <c r="V160" s="15"/>
      <c r="W160" s="15"/>
      <c r="X160" s="15"/>
      <c r="AD160" s="15"/>
    </row>
    <row r="161" spans="1:30">
      <c r="A161" s="15"/>
      <c r="B161" s="15"/>
      <c r="D161" s="15"/>
      <c r="E161" s="15"/>
      <c r="F161" s="15"/>
      <c r="G161" s="15"/>
      <c r="H161" s="15"/>
      <c r="I161" s="15"/>
      <c r="J161" s="15"/>
      <c r="K161" s="15"/>
      <c r="L161" s="15"/>
      <c r="O161" s="15"/>
      <c r="Q161" s="15"/>
      <c r="R161" s="15"/>
      <c r="S161" s="15"/>
      <c r="T161" s="15"/>
      <c r="U161" s="15"/>
      <c r="V161" s="15"/>
      <c r="W161" s="15"/>
      <c r="X161" s="15"/>
      <c r="AD161" s="15"/>
    </row>
    <row r="162" spans="1:30">
      <c r="A162" s="15"/>
      <c r="B162" s="15"/>
      <c r="D162" s="15"/>
      <c r="E162" s="15"/>
      <c r="F162" s="15"/>
      <c r="G162" s="15"/>
      <c r="H162" s="15"/>
      <c r="I162" s="15"/>
      <c r="J162" s="15"/>
      <c r="K162" s="15"/>
      <c r="L162" s="15"/>
      <c r="O162" s="15"/>
      <c r="Q162" s="15"/>
      <c r="R162" s="15"/>
      <c r="S162" s="15"/>
      <c r="T162" s="15"/>
      <c r="U162" s="15"/>
      <c r="V162" s="15"/>
      <c r="W162" s="15"/>
      <c r="X162" s="15"/>
      <c r="AD162" s="15"/>
    </row>
    <row r="163" spans="1:30">
      <c r="A163" s="15"/>
      <c r="B163" s="15"/>
      <c r="D163" s="15"/>
      <c r="E163" s="15"/>
      <c r="F163" s="15"/>
      <c r="G163" s="15"/>
      <c r="H163" s="15"/>
      <c r="I163" s="15"/>
      <c r="J163" s="15"/>
      <c r="K163" s="15"/>
      <c r="L163" s="15"/>
      <c r="O163" s="15"/>
      <c r="Q163" s="15"/>
      <c r="R163" s="15"/>
      <c r="S163" s="15"/>
      <c r="T163" s="15"/>
      <c r="U163" s="15"/>
      <c r="V163" s="15"/>
      <c r="W163" s="15"/>
      <c r="X163" s="15"/>
      <c r="AD163" s="15"/>
    </row>
    <row r="164" spans="1:30">
      <c r="A164" s="15"/>
      <c r="B164" s="15"/>
      <c r="D164" s="15"/>
      <c r="E164" s="15"/>
      <c r="F164" s="15"/>
      <c r="G164" s="15"/>
      <c r="H164" s="15"/>
      <c r="I164" s="15"/>
      <c r="J164" s="15"/>
      <c r="K164" s="15"/>
      <c r="L164" s="15"/>
      <c r="O164" s="15"/>
      <c r="Q164" s="15"/>
      <c r="R164" s="15"/>
      <c r="S164" s="15"/>
      <c r="T164" s="15"/>
      <c r="U164" s="15"/>
      <c r="V164" s="15"/>
      <c r="W164" s="15"/>
      <c r="X164" s="15"/>
      <c r="AD164" s="15"/>
    </row>
    <row r="165" spans="1:30">
      <c r="A165" s="15"/>
      <c r="B165" s="15"/>
      <c r="D165" s="15"/>
      <c r="E165" s="15"/>
      <c r="F165" s="15"/>
      <c r="G165" s="15"/>
      <c r="H165" s="15"/>
      <c r="I165" s="15"/>
      <c r="J165" s="15"/>
      <c r="K165" s="15"/>
      <c r="L165" s="15"/>
      <c r="O165" s="15"/>
      <c r="Q165" s="15"/>
      <c r="R165" s="15"/>
      <c r="S165" s="15"/>
      <c r="T165" s="15"/>
      <c r="U165" s="15"/>
      <c r="V165" s="15"/>
      <c r="W165" s="15"/>
      <c r="X165" s="15"/>
      <c r="AD165" s="15"/>
    </row>
    <row r="166" spans="1:30">
      <c r="A166" s="15"/>
      <c r="B166" s="15"/>
      <c r="D166" s="15"/>
      <c r="E166" s="15"/>
      <c r="F166" s="15"/>
      <c r="G166" s="15"/>
      <c r="H166" s="15"/>
      <c r="I166" s="15"/>
      <c r="J166" s="15"/>
      <c r="K166" s="15"/>
      <c r="L166" s="15"/>
      <c r="O166" s="15"/>
      <c r="Q166" s="15"/>
      <c r="R166" s="15"/>
      <c r="S166" s="15"/>
      <c r="T166" s="15"/>
      <c r="U166" s="15"/>
      <c r="V166" s="15"/>
      <c r="W166" s="15"/>
      <c r="X166" s="15"/>
      <c r="AD166" s="15"/>
    </row>
    <row r="167" spans="1:30">
      <c r="A167" s="15"/>
      <c r="B167" s="15"/>
      <c r="D167" s="15"/>
      <c r="E167" s="15"/>
      <c r="F167" s="15"/>
      <c r="G167" s="15"/>
      <c r="H167" s="15"/>
      <c r="I167" s="15"/>
      <c r="J167" s="15"/>
      <c r="K167" s="15"/>
      <c r="L167" s="15"/>
      <c r="O167" s="15"/>
      <c r="Q167" s="15"/>
      <c r="R167" s="15"/>
      <c r="S167" s="15"/>
      <c r="T167" s="15"/>
      <c r="U167" s="15"/>
      <c r="V167" s="15"/>
      <c r="W167" s="15"/>
      <c r="X167" s="15"/>
      <c r="AD167" s="15"/>
    </row>
    <row r="168" spans="1:30">
      <c r="A168" s="15"/>
      <c r="B168" s="15"/>
      <c r="D168" s="15"/>
      <c r="E168" s="15"/>
      <c r="F168" s="15"/>
      <c r="G168" s="15"/>
      <c r="H168" s="15"/>
      <c r="I168" s="15"/>
      <c r="J168" s="15"/>
      <c r="K168" s="15"/>
      <c r="L168" s="15"/>
      <c r="O168" s="15"/>
      <c r="Q168" s="15"/>
      <c r="R168" s="15"/>
      <c r="S168" s="15"/>
      <c r="T168" s="15"/>
      <c r="U168" s="15"/>
      <c r="V168" s="15"/>
      <c r="W168" s="15"/>
      <c r="X168" s="15"/>
      <c r="AD168" s="15"/>
    </row>
    <row r="169" spans="1:30">
      <c r="A169" s="15"/>
      <c r="B169" s="15"/>
      <c r="D169" s="15"/>
      <c r="E169" s="15"/>
      <c r="F169" s="15"/>
      <c r="G169" s="15"/>
      <c r="H169" s="15"/>
      <c r="I169" s="15"/>
      <c r="J169" s="15"/>
      <c r="K169" s="15"/>
      <c r="L169" s="15"/>
      <c r="O169" s="15"/>
      <c r="Q169" s="15"/>
      <c r="R169" s="15"/>
      <c r="S169" s="15"/>
      <c r="T169" s="15"/>
      <c r="U169" s="15"/>
      <c r="V169" s="15"/>
      <c r="W169" s="15"/>
      <c r="X169" s="15"/>
      <c r="AD169" s="15"/>
    </row>
    <row r="170" spans="1:30">
      <c r="A170" s="15"/>
      <c r="B170" s="15"/>
      <c r="D170" s="15"/>
      <c r="E170" s="15"/>
      <c r="F170" s="15"/>
      <c r="G170" s="15"/>
      <c r="H170" s="15"/>
      <c r="I170" s="15"/>
      <c r="J170" s="15"/>
      <c r="K170" s="15"/>
      <c r="L170" s="15"/>
      <c r="O170" s="15"/>
      <c r="Q170" s="15"/>
      <c r="R170" s="15"/>
      <c r="S170" s="15"/>
      <c r="T170" s="15"/>
      <c r="U170" s="15"/>
      <c r="V170" s="15"/>
      <c r="W170" s="15"/>
      <c r="X170" s="15"/>
      <c r="AD170" s="15"/>
    </row>
    <row r="171" spans="1:30">
      <c r="A171" s="15"/>
      <c r="B171" s="15"/>
      <c r="D171" s="15"/>
      <c r="E171" s="15"/>
      <c r="F171" s="15"/>
      <c r="G171" s="15"/>
      <c r="H171" s="15"/>
      <c r="I171" s="15"/>
      <c r="J171" s="15"/>
      <c r="K171" s="15"/>
      <c r="L171" s="15"/>
      <c r="O171" s="15"/>
      <c r="Q171" s="15"/>
      <c r="R171" s="15"/>
      <c r="S171" s="15"/>
      <c r="T171" s="15"/>
      <c r="U171" s="15"/>
      <c r="V171" s="15"/>
      <c r="W171" s="15"/>
      <c r="X171" s="15"/>
      <c r="AD171" s="15"/>
    </row>
    <row r="172" spans="1:30">
      <c r="A172" s="15"/>
      <c r="B172" s="15"/>
      <c r="D172" s="15"/>
      <c r="E172" s="15"/>
      <c r="F172" s="15"/>
      <c r="G172" s="15"/>
      <c r="H172" s="15"/>
      <c r="I172" s="15"/>
      <c r="J172" s="15"/>
      <c r="K172" s="15"/>
      <c r="L172" s="15"/>
      <c r="O172" s="15"/>
      <c r="Q172" s="15"/>
      <c r="R172" s="15"/>
      <c r="S172" s="15"/>
      <c r="T172" s="15"/>
      <c r="U172" s="15"/>
      <c r="V172" s="15"/>
      <c r="W172" s="15"/>
      <c r="X172" s="15"/>
      <c r="AD172" s="15"/>
    </row>
    <row r="173" spans="1:30">
      <c r="A173" s="15"/>
      <c r="B173" s="15"/>
      <c r="D173" s="15"/>
      <c r="E173" s="15"/>
      <c r="F173" s="15"/>
      <c r="G173" s="15"/>
      <c r="H173" s="15"/>
      <c r="I173" s="15"/>
      <c r="J173" s="15"/>
      <c r="K173" s="15"/>
      <c r="L173" s="15"/>
      <c r="O173" s="15"/>
      <c r="Q173" s="15"/>
      <c r="R173" s="15"/>
      <c r="S173" s="15"/>
      <c r="T173" s="15"/>
      <c r="U173" s="15"/>
      <c r="V173" s="15"/>
      <c r="W173" s="15"/>
      <c r="X173" s="15"/>
      <c r="AD173" s="15"/>
    </row>
    <row r="174" spans="1:30">
      <c r="A174" s="15"/>
      <c r="B174" s="15"/>
      <c r="D174" s="15"/>
      <c r="E174" s="15"/>
      <c r="F174" s="15"/>
      <c r="G174" s="15"/>
      <c r="H174" s="15"/>
      <c r="I174" s="15"/>
      <c r="J174" s="15"/>
      <c r="K174" s="15"/>
      <c r="L174" s="15"/>
      <c r="O174" s="15"/>
      <c r="Q174" s="15"/>
      <c r="R174" s="15"/>
      <c r="S174" s="15"/>
      <c r="T174" s="15"/>
      <c r="U174" s="15"/>
      <c r="V174" s="15"/>
      <c r="W174" s="15"/>
      <c r="X174" s="15"/>
      <c r="AD174" s="15"/>
    </row>
    <row r="175" spans="1:30">
      <c r="A175" s="15"/>
      <c r="B175" s="15"/>
      <c r="D175" s="15"/>
      <c r="E175" s="15"/>
      <c r="F175" s="15"/>
      <c r="G175" s="15"/>
      <c r="H175" s="15"/>
      <c r="I175" s="15"/>
      <c r="J175" s="15"/>
      <c r="K175" s="15"/>
      <c r="L175" s="15"/>
      <c r="O175" s="15"/>
      <c r="Q175" s="15"/>
      <c r="R175" s="15"/>
      <c r="S175" s="15"/>
      <c r="T175" s="15"/>
      <c r="U175" s="15"/>
      <c r="V175" s="15"/>
      <c r="W175" s="15"/>
      <c r="X175" s="15"/>
      <c r="AD175" s="15"/>
    </row>
    <row r="176" spans="1:30">
      <c r="A176" s="15"/>
      <c r="B176" s="15"/>
      <c r="D176" s="15"/>
      <c r="E176" s="15"/>
      <c r="F176" s="15"/>
      <c r="G176" s="15"/>
      <c r="H176" s="15"/>
      <c r="I176" s="15"/>
      <c r="J176" s="15"/>
      <c r="K176" s="15"/>
      <c r="L176" s="15"/>
      <c r="O176" s="15"/>
      <c r="Q176" s="15"/>
      <c r="R176" s="15"/>
      <c r="S176" s="15"/>
      <c r="T176" s="15"/>
      <c r="U176" s="15"/>
      <c r="V176" s="15"/>
      <c r="W176" s="15"/>
      <c r="X176" s="15"/>
      <c r="AD176" s="15"/>
    </row>
    <row r="177" spans="1:30">
      <c r="A177" s="15"/>
      <c r="B177" s="15"/>
      <c r="D177" s="15"/>
      <c r="E177" s="15"/>
      <c r="F177" s="15"/>
      <c r="G177" s="15"/>
      <c r="H177" s="15"/>
      <c r="I177" s="15"/>
      <c r="J177" s="15"/>
      <c r="K177" s="15"/>
      <c r="L177" s="15"/>
      <c r="O177" s="15"/>
      <c r="Q177" s="15"/>
      <c r="R177" s="15"/>
      <c r="S177" s="15"/>
      <c r="T177" s="15"/>
      <c r="U177" s="15"/>
      <c r="V177" s="15"/>
      <c r="W177" s="15"/>
      <c r="X177" s="15"/>
      <c r="AD177" s="15"/>
    </row>
    <row r="178" spans="1:30">
      <c r="A178" s="15"/>
      <c r="B178" s="15"/>
      <c r="D178" s="15"/>
      <c r="E178" s="15"/>
      <c r="F178" s="15"/>
      <c r="G178" s="15"/>
      <c r="H178" s="15"/>
      <c r="I178" s="15"/>
      <c r="J178" s="15"/>
      <c r="K178" s="15"/>
      <c r="L178" s="15"/>
      <c r="O178" s="15"/>
      <c r="Q178" s="15"/>
      <c r="R178" s="15"/>
      <c r="S178" s="15"/>
      <c r="T178" s="15"/>
      <c r="U178" s="15"/>
      <c r="V178" s="15"/>
      <c r="W178" s="15"/>
      <c r="X178" s="15"/>
      <c r="AD178" s="15"/>
    </row>
    <row r="179" spans="1:30">
      <c r="A179" s="15"/>
      <c r="B179" s="15"/>
      <c r="D179" s="15"/>
      <c r="E179" s="15"/>
      <c r="F179" s="15"/>
      <c r="G179" s="15"/>
      <c r="H179" s="15"/>
      <c r="I179" s="15"/>
      <c r="J179" s="15"/>
      <c r="K179" s="15"/>
      <c r="L179" s="15"/>
      <c r="O179" s="15"/>
      <c r="Q179" s="15"/>
      <c r="R179" s="15"/>
      <c r="S179" s="15"/>
      <c r="T179" s="15"/>
      <c r="U179" s="15"/>
      <c r="V179" s="15"/>
      <c r="W179" s="15"/>
      <c r="X179" s="15"/>
      <c r="AD179" s="15"/>
    </row>
    <row r="180" spans="1:30">
      <c r="A180" s="15"/>
      <c r="B180" s="15"/>
      <c r="D180" s="15"/>
      <c r="E180" s="15"/>
      <c r="F180" s="15"/>
      <c r="G180" s="15"/>
      <c r="H180" s="15"/>
      <c r="I180" s="15"/>
      <c r="J180" s="15"/>
      <c r="K180" s="15"/>
      <c r="L180" s="15"/>
      <c r="O180" s="15"/>
      <c r="Q180" s="15"/>
      <c r="R180" s="15"/>
      <c r="S180" s="15"/>
      <c r="T180" s="15"/>
      <c r="U180" s="15"/>
      <c r="V180" s="15"/>
      <c r="W180" s="15"/>
      <c r="X180" s="15"/>
      <c r="AD180" s="15"/>
    </row>
    <row r="181" spans="1:30">
      <c r="A181" s="15"/>
      <c r="B181" s="15"/>
      <c r="D181" s="15"/>
      <c r="E181" s="15"/>
      <c r="F181" s="15"/>
      <c r="G181" s="15"/>
      <c r="H181" s="15"/>
      <c r="I181" s="15"/>
      <c r="J181" s="15"/>
      <c r="K181" s="15"/>
      <c r="L181" s="15"/>
      <c r="O181" s="15"/>
      <c r="Q181" s="15"/>
      <c r="R181" s="15"/>
      <c r="S181" s="15"/>
      <c r="T181" s="15"/>
      <c r="U181" s="15"/>
      <c r="V181" s="15"/>
      <c r="W181" s="15"/>
      <c r="X181" s="15"/>
      <c r="AD181" s="15"/>
    </row>
    <row r="182" spans="1:30">
      <c r="A182" s="15"/>
      <c r="B182" s="15"/>
      <c r="D182" s="15"/>
      <c r="E182" s="15"/>
      <c r="F182" s="15"/>
      <c r="G182" s="15"/>
      <c r="H182" s="15"/>
      <c r="I182" s="15"/>
      <c r="J182" s="15"/>
      <c r="K182" s="15"/>
      <c r="L182" s="15"/>
      <c r="O182" s="15"/>
      <c r="Q182" s="15"/>
      <c r="R182" s="15"/>
      <c r="S182" s="15"/>
      <c r="T182" s="15"/>
      <c r="U182" s="15"/>
      <c r="V182" s="15"/>
      <c r="W182" s="15"/>
      <c r="X182" s="15"/>
      <c r="AD182" s="15"/>
    </row>
    <row r="183" spans="1:30">
      <c r="A183" s="15"/>
      <c r="B183" s="15"/>
      <c r="D183" s="15"/>
      <c r="E183" s="15"/>
      <c r="F183" s="15"/>
      <c r="G183" s="15"/>
      <c r="H183" s="15"/>
      <c r="I183" s="15"/>
      <c r="J183" s="15"/>
      <c r="K183" s="15"/>
      <c r="L183" s="15"/>
      <c r="O183" s="15"/>
      <c r="Q183" s="15"/>
      <c r="R183" s="15"/>
      <c r="S183" s="15"/>
      <c r="T183" s="15"/>
      <c r="U183" s="15"/>
      <c r="V183" s="15"/>
      <c r="W183" s="15"/>
      <c r="X183" s="15"/>
      <c r="AD183" s="15"/>
    </row>
    <row r="184" spans="1:30">
      <c r="A184" s="15"/>
      <c r="B184" s="15"/>
      <c r="D184" s="15"/>
      <c r="E184" s="15"/>
      <c r="F184" s="15"/>
      <c r="G184" s="15"/>
      <c r="H184" s="15"/>
      <c r="I184" s="15"/>
      <c r="J184" s="15"/>
      <c r="K184" s="15"/>
      <c r="L184" s="15"/>
      <c r="O184" s="15"/>
      <c r="Q184" s="15"/>
      <c r="R184" s="15"/>
      <c r="S184" s="15"/>
      <c r="T184" s="15"/>
      <c r="U184" s="15"/>
      <c r="V184" s="15"/>
      <c r="W184" s="15"/>
      <c r="X184" s="15"/>
      <c r="AD184" s="15"/>
    </row>
    <row r="185" spans="1:30">
      <c r="A185" s="15"/>
      <c r="B185" s="15"/>
      <c r="D185" s="15"/>
      <c r="E185" s="15"/>
      <c r="F185" s="15"/>
      <c r="G185" s="15"/>
      <c r="H185" s="15"/>
      <c r="I185" s="15"/>
      <c r="J185" s="15"/>
      <c r="K185" s="15"/>
      <c r="L185" s="15"/>
      <c r="O185" s="15"/>
      <c r="Q185" s="15"/>
      <c r="R185" s="15"/>
      <c r="S185" s="15"/>
      <c r="T185" s="15"/>
      <c r="U185" s="15"/>
      <c r="V185" s="15"/>
      <c r="W185" s="15"/>
      <c r="X185" s="15"/>
      <c r="AD185" s="15"/>
    </row>
    <row r="186" spans="1:30">
      <c r="A186" s="15"/>
      <c r="B186" s="15"/>
      <c r="D186" s="15"/>
      <c r="E186" s="15"/>
      <c r="F186" s="15"/>
      <c r="G186" s="15"/>
      <c r="H186" s="15"/>
      <c r="I186" s="15"/>
      <c r="J186" s="15"/>
      <c r="K186" s="15"/>
      <c r="L186" s="15"/>
      <c r="O186" s="15"/>
      <c r="Q186" s="15"/>
      <c r="R186" s="15"/>
      <c r="S186" s="15"/>
      <c r="T186" s="15"/>
      <c r="U186" s="15"/>
      <c r="V186" s="15"/>
      <c r="W186" s="15"/>
      <c r="X186" s="15"/>
      <c r="AD186" s="15"/>
    </row>
    <row r="187" spans="1:30">
      <c r="A187" s="15"/>
      <c r="B187" s="15"/>
      <c r="D187" s="15"/>
      <c r="E187" s="15"/>
      <c r="F187" s="15"/>
      <c r="G187" s="15"/>
      <c r="H187" s="15"/>
      <c r="I187" s="15"/>
      <c r="J187" s="15"/>
      <c r="K187" s="15"/>
      <c r="L187" s="15"/>
      <c r="O187" s="15"/>
      <c r="Q187" s="15"/>
      <c r="R187" s="15"/>
      <c r="S187" s="15"/>
      <c r="T187" s="15"/>
      <c r="U187" s="15"/>
      <c r="V187" s="15"/>
      <c r="W187" s="15"/>
      <c r="X187" s="15"/>
      <c r="AD187" s="15"/>
    </row>
    <row r="188" spans="1:30">
      <c r="A188" s="15"/>
      <c r="B188" s="15"/>
      <c r="D188" s="15"/>
      <c r="E188" s="15"/>
      <c r="F188" s="15"/>
      <c r="G188" s="15"/>
      <c r="H188" s="15"/>
      <c r="I188" s="15"/>
      <c r="J188" s="15"/>
      <c r="K188" s="15"/>
      <c r="L188" s="15"/>
      <c r="O188" s="15"/>
      <c r="Q188" s="15"/>
      <c r="R188" s="15"/>
      <c r="S188" s="15"/>
      <c r="T188" s="15"/>
      <c r="U188" s="15"/>
      <c r="V188" s="15"/>
      <c r="W188" s="15"/>
      <c r="X188" s="15"/>
      <c r="AD188" s="15"/>
    </row>
    <row r="189" spans="1:30">
      <c r="A189" s="15"/>
      <c r="B189" s="15"/>
      <c r="D189" s="15"/>
      <c r="E189" s="15"/>
      <c r="F189" s="15"/>
      <c r="G189" s="15"/>
      <c r="H189" s="15"/>
      <c r="I189" s="15"/>
      <c r="J189" s="15"/>
      <c r="K189" s="15"/>
      <c r="L189" s="15"/>
      <c r="O189" s="15"/>
      <c r="Q189" s="15"/>
      <c r="R189" s="15"/>
      <c r="S189" s="15"/>
      <c r="T189" s="15"/>
      <c r="U189" s="15"/>
      <c r="V189" s="15"/>
      <c r="W189" s="15"/>
      <c r="X189" s="15"/>
      <c r="AD189" s="15"/>
    </row>
    <row r="190" spans="1:30">
      <c r="A190" s="15"/>
      <c r="B190" s="15"/>
      <c r="D190" s="15"/>
      <c r="E190" s="15"/>
      <c r="F190" s="15"/>
      <c r="G190" s="15"/>
      <c r="H190" s="15"/>
      <c r="I190" s="15"/>
      <c r="J190" s="15"/>
      <c r="K190" s="15"/>
      <c r="L190" s="15"/>
      <c r="O190" s="15"/>
      <c r="Q190" s="15"/>
      <c r="R190" s="15"/>
      <c r="S190" s="15"/>
      <c r="T190" s="15"/>
      <c r="U190" s="15"/>
      <c r="V190" s="15"/>
      <c r="W190" s="15"/>
      <c r="X190" s="15"/>
      <c r="AD190" s="15"/>
    </row>
    <row r="191" spans="1:30">
      <c r="A191" s="15"/>
      <c r="B191" s="15"/>
      <c r="D191" s="15"/>
      <c r="E191" s="15"/>
      <c r="F191" s="15"/>
      <c r="G191" s="15"/>
      <c r="H191" s="15"/>
      <c r="I191" s="15"/>
      <c r="J191" s="15"/>
      <c r="K191" s="15"/>
      <c r="L191" s="15"/>
      <c r="O191" s="15"/>
      <c r="Q191" s="15"/>
      <c r="R191" s="15"/>
      <c r="S191" s="15"/>
      <c r="T191" s="15"/>
      <c r="U191" s="15"/>
      <c r="V191" s="15"/>
      <c r="W191" s="15"/>
      <c r="X191" s="15"/>
      <c r="AD191" s="15"/>
    </row>
    <row r="192" spans="1:30">
      <c r="A192" s="15"/>
      <c r="B192" s="15"/>
      <c r="D192" s="15"/>
      <c r="E192" s="15"/>
      <c r="F192" s="15"/>
      <c r="G192" s="15"/>
      <c r="H192" s="15"/>
      <c r="I192" s="15"/>
      <c r="J192" s="15"/>
      <c r="K192" s="15"/>
      <c r="L192" s="15"/>
      <c r="O192" s="15"/>
      <c r="Q192" s="15"/>
      <c r="R192" s="15"/>
      <c r="S192" s="15"/>
      <c r="T192" s="15"/>
      <c r="U192" s="15"/>
      <c r="V192" s="15"/>
      <c r="W192" s="15"/>
      <c r="X192" s="15"/>
      <c r="AD192" s="15"/>
    </row>
    <row r="193" spans="1:30">
      <c r="A193" s="15"/>
      <c r="B193" s="15"/>
      <c r="D193" s="15"/>
      <c r="E193" s="15"/>
      <c r="F193" s="15"/>
      <c r="G193" s="15"/>
      <c r="H193" s="15"/>
      <c r="I193" s="15"/>
      <c r="J193" s="15"/>
      <c r="K193" s="15"/>
      <c r="L193" s="15"/>
      <c r="O193" s="15"/>
      <c r="Q193" s="15"/>
      <c r="R193" s="15"/>
      <c r="S193" s="15"/>
      <c r="T193" s="15"/>
      <c r="U193" s="15"/>
      <c r="V193" s="15"/>
      <c r="W193" s="15"/>
      <c r="X193" s="15"/>
      <c r="AD193" s="15"/>
    </row>
    <row r="194" spans="1:30">
      <c r="A194" s="15"/>
      <c r="B194" s="15"/>
      <c r="D194" s="15"/>
      <c r="E194" s="15"/>
      <c r="F194" s="15"/>
      <c r="G194" s="15"/>
      <c r="H194" s="15"/>
      <c r="I194" s="15"/>
      <c r="J194" s="15"/>
      <c r="K194" s="15"/>
      <c r="L194" s="15"/>
      <c r="O194" s="15"/>
      <c r="Q194" s="15"/>
      <c r="R194" s="15"/>
      <c r="S194" s="15"/>
      <c r="T194" s="15"/>
      <c r="U194" s="15"/>
      <c r="V194" s="15"/>
      <c r="W194" s="15"/>
      <c r="X194" s="15"/>
      <c r="AD194" s="15"/>
    </row>
    <row r="195" spans="1:30">
      <c r="A195" s="15"/>
      <c r="B195" s="15"/>
      <c r="D195" s="15"/>
      <c r="E195" s="15"/>
      <c r="F195" s="15"/>
      <c r="G195" s="15"/>
      <c r="H195" s="15"/>
      <c r="I195" s="15"/>
      <c r="J195" s="15"/>
      <c r="K195" s="15"/>
      <c r="L195" s="15"/>
      <c r="O195" s="15"/>
      <c r="Q195" s="15"/>
      <c r="R195" s="15"/>
      <c r="S195" s="15"/>
      <c r="T195" s="15"/>
      <c r="U195" s="15"/>
      <c r="V195" s="15"/>
      <c r="W195" s="15"/>
      <c r="X195" s="15"/>
      <c r="AD195" s="15"/>
    </row>
    <row r="196" spans="1:30">
      <c r="A196" s="15"/>
      <c r="B196" s="15"/>
      <c r="D196" s="15"/>
      <c r="E196" s="15"/>
      <c r="F196" s="15"/>
      <c r="G196" s="15"/>
      <c r="H196" s="15"/>
      <c r="I196" s="15"/>
      <c r="J196" s="15"/>
      <c r="K196" s="15"/>
      <c r="L196" s="15"/>
      <c r="O196" s="15"/>
      <c r="Q196" s="15"/>
      <c r="R196" s="15"/>
      <c r="S196" s="15"/>
      <c r="T196" s="15"/>
      <c r="U196" s="15"/>
      <c r="V196" s="15"/>
      <c r="W196" s="15"/>
      <c r="X196" s="15"/>
      <c r="AD196" s="15"/>
    </row>
    <row r="197" spans="1:30">
      <c r="A197" s="15"/>
      <c r="B197" s="15"/>
      <c r="D197" s="15"/>
      <c r="E197" s="15"/>
      <c r="F197" s="15"/>
      <c r="G197" s="15"/>
      <c r="H197" s="15"/>
      <c r="I197" s="15"/>
      <c r="J197" s="15"/>
      <c r="K197" s="15"/>
      <c r="L197" s="15"/>
      <c r="O197" s="15"/>
      <c r="Q197" s="15"/>
      <c r="R197" s="15"/>
      <c r="S197" s="15"/>
      <c r="T197" s="15"/>
      <c r="U197" s="15"/>
      <c r="V197" s="15"/>
      <c r="W197" s="15"/>
      <c r="X197" s="15"/>
      <c r="AD197" s="15"/>
    </row>
    <row r="198" spans="1:30">
      <c r="A198" s="15"/>
      <c r="B198" s="15"/>
      <c r="D198" s="15"/>
      <c r="E198" s="15"/>
      <c r="F198" s="15"/>
      <c r="G198" s="15"/>
      <c r="H198" s="15"/>
      <c r="I198" s="15"/>
      <c r="J198" s="15"/>
      <c r="K198" s="15"/>
      <c r="L198" s="15"/>
      <c r="O198" s="15"/>
      <c r="Q198" s="15"/>
      <c r="R198" s="15"/>
      <c r="S198" s="15"/>
      <c r="T198" s="15"/>
      <c r="U198" s="15"/>
      <c r="V198" s="15"/>
      <c r="W198" s="15"/>
      <c r="X198" s="15"/>
      <c r="AD198" s="15"/>
    </row>
    <row r="199" spans="1:30">
      <c r="A199" s="15"/>
      <c r="B199" s="15"/>
      <c r="D199" s="15"/>
      <c r="E199" s="15"/>
      <c r="F199" s="15"/>
      <c r="G199" s="15"/>
      <c r="H199" s="15"/>
      <c r="I199" s="15"/>
      <c r="J199" s="15"/>
      <c r="K199" s="15"/>
      <c r="L199" s="15"/>
      <c r="O199" s="15"/>
      <c r="Q199" s="15"/>
      <c r="R199" s="15"/>
      <c r="S199" s="15"/>
      <c r="T199" s="15"/>
      <c r="U199" s="15"/>
      <c r="V199" s="15"/>
      <c r="W199" s="15"/>
      <c r="X199" s="15"/>
      <c r="AD199" s="15"/>
    </row>
    <row r="200" spans="1:30">
      <c r="A200" s="15"/>
      <c r="B200" s="15"/>
      <c r="D200" s="15"/>
      <c r="E200" s="15"/>
      <c r="F200" s="15"/>
      <c r="G200" s="15"/>
      <c r="H200" s="15"/>
      <c r="I200" s="15"/>
      <c r="J200" s="15"/>
      <c r="K200" s="15"/>
      <c r="L200" s="15"/>
      <c r="O200" s="15"/>
      <c r="Q200" s="15"/>
      <c r="R200" s="15"/>
      <c r="S200" s="15"/>
      <c r="T200" s="15"/>
      <c r="U200" s="15"/>
      <c r="V200" s="15"/>
      <c r="W200" s="15"/>
      <c r="X200" s="15"/>
      <c r="AD200" s="15"/>
    </row>
    <row r="201" spans="1:30">
      <c r="A201" s="15"/>
      <c r="B201" s="15"/>
      <c r="D201" s="15"/>
      <c r="E201" s="15"/>
      <c r="F201" s="15"/>
      <c r="G201" s="15"/>
      <c r="H201" s="15"/>
      <c r="I201" s="15"/>
      <c r="J201" s="15"/>
      <c r="K201" s="15"/>
      <c r="L201" s="15"/>
      <c r="O201" s="15"/>
      <c r="Q201" s="15"/>
      <c r="R201" s="15"/>
      <c r="S201" s="15"/>
      <c r="T201" s="15"/>
      <c r="U201" s="15"/>
      <c r="V201" s="15"/>
      <c r="W201" s="15"/>
      <c r="X201" s="15"/>
      <c r="AD201" s="15"/>
    </row>
    <row r="202" spans="1:30">
      <c r="A202" s="15"/>
      <c r="B202" s="15"/>
      <c r="D202" s="15"/>
      <c r="E202" s="15"/>
      <c r="F202" s="15"/>
      <c r="G202" s="15"/>
      <c r="H202" s="15"/>
      <c r="I202" s="15"/>
      <c r="J202" s="15"/>
      <c r="K202" s="15"/>
      <c r="L202" s="15"/>
      <c r="O202" s="15"/>
      <c r="Q202" s="15"/>
      <c r="R202" s="15"/>
      <c r="S202" s="15"/>
      <c r="T202" s="15"/>
      <c r="U202" s="15"/>
      <c r="V202" s="15"/>
      <c r="W202" s="15"/>
      <c r="X202" s="15"/>
      <c r="AD202" s="15"/>
    </row>
    <row r="203" spans="1:30">
      <c r="A203" s="15"/>
      <c r="B203" s="15"/>
      <c r="D203" s="15"/>
      <c r="E203" s="15"/>
      <c r="F203" s="15"/>
      <c r="G203" s="15"/>
      <c r="H203" s="15"/>
      <c r="I203" s="15"/>
      <c r="J203" s="15"/>
      <c r="K203" s="15"/>
      <c r="L203" s="15"/>
      <c r="O203" s="15"/>
      <c r="Q203" s="15"/>
      <c r="R203" s="15"/>
      <c r="S203" s="15"/>
      <c r="T203" s="15"/>
      <c r="U203" s="15"/>
      <c r="V203" s="15"/>
      <c r="W203" s="15"/>
      <c r="X203" s="15"/>
      <c r="AD203" s="15"/>
    </row>
    <row r="204" spans="1:30">
      <c r="A204" s="15"/>
      <c r="B204" s="15"/>
      <c r="D204" s="15"/>
      <c r="E204" s="15"/>
      <c r="F204" s="15"/>
      <c r="G204" s="15"/>
      <c r="H204" s="15"/>
      <c r="I204" s="15"/>
      <c r="J204" s="15"/>
      <c r="K204" s="15"/>
      <c r="L204" s="15"/>
      <c r="O204" s="15"/>
      <c r="Q204" s="15"/>
      <c r="R204" s="15"/>
      <c r="S204" s="15"/>
      <c r="T204" s="15"/>
      <c r="U204" s="15"/>
      <c r="V204" s="15"/>
      <c r="W204" s="15"/>
      <c r="X204" s="15"/>
      <c r="AD204" s="15"/>
    </row>
    <row r="205" spans="1:30">
      <c r="A205" s="15"/>
      <c r="B205" s="15"/>
      <c r="D205" s="15"/>
      <c r="E205" s="15"/>
      <c r="F205" s="15"/>
      <c r="G205" s="15"/>
      <c r="H205" s="15"/>
      <c r="I205" s="15"/>
      <c r="J205" s="15"/>
      <c r="K205" s="15"/>
      <c r="L205" s="15"/>
      <c r="O205" s="15"/>
      <c r="Q205" s="15"/>
      <c r="R205" s="15"/>
      <c r="S205" s="15"/>
      <c r="T205" s="15"/>
      <c r="U205" s="15"/>
      <c r="V205" s="15"/>
      <c r="W205" s="15"/>
      <c r="X205" s="15"/>
      <c r="AD205" s="15"/>
    </row>
    <row r="206" spans="1:30">
      <c r="A206" s="15"/>
      <c r="B206" s="15"/>
      <c r="D206" s="15"/>
      <c r="E206" s="15"/>
      <c r="F206" s="15"/>
      <c r="G206" s="15"/>
      <c r="H206" s="15"/>
      <c r="I206" s="15"/>
      <c r="J206" s="15"/>
      <c r="K206" s="15"/>
      <c r="L206" s="15"/>
      <c r="O206" s="15"/>
      <c r="Q206" s="15"/>
      <c r="R206" s="15"/>
      <c r="S206" s="15"/>
      <c r="T206" s="15"/>
      <c r="U206" s="15"/>
      <c r="V206" s="15"/>
      <c r="W206" s="15"/>
      <c r="X206" s="15"/>
      <c r="AD206" s="15"/>
    </row>
    <row r="207" spans="1:30">
      <c r="A207" s="15"/>
      <c r="B207" s="15"/>
      <c r="D207" s="15"/>
      <c r="E207" s="15"/>
      <c r="F207" s="15"/>
      <c r="G207" s="15"/>
      <c r="H207" s="15"/>
      <c r="I207" s="15"/>
      <c r="J207" s="15"/>
      <c r="K207" s="15"/>
      <c r="L207" s="15"/>
      <c r="O207" s="15"/>
      <c r="Q207" s="15"/>
      <c r="R207" s="15"/>
      <c r="S207" s="15"/>
      <c r="T207" s="15"/>
      <c r="U207" s="15"/>
      <c r="V207" s="15"/>
      <c r="W207" s="15"/>
      <c r="X207" s="15"/>
      <c r="AD207" s="15"/>
    </row>
    <row r="208" spans="1:30">
      <c r="A208" s="15"/>
      <c r="B208" s="15"/>
      <c r="D208" s="15"/>
      <c r="E208" s="15"/>
      <c r="F208" s="15"/>
      <c r="G208" s="15"/>
      <c r="H208" s="15"/>
      <c r="I208" s="15"/>
      <c r="J208" s="15"/>
      <c r="K208" s="15"/>
      <c r="L208" s="15"/>
      <c r="O208" s="15"/>
      <c r="Q208" s="15"/>
      <c r="R208" s="15"/>
      <c r="S208" s="15"/>
      <c r="T208" s="15"/>
      <c r="U208" s="15"/>
      <c r="V208" s="15"/>
      <c r="W208" s="15"/>
      <c r="X208" s="15"/>
      <c r="AD208" s="15"/>
    </row>
    <row r="209" spans="1:30">
      <c r="A209" s="15"/>
      <c r="B209" s="15"/>
      <c r="D209" s="15"/>
      <c r="E209" s="15"/>
      <c r="F209" s="15"/>
      <c r="G209" s="15"/>
      <c r="H209" s="15"/>
      <c r="I209" s="15"/>
      <c r="J209" s="15"/>
      <c r="K209" s="15"/>
      <c r="L209" s="15"/>
      <c r="O209" s="15"/>
      <c r="Q209" s="15"/>
      <c r="R209" s="15"/>
      <c r="S209" s="15"/>
      <c r="T209" s="15"/>
      <c r="U209" s="15"/>
      <c r="V209" s="15"/>
      <c r="W209" s="15"/>
      <c r="X209" s="15"/>
      <c r="AD209" s="15"/>
    </row>
    <row r="210" spans="1:30">
      <c r="A210" s="15"/>
      <c r="B210" s="15"/>
      <c r="D210" s="15"/>
      <c r="E210" s="15"/>
      <c r="F210" s="15"/>
      <c r="G210" s="15"/>
      <c r="H210" s="15"/>
      <c r="I210" s="15"/>
      <c r="J210" s="15"/>
      <c r="K210" s="15"/>
      <c r="L210" s="15"/>
      <c r="O210" s="15"/>
      <c r="Q210" s="15"/>
      <c r="R210" s="15"/>
      <c r="S210" s="15"/>
      <c r="T210" s="15"/>
      <c r="U210" s="15"/>
      <c r="V210" s="15"/>
      <c r="W210" s="15"/>
      <c r="X210" s="15"/>
      <c r="AD210" s="15"/>
    </row>
    <row r="211" spans="1:30">
      <c r="A211" s="15"/>
      <c r="B211" s="15"/>
      <c r="D211" s="15"/>
      <c r="E211" s="15"/>
      <c r="F211" s="15"/>
      <c r="G211" s="15"/>
      <c r="H211" s="15"/>
      <c r="I211" s="15"/>
      <c r="J211" s="15"/>
      <c r="K211" s="15"/>
      <c r="L211" s="15"/>
      <c r="O211" s="15"/>
      <c r="Q211" s="15"/>
      <c r="R211" s="15"/>
      <c r="S211" s="15"/>
      <c r="T211" s="15"/>
      <c r="U211" s="15"/>
      <c r="V211" s="15"/>
      <c r="W211" s="15"/>
      <c r="X211" s="15"/>
      <c r="AD211" s="15"/>
    </row>
    <row r="212" spans="1:30">
      <c r="A212" s="15"/>
      <c r="B212" s="15"/>
      <c r="D212" s="15"/>
      <c r="E212" s="15"/>
      <c r="F212" s="15"/>
      <c r="G212" s="15"/>
      <c r="H212" s="15"/>
      <c r="I212" s="15"/>
      <c r="J212" s="15"/>
      <c r="K212" s="15"/>
      <c r="L212" s="15"/>
      <c r="O212" s="15"/>
      <c r="Q212" s="15"/>
      <c r="R212" s="15"/>
      <c r="S212" s="15"/>
      <c r="T212" s="15"/>
      <c r="U212" s="15"/>
      <c r="V212" s="15"/>
      <c r="W212" s="15"/>
      <c r="X212" s="15"/>
      <c r="AD212" s="15"/>
    </row>
    <row r="213" spans="1:30">
      <c r="A213" s="15"/>
      <c r="B213" s="15"/>
      <c r="D213" s="15"/>
      <c r="E213" s="15"/>
      <c r="F213" s="15"/>
      <c r="G213" s="15"/>
      <c r="H213" s="15"/>
      <c r="I213" s="15"/>
      <c r="J213" s="15"/>
      <c r="K213" s="15"/>
      <c r="L213" s="15"/>
      <c r="O213" s="15"/>
      <c r="Q213" s="15"/>
      <c r="R213" s="15"/>
      <c r="S213" s="15"/>
      <c r="T213" s="15"/>
      <c r="U213" s="15"/>
      <c r="V213" s="15"/>
      <c r="W213" s="15"/>
      <c r="X213" s="15"/>
      <c r="AD213" s="15"/>
    </row>
    <row r="214" spans="1:30">
      <c r="A214" s="15"/>
      <c r="B214" s="15"/>
      <c r="D214" s="15"/>
      <c r="E214" s="15"/>
      <c r="F214" s="15"/>
      <c r="G214" s="15"/>
      <c r="H214" s="15"/>
      <c r="I214" s="15"/>
      <c r="J214" s="15"/>
      <c r="K214" s="15"/>
      <c r="L214" s="15"/>
      <c r="O214" s="15"/>
      <c r="Q214" s="15"/>
      <c r="R214" s="15"/>
      <c r="S214" s="15"/>
      <c r="T214" s="15"/>
      <c r="U214" s="15"/>
      <c r="V214" s="15"/>
      <c r="W214" s="15"/>
      <c r="X214" s="15"/>
      <c r="AD214" s="15"/>
    </row>
    <row r="215" spans="1:30">
      <c r="A215" s="15"/>
      <c r="B215" s="15"/>
      <c r="D215" s="15"/>
      <c r="E215" s="15"/>
      <c r="F215" s="15"/>
      <c r="G215" s="15"/>
      <c r="H215" s="15"/>
      <c r="I215" s="15"/>
      <c r="J215" s="15"/>
      <c r="K215" s="15"/>
      <c r="L215" s="15"/>
      <c r="O215" s="15"/>
      <c r="Q215" s="15"/>
      <c r="R215" s="15"/>
      <c r="S215" s="15"/>
      <c r="T215" s="15"/>
      <c r="U215" s="15"/>
      <c r="V215" s="15"/>
      <c r="W215" s="15"/>
      <c r="X215" s="15"/>
      <c r="AD215" s="15"/>
    </row>
    <row r="216" spans="1:30">
      <c r="A216" s="15"/>
      <c r="B216" s="15"/>
      <c r="D216" s="15"/>
      <c r="E216" s="15"/>
      <c r="F216" s="15"/>
      <c r="G216" s="15"/>
      <c r="H216" s="15"/>
      <c r="I216" s="15"/>
      <c r="J216" s="15"/>
      <c r="K216" s="15"/>
      <c r="L216" s="15"/>
      <c r="O216" s="15"/>
      <c r="Q216" s="15"/>
      <c r="R216" s="15"/>
      <c r="S216" s="15"/>
      <c r="T216" s="15"/>
      <c r="U216" s="15"/>
      <c r="V216" s="15"/>
      <c r="W216" s="15"/>
      <c r="X216" s="15"/>
      <c r="AD216" s="15"/>
    </row>
    <row r="217" spans="1:30">
      <c r="A217" s="15"/>
      <c r="B217" s="15"/>
      <c r="D217" s="15"/>
      <c r="E217" s="15"/>
      <c r="F217" s="15"/>
      <c r="G217" s="15"/>
      <c r="H217" s="15"/>
      <c r="I217" s="15"/>
      <c r="J217" s="15"/>
      <c r="K217" s="15"/>
      <c r="L217" s="15"/>
      <c r="O217" s="15"/>
      <c r="Q217" s="15"/>
      <c r="R217" s="15"/>
      <c r="S217" s="15"/>
      <c r="T217" s="15"/>
      <c r="U217" s="15"/>
      <c r="V217" s="15"/>
      <c r="W217" s="15"/>
      <c r="X217" s="15"/>
      <c r="AD217" s="15"/>
    </row>
    <row r="218" spans="1:30">
      <c r="A218" s="15"/>
      <c r="B218" s="15"/>
      <c r="D218" s="15"/>
      <c r="E218" s="15"/>
      <c r="F218" s="15"/>
      <c r="G218" s="15"/>
      <c r="H218" s="15"/>
      <c r="I218" s="15"/>
      <c r="J218" s="15"/>
      <c r="K218" s="15"/>
      <c r="L218" s="15"/>
      <c r="O218" s="15"/>
      <c r="Q218" s="15"/>
      <c r="R218" s="15"/>
      <c r="S218" s="15"/>
      <c r="T218" s="15"/>
      <c r="U218" s="15"/>
      <c r="V218" s="15"/>
      <c r="W218" s="15"/>
      <c r="X218" s="15"/>
      <c r="AD218" s="15"/>
    </row>
    <row r="219" spans="1:30">
      <c r="A219" s="15"/>
      <c r="B219" s="15"/>
      <c r="D219" s="15"/>
      <c r="E219" s="15"/>
      <c r="F219" s="15"/>
      <c r="G219" s="15"/>
      <c r="H219" s="15"/>
      <c r="I219" s="15"/>
      <c r="J219" s="15"/>
      <c r="K219" s="15"/>
      <c r="L219" s="15"/>
      <c r="O219" s="15"/>
      <c r="Q219" s="15"/>
      <c r="R219" s="15"/>
      <c r="S219" s="15"/>
      <c r="T219" s="15"/>
      <c r="U219" s="15"/>
      <c r="V219" s="15"/>
      <c r="W219" s="15"/>
      <c r="X219" s="15"/>
      <c r="AD219" s="15"/>
    </row>
    <row r="220" spans="1:30">
      <c r="A220" s="15"/>
      <c r="B220" s="15"/>
      <c r="D220" s="15"/>
      <c r="E220" s="15"/>
      <c r="F220" s="15"/>
      <c r="G220" s="15"/>
      <c r="H220" s="15"/>
      <c r="I220" s="15"/>
      <c r="J220" s="15"/>
      <c r="K220" s="15"/>
      <c r="L220" s="15"/>
      <c r="O220" s="15"/>
      <c r="Q220" s="15"/>
      <c r="R220" s="15"/>
      <c r="S220" s="15"/>
      <c r="T220" s="15"/>
      <c r="U220" s="15"/>
      <c r="V220" s="15"/>
      <c r="W220" s="15"/>
      <c r="X220" s="15"/>
      <c r="AD220" s="15"/>
    </row>
    <row r="221" spans="1:30">
      <c r="A221" s="15"/>
      <c r="B221" s="15"/>
      <c r="D221" s="15"/>
      <c r="E221" s="15"/>
      <c r="F221" s="15"/>
      <c r="G221" s="15"/>
      <c r="H221" s="15"/>
      <c r="I221" s="15"/>
      <c r="J221" s="15"/>
      <c r="K221" s="15"/>
      <c r="L221" s="15"/>
      <c r="O221" s="15"/>
      <c r="Q221" s="15"/>
      <c r="R221" s="15"/>
      <c r="S221" s="15"/>
      <c r="T221" s="15"/>
      <c r="U221" s="15"/>
      <c r="V221" s="15"/>
      <c r="W221" s="15"/>
      <c r="X221" s="15"/>
      <c r="AD221" s="15"/>
    </row>
    <row r="222" spans="1:30">
      <c r="A222" s="15"/>
      <c r="B222" s="15"/>
      <c r="D222" s="15"/>
      <c r="E222" s="15"/>
      <c r="F222" s="15"/>
      <c r="G222" s="15"/>
      <c r="H222" s="15"/>
      <c r="I222" s="15"/>
      <c r="J222" s="15"/>
      <c r="K222" s="15"/>
      <c r="L222" s="15"/>
      <c r="O222" s="15"/>
      <c r="Q222" s="15"/>
      <c r="R222" s="15"/>
      <c r="S222" s="15"/>
      <c r="T222" s="15"/>
      <c r="U222" s="15"/>
      <c r="V222" s="15"/>
      <c r="W222" s="15"/>
      <c r="X222" s="15"/>
      <c r="AD222" s="15"/>
    </row>
    <row r="223" spans="1:30">
      <c r="A223" s="15"/>
      <c r="B223" s="15"/>
      <c r="D223" s="15"/>
      <c r="E223" s="15"/>
      <c r="F223" s="15"/>
      <c r="G223" s="15"/>
      <c r="H223" s="15"/>
      <c r="I223" s="15"/>
      <c r="J223" s="15"/>
      <c r="K223" s="15"/>
      <c r="L223" s="1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205"/>
  <sheetViews>
    <sheetView tabSelected="1" workbookViewId="0">
      <pane xSplit="4" ySplit="1" topLeftCell="XEU2" activePane="bottomRight" state="frozen"/>
      <selection/>
      <selection pane="topRight"/>
      <selection pane="bottomLeft"/>
      <selection pane="bottomRight" activeCell="A2" sqref="$A2:$XFD67"/>
    </sheetView>
  </sheetViews>
  <sheetFormatPr defaultColWidth="17" defaultRowHeight="11.4"/>
  <cols>
    <col min="1" max="1" width="7.51041666666667" customWidth="1"/>
    <col min="2" max="2" width="15.1875" customWidth="1"/>
    <col min="3" max="3" width="21.6458333333333" customWidth="1"/>
    <col min="4" max="4" width="14.84375" customWidth="1"/>
    <col min="5" max="5" width="10.6458333333333" customWidth="1"/>
    <col min="6" max="6" width="12.0520833333333" customWidth="1"/>
    <col min="7" max="7" width="16.59375" customWidth="1"/>
    <col min="8" max="8" width="6.625" customWidth="1"/>
    <col min="9" max="9" width="9.94791666666667" customWidth="1"/>
    <col min="10" max="10" width="12.5729166666667" customWidth="1"/>
    <col min="11" max="11" width="9.60416666666667" customWidth="1"/>
    <col min="12" max="15" width="16.59375" customWidth="1"/>
    <col min="16" max="16" width="20.0833333333333" customWidth="1"/>
    <col min="17" max="17" width="39.4583333333333" customWidth="1"/>
    <col min="18" max="20" width="16.59375" customWidth="1"/>
    <col min="21" max="21" width="19.7291666666667" customWidth="1"/>
    <col min="22" max="23" width="35.7916666666667" customWidth="1"/>
    <col min="24" max="24" width="16.59375" customWidth="1"/>
    <col min="25" max="25" width="12.9166666666667" customWidth="1"/>
    <col min="26" max="27" width="11.5208333333333" customWidth="1"/>
    <col min="28" max="72" width="16.59375" customWidth="1"/>
    <col min="73" max="73" width="26.5416666666667" customWidth="1"/>
    <col min="74" max="74" width="20.9479166666667" customWidth="1"/>
    <col min="75" max="75" width="20.6041666666667" customWidth="1"/>
    <col min="76" max="77" width="16.59375" customWidth="1"/>
  </cols>
  <sheetData>
    <row r="1" ht="34.8" spans="1:77">
      <c r="A1" s="274" t="s">
        <v>0</v>
      </c>
      <c r="B1" s="274" t="s">
        <v>1</v>
      </c>
      <c r="C1" s="275" t="s">
        <v>3</v>
      </c>
      <c r="D1" s="275" t="s">
        <v>198</v>
      </c>
      <c r="E1" s="275" t="s">
        <v>199</v>
      </c>
      <c r="F1" s="275" t="s">
        <v>200</v>
      </c>
      <c r="G1" s="275" t="s">
        <v>201</v>
      </c>
      <c r="H1" s="275" t="s">
        <v>202</v>
      </c>
      <c r="I1" s="275" t="s">
        <v>203</v>
      </c>
      <c r="J1" s="275" t="s">
        <v>204</v>
      </c>
      <c r="K1" s="275" t="s">
        <v>205</v>
      </c>
      <c r="L1" s="275" t="s">
        <v>206</v>
      </c>
      <c r="M1" s="275" t="s">
        <v>207</v>
      </c>
      <c r="N1" s="275" t="s">
        <v>208</v>
      </c>
      <c r="O1" s="276" t="s">
        <v>209</v>
      </c>
      <c r="P1" s="275" t="s">
        <v>210</v>
      </c>
      <c r="Q1" s="276" t="s">
        <v>211</v>
      </c>
      <c r="R1" s="274" t="s">
        <v>212</v>
      </c>
      <c r="S1" s="277" t="s">
        <v>213</v>
      </c>
      <c r="T1" s="275" t="s">
        <v>214</v>
      </c>
      <c r="U1" s="274" t="s">
        <v>215</v>
      </c>
      <c r="V1" s="274" t="s">
        <v>216</v>
      </c>
      <c r="W1" s="275" t="s">
        <v>217</v>
      </c>
      <c r="X1" s="275" t="s">
        <v>218</v>
      </c>
      <c r="Y1" s="275" t="s">
        <v>219</v>
      </c>
      <c r="Z1" s="275" t="s">
        <v>220</v>
      </c>
      <c r="AA1" s="275" t="s">
        <v>221</v>
      </c>
      <c r="AB1" s="278" t="s">
        <v>222</v>
      </c>
      <c r="AC1" s="275" t="s">
        <v>223</v>
      </c>
      <c r="AD1" s="275" t="s">
        <v>224</v>
      </c>
      <c r="AE1" s="275" t="s">
        <v>225</v>
      </c>
      <c r="AF1" s="275" t="s">
        <v>226</v>
      </c>
      <c r="AG1" s="275" t="s">
        <v>227</v>
      </c>
      <c r="AH1" s="274" t="s">
        <v>228</v>
      </c>
      <c r="AI1" s="274" t="s">
        <v>229</v>
      </c>
      <c r="AJ1" s="274" t="s">
        <v>230</v>
      </c>
      <c r="AK1" s="274" t="s">
        <v>231</v>
      </c>
      <c r="AL1" s="274" t="s">
        <v>232</v>
      </c>
      <c r="AM1" s="274" t="s">
        <v>233</v>
      </c>
      <c r="AN1" s="274" t="s">
        <v>234</v>
      </c>
      <c r="AO1" s="274" t="s">
        <v>235</v>
      </c>
      <c r="AP1" s="274" t="s">
        <v>228</v>
      </c>
      <c r="AQ1" s="274" t="s">
        <v>236</v>
      </c>
      <c r="AR1" s="274" t="s">
        <v>237</v>
      </c>
      <c r="AS1" s="274" t="s">
        <v>238</v>
      </c>
      <c r="AT1" s="274" t="s">
        <v>239</v>
      </c>
      <c r="AU1" s="275" t="s">
        <v>240</v>
      </c>
      <c r="AV1" s="275" t="s">
        <v>241</v>
      </c>
      <c r="AW1" s="275" t="s">
        <v>242</v>
      </c>
      <c r="AX1" s="275" t="s">
        <v>243</v>
      </c>
      <c r="AY1" s="275" t="s">
        <v>244</v>
      </c>
      <c r="AZ1" s="275" t="s">
        <v>245</v>
      </c>
      <c r="BA1" s="275" t="s">
        <v>246</v>
      </c>
      <c r="BB1" s="275" t="s">
        <v>247</v>
      </c>
      <c r="BC1" s="275" t="s">
        <v>248</v>
      </c>
      <c r="BD1" s="275" t="s">
        <v>249</v>
      </c>
      <c r="BE1" s="275" t="s">
        <v>250</v>
      </c>
      <c r="BF1" s="275" t="s">
        <v>251</v>
      </c>
      <c r="BG1" s="275" t="s">
        <v>252</v>
      </c>
      <c r="BH1" s="275" t="s">
        <v>253</v>
      </c>
      <c r="BI1" s="275" t="s">
        <v>254</v>
      </c>
      <c r="BJ1" s="275" t="s">
        <v>255</v>
      </c>
      <c r="BK1" s="279" t="s">
        <v>256</v>
      </c>
      <c r="BL1" s="275" t="s">
        <v>257</v>
      </c>
      <c r="BM1" s="275" t="s">
        <v>258</v>
      </c>
      <c r="BN1" s="275" t="s">
        <v>259</v>
      </c>
      <c r="BO1" s="275" t="s">
        <v>260</v>
      </c>
      <c r="BP1" s="274" t="s">
        <v>261</v>
      </c>
      <c r="BQ1" s="275" t="s">
        <v>262</v>
      </c>
      <c r="BR1" s="275" t="s">
        <v>263</v>
      </c>
      <c r="BS1" s="275" t="s">
        <v>264</v>
      </c>
      <c r="BT1" s="275" t="s">
        <v>265</v>
      </c>
      <c r="BU1" s="280" t="s">
        <v>266</v>
      </c>
      <c r="BV1" s="281" t="s">
        <v>267</v>
      </c>
      <c r="BW1" s="282" t="s">
        <v>268</v>
      </c>
      <c r="BX1" s="274" t="s">
        <v>269</v>
      </c>
      <c r="BY1" s="274" t="s">
        <v>270</v>
      </c>
    </row>
    <row r="2" spans="1:77">
      <c r="A2" s="88" t="s">
        <v>271</v>
      </c>
      <c r="B2" s="88" t="s">
        <v>272</v>
      </c>
      <c r="C2" s="283" t="s">
        <v>273</v>
      </c>
      <c r="D2" s="284">
        <v>45734</v>
      </c>
      <c r="E2" s="88" t="s">
        <v>274</v>
      </c>
      <c r="F2" s="20" t="s">
        <v>275</v>
      </c>
      <c r="G2" s="20" t="s">
        <v>276</v>
      </c>
      <c r="H2" s="283" t="s">
        <v>277</v>
      </c>
      <c r="I2" s="283" t="s">
        <v>278</v>
      </c>
      <c r="J2" s="283" t="s">
        <v>279</v>
      </c>
      <c r="K2" s="88" t="s">
        <v>280</v>
      </c>
      <c r="L2" s="285" t="s">
        <v>281</v>
      </c>
      <c r="M2" s="283" t="s">
        <v>282</v>
      </c>
      <c r="N2" s="283" t="s">
        <v>283</v>
      </c>
      <c r="O2" s="286" t="s">
        <v>284</v>
      </c>
      <c r="P2" s="88" t="s">
        <v>285</v>
      </c>
      <c r="Q2" s="286" t="s">
        <v>286</v>
      </c>
      <c r="R2" s="287" t="s">
        <v>287</v>
      </c>
      <c r="S2" s="288" t="s">
        <v>288</v>
      </c>
      <c r="T2" s="283" t="s">
        <v>282</v>
      </c>
      <c r="U2" s="283"/>
      <c r="V2" s="288" t="s">
        <v>289</v>
      </c>
      <c r="W2" s="283" t="s">
        <v>290</v>
      </c>
      <c r="X2" s="88" t="s">
        <v>272</v>
      </c>
      <c r="Y2" s="289">
        <v>432</v>
      </c>
      <c r="Z2" s="284">
        <v>45767</v>
      </c>
      <c r="AA2" s="284">
        <v>45777</v>
      </c>
      <c r="AB2" s="284">
        <v>45784</v>
      </c>
      <c r="AC2" s="88" t="s">
        <v>280</v>
      </c>
      <c r="AD2" s="88" t="s">
        <v>280</v>
      </c>
      <c r="AE2" s="88" t="s">
        <v>280</v>
      </c>
      <c r="AF2" s="88" t="s">
        <v>280</v>
      </c>
      <c r="AG2" s="284">
        <v>45754</v>
      </c>
      <c r="AH2" s="284"/>
      <c r="AI2" s="290" t="s">
        <v>291</v>
      </c>
      <c r="AJ2" s="284">
        <v>45776</v>
      </c>
      <c r="AK2" s="290"/>
      <c r="AL2" s="283" t="s">
        <v>292</v>
      </c>
      <c r="AM2" s="88"/>
      <c r="AN2" s="88"/>
      <c r="AO2" s="283">
        <v>5</v>
      </c>
      <c r="AP2" s="284">
        <v>45776</v>
      </c>
      <c r="AQ2" s="88"/>
      <c r="AR2" s="283">
        <v>5</v>
      </c>
      <c r="AS2" s="88"/>
      <c r="AT2" s="88"/>
      <c r="AU2" s="88" t="s">
        <v>280</v>
      </c>
      <c r="AV2" s="88" t="s">
        <v>280</v>
      </c>
      <c r="AW2" s="284">
        <v>45777</v>
      </c>
      <c r="AX2" s="88" t="s">
        <v>280</v>
      </c>
      <c r="AY2" s="284">
        <v>45748</v>
      </c>
      <c r="AZ2" s="284">
        <v>45765</v>
      </c>
      <c r="BA2" s="88" t="s">
        <v>280</v>
      </c>
      <c r="BB2" s="88" t="s">
        <v>280</v>
      </c>
      <c r="BC2" s="88" t="s">
        <v>285</v>
      </c>
      <c r="BD2" s="88" t="s">
        <v>285</v>
      </c>
      <c r="BE2" s="88" t="s">
        <v>280</v>
      </c>
      <c r="BF2" s="88" t="s">
        <v>280</v>
      </c>
      <c r="BG2" s="88" t="s">
        <v>280</v>
      </c>
      <c r="BH2" s="88" t="s">
        <v>285</v>
      </c>
      <c r="BI2" s="88" t="s">
        <v>280</v>
      </c>
      <c r="BJ2" s="88" t="s">
        <v>285</v>
      </c>
      <c r="BK2" s="88" t="s">
        <v>280</v>
      </c>
      <c r="BL2" s="88" t="s">
        <v>280</v>
      </c>
      <c r="BM2" s="291">
        <v>1</v>
      </c>
      <c r="BN2" s="88" t="s">
        <v>285</v>
      </c>
      <c r="BO2" s="88" t="s">
        <v>285</v>
      </c>
      <c r="BP2" s="88" t="s">
        <v>280</v>
      </c>
      <c r="BQ2" s="88" t="s">
        <v>280</v>
      </c>
      <c r="BR2" s="88" t="s">
        <v>280</v>
      </c>
      <c r="BS2" s="88" t="s">
        <v>280</v>
      </c>
      <c r="BT2" s="88" t="s">
        <v>280</v>
      </c>
      <c r="BU2" s="292" t="s">
        <v>293</v>
      </c>
      <c r="BV2" s="283" t="s">
        <v>294</v>
      </c>
      <c r="BW2" s="293" t="s">
        <v>268</v>
      </c>
      <c r="BX2" s="294" t="s">
        <v>295</v>
      </c>
      <c r="BY2" s="294" t="s">
        <v>296</v>
      </c>
    </row>
    <row r="3" spans="1:77">
      <c r="A3" s="88" t="s">
        <v>297</v>
      </c>
      <c r="B3" s="88" t="s">
        <v>298</v>
      </c>
      <c r="C3" s="283" t="s">
        <v>299</v>
      </c>
      <c r="D3" s="284">
        <v>45734</v>
      </c>
      <c r="E3" s="88" t="s">
        <v>274</v>
      </c>
      <c r="F3" s="20" t="s">
        <v>275</v>
      </c>
      <c r="G3" s="20" t="s">
        <v>276</v>
      </c>
      <c r="H3" s="283" t="s">
        <v>300</v>
      </c>
      <c r="I3" s="295" t="s">
        <v>278</v>
      </c>
      <c r="J3" s="88" t="s">
        <v>279</v>
      </c>
      <c r="K3" s="88" t="s">
        <v>280</v>
      </c>
      <c r="L3" s="285" t="s">
        <v>281</v>
      </c>
      <c r="M3" s="283" t="s">
        <v>282</v>
      </c>
      <c r="N3" s="88" t="s">
        <v>283</v>
      </c>
      <c r="O3" s="286" t="s">
        <v>301</v>
      </c>
      <c r="P3" s="88" t="s">
        <v>285</v>
      </c>
      <c r="Q3" s="286" t="s">
        <v>302</v>
      </c>
      <c r="R3" s="88" t="s">
        <v>282</v>
      </c>
      <c r="S3" s="296"/>
      <c r="T3" s="283" t="s">
        <v>282</v>
      </c>
      <c r="U3" s="283"/>
      <c r="V3" s="297" t="s">
        <v>289</v>
      </c>
      <c r="W3" s="88" t="s">
        <v>303</v>
      </c>
      <c r="X3" s="88" t="s">
        <v>298</v>
      </c>
      <c r="Y3" s="289">
        <v>270</v>
      </c>
      <c r="Z3" s="284">
        <v>45767</v>
      </c>
      <c r="AA3" s="284">
        <v>45777</v>
      </c>
      <c r="AB3" s="284">
        <v>45784</v>
      </c>
      <c r="AC3" s="88" t="s">
        <v>280</v>
      </c>
      <c r="AD3" s="88" t="s">
        <v>280</v>
      </c>
      <c r="AE3" s="88" t="s">
        <v>280</v>
      </c>
      <c r="AF3" s="88" t="s">
        <v>280</v>
      </c>
      <c r="AG3" s="284">
        <v>45754</v>
      </c>
      <c r="AH3" s="284"/>
      <c r="AI3" s="290" t="s">
        <v>291</v>
      </c>
      <c r="AJ3" s="284">
        <v>45776</v>
      </c>
      <c r="AK3" s="290"/>
      <c r="AL3" s="285" t="s">
        <v>292</v>
      </c>
      <c r="AM3" s="285"/>
      <c r="AN3" s="285"/>
      <c r="AO3" s="88">
        <v>5</v>
      </c>
      <c r="AP3" s="284">
        <v>45776</v>
      </c>
      <c r="AQ3" s="88"/>
      <c r="AR3" s="88">
        <v>5</v>
      </c>
      <c r="AS3" s="88"/>
      <c r="AT3" s="88"/>
      <c r="AU3" s="88" t="s">
        <v>280</v>
      </c>
      <c r="AV3" s="88" t="s">
        <v>280</v>
      </c>
      <c r="AW3" s="284">
        <v>45777</v>
      </c>
      <c r="AX3" s="88" t="s">
        <v>280</v>
      </c>
      <c r="AY3" s="284">
        <v>45748</v>
      </c>
      <c r="AZ3" s="284">
        <v>45765</v>
      </c>
      <c r="BA3" s="88" t="s">
        <v>280</v>
      </c>
      <c r="BB3" s="88" t="s">
        <v>280</v>
      </c>
      <c r="BC3" s="88" t="s">
        <v>285</v>
      </c>
      <c r="BD3" s="88" t="s">
        <v>285</v>
      </c>
      <c r="BE3" s="88" t="s">
        <v>280</v>
      </c>
      <c r="BF3" s="88" t="s">
        <v>280</v>
      </c>
      <c r="BG3" s="88" t="s">
        <v>280</v>
      </c>
      <c r="BH3" s="88" t="s">
        <v>285</v>
      </c>
      <c r="BI3" s="88" t="s">
        <v>280</v>
      </c>
      <c r="BJ3" s="88" t="s">
        <v>285</v>
      </c>
      <c r="BK3" s="88" t="s">
        <v>280</v>
      </c>
      <c r="BL3" s="88" t="s">
        <v>280</v>
      </c>
      <c r="BM3" s="291">
        <v>1</v>
      </c>
      <c r="BN3" s="88" t="s">
        <v>285</v>
      </c>
      <c r="BO3" s="88" t="s">
        <v>285</v>
      </c>
      <c r="BP3" s="88" t="s">
        <v>280</v>
      </c>
      <c r="BQ3" s="88" t="s">
        <v>280</v>
      </c>
      <c r="BR3" s="88" t="s">
        <v>280</v>
      </c>
      <c r="BS3" s="88" t="s">
        <v>280</v>
      </c>
      <c r="BT3" s="88" t="s">
        <v>280</v>
      </c>
      <c r="BU3" s="292" t="s">
        <v>293</v>
      </c>
      <c r="BV3" s="88" t="s">
        <v>294</v>
      </c>
      <c r="BW3" s="292" t="s">
        <v>304</v>
      </c>
      <c r="BX3" s="88"/>
      <c r="BY3" s="88"/>
    </row>
    <row r="4" spans="1:77">
      <c r="A4" s="14"/>
      <c r="B4" s="14"/>
      <c r="C4" s="14"/>
      <c r="D4" s="284"/>
      <c r="E4" s="88"/>
      <c r="F4" s="20"/>
      <c r="G4" s="20"/>
      <c r="H4" s="283"/>
      <c r="I4" s="295"/>
      <c r="J4" s="88"/>
      <c r="K4" s="88"/>
      <c r="L4" s="88"/>
      <c r="M4" s="88"/>
      <c r="N4" s="88"/>
      <c r="O4" s="136"/>
      <c r="P4" s="88"/>
      <c r="Q4" s="296"/>
      <c r="R4" s="88" t="s">
        <v>282</v>
      </c>
      <c r="S4" s="298"/>
      <c r="T4" s="88"/>
      <c r="U4" s="283"/>
      <c r="V4" s="297" t="s">
        <v>289</v>
      </c>
      <c r="W4" s="14"/>
      <c r="X4" s="14"/>
      <c r="Y4" s="14"/>
      <c r="Z4" s="284"/>
      <c r="AA4" s="284"/>
      <c r="AB4" s="284"/>
      <c r="AC4" s="88"/>
      <c r="AD4" s="88"/>
      <c r="AE4" s="88"/>
      <c r="AF4" s="88"/>
      <c r="AG4" s="284"/>
      <c r="AH4" s="284"/>
      <c r="AI4" s="290"/>
      <c r="AJ4" s="284"/>
      <c r="AK4" s="290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284"/>
      <c r="AX4" s="88"/>
      <c r="AY4" s="284"/>
      <c r="AZ4" s="284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291"/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</row>
    <row r="5" spans="1:77">
      <c r="A5" s="14" t="s">
        <v>305</v>
      </c>
      <c r="B5" s="20" t="s">
        <v>306</v>
      </c>
      <c r="C5" s="14" t="s">
        <v>307</v>
      </c>
      <c r="D5" s="284">
        <v>45734</v>
      </c>
      <c r="E5" s="88" t="s">
        <v>274</v>
      </c>
      <c r="F5" s="20" t="s">
        <v>275</v>
      </c>
      <c r="G5" s="20" t="s">
        <v>276</v>
      </c>
      <c r="H5" s="14" t="s">
        <v>277</v>
      </c>
      <c r="I5" s="295" t="s">
        <v>278</v>
      </c>
      <c r="J5" s="88" t="s">
        <v>279</v>
      </c>
      <c r="K5" s="14" t="s">
        <v>280</v>
      </c>
      <c r="L5" s="285" t="s">
        <v>281</v>
      </c>
      <c r="M5" s="14" t="s">
        <v>282</v>
      </c>
      <c r="N5" s="295" t="s">
        <v>283</v>
      </c>
      <c r="O5" s="299" t="s">
        <v>284</v>
      </c>
      <c r="P5" s="14" t="s">
        <v>285</v>
      </c>
      <c r="Q5" s="299" t="s">
        <v>286</v>
      </c>
      <c r="R5" s="294" t="s">
        <v>287</v>
      </c>
      <c r="S5" s="286" t="s">
        <v>288</v>
      </c>
      <c r="T5" s="14" t="s">
        <v>282</v>
      </c>
      <c r="U5" s="283"/>
      <c r="V5" s="297" t="s">
        <v>289</v>
      </c>
      <c r="W5" s="14" t="s">
        <v>308</v>
      </c>
      <c r="X5" s="14" t="s">
        <v>306</v>
      </c>
      <c r="Y5" s="300">
        <v>432</v>
      </c>
      <c r="Z5" s="284">
        <v>45767</v>
      </c>
      <c r="AA5" s="284">
        <v>45777</v>
      </c>
      <c r="AB5" s="284">
        <v>45784</v>
      </c>
      <c r="AC5" s="88" t="s">
        <v>280</v>
      </c>
      <c r="AD5" s="88" t="s">
        <v>280</v>
      </c>
      <c r="AE5" s="88" t="s">
        <v>280</v>
      </c>
      <c r="AF5" s="88" t="s">
        <v>280</v>
      </c>
      <c r="AG5" s="284">
        <v>45754</v>
      </c>
      <c r="AH5" s="284"/>
      <c r="AI5" s="290" t="s">
        <v>291</v>
      </c>
      <c r="AJ5" s="284">
        <v>45776</v>
      </c>
      <c r="AK5" s="290"/>
      <c r="AL5" s="285" t="s">
        <v>292</v>
      </c>
      <c r="AM5" s="285"/>
      <c r="AN5" s="285"/>
      <c r="AO5" s="88">
        <v>5</v>
      </c>
      <c r="AP5" s="284">
        <v>45769</v>
      </c>
      <c r="AQ5" s="88"/>
      <c r="AR5" s="88">
        <v>5</v>
      </c>
      <c r="AS5" s="88"/>
      <c r="AT5" s="88"/>
      <c r="AU5" s="88" t="s">
        <v>280</v>
      </c>
      <c r="AV5" s="88" t="s">
        <v>280</v>
      </c>
      <c r="AW5" s="284">
        <v>45777</v>
      </c>
      <c r="AX5" s="88" t="s">
        <v>280</v>
      </c>
      <c r="AY5" s="284">
        <v>45748</v>
      </c>
      <c r="AZ5" s="284">
        <v>45765</v>
      </c>
      <c r="BA5" s="88" t="s">
        <v>280</v>
      </c>
      <c r="BB5" s="88" t="s">
        <v>280</v>
      </c>
      <c r="BC5" s="88" t="s">
        <v>285</v>
      </c>
      <c r="BD5" s="88" t="s">
        <v>285</v>
      </c>
      <c r="BE5" s="88" t="s">
        <v>280</v>
      </c>
      <c r="BF5" s="88" t="s">
        <v>280</v>
      </c>
      <c r="BG5" s="88" t="s">
        <v>280</v>
      </c>
      <c r="BH5" s="88" t="s">
        <v>285</v>
      </c>
      <c r="BI5" s="88" t="s">
        <v>280</v>
      </c>
      <c r="BJ5" s="88" t="s">
        <v>285</v>
      </c>
      <c r="BK5" s="88" t="s">
        <v>280</v>
      </c>
      <c r="BL5" s="88" t="s">
        <v>280</v>
      </c>
      <c r="BM5" s="291">
        <v>1</v>
      </c>
      <c r="BN5" s="88" t="s">
        <v>285</v>
      </c>
      <c r="BO5" s="88" t="s">
        <v>285</v>
      </c>
      <c r="BP5" s="88" t="s">
        <v>280</v>
      </c>
      <c r="BQ5" s="88" t="s">
        <v>280</v>
      </c>
      <c r="BR5" s="88" t="s">
        <v>280</v>
      </c>
      <c r="BS5" s="88" t="s">
        <v>280</v>
      </c>
      <c r="BT5" s="88" t="s">
        <v>280</v>
      </c>
      <c r="BU5" s="88"/>
      <c r="BV5" s="88" t="s">
        <v>294</v>
      </c>
      <c r="BW5" s="88"/>
      <c r="BX5" s="88"/>
      <c r="BY5" s="88"/>
    </row>
    <row r="6" spans="1:77">
      <c r="A6" s="14" t="s">
        <v>309</v>
      </c>
      <c r="B6" s="20" t="s">
        <v>310</v>
      </c>
      <c r="C6" s="14" t="s">
        <v>311</v>
      </c>
      <c r="D6" s="284">
        <v>45734</v>
      </c>
      <c r="E6" s="88" t="s">
        <v>274</v>
      </c>
      <c r="F6" s="20" t="s">
        <v>275</v>
      </c>
      <c r="G6" s="20" t="s">
        <v>276</v>
      </c>
      <c r="H6" s="14" t="s">
        <v>300</v>
      </c>
      <c r="I6" s="295" t="s">
        <v>278</v>
      </c>
      <c r="J6" s="88" t="s">
        <v>279</v>
      </c>
      <c r="K6" s="14" t="s">
        <v>280</v>
      </c>
      <c r="L6" s="285" t="s">
        <v>281</v>
      </c>
      <c r="M6" s="14" t="s">
        <v>282</v>
      </c>
      <c r="N6" s="295" t="s">
        <v>283</v>
      </c>
      <c r="O6" s="299" t="s">
        <v>301</v>
      </c>
      <c r="P6" s="293" t="s">
        <v>285</v>
      </c>
      <c r="Q6" s="299" t="s">
        <v>302</v>
      </c>
      <c r="R6" s="88" t="s">
        <v>282</v>
      </c>
      <c r="S6" s="136"/>
      <c r="T6" s="14" t="s">
        <v>282</v>
      </c>
      <c r="U6" s="283"/>
      <c r="V6" s="297" t="s">
        <v>289</v>
      </c>
      <c r="W6" s="20" t="s">
        <v>312</v>
      </c>
      <c r="X6" s="20" t="s">
        <v>310</v>
      </c>
      <c r="Y6" s="300">
        <v>270</v>
      </c>
      <c r="Z6" s="284">
        <v>45767</v>
      </c>
      <c r="AA6" s="284">
        <v>45777</v>
      </c>
      <c r="AB6" s="284">
        <v>45784</v>
      </c>
      <c r="AC6" s="88" t="s">
        <v>280</v>
      </c>
      <c r="AD6" s="88" t="s">
        <v>280</v>
      </c>
      <c r="AE6" s="88" t="s">
        <v>280</v>
      </c>
      <c r="AF6" s="88" t="s">
        <v>280</v>
      </c>
      <c r="AG6" s="284">
        <v>45754</v>
      </c>
      <c r="AH6" s="284"/>
      <c r="AI6" s="290" t="s">
        <v>291</v>
      </c>
      <c r="AJ6" s="284">
        <v>45776</v>
      </c>
      <c r="AK6" s="290"/>
      <c r="AL6" s="285" t="s">
        <v>292</v>
      </c>
      <c r="AM6" s="285"/>
      <c r="AN6" s="285"/>
      <c r="AO6" s="88">
        <v>5</v>
      </c>
      <c r="AP6" s="284">
        <v>45769</v>
      </c>
      <c r="AQ6" s="88"/>
      <c r="AR6" s="88">
        <v>5</v>
      </c>
      <c r="AS6" s="88"/>
      <c r="AT6" s="88"/>
      <c r="AU6" s="88" t="s">
        <v>280</v>
      </c>
      <c r="AV6" s="88" t="s">
        <v>280</v>
      </c>
      <c r="AW6" s="284">
        <v>45777</v>
      </c>
      <c r="AX6" s="88" t="s">
        <v>280</v>
      </c>
      <c r="AY6" s="284">
        <v>45748</v>
      </c>
      <c r="AZ6" s="284">
        <v>45765</v>
      </c>
      <c r="BA6" s="88" t="s">
        <v>280</v>
      </c>
      <c r="BB6" s="88" t="s">
        <v>280</v>
      </c>
      <c r="BC6" s="88" t="s">
        <v>285</v>
      </c>
      <c r="BD6" s="88" t="s">
        <v>285</v>
      </c>
      <c r="BE6" s="88" t="s">
        <v>280</v>
      </c>
      <c r="BF6" s="88" t="s">
        <v>280</v>
      </c>
      <c r="BG6" s="88" t="s">
        <v>280</v>
      </c>
      <c r="BH6" s="88" t="s">
        <v>285</v>
      </c>
      <c r="BI6" s="88" t="s">
        <v>280</v>
      </c>
      <c r="BJ6" s="88" t="s">
        <v>285</v>
      </c>
      <c r="BK6" s="88" t="s">
        <v>280</v>
      </c>
      <c r="BL6" s="88" t="s">
        <v>280</v>
      </c>
      <c r="BM6" s="291">
        <v>1</v>
      </c>
      <c r="BN6" s="88" t="s">
        <v>285</v>
      </c>
      <c r="BO6" s="88" t="s">
        <v>285</v>
      </c>
      <c r="BP6" s="88" t="s">
        <v>280</v>
      </c>
      <c r="BQ6" s="88" t="s">
        <v>280</v>
      </c>
      <c r="BR6" s="88" t="s">
        <v>280</v>
      </c>
      <c r="BS6" s="88" t="s">
        <v>280</v>
      </c>
      <c r="BT6" s="88" t="s">
        <v>280</v>
      </c>
      <c r="BU6" s="88"/>
      <c r="BV6" s="88" t="s">
        <v>294</v>
      </c>
      <c r="BW6" s="88"/>
      <c r="BX6" s="88"/>
      <c r="BY6" s="88"/>
    </row>
    <row r="7" spans="1:77">
      <c r="A7" s="14"/>
      <c r="B7" s="14" t="s">
        <v>28</v>
      </c>
      <c r="C7" s="14"/>
      <c r="D7" s="284"/>
      <c r="E7" s="88"/>
      <c r="F7" s="14"/>
      <c r="G7" s="14"/>
      <c r="H7" s="14"/>
      <c r="I7" s="14"/>
      <c r="J7" s="14"/>
      <c r="K7" s="14"/>
      <c r="L7" s="14"/>
      <c r="M7" s="14"/>
      <c r="N7" s="14"/>
      <c r="O7" s="136"/>
      <c r="P7" s="14"/>
      <c r="Q7" s="296"/>
      <c r="R7" s="88" t="s">
        <v>282</v>
      </c>
      <c r="S7" s="138"/>
      <c r="T7" s="20"/>
      <c r="U7" s="20"/>
      <c r="V7" s="138"/>
      <c r="W7" s="20"/>
      <c r="X7" s="20"/>
      <c r="Y7" s="14"/>
      <c r="Z7" s="284"/>
      <c r="AA7" s="284"/>
      <c r="AB7" s="284"/>
      <c r="AC7" s="88"/>
      <c r="AD7" s="88"/>
      <c r="AE7" s="88"/>
      <c r="AF7" s="88"/>
      <c r="AG7" s="284"/>
      <c r="AH7" s="284"/>
      <c r="AI7" s="88"/>
      <c r="AJ7" s="88"/>
      <c r="AK7" s="88"/>
      <c r="AL7" s="88"/>
      <c r="AM7" s="88"/>
      <c r="AN7" s="88"/>
      <c r="AO7" s="88"/>
      <c r="AP7" s="284"/>
      <c r="AQ7" s="88"/>
      <c r="AR7" s="88"/>
      <c r="AS7" s="88"/>
      <c r="AT7" s="88"/>
      <c r="AU7" s="88"/>
      <c r="AV7" s="88"/>
      <c r="AW7" s="88"/>
      <c r="AX7" s="88"/>
      <c r="AY7" s="284">
        <v>45748</v>
      </c>
      <c r="AZ7" s="284">
        <v>45765</v>
      </c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291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</row>
    <row r="8" spans="1:77">
      <c r="A8" s="14" t="s">
        <v>27</v>
      </c>
      <c r="B8" s="301" t="s">
        <v>313</v>
      </c>
      <c r="C8" s="14" t="s">
        <v>314</v>
      </c>
      <c r="D8" s="284">
        <v>45734</v>
      </c>
      <c r="E8" s="88" t="s">
        <v>274</v>
      </c>
      <c r="F8" s="20" t="s">
        <v>275</v>
      </c>
      <c r="G8" s="20" t="s">
        <v>276</v>
      </c>
      <c r="H8" s="14" t="s">
        <v>277</v>
      </c>
      <c r="I8" s="14" t="s">
        <v>315</v>
      </c>
      <c r="J8" s="88" t="s">
        <v>279</v>
      </c>
      <c r="K8" s="14" t="s">
        <v>280</v>
      </c>
      <c r="L8" s="285" t="s">
        <v>281</v>
      </c>
      <c r="M8" s="302" t="s">
        <v>316</v>
      </c>
      <c r="N8" s="295" t="s">
        <v>283</v>
      </c>
      <c r="O8" s="286" t="s">
        <v>317</v>
      </c>
      <c r="P8" s="293" t="s">
        <v>285</v>
      </c>
      <c r="Q8" s="286" t="s">
        <v>318</v>
      </c>
      <c r="R8" s="294" t="s">
        <v>319</v>
      </c>
      <c r="S8" s="286" t="s">
        <v>320</v>
      </c>
      <c r="T8" s="14" t="s">
        <v>282</v>
      </c>
      <c r="U8" s="302" t="s">
        <v>321</v>
      </c>
      <c r="V8" s="286" t="s">
        <v>322</v>
      </c>
      <c r="W8" s="20" t="s">
        <v>323</v>
      </c>
      <c r="X8" s="20" t="s">
        <v>28</v>
      </c>
      <c r="Y8" s="144">
        <v>360</v>
      </c>
      <c r="Z8" s="284">
        <v>45761</v>
      </c>
      <c r="AA8" s="284">
        <v>45794</v>
      </c>
      <c r="AB8" s="284">
        <v>45802</v>
      </c>
      <c r="AC8" s="88" t="s">
        <v>280</v>
      </c>
      <c r="AD8" s="88" t="s">
        <v>280</v>
      </c>
      <c r="AE8" s="88" t="s">
        <v>280</v>
      </c>
      <c r="AF8" s="88" t="s">
        <v>280</v>
      </c>
      <c r="AG8" s="284">
        <v>45761</v>
      </c>
      <c r="AH8" s="284">
        <v>45769</v>
      </c>
      <c r="AI8" s="88" t="s">
        <v>324</v>
      </c>
      <c r="AJ8" s="284">
        <v>45776</v>
      </c>
      <c r="AK8" s="88"/>
      <c r="AL8" s="285" t="s">
        <v>292</v>
      </c>
      <c r="AM8" s="285"/>
      <c r="AN8" s="285"/>
      <c r="AO8" s="88">
        <v>5</v>
      </c>
      <c r="AP8" s="284">
        <v>45769</v>
      </c>
      <c r="AQ8" s="88"/>
      <c r="AR8" s="88">
        <v>5</v>
      </c>
      <c r="AS8" s="88"/>
      <c r="AT8" s="88"/>
      <c r="AU8" s="88" t="s">
        <v>280</v>
      </c>
      <c r="AV8" s="88" t="s">
        <v>280</v>
      </c>
      <c r="AW8" s="88" t="s">
        <v>280</v>
      </c>
      <c r="AX8" s="88" t="s">
        <v>280</v>
      </c>
      <c r="AY8" s="284">
        <v>45748</v>
      </c>
      <c r="AZ8" s="284">
        <v>45765</v>
      </c>
      <c r="BA8" s="88" t="s">
        <v>280</v>
      </c>
      <c r="BB8" s="88" t="s">
        <v>280</v>
      </c>
      <c r="BC8" s="88" t="s">
        <v>285</v>
      </c>
      <c r="BD8" s="88" t="s">
        <v>285</v>
      </c>
      <c r="BE8" s="88" t="s">
        <v>280</v>
      </c>
      <c r="BF8" s="88" t="s">
        <v>280</v>
      </c>
      <c r="BG8" s="88" t="s">
        <v>280</v>
      </c>
      <c r="BH8" s="88" t="s">
        <v>285</v>
      </c>
      <c r="BI8" s="88" t="s">
        <v>280</v>
      </c>
      <c r="BJ8" s="88" t="s">
        <v>285</v>
      </c>
      <c r="BK8" s="88" t="s">
        <v>280</v>
      </c>
      <c r="BL8" s="88" t="s">
        <v>280</v>
      </c>
      <c r="BM8" s="291">
        <v>1</v>
      </c>
      <c r="BN8" s="88" t="s">
        <v>285</v>
      </c>
      <c r="BO8" s="88" t="s">
        <v>285</v>
      </c>
      <c r="BP8" s="88" t="s">
        <v>280</v>
      </c>
      <c r="BQ8" s="88" t="s">
        <v>280</v>
      </c>
      <c r="BR8" s="88" t="s">
        <v>280</v>
      </c>
      <c r="BS8" s="88" t="s">
        <v>280</v>
      </c>
      <c r="BT8" s="88" t="s">
        <v>280</v>
      </c>
      <c r="BU8" s="88"/>
      <c r="BV8" s="88" t="s">
        <v>294</v>
      </c>
      <c r="BW8" s="88"/>
      <c r="BX8" s="88"/>
      <c r="BY8" s="88"/>
    </row>
    <row r="9" spans="1:77">
      <c r="A9" s="14" t="s">
        <v>30</v>
      </c>
      <c r="B9" s="20" t="s">
        <v>31</v>
      </c>
      <c r="C9" s="14" t="s">
        <v>325</v>
      </c>
      <c r="D9" s="284">
        <v>45734</v>
      </c>
      <c r="E9" s="88" t="s">
        <v>274</v>
      </c>
      <c r="F9" s="20" t="s">
        <v>275</v>
      </c>
      <c r="G9" s="20" t="s">
        <v>276</v>
      </c>
      <c r="H9" s="14" t="s">
        <v>300</v>
      </c>
      <c r="I9" s="293" t="s">
        <v>315</v>
      </c>
      <c r="J9" s="88" t="s">
        <v>279</v>
      </c>
      <c r="K9" s="14" t="s">
        <v>280</v>
      </c>
      <c r="L9" s="285" t="s">
        <v>281</v>
      </c>
      <c r="M9" s="303" t="s">
        <v>316</v>
      </c>
      <c r="N9" s="295" t="s">
        <v>283</v>
      </c>
      <c r="O9" s="286" t="s">
        <v>326</v>
      </c>
      <c r="P9" s="293" t="s">
        <v>285</v>
      </c>
      <c r="Q9" s="286" t="s">
        <v>327</v>
      </c>
      <c r="R9" s="294" t="s">
        <v>287</v>
      </c>
      <c r="S9" s="136"/>
      <c r="T9" s="14" t="s">
        <v>282</v>
      </c>
      <c r="U9" s="302" t="s">
        <v>321</v>
      </c>
      <c r="V9" s="286" t="s">
        <v>328</v>
      </c>
      <c r="W9" s="14" t="s">
        <v>329</v>
      </c>
      <c r="X9" s="20" t="s">
        <v>31</v>
      </c>
      <c r="Y9" s="144">
        <v>160</v>
      </c>
      <c r="Z9" s="284">
        <v>45761</v>
      </c>
      <c r="AA9" s="284">
        <v>45794</v>
      </c>
      <c r="AB9" s="284">
        <v>45802</v>
      </c>
      <c r="AC9" s="88" t="s">
        <v>280</v>
      </c>
      <c r="AD9" s="88" t="s">
        <v>280</v>
      </c>
      <c r="AE9" s="88" t="s">
        <v>280</v>
      </c>
      <c r="AF9" s="88" t="s">
        <v>280</v>
      </c>
      <c r="AG9" s="284">
        <v>45761</v>
      </c>
      <c r="AH9" s="284">
        <v>45769</v>
      </c>
      <c r="AI9" s="88" t="s">
        <v>324</v>
      </c>
      <c r="AJ9" s="284">
        <v>45776</v>
      </c>
      <c r="AK9" s="88"/>
      <c r="AL9" s="285" t="s">
        <v>292</v>
      </c>
      <c r="AM9" s="285"/>
      <c r="AN9" s="285"/>
      <c r="AO9" s="88">
        <v>5</v>
      </c>
      <c r="AP9" s="284">
        <v>45769</v>
      </c>
      <c r="AQ9" s="88"/>
      <c r="AR9" s="88">
        <v>5</v>
      </c>
      <c r="AS9" s="88"/>
      <c r="AT9" s="88"/>
      <c r="AU9" s="88" t="s">
        <v>280</v>
      </c>
      <c r="AV9" s="88" t="s">
        <v>280</v>
      </c>
      <c r="AW9" s="88" t="s">
        <v>280</v>
      </c>
      <c r="AX9" s="88" t="s">
        <v>280</v>
      </c>
      <c r="AY9" s="284">
        <v>45748</v>
      </c>
      <c r="AZ9" s="284">
        <v>45765</v>
      </c>
      <c r="BA9" s="88" t="s">
        <v>280</v>
      </c>
      <c r="BB9" s="88" t="s">
        <v>280</v>
      </c>
      <c r="BC9" s="88" t="s">
        <v>285</v>
      </c>
      <c r="BD9" s="88" t="s">
        <v>285</v>
      </c>
      <c r="BE9" s="88" t="s">
        <v>280</v>
      </c>
      <c r="BF9" s="88" t="s">
        <v>280</v>
      </c>
      <c r="BG9" s="88" t="s">
        <v>280</v>
      </c>
      <c r="BH9" s="88" t="s">
        <v>285</v>
      </c>
      <c r="BI9" s="88" t="s">
        <v>280</v>
      </c>
      <c r="BJ9" s="88" t="s">
        <v>285</v>
      </c>
      <c r="BK9" s="88" t="s">
        <v>280</v>
      </c>
      <c r="BL9" s="88" t="s">
        <v>280</v>
      </c>
      <c r="BM9" s="291">
        <v>1</v>
      </c>
      <c r="BN9" s="88" t="s">
        <v>285</v>
      </c>
      <c r="BO9" s="88" t="s">
        <v>285</v>
      </c>
      <c r="BP9" s="88" t="s">
        <v>280</v>
      </c>
      <c r="BQ9" s="88" t="s">
        <v>280</v>
      </c>
      <c r="BR9" s="88" t="s">
        <v>280</v>
      </c>
      <c r="BS9" s="88" t="s">
        <v>280</v>
      </c>
      <c r="BT9" s="88" t="s">
        <v>280</v>
      </c>
      <c r="BU9" s="88"/>
      <c r="BV9" s="88" t="s">
        <v>294</v>
      </c>
      <c r="BW9" s="88"/>
      <c r="BX9" s="88"/>
      <c r="BY9" s="88"/>
    </row>
    <row r="10" spans="1:77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36"/>
      <c r="P10" s="14"/>
      <c r="Q10" s="136"/>
      <c r="R10" s="88" t="s">
        <v>282</v>
      </c>
      <c r="S10" s="138"/>
      <c r="T10" s="20"/>
      <c r="U10" s="20"/>
      <c r="V10" s="138"/>
      <c r="W10" s="20"/>
      <c r="X10" s="20"/>
      <c r="Y10" s="14"/>
      <c r="Z10" s="284"/>
      <c r="AA10" s="14"/>
      <c r="AB10" s="14"/>
      <c r="AC10" s="88"/>
      <c r="AD10" s="88"/>
      <c r="AE10" s="88"/>
      <c r="AF10" s="88"/>
      <c r="AG10" s="284"/>
      <c r="AH10" s="284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284">
        <v>45748</v>
      </c>
      <c r="AZ10" s="284">
        <v>45765</v>
      </c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291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</row>
    <row r="11" spans="1:77">
      <c r="A11" s="88" t="s">
        <v>271</v>
      </c>
      <c r="B11" s="88" t="s">
        <v>272</v>
      </c>
      <c r="C11" s="283" t="s">
        <v>330</v>
      </c>
      <c r="D11" s="284">
        <v>45734</v>
      </c>
      <c r="E11" s="88" t="s">
        <v>274</v>
      </c>
      <c r="F11" s="20" t="s">
        <v>275</v>
      </c>
      <c r="G11" s="20" t="s">
        <v>331</v>
      </c>
      <c r="H11" s="14" t="s">
        <v>277</v>
      </c>
      <c r="I11" s="295" t="s">
        <v>278</v>
      </c>
      <c r="J11" s="88" t="s">
        <v>279</v>
      </c>
      <c r="K11" s="14" t="s">
        <v>280</v>
      </c>
      <c r="L11" s="14" t="s">
        <v>281</v>
      </c>
      <c r="M11" s="14" t="s">
        <v>282</v>
      </c>
      <c r="N11" s="14" t="s">
        <v>285</v>
      </c>
      <c r="O11" s="304" t="s">
        <v>332</v>
      </c>
      <c r="P11" s="293" t="s">
        <v>285</v>
      </c>
      <c r="Q11" s="136" t="s">
        <v>333</v>
      </c>
      <c r="R11" s="88" t="s">
        <v>282</v>
      </c>
      <c r="S11" s="136"/>
      <c r="T11" s="14" t="s">
        <v>282</v>
      </c>
      <c r="U11" s="14"/>
      <c r="V11" s="297" t="s">
        <v>289</v>
      </c>
      <c r="W11" s="14" t="s">
        <v>334</v>
      </c>
      <c r="X11" s="20" t="s">
        <v>272</v>
      </c>
      <c r="Y11" s="300">
        <v>1080</v>
      </c>
      <c r="Z11" s="284">
        <v>45754</v>
      </c>
      <c r="AA11" s="284">
        <v>45784</v>
      </c>
      <c r="AB11" s="284">
        <v>45784</v>
      </c>
      <c r="AC11" s="88" t="s">
        <v>280</v>
      </c>
      <c r="AD11" s="88" t="s">
        <v>280</v>
      </c>
      <c r="AE11" s="88" t="s">
        <v>280</v>
      </c>
      <c r="AF11" s="88" t="s">
        <v>280</v>
      </c>
      <c r="AG11" s="284">
        <v>45742</v>
      </c>
      <c r="AH11" s="284">
        <v>45769</v>
      </c>
      <c r="AI11" s="283" t="s">
        <v>282</v>
      </c>
      <c r="AJ11" s="284">
        <v>45776</v>
      </c>
      <c r="AK11" s="88"/>
      <c r="AL11" s="283" t="s">
        <v>282</v>
      </c>
      <c r="AM11" s="88"/>
      <c r="AN11" s="88"/>
      <c r="AO11" s="88"/>
      <c r="AP11" s="88"/>
      <c r="AQ11" s="88"/>
      <c r="AR11" s="88"/>
      <c r="AS11" s="88"/>
      <c r="AT11" s="88"/>
      <c r="AU11" s="88" t="s">
        <v>280</v>
      </c>
      <c r="AV11" s="88" t="s">
        <v>280</v>
      </c>
      <c r="AW11" s="88" t="s">
        <v>280</v>
      </c>
      <c r="AX11" s="88" t="s">
        <v>280</v>
      </c>
      <c r="AY11" s="284">
        <v>45748</v>
      </c>
      <c r="AZ11" s="284">
        <v>45765</v>
      </c>
      <c r="BA11" s="88" t="s">
        <v>280</v>
      </c>
      <c r="BB11" s="88" t="s">
        <v>280</v>
      </c>
      <c r="BC11" s="88" t="s">
        <v>285</v>
      </c>
      <c r="BD11" s="88" t="s">
        <v>285</v>
      </c>
      <c r="BE11" s="88" t="s">
        <v>280</v>
      </c>
      <c r="BF11" s="88" t="s">
        <v>280</v>
      </c>
      <c r="BG11" s="88" t="s">
        <v>280</v>
      </c>
      <c r="BH11" s="88" t="s">
        <v>285</v>
      </c>
      <c r="BI11" s="88" t="s">
        <v>280</v>
      </c>
      <c r="BJ11" s="88" t="s">
        <v>285</v>
      </c>
      <c r="BK11" s="88" t="s">
        <v>280</v>
      </c>
      <c r="BL11" s="88" t="s">
        <v>280</v>
      </c>
      <c r="BM11" s="291">
        <v>1</v>
      </c>
      <c r="BN11" s="88" t="s">
        <v>285</v>
      </c>
      <c r="BO11" s="88" t="s">
        <v>285</v>
      </c>
      <c r="BP11" s="88" t="s">
        <v>280</v>
      </c>
      <c r="BQ11" s="88" t="s">
        <v>280</v>
      </c>
      <c r="BR11" s="88" t="s">
        <v>280</v>
      </c>
      <c r="BS11" s="88" t="s">
        <v>280</v>
      </c>
      <c r="BT11" s="88" t="s">
        <v>280</v>
      </c>
      <c r="BU11" s="88"/>
      <c r="BV11" s="88" t="s">
        <v>294</v>
      </c>
      <c r="BW11" s="88"/>
      <c r="BX11" s="88"/>
      <c r="BY11" s="88"/>
    </row>
    <row r="12" spans="1:77">
      <c r="A12" s="88" t="s">
        <v>271</v>
      </c>
      <c r="B12" s="88" t="s">
        <v>272</v>
      </c>
      <c r="C12" s="283" t="s">
        <v>330</v>
      </c>
      <c r="D12" s="284">
        <v>45734</v>
      </c>
      <c r="E12" s="88" t="s">
        <v>274</v>
      </c>
      <c r="F12" s="20" t="s">
        <v>275</v>
      </c>
      <c r="G12" s="20" t="s">
        <v>331</v>
      </c>
      <c r="H12" s="14" t="s">
        <v>277</v>
      </c>
      <c r="I12" s="295"/>
      <c r="J12" s="88"/>
      <c r="K12" s="20"/>
      <c r="L12" s="20"/>
      <c r="M12" s="14" t="s">
        <v>282</v>
      </c>
      <c r="N12" s="20"/>
      <c r="O12" s="305"/>
      <c r="P12" s="293"/>
      <c r="Q12" s="136" t="s">
        <v>333</v>
      </c>
      <c r="R12" s="88" t="s">
        <v>282</v>
      </c>
      <c r="S12" s="138"/>
      <c r="T12" s="20"/>
      <c r="U12" s="14"/>
      <c r="V12" s="297" t="s">
        <v>289</v>
      </c>
      <c r="W12" s="14" t="s">
        <v>335</v>
      </c>
      <c r="X12" s="20" t="s">
        <v>272</v>
      </c>
      <c r="Y12" s="14">
        <v>0</v>
      </c>
      <c r="Z12" s="284"/>
      <c r="AA12" s="284"/>
      <c r="AB12" s="284"/>
      <c r="AC12" s="88"/>
      <c r="AD12" s="88"/>
      <c r="AE12" s="88"/>
      <c r="AF12" s="88"/>
      <c r="AG12" s="284"/>
      <c r="AH12" s="284">
        <v>45769</v>
      </c>
      <c r="AI12" s="88" t="s">
        <v>282</v>
      </c>
      <c r="AJ12" s="284">
        <v>45776</v>
      </c>
      <c r="AK12" s="88"/>
      <c r="AL12" s="88" t="s">
        <v>282</v>
      </c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284"/>
      <c r="AZ12" s="284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291"/>
      <c r="BN12" s="88"/>
      <c r="BO12" s="88"/>
      <c r="BP12" s="88"/>
      <c r="BQ12" s="88"/>
      <c r="BR12" s="88"/>
      <c r="BS12" s="88"/>
      <c r="BT12" s="88"/>
      <c r="BU12" s="88"/>
      <c r="BV12" s="88" t="s">
        <v>294</v>
      </c>
      <c r="BW12" s="88"/>
      <c r="BX12" s="88"/>
      <c r="BY12" s="88"/>
    </row>
    <row r="13" spans="1:77">
      <c r="A13" s="88" t="s">
        <v>297</v>
      </c>
      <c r="B13" s="88" t="s">
        <v>298</v>
      </c>
      <c r="C13" s="283" t="s">
        <v>336</v>
      </c>
      <c r="D13" s="284">
        <v>45734</v>
      </c>
      <c r="E13" s="88" t="s">
        <v>274</v>
      </c>
      <c r="F13" s="20" t="s">
        <v>275</v>
      </c>
      <c r="G13" s="20" t="s">
        <v>331</v>
      </c>
      <c r="H13" s="14" t="s">
        <v>300</v>
      </c>
      <c r="I13" s="295" t="s">
        <v>278</v>
      </c>
      <c r="J13" s="88" t="s">
        <v>279</v>
      </c>
      <c r="K13" s="20" t="s">
        <v>280</v>
      </c>
      <c r="L13" s="20" t="s">
        <v>281</v>
      </c>
      <c r="M13" s="14" t="s">
        <v>282</v>
      </c>
      <c r="N13" s="20" t="s">
        <v>285</v>
      </c>
      <c r="O13" s="304" t="s">
        <v>332</v>
      </c>
      <c r="P13" s="293" t="s">
        <v>285</v>
      </c>
      <c r="Q13" s="136" t="s">
        <v>333</v>
      </c>
      <c r="R13" s="88" t="s">
        <v>282</v>
      </c>
      <c r="S13" s="138"/>
      <c r="T13" s="20" t="s">
        <v>282</v>
      </c>
      <c r="U13" s="14"/>
      <c r="V13" s="297" t="s">
        <v>289</v>
      </c>
      <c r="W13" s="14" t="s">
        <v>337</v>
      </c>
      <c r="X13" s="20" t="s">
        <v>298</v>
      </c>
      <c r="Y13" s="300">
        <v>540</v>
      </c>
      <c r="Z13" s="284">
        <v>45754</v>
      </c>
      <c r="AA13" s="284">
        <v>45794</v>
      </c>
      <c r="AB13" s="284">
        <v>45794</v>
      </c>
      <c r="AC13" s="88" t="s">
        <v>280</v>
      </c>
      <c r="AD13" s="88" t="s">
        <v>280</v>
      </c>
      <c r="AE13" s="88" t="s">
        <v>280</v>
      </c>
      <c r="AF13" s="88" t="s">
        <v>280</v>
      </c>
      <c r="AG13" s="284">
        <v>45742</v>
      </c>
      <c r="AH13" s="284">
        <v>45769</v>
      </c>
      <c r="AI13" s="88" t="s">
        <v>282</v>
      </c>
      <c r="AJ13" s="284">
        <v>45776</v>
      </c>
      <c r="AK13" s="88"/>
      <c r="AL13" s="88" t="s">
        <v>282</v>
      </c>
      <c r="AM13" s="88"/>
      <c r="AN13" s="88"/>
      <c r="AO13" s="88"/>
      <c r="AP13" s="88"/>
      <c r="AQ13" s="88"/>
      <c r="AR13" s="88"/>
      <c r="AS13" s="88"/>
      <c r="AT13" s="88"/>
      <c r="AU13" s="88" t="s">
        <v>280</v>
      </c>
      <c r="AV13" s="88" t="s">
        <v>280</v>
      </c>
      <c r="AW13" s="88" t="s">
        <v>280</v>
      </c>
      <c r="AX13" s="88" t="s">
        <v>280</v>
      </c>
      <c r="AY13" s="284">
        <v>45748</v>
      </c>
      <c r="AZ13" s="284">
        <v>45765</v>
      </c>
      <c r="BA13" s="88" t="s">
        <v>280</v>
      </c>
      <c r="BB13" s="88" t="s">
        <v>280</v>
      </c>
      <c r="BC13" s="88" t="s">
        <v>285</v>
      </c>
      <c r="BD13" s="88" t="s">
        <v>285</v>
      </c>
      <c r="BE13" s="88" t="s">
        <v>280</v>
      </c>
      <c r="BF13" s="88" t="s">
        <v>280</v>
      </c>
      <c r="BG13" s="88" t="s">
        <v>280</v>
      </c>
      <c r="BH13" s="88" t="s">
        <v>285</v>
      </c>
      <c r="BI13" s="88" t="s">
        <v>280</v>
      </c>
      <c r="BJ13" s="88" t="s">
        <v>285</v>
      </c>
      <c r="BK13" s="88" t="s">
        <v>280</v>
      </c>
      <c r="BL13" s="88" t="s">
        <v>280</v>
      </c>
      <c r="BM13" s="291">
        <v>1</v>
      </c>
      <c r="BN13" s="88" t="s">
        <v>285</v>
      </c>
      <c r="BO13" s="88" t="s">
        <v>285</v>
      </c>
      <c r="BP13" s="88" t="s">
        <v>280</v>
      </c>
      <c r="BQ13" s="88" t="s">
        <v>280</v>
      </c>
      <c r="BR13" s="88" t="s">
        <v>280</v>
      </c>
      <c r="BS13" s="88" t="s">
        <v>280</v>
      </c>
      <c r="BT13" s="88" t="s">
        <v>280</v>
      </c>
      <c r="BU13" s="88"/>
      <c r="BV13" s="88" t="s">
        <v>294</v>
      </c>
      <c r="BW13" s="88"/>
      <c r="BX13" s="88"/>
      <c r="BY13" s="88"/>
    </row>
    <row r="14" spans="1:77">
      <c r="A14" s="14" t="s">
        <v>305</v>
      </c>
      <c r="B14" s="20" t="s">
        <v>306</v>
      </c>
      <c r="C14" s="14" t="s">
        <v>338</v>
      </c>
      <c r="D14" s="284">
        <v>45734</v>
      </c>
      <c r="E14" s="88" t="s">
        <v>274</v>
      </c>
      <c r="F14" s="20" t="s">
        <v>275</v>
      </c>
      <c r="G14" s="20" t="s">
        <v>331</v>
      </c>
      <c r="H14" s="20" t="s">
        <v>277</v>
      </c>
      <c r="I14" s="295" t="s">
        <v>278</v>
      </c>
      <c r="J14" s="88" t="s">
        <v>279</v>
      </c>
      <c r="K14" s="20" t="s">
        <v>280</v>
      </c>
      <c r="L14" s="20" t="s">
        <v>281</v>
      </c>
      <c r="M14" s="14" t="s">
        <v>282</v>
      </c>
      <c r="N14" s="20" t="s">
        <v>285</v>
      </c>
      <c r="O14" s="304" t="s">
        <v>332</v>
      </c>
      <c r="P14" s="293" t="s">
        <v>285</v>
      </c>
      <c r="Q14" s="136" t="s">
        <v>333</v>
      </c>
      <c r="R14" s="88" t="s">
        <v>282</v>
      </c>
      <c r="S14" s="138"/>
      <c r="T14" s="20" t="s">
        <v>282</v>
      </c>
      <c r="U14" s="14"/>
      <c r="V14" s="297" t="s">
        <v>289</v>
      </c>
      <c r="W14" s="14" t="s">
        <v>339</v>
      </c>
      <c r="X14" s="20" t="s">
        <v>306</v>
      </c>
      <c r="Y14" s="300">
        <v>1080</v>
      </c>
      <c r="Z14" s="284">
        <v>45754</v>
      </c>
      <c r="AA14" s="284">
        <v>45784</v>
      </c>
      <c r="AB14" s="284">
        <v>45784</v>
      </c>
      <c r="AC14" s="88" t="s">
        <v>280</v>
      </c>
      <c r="AD14" s="88" t="s">
        <v>280</v>
      </c>
      <c r="AE14" s="88" t="s">
        <v>280</v>
      </c>
      <c r="AF14" s="88" t="s">
        <v>280</v>
      </c>
      <c r="AG14" s="284">
        <v>45742</v>
      </c>
      <c r="AH14" s="284">
        <v>45769</v>
      </c>
      <c r="AI14" s="88" t="s">
        <v>282</v>
      </c>
      <c r="AJ14" s="284">
        <v>45776</v>
      </c>
      <c r="AK14" s="88"/>
      <c r="AL14" s="88" t="s">
        <v>282</v>
      </c>
      <c r="AM14" s="88"/>
      <c r="AN14" s="88"/>
      <c r="AO14" s="88"/>
      <c r="AP14" s="88"/>
      <c r="AQ14" s="88"/>
      <c r="AR14" s="88"/>
      <c r="AS14" s="88"/>
      <c r="AT14" s="88"/>
      <c r="AU14" s="88" t="s">
        <v>280</v>
      </c>
      <c r="AV14" s="88" t="s">
        <v>280</v>
      </c>
      <c r="AW14" s="88" t="s">
        <v>280</v>
      </c>
      <c r="AX14" s="88" t="s">
        <v>280</v>
      </c>
      <c r="AY14" s="284">
        <v>45748</v>
      </c>
      <c r="AZ14" s="284">
        <v>45765</v>
      </c>
      <c r="BA14" s="88" t="s">
        <v>280</v>
      </c>
      <c r="BB14" s="88" t="s">
        <v>280</v>
      </c>
      <c r="BC14" s="88" t="s">
        <v>285</v>
      </c>
      <c r="BD14" s="88" t="s">
        <v>285</v>
      </c>
      <c r="BE14" s="88" t="s">
        <v>280</v>
      </c>
      <c r="BF14" s="88" t="s">
        <v>280</v>
      </c>
      <c r="BG14" s="88" t="s">
        <v>280</v>
      </c>
      <c r="BH14" s="88" t="s">
        <v>285</v>
      </c>
      <c r="BI14" s="88" t="s">
        <v>280</v>
      </c>
      <c r="BJ14" s="88" t="s">
        <v>285</v>
      </c>
      <c r="BK14" s="88" t="s">
        <v>280</v>
      </c>
      <c r="BL14" s="88" t="s">
        <v>280</v>
      </c>
      <c r="BM14" s="291">
        <v>1</v>
      </c>
      <c r="BN14" s="88" t="s">
        <v>285</v>
      </c>
      <c r="BO14" s="88" t="s">
        <v>285</v>
      </c>
      <c r="BP14" s="88" t="s">
        <v>280</v>
      </c>
      <c r="BQ14" s="88" t="s">
        <v>280</v>
      </c>
      <c r="BR14" s="88" t="s">
        <v>280</v>
      </c>
      <c r="BS14" s="88" t="s">
        <v>280</v>
      </c>
      <c r="BT14" s="88" t="s">
        <v>280</v>
      </c>
      <c r="BU14" s="88"/>
      <c r="BV14" s="88" t="s">
        <v>294</v>
      </c>
      <c r="BW14" s="88"/>
      <c r="BX14" s="88"/>
      <c r="BY14" s="88"/>
    </row>
    <row r="15" spans="1:77">
      <c r="A15" s="14" t="s">
        <v>305</v>
      </c>
      <c r="B15" s="20" t="s">
        <v>306</v>
      </c>
      <c r="C15" s="14" t="s">
        <v>338</v>
      </c>
      <c r="D15" s="284">
        <v>45734</v>
      </c>
      <c r="E15" s="88" t="s">
        <v>274</v>
      </c>
      <c r="F15" s="20" t="s">
        <v>275</v>
      </c>
      <c r="G15" s="20" t="s">
        <v>331</v>
      </c>
      <c r="H15" s="20" t="s">
        <v>277</v>
      </c>
      <c r="I15" s="295"/>
      <c r="J15" s="88"/>
      <c r="K15" s="20"/>
      <c r="L15" s="20"/>
      <c r="M15" s="14"/>
      <c r="N15" s="20"/>
      <c r="O15" s="305"/>
      <c r="P15" s="293"/>
      <c r="Q15" s="136" t="s">
        <v>333</v>
      </c>
      <c r="R15" s="88" t="s">
        <v>282</v>
      </c>
      <c r="S15" s="138"/>
      <c r="T15" s="20"/>
      <c r="U15" s="14"/>
      <c r="V15" s="297" t="s">
        <v>289</v>
      </c>
      <c r="W15" s="14" t="s">
        <v>340</v>
      </c>
      <c r="X15" s="20" t="s">
        <v>306</v>
      </c>
      <c r="Y15" s="14">
        <v>0</v>
      </c>
      <c r="Z15" s="284"/>
      <c r="AA15" s="284"/>
      <c r="AB15" s="284"/>
      <c r="AC15" s="88"/>
      <c r="AD15" s="88"/>
      <c r="AE15" s="88"/>
      <c r="AF15" s="88"/>
      <c r="AG15" s="284"/>
      <c r="AH15" s="284"/>
      <c r="AI15" s="88" t="s">
        <v>282</v>
      </c>
      <c r="AJ15" s="88"/>
      <c r="AK15" s="88"/>
      <c r="AL15" s="88" t="s">
        <v>282</v>
      </c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284"/>
      <c r="AZ15" s="284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291"/>
      <c r="BN15" s="88"/>
      <c r="BO15" s="88"/>
      <c r="BP15" s="88"/>
      <c r="BQ15" s="88"/>
      <c r="BR15" s="88"/>
      <c r="BS15" s="88"/>
      <c r="BT15" s="88"/>
      <c r="BU15" s="88"/>
      <c r="BV15" s="88" t="s">
        <v>294</v>
      </c>
      <c r="BW15" s="88"/>
      <c r="BX15" s="88"/>
      <c r="BY15" s="88"/>
    </row>
    <row r="16" spans="1:77">
      <c r="A16" s="14" t="s">
        <v>309</v>
      </c>
      <c r="B16" s="20" t="s">
        <v>310</v>
      </c>
      <c r="C16" s="14" t="s">
        <v>341</v>
      </c>
      <c r="D16" s="284">
        <v>45734</v>
      </c>
      <c r="E16" s="88" t="s">
        <v>274</v>
      </c>
      <c r="F16" s="20" t="s">
        <v>275</v>
      </c>
      <c r="G16" s="20" t="s">
        <v>331</v>
      </c>
      <c r="H16" s="20" t="s">
        <v>300</v>
      </c>
      <c r="I16" s="295" t="s">
        <v>278</v>
      </c>
      <c r="J16" s="88" t="s">
        <v>279</v>
      </c>
      <c r="K16" s="20" t="s">
        <v>280</v>
      </c>
      <c r="L16" s="20" t="s">
        <v>281</v>
      </c>
      <c r="M16" s="14" t="s">
        <v>282</v>
      </c>
      <c r="N16" s="20" t="s">
        <v>285</v>
      </c>
      <c r="O16" s="304" t="s">
        <v>332</v>
      </c>
      <c r="P16" s="293" t="s">
        <v>285</v>
      </c>
      <c r="Q16" s="136" t="s">
        <v>333</v>
      </c>
      <c r="R16" s="88" t="s">
        <v>282</v>
      </c>
      <c r="S16" s="138"/>
      <c r="T16" s="20" t="s">
        <v>282</v>
      </c>
      <c r="U16" s="14"/>
      <c r="V16" s="297" t="s">
        <v>289</v>
      </c>
      <c r="W16" s="14" t="s">
        <v>342</v>
      </c>
      <c r="X16" s="20" t="s">
        <v>310</v>
      </c>
      <c r="Y16" s="300">
        <v>540</v>
      </c>
      <c r="Z16" s="284">
        <v>45754</v>
      </c>
      <c r="AA16" s="284">
        <v>45784</v>
      </c>
      <c r="AB16" s="284">
        <v>45784</v>
      </c>
      <c r="AC16" s="88" t="s">
        <v>280</v>
      </c>
      <c r="AD16" s="88" t="s">
        <v>280</v>
      </c>
      <c r="AE16" s="88" t="s">
        <v>280</v>
      </c>
      <c r="AF16" s="88" t="s">
        <v>280</v>
      </c>
      <c r="AG16" s="284">
        <v>45742</v>
      </c>
      <c r="AH16" s="284">
        <v>45769</v>
      </c>
      <c r="AI16" s="88" t="s">
        <v>282</v>
      </c>
      <c r="AJ16" s="284">
        <v>45776</v>
      </c>
      <c r="AK16" s="88"/>
      <c r="AL16" s="88" t="s">
        <v>282</v>
      </c>
      <c r="AM16" s="88"/>
      <c r="AN16" s="88"/>
      <c r="AO16" s="88"/>
      <c r="AP16" s="88"/>
      <c r="AQ16" s="88"/>
      <c r="AR16" s="88"/>
      <c r="AS16" s="88"/>
      <c r="AT16" s="88"/>
      <c r="AU16" s="88" t="s">
        <v>280</v>
      </c>
      <c r="AV16" s="88" t="s">
        <v>280</v>
      </c>
      <c r="AW16" s="88" t="s">
        <v>280</v>
      </c>
      <c r="AX16" s="88" t="s">
        <v>280</v>
      </c>
      <c r="AY16" s="284">
        <v>45748</v>
      </c>
      <c r="AZ16" s="284">
        <v>45765</v>
      </c>
      <c r="BA16" s="88" t="s">
        <v>280</v>
      </c>
      <c r="BB16" s="88" t="s">
        <v>280</v>
      </c>
      <c r="BC16" s="88" t="s">
        <v>285</v>
      </c>
      <c r="BD16" s="88" t="s">
        <v>285</v>
      </c>
      <c r="BE16" s="88" t="s">
        <v>280</v>
      </c>
      <c r="BF16" s="88" t="s">
        <v>280</v>
      </c>
      <c r="BG16" s="88" t="s">
        <v>280</v>
      </c>
      <c r="BH16" s="88" t="s">
        <v>285</v>
      </c>
      <c r="BI16" s="88" t="s">
        <v>280</v>
      </c>
      <c r="BJ16" s="88" t="s">
        <v>285</v>
      </c>
      <c r="BK16" s="88" t="s">
        <v>280</v>
      </c>
      <c r="BL16" s="88" t="s">
        <v>280</v>
      </c>
      <c r="BM16" s="291">
        <v>1</v>
      </c>
      <c r="BN16" s="88" t="s">
        <v>285</v>
      </c>
      <c r="BO16" s="88" t="s">
        <v>285</v>
      </c>
      <c r="BP16" s="88" t="s">
        <v>280</v>
      </c>
      <c r="BQ16" s="88" t="s">
        <v>280</v>
      </c>
      <c r="BR16" s="88" t="s">
        <v>280</v>
      </c>
      <c r="BS16" s="88" t="s">
        <v>280</v>
      </c>
      <c r="BT16" s="88" t="s">
        <v>280</v>
      </c>
      <c r="BU16" s="88"/>
      <c r="BV16" s="88" t="s">
        <v>294</v>
      </c>
      <c r="BW16" s="88"/>
      <c r="BX16" s="88"/>
      <c r="BY16" s="88"/>
    </row>
    <row r="17" spans="1:77">
      <c r="A17" s="14" t="s">
        <v>27</v>
      </c>
      <c r="B17" s="20" t="s">
        <v>28</v>
      </c>
      <c r="C17" s="14" t="s">
        <v>343</v>
      </c>
      <c r="D17" s="284">
        <v>45734</v>
      </c>
      <c r="E17" s="88" t="s">
        <v>274</v>
      </c>
      <c r="F17" s="20" t="s">
        <v>275</v>
      </c>
      <c r="G17" s="20" t="s">
        <v>331</v>
      </c>
      <c r="H17" s="20" t="s">
        <v>277</v>
      </c>
      <c r="I17" s="293" t="s">
        <v>315</v>
      </c>
      <c r="J17" s="88" t="s">
        <v>279</v>
      </c>
      <c r="K17" s="20" t="s">
        <v>280</v>
      </c>
      <c r="L17" s="20" t="s">
        <v>281</v>
      </c>
      <c r="M17" s="303" t="s">
        <v>316</v>
      </c>
      <c r="N17" s="20" t="s">
        <v>285</v>
      </c>
      <c r="O17" s="304" t="s">
        <v>332</v>
      </c>
      <c r="P17" s="293" t="s">
        <v>285</v>
      </c>
      <c r="Q17" s="136" t="s">
        <v>333</v>
      </c>
      <c r="R17" s="88" t="s">
        <v>282</v>
      </c>
      <c r="S17" s="138"/>
      <c r="T17" s="20" t="s">
        <v>282</v>
      </c>
      <c r="U17" s="14"/>
      <c r="V17" s="299" t="s">
        <v>322</v>
      </c>
      <c r="W17" s="14" t="s">
        <v>344</v>
      </c>
      <c r="X17" s="20" t="s">
        <v>28</v>
      </c>
      <c r="Y17" s="14">
        <v>0</v>
      </c>
      <c r="Z17" s="284"/>
      <c r="AA17" s="284"/>
      <c r="AB17" s="284"/>
      <c r="AC17" s="88" t="s">
        <v>280</v>
      </c>
      <c r="AD17" s="88" t="s">
        <v>280</v>
      </c>
      <c r="AE17" s="88" t="s">
        <v>280</v>
      </c>
      <c r="AF17" s="88" t="s">
        <v>280</v>
      </c>
      <c r="AG17" s="284">
        <v>45761</v>
      </c>
      <c r="AH17" s="284">
        <v>45769</v>
      </c>
      <c r="AI17" s="88" t="s">
        <v>282</v>
      </c>
      <c r="AJ17" s="284">
        <v>45776</v>
      </c>
      <c r="AK17" s="88"/>
      <c r="AL17" s="88" t="s">
        <v>282</v>
      </c>
      <c r="AM17" s="88"/>
      <c r="AN17" s="88"/>
      <c r="AO17" s="88"/>
      <c r="AP17" s="88"/>
      <c r="AQ17" s="88"/>
      <c r="AR17" s="88"/>
      <c r="AS17" s="88"/>
      <c r="AT17" s="88"/>
      <c r="AU17" s="88" t="s">
        <v>280</v>
      </c>
      <c r="AV17" s="88" t="s">
        <v>280</v>
      </c>
      <c r="AW17" s="88" t="s">
        <v>280</v>
      </c>
      <c r="AX17" s="88" t="s">
        <v>280</v>
      </c>
      <c r="AY17" s="284">
        <v>45748</v>
      </c>
      <c r="AZ17" s="284">
        <v>45765</v>
      </c>
      <c r="BA17" s="88" t="s">
        <v>280</v>
      </c>
      <c r="BB17" s="88" t="s">
        <v>280</v>
      </c>
      <c r="BC17" s="88" t="s">
        <v>285</v>
      </c>
      <c r="BD17" s="88" t="s">
        <v>285</v>
      </c>
      <c r="BE17" s="88" t="s">
        <v>280</v>
      </c>
      <c r="BF17" s="88" t="s">
        <v>280</v>
      </c>
      <c r="BG17" s="88" t="s">
        <v>280</v>
      </c>
      <c r="BH17" s="88" t="s">
        <v>285</v>
      </c>
      <c r="BI17" s="88" t="s">
        <v>280</v>
      </c>
      <c r="BJ17" s="88" t="s">
        <v>285</v>
      </c>
      <c r="BK17" s="88" t="s">
        <v>280</v>
      </c>
      <c r="BL17" s="88" t="s">
        <v>280</v>
      </c>
      <c r="BM17" s="291">
        <v>1</v>
      </c>
      <c r="BN17" s="88" t="s">
        <v>285</v>
      </c>
      <c r="BO17" s="88" t="s">
        <v>285</v>
      </c>
      <c r="BP17" s="88" t="s">
        <v>280</v>
      </c>
      <c r="BQ17" s="88" t="s">
        <v>280</v>
      </c>
      <c r="BR17" s="88" t="s">
        <v>280</v>
      </c>
      <c r="BS17" s="88" t="s">
        <v>280</v>
      </c>
      <c r="BT17" s="88" t="s">
        <v>280</v>
      </c>
      <c r="BU17" s="88"/>
      <c r="BV17" s="88" t="s">
        <v>294</v>
      </c>
      <c r="BW17" s="88"/>
      <c r="BX17" s="88"/>
      <c r="BY17" s="88"/>
    </row>
    <row r="18" spans="1:77">
      <c r="A18" s="14" t="s">
        <v>27</v>
      </c>
      <c r="B18" s="20" t="s">
        <v>28</v>
      </c>
      <c r="C18" s="14" t="s">
        <v>343</v>
      </c>
      <c r="D18" s="284">
        <v>45734</v>
      </c>
      <c r="E18" s="88" t="s">
        <v>274</v>
      </c>
      <c r="F18" s="20" t="s">
        <v>275</v>
      </c>
      <c r="G18" s="20" t="s">
        <v>331</v>
      </c>
      <c r="H18" s="20" t="s">
        <v>277</v>
      </c>
      <c r="I18" s="293"/>
      <c r="J18" s="88"/>
      <c r="K18" s="20"/>
      <c r="L18" s="20"/>
      <c r="M18" s="303"/>
      <c r="N18" s="20"/>
      <c r="O18" s="305"/>
      <c r="P18" s="293"/>
      <c r="Q18" s="136" t="s">
        <v>333</v>
      </c>
      <c r="R18" s="88" t="s">
        <v>282</v>
      </c>
      <c r="S18" s="138"/>
      <c r="T18" s="20"/>
      <c r="U18" s="14"/>
      <c r="V18" s="299" t="s">
        <v>322</v>
      </c>
      <c r="W18" s="14" t="s">
        <v>345</v>
      </c>
      <c r="X18" s="20" t="s">
        <v>28</v>
      </c>
      <c r="Y18" s="144">
        <v>1140</v>
      </c>
      <c r="Z18" s="284">
        <v>45761</v>
      </c>
      <c r="AA18" s="284">
        <v>45808</v>
      </c>
      <c r="AB18" s="284">
        <v>45808</v>
      </c>
      <c r="AC18" s="88"/>
      <c r="AD18" s="88"/>
      <c r="AE18" s="88"/>
      <c r="AF18" s="88" t="s">
        <v>280</v>
      </c>
      <c r="AG18" s="284">
        <v>45761</v>
      </c>
      <c r="AH18" s="284">
        <v>45769</v>
      </c>
      <c r="AI18" s="88" t="s">
        <v>282</v>
      </c>
      <c r="AJ18" s="284">
        <v>45776</v>
      </c>
      <c r="AK18" s="88"/>
      <c r="AL18" s="88" t="s">
        <v>282</v>
      </c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284"/>
      <c r="AZ18" s="284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291"/>
      <c r="BN18" s="88"/>
      <c r="BO18" s="88"/>
      <c r="BP18" s="88"/>
      <c r="BQ18" s="88"/>
      <c r="BR18" s="88"/>
      <c r="BS18" s="88"/>
      <c r="BT18" s="88"/>
      <c r="BU18" s="88"/>
      <c r="BV18" s="88" t="s">
        <v>294</v>
      </c>
      <c r="BW18" s="88"/>
      <c r="BX18" s="88"/>
      <c r="BY18" s="88"/>
    </row>
    <row r="19" spans="1:77">
      <c r="A19" s="14" t="s">
        <v>30</v>
      </c>
      <c r="B19" s="20" t="s">
        <v>31</v>
      </c>
      <c r="C19" s="14" t="s">
        <v>346</v>
      </c>
      <c r="D19" s="284">
        <v>45734</v>
      </c>
      <c r="E19" s="88" t="s">
        <v>274</v>
      </c>
      <c r="F19" s="20" t="s">
        <v>275</v>
      </c>
      <c r="G19" s="20" t="s">
        <v>331</v>
      </c>
      <c r="H19" s="20" t="s">
        <v>300</v>
      </c>
      <c r="I19" s="293" t="s">
        <v>315</v>
      </c>
      <c r="J19" s="88" t="s">
        <v>279</v>
      </c>
      <c r="K19" s="20" t="s">
        <v>280</v>
      </c>
      <c r="L19" s="20" t="s">
        <v>281</v>
      </c>
      <c r="M19" s="303" t="s">
        <v>316</v>
      </c>
      <c r="N19" s="20" t="s">
        <v>285</v>
      </c>
      <c r="O19" s="304" t="s">
        <v>332</v>
      </c>
      <c r="P19" s="293"/>
      <c r="Q19" s="136" t="s">
        <v>333</v>
      </c>
      <c r="R19" s="88" t="s">
        <v>282</v>
      </c>
      <c r="S19" s="138"/>
      <c r="T19" s="20" t="s">
        <v>282</v>
      </c>
      <c r="U19" s="14"/>
      <c r="V19" s="299" t="s">
        <v>322</v>
      </c>
      <c r="W19" s="14" t="s">
        <v>347</v>
      </c>
      <c r="X19" s="20" t="s">
        <v>31</v>
      </c>
      <c r="Y19" s="144">
        <v>340</v>
      </c>
      <c r="Z19" s="284">
        <v>45761</v>
      </c>
      <c r="AA19" s="284">
        <v>45808</v>
      </c>
      <c r="AB19" s="284">
        <v>45808</v>
      </c>
      <c r="AC19" s="88" t="s">
        <v>280</v>
      </c>
      <c r="AD19" s="88" t="s">
        <v>280</v>
      </c>
      <c r="AE19" s="88" t="s">
        <v>280</v>
      </c>
      <c r="AF19" s="88" t="s">
        <v>280</v>
      </c>
      <c r="AG19" s="284">
        <v>45761</v>
      </c>
      <c r="AH19" s="284">
        <v>45769</v>
      </c>
      <c r="AI19" s="88" t="s">
        <v>282</v>
      </c>
      <c r="AJ19" s="284">
        <v>45776</v>
      </c>
      <c r="AK19" s="88"/>
      <c r="AL19" s="88" t="s">
        <v>282</v>
      </c>
      <c r="AM19" s="88"/>
      <c r="AN19" s="88"/>
      <c r="AO19" s="88"/>
      <c r="AP19" s="88"/>
      <c r="AQ19" s="88"/>
      <c r="AR19" s="88"/>
      <c r="AS19" s="88"/>
      <c r="AT19" s="88"/>
      <c r="AU19" s="88" t="s">
        <v>280</v>
      </c>
      <c r="AV19" s="88" t="s">
        <v>280</v>
      </c>
      <c r="AW19" s="88" t="s">
        <v>280</v>
      </c>
      <c r="AX19" s="88" t="s">
        <v>280</v>
      </c>
      <c r="AY19" s="284">
        <v>45748</v>
      </c>
      <c r="AZ19" s="284">
        <v>45765</v>
      </c>
      <c r="BA19" s="88" t="s">
        <v>280</v>
      </c>
      <c r="BB19" s="88" t="s">
        <v>280</v>
      </c>
      <c r="BC19" s="88" t="s">
        <v>285</v>
      </c>
      <c r="BD19" s="88" t="s">
        <v>285</v>
      </c>
      <c r="BE19" s="88" t="s">
        <v>280</v>
      </c>
      <c r="BF19" s="88" t="s">
        <v>280</v>
      </c>
      <c r="BG19" s="88" t="s">
        <v>280</v>
      </c>
      <c r="BH19" s="88" t="s">
        <v>285</v>
      </c>
      <c r="BI19" s="88" t="s">
        <v>280</v>
      </c>
      <c r="BJ19" s="88" t="s">
        <v>285</v>
      </c>
      <c r="BK19" s="88" t="s">
        <v>280</v>
      </c>
      <c r="BL19" s="88" t="s">
        <v>280</v>
      </c>
      <c r="BM19" s="291">
        <v>1</v>
      </c>
      <c r="BN19" s="88" t="s">
        <v>285</v>
      </c>
      <c r="BO19" s="88" t="s">
        <v>285</v>
      </c>
      <c r="BP19" s="88" t="s">
        <v>280</v>
      </c>
      <c r="BQ19" s="88" t="s">
        <v>280</v>
      </c>
      <c r="BR19" s="88" t="s">
        <v>280</v>
      </c>
      <c r="BS19" s="88" t="s">
        <v>280</v>
      </c>
      <c r="BT19" s="88" t="s">
        <v>280</v>
      </c>
      <c r="BU19" s="88"/>
      <c r="BV19" s="88" t="s">
        <v>294</v>
      </c>
      <c r="BW19" s="88"/>
      <c r="BX19" s="88"/>
      <c r="BY19" s="88"/>
    </row>
    <row r="20" spans="1:77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36"/>
      <c r="P20" s="293"/>
      <c r="Q20" s="136"/>
      <c r="R20" s="136"/>
      <c r="S20" s="136"/>
      <c r="T20" s="20"/>
      <c r="U20" s="14"/>
      <c r="V20" s="136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88"/>
      <c r="AJ20" s="88"/>
      <c r="AK20" s="88"/>
      <c r="AL20" s="88"/>
      <c r="AM20" s="88"/>
      <c r="AN20" s="88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284"/>
      <c r="AZ20" s="284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291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</row>
    <row r="21" spans="1:77">
      <c r="A21" s="14"/>
      <c r="B21" s="14"/>
      <c r="C21" s="136" t="s">
        <v>348</v>
      </c>
      <c r="D21" s="306">
        <v>45743</v>
      </c>
      <c r="E21" s="88" t="s">
        <v>274</v>
      </c>
      <c r="F21" s="20" t="s">
        <v>275</v>
      </c>
      <c r="G21" s="20" t="s">
        <v>276</v>
      </c>
      <c r="H21" s="14" t="s">
        <v>277</v>
      </c>
      <c r="I21" s="295" t="s">
        <v>278</v>
      </c>
      <c r="J21" s="88" t="s">
        <v>279</v>
      </c>
      <c r="K21" s="14" t="s">
        <v>280</v>
      </c>
      <c r="L21" s="20" t="s">
        <v>281</v>
      </c>
      <c r="M21" s="302" t="s">
        <v>349</v>
      </c>
      <c r="N21" s="14" t="s">
        <v>281</v>
      </c>
      <c r="O21" s="286" t="s">
        <v>350</v>
      </c>
      <c r="P21" s="293"/>
      <c r="Q21" s="136" t="s">
        <v>333</v>
      </c>
      <c r="R21" s="302" t="s">
        <v>351</v>
      </c>
      <c r="S21" s="136"/>
      <c r="T21" s="20" t="s">
        <v>282</v>
      </c>
      <c r="U21" s="14"/>
      <c r="V21" s="136"/>
      <c r="W21" s="20" t="s">
        <v>348</v>
      </c>
      <c r="X21" s="14"/>
      <c r="Y21" s="14"/>
      <c r="Z21" s="14"/>
      <c r="AA21" s="14"/>
      <c r="AB21" s="14"/>
      <c r="AC21" s="88" t="s">
        <v>280</v>
      </c>
      <c r="AD21" s="88" t="s">
        <v>280</v>
      </c>
      <c r="AE21" s="88" t="s">
        <v>280</v>
      </c>
      <c r="AF21" s="14" t="s">
        <v>280</v>
      </c>
      <c r="AG21" s="14"/>
      <c r="AH21" s="14"/>
      <c r="AI21" s="88" t="s">
        <v>282</v>
      </c>
      <c r="AJ21" s="88"/>
      <c r="AK21" s="88"/>
      <c r="AL21" s="88" t="s">
        <v>282</v>
      </c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14"/>
      <c r="AY21" s="284">
        <v>45748</v>
      </c>
      <c r="AZ21" s="284">
        <v>45765</v>
      </c>
      <c r="BA21" s="88" t="s">
        <v>280</v>
      </c>
      <c r="BB21" s="88" t="s">
        <v>280</v>
      </c>
      <c r="BC21" s="88" t="s">
        <v>285</v>
      </c>
      <c r="BD21" s="88" t="s">
        <v>285</v>
      </c>
      <c r="BE21" s="88" t="s">
        <v>280</v>
      </c>
      <c r="BF21" s="88" t="s">
        <v>280</v>
      </c>
      <c r="BG21" s="88" t="s">
        <v>280</v>
      </c>
      <c r="BH21" s="88" t="s">
        <v>285</v>
      </c>
      <c r="BI21" s="88" t="s">
        <v>280</v>
      </c>
      <c r="BJ21" s="88" t="s">
        <v>285</v>
      </c>
      <c r="BK21" s="88" t="s">
        <v>280</v>
      </c>
      <c r="BL21" s="88" t="s">
        <v>280</v>
      </c>
      <c r="BM21" s="291">
        <v>1</v>
      </c>
      <c r="BN21" s="88" t="s">
        <v>285</v>
      </c>
      <c r="BO21" s="88" t="s">
        <v>285</v>
      </c>
      <c r="BP21" s="88" t="s">
        <v>280</v>
      </c>
      <c r="BQ21" s="88" t="s">
        <v>280</v>
      </c>
      <c r="BR21" s="88" t="s">
        <v>280</v>
      </c>
      <c r="BS21" s="88" t="s">
        <v>280</v>
      </c>
      <c r="BT21" s="88" t="s">
        <v>280</v>
      </c>
      <c r="BU21" s="88"/>
      <c r="BV21" s="88"/>
      <c r="BW21" s="88"/>
      <c r="BX21" s="88"/>
      <c r="BY21" s="88"/>
    </row>
    <row r="22" spans="1:77">
      <c r="A22" s="14"/>
      <c r="B22" s="14"/>
      <c r="C22" s="136" t="s">
        <v>352</v>
      </c>
      <c r="D22" s="306">
        <v>45743</v>
      </c>
      <c r="E22" s="88" t="s">
        <v>274</v>
      </c>
      <c r="F22" s="20" t="s">
        <v>275</v>
      </c>
      <c r="G22" s="20" t="s">
        <v>276</v>
      </c>
      <c r="H22" s="20" t="s">
        <v>300</v>
      </c>
      <c r="I22" s="295" t="s">
        <v>278</v>
      </c>
      <c r="J22" s="88" t="s">
        <v>279</v>
      </c>
      <c r="K22" s="20" t="s">
        <v>280</v>
      </c>
      <c r="L22" s="20" t="s">
        <v>281</v>
      </c>
      <c r="M22" s="302" t="s">
        <v>349</v>
      </c>
      <c r="N22" s="14" t="s">
        <v>281</v>
      </c>
      <c r="O22" s="286" t="s">
        <v>350</v>
      </c>
      <c r="P22" s="293"/>
      <c r="Q22" s="136" t="s">
        <v>333</v>
      </c>
      <c r="R22" s="136"/>
      <c r="S22" s="136"/>
      <c r="T22" s="20" t="s">
        <v>282</v>
      </c>
      <c r="U22" s="14"/>
      <c r="V22" s="136"/>
      <c r="W22" s="20" t="s">
        <v>352</v>
      </c>
      <c r="X22" s="14"/>
      <c r="Y22" s="14"/>
      <c r="Z22" s="14"/>
      <c r="AA22" s="14"/>
      <c r="AB22" s="14"/>
      <c r="AC22" s="88" t="s">
        <v>280</v>
      </c>
      <c r="AD22" s="88" t="s">
        <v>280</v>
      </c>
      <c r="AE22" s="88" t="s">
        <v>280</v>
      </c>
      <c r="AF22" s="20" t="s">
        <v>280</v>
      </c>
      <c r="AG22" s="14"/>
      <c r="AH22" s="14"/>
      <c r="AI22" s="88" t="s">
        <v>282</v>
      </c>
      <c r="AJ22" s="88"/>
      <c r="AK22" s="88"/>
      <c r="AL22" s="88" t="s">
        <v>282</v>
      </c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20"/>
      <c r="AY22" s="284">
        <v>45748</v>
      </c>
      <c r="AZ22" s="284">
        <v>45765</v>
      </c>
      <c r="BA22" s="88" t="s">
        <v>280</v>
      </c>
      <c r="BB22" s="88" t="s">
        <v>280</v>
      </c>
      <c r="BC22" s="88" t="s">
        <v>285</v>
      </c>
      <c r="BD22" s="88" t="s">
        <v>285</v>
      </c>
      <c r="BE22" s="88" t="s">
        <v>280</v>
      </c>
      <c r="BF22" s="88" t="s">
        <v>280</v>
      </c>
      <c r="BG22" s="88" t="s">
        <v>280</v>
      </c>
      <c r="BH22" s="88" t="s">
        <v>285</v>
      </c>
      <c r="BI22" s="88" t="s">
        <v>280</v>
      </c>
      <c r="BJ22" s="88" t="s">
        <v>285</v>
      </c>
      <c r="BK22" s="88" t="s">
        <v>280</v>
      </c>
      <c r="BL22" s="88" t="s">
        <v>280</v>
      </c>
      <c r="BM22" s="291">
        <v>1</v>
      </c>
      <c r="BN22" s="88" t="s">
        <v>285</v>
      </c>
      <c r="BO22" s="88" t="s">
        <v>285</v>
      </c>
      <c r="BP22" s="88" t="s">
        <v>280</v>
      </c>
      <c r="BQ22" s="88" t="s">
        <v>280</v>
      </c>
      <c r="BR22" s="88" t="s">
        <v>280</v>
      </c>
      <c r="BS22" s="88" t="s">
        <v>280</v>
      </c>
      <c r="BT22" s="88" t="s">
        <v>280</v>
      </c>
      <c r="BU22" s="88"/>
      <c r="BV22" s="88"/>
      <c r="BW22" s="88"/>
      <c r="BX22" s="88"/>
      <c r="BY22" s="88"/>
    </row>
    <row r="23" spans="1:77">
      <c r="A23" s="14"/>
      <c r="B23" s="14"/>
      <c r="C23" s="136" t="s">
        <v>353</v>
      </c>
      <c r="D23" s="306">
        <v>45749</v>
      </c>
      <c r="E23" s="88" t="s">
        <v>274</v>
      </c>
      <c r="F23" s="20" t="s">
        <v>275</v>
      </c>
      <c r="G23" s="20" t="s">
        <v>276</v>
      </c>
      <c r="H23" s="14" t="s">
        <v>277</v>
      </c>
      <c r="I23" s="307" t="s">
        <v>315</v>
      </c>
      <c r="J23" s="88" t="s">
        <v>279</v>
      </c>
      <c r="K23" s="14" t="s">
        <v>280</v>
      </c>
      <c r="L23" s="20" t="s">
        <v>281</v>
      </c>
      <c r="M23" s="302" t="s">
        <v>354</v>
      </c>
      <c r="N23" s="14" t="s">
        <v>281</v>
      </c>
      <c r="O23" s="286" t="s">
        <v>350</v>
      </c>
      <c r="P23" s="293"/>
      <c r="Q23" s="136" t="s">
        <v>333</v>
      </c>
      <c r="R23" s="302" t="s">
        <v>355</v>
      </c>
      <c r="S23" s="136"/>
      <c r="T23" s="20" t="s">
        <v>282</v>
      </c>
      <c r="U23" s="14"/>
      <c r="V23" s="136"/>
      <c r="W23" s="14" t="s">
        <v>353</v>
      </c>
      <c r="X23" s="14"/>
      <c r="Y23" s="14"/>
      <c r="Z23" s="14"/>
      <c r="AA23" s="14"/>
      <c r="AB23" s="14"/>
      <c r="AC23" s="88" t="s">
        <v>280</v>
      </c>
      <c r="AD23" s="88" t="s">
        <v>280</v>
      </c>
      <c r="AE23" s="88" t="s">
        <v>280</v>
      </c>
      <c r="AF23" s="20" t="s">
        <v>280</v>
      </c>
      <c r="AG23" s="14"/>
      <c r="AH23" s="14"/>
      <c r="AI23" s="88" t="s">
        <v>282</v>
      </c>
      <c r="AJ23" s="88"/>
      <c r="AK23" s="88"/>
      <c r="AL23" s="88" t="s">
        <v>282</v>
      </c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20"/>
      <c r="AY23" s="284">
        <v>45748</v>
      </c>
      <c r="AZ23" s="284">
        <v>45765</v>
      </c>
      <c r="BA23" s="88" t="s">
        <v>280</v>
      </c>
      <c r="BB23" s="88" t="s">
        <v>280</v>
      </c>
      <c r="BC23" s="88" t="s">
        <v>285</v>
      </c>
      <c r="BD23" s="88" t="s">
        <v>285</v>
      </c>
      <c r="BE23" s="88" t="s">
        <v>280</v>
      </c>
      <c r="BF23" s="88" t="s">
        <v>280</v>
      </c>
      <c r="BG23" s="88" t="s">
        <v>280</v>
      </c>
      <c r="BH23" s="88" t="s">
        <v>285</v>
      </c>
      <c r="BI23" s="88" t="s">
        <v>280</v>
      </c>
      <c r="BJ23" s="88" t="s">
        <v>285</v>
      </c>
      <c r="BK23" s="88" t="s">
        <v>280</v>
      </c>
      <c r="BL23" s="88" t="s">
        <v>280</v>
      </c>
      <c r="BM23" s="291">
        <v>1</v>
      </c>
      <c r="BN23" s="88" t="s">
        <v>285</v>
      </c>
      <c r="BO23" s="88" t="s">
        <v>285</v>
      </c>
      <c r="BP23" s="88" t="s">
        <v>280</v>
      </c>
      <c r="BQ23" s="88" t="s">
        <v>280</v>
      </c>
      <c r="BR23" s="88" t="s">
        <v>280</v>
      </c>
      <c r="BS23" s="88" t="s">
        <v>280</v>
      </c>
      <c r="BT23" s="88" t="s">
        <v>280</v>
      </c>
      <c r="BU23" s="88"/>
      <c r="BV23" s="88"/>
      <c r="BW23" s="88"/>
      <c r="BX23" s="88"/>
      <c r="BY23" s="88"/>
    </row>
    <row r="24" spans="1:77">
      <c r="A24" s="14"/>
      <c r="B24" s="14"/>
      <c r="C24" s="136" t="s">
        <v>356</v>
      </c>
      <c r="D24" s="306">
        <v>45749</v>
      </c>
      <c r="E24" s="88" t="s">
        <v>274</v>
      </c>
      <c r="F24" s="20" t="s">
        <v>275</v>
      </c>
      <c r="G24" s="20" t="s">
        <v>276</v>
      </c>
      <c r="H24" s="20" t="s">
        <v>300</v>
      </c>
      <c r="I24" s="295" t="s">
        <v>315</v>
      </c>
      <c r="J24" s="88" t="s">
        <v>279</v>
      </c>
      <c r="K24" s="20" t="s">
        <v>280</v>
      </c>
      <c r="L24" s="20" t="s">
        <v>281</v>
      </c>
      <c r="M24" s="302" t="s">
        <v>354</v>
      </c>
      <c r="N24" s="14" t="s">
        <v>281</v>
      </c>
      <c r="O24" s="286"/>
      <c r="P24" s="293"/>
      <c r="Q24" s="136" t="s">
        <v>333</v>
      </c>
      <c r="R24" s="136"/>
      <c r="S24" s="136"/>
      <c r="T24" s="20" t="s">
        <v>282</v>
      </c>
      <c r="U24" s="14"/>
      <c r="V24" s="136"/>
      <c r="W24" s="14" t="s">
        <v>356</v>
      </c>
      <c r="X24" s="14"/>
      <c r="Y24" s="14"/>
      <c r="Z24" s="14"/>
      <c r="AA24" s="14"/>
      <c r="AB24" s="14"/>
      <c r="AC24" s="88" t="s">
        <v>280</v>
      </c>
      <c r="AD24" s="88" t="s">
        <v>280</v>
      </c>
      <c r="AE24" s="88" t="s">
        <v>280</v>
      </c>
      <c r="AF24" s="20" t="s">
        <v>280</v>
      </c>
      <c r="AG24" s="14"/>
      <c r="AH24" s="14"/>
      <c r="AI24" s="88" t="s">
        <v>282</v>
      </c>
      <c r="AJ24" s="88"/>
      <c r="AK24" s="88"/>
      <c r="AL24" s="88" t="s">
        <v>282</v>
      </c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20"/>
      <c r="AY24" s="284">
        <v>45748</v>
      </c>
      <c r="AZ24" s="284">
        <v>45765</v>
      </c>
      <c r="BA24" s="88" t="s">
        <v>280</v>
      </c>
      <c r="BB24" s="88" t="s">
        <v>280</v>
      </c>
      <c r="BC24" s="88" t="s">
        <v>285</v>
      </c>
      <c r="BD24" s="88" t="s">
        <v>285</v>
      </c>
      <c r="BE24" s="88" t="s">
        <v>280</v>
      </c>
      <c r="BF24" s="88" t="s">
        <v>280</v>
      </c>
      <c r="BG24" s="88" t="s">
        <v>280</v>
      </c>
      <c r="BH24" s="88" t="s">
        <v>285</v>
      </c>
      <c r="BI24" s="88" t="s">
        <v>280</v>
      </c>
      <c r="BJ24" s="88" t="s">
        <v>285</v>
      </c>
      <c r="BK24" s="88" t="s">
        <v>280</v>
      </c>
      <c r="BL24" s="88" t="s">
        <v>280</v>
      </c>
      <c r="BM24" s="291">
        <v>1</v>
      </c>
      <c r="BN24" s="88" t="s">
        <v>285</v>
      </c>
      <c r="BO24" s="88" t="s">
        <v>285</v>
      </c>
      <c r="BP24" s="88" t="s">
        <v>280</v>
      </c>
      <c r="BQ24" s="88" t="s">
        <v>280</v>
      </c>
      <c r="BR24" s="88" t="s">
        <v>280</v>
      </c>
      <c r="BS24" s="88" t="s">
        <v>280</v>
      </c>
      <c r="BT24" s="88" t="s">
        <v>280</v>
      </c>
      <c r="BU24" s="88"/>
      <c r="BV24" s="88"/>
      <c r="BW24" s="88"/>
      <c r="BX24" s="88"/>
      <c r="BY24" s="88"/>
    </row>
    <row r="25" spans="1:77">
      <c r="A25" s="14"/>
      <c r="B25" s="14"/>
      <c r="C25" s="138"/>
      <c r="D25" s="306"/>
      <c r="E25" s="88"/>
      <c r="F25" s="20"/>
      <c r="G25" s="20"/>
      <c r="H25" s="20"/>
      <c r="I25" s="295"/>
      <c r="J25" s="88"/>
      <c r="K25" s="20"/>
      <c r="L25" s="20"/>
      <c r="M25" s="303"/>
      <c r="N25" s="14"/>
      <c r="O25" s="136"/>
      <c r="P25" s="293"/>
      <c r="Q25" s="136"/>
      <c r="R25" s="299"/>
      <c r="S25" s="136"/>
      <c r="T25" s="20" t="s">
        <v>282</v>
      </c>
      <c r="U25" s="14"/>
      <c r="V25" s="136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88" t="s">
        <v>282</v>
      </c>
      <c r="AJ25" s="88"/>
      <c r="AK25" s="88"/>
      <c r="AL25" s="88" t="s">
        <v>282</v>
      </c>
      <c r="AM25" s="88"/>
      <c r="AN25" s="88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284">
        <v>45748</v>
      </c>
      <c r="AZ25" s="284">
        <v>45765</v>
      </c>
      <c r="BA25" s="88" t="s">
        <v>280</v>
      </c>
      <c r="BB25" s="88" t="s">
        <v>280</v>
      </c>
      <c r="BC25" s="88" t="s">
        <v>285</v>
      </c>
      <c r="BD25" s="88" t="s">
        <v>285</v>
      </c>
      <c r="BE25" s="88" t="s">
        <v>280</v>
      </c>
      <c r="BF25" s="88" t="s">
        <v>280</v>
      </c>
      <c r="BG25" s="88" t="s">
        <v>280</v>
      </c>
      <c r="BH25" s="88" t="s">
        <v>285</v>
      </c>
      <c r="BI25" s="88" t="s">
        <v>280</v>
      </c>
      <c r="BJ25" s="88" t="s">
        <v>285</v>
      </c>
      <c r="BK25" s="88" t="s">
        <v>280</v>
      </c>
      <c r="BL25" s="88" t="s">
        <v>280</v>
      </c>
      <c r="BM25" s="291">
        <v>1</v>
      </c>
      <c r="BN25" s="88" t="s">
        <v>285</v>
      </c>
      <c r="BO25" s="88" t="s">
        <v>285</v>
      </c>
      <c r="BP25" s="88" t="s">
        <v>280</v>
      </c>
      <c r="BQ25" s="88" t="s">
        <v>280</v>
      </c>
      <c r="BR25" s="88" t="s">
        <v>280</v>
      </c>
      <c r="BS25" s="88" t="s">
        <v>280</v>
      </c>
      <c r="BT25" s="88" t="s">
        <v>280</v>
      </c>
      <c r="BU25" s="88"/>
      <c r="BV25" s="88"/>
      <c r="BW25" s="88"/>
      <c r="BX25" s="88"/>
      <c r="BY25" s="88"/>
    </row>
    <row r="26" spans="1:77">
      <c r="A26" s="14"/>
      <c r="B26" s="14"/>
      <c r="C26" s="136" t="s">
        <v>357</v>
      </c>
      <c r="D26" s="306">
        <v>45754</v>
      </c>
      <c r="E26" s="88" t="s">
        <v>274</v>
      </c>
      <c r="F26" s="20" t="s">
        <v>275</v>
      </c>
      <c r="G26" s="20" t="s">
        <v>276</v>
      </c>
      <c r="H26" s="14" t="s">
        <v>277</v>
      </c>
      <c r="I26" s="295" t="s">
        <v>315</v>
      </c>
      <c r="J26" s="88" t="s">
        <v>279</v>
      </c>
      <c r="K26" s="20" t="s">
        <v>280</v>
      </c>
      <c r="L26" s="20" t="s">
        <v>281</v>
      </c>
      <c r="M26" s="302" t="s">
        <v>358</v>
      </c>
      <c r="N26" s="14" t="s">
        <v>281</v>
      </c>
      <c r="O26" s="286" t="s">
        <v>359</v>
      </c>
      <c r="P26" s="293"/>
      <c r="Q26" s="286" t="s">
        <v>360</v>
      </c>
      <c r="R26" s="286" t="s">
        <v>361</v>
      </c>
      <c r="S26" s="136"/>
      <c r="T26" s="20" t="s">
        <v>282</v>
      </c>
      <c r="U26" s="14"/>
      <c r="V26" s="136"/>
      <c r="W26" s="20" t="s">
        <v>357</v>
      </c>
      <c r="X26" s="14"/>
      <c r="Y26" s="14"/>
      <c r="Z26" s="14"/>
      <c r="AA26" s="14"/>
      <c r="AB26" s="14"/>
      <c r="AC26" s="14" t="s">
        <v>280</v>
      </c>
      <c r="AD26" s="14" t="s">
        <v>280</v>
      </c>
      <c r="AE26" s="14" t="s">
        <v>280</v>
      </c>
      <c r="AF26" s="14" t="s">
        <v>280</v>
      </c>
      <c r="AG26" s="14"/>
      <c r="AH26" s="14"/>
      <c r="AI26" s="88" t="s">
        <v>282</v>
      </c>
      <c r="AJ26" s="88"/>
      <c r="AK26" s="88"/>
      <c r="AL26" s="88" t="s">
        <v>282</v>
      </c>
      <c r="AM26" s="88"/>
      <c r="AN26" s="88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284">
        <v>45748</v>
      </c>
      <c r="AZ26" s="284">
        <v>45765</v>
      </c>
      <c r="BA26" s="88" t="s">
        <v>280</v>
      </c>
      <c r="BB26" s="88" t="s">
        <v>280</v>
      </c>
      <c r="BC26" s="88" t="s">
        <v>285</v>
      </c>
      <c r="BD26" s="88" t="s">
        <v>285</v>
      </c>
      <c r="BE26" s="88" t="s">
        <v>280</v>
      </c>
      <c r="BF26" s="88" t="s">
        <v>280</v>
      </c>
      <c r="BG26" s="88" t="s">
        <v>280</v>
      </c>
      <c r="BH26" s="88" t="s">
        <v>285</v>
      </c>
      <c r="BI26" s="88" t="s">
        <v>280</v>
      </c>
      <c r="BJ26" s="88" t="s">
        <v>285</v>
      </c>
      <c r="BK26" s="88" t="s">
        <v>280</v>
      </c>
      <c r="BL26" s="88" t="s">
        <v>280</v>
      </c>
      <c r="BM26" s="291">
        <v>1</v>
      </c>
      <c r="BN26" s="88" t="s">
        <v>285</v>
      </c>
      <c r="BO26" s="88" t="s">
        <v>285</v>
      </c>
      <c r="BP26" s="88" t="s">
        <v>280</v>
      </c>
      <c r="BQ26" s="88" t="s">
        <v>280</v>
      </c>
      <c r="BR26" s="88" t="s">
        <v>280</v>
      </c>
      <c r="BS26" s="88" t="s">
        <v>280</v>
      </c>
      <c r="BT26" s="88" t="s">
        <v>280</v>
      </c>
      <c r="BU26" s="88"/>
      <c r="BV26" s="88"/>
      <c r="BW26" s="88"/>
      <c r="BX26" s="88"/>
      <c r="BY26" s="88"/>
    </row>
    <row r="27" spans="1:77">
      <c r="A27" s="14"/>
      <c r="B27" s="14"/>
      <c r="C27" s="136" t="s">
        <v>362</v>
      </c>
      <c r="D27" s="306">
        <v>45754</v>
      </c>
      <c r="E27" s="88" t="s">
        <v>274</v>
      </c>
      <c r="F27" s="20" t="s">
        <v>275</v>
      </c>
      <c r="G27" s="20" t="s">
        <v>276</v>
      </c>
      <c r="H27" s="20" t="s">
        <v>300</v>
      </c>
      <c r="I27" s="295" t="s">
        <v>315</v>
      </c>
      <c r="J27" s="88" t="s">
        <v>279</v>
      </c>
      <c r="K27" s="20" t="s">
        <v>280</v>
      </c>
      <c r="L27" s="20"/>
      <c r="M27" s="303" t="s">
        <v>358</v>
      </c>
      <c r="N27" s="14"/>
      <c r="O27" s="299"/>
      <c r="P27" s="293"/>
      <c r="Q27" s="286" t="s">
        <v>363</v>
      </c>
      <c r="R27" s="299" t="s">
        <v>361</v>
      </c>
      <c r="S27" s="136"/>
      <c r="T27" s="20" t="s">
        <v>282</v>
      </c>
      <c r="U27" s="14"/>
      <c r="V27" s="136"/>
      <c r="W27" s="20" t="s">
        <v>362</v>
      </c>
      <c r="X27" s="14"/>
      <c r="Y27" s="14"/>
      <c r="Z27" s="14"/>
      <c r="AA27" s="14"/>
      <c r="AB27" s="14"/>
      <c r="AC27" s="20" t="s">
        <v>280</v>
      </c>
      <c r="AD27" s="20" t="s">
        <v>280</v>
      </c>
      <c r="AE27" s="20" t="s">
        <v>280</v>
      </c>
      <c r="AF27" s="20" t="s">
        <v>280</v>
      </c>
      <c r="AG27" s="14"/>
      <c r="AH27" s="14"/>
      <c r="AI27" s="88" t="s">
        <v>282</v>
      </c>
      <c r="AJ27" s="88"/>
      <c r="AK27" s="88"/>
      <c r="AL27" s="88" t="s">
        <v>282</v>
      </c>
      <c r="AM27" s="88"/>
      <c r="AN27" s="88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84">
        <v>45748</v>
      </c>
      <c r="AZ27" s="284">
        <v>45765</v>
      </c>
      <c r="BA27" s="88" t="s">
        <v>280</v>
      </c>
      <c r="BB27" s="88" t="s">
        <v>280</v>
      </c>
      <c r="BC27" s="88" t="s">
        <v>285</v>
      </c>
      <c r="BD27" s="88" t="s">
        <v>285</v>
      </c>
      <c r="BE27" s="88" t="s">
        <v>280</v>
      </c>
      <c r="BF27" s="88" t="s">
        <v>280</v>
      </c>
      <c r="BG27" s="88" t="s">
        <v>280</v>
      </c>
      <c r="BH27" s="88" t="s">
        <v>285</v>
      </c>
      <c r="BI27" s="88" t="s">
        <v>280</v>
      </c>
      <c r="BJ27" s="88" t="s">
        <v>285</v>
      </c>
      <c r="BK27" s="88" t="s">
        <v>280</v>
      </c>
      <c r="BL27" s="88" t="s">
        <v>280</v>
      </c>
      <c r="BM27" s="291">
        <v>1</v>
      </c>
      <c r="BN27" s="88" t="s">
        <v>285</v>
      </c>
      <c r="BO27" s="88" t="s">
        <v>285</v>
      </c>
      <c r="BP27" s="88" t="s">
        <v>280</v>
      </c>
      <c r="BQ27" s="88" t="s">
        <v>280</v>
      </c>
      <c r="BR27" s="88" t="s">
        <v>280</v>
      </c>
      <c r="BS27" s="88" t="s">
        <v>280</v>
      </c>
      <c r="BT27" s="88" t="s">
        <v>280</v>
      </c>
      <c r="BU27" s="88"/>
      <c r="BV27" s="88"/>
      <c r="BW27" s="88"/>
      <c r="BX27" s="88"/>
      <c r="BY27" s="88"/>
    </row>
    <row r="28" spans="1:77">
      <c r="A28" s="14"/>
      <c r="B28" s="14"/>
      <c r="C28" s="136" t="s">
        <v>364</v>
      </c>
      <c r="D28" s="306">
        <v>45754</v>
      </c>
      <c r="E28" s="88" t="s">
        <v>274</v>
      </c>
      <c r="F28" s="20" t="s">
        <v>275</v>
      </c>
      <c r="G28" s="20" t="s">
        <v>276</v>
      </c>
      <c r="H28" s="14" t="s">
        <v>277</v>
      </c>
      <c r="I28" s="295" t="s">
        <v>315</v>
      </c>
      <c r="J28" s="88" t="s">
        <v>279</v>
      </c>
      <c r="K28" s="20" t="s">
        <v>280</v>
      </c>
      <c r="L28" s="20" t="s">
        <v>281</v>
      </c>
      <c r="M28" s="303" t="s">
        <v>358</v>
      </c>
      <c r="N28" s="14" t="s">
        <v>281</v>
      </c>
      <c r="O28" s="299" t="s">
        <v>359</v>
      </c>
      <c r="P28" s="293"/>
      <c r="Q28" s="286" t="s">
        <v>360</v>
      </c>
      <c r="R28" s="299" t="s">
        <v>361</v>
      </c>
      <c r="S28" s="136"/>
      <c r="T28" s="20" t="s">
        <v>282</v>
      </c>
      <c r="U28" s="14"/>
      <c r="V28" s="136"/>
      <c r="W28" s="14" t="s">
        <v>364</v>
      </c>
      <c r="X28" s="14"/>
      <c r="Y28" s="14"/>
      <c r="Z28" s="14"/>
      <c r="AA28" s="14"/>
      <c r="AB28" s="14"/>
      <c r="AC28" s="20" t="s">
        <v>280</v>
      </c>
      <c r="AD28" s="20" t="s">
        <v>280</v>
      </c>
      <c r="AE28" s="20" t="s">
        <v>280</v>
      </c>
      <c r="AF28" s="20" t="s">
        <v>280</v>
      </c>
      <c r="AG28" s="14"/>
      <c r="AH28" s="14"/>
      <c r="AI28" s="88" t="s">
        <v>282</v>
      </c>
      <c r="AJ28" s="88"/>
      <c r="AK28" s="88"/>
      <c r="AL28" s="88" t="s">
        <v>282</v>
      </c>
      <c r="AM28" s="88"/>
      <c r="AN28" s="88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84">
        <v>45748</v>
      </c>
      <c r="AZ28" s="284">
        <v>45765</v>
      </c>
      <c r="BA28" s="88" t="s">
        <v>280</v>
      </c>
      <c r="BB28" s="88" t="s">
        <v>280</v>
      </c>
      <c r="BC28" s="88" t="s">
        <v>285</v>
      </c>
      <c r="BD28" s="88" t="s">
        <v>285</v>
      </c>
      <c r="BE28" s="88" t="s">
        <v>280</v>
      </c>
      <c r="BF28" s="88" t="s">
        <v>280</v>
      </c>
      <c r="BG28" s="88" t="s">
        <v>280</v>
      </c>
      <c r="BH28" s="88" t="s">
        <v>285</v>
      </c>
      <c r="BI28" s="88" t="s">
        <v>280</v>
      </c>
      <c r="BJ28" s="88" t="s">
        <v>285</v>
      </c>
      <c r="BK28" s="88" t="s">
        <v>280</v>
      </c>
      <c r="BL28" s="88" t="s">
        <v>280</v>
      </c>
      <c r="BM28" s="291">
        <v>1</v>
      </c>
      <c r="BN28" s="88" t="s">
        <v>285</v>
      </c>
      <c r="BO28" s="88" t="s">
        <v>285</v>
      </c>
      <c r="BP28" s="88" t="s">
        <v>280</v>
      </c>
      <c r="BQ28" s="88" t="s">
        <v>280</v>
      </c>
      <c r="BR28" s="88" t="s">
        <v>280</v>
      </c>
      <c r="BS28" s="88" t="s">
        <v>280</v>
      </c>
      <c r="BT28" s="88" t="s">
        <v>280</v>
      </c>
      <c r="BU28" s="88"/>
      <c r="BV28" s="88"/>
      <c r="BW28" s="88"/>
      <c r="BX28" s="88"/>
      <c r="BY28" s="88"/>
    </row>
    <row r="29" spans="1:77">
      <c r="A29" s="14"/>
      <c r="B29" s="14"/>
      <c r="C29" s="136" t="s">
        <v>365</v>
      </c>
      <c r="D29" s="306">
        <v>45754</v>
      </c>
      <c r="E29" s="88" t="s">
        <v>274</v>
      </c>
      <c r="F29" s="20" t="s">
        <v>275</v>
      </c>
      <c r="G29" s="20" t="s">
        <v>276</v>
      </c>
      <c r="H29" s="20" t="s">
        <v>300</v>
      </c>
      <c r="I29" s="295" t="s">
        <v>315</v>
      </c>
      <c r="J29" s="88" t="s">
        <v>279</v>
      </c>
      <c r="K29" s="20" t="s">
        <v>280</v>
      </c>
      <c r="L29" s="20"/>
      <c r="M29" s="303" t="s">
        <v>358</v>
      </c>
      <c r="N29" s="14"/>
      <c r="O29" s="299"/>
      <c r="P29" s="293"/>
      <c r="Q29" s="286" t="s">
        <v>363</v>
      </c>
      <c r="R29" s="299" t="s">
        <v>361</v>
      </c>
      <c r="S29" s="136"/>
      <c r="T29" s="20" t="s">
        <v>282</v>
      </c>
      <c r="U29" s="14"/>
      <c r="V29" s="136"/>
      <c r="W29" s="14" t="s">
        <v>365</v>
      </c>
      <c r="X29" s="14"/>
      <c r="Y29" s="14"/>
      <c r="Z29" s="14"/>
      <c r="AA29" s="14"/>
      <c r="AB29" s="14"/>
      <c r="AC29" s="20" t="s">
        <v>280</v>
      </c>
      <c r="AD29" s="20" t="s">
        <v>280</v>
      </c>
      <c r="AE29" s="20" t="s">
        <v>280</v>
      </c>
      <c r="AF29" s="20" t="s">
        <v>280</v>
      </c>
      <c r="AG29" s="14"/>
      <c r="AH29" s="14"/>
      <c r="AI29" s="88" t="s">
        <v>282</v>
      </c>
      <c r="AJ29" s="88"/>
      <c r="AK29" s="88"/>
      <c r="AL29" s="88" t="s">
        <v>282</v>
      </c>
      <c r="AM29" s="88"/>
      <c r="AN29" s="88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84">
        <v>45748</v>
      </c>
      <c r="AZ29" s="284">
        <v>45765</v>
      </c>
      <c r="BA29" s="88" t="s">
        <v>280</v>
      </c>
      <c r="BB29" s="88" t="s">
        <v>280</v>
      </c>
      <c r="BC29" s="88" t="s">
        <v>285</v>
      </c>
      <c r="BD29" s="88" t="s">
        <v>285</v>
      </c>
      <c r="BE29" s="88" t="s">
        <v>280</v>
      </c>
      <c r="BF29" s="88" t="s">
        <v>280</v>
      </c>
      <c r="BG29" s="88" t="s">
        <v>280</v>
      </c>
      <c r="BH29" s="88" t="s">
        <v>285</v>
      </c>
      <c r="BI29" s="88" t="s">
        <v>280</v>
      </c>
      <c r="BJ29" s="88" t="s">
        <v>285</v>
      </c>
      <c r="BK29" s="88" t="s">
        <v>280</v>
      </c>
      <c r="BL29" s="88" t="s">
        <v>280</v>
      </c>
      <c r="BM29" s="291">
        <v>1</v>
      </c>
      <c r="BN29" s="88" t="s">
        <v>285</v>
      </c>
      <c r="BO29" s="88" t="s">
        <v>285</v>
      </c>
      <c r="BP29" s="88" t="s">
        <v>280</v>
      </c>
      <c r="BQ29" s="88" t="s">
        <v>280</v>
      </c>
      <c r="BR29" s="88" t="s">
        <v>280</v>
      </c>
      <c r="BS29" s="88" t="s">
        <v>280</v>
      </c>
      <c r="BT29" s="88" t="s">
        <v>280</v>
      </c>
      <c r="BU29" s="88"/>
      <c r="BV29" s="88"/>
      <c r="BW29" s="88"/>
      <c r="BX29" s="88"/>
      <c r="BY29" s="88"/>
    </row>
    <row r="30" spans="1:77">
      <c r="A30" s="14"/>
      <c r="B30" s="14"/>
      <c r="C30" s="14"/>
      <c r="D30" s="306"/>
      <c r="E30" s="88"/>
      <c r="F30" s="20"/>
      <c r="G30" s="20"/>
      <c r="H30" s="14"/>
      <c r="I30" s="295"/>
      <c r="J30" s="88"/>
      <c r="K30" s="20"/>
      <c r="L30" s="14"/>
      <c r="M30" s="14"/>
      <c r="N30" s="14"/>
      <c r="O30" s="136"/>
      <c r="P30" s="293"/>
      <c r="Q30" s="136"/>
      <c r="R30" s="136"/>
      <c r="S30" s="136"/>
      <c r="T30" s="20" t="s">
        <v>282</v>
      </c>
      <c r="U30" s="14"/>
      <c r="V30" s="136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</row>
    <row r="31" spans="1:77">
      <c r="A31" s="14"/>
      <c r="B31" s="14"/>
      <c r="C31" s="14"/>
      <c r="D31" s="306"/>
      <c r="E31" s="88"/>
      <c r="F31" s="20"/>
      <c r="G31" s="20"/>
      <c r="H31" s="20"/>
      <c r="I31" s="295"/>
      <c r="J31" s="88"/>
      <c r="K31" s="20"/>
      <c r="L31" s="14"/>
      <c r="M31" s="14"/>
      <c r="N31" s="14"/>
      <c r="O31" s="136"/>
      <c r="P31" s="293"/>
      <c r="Q31" s="136"/>
      <c r="R31" s="136"/>
      <c r="S31" s="136"/>
      <c r="T31" s="20" t="s">
        <v>282</v>
      </c>
      <c r="U31" s="14"/>
      <c r="V31" s="136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</row>
    <row r="32" spans="1:77">
      <c r="A32" s="14"/>
      <c r="B32" s="14"/>
      <c r="C32" s="14" t="s">
        <v>366</v>
      </c>
      <c r="D32" s="306">
        <v>45758</v>
      </c>
      <c r="E32" s="88" t="s">
        <v>274</v>
      </c>
      <c r="F32" s="20" t="s">
        <v>275</v>
      </c>
      <c r="G32" s="20" t="s">
        <v>276</v>
      </c>
      <c r="H32" s="14" t="s">
        <v>277</v>
      </c>
      <c r="I32" s="295" t="s">
        <v>278</v>
      </c>
      <c r="J32" s="88" t="s">
        <v>279</v>
      </c>
      <c r="K32" s="20" t="s">
        <v>280</v>
      </c>
      <c r="L32" s="20" t="s">
        <v>281</v>
      </c>
      <c r="M32" s="14"/>
      <c r="N32" s="20" t="s">
        <v>281</v>
      </c>
      <c r="O32" s="136"/>
      <c r="P32" s="293"/>
      <c r="Q32" s="136"/>
      <c r="R32" s="14"/>
      <c r="S32" s="136"/>
      <c r="T32" s="20" t="s">
        <v>282</v>
      </c>
      <c r="U32" s="14"/>
      <c r="V32" s="136"/>
      <c r="W32" s="14" t="s">
        <v>366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</row>
    <row r="33" spans="1:77">
      <c r="A33" s="14"/>
      <c r="B33" s="14"/>
      <c r="C33" s="14" t="s">
        <v>367</v>
      </c>
      <c r="D33" s="306">
        <v>45758</v>
      </c>
      <c r="E33" s="88" t="s">
        <v>274</v>
      </c>
      <c r="F33" s="20" t="s">
        <v>275</v>
      </c>
      <c r="G33" s="20" t="s">
        <v>276</v>
      </c>
      <c r="H33" s="20" t="s">
        <v>300</v>
      </c>
      <c r="I33" s="295" t="s">
        <v>278</v>
      </c>
      <c r="J33" s="88" t="s">
        <v>279</v>
      </c>
      <c r="K33" s="20" t="s">
        <v>280</v>
      </c>
      <c r="L33" s="20" t="s">
        <v>281</v>
      </c>
      <c r="M33" s="14"/>
      <c r="N33" s="20" t="s">
        <v>281</v>
      </c>
      <c r="O33" s="136"/>
      <c r="P33" s="293"/>
      <c r="Q33" s="136"/>
      <c r="R33" s="14"/>
      <c r="S33" s="136"/>
      <c r="T33" s="20" t="s">
        <v>282</v>
      </c>
      <c r="U33" s="14"/>
      <c r="V33" s="136"/>
      <c r="W33" s="14" t="s">
        <v>367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</row>
    <row r="34" spans="1:77">
      <c r="A34" s="14"/>
      <c r="B34" s="14"/>
      <c r="C34" s="14"/>
      <c r="D34" s="306"/>
      <c r="E34" s="88"/>
      <c r="F34" s="20"/>
      <c r="G34" s="20"/>
      <c r="H34" s="20"/>
      <c r="I34" s="295"/>
      <c r="J34" s="88"/>
      <c r="K34" s="20"/>
      <c r="L34" s="14"/>
      <c r="M34" s="14"/>
      <c r="N34" s="14"/>
      <c r="O34" s="136"/>
      <c r="P34" s="293"/>
      <c r="Q34" s="136"/>
      <c r="R34" s="14"/>
      <c r="S34" s="136"/>
      <c r="T34" s="20" t="s">
        <v>282</v>
      </c>
      <c r="U34" s="14"/>
      <c r="V34" s="136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</row>
    <row r="35" spans="1:77">
      <c r="A35" s="14"/>
      <c r="B35" s="14"/>
      <c r="C35" s="14"/>
      <c r="D35" s="306"/>
      <c r="E35" s="88"/>
      <c r="F35" s="20"/>
      <c r="G35" s="20"/>
      <c r="H35" s="20"/>
      <c r="I35" s="295"/>
      <c r="J35" s="88"/>
      <c r="K35" s="20"/>
      <c r="L35" s="14"/>
      <c r="M35" s="14"/>
      <c r="N35" s="14"/>
      <c r="O35" s="136"/>
      <c r="P35" s="293"/>
      <c r="Q35" s="136"/>
      <c r="R35" s="14"/>
      <c r="S35" s="136"/>
      <c r="T35" s="20" t="s">
        <v>282</v>
      </c>
      <c r="U35" s="14"/>
      <c r="V35" s="136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</row>
    <row r="36" spans="1:77">
      <c r="A36" s="14"/>
      <c r="B36" s="14"/>
      <c r="C36" s="308" t="s">
        <v>368</v>
      </c>
      <c r="D36" s="306">
        <v>45758</v>
      </c>
      <c r="E36" s="88" t="s">
        <v>274</v>
      </c>
      <c r="F36" s="20" t="s">
        <v>275</v>
      </c>
      <c r="G36" s="20" t="s">
        <v>276</v>
      </c>
      <c r="H36" s="14" t="s">
        <v>277</v>
      </c>
      <c r="I36" s="295" t="s">
        <v>278</v>
      </c>
      <c r="J36" s="88" t="s">
        <v>279</v>
      </c>
      <c r="K36" s="20" t="s">
        <v>280</v>
      </c>
      <c r="L36" s="20" t="s">
        <v>281</v>
      </c>
      <c r="M36" s="302" t="s">
        <v>287</v>
      </c>
      <c r="N36" s="20" t="s">
        <v>281</v>
      </c>
      <c r="O36" s="136"/>
      <c r="P36" s="293"/>
      <c r="Q36" s="136"/>
      <c r="R36" s="303" t="s">
        <v>287</v>
      </c>
      <c r="S36" s="136"/>
      <c r="T36" s="20" t="s">
        <v>282</v>
      </c>
      <c r="U36" s="14"/>
      <c r="V36" s="136"/>
      <c r="W36" s="308" t="s">
        <v>368</v>
      </c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</row>
    <row r="37" spans="1:77">
      <c r="A37" s="14"/>
      <c r="B37" s="14"/>
      <c r="C37" s="14" t="s">
        <v>369</v>
      </c>
      <c r="D37" s="306">
        <v>45758</v>
      </c>
      <c r="E37" s="88" t="s">
        <v>274</v>
      </c>
      <c r="F37" s="20" t="s">
        <v>275</v>
      </c>
      <c r="G37" s="20" t="s">
        <v>276</v>
      </c>
      <c r="H37" s="20" t="s">
        <v>300</v>
      </c>
      <c r="I37" s="295" t="s">
        <v>278</v>
      </c>
      <c r="J37" s="88" t="s">
        <v>279</v>
      </c>
      <c r="K37" s="20" t="s">
        <v>280</v>
      </c>
      <c r="L37" s="20" t="s">
        <v>281</v>
      </c>
      <c r="M37" s="302" t="s">
        <v>287</v>
      </c>
      <c r="N37" s="20" t="s">
        <v>281</v>
      </c>
      <c r="O37" s="136"/>
      <c r="P37" s="293"/>
      <c r="Q37" s="136"/>
      <c r="R37" s="303" t="s">
        <v>287</v>
      </c>
      <c r="S37" s="136"/>
      <c r="T37" s="20" t="s">
        <v>282</v>
      </c>
      <c r="U37" s="14"/>
      <c r="V37" s="136"/>
      <c r="W37" s="14" t="s">
        <v>369</v>
      </c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</row>
    <row r="38" spans="1:77">
      <c r="A38" s="14"/>
      <c r="B38" s="14"/>
      <c r="C38" s="14"/>
      <c r="D38" s="306"/>
      <c r="E38" s="88"/>
      <c r="F38" s="20"/>
      <c r="G38" s="20"/>
      <c r="H38" s="20"/>
      <c r="I38" s="295"/>
      <c r="J38" s="88"/>
      <c r="K38" s="20"/>
      <c r="L38" s="14"/>
      <c r="M38" s="14"/>
      <c r="N38" s="14"/>
      <c r="O38" s="136"/>
      <c r="P38" s="293"/>
      <c r="Q38" s="136"/>
      <c r="R38" s="14"/>
      <c r="S38" s="136"/>
      <c r="T38" s="20"/>
      <c r="U38" s="14"/>
      <c r="V38" s="136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</row>
    <row r="39" spans="1:77">
      <c r="A39" s="14"/>
      <c r="B39" s="14"/>
      <c r="C39" s="14"/>
      <c r="D39" s="306"/>
      <c r="E39" s="88"/>
      <c r="F39" s="20"/>
      <c r="G39" s="20"/>
      <c r="H39" s="20"/>
      <c r="I39" s="295"/>
      <c r="J39" s="88"/>
      <c r="K39" s="20"/>
      <c r="L39" s="14"/>
      <c r="M39" s="14"/>
      <c r="N39" s="14"/>
      <c r="O39" s="136"/>
      <c r="P39" s="293"/>
      <c r="Q39" s="136"/>
      <c r="R39" s="14"/>
      <c r="S39" s="136"/>
      <c r="T39" s="20" t="s">
        <v>282</v>
      </c>
      <c r="U39" s="14"/>
      <c r="V39" s="136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</row>
    <row r="40" spans="1:77">
      <c r="A40" s="14"/>
      <c r="B40" s="14"/>
      <c r="C40" s="14" t="s">
        <v>370</v>
      </c>
      <c r="D40" s="306">
        <v>45758</v>
      </c>
      <c r="E40" s="88" t="s">
        <v>274</v>
      </c>
      <c r="F40" s="20" t="s">
        <v>275</v>
      </c>
      <c r="G40" s="20" t="s">
        <v>276</v>
      </c>
      <c r="H40" s="14" t="s">
        <v>277</v>
      </c>
      <c r="I40" s="295" t="s">
        <v>278</v>
      </c>
      <c r="J40" s="88" t="s">
        <v>279</v>
      </c>
      <c r="K40" s="20" t="s">
        <v>280</v>
      </c>
      <c r="L40" s="20" t="s">
        <v>281</v>
      </c>
      <c r="M40" s="15"/>
      <c r="N40" s="20" t="s">
        <v>281</v>
      </c>
      <c r="O40" s="136"/>
      <c r="P40" s="293"/>
      <c r="Q40" s="136"/>
      <c r="R40" s="15"/>
      <c r="S40" s="136"/>
      <c r="T40" s="20" t="s">
        <v>282</v>
      </c>
      <c r="U40" s="14"/>
      <c r="V40" s="136"/>
      <c r="W40" s="20" t="s">
        <v>370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</row>
    <row r="41" spans="1:77">
      <c r="A41" s="14"/>
      <c r="B41" s="14"/>
      <c r="C41" s="14" t="s">
        <v>371</v>
      </c>
      <c r="D41" s="306">
        <v>45758</v>
      </c>
      <c r="E41" s="88" t="s">
        <v>274</v>
      </c>
      <c r="F41" s="20" t="s">
        <v>275</v>
      </c>
      <c r="G41" s="20" t="s">
        <v>276</v>
      </c>
      <c r="H41" s="20" t="s">
        <v>300</v>
      </c>
      <c r="I41" s="295" t="s">
        <v>278</v>
      </c>
      <c r="J41" s="88" t="s">
        <v>279</v>
      </c>
      <c r="K41" s="20" t="s">
        <v>280</v>
      </c>
      <c r="L41" s="20" t="s">
        <v>281</v>
      </c>
      <c r="M41" s="15"/>
      <c r="N41" s="20" t="s">
        <v>281</v>
      </c>
      <c r="O41" s="136"/>
      <c r="P41" s="293"/>
      <c r="Q41" s="136"/>
      <c r="R41" s="15"/>
      <c r="S41" s="136"/>
      <c r="T41" s="20" t="s">
        <v>282</v>
      </c>
      <c r="U41" s="14"/>
      <c r="V41" s="136"/>
      <c r="W41" s="20" t="s">
        <v>371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</row>
    <row r="42" spans="1:77">
      <c r="A42" s="14"/>
      <c r="B42" s="14"/>
      <c r="C42" s="14"/>
      <c r="D42" s="306"/>
      <c r="E42" s="88"/>
      <c r="F42" s="20"/>
      <c r="G42" s="20"/>
      <c r="H42" s="20"/>
      <c r="I42" s="295"/>
      <c r="J42" s="88"/>
      <c r="K42" s="20"/>
      <c r="L42" s="20"/>
      <c r="M42" s="15"/>
      <c r="N42" s="20"/>
      <c r="O42" s="136"/>
      <c r="P42" s="14"/>
      <c r="Q42" s="136"/>
      <c r="R42" s="136"/>
      <c r="S42" s="136"/>
      <c r="T42" s="14"/>
      <c r="U42" s="14"/>
      <c r="V42" s="136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</row>
    <row r="43" spans="1:77">
      <c r="A43" s="14"/>
      <c r="B43" s="14"/>
      <c r="C43" s="14" t="s">
        <v>372</v>
      </c>
      <c r="D43" s="306">
        <v>45770</v>
      </c>
      <c r="E43" s="88"/>
      <c r="F43" s="20"/>
      <c r="G43" s="20"/>
      <c r="H43" s="20"/>
      <c r="I43" s="295"/>
      <c r="J43" s="88"/>
      <c r="K43" s="14" t="s">
        <v>280</v>
      </c>
      <c r="L43" s="14" t="s">
        <v>281</v>
      </c>
      <c r="M43" s="309" t="s">
        <v>372</v>
      </c>
      <c r="N43" s="14" t="s">
        <v>281</v>
      </c>
      <c r="O43" s="136"/>
      <c r="P43" s="14"/>
      <c r="Q43" s="286" t="s">
        <v>373</v>
      </c>
      <c r="R43" s="286" t="s">
        <v>374</v>
      </c>
      <c r="S43" s="136"/>
      <c r="T43" s="14"/>
      <c r="U43" s="14"/>
      <c r="V43" s="136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</row>
    <row r="44" spans="1:77">
      <c r="A44" s="14"/>
      <c r="B44" s="14"/>
      <c r="C44" s="14" t="s">
        <v>375</v>
      </c>
      <c r="D44" s="306">
        <v>45770</v>
      </c>
      <c r="E44" s="88" t="s">
        <v>274</v>
      </c>
      <c r="F44" s="20" t="s">
        <v>275</v>
      </c>
      <c r="G44" s="20" t="s">
        <v>276</v>
      </c>
      <c r="H44" s="20" t="s">
        <v>300</v>
      </c>
      <c r="I44" s="295" t="s">
        <v>278</v>
      </c>
      <c r="J44" s="88" t="s">
        <v>279</v>
      </c>
      <c r="K44" s="20" t="s">
        <v>280</v>
      </c>
      <c r="L44" s="20" t="s">
        <v>281</v>
      </c>
      <c r="M44" s="309" t="s">
        <v>376</v>
      </c>
      <c r="N44" s="20" t="s">
        <v>281</v>
      </c>
      <c r="O44" s="136"/>
      <c r="P44" s="14"/>
      <c r="Q44" s="136"/>
      <c r="R44" s="136"/>
      <c r="S44" s="136"/>
      <c r="T44" s="14"/>
      <c r="U44" s="14"/>
      <c r="V44" s="136"/>
      <c r="W44" s="14" t="s">
        <v>375</v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</row>
    <row r="45" spans="1:77">
      <c r="A45" s="14"/>
      <c r="B45" s="14"/>
      <c r="C45" s="14" t="s">
        <v>377</v>
      </c>
      <c r="D45" s="306">
        <v>45770</v>
      </c>
      <c r="E45" s="88" t="s">
        <v>274</v>
      </c>
      <c r="F45" s="20" t="s">
        <v>275</v>
      </c>
      <c r="G45" s="20" t="s">
        <v>276</v>
      </c>
      <c r="H45" s="20" t="s">
        <v>300</v>
      </c>
      <c r="I45" s="295" t="s">
        <v>278</v>
      </c>
      <c r="J45" s="88" t="s">
        <v>279</v>
      </c>
      <c r="K45" s="20" t="s">
        <v>280</v>
      </c>
      <c r="L45" s="20" t="s">
        <v>281</v>
      </c>
      <c r="M45" s="309" t="s">
        <v>378</v>
      </c>
      <c r="N45" s="20" t="s">
        <v>281</v>
      </c>
      <c r="O45" s="136"/>
      <c r="P45" s="14"/>
      <c r="Q45" s="136"/>
      <c r="R45" s="136"/>
      <c r="S45" s="136"/>
      <c r="T45" s="14"/>
      <c r="U45" s="14"/>
      <c r="V45" s="136"/>
      <c r="W45" s="14" t="s">
        <v>377</v>
      </c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</row>
    <row r="46" spans="1:77">
      <c r="A46" s="14" t="s">
        <v>48</v>
      </c>
      <c r="B46" s="14" t="s">
        <v>45</v>
      </c>
      <c r="C46" s="15" t="s">
        <v>379</v>
      </c>
      <c r="D46" s="306">
        <v>45859</v>
      </c>
      <c r="E46" s="88" t="s">
        <v>380</v>
      </c>
      <c r="F46" s="20" t="s">
        <v>275</v>
      </c>
      <c r="G46" s="20" t="s">
        <v>276</v>
      </c>
      <c r="H46" s="14" t="s">
        <v>381</v>
      </c>
      <c r="I46" s="14"/>
      <c r="J46" s="88" t="s">
        <v>279</v>
      </c>
      <c r="K46" s="20" t="s">
        <v>280</v>
      </c>
      <c r="L46" s="20" t="s">
        <v>281</v>
      </c>
      <c r="M46" s="14"/>
      <c r="N46" s="14"/>
      <c r="O46" s="136"/>
      <c r="P46" s="14"/>
      <c r="Q46" s="136"/>
      <c r="R46" s="136"/>
      <c r="S46" s="136"/>
      <c r="T46" s="14"/>
      <c r="U46" s="14"/>
      <c r="V46" s="136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</row>
    <row r="47" spans="1:77">
      <c r="A47" s="14" t="s">
        <v>44</v>
      </c>
      <c r="B47" s="14" t="s">
        <v>45</v>
      </c>
      <c r="C47" s="15" t="s">
        <v>382</v>
      </c>
      <c r="D47" s="306">
        <v>45859</v>
      </c>
      <c r="E47" s="283" t="s">
        <v>380</v>
      </c>
      <c r="F47" s="20" t="s">
        <v>275</v>
      </c>
      <c r="G47" s="20" t="s">
        <v>276</v>
      </c>
      <c r="H47" s="20" t="s">
        <v>381</v>
      </c>
      <c r="I47" s="14"/>
      <c r="J47" s="88" t="s">
        <v>279</v>
      </c>
      <c r="K47" s="20" t="s">
        <v>280</v>
      </c>
      <c r="L47" s="20" t="s">
        <v>281</v>
      </c>
      <c r="M47" s="14"/>
      <c r="N47" s="14"/>
      <c r="O47" s="136"/>
      <c r="P47" s="14"/>
      <c r="Q47" s="136"/>
      <c r="R47" s="136"/>
      <c r="S47" s="136"/>
      <c r="T47" s="14"/>
      <c r="U47" s="14"/>
      <c r="V47" s="136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</row>
    <row r="48" spans="1:77">
      <c r="A48" s="14" t="s">
        <v>383</v>
      </c>
      <c r="B48" s="14" t="s">
        <v>40</v>
      </c>
      <c r="C48" s="21" t="s">
        <v>384</v>
      </c>
      <c r="D48" s="306">
        <v>45859</v>
      </c>
      <c r="E48" s="88" t="s">
        <v>380</v>
      </c>
      <c r="F48" s="20" t="s">
        <v>275</v>
      </c>
      <c r="G48" s="20" t="s">
        <v>276</v>
      </c>
      <c r="H48" s="20" t="s">
        <v>381</v>
      </c>
      <c r="I48" s="14"/>
      <c r="J48" s="88" t="s">
        <v>279</v>
      </c>
      <c r="K48" s="20" t="s">
        <v>280</v>
      </c>
      <c r="L48" s="20" t="s">
        <v>281</v>
      </c>
      <c r="M48" s="14"/>
      <c r="N48" s="14"/>
      <c r="O48" s="136"/>
      <c r="P48" s="14"/>
      <c r="Q48" s="136"/>
      <c r="R48" s="136"/>
      <c r="S48" s="136"/>
      <c r="T48" s="14"/>
      <c r="U48" s="14"/>
      <c r="V48" s="136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</row>
    <row r="49" spans="1:77">
      <c r="A49" s="14" t="s">
        <v>385</v>
      </c>
      <c r="B49" s="14" t="s">
        <v>55</v>
      </c>
      <c r="C49" s="21" t="s">
        <v>386</v>
      </c>
      <c r="D49" s="306">
        <v>45859</v>
      </c>
      <c r="E49" s="88" t="s">
        <v>380</v>
      </c>
      <c r="F49" s="20" t="s">
        <v>275</v>
      </c>
      <c r="G49" s="20" t="s">
        <v>276</v>
      </c>
      <c r="H49" s="20" t="s">
        <v>381</v>
      </c>
      <c r="I49" s="14"/>
      <c r="J49" s="88" t="s">
        <v>279</v>
      </c>
      <c r="K49" s="20" t="s">
        <v>280</v>
      </c>
      <c r="L49" s="20" t="s">
        <v>281</v>
      </c>
      <c r="M49" s="14"/>
      <c r="N49" s="14"/>
      <c r="O49" s="136"/>
      <c r="P49" s="14"/>
      <c r="Q49" s="136"/>
      <c r="R49" s="136"/>
      <c r="S49" s="136"/>
      <c r="T49" s="14"/>
      <c r="U49" s="14"/>
      <c r="V49" s="136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</row>
    <row r="50" spans="1:77">
      <c r="A50" s="14" t="s">
        <v>387</v>
      </c>
      <c r="B50" s="14" t="s">
        <v>51</v>
      </c>
      <c r="C50" s="21" t="s">
        <v>388</v>
      </c>
      <c r="D50" s="306">
        <v>45859</v>
      </c>
      <c r="E50" s="88" t="s">
        <v>380</v>
      </c>
      <c r="F50" s="20" t="s">
        <v>275</v>
      </c>
      <c r="G50" s="20" t="s">
        <v>276</v>
      </c>
      <c r="H50" s="20" t="s">
        <v>381</v>
      </c>
      <c r="I50" s="14"/>
      <c r="J50" s="88" t="s">
        <v>279</v>
      </c>
      <c r="K50" s="20" t="s">
        <v>280</v>
      </c>
      <c r="L50" s="20" t="s">
        <v>281</v>
      </c>
      <c r="M50" s="14"/>
      <c r="N50" s="14"/>
      <c r="O50" s="136"/>
      <c r="P50" s="14"/>
      <c r="Q50" s="136"/>
      <c r="R50" s="136"/>
      <c r="S50" s="136"/>
      <c r="T50" s="14"/>
      <c r="U50" s="14"/>
      <c r="V50" s="136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</row>
    <row r="51" spans="1:77">
      <c r="A51" s="14" t="s">
        <v>389</v>
      </c>
      <c r="B51" s="14" t="s">
        <v>390</v>
      </c>
      <c r="C51" s="21" t="s">
        <v>391</v>
      </c>
      <c r="D51" s="306">
        <v>45859</v>
      </c>
      <c r="E51" s="88" t="s">
        <v>380</v>
      </c>
      <c r="F51" s="20" t="s">
        <v>275</v>
      </c>
      <c r="G51" s="20" t="s">
        <v>276</v>
      </c>
      <c r="H51" s="20" t="s">
        <v>381</v>
      </c>
      <c r="I51" s="14"/>
      <c r="J51" s="88" t="s">
        <v>279</v>
      </c>
      <c r="K51" s="20" t="s">
        <v>280</v>
      </c>
      <c r="L51" s="20" t="s">
        <v>281</v>
      </c>
      <c r="M51" s="14"/>
      <c r="N51" s="14"/>
      <c r="O51" s="136"/>
      <c r="P51" s="14"/>
      <c r="Q51" s="136"/>
      <c r="R51" s="136"/>
      <c r="S51" s="136"/>
      <c r="T51" s="14"/>
      <c r="U51" s="14"/>
      <c r="V51" s="136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</row>
    <row r="52" spans="1:77">
      <c r="A52" s="14" t="s">
        <v>392</v>
      </c>
      <c r="B52" s="14" t="s">
        <v>393</v>
      </c>
      <c r="C52" s="21" t="s">
        <v>394</v>
      </c>
      <c r="D52" s="306">
        <v>45859</v>
      </c>
      <c r="E52" s="88" t="s">
        <v>380</v>
      </c>
      <c r="F52" s="20" t="s">
        <v>275</v>
      </c>
      <c r="G52" s="20" t="s">
        <v>276</v>
      </c>
      <c r="H52" s="20" t="s">
        <v>381</v>
      </c>
      <c r="I52" s="14"/>
      <c r="J52" s="88" t="s">
        <v>279</v>
      </c>
      <c r="K52" s="20" t="s">
        <v>280</v>
      </c>
      <c r="L52" s="20" t="s">
        <v>281</v>
      </c>
      <c r="M52" s="14" t="s">
        <v>395</v>
      </c>
      <c r="N52" s="14" t="s">
        <v>396</v>
      </c>
      <c r="O52" s="136" t="s">
        <v>60</v>
      </c>
      <c r="P52" s="14" t="s">
        <v>61</v>
      </c>
      <c r="Q52" s="136"/>
      <c r="R52" s="136"/>
      <c r="S52" s="136"/>
      <c r="T52" s="14"/>
      <c r="U52" s="14"/>
      <c r="V52" s="136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</row>
    <row r="53" spans="1:77">
      <c r="A53" s="14" t="s">
        <v>397</v>
      </c>
      <c r="B53" s="14" t="s">
        <v>397</v>
      </c>
      <c r="C53" s="21" t="s">
        <v>398</v>
      </c>
      <c r="D53" s="306">
        <v>45859</v>
      </c>
      <c r="E53" s="88" t="s">
        <v>380</v>
      </c>
      <c r="F53" s="20" t="s">
        <v>275</v>
      </c>
      <c r="G53" s="20" t="s">
        <v>276</v>
      </c>
      <c r="H53" s="20" t="s">
        <v>381</v>
      </c>
      <c r="I53" s="14"/>
      <c r="J53" s="88" t="s">
        <v>279</v>
      </c>
      <c r="K53" s="20" t="s">
        <v>280</v>
      </c>
      <c r="L53" s="20" t="s">
        <v>281</v>
      </c>
      <c r="M53" s="14" t="s">
        <v>63</v>
      </c>
      <c r="N53" s="14" t="s">
        <v>64</v>
      </c>
      <c r="O53" s="136" t="s">
        <v>65</v>
      </c>
      <c r="P53" s="14" t="s">
        <v>61</v>
      </c>
      <c r="Q53" s="136"/>
      <c r="R53" s="136"/>
      <c r="S53" s="136"/>
      <c r="T53" s="14"/>
      <c r="U53" s="14"/>
      <c r="V53" s="136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</row>
    <row r="54" spans="1:77">
      <c r="A54" s="14" t="s">
        <v>397</v>
      </c>
      <c r="B54" s="14" t="s">
        <v>397</v>
      </c>
      <c r="C54" s="21" t="s">
        <v>399</v>
      </c>
      <c r="D54" s="306">
        <v>45859</v>
      </c>
      <c r="E54" s="88" t="s">
        <v>380</v>
      </c>
      <c r="F54" s="20" t="s">
        <v>275</v>
      </c>
      <c r="G54" s="20" t="s">
        <v>276</v>
      </c>
      <c r="H54" s="20" t="s">
        <v>381</v>
      </c>
      <c r="I54" s="14"/>
      <c r="J54" s="88" t="s">
        <v>279</v>
      </c>
      <c r="K54" s="20" t="s">
        <v>280</v>
      </c>
      <c r="L54" s="20" t="s">
        <v>281</v>
      </c>
      <c r="M54" s="14" t="s">
        <v>66</v>
      </c>
      <c r="N54" s="14" t="s">
        <v>67</v>
      </c>
      <c r="O54" s="136" t="s">
        <v>68</v>
      </c>
      <c r="P54" s="14" t="s">
        <v>61</v>
      </c>
      <c r="Q54" s="136"/>
      <c r="R54" s="136"/>
      <c r="S54" s="136"/>
      <c r="T54" s="14"/>
      <c r="U54" s="14"/>
      <c r="V54" s="136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</row>
    <row r="55" spans="1:77">
      <c r="A55" s="14" t="s">
        <v>397</v>
      </c>
      <c r="B55" s="14" t="s">
        <v>397</v>
      </c>
      <c r="C55" s="21" t="s">
        <v>400</v>
      </c>
      <c r="D55" s="306">
        <v>45859</v>
      </c>
      <c r="E55" s="88" t="s">
        <v>380</v>
      </c>
      <c r="F55" s="20" t="s">
        <v>275</v>
      </c>
      <c r="G55" s="20" t="s">
        <v>276</v>
      </c>
      <c r="H55" s="20" t="s">
        <v>381</v>
      </c>
      <c r="I55" s="14"/>
      <c r="J55" s="88" t="s">
        <v>279</v>
      </c>
      <c r="K55" s="20" t="s">
        <v>280</v>
      </c>
      <c r="L55" s="20" t="s">
        <v>281</v>
      </c>
      <c r="M55" s="14" t="s">
        <v>69</v>
      </c>
      <c r="N55" s="14" t="s">
        <v>70</v>
      </c>
      <c r="O55" s="136" t="s">
        <v>76</v>
      </c>
      <c r="P55" s="14" t="s">
        <v>72</v>
      </c>
      <c r="Q55" s="136"/>
      <c r="R55" s="136"/>
      <c r="S55" s="136"/>
      <c r="T55" s="14"/>
      <c r="U55" s="14"/>
      <c r="V55" s="136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</row>
    <row r="56" spans="1:77">
      <c r="A56" s="14" t="s">
        <v>401</v>
      </c>
      <c r="B56" s="14" t="s">
        <v>36</v>
      </c>
      <c r="C56" s="15" t="s">
        <v>402</v>
      </c>
      <c r="D56" s="306">
        <v>45860</v>
      </c>
      <c r="E56" s="88" t="s">
        <v>380</v>
      </c>
      <c r="F56" s="20" t="s">
        <v>275</v>
      </c>
      <c r="G56" s="20" t="s">
        <v>276</v>
      </c>
      <c r="H56" s="14" t="s">
        <v>300</v>
      </c>
      <c r="I56" s="14"/>
      <c r="J56" s="88" t="s">
        <v>279</v>
      </c>
      <c r="K56" s="20" t="s">
        <v>280</v>
      </c>
      <c r="L56" s="20" t="s">
        <v>281</v>
      </c>
      <c r="M56" s="14" t="s">
        <v>403</v>
      </c>
      <c r="N56" s="14" t="s">
        <v>75</v>
      </c>
      <c r="O56" s="136" t="s">
        <v>76</v>
      </c>
      <c r="P56" s="14" t="s">
        <v>72</v>
      </c>
      <c r="Q56" s="136"/>
      <c r="R56" s="136"/>
      <c r="S56" s="136"/>
      <c r="T56" s="14"/>
      <c r="U56" s="14"/>
      <c r="V56" s="136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</row>
    <row r="57" spans="1:77">
      <c r="A57" s="14" t="s">
        <v>404</v>
      </c>
      <c r="B57" s="14" t="s">
        <v>36</v>
      </c>
      <c r="C57" s="14" t="s">
        <v>405</v>
      </c>
      <c r="D57" s="306">
        <v>45860</v>
      </c>
      <c r="E57" s="88" t="s">
        <v>380</v>
      </c>
      <c r="F57" s="20" t="s">
        <v>275</v>
      </c>
      <c r="G57" s="20" t="s">
        <v>276</v>
      </c>
      <c r="H57" s="20" t="s">
        <v>381</v>
      </c>
      <c r="I57" s="14"/>
      <c r="J57" s="88" t="s">
        <v>279</v>
      </c>
      <c r="K57" s="20" t="s">
        <v>280</v>
      </c>
      <c r="L57" s="20" t="s">
        <v>281</v>
      </c>
      <c r="M57" s="14" t="s">
        <v>77</v>
      </c>
      <c r="N57" s="14" t="s">
        <v>78</v>
      </c>
      <c r="O57" s="136" t="s">
        <v>76</v>
      </c>
      <c r="P57" s="14" t="s">
        <v>72</v>
      </c>
      <c r="Q57" s="136"/>
      <c r="R57" s="136"/>
      <c r="S57" s="136"/>
      <c r="T57" s="14"/>
      <c r="U57" s="14"/>
      <c r="V57" s="136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</row>
    <row r="58" spans="1:77">
      <c r="A58" s="14" t="s">
        <v>395</v>
      </c>
      <c r="B58" s="14" t="s">
        <v>396</v>
      </c>
      <c r="C58" s="14" t="s">
        <v>406</v>
      </c>
      <c r="D58" s="306">
        <v>45860</v>
      </c>
      <c r="E58" s="88" t="s">
        <v>380</v>
      </c>
      <c r="F58" s="20" t="s">
        <v>275</v>
      </c>
      <c r="G58" s="20" t="s">
        <v>276</v>
      </c>
      <c r="H58" s="14" t="s">
        <v>407</v>
      </c>
      <c r="I58" s="14" t="s">
        <v>315</v>
      </c>
      <c r="J58" s="88" t="s">
        <v>279</v>
      </c>
      <c r="K58" s="20" t="s">
        <v>280</v>
      </c>
      <c r="L58" s="20" t="s">
        <v>281</v>
      </c>
      <c r="M58" s="14"/>
      <c r="N58" s="14"/>
      <c r="O58" s="136"/>
      <c r="P58" s="14"/>
      <c r="Q58" s="136"/>
      <c r="R58" s="136"/>
      <c r="S58" s="136"/>
      <c r="T58" s="14"/>
      <c r="U58" s="14"/>
      <c r="V58" s="136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</row>
    <row r="59" spans="1:77">
      <c r="A59" s="14" t="s">
        <v>63</v>
      </c>
      <c r="B59" s="14" t="s">
        <v>64</v>
      </c>
      <c r="C59" s="308" t="s">
        <v>408</v>
      </c>
      <c r="D59" s="306">
        <v>45860</v>
      </c>
      <c r="E59" s="88" t="s">
        <v>380</v>
      </c>
      <c r="F59" s="20" t="s">
        <v>275</v>
      </c>
      <c r="G59" s="20" t="s">
        <v>276</v>
      </c>
      <c r="H59" s="20" t="s">
        <v>381</v>
      </c>
      <c r="I59" s="20" t="s">
        <v>315</v>
      </c>
      <c r="J59" s="88" t="s">
        <v>279</v>
      </c>
      <c r="K59" s="20" t="s">
        <v>280</v>
      </c>
      <c r="L59" s="20" t="s">
        <v>281</v>
      </c>
      <c r="M59" s="14"/>
      <c r="N59" s="14"/>
      <c r="O59" s="136"/>
      <c r="P59" s="14"/>
      <c r="Q59" s="136"/>
      <c r="R59" s="136"/>
      <c r="S59" s="136"/>
      <c r="T59" s="14"/>
      <c r="U59" s="14"/>
      <c r="V59" s="136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</row>
    <row r="60" spans="1:77">
      <c r="A60" s="14" t="s">
        <v>66</v>
      </c>
      <c r="B60" s="14" t="s">
        <v>67</v>
      </c>
      <c r="C60" s="308" t="s">
        <v>409</v>
      </c>
      <c r="D60" s="306">
        <v>45860</v>
      </c>
      <c r="E60" s="88" t="s">
        <v>380</v>
      </c>
      <c r="F60" s="20" t="s">
        <v>275</v>
      </c>
      <c r="G60" s="20" t="s">
        <v>276</v>
      </c>
      <c r="H60" s="14" t="s">
        <v>300</v>
      </c>
      <c r="I60" s="20" t="s">
        <v>315</v>
      </c>
      <c r="J60" s="88" t="s">
        <v>279</v>
      </c>
      <c r="K60" s="20" t="s">
        <v>280</v>
      </c>
      <c r="L60" s="20" t="s">
        <v>281</v>
      </c>
      <c r="M60" s="14"/>
      <c r="N60" s="14"/>
      <c r="O60" s="136"/>
      <c r="P60" s="14"/>
      <c r="Q60" s="136"/>
      <c r="R60" s="136"/>
      <c r="S60" s="136"/>
      <c r="T60" s="14"/>
      <c r="U60" s="14"/>
      <c r="V60" s="136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</row>
    <row r="61" spans="1:77">
      <c r="A61" s="14" t="s">
        <v>69</v>
      </c>
      <c r="B61" s="14" t="s">
        <v>70</v>
      </c>
      <c r="C61" s="14" t="s">
        <v>410</v>
      </c>
      <c r="D61" s="306">
        <v>45860</v>
      </c>
      <c r="E61" s="88" t="s">
        <v>380</v>
      </c>
      <c r="F61" s="20" t="s">
        <v>275</v>
      </c>
      <c r="G61" s="20" t="s">
        <v>276</v>
      </c>
      <c r="H61" s="20" t="s">
        <v>407</v>
      </c>
      <c r="I61" s="20" t="s">
        <v>315</v>
      </c>
      <c r="J61" s="88" t="s">
        <v>279</v>
      </c>
      <c r="K61" s="20" t="s">
        <v>280</v>
      </c>
      <c r="L61" s="20" t="s">
        <v>281</v>
      </c>
      <c r="M61" s="14"/>
      <c r="N61" s="14"/>
      <c r="O61" s="136"/>
      <c r="P61" s="14"/>
      <c r="Q61" s="136"/>
      <c r="R61" s="136"/>
      <c r="S61" s="136"/>
      <c r="T61" s="14"/>
      <c r="U61" s="14"/>
      <c r="V61" s="136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</row>
    <row r="62" spans="1:77">
      <c r="A62" s="14" t="s">
        <v>403</v>
      </c>
      <c r="B62" s="14" t="s">
        <v>75</v>
      </c>
      <c r="C62" s="14" t="s">
        <v>411</v>
      </c>
      <c r="D62" s="306">
        <v>45860</v>
      </c>
      <c r="E62" s="88" t="s">
        <v>380</v>
      </c>
      <c r="F62" s="20" t="s">
        <v>275</v>
      </c>
      <c r="G62" s="20" t="s">
        <v>276</v>
      </c>
      <c r="H62" s="20" t="s">
        <v>381</v>
      </c>
      <c r="I62" s="20" t="s">
        <v>315</v>
      </c>
      <c r="J62" s="88" t="s">
        <v>279</v>
      </c>
      <c r="K62" s="20" t="s">
        <v>280</v>
      </c>
      <c r="L62" s="20" t="s">
        <v>281</v>
      </c>
      <c r="M62" s="14"/>
      <c r="N62" s="14"/>
      <c r="O62" s="136"/>
      <c r="P62" s="14"/>
      <c r="Q62" s="136"/>
      <c r="R62" s="136"/>
      <c r="S62" s="136"/>
      <c r="T62" s="14"/>
      <c r="U62" s="14"/>
      <c r="V62" s="136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</row>
    <row r="63" spans="1:77">
      <c r="A63" s="14" t="s">
        <v>77</v>
      </c>
      <c r="B63" s="14" t="s">
        <v>78</v>
      </c>
      <c r="C63" s="14" t="s">
        <v>412</v>
      </c>
      <c r="D63" s="306">
        <v>45860</v>
      </c>
      <c r="E63" s="88" t="s">
        <v>380</v>
      </c>
      <c r="F63" s="20" t="s">
        <v>275</v>
      </c>
      <c r="G63" s="20" t="s">
        <v>276</v>
      </c>
      <c r="H63" s="20" t="s">
        <v>300</v>
      </c>
      <c r="I63" s="20" t="s">
        <v>315</v>
      </c>
      <c r="J63" s="88" t="s">
        <v>279</v>
      </c>
      <c r="K63" s="20" t="s">
        <v>280</v>
      </c>
      <c r="L63" s="20" t="s">
        <v>281</v>
      </c>
      <c r="M63" s="14"/>
      <c r="N63" s="14"/>
      <c r="O63" s="136"/>
      <c r="P63" s="14"/>
      <c r="Q63" s="136"/>
      <c r="R63" s="136"/>
      <c r="S63" s="136"/>
      <c r="T63" s="14"/>
      <c r="U63" s="14"/>
      <c r="V63" s="136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</row>
    <row r="64" spans="1:77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36"/>
      <c r="P64" s="14"/>
      <c r="Q64" s="136"/>
      <c r="R64" s="136"/>
      <c r="S64" s="136"/>
      <c r="T64" s="14"/>
      <c r="U64" s="14"/>
      <c r="V64" s="136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</row>
    <row r="65" spans="1:77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36"/>
      <c r="P65" s="14"/>
      <c r="Q65" s="136"/>
      <c r="R65" s="136"/>
      <c r="S65" s="136"/>
      <c r="T65" s="14"/>
      <c r="U65" s="14"/>
      <c r="V65" s="136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</row>
    <row r="66" spans="1:77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36"/>
      <c r="P66" s="14"/>
      <c r="Q66" s="136"/>
      <c r="R66" s="136"/>
      <c r="S66" s="136"/>
      <c r="T66" s="14"/>
      <c r="U66" s="14"/>
      <c r="V66" s="136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</row>
    <row r="67" spans="1:7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36"/>
      <c r="P67" s="14"/>
      <c r="Q67" s="136"/>
      <c r="R67" s="136"/>
      <c r="S67" s="136"/>
      <c r="T67" s="14"/>
      <c r="U67" s="14"/>
      <c r="V67" s="136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</row>
    <row r="68" spans="1:77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36"/>
      <c r="P68" s="14"/>
      <c r="Q68" s="136"/>
      <c r="R68" s="136"/>
      <c r="S68" s="136"/>
      <c r="T68" s="14"/>
      <c r="U68" s="14"/>
      <c r="V68" s="136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</row>
    <row r="69" spans="1:77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36"/>
      <c r="P69" s="14"/>
      <c r="Q69" s="136"/>
      <c r="R69" s="136"/>
      <c r="S69" s="136"/>
      <c r="T69" s="14"/>
      <c r="U69" s="14"/>
      <c r="V69" s="136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</row>
    <row r="70" spans="1:77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36"/>
      <c r="P70" s="14"/>
      <c r="Q70" s="136"/>
      <c r="R70" s="136"/>
      <c r="S70" s="136"/>
      <c r="T70" s="14"/>
      <c r="U70" s="14"/>
      <c r="V70" s="136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</row>
    <row r="71" spans="1:77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36"/>
      <c r="P71" s="14"/>
      <c r="Q71" s="136"/>
      <c r="R71" s="136"/>
      <c r="S71" s="136"/>
      <c r="T71" s="14"/>
      <c r="U71" s="14"/>
      <c r="V71" s="136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</row>
    <row r="72" spans="1:77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36"/>
      <c r="P72" s="14"/>
      <c r="Q72" s="136"/>
      <c r="R72" s="136"/>
      <c r="S72" s="136"/>
      <c r="T72" s="14"/>
      <c r="U72" s="14"/>
      <c r="V72" s="136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</row>
    <row r="73" spans="1:77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36"/>
      <c r="P73" s="14"/>
      <c r="Q73" s="136"/>
      <c r="R73" s="136"/>
      <c r="S73" s="136"/>
      <c r="T73" s="14"/>
      <c r="U73" s="14"/>
      <c r="V73" s="136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</row>
    <row r="74" spans="1:77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36"/>
      <c r="P74" s="14"/>
      <c r="Q74" s="136"/>
      <c r="R74" s="136"/>
      <c r="S74" s="136"/>
      <c r="T74" s="14"/>
      <c r="U74" s="14"/>
      <c r="V74" s="136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</row>
    <row r="75" spans="1:77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36"/>
      <c r="P75" s="14"/>
      <c r="Q75" s="136"/>
      <c r="R75" s="136"/>
      <c r="S75" s="136"/>
      <c r="T75" s="14"/>
      <c r="U75" s="14"/>
      <c r="V75" s="136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</row>
    <row r="76" spans="1:77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36"/>
      <c r="P76" s="14"/>
      <c r="Q76" s="136"/>
      <c r="R76" s="136"/>
      <c r="S76" s="136"/>
      <c r="T76" s="14"/>
      <c r="U76" s="14"/>
      <c r="V76" s="136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</row>
    <row r="77" spans="1: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36"/>
      <c r="P77" s="14"/>
      <c r="Q77" s="136"/>
      <c r="R77" s="136"/>
      <c r="S77" s="136"/>
      <c r="T77" s="14"/>
      <c r="U77" s="14"/>
      <c r="V77" s="136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</row>
    <row r="78" spans="1:77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36"/>
      <c r="P78" s="14"/>
      <c r="Q78" s="136"/>
      <c r="R78" s="136"/>
      <c r="S78" s="136"/>
      <c r="T78" s="14"/>
      <c r="U78" s="14"/>
      <c r="V78" s="136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</row>
    <row r="79" spans="1:77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36"/>
      <c r="P79" s="14"/>
      <c r="Q79" s="136"/>
      <c r="R79" s="136"/>
      <c r="S79" s="136"/>
      <c r="T79" s="14"/>
      <c r="U79" s="14"/>
      <c r="V79" s="136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</row>
    <row r="80" spans="1:77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36"/>
      <c r="P80" s="14"/>
      <c r="Q80" s="136"/>
      <c r="R80" s="136"/>
      <c r="S80" s="136"/>
      <c r="T80" s="14"/>
      <c r="U80" s="14"/>
      <c r="V80" s="136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</row>
    <row r="81" spans="1:77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36"/>
      <c r="P81" s="14"/>
      <c r="Q81" s="136"/>
      <c r="R81" s="136"/>
      <c r="S81" s="136"/>
      <c r="T81" s="14"/>
      <c r="U81" s="14"/>
      <c r="V81" s="136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</row>
    <row r="82" spans="1:77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36"/>
      <c r="P82" s="14"/>
      <c r="Q82" s="136"/>
      <c r="R82" s="136"/>
      <c r="S82" s="136"/>
      <c r="T82" s="14"/>
      <c r="U82" s="14"/>
      <c r="V82" s="136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</row>
    <row r="83" spans="1:77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36"/>
      <c r="P83" s="14"/>
      <c r="Q83" s="136"/>
      <c r="R83" s="136"/>
      <c r="S83" s="136"/>
      <c r="T83" s="14"/>
      <c r="U83" s="14"/>
      <c r="V83" s="136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</row>
    <row r="84" spans="1:77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36"/>
      <c r="P84" s="14"/>
      <c r="Q84" s="136"/>
      <c r="R84" s="136"/>
      <c r="S84" s="136"/>
      <c r="T84" s="14"/>
      <c r="U84" s="14"/>
      <c r="V84" s="136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</row>
    <row r="85" spans="1:77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36"/>
      <c r="P85" s="14"/>
      <c r="Q85" s="136"/>
      <c r="R85" s="136"/>
      <c r="S85" s="136"/>
      <c r="T85" s="14"/>
      <c r="U85" s="14"/>
      <c r="V85" s="136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</row>
    <row r="86" spans="1:77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36"/>
      <c r="P86" s="14"/>
      <c r="Q86" s="136"/>
      <c r="R86" s="136"/>
      <c r="S86" s="136"/>
      <c r="T86" s="14"/>
      <c r="U86" s="14"/>
      <c r="V86" s="136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</row>
    <row r="87" spans="1:7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36"/>
      <c r="P87" s="14"/>
      <c r="Q87" s="136"/>
      <c r="R87" s="136"/>
      <c r="S87" s="136"/>
      <c r="T87" s="14"/>
      <c r="U87" s="14"/>
      <c r="V87" s="136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</row>
    <row r="88" spans="1:77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36"/>
      <c r="P88" s="14"/>
      <c r="Q88" s="136"/>
      <c r="R88" s="136"/>
      <c r="S88" s="136"/>
      <c r="T88" s="14"/>
      <c r="U88" s="14"/>
      <c r="V88" s="136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</row>
    <row r="89" spans="1:77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36"/>
      <c r="P89" s="14"/>
      <c r="Q89" s="136"/>
      <c r="R89" s="136"/>
      <c r="S89" s="136"/>
      <c r="T89" s="14"/>
      <c r="U89" s="14"/>
      <c r="V89" s="136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</row>
    <row r="90" spans="1:77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36"/>
      <c r="P90" s="14"/>
      <c r="Q90" s="136"/>
      <c r="R90" s="136"/>
      <c r="S90" s="136"/>
      <c r="T90" s="14"/>
      <c r="U90" s="14"/>
      <c r="V90" s="136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</row>
    <row r="91" spans="1:77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36"/>
      <c r="P91" s="14"/>
      <c r="Q91" s="136"/>
      <c r="R91" s="136"/>
      <c r="S91" s="136"/>
      <c r="T91" s="14"/>
      <c r="U91" s="14"/>
      <c r="V91" s="136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</row>
    <row r="92" spans="1:77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36"/>
      <c r="P92" s="14"/>
      <c r="Q92" s="136"/>
      <c r="R92" s="136"/>
      <c r="S92" s="136"/>
      <c r="T92" s="14"/>
      <c r="U92" s="14"/>
      <c r="V92" s="136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</row>
    <row r="93" spans="1:77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36"/>
      <c r="P93" s="14"/>
      <c r="Q93" s="136"/>
      <c r="R93" s="136"/>
      <c r="S93" s="136"/>
      <c r="T93" s="14"/>
      <c r="U93" s="14"/>
      <c r="V93" s="136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</row>
    <row r="94" spans="1:77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36"/>
      <c r="P94" s="14"/>
      <c r="Q94" s="136"/>
      <c r="R94" s="136"/>
      <c r="S94" s="136"/>
      <c r="T94" s="14"/>
      <c r="U94" s="14"/>
      <c r="V94" s="136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</row>
    <row r="95" spans="1:77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36"/>
      <c r="P95" s="14"/>
      <c r="Q95" s="136"/>
      <c r="R95" s="136"/>
      <c r="S95" s="136"/>
      <c r="T95" s="14"/>
      <c r="U95" s="14"/>
      <c r="V95" s="13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</row>
    <row r="96" spans="1:77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36"/>
      <c r="P96" s="14"/>
      <c r="Q96" s="136"/>
      <c r="R96" s="136"/>
      <c r="S96" s="136"/>
      <c r="T96" s="14"/>
      <c r="U96" s="14"/>
      <c r="V96" s="136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</row>
    <row r="97" spans="1:7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36"/>
      <c r="P97" s="14"/>
      <c r="Q97" s="136"/>
      <c r="R97" s="136"/>
      <c r="S97" s="136"/>
      <c r="T97" s="14"/>
      <c r="U97" s="14"/>
      <c r="V97" s="136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</row>
    <row r="98" spans="1:77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36"/>
      <c r="P98" s="14"/>
      <c r="Q98" s="136"/>
      <c r="R98" s="136"/>
      <c r="S98" s="136"/>
      <c r="T98" s="14"/>
      <c r="U98" s="14"/>
      <c r="V98" s="136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</row>
    <row r="99" spans="1:77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36"/>
      <c r="P99" s="14"/>
      <c r="Q99" s="136"/>
      <c r="R99" s="136"/>
      <c r="S99" s="136"/>
      <c r="T99" s="14"/>
      <c r="U99" s="14"/>
      <c r="V99" s="136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</row>
    <row r="100" spans="1:77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36"/>
      <c r="P100" s="14"/>
      <c r="Q100" s="136"/>
      <c r="R100" s="136"/>
      <c r="S100" s="136"/>
      <c r="T100" s="14"/>
      <c r="U100" s="14"/>
      <c r="V100" s="136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</row>
    <row r="101" spans="1:77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36"/>
      <c r="P101" s="14"/>
      <c r="Q101" s="136"/>
      <c r="R101" s="136"/>
      <c r="S101" s="136"/>
      <c r="T101" s="14"/>
      <c r="U101" s="14"/>
      <c r="V101" s="136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</row>
    <row r="102" spans="1:77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36"/>
      <c r="P102" s="14"/>
      <c r="Q102" s="136"/>
      <c r="R102" s="136"/>
      <c r="S102" s="136"/>
      <c r="T102" s="14"/>
      <c r="U102" s="14"/>
      <c r="V102" s="136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</row>
    <row r="103" spans="1:77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36"/>
      <c r="P103" s="14"/>
      <c r="Q103" s="136"/>
      <c r="R103" s="136"/>
      <c r="S103" s="136"/>
      <c r="T103" s="14"/>
      <c r="U103" s="14"/>
      <c r="V103" s="136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</row>
    <row r="104" spans="1:77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36"/>
      <c r="P104" s="14"/>
      <c r="Q104" s="136"/>
      <c r="R104" s="136"/>
      <c r="S104" s="136"/>
      <c r="T104" s="14"/>
      <c r="U104" s="14"/>
      <c r="V104" s="136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</row>
    <row r="105" spans="1:77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36"/>
      <c r="P105" s="14"/>
      <c r="Q105" s="136"/>
      <c r="R105" s="136"/>
      <c r="S105" s="136"/>
      <c r="T105" s="14"/>
      <c r="U105" s="14"/>
      <c r="V105" s="136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</row>
    <row r="106" spans="1:77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36"/>
      <c r="P106" s="14"/>
      <c r="Q106" s="136"/>
      <c r="R106" s="136"/>
      <c r="S106" s="136"/>
      <c r="T106" s="14"/>
      <c r="U106" s="14"/>
      <c r="V106" s="136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</row>
    <row r="107" spans="1:7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36"/>
      <c r="P107" s="14"/>
      <c r="Q107" s="136"/>
      <c r="R107" s="136"/>
      <c r="S107" s="136"/>
      <c r="T107" s="14"/>
      <c r="U107" s="14"/>
      <c r="V107" s="136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</row>
    <row r="108" spans="1:77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36"/>
      <c r="P108" s="14"/>
      <c r="Q108" s="136"/>
      <c r="R108" s="136"/>
      <c r="S108" s="136"/>
      <c r="T108" s="14"/>
      <c r="U108" s="14"/>
      <c r="V108" s="136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</row>
    <row r="109" spans="1:77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36"/>
      <c r="P109" s="14"/>
      <c r="Q109" s="136"/>
      <c r="R109" s="136"/>
      <c r="S109" s="136"/>
      <c r="T109" s="14"/>
      <c r="U109" s="14"/>
      <c r="V109" s="136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</row>
    <row r="110" spans="1:77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36"/>
      <c r="P110" s="14"/>
      <c r="Q110" s="136"/>
      <c r="R110" s="136"/>
      <c r="S110" s="136"/>
      <c r="T110" s="14"/>
      <c r="U110" s="14"/>
      <c r="V110" s="136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</row>
    <row r="111" spans="1:77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36"/>
      <c r="P111" s="14"/>
      <c r="Q111" s="136"/>
      <c r="R111" s="136"/>
      <c r="S111" s="136"/>
      <c r="T111" s="14"/>
      <c r="U111" s="14"/>
      <c r="V111" s="136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</row>
    <row r="112" spans="1:77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36"/>
      <c r="P112" s="14"/>
      <c r="Q112" s="136"/>
      <c r="R112" s="136"/>
      <c r="S112" s="136"/>
      <c r="T112" s="14"/>
      <c r="U112" s="14"/>
      <c r="V112" s="136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</row>
    <row r="113" spans="1:77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36"/>
      <c r="P113" s="14"/>
      <c r="Q113" s="136"/>
      <c r="R113" s="136"/>
      <c r="S113" s="136"/>
      <c r="T113" s="14"/>
      <c r="U113" s="14"/>
      <c r="V113" s="136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</row>
    <row r="114" spans="1:77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36"/>
      <c r="P114" s="14"/>
      <c r="Q114" s="136"/>
      <c r="R114" s="136"/>
      <c r="S114" s="136"/>
      <c r="T114" s="14"/>
      <c r="U114" s="14"/>
      <c r="V114" s="136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</row>
    <row r="115" spans="1:77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36"/>
      <c r="P115" s="14"/>
      <c r="Q115" s="136"/>
      <c r="R115" s="136"/>
      <c r="S115" s="136"/>
      <c r="T115" s="14"/>
      <c r="U115" s="14"/>
      <c r="V115" s="136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</row>
    <row r="116" spans="1:77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36"/>
      <c r="P116" s="14"/>
      <c r="Q116" s="136"/>
      <c r="R116" s="136"/>
      <c r="S116" s="136"/>
      <c r="T116" s="14"/>
      <c r="U116" s="14"/>
      <c r="V116" s="136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</row>
    <row r="117" spans="1:7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36"/>
      <c r="P117" s="14"/>
      <c r="Q117" s="136"/>
      <c r="R117" s="136"/>
      <c r="S117" s="136"/>
      <c r="T117" s="14"/>
      <c r="U117" s="14"/>
      <c r="V117" s="136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</row>
    <row r="118" spans="1:77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36"/>
      <c r="P118" s="14"/>
      <c r="Q118" s="136"/>
      <c r="R118" s="136"/>
      <c r="S118" s="136"/>
      <c r="T118" s="14"/>
      <c r="U118" s="14"/>
      <c r="V118" s="136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</row>
    <row r="119" spans="1:77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36"/>
      <c r="P119" s="14"/>
      <c r="Q119" s="136"/>
      <c r="R119" s="136"/>
      <c r="S119" s="136"/>
      <c r="T119" s="14"/>
      <c r="U119" s="14"/>
      <c r="V119" s="136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</row>
    <row r="120" spans="1:77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36"/>
      <c r="P120" s="14"/>
      <c r="Q120" s="136"/>
      <c r="R120" s="136"/>
      <c r="S120" s="136"/>
      <c r="T120" s="14"/>
      <c r="U120" s="14"/>
      <c r="V120" s="136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</row>
    <row r="121" spans="1:77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36"/>
      <c r="P121" s="14"/>
      <c r="Q121" s="136"/>
      <c r="R121" s="136"/>
      <c r="S121" s="136"/>
      <c r="T121" s="14"/>
      <c r="U121" s="14"/>
      <c r="V121" s="136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</row>
    <row r="122" spans="1:77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36"/>
      <c r="P122" s="14"/>
      <c r="Q122" s="136"/>
      <c r="R122" s="136"/>
      <c r="S122" s="136"/>
      <c r="T122" s="14"/>
      <c r="U122" s="14"/>
      <c r="V122" s="136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</row>
    <row r="123" spans="1:77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36"/>
      <c r="P123" s="14"/>
      <c r="Q123" s="136"/>
      <c r="R123" s="136"/>
      <c r="S123" s="136"/>
      <c r="T123" s="14"/>
      <c r="U123" s="14"/>
      <c r="V123" s="136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</row>
    <row r="124" spans="1:77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36"/>
      <c r="P124" s="14"/>
      <c r="Q124" s="136"/>
      <c r="R124" s="136"/>
      <c r="S124" s="136"/>
      <c r="T124" s="14"/>
      <c r="U124" s="14"/>
      <c r="V124" s="136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</row>
    <row r="125" spans="1:77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36"/>
      <c r="P125" s="14"/>
      <c r="Q125" s="136"/>
      <c r="R125" s="136"/>
      <c r="S125" s="136"/>
      <c r="T125" s="14"/>
      <c r="U125" s="14"/>
      <c r="V125" s="136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</row>
    <row r="126" spans="1:77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36"/>
      <c r="P126" s="14"/>
      <c r="Q126" s="136"/>
      <c r="R126" s="136"/>
      <c r="S126" s="136"/>
      <c r="T126" s="14"/>
      <c r="U126" s="14"/>
      <c r="V126" s="136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</row>
    <row r="127" spans="1:7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36"/>
      <c r="P127" s="14"/>
      <c r="Q127" s="136"/>
      <c r="R127" s="136"/>
      <c r="S127" s="136"/>
      <c r="T127" s="14"/>
      <c r="U127" s="14"/>
      <c r="V127" s="136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</row>
    <row r="128" spans="1:77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36"/>
      <c r="P128" s="14"/>
      <c r="Q128" s="136"/>
      <c r="R128" s="136"/>
      <c r="S128" s="136"/>
      <c r="T128" s="14"/>
      <c r="U128" s="14"/>
      <c r="V128" s="136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</row>
    <row r="129" spans="1:77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36"/>
      <c r="P129" s="14"/>
      <c r="Q129" s="136"/>
      <c r="R129" s="136"/>
      <c r="S129" s="136"/>
      <c r="T129" s="14"/>
      <c r="U129" s="14"/>
      <c r="V129" s="136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</row>
    <row r="130" spans="1:77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36"/>
      <c r="P130" s="14"/>
      <c r="Q130" s="136"/>
      <c r="R130" s="136"/>
      <c r="S130" s="136"/>
      <c r="T130" s="14"/>
      <c r="U130" s="14"/>
      <c r="V130" s="136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</row>
    <row r="131" spans="1:77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36"/>
      <c r="P131" s="14"/>
      <c r="Q131" s="136"/>
      <c r="R131" s="136"/>
      <c r="S131" s="136"/>
      <c r="T131" s="14"/>
      <c r="U131" s="14"/>
      <c r="V131" s="136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</row>
    <row r="132" spans="1:77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36"/>
      <c r="P132" s="14"/>
      <c r="Q132" s="136"/>
      <c r="R132" s="136"/>
      <c r="S132" s="136"/>
      <c r="T132" s="14"/>
      <c r="U132" s="14"/>
      <c r="V132" s="136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</row>
    <row r="133" spans="1:77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36"/>
      <c r="P133" s="14"/>
      <c r="Q133" s="136"/>
      <c r="R133" s="136"/>
      <c r="S133" s="136"/>
      <c r="T133" s="14"/>
      <c r="U133" s="14"/>
      <c r="V133" s="136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</row>
    <row r="134" spans="1:77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36"/>
      <c r="P134" s="14"/>
      <c r="Q134" s="136"/>
      <c r="R134" s="136"/>
      <c r="S134" s="136"/>
      <c r="T134" s="14"/>
      <c r="U134" s="14"/>
      <c r="V134" s="136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</row>
    <row r="135" spans="1:77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36"/>
      <c r="P135" s="14"/>
      <c r="Q135" s="136"/>
      <c r="R135" s="136"/>
      <c r="S135" s="136"/>
      <c r="T135" s="14"/>
      <c r="U135" s="14"/>
      <c r="V135" s="136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</row>
    <row r="136" spans="1:77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36"/>
      <c r="P136" s="14"/>
      <c r="Q136" s="136"/>
      <c r="R136" s="136"/>
      <c r="S136" s="136"/>
      <c r="T136" s="14"/>
      <c r="U136" s="14"/>
      <c r="V136" s="136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</row>
    <row r="137" spans="1:7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36"/>
      <c r="P137" s="14"/>
      <c r="Q137" s="136"/>
      <c r="R137" s="136"/>
      <c r="S137" s="136"/>
      <c r="T137" s="14"/>
      <c r="U137" s="14"/>
      <c r="V137" s="136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</row>
    <row r="138" spans="1:77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36"/>
      <c r="P138" s="14"/>
      <c r="Q138" s="136"/>
      <c r="R138" s="136"/>
      <c r="S138" s="136"/>
      <c r="T138" s="14"/>
      <c r="U138" s="14"/>
      <c r="V138" s="136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</row>
    <row r="139" spans="1:77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36"/>
      <c r="P139" s="14"/>
      <c r="Q139" s="136"/>
      <c r="R139" s="136"/>
      <c r="S139" s="136"/>
      <c r="T139" s="14"/>
      <c r="U139" s="14"/>
      <c r="V139" s="136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</row>
    <row r="140" spans="1:77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36"/>
      <c r="P140" s="14"/>
      <c r="Q140" s="136"/>
      <c r="R140" s="136"/>
      <c r="S140" s="136"/>
      <c r="T140" s="14"/>
      <c r="U140" s="14"/>
      <c r="V140" s="136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</row>
    <row r="141" spans="1:77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36"/>
      <c r="P141" s="14"/>
      <c r="Q141" s="136"/>
      <c r="R141" s="136"/>
      <c r="S141" s="136"/>
      <c r="T141" s="14"/>
      <c r="U141" s="14"/>
      <c r="V141" s="136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</row>
    <row r="142" spans="1:77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36"/>
      <c r="P142" s="14"/>
      <c r="Q142" s="136"/>
      <c r="R142" s="136"/>
      <c r="S142" s="136"/>
      <c r="T142" s="14"/>
      <c r="U142" s="14"/>
      <c r="V142" s="136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</row>
    <row r="143" spans="1:77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36"/>
      <c r="P143" s="14"/>
      <c r="Q143" s="136"/>
      <c r="R143" s="136"/>
      <c r="S143" s="136"/>
      <c r="T143" s="14"/>
      <c r="U143" s="14"/>
      <c r="V143" s="136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</row>
    <row r="144" spans="1:77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36"/>
      <c r="P144" s="14"/>
      <c r="Q144" s="136"/>
      <c r="R144" s="136"/>
      <c r="S144" s="136"/>
      <c r="T144" s="14"/>
      <c r="U144" s="14"/>
      <c r="V144" s="136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</row>
    <row r="145" spans="1:77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36"/>
      <c r="P145" s="14"/>
      <c r="Q145" s="136"/>
      <c r="R145" s="136"/>
      <c r="S145" s="136"/>
      <c r="T145" s="14"/>
      <c r="U145" s="14"/>
      <c r="V145" s="136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</row>
    <row r="146" spans="1:77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36"/>
      <c r="P146" s="14"/>
      <c r="Q146" s="136"/>
      <c r="R146" s="136"/>
      <c r="S146" s="136"/>
      <c r="T146" s="14"/>
      <c r="U146" s="14"/>
      <c r="V146" s="136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</row>
    <row r="147" spans="1:7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36"/>
      <c r="P147" s="14"/>
      <c r="Q147" s="136"/>
      <c r="R147" s="136"/>
      <c r="S147" s="136"/>
      <c r="T147" s="14"/>
      <c r="U147" s="14"/>
      <c r="V147" s="136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</row>
    <row r="148" spans="1:77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36"/>
      <c r="P148" s="14"/>
      <c r="Q148" s="136"/>
      <c r="R148" s="136"/>
      <c r="S148" s="136"/>
      <c r="T148" s="14"/>
      <c r="U148" s="14"/>
      <c r="V148" s="136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</row>
    <row r="149" spans="1:77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36"/>
      <c r="P149" s="14"/>
      <c r="Q149" s="136"/>
      <c r="R149" s="136"/>
      <c r="S149" s="136"/>
      <c r="T149" s="14"/>
      <c r="U149" s="14"/>
      <c r="V149" s="136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</row>
    <row r="150" spans="1:77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36"/>
      <c r="P150" s="14"/>
      <c r="Q150" s="136"/>
      <c r="R150" s="136"/>
      <c r="S150" s="136"/>
      <c r="T150" s="14"/>
      <c r="U150" s="14"/>
      <c r="V150" s="136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</row>
    <row r="151" spans="1:77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36"/>
      <c r="P151" s="14"/>
      <c r="Q151" s="136"/>
      <c r="R151" s="136"/>
      <c r="S151" s="136"/>
      <c r="T151" s="14"/>
      <c r="U151" s="14"/>
      <c r="V151" s="136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</row>
    <row r="152" spans="1:77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36"/>
      <c r="P152" s="14"/>
      <c r="Q152" s="136"/>
      <c r="R152" s="136"/>
      <c r="S152" s="136"/>
      <c r="T152" s="14"/>
      <c r="U152" s="14"/>
      <c r="V152" s="136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</row>
    <row r="153" spans="1:77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36"/>
      <c r="P153" s="14"/>
      <c r="Q153" s="136"/>
      <c r="R153" s="136"/>
      <c r="S153" s="136"/>
      <c r="T153" s="14"/>
      <c r="U153" s="14"/>
      <c r="V153" s="136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</row>
    <row r="154" spans="1:77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36"/>
      <c r="P154" s="14"/>
      <c r="Q154" s="136"/>
      <c r="R154" s="136"/>
      <c r="S154" s="136"/>
      <c r="T154" s="14"/>
      <c r="U154" s="14"/>
      <c r="V154" s="136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</row>
    <row r="155" spans="1:77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36"/>
      <c r="P155" s="14"/>
      <c r="Q155" s="136"/>
      <c r="R155" s="136"/>
      <c r="S155" s="136"/>
      <c r="T155" s="14"/>
      <c r="U155" s="14"/>
      <c r="V155" s="136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</row>
    <row r="156" spans="1:77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36"/>
      <c r="P156" s="14"/>
      <c r="Q156" s="136"/>
      <c r="R156" s="136"/>
      <c r="S156" s="136"/>
      <c r="T156" s="14"/>
      <c r="U156" s="14"/>
      <c r="V156" s="136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</row>
    <row r="157" spans="1:7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36"/>
      <c r="P157" s="14"/>
      <c r="Q157" s="136"/>
      <c r="R157" s="136"/>
      <c r="S157" s="136"/>
      <c r="T157" s="14"/>
      <c r="U157" s="14"/>
      <c r="V157" s="136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</row>
    <row r="158" spans="1:77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36"/>
      <c r="P158" s="14"/>
      <c r="Q158" s="136"/>
      <c r="R158" s="136"/>
      <c r="S158" s="136"/>
      <c r="T158" s="14"/>
      <c r="U158" s="14"/>
      <c r="V158" s="136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</row>
    <row r="159" spans="1:77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36"/>
      <c r="P159" s="14"/>
      <c r="Q159" s="136"/>
      <c r="R159" s="136"/>
      <c r="S159" s="136"/>
      <c r="T159" s="14"/>
      <c r="U159" s="14"/>
      <c r="V159" s="136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</row>
    <row r="160" spans="1:77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36"/>
      <c r="P160" s="14"/>
      <c r="Q160" s="136"/>
      <c r="R160" s="136"/>
      <c r="S160" s="136"/>
      <c r="T160" s="14"/>
      <c r="U160" s="14"/>
      <c r="V160" s="136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</row>
    <row r="161" spans="1:77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36"/>
      <c r="P161" s="14"/>
      <c r="Q161" s="136"/>
      <c r="R161" s="136"/>
      <c r="S161" s="136"/>
      <c r="T161" s="14"/>
      <c r="U161" s="14"/>
      <c r="V161" s="136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</row>
    <row r="162" spans="1:77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36"/>
      <c r="P162" s="14"/>
      <c r="Q162" s="136"/>
      <c r="R162" s="136"/>
      <c r="S162" s="136"/>
      <c r="T162" s="14"/>
      <c r="U162" s="14"/>
      <c r="V162" s="136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</row>
    <row r="163" spans="1:77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36"/>
      <c r="P163" s="14"/>
      <c r="Q163" s="136"/>
      <c r="R163" s="136"/>
      <c r="S163" s="136"/>
      <c r="T163" s="14"/>
      <c r="U163" s="14"/>
      <c r="V163" s="136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</row>
    <row r="164" spans="1:77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36"/>
      <c r="P164" s="14"/>
      <c r="Q164" s="136"/>
      <c r="R164" s="136"/>
      <c r="S164" s="136"/>
      <c r="T164" s="14"/>
      <c r="U164" s="14"/>
      <c r="V164" s="136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</row>
    <row r="165" spans="1:77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36"/>
      <c r="P165" s="14"/>
      <c r="Q165" s="136"/>
      <c r="R165" s="136"/>
      <c r="S165" s="136"/>
      <c r="T165" s="14"/>
      <c r="U165" s="14"/>
      <c r="V165" s="136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</row>
    <row r="166" spans="1:77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36"/>
      <c r="P166" s="14"/>
      <c r="Q166" s="136"/>
      <c r="R166" s="136"/>
      <c r="S166" s="136"/>
      <c r="T166" s="14"/>
      <c r="U166" s="14"/>
      <c r="V166" s="136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</row>
    <row r="167" spans="1:7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36"/>
      <c r="P167" s="14"/>
      <c r="Q167" s="136"/>
      <c r="R167" s="136"/>
      <c r="S167" s="136"/>
      <c r="T167" s="14"/>
      <c r="U167" s="14"/>
      <c r="V167" s="136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</row>
    <row r="168" spans="1:77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36"/>
      <c r="P168" s="14"/>
      <c r="Q168" s="136"/>
      <c r="R168" s="136"/>
      <c r="S168" s="136"/>
      <c r="T168" s="14"/>
      <c r="U168" s="14"/>
      <c r="V168" s="136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</row>
    <row r="169" spans="1:77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36"/>
      <c r="P169" s="14"/>
      <c r="Q169" s="136"/>
      <c r="R169" s="136"/>
      <c r="S169" s="136"/>
      <c r="T169" s="14"/>
      <c r="U169" s="14"/>
      <c r="V169" s="136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</row>
    <row r="170" spans="1:77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36"/>
      <c r="P170" s="14"/>
      <c r="Q170" s="136"/>
      <c r="R170" s="136"/>
      <c r="S170" s="136"/>
      <c r="T170" s="14"/>
      <c r="U170" s="14"/>
      <c r="V170" s="136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</row>
    <row r="171" spans="1:77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36"/>
      <c r="P171" s="14"/>
      <c r="Q171" s="136"/>
      <c r="R171" s="136"/>
      <c r="S171" s="136"/>
      <c r="T171" s="14"/>
      <c r="U171" s="14"/>
      <c r="V171" s="136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</row>
    <row r="172" spans="1:77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36"/>
      <c r="P172" s="14"/>
      <c r="Q172" s="136"/>
      <c r="R172" s="136"/>
      <c r="S172" s="136"/>
      <c r="T172" s="14"/>
      <c r="U172" s="14"/>
      <c r="V172" s="136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</row>
    <row r="173" spans="1:77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36"/>
      <c r="P173" s="14"/>
      <c r="Q173" s="136"/>
      <c r="R173" s="136"/>
      <c r="S173" s="136"/>
      <c r="T173" s="14"/>
      <c r="U173" s="14"/>
      <c r="V173" s="136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</row>
    <row r="174" spans="1:77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36"/>
      <c r="P174" s="14"/>
      <c r="Q174" s="136"/>
      <c r="R174" s="136"/>
      <c r="S174" s="136"/>
      <c r="T174" s="14"/>
      <c r="U174" s="14"/>
      <c r="V174" s="136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</row>
    <row r="175" spans="1:77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36"/>
      <c r="P175" s="14"/>
      <c r="Q175" s="136"/>
      <c r="R175" s="136"/>
      <c r="S175" s="136"/>
      <c r="T175" s="14"/>
      <c r="U175" s="14"/>
      <c r="V175" s="136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</row>
    <row r="176" spans="1:77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36"/>
      <c r="P176" s="14"/>
      <c r="Q176" s="136"/>
      <c r="R176" s="136"/>
      <c r="S176" s="136"/>
      <c r="T176" s="14"/>
      <c r="U176" s="14"/>
      <c r="V176" s="136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</row>
    <row r="177" spans="1: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36"/>
      <c r="P177" s="14"/>
      <c r="Q177" s="136"/>
      <c r="R177" s="136"/>
      <c r="S177" s="136"/>
      <c r="T177" s="14"/>
      <c r="U177" s="14"/>
      <c r="V177" s="136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</row>
    <row r="178" spans="1:77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36"/>
      <c r="P178" s="14"/>
      <c r="Q178" s="136"/>
      <c r="R178" s="136"/>
      <c r="S178" s="136"/>
      <c r="T178" s="14"/>
      <c r="U178" s="14"/>
      <c r="V178" s="136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</row>
    <row r="179" spans="1:77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36"/>
      <c r="P179" s="14"/>
      <c r="Q179" s="136"/>
      <c r="R179" s="136"/>
      <c r="S179" s="136"/>
      <c r="T179" s="14"/>
      <c r="U179" s="14"/>
      <c r="V179" s="136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</row>
    <row r="180" spans="1:77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36"/>
      <c r="P180" s="14"/>
      <c r="Q180" s="136"/>
      <c r="R180" s="136"/>
      <c r="S180" s="136"/>
      <c r="T180" s="14"/>
      <c r="U180" s="14"/>
      <c r="V180" s="136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</row>
    <row r="181" spans="1:77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36"/>
      <c r="P181" s="14"/>
      <c r="Q181" s="136"/>
      <c r="R181" s="136"/>
      <c r="S181" s="136"/>
      <c r="T181" s="14"/>
      <c r="U181" s="14"/>
      <c r="V181" s="136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</row>
    <row r="182" spans="1:77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36"/>
      <c r="P182" s="14"/>
      <c r="Q182" s="136"/>
      <c r="R182" s="136"/>
      <c r="S182" s="136"/>
      <c r="T182" s="14"/>
      <c r="U182" s="14"/>
      <c r="V182" s="136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</row>
    <row r="183" spans="1:77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36"/>
      <c r="P183" s="14"/>
      <c r="Q183" s="136"/>
      <c r="R183" s="136"/>
      <c r="S183" s="136"/>
      <c r="T183" s="14"/>
      <c r="U183" s="14"/>
      <c r="V183" s="136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</row>
    <row r="184" spans="1:77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36"/>
      <c r="P184" s="14"/>
      <c r="Q184" s="136"/>
      <c r="R184" s="136"/>
      <c r="S184" s="136"/>
      <c r="T184" s="14"/>
      <c r="U184" s="14"/>
      <c r="V184" s="136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</row>
    <row r="185" spans="1:77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36"/>
      <c r="P185" s="14"/>
      <c r="Q185" s="136"/>
      <c r="R185" s="136"/>
      <c r="S185" s="136"/>
      <c r="T185" s="14"/>
      <c r="U185" s="14"/>
      <c r="V185" s="136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</row>
    <row r="186" spans="1:77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36"/>
      <c r="P186" s="14"/>
      <c r="Q186" s="136"/>
      <c r="R186" s="136"/>
      <c r="S186" s="136"/>
      <c r="T186" s="14"/>
      <c r="U186" s="14"/>
      <c r="V186" s="136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</row>
    <row r="187" spans="1:7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36"/>
      <c r="P187" s="14"/>
      <c r="Q187" s="136"/>
      <c r="R187" s="136"/>
      <c r="S187" s="136"/>
      <c r="T187" s="14"/>
      <c r="U187" s="14"/>
      <c r="V187" s="136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</row>
    <row r="188" spans="1:77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36"/>
      <c r="P188" s="14"/>
      <c r="Q188" s="136"/>
      <c r="R188" s="136"/>
      <c r="S188" s="136"/>
      <c r="T188" s="14"/>
      <c r="U188" s="14"/>
      <c r="V188" s="136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</row>
    <row r="189" spans="1:77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36"/>
      <c r="P189" s="14"/>
      <c r="Q189" s="136"/>
      <c r="R189" s="136"/>
      <c r="S189" s="136"/>
      <c r="T189" s="14"/>
      <c r="U189" s="14"/>
      <c r="V189" s="136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</row>
    <row r="190" spans="1:77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36"/>
      <c r="P190" s="14"/>
      <c r="Q190" s="136"/>
      <c r="R190" s="136"/>
      <c r="S190" s="136"/>
      <c r="T190" s="14"/>
      <c r="U190" s="14"/>
      <c r="V190" s="136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</row>
    <row r="191" spans="1:77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36"/>
      <c r="P191" s="14"/>
      <c r="Q191" s="136"/>
      <c r="R191" s="136"/>
      <c r="S191" s="136"/>
      <c r="T191" s="14"/>
      <c r="U191" s="14"/>
      <c r="V191" s="136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</row>
    <row r="192" spans="1:77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36"/>
      <c r="P192" s="14"/>
      <c r="Q192" s="136"/>
      <c r="R192" s="136"/>
      <c r="S192" s="136"/>
      <c r="T192" s="14"/>
      <c r="U192" s="14"/>
      <c r="V192" s="136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</row>
    <row r="193" spans="1:77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36"/>
      <c r="P193" s="14"/>
      <c r="Q193" s="136"/>
      <c r="R193" s="136"/>
      <c r="S193" s="136"/>
      <c r="T193" s="14"/>
      <c r="U193" s="14"/>
      <c r="V193" s="136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</row>
    <row r="194" spans="1:77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36"/>
      <c r="P194" s="14"/>
      <c r="Q194" s="136"/>
      <c r="R194" s="136"/>
      <c r="S194" s="136"/>
      <c r="T194" s="14"/>
      <c r="U194" s="14"/>
      <c r="V194" s="136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</row>
    <row r="195" spans="1:77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36"/>
      <c r="P195" s="14"/>
      <c r="Q195" s="136"/>
      <c r="R195" s="136"/>
      <c r="S195" s="136"/>
      <c r="T195" s="14"/>
      <c r="U195" s="14"/>
      <c r="V195" s="136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</row>
    <row r="196" spans="1:77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36"/>
      <c r="P196" s="14"/>
      <c r="Q196" s="136"/>
      <c r="R196" s="136"/>
      <c r="S196" s="136"/>
      <c r="T196" s="14"/>
      <c r="U196" s="14"/>
      <c r="V196" s="136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</row>
    <row r="197" spans="1:7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36"/>
      <c r="P197" s="14"/>
      <c r="Q197" s="136"/>
      <c r="R197" s="136"/>
      <c r="S197" s="136"/>
      <c r="T197" s="14"/>
      <c r="U197" s="14"/>
      <c r="V197" s="136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</row>
    <row r="198" spans="1:77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36"/>
      <c r="P198" s="14"/>
      <c r="Q198" s="136"/>
      <c r="R198" s="136"/>
      <c r="S198" s="136"/>
      <c r="T198" s="14"/>
      <c r="U198" s="14"/>
      <c r="V198" s="136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</row>
    <row r="199" spans="1:77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36"/>
      <c r="P199" s="14"/>
      <c r="Q199" s="136"/>
      <c r="R199" s="136"/>
      <c r="S199" s="136"/>
      <c r="T199" s="14"/>
      <c r="U199" s="14"/>
      <c r="V199" s="136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</row>
    <row r="200" spans="1:77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36"/>
      <c r="P200" s="14"/>
      <c r="Q200" s="136"/>
      <c r="R200" s="136"/>
      <c r="S200" s="136"/>
      <c r="T200" s="14"/>
      <c r="U200" s="14"/>
      <c r="V200" s="136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</row>
    <row r="201" spans="1:77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36"/>
      <c r="P201" s="14"/>
      <c r="Q201" s="136"/>
      <c r="R201" s="136"/>
      <c r="S201" s="136"/>
      <c r="T201" s="14"/>
      <c r="U201" s="14"/>
      <c r="V201" s="136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</row>
    <row r="202" spans="1:77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36"/>
      <c r="P202" s="14"/>
      <c r="Q202" s="136"/>
      <c r="R202" s="136"/>
      <c r="S202" s="136"/>
      <c r="T202" s="14"/>
      <c r="U202" s="14"/>
      <c r="V202" s="136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</row>
    <row r="203" spans="1:77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36"/>
      <c r="P203" s="14"/>
      <c r="Q203" s="136"/>
      <c r="R203" s="136"/>
      <c r="S203" s="136"/>
      <c r="T203" s="14"/>
      <c r="U203" s="14"/>
      <c r="V203" s="136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</row>
    <row r="204" spans="1:77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36"/>
      <c r="P204" s="14"/>
      <c r="Q204" s="136"/>
      <c r="R204" s="136"/>
      <c r="S204" s="136"/>
      <c r="T204" s="14"/>
      <c r="U204" s="14"/>
      <c r="V204" s="136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</row>
    <row r="205" spans="1:77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36"/>
      <c r="P205" s="14"/>
      <c r="Q205" s="136"/>
      <c r="R205" s="136"/>
      <c r="S205" s="136"/>
      <c r="T205" s="14"/>
      <c r="U205" s="14"/>
      <c r="V205" s="136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</row>
  </sheetData>
  <hyperlinks>
    <hyperlink ref="BU1" r:id="rId3" display="关键词库搭建"/>
    <hyperlink ref="O2" r:id="rId4" display="德国 电动牙刷关键词收集数据-德国标题2关键词库搭建"/>
    <hyperlink ref="Q2" r:id="rId5" display="德国电动牙刷- 项目跟进表-阳亚运-20250325"/>
    <hyperlink ref="R2" r:id="rId6" display="市调"/>
    <hyperlink ref="S2" r:id="rId7" display="电动牙刷德国ASIN 定投广告"/>
    <hyperlink ref="V2" r:id="rId8" display="电动牙刷VC 选品利润测算表_EU V1.0欧洲五国"/>
    <hyperlink ref="BU2" r:id="rId9" display="3.1关键词库高效搭建策略方法.pdf "/>
    <hyperlink ref="BX2" r:id="rId10" display="项目跟进表模板"/>
    <hyperlink ref="BY2" r:id="rId11" display="Listing后台全属性填写标准"/>
    <hyperlink ref="O3" r:id="rId12" display="英国 电动牙刷关键词收集数据-德国标题2关键词库搭建"/>
    <hyperlink ref="Q3" r:id="rId13" display="英国电动牙刷- 项目跟进表-阳亚运-20250325"/>
    <hyperlink ref="V3" r:id="rId8" display="电动牙刷VC 选品利润测算表_EU V1.0欧洲五国"/>
    <hyperlink ref="BU3" r:id="rId9" display="3.1关键词库高效搭建策略方法.pdf "/>
    <hyperlink ref="BW3" r:id="rId10" display="项目跟进表--20241016"/>
    <hyperlink ref="V4" r:id="rId8" display="电动牙刷VC 选品利润测算表_EU V1.0欧洲五国"/>
    <hyperlink ref="O5" r:id="rId4" display="德国 电动牙刷关键词收集数据-德国标题2关键词库搭建"/>
    <hyperlink ref="Q5" r:id="rId5" display="德国电动牙刷- 项目跟进表-阳亚运-20250325"/>
    <hyperlink ref="R5" r:id="rId6" display="市调"/>
    <hyperlink ref="S5" r:id="rId7" display="电动牙刷德国ASIN 定投广告"/>
    <hyperlink ref="V5" r:id="rId8" display="电动牙刷VC 选品利润测算表_EU V1.0欧洲五国"/>
    <hyperlink ref="O6" r:id="rId12" display="英国 电动牙刷关键词收集数据-德国标题2关键词库搭建"/>
    <hyperlink ref="Q6" r:id="rId13" display="英国电动牙刷- 项目跟进表-阳亚运-20250325"/>
    <hyperlink ref="V6" r:id="rId8" display="电动牙刷VC 选品利润测算表_EU V1.0欧洲五国"/>
    <hyperlink ref="B8" r:id="rId14" display="https://shimo.im/sheets/xaLcxBgvfrrvr6At/x4LSY"/>
    <hyperlink ref="M8" r:id="rId15" display="德国除螨仪竞品分析"/>
    <hyperlink ref="O8" r:id="rId16" display="德国除螨仪标题和关键词库搭建"/>
    <hyperlink ref="Q8" r:id="rId17" display="德国除螨仪 - 项目跟进表-阳亚运-20250325"/>
    <hyperlink ref="R8" r:id="rId18" display="除螨仪市调"/>
    <hyperlink ref="S8" r:id="rId19" display="德国除螨仪的推广计划——德国除螨仪 欧洲"/>
    <hyperlink ref="U8" r:id="rId20" display="德国除螨仪 -盈利模型分析"/>
    <hyperlink ref="V8" r:id="rId21" display="欧洲除螨仪 VC 选品利润测算表_EU V1.0欧洲五国"/>
    <hyperlink ref="M9" r:id="rId15" display="德国除螨仪竞品分析"/>
    <hyperlink ref="O9" r:id="rId22" display="英国除螨仪标题 关键词库搭建"/>
    <hyperlink ref="Q9" r:id="rId23" display="英国除螨仪 - 项目跟进表-阳亚运-20250325"/>
    <hyperlink ref="R9" r:id="rId24" display="市调"/>
    <hyperlink ref="U9" r:id="rId20" display="德国除螨仪 -盈利模型分析"/>
    <hyperlink ref="V9" r:id="rId21" display="欧洲五国VC选品利润测算表EU V10"/>
    <hyperlink ref="V11" r:id="rId8" display="电动牙刷VC 选品利润测算表_EU V1.0欧洲五国"/>
    <hyperlink ref="V12" r:id="rId8" display="电动牙刷VC 选品利润测算表_EU V1.0欧洲五国"/>
    <hyperlink ref="V13" r:id="rId8" display="电动牙刷VC 选品利润测算表_EU V1.0欧洲五国"/>
    <hyperlink ref="V14" r:id="rId8" display="电动牙刷VC 选品利润测算表_EU V1.0欧洲五国"/>
    <hyperlink ref="V15" r:id="rId8" display="电动牙刷VC 选品利润测算表_EU V1.0欧洲五国"/>
    <hyperlink ref="V16" r:id="rId8" display="电动牙刷VC 选品利润测算表_EU V1.0欧洲五国"/>
    <hyperlink ref="M17" r:id="rId15" display="德国除螨仪竞品分析"/>
    <hyperlink ref="V17" r:id="rId21" display="欧洲除螨仪 VC 选品利润测算表_EU V1.0欧洲五国"/>
    <hyperlink ref="V18" r:id="rId21" display="欧洲除螨仪 VC 选品利润测算表_EU V1.0欧洲五国"/>
    <hyperlink ref="M19" r:id="rId15" display="德国除螨仪竞品分析"/>
    <hyperlink ref="V19" r:id="rId21" display="欧洲除螨仪 VC 选品利润测算表_EU V1.0欧洲五国"/>
    <hyperlink ref="M21" r:id="rId25" display="德国超声波清洗机竞争程度分析"/>
    <hyperlink ref="O21" r:id="rId26" display="德国牙套超声波清洗机标题和关键词库搭建"/>
    <hyperlink ref="R21" r:id="rId27" display="超声波清洗机市调"/>
    <hyperlink ref="M22" r:id="rId25" display="德国超声波清洗机竞争程度分析"/>
    <hyperlink ref="O22" r:id="rId26" display="德国牙套超声波清洗机标题和关键词库搭建"/>
    <hyperlink ref="M23" r:id="rId28" display="杆式吸尘器竞品分析-84ASIN"/>
    <hyperlink ref="O23" r:id="rId26" display="德国牙套超声波清洗机标题和关键词库搭建"/>
    <hyperlink ref="R23" r:id="rId29" display="杆式吸尘器市调"/>
    <hyperlink ref="M24" r:id="rId28" display="杆式吸尘器竞品分析-84ASIN"/>
    <hyperlink ref="M26" r:id="rId30" display="空气净化器 竞品分析"/>
    <hyperlink ref="O26" r:id="rId31" display="德国空气净化器标题和关键词库搭建"/>
    <hyperlink ref="Q26" r:id="rId32" display="德国空气净化器 - 项目跟进表-阳亚运-20250611"/>
    <hyperlink ref="R26" r:id="rId33" display="空气净化器市调"/>
    <hyperlink ref="M27" r:id="rId30" display="空气净化器 竞品分析"/>
    <hyperlink ref="Q27" r:id="rId34" display="英国空气净化器 - 项目跟进表-阳亚运-20250611"/>
    <hyperlink ref="R27" r:id="rId33" display="空气净化器市调"/>
    <hyperlink ref="M28" r:id="rId30" display="空气净化器 竞品分析"/>
    <hyperlink ref="O28" r:id="rId31" display="德国空气净化器标题和关键词库搭建"/>
    <hyperlink ref="Q28" r:id="rId32" display="德国空气净化器 - 项目跟进表-阳亚运-20250611"/>
    <hyperlink ref="R28" r:id="rId33" display="空气净化器市调"/>
    <hyperlink ref="M29" r:id="rId30" display="空气净化器 竞品分析"/>
    <hyperlink ref="Q29" r:id="rId34" display="英国空气净化器 - 项目跟进表-阳亚运-20250611"/>
    <hyperlink ref="R29" r:id="rId33" display="空气净化器市调"/>
    <hyperlink ref="M36" r:id="rId35" display="市调"/>
    <hyperlink ref="R36" r:id="rId35" display="市调"/>
    <hyperlink ref="M37" r:id="rId35" display="市调"/>
    <hyperlink ref="R37" r:id="rId35" display="市调"/>
    <hyperlink ref="M43" r:id="rId36" display="智能电子口喷美国"/>
    <hyperlink ref="Q43" r:id="rId37" display="US 口喷市调 SIF所有数据oral spray"/>
    <hyperlink ref="R43" r:id="rId38" display="US口喷市调 Tik Tok所有数据ALL"/>
    <hyperlink ref="M44" r:id="rId39" display="DE 口腔喷雾剂Mundsprays(卖家精灵)"/>
    <hyperlink ref="M45" r:id="rId40" display="UK(口腔喷雾剂)Sprays"/>
  </hyperlink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94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17" defaultRowHeight="11.4"/>
  <cols>
    <col min="1" max="1" width="10.6458333333333" customWidth="1"/>
    <col min="2" max="2" width="27.40625" customWidth="1"/>
    <col min="3" max="3" width="11.3541666666667" customWidth="1"/>
    <col min="4" max="4" width="10.125" customWidth="1"/>
    <col min="5" max="5" width="13.7916666666667" customWidth="1"/>
    <col min="6" max="8" width="13.2708333333333" customWidth="1"/>
    <col min="9" max="10" width="12.9166666666667" customWidth="1"/>
    <col min="11" max="11" width="12.5729166666667" customWidth="1"/>
    <col min="12" max="12" width="15.0208333333333" customWidth="1"/>
    <col min="13" max="15" width="16.59375" customWidth="1"/>
    <col min="16" max="18" width="7.51041666666667" customWidth="1"/>
    <col min="19" max="19" width="12.3958333333333" customWidth="1"/>
    <col min="20" max="20" width="15.5416666666667" customWidth="1"/>
    <col min="21" max="21" width="36.6666666666667" customWidth="1"/>
    <col min="22" max="77" width="16.59375" customWidth="1"/>
  </cols>
  <sheetData>
    <row r="1" ht="14.4" spans="1:77">
      <c r="A1" s="241"/>
      <c r="B1" s="241" t="s">
        <v>413</v>
      </c>
      <c r="C1" s="241" t="s">
        <v>136</v>
      </c>
      <c r="D1" s="242" t="s">
        <v>135</v>
      </c>
      <c r="E1" s="243" t="s">
        <v>414</v>
      </c>
      <c r="F1" s="241" t="s">
        <v>415</v>
      </c>
      <c r="G1" s="242" t="s">
        <v>416</v>
      </c>
      <c r="H1" s="241" t="s">
        <v>417</v>
      </c>
      <c r="I1" s="241" t="s">
        <v>418</v>
      </c>
      <c r="J1" s="242" t="s">
        <v>419</v>
      </c>
      <c r="K1" s="241" t="s">
        <v>420</v>
      </c>
      <c r="L1" s="241" t="s">
        <v>421</v>
      </c>
      <c r="M1" s="244" t="s">
        <v>422</v>
      </c>
      <c r="N1" s="244" t="s">
        <v>423</v>
      </c>
      <c r="O1" s="241" t="s">
        <v>424</v>
      </c>
      <c r="P1" s="245" t="s">
        <v>425</v>
      </c>
      <c r="Q1" s="245" t="s">
        <v>426</v>
      </c>
      <c r="R1" s="246" t="s">
        <v>427</v>
      </c>
      <c r="S1" s="245" t="s">
        <v>422</v>
      </c>
      <c r="T1" s="245" t="s">
        <v>423</v>
      </c>
      <c r="U1" s="241" t="s">
        <v>428</v>
      </c>
      <c r="V1" s="247" t="s">
        <v>429</v>
      </c>
      <c r="W1" s="248" t="s">
        <v>430</v>
      </c>
      <c r="X1" s="248" t="s">
        <v>431</v>
      </c>
      <c r="Y1" s="184" t="s">
        <v>432</v>
      </c>
      <c r="Z1" s="184" t="s">
        <v>153</v>
      </c>
      <c r="AA1" s="249" t="s">
        <v>154</v>
      </c>
      <c r="AB1" s="184" t="s">
        <v>433</v>
      </c>
      <c r="AC1" s="184" t="s">
        <v>434</v>
      </c>
      <c r="AD1" s="184" t="s">
        <v>435</v>
      </c>
      <c r="AE1" s="249" t="s">
        <v>423</v>
      </c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250"/>
      <c r="AW1" s="250"/>
      <c r="AX1" s="250"/>
      <c r="AY1" s="250"/>
      <c r="AZ1" s="250"/>
      <c r="BA1" s="250"/>
      <c r="BB1" s="250"/>
      <c r="BC1" s="250"/>
      <c r="BD1" s="250"/>
      <c r="BE1" s="250"/>
      <c r="BF1" s="250"/>
      <c r="BG1" s="250"/>
      <c r="BH1" s="250"/>
      <c r="BI1" s="250"/>
      <c r="BJ1" s="250"/>
      <c r="BK1" s="250"/>
      <c r="BL1" s="250"/>
      <c r="BM1" s="250"/>
      <c r="BN1" s="250"/>
      <c r="BO1" s="250"/>
      <c r="BP1" s="250"/>
      <c r="BQ1" s="250"/>
      <c r="BR1" s="250"/>
      <c r="BS1" s="250"/>
      <c r="BT1" s="250"/>
      <c r="BU1" s="250"/>
      <c r="BV1" s="250"/>
      <c r="BW1" s="250"/>
      <c r="BX1" s="250"/>
      <c r="BY1" s="250"/>
    </row>
    <row r="2" ht="19.5" customHeight="1" spans="1:77">
      <c r="A2" s="251" t="s">
        <v>21</v>
      </c>
      <c r="B2" s="252" t="s">
        <v>436</v>
      </c>
      <c r="C2" s="253">
        <v>99.99</v>
      </c>
      <c r="D2" s="254">
        <v>7.1</v>
      </c>
      <c r="E2" s="254">
        <v>120.8</v>
      </c>
      <c r="F2" s="255">
        <f t="shared" ref="F2:F19" si="0">E2/D2</f>
        <v>17.0140845070423</v>
      </c>
      <c r="G2" s="256">
        <v>55</v>
      </c>
      <c r="H2" s="255">
        <f t="shared" ref="H2:H19" si="1">G2/D2</f>
        <v>7.74647887323944</v>
      </c>
      <c r="I2" s="255">
        <f t="shared" ref="I2:I19" si="2">F2+H2</f>
        <v>24.7605633802817</v>
      </c>
      <c r="J2" s="254">
        <v>0.15</v>
      </c>
      <c r="K2" s="255">
        <f t="shared" ref="K2:K19" si="3">C2*J2</f>
        <v>14.9985</v>
      </c>
      <c r="L2" s="255">
        <v>13.41</v>
      </c>
      <c r="M2" s="255">
        <f t="shared" ref="M2:M19" si="4">C2-I2-K2-L2</f>
        <v>46.8209366197183</v>
      </c>
      <c r="N2" s="257">
        <f t="shared" ref="N2:N19" si="5">M2/C2</f>
        <v>0.468256191816365</v>
      </c>
      <c r="O2" s="255">
        <f t="shared" ref="O2:O19" si="6">1%*C2</f>
        <v>0.9999</v>
      </c>
      <c r="P2" s="258">
        <v>0.07</v>
      </c>
      <c r="Q2" s="255">
        <f t="shared" ref="Q2:Q19" si="7">1%*C2</f>
        <v>0.9999</v>
      </c>
      <c r="R2" s="259">
        <f t="shared" ref="R2:R16" si="8">8%*C2</f>
        <v>7.9992</v>
      </c>
      <c r="S2" s="255">
        <f t="shared" ref="S2:S16" si="9">C2-I2-K2-L2-Q2-R2</f>
        <v>37.8218366197183</v>
      </c>
      <c r="T2" s="257">
        <f t="shared" ref="T2:T19" si="10">S2/C2</f>
        <v>0.378256191816365</v>
      </c>
      <c r="U2" s="260" t="s">
        <v>437</v>
      </c>
      <c r="V2" s="261">
        <f t="shared" ref="V2:V19" si="11">E2/D2/C2</f>
        <v>0.170157860856508</v>
      </c>
      <c r="W2" s="261">
        <f t="shared" ref="W2:W19" si="12">H2/C2</f>
        <v>0.077472535985993</v>
      </c>
      <c r="X2" s="261">
        <f t="shared" ref="X2:X19" si="13">L2/C2</f>
        <v>0.134113411341134</v>
      </c>
      <c r="Y2" s="262">
        <f t="shared" ref="Y2:Y19" si="14">5/C2</f>
        <v>0.05000500050005</v>
      </c>
      <c r="Z2" s="263">
        <v>0.15</v>
      </c>
      <c r="AA2" s="263">
        <f t="shared" ref="AA2:AA19" si="15">R2/C2</f>
        <v>0.08</v>
      </c>
      <c r="AB2" s="264">
        <f t="shared" ref="AB2:AB19" si="16">2%*C2</f>
        <v>1.9998</v>
      </c>
      <c r="AC2" s="263">
        <f t="shared" ref="AC2:AC19" si="17">P2</f>
        <v>0.07</v>
      </c>
      <c r="AD2" s="145">
        <v>1</v>
      </c>
      <c r="AE2" s="263">
        <f t="shared" ref="AE2:AE19" si="18">S2/C2</f>
        <v>0.378256191816365</v>
      </c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</row>
    <row r="3" ht="19.5" customHeight="1" spans="1:77">
      <c r="A3" s="251" t="s">
        <v>21</v>
      </c>
      <c r="B3" s="252" t="s">
        <v>438</v>
      </c>
      <c r="C3" s="253">
        <v>64.99</v>
      </c>
      <c r="D3" s="254">
        <v>7.1</v>
      </c>
      <c r="E3" s="254">
        <v>120.8</v>
      </c>
      <c r="F3" s="255">
        <f t="shared" si="0"/>
        <v>17.0140845070423</v>
      </c>
      <c r="G3" s="256">
        <v>55</v>
      </c>
      <c r="H3" s="255">
        <f t="shared" si="1"/>
        <v>7.74647887323944</v>
      </c>
      <c r="I3" s="255">
        <f t="shared" si="2"/>
        <v>24.7605633802817</v>
      </c>
      <c r="J3" s="254">
        <v>0.15</v>
      </c>
      <c r="K3" s="255">
        <f t="shared" si="3"/>
        <v>9.7485</v>
      </c>
      <c r="L3" s="255">
        <v>13.41</v>
      </c>
      <c r="M3" s="255">
        <f t="shared" si="4"/>
        <v>17.0709366197183</v>
      </c>
      <c r="N3" s="257">
        <f t="shared" si="5"/>
        <v>0.262670204950274</v>
      </c>
      <c r="O3" s="255">
        <f t="shared" si="6"/>
        <v>0.6499</v>
      </c>
      <c r="P3" s="258">
        <v>0.07</v>
      </c>
      <c r="Q3" s="255">
        <f t="shared" si="7"/>
        <v>0.6499</v>
      </c>
      <c r="R3" s="259">
        <f t="shared" si="8"/>
        <v>5.1992</v>
      </c>
      <c r="S3" s="255">
        <f t="shared" si="9"/>
        <v>11.2218366197183</v>
      </c>
      <c r="T3" s="257">
        <f t="shared" si="10"/>
        <v>0.172670204950274</v>
      </c>
      <c r="U3" s="260" t="s">
        <v>437</v>
      </c>
      <c r="V3" s="261">
        <f t="shared" si="11"/>
        <v>0.261795422481032</v>
      </c>
      <c r="W3" s="261">
        <f t="shared" si="12"/>
        <v>0.119194935732258</v>
      </c>
      <c r="X3" s="261">
        <f t="shared" si="13"/>
        <v>0.206339436836436</v>
      </c>
      <c r="Y3" s="262">
        <f t="shared" si="14"/>
        <v>0.0769349130635482</v>
      </c>
      <c r="Z3" s="263">
        <v>0.15</v>
      </c>
      <c r="AA3" s="263">
        <f t="shared" si="15"/>
        <v>0.08</v>
      </c>
      <c r="AB3" s="264">
        <f t="shared" si="16"/>
        <v>1.2998</v>
      </c>
      <c r="AC3" s="263">
        <f t="shared" si="17"/>
        <v>0.07</v>
      </c>
      <c r="AD3" s="119">
        <v>1</v>
      </c>
      <c r="AE3" s="263">
        <f t="shared" si="18"/>
        <v>0.172670204950274</v>
      </c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5"/>
      <c r="BI3" s="145"/>
      <c r="BJ3" s="145"/>
      <c r="BK3" s="145"/>
      <c r="BL3" s="145"/>
      <c r="BM3" s="145"/>
      <c r="BN3" s="145"/>
      <c r="BO3" s="145"/>
      <c r="BP3" s="145"/>
      <c r="BQ3" s="145"/>
      <c r="BR3" s="145"/>
      <c r="BS3" s="145"/>
      <c r="BT3" s="145"/>
      <c r="BU3" s="145"/>
      <c r="BV3" s="145"/>
      <c r="BW3" s="145"/>
      <c r="BX3" s="145"/>
      <c r="BY3" s="145"/>
    </row>
    <row r="4" ht="19.5" customHeight="1" spans="1:77">
      <c r="A4" s="251" t="s">
        <v>21</v>
      </c>
      <c r="B4" s="252" t="s">
        <v>439</v>
      </c>
      <c r="C4" s="253">
        <v>59.99</v>
      </c>
      <c r="D4" s="254">
        <v>7.1</v>
      </c>
      <c r="E4" s="254">
        <v>120.8</v>
      </c>
      <c r="F4" s="255">
        <f t="shared" si="0"/>
        <v>17.0140845070423</v>
      </c>
      <c r="G4" s="256">
        <v>55</v>
      </c>
      <c r="H4" s="255">
        <f t="shared" si="1"/>
        <v>7.74647887323944</v>
      </c>
      <c r="I4" s="255">
        <f t="shared" si="2"/>
        <v>24.7605633802817</v>
      </c>
      <c r="J4" s="254">
        <v>0.15</v>
      </c>
      <c r="K4" s="255">
        <f t="shared" si="3"/>
        <v>8.9985</v>
      </c>
      <c r="L4" s="255">
        <v>13.41</v>
      </c>
      <c r="M4" s="255">
        <f t="shared" si="4"/>
        <v>12.8209366197183</v>
      </c>
      <c r="N4" s="257">
        <f t="shared" si="5"/>
        <v>0.213717896644746</v>
      </c>
      <c r="O4" s="255">
        <f t="shared" si="6"/>
        <v>0.5999</v>
      </c>
      <c r="P4" s="258">
        <v>0.07</v>
      </c>
      <c r="Q4" s="255">
        <f t="shared" si="7"/>
        <v>0.5999</v>
      </c>
      <c r="R4" s="259">
        <f t="shared" si="8"/>
        <v>4.7992</v>
      </c>
      <c r="S4" s="255">
        <f t="shared" si="9"/>
        <v>7.42183661971831</v>
      </c>
      <c r="T4" s="257">
        <f t="shared" si="10"/>
        <v>0.123717896644746</v>
      </c>
      <c r="U4" s="260" t="s">
        <v>437</v>
      </c>
      <c r="V4" s="261">
        <f t="shared" si="11"/>
        <v>0.283615344341428</v>
      </c>
      <c r="W4" s="261">
        <f t="shared" si="12"/>
        <v>0.129129502804458</v>
      </c>
      <c r="X4" s="261">
        <f t="shared" si="13"/>
        <v>0.223537256209368</v>
      </c>
      <c r="Y4" s="262">
        <f t="shared" si="14"/>
        <v>0.0833472245374229</v>
      </c>
      <c r="Z4" s="263">
        <v>0.15</v>
      </c>
      <c r="AA4" s="263">
        <f t="shared" si="15"/>
        <v>0.08</v>
      </c>
      <c r="AB4" s="264">
        <f t="shared" si="16"/>
        <v>1.1998</v>
      </c>
      <c r="AC4" s="263">
        <f t="shared" si="17"/>
        <v>0.07</v>
      </c>
      <c r="AD4" s="119">
        <v>1</v>
      </c>
      <c r="AE4" s="263">
        <f t="shared" si="18"/>
        <v>0.123717896644746</v>
      </c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5"/>
      <c r="BL4" s="145"/>
      <c r="BM4" s="145"/>
      <c r="BN4" s="145"/>
      <c r="BO4" s="145"/>
      <c r="BP4" s="145"/>
      <c r="BQ4" s="145"/>
      <c r="BR4" s="145"/>
      <c r="BS4" s="145"/>
      <c r="BT4" s="145"/>
      <c r="BU4" s="145"/>
      <c r="BV4" s="145"/>
      <c r="BW4" s="145"/>
      <c r="BX4" s="145"/>
      <c r="BY4" s="145"/>
    </row>
    <row r="5" ht="19.5" customHeight="1" spans="1:77">
      <c r="A5" s="251" t="s">
        <v>21</v>
      </c>
      <c r="B5" s="252" t="s">
        <v>440</v>
      </c>
      <c r="C5" s="253">
        <v>45</v>
      </c>
      <c r="D5" s="254">
        <v>7.1</v>
      </c>
      <c r="E5" s="254">
        <v>120.8</v>
      </c>
      <c r="F5" s="255">
        <f t="shared" si="0"/>
        <v>17.0140845070423</v>
      </c>
      <c r="G5" s="256">
        <v>55</v>
      </c>
      <c r="H5" s="255">
        <f t="shared" si="1"/>
        <v>7.74647887323944</v>
      </c>
      <c r="I5" s="255">
        <f t="shared" si="2"/>
        <v>24.7605633802817</v>
      </c>
      <c r="J5" s="254">
        <v>0.15</v>
      </c>
      <c r="K5" s="255">
        <f t="shared" si="3"/>
        <v>6.75</v>
      </c>
      <c r="L5" s="255">
        <v>13.41</v>
      </c>
      <c r="M5" s="255">
        <f t="shared" si="4"/>
        <v>0.0794366197183081</v>
      </c>
      <c r="N5" s="257">
        <f t="shared" si="5"/>
        <v>0.0017652582159624</v>
      </c>
      <c r="O5" s="255">
        <f t="shared" si="6"/>
        <v>0.45</v>
      </c>
      <c r="P5" s="258">
        <v>0.07</v>
      </c>
      <c r="Q5" s="255">
        <f t="shared" si="7"/>
        <v>0.45</v>
      </c>
      <c r="R5" s="259">
        <f t="shared" si="8"/>
        <v>3.6</v>
      </c>
      <c r="S5" s="255">
        <f t="shared" si="9"/>
        <v>-3.97056338028169</v>
      </c>
      <c r="T5" s="257">
        <f t="shared" si="10"/>
        <v>-0.0882347417840376</v>
      </c>
      <c r="U5" s="260" t="s">
        <v>437</v>
      </c>
      <c r="V5" s="261">
        <f t="shared" si="11"/>
        <v>0.378090766823161</v>
      </c>
      <c r="W5" s="261">
        <f t="shared" si="12"/>
        <v>0.172143974960876</v>
      </c>
      <c r="X5" s="261">
        <f t="shared" si="13"/>
        <v>0.298</v>
      </c>
      <c r="Y5" s="262">
        <f t="shared" si="14"/>
        <v>0.111111111111111</v>
      </c>
      <c r="Z5" s="263">
        <v>0.15</v>
      </c>
      <c r="AA5" s="263">
        <f t="shared" si="15"/>
        <v>0.08</v>
      </c>
      <c r="AB5" s="264">
        <f t="shared" si="16"/>
        <v>0.9</v>
      </c>
      <c r="AC5" s="263">
        <f t="shared" si="17"/>
        <v>0.07</v>
      </c>
      <c r="AD5" s="119">
        <v>1</v>
      </c>
      <c r="AE5" s="263">
        <f t="shared" si="18"/>
        <v>-0.0882347417840376</v>
      </c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5"/>
      <c r="BF5" s="145"/>
      <c r="BG5" s="145"/>
      <c r="BH5" s="145"/>
      <c r="BI5" s="145"/>
      <c r="BJ5" s="145"/>
      <c r="BK5" s="145"/>
      <c r="BL5" s="145"/>
      <c r="BM5" s="145"/>
      <c r="BN5" s="145"/>
      <c r="BO5" s="145"/>
      <c r="BP5" s="145"/>
      <c r="BQ5" s="145"/>
      <c r="BR5" s="145"/>
      <c r="BS5" s="145"/>
      <c r="BT5" s="145"/>
      <c r="BU5" s="145"/>
      <c r="BV5" s="145"/>
      <c r="BW5" s="145"/>
      <c r="BX5" s="145"/>
      <c r="BY5" s="145"/>
    </row>
    <row r="6" spans="1:77">
      <c r="A6" s="251" t="s">
        <v>21</v>
      </c>
      <c r="B6" s="265" t="s">
        <v>441</v>
      </c>
      <c r="C6" s="266">
        <v>19.99</v>
      </c>
      <c r="D6" s="254">
        <v>7.1</v>
      </c>
      <c r="E6" s="254">
        <v>40</v>
      </c>
      <c r="F6" s="255">
        <f t="shared" si="0"/>
        <v>5.63380281690141</v>
      </c>
      <c r="G6" s="256">
        <v>55</v>
      </c>
      <c r="H6" s="255">
        <f t="shared" si="1"/>
        <v>7.74647887323944</v>
      </c>
      <c r="I6" s="255">
        <f t="shared" si="2"/>
        <v>13.3802816901408</v>
      </c>
      <c r="J6" s="254">
        <v>0.15</v>
      </c>
      <c r="K6" s="255">
        <f t="shared" si="3"/>
        <v>2.9985</v>
      </c>
      <c r="L6" s="255">
        <v>3.99</v>
      </c>
      <c r="M6" s="255">
        <f t="shared" si="4"/>
        <v>-0.378781690140847</v>
      </c>
      <c r="N6" s="257">
        <f t="shared" si="5"/>
        <v>-0.0189485587864356</v>
      </c>
      <c r="O6" s="267">
        <f t="shared" si="6"/>
        <v>0.1999</v>
      </c>
      <c r="P6" s="258">
        <v>0.07</v>
      </c>
      <c r="Q6" s="255">
        <f t="shared" si="7"/>
        <v>0.1999</v>
      </c>
      <c r="R6" s="259">
        <f t="shared" si="8"/>
        <v>1.5992</v>
      </c>
      <c r="S6" s="255">
        <f t="shared" si="9"/>
        <v>-2.17788169014085</v>
      </c>
      <c r="T6" s="257">
        <f t="shared" si="10"/>
        <v>-0.108948558786436</v>
      </c>
      <c r="U6" s="260" t="s">
        <v>437</v>
      </c>
      <c r="V6" s="261">
        <f t="shared" si="11"/>
        <v>0.281831056373257</v>
      </c>
      <c r="W6" s="261">
        <f t="shared" si="12"/>
        <v>0.387517702513228</v>
      </c>
      <c r="X6" s="261">
        <f t="shared" si="13"/>
        <v>0.19959979989995</v>
      </c>
      <c r="Y6" s="262">
        <f t="shared" si="14"/>
        <v>0.250125062531266</v>
      </c>
      <c r="Z6" s="263">
        <v>0.15</v>
      </c>
      <c r="AA6" s="263">
        <f t="shared" si="15"/>
        <v>0.08</v>
      </c>
      <c r="AB6" s="145">
        <f t="shared" si="16"/>
        <v>0.3998</v>
      </c>
      <c r="AC6" s="263">
        <f t="shared" si="17"/>
        <v>0.07</v>
      </c>
      <c r="AD6" s="119">
        <v>1</v>
      </c>
      <c r="AE6" s="263">
        <f t="shared" si="18"/>
        <v>-0.108948558786436</v>
      </c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5"/>
      <c r="BD6" s="145"/>
      <c r="BE6" s="145"/>
      <c r="BF6" s="145"/>
      <c r="BG6" s="145"/>
      <c r="BH6" s="145"/>
      <c r="BI6" s="145"/>
      <c r="BJ6" s="145"/>
      <c r="BK6" s="145"/>
      <c r="BL6" s="145"/>
      <c r="BM6" s="145"/>
      <c r="BN6" s="145"/>
      <c r="BO6" s="145"/>
      <c r="BP6" s="145"/>
      <c r="BQ6" s="145"/>
      <c r="BR6" s="145"/>
      <c r="BS6" s="145"/>
      <c r="BT6" s="145"/>
      <c r="BU6" s="145"/>
      <c r="BV6" s="145"/>
      <c r="BW6" s="145"/>
      <c r="BX6" s="145"/>
      <c r="BY6" s="145"/>
    </row>
    <row r="7" spans="1:77">
      <c r="A7" s="251" t="s">
        <v>21</v>
      </c>
      <c r="B7" s="260" t="s">
        <v>442</v>
      </c>
      <c r="C7" s="266">
        <v>99</v>
      </c>
      <c r="D7" s="254">
        <v>7.1</v>
      </c>
      <c r="E7" s="254">
        <f>270/1.13</f>
        <v>238.938053097345</v>
      </c>
      <c r="F7" s="255">
        <f t="shared" si="0"/>
        <v>33.653246915119</v>
      </c>
      <c r="G7" s="256">
        <v>40</v>
      </c>
      <c r="H7" s="255">
        <f t="shared" si="1"/>
        <v>5.63380281690141</v>
      </c>
      <c r="I7" s="255">
        <f t="shared" si="2"/>
        <v>39.2870497320204</v>
      </c>
      <c r="J7" s="254">
        <v>0.15</v>
      </c>
      <c r="K7" s="255">
        <f t="shared" si="3"/>
        <v>14.85</v>
      </c>
      <c r="L7" s="268">
        <v>9.81</v>
      </c>
      <c r="M7" s="255">
        <f t="shared" si="4"/>
        <v>35.0529502679796</v>
      </c>
      <c r="N7" s="257">
        <f t="shared" si="5"/>
        <v>0.354070204727066</v>
      </c>
      <c r="O7" s="267">
        <f t="shared" si="6"/>
        <v>0.99</v>
      </c>
      <c r="P7" s="258">
        <v>0.07</v>
      </c>
      <c r="Q7" s="255">
        <f t="shared" si="7"/>
        <v>0.99</v>
      </c>
      <c r="R7" s="259">
        <f t="shared" si="8"/>
        <v>7.92</v>
      </c>
      <c r="S7" s="255">
        <f t="shared" si="9"/>
        <v>26.1429502679796</v>
      </c>
      <c r="T7" s="257">
        <f t="shared" si="10"/>
        <v>0.264070204727066</v>
      </c>
      <c r="U7" s="260" t="s">
        <v>437</v>
      </c>
      <c r="V7" s="261">
        <f t="shared" si="11"/>
        <v>0.339931787021404</v>
      </c>
      <c r="W7" s="261">
        <f t="shared" si="12"/>
        <v>0.0569070991606203</v>
      </c>
      <c r="X7" s="261">
        <f t="shared" si="13"/>
        <v>0.0990909090909091</v>
      </c>
      <c r="Y7" s="262">
        <f t="shared" si="14"/>
        <v>0.0505050505050505</v>
      </c>
      <c r="Z7" s="263">
        <v>0.15</v>
      </c>
      <c r="AA7" s="263">
        <f t="shared" si="15"/>
        <v>0.08</v>
      </c>
      <c r="AB7" s="145">
        <f t="shared" si="16"/>
        <v>1.98</v>
      </c>
      <c r="AC7" s="263">
        <f t="shared" si="17"/>
        <v>0.07</v>
      </c>
      <c r="AD7" s="119">
        <v>1</v>
      </c>
      <c r="AE7" s="263">
        <f t="shared" si="18"/>
        <v>0.264070204727066</v>
      </c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</row>
    <row r="8" spans="1:77">
      <c r="A8" s="251" t="s">
        <v>21</v>
      </c>
      <c r="B8" s="260" t="s">
        <v>442</v>
      </c>
      <c r="C8" s="266">
        <f>C7*0.7</f>
        <v>69.3</v>
      </c>
      <c r="D8" s="254">
        <v>7.1</v>
      </c>
      <c r="E8" s="254">
        <f>270/1.13</f>
        <v>238.938053097345</v>
      </c>
      <c r="F8" s="255">
        <f t="shared" si="0"/>
        <v>33.653246915119</v>
      </c>
      <c r="G8" s="256">
        <v>40</v>
      </c>
      <c r="H8" s="255">
        <f t="shared" si="1"/>
        <v>5.63380281690141</v>
      </c>
      <c r="I8" s="255">
        <f t="shared" si="2"/>
        <v>39.2870497320204</v>
      </c>
      <c r="J8" s="254">
        <v>0.15</v>
      </c>
      <c r="K8" s="255">
        <f t="shared" si="3"/>
        <v>10.395</v>
      </c>
      <c r="L8" s="268">
        <v>9.81</v>
      </c>
      <c r="M8" s="255">
        <f t="shared" si="4"/>
        <v>9.80795026797955</v>
      </c>
      <c r="N8" s="257">
        <f t="shared" si="5"/>
        <v>0.141528863895809</v>
      </c>
      <c r="O8" s="267">
        <f t="shared" si="6"/>
        <v>0.693</v>
      </c>
      <c r="P8" s="258">
        <v>0.07</v>
      </c>
      <c r="Q8" s="255">
        <f t="shared" si="7"/>
        <v>0.693</v>
      </c>
      <c r="R8" s="259">
        <f t="shared" si="8"/>
        <v>5.544</v>
      </c>
      <c r="S8" s="255">
        <f t="shared" si="9"/>
        <v>3.57095026797956</v>
      </c>
      <c r="T8" s="257">
        <f t="shared" si="10"/>
        <v>0.0515288638958089</v>
      </c>
      <c r="U8" s="260" t="s">
        <v>437</v>
      </c>
      <c r="V8" s="261">
        <f t="shared" si="11"/>
        <v>0.485616838602006</v>
      </c>
      <c r="W8" s="261">
        <f t="shared" si="12"/>
        <v>0.0812958559437433</v>
      </c>
      <c r="X8" s="261">
        <f t="shared" si="13"/>
        <v>0.141558441558442</v>
      </c>
      <c r="Y8" s="262">
        <f t="shared" si="14"/>
        <v>0.0721500721500722</v>
      </c>
      <c r="Z8" s="263">
        <v>0.15</v>
      </c>
      <c r="AA8" s="263">
        <f t="shared" si="15"/>
        <v>0.08</v>
      </c>
      <c r="AB8" s="145">
        <f t="shared" si="16"/>
        <v>1.386</v>
      </c>
      <c r="AC8" s="263">
        <f t="shared" si="17"/>
        <v>0.07</v>
      </c>
      <c r="AD8" s="119">
        <v>1</v>
      </c>
      <c r="AE8" s="263">
        <f t="shared" si="18"/>
        <v>0.0515288638958089</v>
      </c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145"/>
      <c r="BT8" s="145"/>
      <c r="BU8" s="145"/>
      <c r="BV8" s="145"/>
      <c r="BW8" s="145"/>
      <c r="BX8" s="145"/>
      <c r="BY8" s="145"/>
    </row>
    <row r="9" spans="1:77">
      <c r="A9" s="251" t="s">
        <v>21</v>
      </c>
      <c r="B9" s="260" t="s">
        <v>442</v>
      </c>
      <c r="C9" s="266">
        <f>C8*0.85</f>
        <v>58.905</v>
      </c>
      <c r="D9" s="254">
        <v>7.1</v>
      </c>
      <c r="E9" s="254">
        <f>270/1.13</f>
        <v>238.938053097345</v>
      </c>
      <c r="F9" s="255">
        <f t="shared" si="0"/>
        <v>33.653246915119</v>
      </c>
      <c r="G9" s="256">
        <v>40</v>
      </c>
      <c r="H9" s="255">
        <f t="shared" si="1"/>
        <v>5.63380281690141</v>
      </c>
      <c r="I9" s="255">
        <f t="shared" si="2"/>
        <v>39.2870497320204</v>
      </c>
      <c r="J9" s="254">
        <v>0.15</v>
      </c>
      <c r="K9" s="255">
        <f t="shared" si="3"/>
        <v>8.83575</v>
      </c>
      <c r="L9" s="268">
        <v>9.81</v>
      </c>
      <c r="M9" s="255">
        <f t="shared" si="4"/>
        <v>0.972200267979552</v>
      </c>
      <c r="N9" s="257">
        <f t="shared" si="5"/>
        <v>0.0165045457597751</v>
      </c>
      <c r="O9" s="267">
        <f t="shared" si="6"/>
        <v>0.58905</v>
      </c>
      <c r="P9" s="258">
        <v>0.07</v>
      </c>
      <c r="Q9" s="255">
        <f t="shared" si="7"/>
        <v>0.58905</v>
      </c>
      <c r="R9" s="259">
        <f t="shared" si="8"/>
        <v>4.7124</v>
      </c>
      <c r="S9" s="255">
        <f t="shared" si="9"/>
        <v>-4.32924973202045</v>
      </c>
      <c r="T9" s="257">
        <f t="shared" si="10"/>
        <v>-0.0734954542402249</v>
      </c>
      <c r="U9" s="260" t="s">
        <v>437</v>
      </c>
      <c r="V9" s="261">
        <f t="shared" si="11"/>
        <v>0.571313927767066</v>
      </c>
      <c r="W9" s="261">
        <f t="shared" si="12"/>
        <v>0.0956421834632274</v>
      </c>
      <c r="X9" s="261">
        <f t="shared" si="13"/>
        <v>0.166539343009931</v>
      </c>
      <c r="Y9" s="262">
        <f t="shared" si="14"/>
        <v>0.0848824378236143</v>
      </c>
      <c r="Z9" s="263">
        <v>0.15</v>
      </c>
      <c r="AA9" s="263">
        <f t="shared" si="15"/>
        <v>0.08</v>
      </c>
      <c r="AB9" s="145">
        <f t="shared" si="16"/>
        <v>1.1781</v>
      </c>
      <c r="AC9" s="263">
        <f t="shared" si="17"/>
        <v>0.07</v>
      </c>
      <c r="AD9" s="119">
        <v>1</v>
      </c>
      <c r="AE9" s="263">
        <f t="shared" si="18"/>
        <v>-0.0734954542402249</v>
      </c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</row>
    <row r="10" spans="1:77">
      <c r="A10" s="251" t="s">
        <v>21</v>
      </c>
      <c r="B10" s="260" t="s">
        <v>442</v>
      </c>
      <c r="C10" s="266">
        <v>89.99</v>
      </c>
      <c r="D10" s="254">
        <v>7.1</v>
      </c>
      <c r="E10" s="254">
        <f>270/1.13</f>
        <v>238.938053097345</v>
      </c>
      <c r="F10" s="255">
        <f t="shared" si="0"/>
        <v>33.653246915119</v>
      </c>
      <c r="G10" s="256">
        <v>40</v>
      </c>
      <c r="H10" s="255">
        <f t="shared" si="1"/>
        <v>5.63380281690141</v>
      </c>
      <c r="I10" s="255">
        <f t="shared" si="2"/>
        <v>39.2870497320204</v>
      </c>
      <c r="J10" s="254">
        <v>0.15</v>
      </c>
      <c r="K10" s="255">
        <f t="shared" si="3"/>
        <v>13.4985</v>
      </c>
      <c r="L10" s="268">
        <v>9.81</v>
      </c>
      <c r="M10" s="255">
        <f t="shared" si="4"/>
        <v>27.3944502679796</v>
      </c>
      <c r="N10" s="257">
        <f t="shared" si="5"/>
        <v>0.304416604822531</v>
      </c>
      <c r="O10" s="267">
        <f t="shared" si="6"/>
        <v>0.8999</v>
      </c>
      <c r="P10" s="258">
        <v>0.07</v>
      </c>
      <c r="Q10" s="255">
        <f t="shared" si="7"/>
        <v>0.8999</v>
      </c>
      <c r="R10" s="259">
        <f t="shared" si="8"/>
        <v>7.1992</v>
      </c>
      <c r="S10" s="255">
        <f t="shared" si="9"/>
        <v>19.2953502679796</v>
      </c>
      <c r="T10" s="257">
        <f t="shared" si="10"/>
        <v>0.214416604822531</v>
      </c>
      <c r="U10" s="260" t="s">
        <v>437</v>
      </c>
      <c r="V10" s="261">
        <f t="shared" si="11"/>
        <v>0.373966517558829</v>
      </c>
      <c r="W10" s="261">
        <f t="shared" si="12"/>
        <v>0.0626047651617003</v>
      </c>
      <c r="X10" s="261">
        <f t="shared" si="13"/>
        <v>0.10901211245694</v>
      </c>
      <c r="Y10" s="262">
        <f t="shared" si="14"/>
        <v>0.055561729081009</v>
      </c>
      <c r="Z10" s="263">
        <v>0.15</v>
      </c>
      <c r="AA10" s="263">
        <f t="shared" si="15"/>
        <v>0.08</v>
      </c>
      <c r="AB10" s="145">
        <f t="shared" si="16"/>
        <v>1.7998</v>
      </c>
      <c r="AC10" s="263">
        <f t="shared" si="17"/>
        <v>0.07</v>
      </c>
      <c r="AD10" s="119">
        <v>1</v>
      </c>
      <c r="AE10" s="263">
        <f t="shared" si="18"/>
        <v>0.214416604822531</v>
      </c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</row>
    <row r="11" spans="1:77">
      <c r="A11" s="251" t="s">
        <v>21</v>
      </c>
      <c r="B11" s="252" t="s">
        <v>443</v>
      </c>
      <c r="C11" s="266">
        <v>44.99</v>
      </c>
      <c r="D11" s="254">
        <v>7.1</v>
      </c>
      <c r="E11" s="254">
        <f>94.4/1.13</f>
        <v>83.5398230088496</v>
      </c>
      <c r="F11" s="255">
        <f t="shared" si="0"/>
        <v>11.7661722547675</v>
      </c>
      <c r="G11" s="256">
        <v>20</v>
      </c>
      <c r="H11" s="255">
        <f t="shared" si="1"/>
        <v>2.8169014084507</v>
      </c>
      <c r="I11" s="255">
        <f t="shared" si="2"/>
        <v>14.5830736632182</v>
      </c>
      <c r="J11" s="254">
        <v>0.15</v>
      </c>
      <c r="K11" s="255">
        <f t="shared" si="3"/>
        <v>6.7485</v>
      </c>
      <c r="L11" s="260">
        <v>7.32</v>
      </c>
      <c r="M11" s="255">
        <f t="shared" si="4"/>
        <v>16.3384263367818</v>
      </c>
      <c r="N11" s="257">
        <f t="shared" si="5"/>
        <v>0.363156842337892</v>
      </c>
      <c r="O11" s="267">
        <f t="shared" si="6"/>
        <v>0.4499</v>
      </c>
      <c r="P11" s="258">
        <v>0.07</v>
      </c>
      <c r="Q11" s="255">
        <f t="shared" si="7"/>
        <v>0.4499</v>
      </c>
      <c r="R11" s="259">
        <f t="shared" si="8"/>
        <v>3.5992</v>
      </c>
      <c r="S11" s="255">
        <f t="shared" si="9"/>
        <v>12.2893263367818</v>
      </c>
      <c r="T11" s="257">
        <f t="shared" si="10"/>
        <v>0.273156842337892</v>
      </c>
      <c r="U11" s="260" t="s">
        <v>444</v>
      </c>
      <c r="V11" s="261">
        <f t="shared" si="11"/>
        <v>0.261528612019728</v>
      </c>
      <c r="W11" s="261">
        <f t="shared" si="12"/>
        <v>0.0626117227928585</v>
      </c>
      <c r="X11" s="261">
        <f t="shared" si="13"/>
        <v>0.162702822849522</v>
      </c>
      <c r="Y11" s="262">
        <f t="shared" si="14"/>
        <v>0.111135807957324</v>
      </c>
      <c r="Z11" s="263">
        <v>0.15</v>
      </c>
      <c r="AA11" s="263">
        <f t="shared" si="15"/>
        <v>0.08</v>
      </c>
      <c r="AB11" s="145">
        <f t="shared" si="16"/>
        <v>0.8998</v>
      </c>
      <c r="AC11" s="263">
        <f t="shared" si="17"/>
        <v>0.07</v>
      </c>
      <c r="AD11" s="119">
        <v>1</v>
      </c>
      <c r="AE11" s="263">
        <f t="shared" si="18"/>
        <v>0.273156842337892</v>
      </c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  <c r="BS11" s="145"/>
      <c r="BT11" s="145"/>
      <c r="BU11" s="145"/>
      <c r="BV11" s="145"/>
      <c r="BW11" s="145"/>
      <c r="BX11" s="145"/>
      <c r="BY11" s="145"/>
    </row>
    <row r="12" spans="1:77">
      <c r="A12" s="251" t="s">
        <v>21</v>
      </c>
      <c r="B12" s="252" t="s">
        <v>445</v>
      </c>
      <c r="C12" s="266">
        <f>C11*0.8</f>
        <v>35.992</v>
      </c>
      <c r="D12" s="254">
        <v>7.1</v>
      </c>
      <c r="E12" s="254">
        <f>94.4/1.13</f>
        <v>83.5398230088496</v>
      </c>
      <c r="F12" s="255">
        <f t="shared" si="0"/>
        <v>11.7661722547675</v>
      </c>
      <c r="G12" s="256">
        <v>20</v>
      </c>
      <c r="H12" s="255">
        <f t="shared" si="1"/>
        <v>2.8169014084507</v>
      </c>
      <c r="I12" s="255">
        <f t="shared" si="2"/>
        <v>14.5830736632182</v>
      </c>
      <c r="J12" s="254">
        <v>0.15</v>
      </c>
      <c r="K12" s="255">
        <f t="shared" si="3"/>
        <v>5.3988</v>
      </c>
      <c r="L12" s="265">
        <v>7.32</v>
      </c>
      <c r="M12" s="255">
        <f t="shared" si="4"/>
        <v>8.69012633678175</v>
      </c>
      <c r="N12" s="257">
        <f t="shared" si="5"/>
        <v>0.241446052922365</v>
      </c>
      <c r="O12" s="267">
        <f t="shared" si="6"/>
        <v>0.35992</v>
      </c>
      <c r="P12" s="258">
        <v>0.07</v>
      </c>
      <c r="Q12" s="255">
        <f t="shared" si="7"/>
        <v>0.35992</v>
      </c>
      <c r="R12" s="259">
        <f t="shared" si="8"/>
        <v>2.87936</v>
      </c>
      <c r="S12" s="255">
        <f t="shared" si="9"/>
        <v>5.45084633678175</v>
      </c>
      <c r="T12" s="257">
        <f t="shared" si="10"/>
        <v>0.151446052922365</v>
      </c>
      <c r="U12" s="265" t="s">
        <v>444</v>
      </c>
      <c r="V12" s="261">
        <f t="shared" si="11"/>
        <v>0.326910765024659</v>
      </c>
      <c r="W12" s="261">
        <f t="shared" si="12"/>
        <v>0.0782646534910731</v>
      </c>
      <c r="X12" s="261">
        <f t="shared" si="13"/>
        <v>0.203378528561903</v>
      </c>
      <c r="Y12" s="262">
        <f t="shared" si="14"/>
        <v>0.138919759946655</v>
      </c>
      <c r="Z12" s="263">
        <v>0.15</v>
      </c>
      <c r="AA12" s="263">
        <f t="shared" si="15"/>
        <v>0.08</v>
      </c>
      <c r="AB12" s="145">
        <f t="shared" si="16"/>
        <v>0.71984</v>
      </c>
      <c r="AC12" s="263">
        <f t="shared" si="17"/>
        <v>0.07</v>
      </c>
      <c r="AD12" s="119">
        <v>1</v>
      </c>
      <c r="AE12" s="263">
        <f t="shared" si="18"/>
        <v>0.151446052922365</v>
      </c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  <c r="BS12" s="145"/>
      <c r="BT12" s="145"/>
      <c r="BU12" s="145"/>
      <c r="BV12" s="145"/>
      <c r="BW12" s="145"/>
      <c r="BX12" s="145"/>
      <c r="BY12" s="145"/>
    </row>
    <row r="13" spans="1:77">
      <c r="A13" s="251" t="s">
        <v>21</v>
      </c>
      <c r="B13" s="252" t="s">
        <v>446</v>
      </c>
      <c r="C13" s="266">
        <f>C11*0.7</f>
        <v>31.493</v>
      </c>
      <c r="D13" s="254">
        <v>7.1</v>
      </c>
      <c r="E13" s="254">
        <f>94.4/1.13</f>
        <v>83.5398230088496</v>
      </c>
      <c r="F13" s="255">
        <f t="shared" si="0"/>
        <v>11.7661722547675</v>
      </c>
      <c r="G13" s="256">
        <v>20</v>
      </c>
      <c r="H13" s="255">
        <f t="shared" si="1"/>
        <v>2.8169014084507</v>
      </c>
      <c r="I13" s="255">
        <f t="shared" si="2"/>
        <v>14.5830736632182</v>
      </c>
      <c r="J13" s="254">
        <v>0.15</v>
      </c>
      <c r="K13" s="255">
        <f t="shared" si="3"/>
        <v>4.72395</v>
      </c>
      <c r="L13" s="265">
        <v>7.32</v>
      </c>
      <c r="M13" s="255">
        <f t="shared" si="4"/>
        <v>4.86597633678175</v>
      </c>
      <c r="N13" s="257">
        <f t="shared" si="5"/>
        <v>0.154509774768417</v>
      </c>
      <c r="O13" s="267">
        <f t="shared" si="6"/>
        <v>0.31493</v>
      </c>
      <c r="P13" s="258">
        <v>0.07</v>
      </c>
      <c r="Q13" s="255">
        <f t="shared" si="7"/>
        <v>0.31493</v>
      </c>
      <c r="R13" s="259">
        <f t="shared" si="8"/>
        <v>2.51944</v>
      </c>
      <c r="S13" s="255">
        <f t="shared" si="9"/>
        <v>2.03160633678175</v>
      </c>
      <c r="T13" s="257">
        <f t="shared" si="10"/>
        <v>0.0645097747684169</v>
      </c>
      <c r="U13" s="265" t="s">
        <v>444</v>
      </c>
      <c r="V13" s="261">
        <f t="shared" si="11"/>
        <v>0.373612302885325</v>
      </c>
      <c r="W13" s="261">
        <f t="shared" si="12"/>
        <v>0.0894453182755122</v>
      </c>
      <c r="X13" s="261">
        <f t="shared" si="13"/>
        <v>0.232432604070746</v>
      </c>
      <c r="Y13" s="262">
        <f t="shared" si="14"/>
        <v>0.158765439939034</v>
      </c>
      <c r="Z13" s="263">
        <v>0.15</v>
      </c>
      <c r="AA13" s="263">
        <f t="shared" si="15"/>
        <v>0.08</v>
      </c>
      <c r="AB13" s="145">
        <f t="shared" si="16"/>
        <v>0.62986</v>
      </c>
      <c r="AC13" s="263">
        <f t="shared" si="17"/>
        <v>0.07</v>
      </c>
      <c r="AD13" s="119">
        <v>1</v>
      </c>
      <c r="AE13" s="263">
        <f t="shared" si="18"/>
        <v>0.0645097747684169</v>
      </c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  <c r="BS13" s="145"/>
      <c r="BT13" s="145"/>
      <c r="BU13" s="145"/>
      <c r="BV13" s="145"/>
      <c r="BW13" s="145"/>
      <c r="BX13" s="145"/>
      <c r="BY13" s="145"/>
    </row>
    <row r="14" spans="1:77">
      <c r="A14" s="251" t="s">
        <v>21</v>
      </c>
      <c r="B14" s="252" t="s">
        <v>447</v>
      </c>
      <c r="C14" s="266">
        <v>18.99</v>
      </c>
      <c r="D14" s="254">
        <v>7.1</v>
      </c>
      <c r="E14" s="254">
        <f>15.5/1.13</f>
        <v>13.716814159292</v>
      </c>
      <c r="F14" s="255">
        <f t="shared" si="0"/>
        <v>1.93194565623832</v>
      </c>
      <c r="G14" s="256">
        <v>6</v>
      </c>
      <c r="H14" s="255">
        <f t="shared" si="1"/>
        <v>0.845070422535211</v>
      </c>
      <c r="I14" s="255">
        <f t="shared" si="2"/>
        <v>2.77701607877353</v>
      </c>
      <c r="J14" s="254">
        <v>0.15</v>
      </c>
      <c r="K14" s="255">
        <f t="shared" si="3"/>
        <v>2.8485</v>
      </c>
      <c r="L14" s="260">
        <v>5.37</v>
      </c>
      <c r="M14" s="255">
        <f t="shared" si="4"/>
        <v>7.99448392122647</v>
      </c>
      <c r="N14" s="257">
        <f t="shared" si="5"/>
        <v>0.420983882107766</v>
      </c>
      <c r="O14" s="267">
        <f t="shared" si="6"/>
        <v>0.1899</v>
      </c>
      <c r="P14" s="258">
        <v>0.07</v>
      </c>
      <c r="Q14" s="255">
        <f t="shared" si="7"/>
        <v>0.1899</v>
      </c>
      <c r="R14" s="259">
        <f t="shared" si="8"/>
        <v>1.5192</v>
      </c>
      <c r="S14" s="255">
        <f t="shared" si="9"/>
        <v>6.28538392122647</v>
      </c>
      <c r="T14" s="257">
        <f t="shared" si="10"/>
        <v>0.330983882107766</v>
      </c>
      <c r="U14" s="260" t="s">
        <v>444</v>
      </c>
      <c r="V14" s="261">
        <f t="shared" si="11"/>
        <v>0.101734895009917</v>
      </c>
      <c r="W14" s="261">
        <f t="shared" si="12"/>
        <v>0.0445008121398216</v>
      </c>
      <c r="X14" s="261">
        <f t="shared" si="13"/>
        <v>0.282780410742496</v>
      </c>
      <c r="Y14" s="262">
        <f t="shared" si="14"/>
        <v>0.263296471827278</v>
      </c>
      <c r="Z14" s="263">
        <v>0.15</v>
      </c>
      <c r="AA14" s="263">
        <f t="shared" si="15"/>
        <v>0.08</v>
      </c>
      <c r="AB14" s="145">
        <f t="shared" si="16"/>
        <v>0.3798</v>
      </c>
      <c r="AC14" s="263">
        <f t="shared" si="17"/>
        <v>0.07</v>
      </c>
      <c r="AD14" s="119">
        <v>1</v>
      </c>
      <c r="AE14" s="263">
        <f t="shared" si="18"/>
        <v>0.330983882107766</v>
      </c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</row>
    <row r="15" spans="1:77">
      <c r="A15" s="251" t="s">
        <v>21</v>
      </c>
      <c r="B15" s="252" t="s">
        <v>448</v>
      </c>
      <c r="C15" s="266">
        <f>C14*0.8</f>
        <v>15.192</v>
      </c>
      <c r="D15" s="254">
        <v>7.1</v>
      </c>
      <c r="E15" s="254">
        <f>15.5/1.13</f>
        <v>13.716814159292</v>
      </c>
      <c r="F15" s="255">
        <f t="shared" si="0"/>
        <v>1.93194565623832</v>
      </c>
      <c r="G15" s="256">
        <v>6</v>
      </c>
      <c r="H15" s="255">
        <f t="shared" si="1"/>
        <v>0.845070422535211</v>
      </c>
      <c r="I15" s="255">
        <f t="shared" si="2"/>
        <v>2.77701607877353</v>
      </c>
      <c r="J15" s="254">
        <v>0.15</v>
      </c>
      <c r="K15" s="255">
        <f t="shared" si="3"/>
        <v>2.2788</v>
      </c>
      <c r="L15" s="265">
        <v>5.37</v>
      </c>
      <c r="M15" s="255">
        <f t="shared" si="4"/>
        <v>4.76618392122647</v>
      </c>
      <c r="N15" s="257">
        <f t="shared" si="5"/>
        <v>0.313729852634707</v>
      </c>
      <c r="O15" s="267">
        <f t="shared" si="6"/>
        <v>0.15192</v>
      </c>
      <c r="P15" s="258">
        <v>0.07</v>
      </c>
      <c r="Q15" s="255">
        <f t="shared" si="7"/>
        <v>0.15192</v>
      </c>
      <c r="R15" s="259">
        <f t="shared" si="8"/>
        <v>1.21536</v>
      </c>
      <c r="S15" s="255">
        <f t="shared" si="9"/>
        <v>3.39890392122647</v>
      </c>
      <c r="T15" s="257">
        <f t="shared" si="10"/>
        <v>0.223729852634707</v>
      </c>
      <c r="U15" s="265" t="s">
        <v>444</v>
      </c>
      <c r="V15" s="261">
        <f t="shared" si="11"/>
        <v>0.127168618762396</v>
      </c>
      <c r="W15" s="261">
        <f t="shared" si="12"/>
        <v>0.0556260151747769</v>
      </c>
      <c r="X15" s="261">
        <f t="shared" si="13"/>
        <v>0.35347551342812</v>
      </c>
      <c r="Y15" s="262">
        <f t="shared" si="14"/>
        <v>0.329120589784097</v>
      </c>
      <c r="Z15" s="263">
        <v>0.15</v>
      </c>
      <c r="AA15" s="263">
        <f t="shared" si="15"/>
        <v>0.08</v>
      </c>
      <c r="AB15" s="145">
        <f t="shared" si="16"/>
        <v>0.30384</v>
      </c>
      <c r="AC15" s="263">
        <f t="shared" si="17"/>
        <v>0.07</v>
      </c>
      <c r="AD15" s="119">
        <v>1</v>
      </c>
      <c r="AE15" s="263">
        <f t="shared" si="18"/>
        <v>0.223729852634707</v>
      </c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</row>
    <row r="16" spans="1:77">
      <c r="A16" s="251" t="s">
        <v>21</v>
      </c>
      <c r="B16" s="252" t="s">
        <v>449</v>
      </c>
      <c r="C16" s="266">
        <f>C14*0.7</f>
        <v>13.293</v>
      </c>
      <c r="D16" s="254">
        <v>7.1</v>
      </c>
      <c r="E16" s="254">
        <f>15.5/1.13</f>
        <v>13.716814159292</v>
      </c>
      <c r="F16" s="255">
        <f t="shared" si="0"/>
        <v>1.93194565623832</v>
      </c>
      <c r="G16" s="256">
        <v>6</v>
      </c>
      <c r="H16" s="255">
        <f t="shared" si="1"/>
        <v>0.845070422535211</v>
      </c>
      <c r="I16" s="255">
        <f t="shared" si="2"/>
        <v>2.77701607877353</v>
      </c>
      <c r="J16" s="254">
        <v>0.15</v>
      </c>
      <c r="K16" s="255">
        <f t="shared" si="3"/>
        <v>1.99395</v>
      </c>
      <c r="L16" s="265">
        <v>5.37</v>
      </c>
      <c r="M16" s="255">
        <f t="shared" si="4"/>
        <v>3.15203392122647</v>
      </c>
      <c r="N16" s="257">
        <f t="shared" si="5"/>
        <v>0.237119831582523</v>
      </c>
      <c r="O16" s="267">
        <f t="shared" si="6"/>
        <v>0.13293</v>
      </c>
      <c r="P16" s="258">
        <v>0.07</v>
      </c>
      <c r="Q16" s="255">
        <f t="shared" si="7"/>
        <v>0.13293</v>
      </c>
      <c r="R16" s="259">
        <f t="shared" si="8"/>
        <v>1.06344</v>
      </c>
      <c r="S16" s="255">
        <f t="shared" si="9"/>
        <v>1.95566392122647</v>
      </c>
      <c r="T16" s="257">
        <f t="shared" si="10"/>
        <v>0.147119831582523</v>
      </c>
      <c r="U16" s="265" t="s">
        <v>444</v>
      </c>
      <c r="V16" s="261">
        <f t="shared" si="11"/>
        <v>0.145335564299881</v>
      </c>
      <c r="W16" s="261">
        <f t="shared" si="12"/>
        <v>0.0635725887711737</v>
      </c>
      <c r="X16" s="261">
        <f t="shared" si="13"/>
        <v>0.403972015346423</v>
      </c>
      <c r="Y16" s="262">
        <f t="shared" si="14"/>
        <v>0.376137816896111</v>
      </c>
      <c r="Z16" s="263">
        <v>0.15</v>
      </c>
      <c r="AA16" s="263">
        <f t="shared" si="15"/>
        <v>0.08</v>
      </c>
      <c r="AB16" s="145">
        <f t="shared" si="16"/>
        <v>0.26586</v>
      </c>
      <c r="AC16" s="263">
        <f t="shared" si="17"/>
        <v>0.07</v>
      </c>
      <c r="AD16" s="119">
        <v>1</v>
      </c>
      <c r="AE16" s="263">
        <f t="shared" si="18"/>
        <v>0.147119831582523</v>
      </c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  <c r="BS16" s="145"/>
      <c r="BT16" s="145"/>
      <c r="BU16" s="145"/>
      <c r="BV16" s="145"/>
      <c r="BW16" s="145"/>
      <c r="BX16" s="145"/>
      <c r="BY16" s="145"/>
    </row>
    <row r="17" spans="1:77">
      <c r="A17" s="251" t="s">
        <v>21</v>
      </c>
      <c r="B17" s="260" t="s">
        <v>450</v>
      </c>
      <c r="C17" s="260">
        <v>49.99</v>
      </c>
      <c r="D17" s="254">
        <v>7.1</v>
      </c>
      <c r="E17" s="254">
        <f>94.4/1.13</f>
        <v>83.5398230088496</v>
      </c>
      <c r="F17" s="255">
        <f t="shared" si="0"/>
        <v>11.7661722547675</v>
      </c>
      <c r="G17" s="256">
        <v>15</v>
      </c>
      <c r="H17" s="255">
        <f t="shared" si="1"/>
        <v>2.11267605633803</v>
      </c>
      <c r="I17" s="255">
        <f t="shared" si="2"/>
        <v>13.8788483111056</v>
      </c>
      <c r="J17" s="254">
        <v>0.15</v>
      </c>
      <c r="K17" s="255">
        <f t="shared" si="3"/>
        <v>7.4985</v>
      </c>
      <c r="L17" s="260">
        <v>7.6</v>
      </c>
      <c r="M17" s="255">
        <f t="shared" si="4"/>
        <v>21.0126516888944</v>
      </c>
      <c r="N17" s="257">
        <f t="shared" si="5"/>
        <v>0.420337101198128</v>
      </c>
      <c r="O17" s="267">
        <f t="shared" si="6"/>
        <v>0.4999</v>
      </c>
      <c r="P17" s="258">
        <v>0.07</v>
      </c>
      <c r="Q17" s="255">
        <f t="shared" si="7"/>
        <v>0.4999</v>
      </c>
      <c r="R17" s="259">
        <v>5</v>
      </c>
      <c r="S17" s="255">
        <f>C17-I17-K17-L17-Q17-R17-C17*P17</f>
        <v>12.0134516888944</v>
      </c>
      <c r="T17" s="257">
        <f t="shared" si="10"/>
        <v>0.240317097197328</v>
      </c>
      <c r="U17" s="265" t="s">
        <v>444</v>
      </c>
      <c r="V17" s="261">
        <f t="shared" si="11"/>
        <v>0.235370519199191</v>
      </c>
      <c r="W17" s="261">
        <f t="shared" si="12"/>
        <v>0.0422619735214649</v>
      </c>
      <c r="X17" s="261">
        <f t="shared" si="13"/>
        <v>0.152030406081216</v>
      </c>
      <c r="Y17" s="262">
        <f t="shared" si="14"/>
        <v>0.1000200040008</v>
      </c>
      <c r="Z17" s="263">
        <v>0.15</v>
      </c>
      <c r="AA17" s="263">
        <f t="shared" si="15"/>
        <v>0.1000200040008</v>
      </c>
      <c r="AB17" s="145">
        <f t="shared" si="16"/>
        <v>0.9998</v>
      </c>
      <c r="AC17" s="263">
        <f t="shared" si="17"/>
        <v>0.07</v>
      </c>
      <c r="AD17" s="119">
        <v>1</v>
      </c>
      <c r="AE17" s="263">
        <f t="shared" si="18"/>
        <v>0.240317097197328</v>
      </c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</row>
    <row r="18" spans="1:77">
      <c r="A18" s="251" t="s">
        <v>21</v>
      </c>
      <c r="B18" s="265" t="s">
        <v>450</v>
      </c>
      <c r="C18" s="253">
        <v>44.99</v>
      </c>
      <c r="D18" s="254">
        <v>7.1</v>
      </c>
      <c r="E18" s="254">
        <f>94.4/1.13</f>
        <v>83.5398230088496</v>
      </c>
      <c r="F18" s="255">
        <f t="shared" si="0"/>
        <v>11.7661722547675</v>
      </c>
      <c r="G18" s="256">
        <v>18</v>
      </c>
      <c r="H18" s="255">
        <f t="shared" si="1"/>
        <v>2.53521126760563</v>
      </c>
      <c r="I18" s="255">
        <f t="shared" si="2"/>
        <v>14.3013835223732</v>
      </c>
      <c r="J18" s="254">
        <v>0.15</v>
      </c>
      <c r="K18" s="255">
        <f t="shared" si="3"/>
        <v>6.7485</v>
      </c>
      <c r="L18" s="265">
        <v>7.6</v>
      </c>
      <c r="M18" s="255">
        <f t="shared" si="4"/>
        <v>16.3401164776268</v>
      </c>
      <c r="N18" s="257">
        <f t="shared" si="5"/>
        <v>0.363194409371567</v>
      </c>
      <c r="O18" s="255">
        <f t="shared" si="6"/>
        <v>0.4499</v>
      </c>
      <c r="P18" s="258">
        <v>0.07</v>
      </c>
      <c r="Q18" s="255">
        <f t="shared" si="7"/>
        <v>0.4499</v>
      </c>
      <c r="R18" s="259">
        <v>5</v>
      </c>
      <c r="S18" s="255">
        <f>C18-I18-K18-L18-Q18-R18</f>
        <v>10.8902164776268</v>
      </c>
      <c r="T18" s="257">
        <f t="shared" si="10"/>
        <v>0.242058601414244</v>
      </c>
      <c r="U18" s="265" t="s">
        <v>444</v>
      </c>
      <c r="V18" s="261">
        <f t="shared" si="11"/>
        <v>0.261528612019728</v>
      </c>
      <c r="W18" s="261">
        <f t="shared" si="12"/>
        <v>0.0563505505135727</v>
      </c>
      <c r="X18" s="261">
        <f t="shared" si="13"/>
        <v>0.168926428095132</v>
      </c>
      <c r="Y18" s="262">
        <f t="shared" si="14"/>
        <v>0.111135807957324</v>
      </c>
      <c r="Z18" s="263">
        <v>0.15</v>
      </c>
      <c r="AA18" s="263">
        <f t="shared" si="15"/>
        <v>0.111135807957324</v>
      </c>
      <c r="AB18" s="264">
        <f t="shared" si="16"/>
        <v>0.8998</v>
      </c>
      <c r="AC18" s="263">
        <f t="shared" si="17"/>
        <v>0.07</v>
      </c>
      <c r="AD18" s="119">
        <v>1</v>
      </c>
      <c r="AE18" s="263">
        <f t="shared" si="18"/>
        <v>0.242058601414244</v>
      </c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</row>
    <row r="19" spans="1:77">
      <c r="A19" s="251" t="s">
        <v>21</v>
      </c>
      <c r="B19" s="265" t="s">
        <v>450</v>
      </c>
      <c r="C19" s="253">
        <v>39.99</v>
      </c>
      <c r="D19" s="254">
        <v>7.1</v>
      </c>
      <c r="E19" s="254">
        <f>94.4/1.13</f>
        <v>83.5398230088496</v>
      </c>
      <c r="F19" s="255">
        <f t="shared" si="0"/>
        <v>11.7661722547675</v>
      </c>
      <c r="G19" s="256">
        <v>18</v>
      </c>
      <c r="H19" s="255">
        <f t="shared" si="1"/>
        <v>2.53521126760563</v>
      </c>
      <c r="I19" s="255">
        <f t="shared" si="2"/>
        <v>14.3013835223732</v>
      </c>
      <c r="J19" s="254">
        <v>0.15</v>
      </c>
      <c r="K19" s="255">
        <f t="shared" si="3"/>
        <v>5.9985</v>
      </c>
      <c r="L19" s="265">
        <v>7.6</v>
      </c>
      <c r="M19" s="255">
        <f t="shared" si="4"/>
        <v>12.0901164776268</v>
      </c>
      <c r="N19" s="257">
        <f t="shared" si="5"/>
        <v>0.302328494064187</v>
      </c>
      <c r="O19" s="255">
        <f t="shared" si="6"/>
        <v>0.3999</v>
      </c>
      <c r="P19" s="258">
        <v>0.07</v>
      </c>
      <c r="Q19" s="255">
        <f t="shared" si="7"/>
        <v>0.3999</v>
      </c>
      <c r="R19" s="259">
        <v>5</v>
      </c>
      <c r="S19" s="255">
        <f>C19-I19-K19-L19-Q19-R19</f>
        <v>6.69021647762682</v>
      </c>
      <c r="T19" s="257">
        <f t="shared" si="10"/>
        <v>0.167297236249733</v>
      </c>
      <c r="U19" s="265" t="s">
        <v>444</v>
      </c>
      <c r="V19" s="261">
        <f t="shared" si="11"/>
        <v>0.294227863335022</v>
      </c>
      <c r="W19" s="261">
        <f t="shared" si="12"/>
        <v>0.0633961307228215</v>
      </c>
      <c r="X19" s="261">
        <f t="shared" si="13"/>
        <v>0.190047511877969</v>
      </c>
      <c r="Y19" s="262">
        <f t="shared" si="14"/>
        <v>0.125031257814454</v>
      </c>
      <c r="Z19" s="263">
        <v>0.15</v>
      </c>
      <c r="AA19" s="263">
        <f t="shared" si="15"/>
        <v>0.125031257814454</v>
      </c>
      <c r="AB19" s="264">
        <f t="shared" si="16"/>
        <v>0.7998</v>
      </c>
      <c r="AC19" s="263">
        <f t="shared" si="17"/>
        <v>0.07</v>
      </c>
      <c r="AD19" s="119">
        <v>1</v>
      </c>
      <c r="AE19" s="263">
        <f t="shared" si="18"/>
        <v>0.167297236249733</v>
      </c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</row>
    <row r="20" ht="13.8" spans="1:77">
      <c r="A20" s="250"/>
      <c r="B20" s="250"/>
      <c r="C20" s="269"/>
      <c r="D20" s="270"/>
      <c r="E20" s="15"/>
      <c r="F20" s="250"/>
      <c r="G20" s="270"/>
      <c r="H20" s="250"/>
      <c r="I20" s="250"/>
      <c r="J20" s="27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71"/>
      <c r="X20" s="271"/>
      <c r="Y20" s="250"/>
      <c r="Z20" s="250"/>
      <c r="AA20" s="272"/>
      <c r="AB20" s="250"/>
      <c r="AC20" s="250"/>
      <c r="AD20" s="250"/>
      <c r="AE20" s="272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0"/>
      <c r="AU20" s="250"/>
      <c r="AV20" s="250"/>
      <c r="AW20" s="250"/>
      <c r="AX20" s="250"/>
      <c r="AY20" s="250"/>
      <c r="AZ20" s="250"/>
      <c r="BA20" s="250"/>
      <c r="BB20" s="250"/>
      <c r="BC20" s="250"/>
      <c r="BD20" s="250"/>
      <c r="BE20" s="250"/>
      <c r="BF20" s="250"/>
      <c r="BG20" s="250"/>
      <c r="BH20" s="250"/>
      <c r="BI20" s="250"/>
      <c r="BJ20" s="250"/>
      <c r="BK20" s="250"/>
      <c r="BL20" s="250"/>
      <c r="BM20" s="250"/>
      <c r="BN20" s="250"/>
      <c r="BO20" s="250"/>
      <c r="BP20" s="250"/>
      <c r="BQ20" s="250"/>
      <c r="BR20" s="250"/>
      <c r="BS20" s="250"/>
      <c r="BT20" s="250"/>
      <c r="BU20" s="250"/>
      <c r="BV20" s="250"/>
      <c r="BW20" s="250"/>
      <c r="BX20" s="250"/>
      <c r="BY20" s="250"/>
    </row>
    <row r="21" ht="13.8" spans="1:77">
      <c r="A21" s="250"/>
      <c r="B21" s="250"/>
      <c r="C21" s="250"/>
      <c r="D21" s="270"/>
      <c r="E21" s="270"/>
      <c r="F21" s="250"/>
      <c r="G21" s="270"/>
      <c r="H21" s="250"/>
      <c r="I21" s="250"/>
      <c r="J21" s="27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71"/>
      <c r="X21" s="271"/>
      <c r="Y21" s="250"/>
      <c r="Z21" s="250"/>
      <c r="AA21" s="272"/>
      <c r="AB21" s="250"/>
      <c r="AC21" s="250"/>
      <c r="AD21" s="250"/>
      <c r="AE21" s="272"/>
      <c r="AF21" s="250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50"/>
      <c r="AR21" s="250"/>
      <c r="AS21" s="250"/>
      <c r="AT21" s="250"/>
      <c r="AU21" s="250"/>
      <c r="AV21" s="250"/>
      <c r="AW21" s="250"/>
      <c r="AX21" s="250"/>
      <c r="AY21" s="250"/>
      <c r="AZ21" s="250"/>
      <c r="BA21" s="250"/>
      <c r="BB21" s="250"/>
      <c r="BC21" s="250"/>
      <c r="BD21" s="250"/>
      <c r="BE21" s="250"/>
      <c r="BF21" s="250"/>
      <c r="BG21" s="250"/>
      <c r="BH21" s="250"/>
      <c r="BI21" s="250"/>
      <c r="BJ21" s="250"/>
      <c r="BK21" s="250"/>
      <c r="BL21" s="250"/>
      <c r="BM21" s="250"/>
      <c r="BN21" s="250"/>
      <c r="BO21" s="250"/>
      <c r="BP21" s="250"/>
      <c r="BQ21" s="250"/>
      <c r="BR21" s="250"/>
      <c r="BS21" s="250"/>
      <c r="BT21" s="250"/>
      <c r="BU21" s="250"/>
      <c r="BV21" s="250"/>
      <c r="BW21" s="250"/>
      <c r="BX21" s="250"/>
      <c r="BY21" s="250"/>
    </row>
    <row r="22" ht="13.8" spans="1:77">
      <c r="A22" s="250"/>
      <c r="B22" s="250"/>
      <c r="C22" s="250"/>
      <c r="D22" s="270"/>
      <c r="E22" s="270"/>
      <c r="F22" s="250"/>
      <c r="G22" s="270"/>
      <c r="H22" s="250"/>
      <c r="I22" s="250"/>
      <c r="J22" s="27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71"/>
      <c r="X22" s="271"/>
      <c r="Y22" s="250"/>
      <c r="Z22" s="250"/>
      <c r="AA22" s="272"/>
      <c r="AB22" s="250"/>
      <c r="AC22" s="250"/>
      <c r="AD22" s="250"/>
      <c r="AE22" s="272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250"/>
      <c r="AZ22" s="250"/>
      <c r="BA22" s="250"/>
      <c r="BB22" s="250"/>
      <c r="BC22" s="250"/>
      <c r="BD22" s="250"/>
      <c r="BE22" s="250"/>
      <c r="BF22" s="250"/>
      <c r="BG22" s="250"/>
      <c r="BH22" s="250"/>
      <c r="BI22" s="250"/>
      <c r="BJ22" s="250"/>
      <c r="BK22" s="250"/>
      <c r="BL22" s="250"/>
      <c r="BM22" s="250"/>
      <c r="BN22" s="250"/>
      <c r="BO22" s="250"/>
      <c r="BP22" s="250"/>
      <c r="BQ22" s="250"/>
      <c r="BR22" s="250"/>
      <c r="BS22" s="250"/>
      <c r="BT22" s="250"/>
      <c r="BU22" s="250"/>
      <c r="BV22" s="250"/>
      <c r="BW22" s="250"/>
      <c r="BX22" s="250"/>
      <c r="BY22" s="250"/>
    </row>
    <row r="23" ht="13.8" spans="1:77">
      <c r="A23" s="250"/>
      <c r="B23" s="250"/>
      <c r="C23" s="250"/>
      <c r="D23" s="270"/>
      <c r="E23" s="270"/>
      <c r="F23" s="250"/>
      <c r="G23" s="270"/>
      <c r="H23" s="250"/>
      <c r="I23" s="250"/>
      <c r="J23" s="27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71"/>
      <c r="X23" s="271"/>
      <c r="Y23" s="250"/>
      <c r="Z23" s="250"/>
      <c r="AA23" s="272"/>
      <c r="AB23" s="250"/>
      <c r="AC23" s="250"/>
      <c r="AD23" s="250"/>
      <c r="AE23" s="272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0"/>
      <c r="AW23" s="250"/>
      <c r="AX23" s="250"/>
      <c r="AY23" s="250"/>
      <c r="AZ23" s="250"/>
      <c r="BA23" s="250"/>
      <c r="BB23" s="250"/>
      <c r="BC23" s="250"/>
      <c r="BD23" s="250"/>
      <c r="BE23" s="250"/>
      <c r="BF23" s="250"/>
      <c r="BG23" s="250"/>
      <c r="BH23" s="250"/>
      <c r="BI23" s="250"/>
      <c r="BJ23" s="250"/>
      <c r="BK23" s="250"/>
      <c r="BL23" s="250"/>
      <c r="BM23" s="250"/>
      <c r="BN23" s="250"/>
      <c r="BO23" s="250"/>
      <c r="BP23" s="250"/>
      <c r="BQ23" s="250"/>
      <c r="BR23" s="250"/>
      <c r="BS23" s="250"/>
      <c r="BT23" s="250"/>
      <c r="BU23" s="250"/>
      <c r="BV23" s="250"/>
      <c r="BW23" s="250"/>
      <c r="BX23" s="250"/>
      <c r="BY23" s="250"/>
    </row>
    <row r="24" ht="13.8" spans="1:77">
      <c r="A24" s="250"/>
      <c r="B24" s="250"/>
      <c r="C24" s="250"/>
      <c r="D24" s="270"/>
      <c r="E24" s="270"/>
      <c r="F24" s="250"/>
      <c r="G24" s="269"/>
      <c r="H24" s="250"/>
      <c r="I24" s="250"/>
      <c r="J24" s="270"/>
      <c r="K24" s="250"/>
      <c r="L24" s="250"/>
      <c r="M24" s="250"/>
      <c r="N24" s="250"/>
      <c r="O24" s="250"/>
      <c r="P24" s="273"/>
      <c r="Q24" s="250"/>
      <c r="R24" s="250"/>
      <c r="S24" s="250"/>
      <c r="T24" s="250"/>
      <c r="U24" s="250"/>
      <c r="V24" s="250"/>
      <c r="W24" s="271"/>
      <c r="X24" s="271"/>
      <c r="Y24" s="250"/>
      <c r="Z24" s="250"/>
      <c r="AA24" s="272"/>
      <c r="AB24" s="250"/>
      <c r="AC24" s="250"/>
      <c r="AD24" s="250"/>
      <c r="AE24" s="272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  <c r="BB24" s="250"/>
      <c r="BC24" s="250"/>
      <c r="BD24" s="250"/>
      <c r="BE24" s="250"/>
      <c r="BF24" s="250"/>
      <c r="BG24" s="250"/>
      <c r="BH24" s="250"/>
      <c r="BI24" s="250"/>
      <c r="BJ24" s="250"/>
      <c r="BK24" s="250"/>
      <c r="BL24" s="250"/>
      <c r="BM24" s="250"/>
      <c r="BN24" s="250"/>
      <c r="BO24" s="250"/>
      <c r="BP24" s="250"/>
      <c r="BQ24" s="250"/>
      <c r="BR24" s="250"/>
      <c r="BS24" s="250"/>
      <c r="BT24" s="250"/>
      <c r="BU24" s="250"/>
      <c r="BV24" s="250"/>
      <c r="BW24" s="250"/>
      <c r="BX24" s="250"/>
      <c r="BY24" s="250"/>
    </row>
    <row r="25" ht="13.8" spans="1:77">
      <c r="A25" s="250"/>
      <c r="B25" s="250"/>
      <c r="C25" s="250"/>
      <c r="D25" s="270"/>
      <c r="E25" s="270"/>
      <c r="F25" s="250"/>
      <c r="G25" s="270"/>
      <c r="H25" s="250"/>
      <c r="I25" s="250"/>
      <c r="J25" s="270"/>
      <c r="K25" s="250"/>
      <c r="L25" s="250"/>
      <c r="M25" s="250"/>
      <c r="N25" s="250"/>
      <c r="O25" s="250"/>
      <c r="P25" s="273"/>
      <c r="Q25" s="250"/>
      <c r="R25" s="250"/>
      <c r="S25" s="250"/>
      <c r="T25" s="250"/>
      <c r="U25" s="250"/>
      <c r="V25" s="250"/>
      <c r="W25" s="271"/>
      <c r="X25" s="271"/>
      <c r="Y25" s="250"/>
      <c r="Z25" s="250"/>
      <c r="AA25" s="272"/>
      <c r="AB25" s="250"/>
      <c r="AC25" s="250"/>
      <c r="AD25" s="250"/>
      <c r="AE25" s="272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  <c r="AZ25" s="250"/>
      <c r="BA25" s="250"/>
      <c r="BB25" s="250"/>
      <c r="BC25" s="250"/>
      <c r="BD25" s="250"/>
      <c r="BE25" s="250"/>
      <c r="BF25" s="250"/>
      <c r="BG25" s="250"/>
      <c r="BH25" s="250"/>
      <c r="BI25" s="250"/>
      <c r="BJ25" s="250"/>
      <c r="BK25" s="250"/>
      <c r="BL25" s="250"/>
      <c r="BM25" s="250"/>
      <c r="BN25" s="250"/>
      <c r="BO25" s="250"/>
      <c r="BP25" s="250"/>
      <c r="BQ25" s="250"/>
      <c r="BR25" s="250"/>
      <c r="BS25" s="250"/>
      <c r="BT25" s="250"/>
      <c r="BU25" s="250"/>
      <c r="BV25" s="250"/>
      <c r="BW25" s="250"/>
      <c r="BX25" s="250"/>
      <c r="BY25" s="250"/>
    </row>
    <row r="26" ht="13.8" spans="1:77">
      <c r="A26" s="250"/>
      <c r="B26" s="250"/>
      <c r="C26" s="250"/>
      <c r="D26" s="270"/>
      <c r="E26" s="270"/>
      <c r="F26" s="250"/>
      <c r="G26" s="15"/>
      <c r="H26" s="250"/>
      <c r="I26" s="250"/>
      <c r="J26" s="270"/>
      <c r="K26" s="250"/>
      <c r="L26" s="250"/>
      <c r="M26" s="250"/>
      <c r="N26" s="250"/>
      <c r="O26" s="250"/>
      <c r="P26" s="273"/>
      <c r="Q26" s="250"/>
      <c r="R26" s="250"/>
      <c r="S26" s="250"/>
      <c r="T26" s="250"/>
      <c r="U26" s="250"/>
      <c r="V26" s="250"/>
      <c r="W26" s="271"/>
      <c r="X26" s="271"/>
      <c r="Y26" s="250"/>
      <c r="Z26" s="250"/>
      <c r="AA26" s="272"/>
      <c r="AB26" s="250"/>
      <c r="AC26" s="250"/>
      <c r="AD26" s="250"/>
      <c r="AE26" s="272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0"/>
      <c r="BA26" s="250"/>
      <c r="BB26" s="250"/>
      <c r="BC26" s="250"/>
      <c r="BD26" s="250"/>
      <c r="BE26" s="250"/>
      <c r="BF26" s="250"/>
      <c r="BG26" s="250"/>
      <c r="BH26" s="250"/>
      <c r="BI26" s="250"/>
      <c r="BJ26" s="250"/>
      <c r="BK26" s="250"/>
      <c r="BL26" s="250"/>
      <c r="BM26" s="250"/>
      <c r="BN26" s="250"/>
      <c r="BO26" s="250"/>
      <c r="BP26" s="250"/>
      <c r="BQ26" s="250"/>
      <c r="BR26" s="250"/>
      <c r="BS26" s="250"/>
      <c r="BT26" s="250"/>
      <c r="BU26" s="250"/>
      <c r="BV26" s="250"/>
      <c r="BW26" s="250"/>
      <c r="BX26" s="250"/>
      <c r="BY26" s="250"/>
    </row>
    <row r="27" ht="13.8" spans="1:77">
      <c r="A27" s="250"/>
      <c r="B27" s="250"/>
      <c r="C27" s="250"/>
      <c r="D27" s="270"/>
      <c r="E27" s="270"/>
      <c r="F27" s="250"/>
      <c r="G27" s="270"/>
      <c r="H27" s="250"/>
      <c r="I27" s="250"/>
      <c r="J27" s="27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71"/>
      <c r="X27" s="271"/>
      <c r="Y27" s="250"/>
      <c r="Z27" s="250"/>
      <c r="AA27" s="272"/>
      <c r="AB27" s="250"/>
      <c r="AC27" s="250"/>
      <c r="AD27" s="250"/>
      <c r="AE27" s="272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  <c r="BB27" s="250"/>
      <c r="BC27" s="250"/>
      <c r="BD27" s="250"/>
      <c r="BE27" s="250"/>
      <c r="BF27" s="250"/>
      <c r="BG27" s="250"/>
      <c r="BH27" s="250"/>
      <c r="BI27" s="250"/>
      <c r="BJ27" s="250"/>
      <c r="BK27" s="250"/>
      <c r="BL27" s="250"/>
      <c r="BM27" s="250"/>
      <c r="BN27" s="250"/>
      <c r="BO27" s="250"/>
      <c r="BP27" s="250"/>
      <c r="BQ27" s="250"/>
      <c r="BR27" s="250"/>
      <c r="BS27" s="250"/>
      <c r="BT27" s="250"/>
      <c r="BU27" s="250"/>
      <c r="BV27" s="250"/>
      <c r="BW27" s="250"/>
      <c r="BX27" s="250"/>
      <c r="BY27" s="250"/>
    </row>
    <row r="28" ht="13.8" spans="1:77">
      <c r="A28" s="250"/>
      <c r="B28" s="250"/>
      <c r="C28" s="250"/>
      <c r="D28" s="270"/>
      <c r="E28" s="270"/>
      <c r="F28" s="250"/>
      <c r="G28" s="270"/>
      <c r="H28" s="250"/>
      <c r="I28" s="250"/>
      <c r="J28" s="270"/>
      <c r="K28" s="250"/>
      <c r="L28" s="250"/>
      <c r="M28" s="250"/>
      <c r="N28" s="250"/>
      <c r="O28" s="250"/>
      <c r="P28" s="273"/>
      <c r="Q28" s="250"/>
      <c r="R28" s="250"/>
      <c r="S28" s="250"/>
      <c r="T28" s="250"/>
      <c r="U28" s="250"/>
      <c r="V28" s="250"/>
      <c r="W28" s="271"/>
      <c r="X28" s="271"/>
      <c r="Y28" s="250"/>
      <c r="Z28" s="250"/>
      <c r="AA28" s="272"/>
      <c r="AB28" s="250"/>
      <c r="AC28" s="250"/>
      <c r="AD28" s="250"/>
      <c r="AE28" s="272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  <c r="BB28" s="250"/>
      <c r="BC28" s="250"/>
      <c r="BD28" s="250"/>
      <c r="BE28" s="250"/>
      <c r="BF28" s="250"/>
      <c r="BG28" s="250"/>
      <c r="BH28" s="250"/>
      <c r="BI28" s="250"/>
      <c r="BJ28" s="250"/>
      <c r="BK28" s="250"/>
      <c r="BL28" s="250"/>
      <c r="BM28" s="250"/>
      <c r="BN28" s="250"/>
      <c r="BO28" s="250"/>
      <c r="BP28" s="250"/>
      <c r="BQ28" s="250"/>
      <c r="BR28" s="250"/>
      <c r="BS28" s="250"/>
      <c r="BT28" s="250"/>
      <c r="BU28" s="250"/>
      <c r="BV28" s="250"/>
      <c r="BW28" s="250"/>
      <c r="BX28" s="250"/>
      <c r="BY28" s="250"/>
    </row>
    <row r="29" ht="13.8" spans="1:77">
      <c r="A29" s="250"/>
      <c r="B29" s="250"/>
      <c r="C29" s="250"/>
      <c r="D29" s="270"/>
      <c r="E29" s="270"/>
      <c r="F29" s="250"/>
      <c r="G29" s="270"/>
      <c r="H29" s="250"/>
      <c r="I29" s="250"/>
      <c r="J29" s="270"/>
      <c r="K29" s="250"/>
      <c r="L29" s="250"/>
      <c r="M29" s="250"/>
      <c r="N29" s="250"/>
      <c r="O29" s="250"/>
      <c r="P29" s="273"/>
      <c r="Q29" s="250"/>
      <c r="R29" s="250"/>
      <c r="S29" s="250"/>
      <c r="T29" s="250"/>
      <c r="U29" s="250"/>
      <c r="V29" s="250"/>
      <c r="W29" s="271"/>
      <c r="X29" s="271"/>
      <c r="Y29" s="250"/>
      <c r="Z29" s="250"/>
      <c r="AA29" s="272"/>
      <c r="AB29" s="250"/>
      <c r="AC29" s="250"/>
      <c r="AD29" s="250"/>
      <c r="AE29" s="272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0"/>
      <c r="BA29" s="250"/>
      <c r="BB29" s="250"/>
      <c r="BC29" s="250"/>
      <c r="BD29" s="250"/>
      <c r="BE29" s="250"/>
      <c r="BF29" s="250"/>
      <c r="BG29" s="250"/>
      <c r="BH29" s="250"/>
      <c r="BI29" s="250"/>
      <c r="BJ29" s="250"/>
      <c r="BK29" s="250"/>
      <c r="BL29" s="250"/>
      <c r="BM29" s="250"/>
      <c r="BN29" s="250"/>
      <c r="BO29" s="250"/>
      <c r="BP29" s="250"/>
      <c r="BQ29" s="250"/>
      <c r="BR29" s="250"/>
      <c r="BS29" s="250"/>
      <c r="BT29" s="250"/>
      <c r="BU29" s="250"/>
      <c r="BV29" s="250"/>
      <c r="BW29" s="250"/>
      <c r="BX29" s="250"/>
      <c r="BY29" s="250"/>
    </row>
    <row r="30" ht="13.8" spans="1:77">
      <c r="A30" s="250"/>
      <c r="B30" s="250"/>
      <c r="C30" s="250"/>
      <c r="D30" s="270"/>
      <c r="E30" s="270"/>
      <c r="F30" s="250"/>
      <c r="G30" s="270"/>
      <c r="H30" s="250"/>
      <c r="I30" s="250"/>
      <c r="J30" s="27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71"/>
      <c r="X30" s="271"/>
      <c r="Y30" s="250"/>
      <c r="Z30" s="250"/>
      <c r="AA30" s="272"/>
      <c r="AB30" s="250"/>
      <c r="AC30" s="250"/>
      <c r="AD30" s="250"/>
      <c r="AE30" s="272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  <c r="BA30" s="250"/>
      <c r="BB30" s="250"/>
      <c r="BC30" s="250"/>
      <c r="BD30" s="250"/>
      <c r="BE30" s="250"/>
      <c r="BF30" s="250"/>
      <c r="BG30" s="250"/>
      <c r="BH30" s="250"/>
      <c r="BI30" s="250"/>
      <c r="BJ30" s="250"/>
      <c r="BK30" s="250"/>
      <c r="BL30" s="250"/>
      <c r="BM30" s="250"/>
      <c r="BN30" s="250"/>
      <c r="BO30" s="250"/>
      <c r="BP30" s="250"/>
      <c r="BQ30" s="250"/>
      <c r="BR30" s="250"/>
      <c r="BS30" s="250"/>
      <c r="BT30" s="250"/>
      <c r="BU30" s="250"/>
      <c r="BV30" s="250"/>
      <c r="BW30" s="250"/>
      <c r="BX30" s="250"/>
      <c r="BY30" s="250"/>
    </row>
    <row r="31" ht="13.8" spans="1:77">
      <c r="A31" s="250"/>
      <c r="B31" s="250"/>
      <c r="C31" s="250"/>
      <c r="D31" s="270"/>
      <c r="E31" s="270"/>
      <c r="F31" s="250"/>
      <c r="G31" s="270"/>
      <c r="H31" s="250"/>
      <c r="I31" s="250"/>
      <c r="J31" s="27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71"/>
      <c r="X31" s="271"/>
      <c r="Y31" s="250"/>
      <c r="Z31" s="250"/>
      <c r="AA31" s="272"/>
      <c r="AB31" s="250"/>
      <c r="AC31" s="250"/>
      <c r="AD31" s="250"/>
      <c r="AE31" s="272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0"/>
      <c r="BA31" s="250"/>
      <c r="BB31" s="250"/>
      <c r="BC31" s="250"/>
      <c r="BD31" s="250"/>
      <c r="BE31" s="250"/>
      <c r="BF31" s="250"/>
      <c r="BG31" s="250"/>
      <c r="BH31" s="250"/>
      <c r="BI31" s="250"/>
      <c r="BJ31" s="250"/>
      <c r="BK31" s="250"/>
      <c r="BL31" s="250"/>
      <c r="BM31" s="250"/>
      <c r="BN31" s="250"/>
      <c r="BO31" s="250"/>
      <c r="BP31" s="250"/>
      <c r="BQ31" s="250"/>
      <c r="BR31" s="250"/>
      <c r="BS31" s="250"/>
      <c r="BT31" s="250"/>
      <c r="BU31" s="250"/>
      <c r="BV31" s="250"/>
      <c r="BW31" s="250"/>
      <c r="BX31" s="250"/>
      <c r="BY31" s="250"/>
    </row>
    <row r="32" ht="13.8" spans="1:77">
      <c r="A32" s="250"/>
      <c r="B32" s="250"/>
      <c r="C32" s="250"/>
      <c r="D32" s="270"/>
      <c r="E32" s="270"/>
      <c r="F32" s="250"/>
      <c r="G32" s="270"/>
      <c r="H32" s="250"/>
      <c r="I32" s="250"/>
      <c r="J32" s="27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71"/>
      <c r="X32" s="271"/>
      <c r="Y32" s="250"/>
      <c r="Z32" s="250"/>
      <c r="AA32" s="272"/>
      <c r="AB32" s="250"/>
      <c r="AC32" s="250"/>
      <c r="AD32" s="250"/>
      <c r="AE32" s="272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0"/>
      <c r="BD32" s="250"/>
      <c r="BE32" s="250"/>
      <c r="BF32" s="250"/>
      <c r="BG32" s="250"/>
      <c r="BH32" s="250"/>
      <c r="BI32" s="250"/>
      <c r="BJ32" s="250"/>
      <c r="BK32" s="250"/>
      <c r="BL32" s="250"/>
      <c r="BM32" s="250"/>
      <c r="BN32" s="250"/>
      <c r="BO32" s="250"/>
      <c r="BP32" s="250"/>
      <c r="BQ32" s="250"/>
      <c r="BR32" s="250"/>
      <c r="BS32" s="250"/>
      <c r="BT32" s="250"/>
      <c r="BU32" s="250"/>
      <c r="BV32" s="250"/>
      <c r="BW32" s="250"/>
      <c r="BX32" s="250"/>
      <c r="BY32" s="250"/>
    </row>
    <row r="33" ht="13.8" spans="1:77">
      <c r="A33" s="250"/>
      <c r="B33" s="250"/>
      <c r="C33" s="250"/>
      <c r="D33" s="270"/>
      <c r="E33" s="270"/>
      <c r="F33" s="250"/>
      <c r="G33" s="270"/>
      <c r="H33" s="250"/>
      <c r="I33" s="250"/>
      <c r="J33" s="27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71"/>
      <c r="X33" s="271"/>
      <c r="Y33" s="250"/>
      <c r="Z33" s="250"/>
      <c r="AA33" s="272"/>
      <c r="AB33" s="250"/>
      <c r="AC33" s="250"/>
      <c r="AD33" s="250"/>
      <c r="AE33" s="272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  <c r="AY33" s="250"/>
      <c r="AZ33" s="250"/>
      <c r="BA33" s="250"/>
      <c r="BB33" s="250"/>
      <c r="BC33" s="250"/>
      <c r="BD33" s="250"/>
      <c r="BE33" s="250"/>
      <c r="BF33" s="250"/>
      <c r="BG33" s="250"/>
      <c r="BH33" s="250"/>
      <c r="BI33" s="250"/>
      <c r="BJ33" s="250"/>
      <c r="BK33" s="250"/>
      <c r="BL33" s="250"/>
      <c r="BM33" s="250"/>
      <c r="BN33" s="250"/>
      <c r="BO33" s="250"/>
      <c r="BP33" s="250"/>
      <c r="BQ33" s="250"/>
      <c r="BR33" s="250"/>
      <c r="BS33" s="250"/>
      <c r="BT33" s="250"/>
      <c r="BU33" s="250"/>
      <c r="BV33" s="250"/>
      <c r="BW33" s="250"/>
      <c r="BX33" s="250"/>
      <c r="BY33" s="250"/>
    </row>
    <row r="34" ht="13.8" spans="1:77">
      <c r="A34" s="250"/>
      <c r="B34" s="250"/>
      <c r="C34" s="250"/>
      <c r="D34" s="270"/>
      <c r="E34" s="270"/>
      <c r="F34" s="250"/>
      <c r="G34" s="270"/>
      <c r="H34" s="250"/>
      <c r="I34" s="250"/>
      <c r="J34" s="27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71"/>
      <c r="X34" s="271"/>
      <c r="Y34" s="250"/>
      <c r="Z34" s="250"/>
      <c r="AA34" s="272"/>
      <c r="AB34" s="250"/>
      <c r="AC34" s="250"/>
      <c r="AD34" s="250"/>
      <c r="AE34" s="272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0"/>
      <c r="BA34" s="250"/>
      <c r="BB34" s="250"/>
      <c r="BC34" s="250"/>
      <c r="BD34" s="250"/>
      <c r="BE34" s="250"/>
      <c r="BF34" s="250"/>
      <c r="BG34" s="250"/>
      <c r="BH34" s="250"/>
      <c r="BI34" s="250"/>
      <c r="BJ34" s="250"/>
      <c r="BK34" s="250"/>
      <c r="BL34" s="250"/>
      <c r="BM34" s="250"/>
      <c r="BN34" s="250"/>
      <c r="BO34" s="250"/>
      <c r="BP34" s="250"/>
      <c r="BQ34" s="250"/>
      <c r="BR34" s="250"/>
      <c r="BS34" s="250"/>
      <c r="BT34" s="250"/>
      <c r="BU34" s="250"/>
      <c r="BV34" s="250"/>
      <c r="BW34" s="250"/>
      <c r="BX34" s="250"/>
      <c r="BY34" s="250"/>
    </row>
    <row r="35" ht="13.8" spans="1:77">
      <c r="A35" s="250"/>
      <c r="B35" s="250"/>
      <c r="C35" s="250"/>
      <c r="D35" s="270"/>
      <c r="E35" s="270"/>
      <c r="F35" s="250"/>
      <c r="G35" s="270"/>
      <c r="H35" s="250"/>
      <c r="I35" s="250"/>
      <c r="J35" s="27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71"/>
      <c r="X35" s="271"/>
      <c r="Y35" s="250"/>
      <c r="Z35" s="250"/>
      <c r="AA35" s="272"/>
      <c r="AB35" s="250"/>
      <c r="AC35" s="250"/>
      <c r="AD35" s="250"/>
      <c r="AE35" s="272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  <c r="BA35" s="250"/>
      <c r="BB35" s="250"/>
      <c r="BC35" s="250"/>
      <c r="BD35" s="250"/>
      <c r="BE35" s="250"/>
      <c r="BF35" s="250"/>
      <c r="BG35" s="250"/>
      <c r="BH35" s="250"/>
      <c r="BI35" s="250"/>
      <c r="BJ35" s="250"/>
      <c r="BK35" s="250"/>
      <c r="BL35" s="250"/>
      <c r="BM35" s="250"/>
      <c r="BN35" s="250"/>
      <c r="BO35" s="250"/>
      <c r="BP35" s="250"/>
      <c r="BQ35" s="250"/>
      <c r="BR35" s="250"/>
      <c r="BS35" s="250"/>
      <c r="BT35" s="250"/>
      <c r="BU35" s="250"/>
      <c r="BV35" s="250"/>
      <c r="BW35" s="250"/>
      <c r="BX35" s="250"/>
      <c r="BY35" s="250"/>
    </row>
    <row r="36" ht="13.8" spans="1:77">
      <c r="A36" s="250"/>
      <c r="B36" s="250"/>
      <c r="C36" s="250"/>
      <c r="D36" s="270"/>
      <c r="E36" s="270"/>
      <c r="F36" s="250"/>
      <c r="G36" s="270"/>
      <c r="H36" s="250"/>
      <c r="I36" s="250"/>
      <c r="J36" s="27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71"/>
      <c r="X36" s="271"/>
      <c r="Y36" s="250"/>
      <c r="Z36" s="250"/>
      <c r="AA36" s="272"/>
      <c r="AB36" s="250"/>
      <c r="AC36" s="250"/>
      <c r="AD36" s="250"/>
      <c r="AE36" s="272"/>
      <c r="AF36" s="25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0"/>
      <c r="AU36" s="250"/>
      <c r="AV36" s="250"/>
      <c r="AW36" s="250"/>
      <c r="AX36" s="250"/>
      <c r="AY36" s="250"/>
      <c r="AZ36" s="250"/>
      <c r="BA36" s="250"/>
      <c r="BB36" s="250"/>
      <c r="BC36" s="250"/>
      <c r="BD36" s="250"/>
      <c r="BE36" s="250"/>
      <c r="BF36" s="250"/>
      <c r="BG36" s="250"/>
      <c r="BH36" s="250"/>
      <c r="BI36" s="250"/>
      <c r="BJ36" s="250"/>
      <c r="BK36" s="250"/>
      <c r="BL36" s="250"/>
      <c r="BM36" s="250"/>
      <c r="BN36" s="250"/>
      <c r="BO36" s="250"/>
      <c r="BP36" s="250"/>
      <c r="BQ36" s="250"/>
      <c r="BR36" s="250"/>
      <c r="BS36" s="250"/>
      <c r="BT36" s="250"/>
      <c r="BU36" s="250"/>
      <c r="BV36" s="250"/>
      <c r="BW36" s="250"/>
      <c r="BX36" s="250"/>
      <c r="BY36" s="250"/>
    </row>
    <row r="37" ht="13.8" spans="1:77">
      <c r="A37" s="250"/>
      <c r="B37" s="250"/>
      <c r="C37" s="250"/>
      <c r="D37" s="270"/>
      <c r="E37" s="270"/>
      <c r="F37" s="250"/>
      <c r="G37" s="270"/>
      <c r="H37" s="250"/>
      <c r="I37" s="250"/>
      <c r="J37" s="27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71"/>
      <c r="X37" s="271"/>
      <c r="Y37" s="250"/>
      <c r="Z37" s="250"/>
      <c r="AA37" s="272"/>
      <c r="AB37" s="250"/>
      <c r="AC37" s="250"/>
      <c r="AD37" s="250"/>
      <c r="AE37" s="272"/>
      <c r="AF37" s="250"/>
      <c r="AG37" s="250"/>
      <c r="AH37" s="250"/>
      <c r="AI37" s="250"/>
      <c r="AJ37" s="250"/>
      <c r="AK37" s="250"/>
      <c r="AL37" s="250"/>
      <c r="AM37" s="250"/>
      <c r="AN37" s="250"/>
      <c r="AO37" s="250"/>
      <c r="AP37" s="250"/>
      <c r="AQ37" s="250"/>
      <c r="AR37" s="250"/>
      <c r="AS37" s="250"/>
      <c r="AT37" s="250"/>
      <c r="AU37" s="250"/>
      <c r="AV37" s="250"/>
      <c r="AW37" s="250"/>
      <c r="AX37" s="250"/>
      <c r="AY37" s="250"/>
      <c r="AZ37" s="250"/>
      <c r="BA37" s="250"/>
      <c r="BB37" s="250"/>
      <c r="BC37" s="250"/>
      <c r="BD37" s="250"/>
      <c r="BE37" s="250"/>
      <c r="BF37" s="250"/>
      <c r="BG37" s="250"/>
      <c r="BH37" s="250"/>
      <c r="BI37" s="250"/>
      <c r="BJ37" s="250"/>
      <c r="BK37" s="250"/>
      <c r="BL37" s="250"/>
      <c r="BM37" s="250"/>
      <c r="BN37" s="250"/>
      <c r="BO37" s="250"/>
      <c r="BP37" s="250"/>
      <c r="BQ37" s="250"/>
      <c r="BR37" s="250"/>
      <c r="BS37" s="250"/>
      <c r="BT37" s="250"/>
      <c r="BU37" s="250"/>
      <c r="BV37" s="250"/>
      <c r="BW37" s="250"/>
      <c r="BX37" s="250"/>
      <c r="BY37" s="250"/>
    </row>
    <row r="38" ht="13.8" spans="1:77">
      <c r="A38" s="250"/>
      <c r="B38" s="250"/>
      <c r="C38" s="250"/>
      <c r="D38" s="270"/>
      <c r="E38" s="270"/>
      <c r="F38" s="250"/>
      <c r="G38" s="270"/>
      <c r="H38" s="250"/>
      <c r="I38" s="250"/>
      <c r="J38" s="27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71"/>
      <c r="X38" s="271"/>
      <c r="Y38" s="250"/>
      <c r="Z38" s="250"/>
      <c r="AA38" s="272"/>
      <c r="AB38" s="250"/>
      <c r="AC38" s="250"/>
      <c r="AD38" s="250"/>
      <c r="AE38" s="272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  <c r="AR38" s="250"/>
      <c r="AS38" s="250"/>
      <c r="AT38" s="250"/>
      <c r="AU38" s="250"/>
      <c r="AV38" s="250"/>
      <c r="AW38" s="250"/>
      <c r="AX38" s="250"/>
      <c r="AY38" s="250"/>
      <c r="AZ38" s="250"/>
      <c r="BA38" s="250"/>
      <c r="BB38" s="250"/>
      <c r="BC38" s="250"/>
      <c r="BD38" s="250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</row>
    <row r="39" ht="13.8" spans="1:77">
      <c r="A39" s="250"/>
      <c r="B39" s="250"/>
      <c r="C39" s="250"/>
      <c r="D39" s="270"/>
      <c r="E39" s="270"/>
      <c r="F39" s="250"/>
      <c r="G39" s="270"/>
      <c r="H39" s="250"/>
      <c r="I39" s="250"/>
      <c r="J39" s="27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71"/>
      <c r="X39" s="271"/>
      <c r="Y39" s="250"/>
      <c r="Z39" s="250"/>
      <c r="AA39" s="272"/>
      <c r="AB39" s="250"/>
      <c r="AC39" s="250"/>
      <c r="AD39" s="250"/>
      <c r="AE39" s="272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0"/>
      <c r="AQ39" s="250"/>
      <c r="AR39" s="250"/>
      <c r="AS39" s="250"/>
      <c r="AT39" s="250"/>
      <c r="AU39" s="250"/>
      <c r="AV39" s="250"/>
      <c r="AW39" s="250"/>
      <c r="AX39" s="250"/>
      <c r="AY39" s="250"/>
      <c r="AZ39" s="250"/>
      <c r="BA39" s="250"/>
      <c r="BB39" s="250"/>
      <c r="BC39" s="250"/>
      <c r="BD39" s="250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</row>
    <row r="40" ht="13.8" spans="1:77">
      <c r="A40" s="250"/>
      <c r="B40" s="250"/>
      <c r="C40" s="250"/>
      <c r="D40" s="270"/>
      <c r="E40" s="270"/>
      <c r="F40" s="250"/>
      <c r="G40" s="270"/>
      <c r="H40" s="250"/>
      <c r="I40" s="250"/>
      <c r="J40" s="27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71"/>
      <c r="X40" s="271"/>
      <c r="Y40" s="250"/>
      <c r="Z40" s="250"/>
      <c r="AA40" s="272"/>
      <c r="AB40" s="250"/>
      <c r="AC40" s="250"/>
      <c r="AD40" s="250"/>
      <c r="AE40" s="272"/>
      <c r="AF40" s="250"/>
      <c r="AG40" s="250"/>
      <c r="AH40" s="250"/>
      <c r="AI40" s="250"/>
      <c r="AJ40" s="250"/>
      <c r="AK40" s="250"/>
      <c r="AL40" s="250"/>
      <c r="AM40" s="250"/>
      <c r="AN40" s="250"/>
      <c r="AO40" s="250"/>
      <c r="AP40" s="250"/>
      <c r="AQ40" s="250"/>
      <c r="AR40" s="250"/>
      <c r="AS40" s="250"/>
      <c r="AT40" s="250"/>
      <c r="AU40" s="250"/>
      <c r="AV40" s="250"/>
      <c r="AW40" s="250"/>
      <c r="AX40" s="250"/>
      <c r="AY40" s="250"/>
      <c r="AZ40" s="250"/>
      <c r="BA40" s="250"/>
      <c r="BB40" s="250"/>
      <c r="BC40" s="250"/>
      <c r="BD40" s="250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</row>
    <row r="41" ht="13.8" spans="1:77">
      <c r="A41" s="250"/>
      <c r="B41" s="250"/>
      <c r="C41" s="250"/>
      <c r="D41" s="270"/>
      <c r="E41" s="270"/>
      <c r="F41" s="250"/>
      <c r="G41" s="270"/>
      <c r="H41" s="250"/>
      <c r="I41" s="250"/>
      <c r="J41" s="27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71"/>
      <c r="X41" s="271"/>
      <c r="Y41" s="250"/>
      <c r="Z41" s="250"/>
      <c r="AA41" s="272"/>
      <c r="AB41" s="250"/>
      <c r="AC41" s="250"/>
      <c r="AD41" s="250"/>
      <c r="AE41" s="272"/>
      <c r="AF41" s="250"/>
      <c r="AG41" s="250"/>
      <c r="AH41" s="250"/>
      <c r="AI41" s="250"/>
      <c r="AJ41" s="250"/>
      <c r="AK41" s="250"/>
      <c r="AL41" s="250"/>
      <c r="AM41" s="250"/>
      <c r="AN41" s="250"/>
      <c r="AO41" s="250"/>
      <c r="AP41" s="250"/>
      <c r="AQ41" s="250"/>
      <c r="AR41" s="250"/>
      <c r="AS41" s="250"/>
      <c r="AT41" s="250"/>
      <c r="AU41" s="250"/>
      <c r="AV41" s="250"/>
      <c r="AW41" s="250"/>
      <c r="AX41" s="250"/>
      <c r="AY41" s="250"/>
      <c r="AZ41" s="250"/>
      <c r="BA41" s="250"/>
      <c r="BB41" s="250"/>
      <c r="BC41" s="250"/>
      <c r="BD41" s="250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</row>
    <row r="42" ht="13.8" spans="1:77">
      <c r="A42" s="250"/>
      <c r="B42" s="250"/>
      <c r="C42" s="250"/>
      <c r="D42" s="270"/>
      <c r="E42" s="270"/>
      <c r="F42" s="250"/>
      <c r="G42" s="270"/>
      <c r="H42" s="250"/>
      <c r="I42" s="250"/>
      <c r="J42" s="27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71"/>
      <c r="X42" s="271"/>
      <c r="Y42" s="250"/>
      <c r="Z42" s="250"/>
      <c r="AA42" s="272"/>
      <c r="AB42" s="250"/>
      <c r="AC42" s="250"/>
      <c r="AD42" s="250"/>
      <c r="AE42" s="272"/>
      <c r="AF42" s="250"/>
      <c r="AG42" s="250"/>
      <c r="AH42" s="250"/>
      <c r="AI42" s="250"/>
      <c r="AJ42" s="250"/>
      <c r="AK42" s="250"/>
      <c r="AL42" s="250"/>
      <c r="AM42" s="250"/>
      <c r="AN42" s="250"/>
      <c r="AO42" s="250"/>
      <c r="AP42" s="250"/>
      <c r="AQ42" s="250"/>
      <c r="AR42" s="250"/>
      <c r="AS42" s="250"/>
      <c r="AT42" s="250"/>
      <c r="AU42" s="250"/>
      <c r="AV42" s="250"/>
      <c r="AW42" s="250"/>
      <c r="AX42" s="250"/>
      <c r="AY42" s="250"/>
      <c r="AZ42" s="250"/>
      <c r="BA42" s="250"/>
      <c r="BB42" s="250"/>
      <c r="BC42" s="250"/>
      <c r="BD42" s="250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</row>
    <row r="43" ht="13.8" spans="1:77">
      <c r="A43" s="250"/>
      <c r="B43" s="250"/>
      <c r="C43" s="250"/>
      <c r="D43" s="270"/>
      <c r="E43" s="270"/>
      <c r="F43" s="250"/>
      <c r="G43" s="270"/>
      <c r="H43" s="250"/>
      <c r="I43" s="250"/>
      <c r="J43" s="27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71"/>
      <c r="X43" s="271"/>
      <c r="Y43" s="250"/>
      <c r="Z43" s="250"/>
      <c r="AA43" s="272"/>
      <c r="AB43" s="250"/>
      <c r="AC43" s="250"/>
      <c r="AD43" s="250"/>
      <c r="AE43" s="272"/>
      <c r="AF43" s="250"/>
      <c r="AG43" s="250"/>
      <c r="AH43" s="250"/>
      <c r="AI43" s="250"/>
      <c r="AJ43" s="250"/>
      <c r="AK43" s="250"/>
      <c r="AL43" s="250"/>
      <c r="AM43" s="250"/>
      <c r="AN43" s="250"/>
      <c r="AO43" s="250"/>
      <c r="AP43" s="250"/>
      <c r="AQ43" s="250"/>
      <c r="AR43" s="250"/>
      <c r="AS43" s="250"/>
      <c r="AT43" s="250"/>
      <c r="AU43" s="250"/>
      <c r="AV43" s="250"/>
      <c r="AW43" s="250"/>
      <c r="AX43" s="250"/>
      <c r="AY43" s="250"/>
      <c r="AZ43" s="250"/>
      <c r="BA43" s="250"/>
      <c r="BB43" s="250"/>
      <c r="BC43" s="250"/>
      <c r="BD43" s="250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</row>
    <row r="44" ht="13.8" spans="1:77">
      <c r="A44" s="250"/>
      <c r="B44" s="250"/>
      <c r="C44" s="250"/>
      <c r="D44" s="270"/>
      <c r="E44" s="270"/>
      <c r="F44" s="250"/>
      <c r="G44" s="270"/>
      <c r="H44" s="250"/>
      <c r="I44" s="250"/>
      <c r="J44" s="27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71"/>
      <c r="X44" s="271"/>
      <c r="Y44" s="250"/>
      <c r="Z44" s="250"/>
      <c r="AA44" s="272"/>
      <c r="AB44" s="250"/>
      <c r="AC44" s="250"/>
      <c r="AD44" s="250"/>
      <c r="AE44" s="272"/>
      <c r="AF44" s="250"/>
      <c r="AG44" s="250"/>
      <c r="AH44" s="250"/>
      <c r="AI44" s="250"/>
      <c r="AJ44" s="250"/>
      <c r="AK44" s="250"/>
      <c r="AL44" s="250"/>
      <c r="AM44" s="250"/>
      <c r="AN44" s="250"/>
      <c r="AO44" s="250"/>
      <c r="AP44" s="250"/>
      <c r="AQ44" s="250"/>
      <c r="AR44" s="250"/>
      <c r="AS44" s="250"/>
      <c r="AT44" s="250"/>
      <c r="AU44" s="250"/>
      <c r="AV44" s="250"/>
      <c r="AW44" s="250"/>
      <c r="AX44" s="250"/>
      <c r="AY44" s="250"/>
      <c r="AZ44" s="250"/>
      <c r="BA44" s="250"/>
      <c r="BB44" s="250"/>
      <c r="BC44" s="250"/>
      <c r="BD44" s="250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</row>
    <row r="45" ht="13.8" spans="1:77">
      <c r="A45" s="250"/>
      <c r="B45" s="250"/>
      <c r="C45" s="250"/>
      <c r="D45" s="270"/>
      <c r="E45" s="270"/>
      <c r="F45" s="250"/>
      <c r="G45" s="270"/>
      <c r="H45" s="250"/>
      <c r="I45" s="250"/>
      <c r="J45" s="27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71"/>
      <c r="X45" s="271"/>
      <c r="Y45" s="250"/>
      <c r="Z45" s="250"/>
      <c r="AA45" s="272"/>
      <c r="AB45" s="250"/>
      <c r="AC45" s="250"/>
      <c r="AD45" s="250"/>
      <c r="AE45" s="272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50"/>
      <c r="AR45" s="250"/>
      <c r="AS45" s="250"/>
      <c r="AT45" s="250"/>
      <c r="AU45" s="250"/>
      <c r="AV45" s="250"/>
      <c r="AW45" s="250"/>
      <c r="AX45" s="250"/>
      <c r="AY45" s="250"/>
      <c r="AZ45" s="250"/>
      <c r="BA45" s="250"/>
      <c r="BB45" s="250"/>
      <c r="BC45" s="250"/>
      <c r="BD45" s="250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</row>
    <row r="46" ht="13.8" spans="1:77">
      <c r="A46" s="250"/>
      <c r="B46" s="250"/>
      <c r="C46" s="250"/>
      <c r="D46" s="270"/>
      <c r="E46" s="270"/>
      <c r="F46" s="250"/>
      <c r="G46" s="270"/>
      <c r="H46" s="250"/>
      <c r="I46" s="250"/>
      <c r="J46" s="27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71"/>
      <c r="X46" s="271"/>
      <c r="Y46" s="250"/>
      <c r="Z46" s="250"/>
      <c r="AA46" s="272"/>
      <c r="AB46" s="250"/>
      <c r="AC46" s="250"/>
      <c r="AD46" s="250"/>
      <c r="AE46" s="272"/>
      <c r="AF46" s="250"/>
      <c r="AG46" s="250"/>
      <c r="AH46" s="250"/>
      <c r="AI46" s="250"/>
      <c r="AJ46" s="250"/>
      <c r="AK46" s="250"/>
      <c r="AL46" s="250"/>
      <c r="AM46" s="250"/>
      <c r="AN46" s="250"/>
      <c r="AO46" s="250"/>
      <c r="AP46" s="250"/>
      <c r="AQ46" s="250"/>
      <c r="AR46" s="250"/>
      <c r="AS46" s="250"/>
      <c r="AT46" s="250"/>
      <c r="AU46" s="250"/>
      <c r="AV46" s="250"/>
      <c r="AW46" s="250"/>
      <c r="AX46" s="250"/>
      <c r="AY46" s="250"/>
      <c r="AZ46" s="250"/>
      <c r="BA46" s="250"/>
      <c r="BB46" s="250"/>
      <c r="BC46" s="250"/>
      <c r="BD46" s="250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</row>
    <row r="47" ht="13.8" spans="1:77">
      <c r="A47" s="250"/>
      <c r="B47" s="250"/>
      <c r="C47" s="250"/>
      <c r="D47" s="270"/>
      <c r="E47" s="270"/>
      <c r="F47" s="250"/>
      <c r="G47" s="270"/>
      <c r="H47" s="250"/>
      <c r="I47" s="250"/>
      <c r="J47" s="27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71"/>
      <c r="X47" s="271"/>
      <c r="Y47" s="250"/>
      <c r="Z47" s="250"/>
      <c r="AA47" s="272"/>
      <c r="AB47" s="250"/>
      <c r="AC47" s="250"/>
      <c r="AD47" s="250"/>
      <c r="AE47" s="272"/>
      <c r="AF47" s="250"/>
      <c r="AG47" s="250"/>
      <c r="AH47" s="250"/>
      <c r="AI47" s="250"/>
      <c r="AJ47" s="250"/>
      <c r="AK47" s="250"/>
      <c r="AL47" s="250"/>
      <c r="AM47" s="250"/>
      <c r="AN47" s="250"/>
      <c r="AO47" s="250"/>
      <c r="AP47" s="250"/>
      <c r="AQ47" s="250"/>
      <c r="AR47" s="250"/>
      <c r="AS47" s="250"/>
      <c r="AT47" s="250"/>
      <c r="AU47" s="250"/>
      <c r="AV47" s="250"/>
      <c r="AW47" s="250"/>
      <c r="AX47" s="250"/>
      <c r="AY47" s="250"/>
      <c r="AZ47" s="250"/>
      <c r="BA47" s="250"/>
      <c r="BB47" s="250"/>
      <c r="BC47" s="250"/>
      <c r="BD47" s="250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</row>
    <row r="48" ht="13.8" spans="1:77">
      <c r="A48" s="250"/>
      <c r="B48" s="250"/>
      <c r="C48" s="250"/>
      <c r="D48" s="270"/>
      <c r="E48" s="270"/>
      <c r="F48" s="250"/>
      <c r="G48" s="270"/>
      <c r="H48" s="250"/>
      <c r="I48" s="250"/>
      <c r="J48" s="27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71"/>
      <c r="X48" s="271"/>
      <c r="Y48" s="250"/>
      <c r="Z48" s="250"/>
      <c r="AA48" s="272"/>
      <c r="AB48" s="250"/>
      <c r="AC48" s="250"/>
      <c r="AD48" s="250"/>
      <c r="AE48" s="272"/>
      <c r="AF48" s="250"/>
      <c r="AG48" s="250"/>
      <c r="AH48" s="250"/>
      <c r="AI48" s="250"/>
      <c r="AJ48" s="250"/>
      <c r="AK48" s="250"/>
      <c r="AL48" s="250"/>
      <c r="AM48" s="250"/>
      <c r="AN48" s="250"/>
      <c r="AO48" s="250"/>
      <c r="AP48" s="250"/>
      <c r="AQ48" s="250"/>
      <c r="AR48" s="250"/>
      <c r="AS48" s="250"/>
      <c r="AT48" s="250"/>
      <c r="AU48" s="250"/>
      <c r="AV48" s="250"/>
      <c r="AW48" s="250"/>
      <c r="AX48" s="250"/>
      <c r="AY48" s="250"/>
      <c r="AZ48" s="250"/>
      <c r="BA48" s="250"/>
      <c r="BB48" s="250"/>
      <c r="BC48" s="250"/>
      <c r="BD48" s="250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</row>
    <row r="49" ht="13.8" spans="1:77">
      <c r="A49" s="250"/>
      <c r="B49" s="250"/>
      <c r="C49" s="250"/>
      <c r="D49" s="270"/>
      <c r="E49" s="270"/>
      <c r="F49" s="250"/>
      <c r="G49" s="270"/>
      <c r="H49" s="250"/>
      <c r="I49" s="250"/>
      <c r="J49" s="27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71"/>
      <c r="X49" s="271"/>
      <c r="Y49" s="250"/>
      <c r="Z49" s="250"/>
      <c r="AA49" s="272"/>
      <c r="AB49" s="250"/>
      <c r="AC49" s="250"/>
      <c r="AD49" s="250"/>
      <c r="AE49" s="272"/>
      <c r="AF49" s="250"/>
      <c r="AG49" s="250"/>
      <c r="AH49" s="250"/>
      <c r="AI49" s="250"/>
      <c r="AJ49" s="250"/>
      <c r="AK49" s="250"/>
      <c r="AL49" s="250"/>
      <c r="AM49" s="250"/>
      <c r="AN49" s="250"/>
      <c r="AO49" s="250"/>
      <c r="AP49" s="250"/>
      <c r="AQ49" s="250"/>
      <c r="AR49" s="250"/>
      <c r="AS49" s="250"/>
      <c r="AT49" s="250"/>
      <c r="AU49" s="250"/>
      <c r="AV49" s="250"/>
      <c r="AW49" s="250"/>
      <c r="AX49" s="250"/>
      <c r="AY49" s="250"/>
      <c r="AZ49" s="250"/>
      <c r="BA49" s="250"/>
      <c r="BB49" s="250"/>
      <c r="BC49" s="250"/>
      <c r="BD49" s="250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</row>
    <row r="50" ht="13.8" spans="1:77">
      <c r="A50" s="250"/>
      <c r="B50" s="250"/>
      <c r="C50" s="250"/>
      <c r="D50" s="270"/>
      <c r="E50" s="270"/>
      <c r="F50" s="250"/>
      <c r="G50" s="270"/>
      <c r="H50" s="250"/>
      <c r="I50" s="250"/>
      <c r="J50" s="27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71"/>
      <c r="X50" s="271"/>
      <c r="Y50" s="250"/>
      <c r="Z50" s="250"/>
      <c r="AA50" s="272"/>
      <c r="AB50" s="250"/>
      <c r="AC50" s="250"/>
      <c r="AD50" s="250"/>
      <c r="AE50" s="272"/>
      <c r="AF50" s="250"/>
      <c r="AG50" s="250"/>
      <c r="AH50" s="250"/>
      <c r="AI50" s="250"/>
      <c r="AJ50" s="250"/>
      <c r="AK50" s="250"/>
      <c r="AL50" s="250"/>
      <c r="AM50" s="250"/>
      <c r="AN50" s="250"/>
      <c r="AO50" s="250"/>
      <c r="AP50" s="250"/>
      <c r="AQ50" s="250"/>
      <c r="AR50" s="250"/>
      <c r="AS50" s="250"/>
      <c r="AT50" s="250"/>
      <c r="AU50" s="250"/>
      <c r="AV50" s="250"/>
      <c r="AW50" s="250"/>
      <c r="AX50" s="250"/>
      <c r="AY50" s="250"/>
      <c r="AZ50" s="250"/>
      <c r="BA50" s="250"/>
      <c r="BB50" s="250"/>
      <c r="BC50" s="250"/>
      <c r="BD50" s="250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</row>
    <row r="51" ht="13.8" spans="1:77">
      <c r="A51" s="250"/>
      <c r="B51" s="250"/>
      <c r="C51" s="250"/>
      <c r="D51" s="270"/>
      <c r="E51" s="270"/>
      <c r="F51" s="250"/>
      <c r="G51" s="270"/>
      <c r="H51" s="250"/>
      <c r="I51" s="250"/>
      <c r="J51" s="27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71"/>
      <c r="X51" s="271"/>
      <c r="Y51" s="250"/>
      <c r="Z51" s="250"/>
      <c r="AA51" s="272"/>
      <c r="AB51" s="250"/>
      <c r="AC51" s="250"/>
      <c r="AD51" s="250"/>
      <c r="AE51" s="272"/>
      <c r="AF51" s="250"/>
      <c r="AG51" s="250"/>
      <c r="AH51" s="250"/>
      <c r="AI51" s="250"/>
      <c r="AJ51" s="250"/>
      <c r="AK51" s="250"/>
      <c r="AL51" s="250"/>
      <c r="AM51" s="250"/>
      <c r="AN51" s="250"/>
      <c r="AO51" s="250"/>
      <c r="AP51" s="250"/>
      <c r="AQ51" s="250"/>
      <c r="AR51" s="250"/>
      <c r="AS51" s="250"/>
      <c r="AT51" s="250"/>
      <c r="AU51" s="250"/>
      <c r="AV51" s="250"/>
      <c r="AW51" s="250"/>
      <c r="AX51" s="250"/>
      <c r="AY51" s="250"/>
      <c r="AZ51" s="250"/>
      <c r="BA51" s="250"/>
      <c r="BB51" s="250"/>
      <c r="BC51" s="250"/>
      <c r="BD51" s="250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</row>
    <row r="52" ht="13.8" spans="1:77">
      <c r="A52" s="250"/>
      <c r="B52" s="250"/>
      <c r="C52" s="250"/>
      <c r="D52" s="270"/>
      <c r="E52" s="270"/>
      <c r="F52" s="250"/>
      <c r="G52" s="270"/>
      <c r="H52" s="250"/>
      <c r="I52" s="250"/>
      <c r="J52" s="27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71"/>
      <c r="X52" s="271"/>
      <c r="Y52" s="250"/>
      <c r="Z52" s="250"/>
      <c r="AA52" s="272"/>
      <c r="AB52" s="250"/>
      <c r="AC52" s="250"/>
      <c r="AD52" s="250"/>
      <c r="AE52" s="272"/>
      <c r="AF52" s="250"/>
      <c r="AG52" s="250"/>
      <c r="AH52" s="250"/>
      <c r="AI52" s="250"/>
      <c r="AJ52" s="250"/>
      <c r="AK52" s="250"/>
      <c r="AL52" s="250"/>
      <c r="AM52" s="250"/>
      <c r="AN52" s="250"/>
      <c r="AO52" s="250"/>
      <c r="AP52" s="250"/>
      <c r="AQ52" s="250"/>
      <c r="AR52" s="250"/>
      <c r="AS52" s="250"/>
      <c r="AT52" s="250"/>
      <c r="AU52" s="250"/>
      <c r="AV52" s="250"/>
      <c r="AW52" s="250"/>
      <c r="AX52" s="250"/>
      <c r="AY52" s="250"/>
      <c r="AZ52" s="250"/>
      <c r="BA52" s="250"/>
      <c r="BB52" s="250"/>
      <c r="BC52" s="250"/>
      <c r="BD52" s="250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</row>
    <row r="53" ht="13.8" spans="1:77">
      <c r="A53" s="250"/>
      <c r="B53" s="250"/>
      <c r="C53" s="250"/>
      <c r="D53" s="270"/>
      <c r="E53" s="270"/>
      <c r="F53" s="250"/>
      <c r="G53" s="270"/>
      <c r="H53" s="250"/>
      <c r="I53" s="250"/>
      <c r="J53" s="27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71"/>
      <c r="X53" s="271"/>
      <c r="Y53" s="250"/>
      <c r="Z53" s="250"/>
      <c r="AA53" s="272"/>
      <c r="AB53" s="250"/>
      <c r="AC53" s="250"/>
      <c r="AD53" s="250"/>
      <c r="AE53" s="272"/>
      <c r="AF53" s="250"/>
      <c r="AG53" s="250"/>
      <c r="AH53" s="250"/>
      <c r="AI53" s="250"/>
      <c r="AJ53" s="250"/>
      <c r="AK53" s="250"/>
      <c r="AL53" s="250"/>
      <c r="AM53" s="250"/>
      <c r="AN53" s="250"/>
      <c r="AO53" s="250"/>
      <c r="AP53" s="250"/>
      <c r="AQ53" s="250"/>
      <c r="AR53" s="250"/>
      <c r="AS53" s="250"/>
      <c r="AT53" s="250"/>
      <c r="AU53" s="250"/>
      <c r="AV53" s="250"/>
      <c r="AW53" s="250"/>
      <c r="AX53" s="250"/>
      <c r="AY53" s="250"/>
      <c r="AZ53" s="250"/>
      <c r="BA53" s="250"/>
      <c r="BB53" s="250"/>
      <c r="BC53" s="250"/>
      <c r="BD53" s="250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</row>
    <row r="54" ht="13.8" spans="1:77">
      <c r="A54" s="250"/>
      <c r="B54" s="250"/>
      <c r="C54" s="250"/>
      <c r="D54" s="270"/>
      <c r="E54" s="270"/>
      <c r="F54" s="250"/>
      <c r="G54" s="270"/>
      <c r="H54" s="250"/>
      <c r="I54" s="250"/>
      <c r="J54" s="27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71"/>
      <c r="X54" s="271"/>
      <c r="Y54" s="250"/>
      <c r="Z54" s="250"/>
      <c r="AA54" s="272"/>
      <c r="AB54" s="250"/>
      <c r="AC54" s="250"/>
      <c r="AD54" s="250"/>
      <c r="AE54" s="272"/>
      <c r="AF54" s="250"/>
      <c r="AG54" s="250"/>
      <c r="AH54" s="250"/>
      <c r="AI54" s="250"/>
      <c r="AJ54" s="250"/>
      <c r="AK54" s="250"/>
      <c r="AL54" s="250"/>
      <c r="AM54" s="250"/>
      <c r="AN54" s="250"/>
      <c r="AO54" s="250"/>
      <c r="AP54" s="250"/>
      <c r="AQ54" s="250"/>
      <c r="AR54" s="250"/>
      <c r="AS54" s="250"/>
      <c r="AT54" s="250"/>
      <c r="AU54" s="250"/>
      <c r="AV54" s="250"/>
      <c r="AW54" s="250"/>
      <c r="AX54" s="250"/>
      <c r="AY54" s="250"/>
      <c r="AZ54" s="250"/>
      <c r="BA54" s="250"/>
      <c r="BB54" s="250"/>
      <c r="BC54" s="250"/>
      <c r="BD54" s="250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</row>
    <row r="55" ht="13.8" spans="1:77">
      <c r="A55" s="250"/>
      <c r="B55" s="250"/>
      <c r="C55" s="250"/>
      <c r="D55" s="270"/>
      <c r="E55" s="270"/>
      <c r="F55" s="250"/>
      <c r="G55" s="270"/>
      <c r="H55" s="250"/>
      <c r="I55" s="250"/>
      <c r="J55" s="27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71"/>
      <c r="X55" s="271"/>
      <c r="Y55" s="250"/>
      <c r="Z55" s="250"/>
      <c r="AA55" s="272"/>
      <c r="AB55" s="250"/>
      <c r="AC55" s="250"/>
      <c r="AD55" s="250"/>
      <c r="AE55" s="272"/>
      <c r="AF55" s="250"/>
      <c r="AG55" s="250"/>
      <c r="AH55" s="250"/>
      <c r="AI55" s="250"/>
      <c r="AJ55" s="250"/>
      <c r="AK55" s="250"/>
      <c r="AL55" s="250"/>
      <c r="AM55" s="250"/>
      <c r="AN55" s="250"/>
      <c r="AO55" s="250"/>
      <c r="AP55" s="250"/>
      <c r="AQ55" s="250"/>
      <c r="AR55" s="250"/>
      <c r="AS55" s="250"/>
      <c r="AT55" s="250"/>
      <c r="AU55" s="250"/>
      <c r="AV55" s="250"/>
      <c r="AW55" s="250"/>
      <c r="AX55" s="250"/>
      <c r="AY55" s="250"/>
      <c r="AZ55" s="250"/>
      <c r="BA55" s="250"/>
      <c r="BB55" s="250"/>
      <c r="BC55" s="250"/>
      <c r="BD55" s="250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</row>
    <row r="56" ht="13.8" spans="1:77">
      <c r="A56" s="250"/>
      <c r="B56" s="250"/>
      <c r="C56" s="250"/>
      <c r="D56" s="270"/>
      <c r="E56" s="270"/>
      <c r="F56" s="250"/>
      <c r="G56" s="270"/>
      <c r="H56" s="250"/>
      <c r="I56" s="250"/>
      <c r="J56" s="27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71"/>
      <c r="X56" s="271"/>
      <c r="Y56" s="250"/>
      <c r="Z56" s="250"/>
      <c r="AA56" s="272"/>
      <c r="AB56" s="250"/>
      <c r="AC56" s="250"/>
      <c r="AD56" s="250"/>
      <c r="AE56" s="272"/>
      <c r="AF56" s="250"/>
      <c r="AG56" s="250"/>
      <c r="AH56" s="250"/>
      <c r="AI56" s="250"/>
      <c r="AJ56" s="250"/>
      <c r="AK56" s="250"/>
      <c r="AL56" s="250"/>
      <c r="AM56" s="250"/>
      <c r="AN56" s="250"/>
      <c r="AO56" s="250"/>
      <c r="AP56" s="250"/>
      <c r="AQ56" s="250"/>
      <c r="AR56" s="250"/>
      <c r="AS56" s="250"/>
      <c r="AT56" s="250"/>
      <c r="AU56" s="250"/>
      <c r="AV56" s="250"/>
      <c r="AW56" s="250"/>
      <c r="AX56" s="250"/>
      <c r="AY56" s="250"/>
      <c r="AZ56" s="250"/>
      <c r="BA56" s="250"/>
      <c r="BB56" s="250"/>
      <c r="BC56" s="250"/>
      <c r="BD56" s="250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</row>
    <row r="57" ht="13.8" spans="1:77">
      <c r="A57" s="250"/>
      <c r="B57" s="250"/>
      <c r="C57" s="250"/>
      <c r="D57" s="270"/>
      <c r="E57" s="270"/>
      <c r="F57" s="250"/>
      <c r="G57" s="270"/>
      <c r="H57" s="250"/>
      <c r="I57" s="250"/>
      <c r="J57" s="27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71"/>
      <c r="X57" s="271"/>
      <c r="Y57" s="250"/>
      <c r="Z57" s="250"/>
      <c r="AA57" s="272"/>
      <c r="AB57" s="250"/>
      <c r="AC57" s="250"/>
      <c r="AD57" s="250"/>
      <c r="AE57" s="272"/>
      <c r="AF57" s="250"/>
      <c r="AG57" s="250"/>
      <c r="AH57" s="250"/>
      <c r="AI57" s="250"/>
      <c r="AJ57" s="250"/>
      <c r="AK57" s="250"/>
      <c r="AL57" s="250"/>
      <c r="AM57" s="250"/>
      <c r="AN57" s="250"/>
      <c r="AO57" s="250"/>
      <c r="AP57" s="250"/>
      <c r="AQ57" s="250"/>
      <c r="AR57" s="250"/>
      <c r="AS57" s="250"/>
      <c r="AT57" s="250"/>
      <c r="AU57" s="250"/>
      <c r="AV57" s="250"/>
      <c r="AW57" s="250"/>
      <c r="AX57" s="250"/>
      <c r="AY57" s="250"/>
      <c r="AZ57" s="250"/>
      <c r="BA57" s="250"/>
      <c r="BB57" s="250"/>
      <c r="BC57" s="250"/>
      <c r="BD57" s="250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</row>
    <row r="58" ht="13.8" spans="1:77">
      <c r="A58" s="250"/>
      <c r="B58" s="250"/>
      <c r="C58" s="250"/>
      <c r="D58" s="270"/>
      <c r="E58" s="270"/>
      <c r="F58" s="250"/>
      <c r="G58" s="270"/>
      <c r="H58" s="250"/>
      <c r="I58" s="250"/>
      <c r="J58" s="27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71"/>
      <c r="X58" s="271"/>
      <c r="Y58" s="250"/>
      <c r="Z58" s="250"/>
      <c r="AA58" s="272"/>
      <c r="AB58" s="250"/>
      <c r="AC58" s="250"/>
      <c r="AD58" s="250"/>
      <c r="AE58" s="272"/>
      <c r="AF58" s="250"/>
      <c r="AG58" s="250"/>
      <c r="AH58" s="250"/>
      <c r="AI58" s="250"/>
      <c r="AJ58" s="250"/>
      <c r="AK58" s="250"/>
      <c r="AL58" s="250"/>
      <c r="AM58" s="250"/>
      <c r="AN58" s="250"/>
      <c r="AO58" s="250"/>
      <c r="AP58" s="250"/>
      <c r="AQ58" s="250"/>
      <c r="AR58" s="250"/>
      <c r="AS58" s="250"/>
      <c r="AT58" s="250"/>
      <c r="AU58" s="250"/>
      <c r="AV58" s="250"/>
      <c r="AW58" s="250"/>
      <c r="AX58" s="250"/>
      <c r="AY58" s="250"/>
      <c r="AZ58" s="250"/>
      <c r="BA58" s="250"/>
      <c r="BB58" s="250"/>
      <c r="BC58" s="250"/>
      <c r="BD58" s="250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</row>
    <row r="59" ht="13.8" spans="1:77">
      <c r="A59" s="250"/>
      <c r="B59" s="250"/>
      <c r="C59" s="250"/>
      <c r="D59" s="270"/>
      <c r="E59" s="270"/>
      <c r="F59" s="250"/>
      <c r="G59" s="270"/>
      <c r="H59" s="250"/>
      <c r="I59" s="250"/>
      <c r="J59" s="27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71"/>
      <c r="X59" s="271"/>
      <c r="Y59" s="250"/>
      <c r="Z59" s="250"/>
      <c r="AA59" s="272"/>
      <c r="AB59" s="250"/>
      <c r="AC59" s="250"/>
      <c r="AD59" s="250"/>
      <c r="AE59" s="272"/>
      <c r="AF59" s="250"/>
      <c r="AG59" s="250"/>
      <c r="AH59" s="250"/>
      <c r="AI59" s="250"/>
      <c r="AJ59" s="250"/>
      <c r="AK59" s="250"/>
      <c r="AL59" s="250"/>
      <c r="AM59" s="250"/>
      <c r="AN59" s="250"/>
      <c r="AO59" s="250"/>
      <c r="AP59" s="250"/>
      <c r="AQ59" s="250"/>
      <c r="AR59" s="250"/>
      <c r="AS59" s="250"/>
      <c r="AT59" s="250"/>
      <c r="AU59" s="250"/>
      <c r="AV59" s="250"/>
      <c r="AW59" s="250"/>
      <c r="AX59" s="250"/>
      <c r="AY59" s="250"/>
      <c r="AZ59" s="250"/>
      <c r="BA59" s="250"/>
      <c r="BB59" s="250"/>
      <c r="BC59" s="250"/>
      <c r="BD59" s="250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</row>
    <row r="60" ht="13.8" spans="1:77">
      <c r="A60" s="250"/>
      <c r="B60" s="250"/>
      <c r="C60" s="250"/>
      <c r="D60" s="270"/>
      <c r="E60" s="270"/>
      <c r="F60" s="250"/>
      <c r="G60" s="270"/>
      <c r="H60" s="250"/>
      <c r="I60" s="250"/>
      <c r="J60" s="27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71"/>
      <c r="X60" s="271"/>
      <c r="Y60" s="250"/>
      <c r="Z60" s="250"/>
      <c r="AA60" s="272"/>
      <c r="AB60" s="250"/>
      <c r="AC60" s="250"/>
      <c r="AD60" s="250"/>
      <c r="AE60" s="272"/>
      <c r="AF60" s="250"/>
      <c r="AG60" s="250"/>
      <c r="AH60" s="250"/>
      <c r="AI60" s="250"/>
      <c r="AJ60" s="250"/>
      <c r="AK60" s="250"/>
      <c r="AL60" s="250"/>
      <c r="AM60" s="250"/>
      <c r="AN60" s="250"/>
      <c r="AO60" s="250"/>
      <c r="AP60" s="250"/>
      <c r="AQ60" s="250"/>
      <c r="AR60" s="250"/>
      <c r="AS60" s="250"/>
      <c r="AT60" s="250"/>
      <c r="AU60" s="250"/>
      <c r="AV60" s="250"/>
      <c r="AW60" s="250"/>
      <c r="AX60" s="250"/>
      <c r="AY60" s="250"/>
      <c r="AZ60" s="250"/>
      <c r="BA60" s="250"/>
      <c r="BB60" s="250"/>
      <c r="BC60" s="250"/>
      <c r="BD60" s="250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</row>
    <row r="61" ht="13.8" spans="1:77">
      <c r="A61" s="250"/>
      <c r="B61" s="250"/>
      <c r="C61" s="250"/>
      <c r="D61" s="270"/>
      <c r="E61" s="270"/>
      <c r="F61" s="250"/>
      <c r="G61" s="270"/>
      <c r="H61" s="250"/>
      <c r="I61" s="250"/>
      <c r="J61" s="27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71"/>
      <c r="X61" s="271"/>
      <c r="Y61" s="250"/>
      <c r="Z61" s="250"/>
      <c r="AA61" s="272"/>
      <c r="AB61" s="250"/>
      <c r="AC61" s="250"/>
      <c r="AD61" s="250"/>
      <c r="AE61" s="272"/>
      <c r="AF61" s="250"/>
      <c r="AG61" s="250"/>
      <c r="AH61" s="250"/>
      <c r="AI61" s="250"/>
      <c r="AJ61" s="250"/>
      <c r="AK61" s="250"/>
      <c r="AL61" s="250"/>
      <c r="AM61" s="250"/>
      <c r="AN61" s="250"/>
      <c r="AO61" s="250"/>
      <c r="AP61" s="250"/>
      <c r="AQ61" s="250"/>
      <c r="AR61" s="250"/>
      <c r="AS61" s="250"/>
      <c r="AT61" s="250"/>
      <c r="AU61" s="250"/>
      <c r="AV61" s="250"/>
      <c r="AW61" s="250"/>
      <c r="AX61" s="250"/>
      <c r="AY61" s="250"/>
      <c r="AZ61" s="250"/>
      <c r="BA61" s="250"/>
      <c r="BB61" s="250"/>
      <c r="BC61" s="250"/>
      <c r="BD61" s="250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</row>
    <row r="62" ht="13.8" spans="1:77">
      <c r="A62" s="250"/>
      <c r="B62" s="250"/>
      <c r="C62" s="250"/>
      <c r="D62" s="270"/>
      <c r="E62" s="270"/>
      <c r="F62" s="250"/>
      <c r="G62" s="270"/>
      <c r="H62" s="250"/>
      <c r="I62" s="250"/>
      <c r="J62" s="27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71"/>
      <c r="X62" s="271"/>
      <c r="Y62" s="250"/>
      <c r="Z62" s="250"/>
      <c r="AA62" s="272"/>
      <c r="AB62" s="250"/>
      <c r="AC62" s="250"/>
      <c r="AD62" s="250"/>
      <c r="AE62" s="272"/>
      <c r="AF62" s="250"/>
      <c r="AG62" s="250"/>
      <c r="AH62" s="250"/>
      <c r="AI62" s="250"/>
      <c r="AJ62" s="250"/>
      <c r="AK62" s="250"/>
      <c r="AL62" s="250"/>
      <c r="AM62" s="250"/>
      <c r="AN62" s="250"/>
      <c r="AO62" s="250"/>
      <c r="AP62" s="250"/>
      <c r="AQ62" s="250"/>
      <c r="AR62" s="250"/>
      <c r="AS62" s="250"/>
      <c r="AT62" s="250"/>
      <c r="AU62" s="250"/>
      <c r="AV62" s="250"/>
      <c r="AW62" s="250"/>
      <c r="AX62" s="250"/>
      <c r="AY62" s="250"/>
      <c r="AZ62" s="250"/>
      <c r="BA62" s="250"/>
      <c r="BB62" s="250"/>
      <c r="BC62" s="250"/>
      <c r="BD62" s="250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</row>
    <row r="63" ht="13.8" spans="1:77">
      <c r="A63" s="250"/>
      <c r="B63" s="250"/>
      <c r="C63" s="250"/>
      <c r="D63" s="270"/>
      <c r="E63" s="270"/>
      <c r="F63" s="250"/>
      <c r="G63" s="270"/>
      <c r="H63" s="250"/>
      <c r="I63" s="250"/>
      <c r="J63" s="27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71"/>
      <c r="X63" s="271"/>
      <c r="Y63" s="250"/>
      <c r="Z63" s="250"/>
      <c r="AA63" s="272"/>
      <c r="AB63" s="250"/>
      <c r="AC63" s="250"/>
      <c r="AD63" s="250"/>
      <c r="AE63" s="272"/>
      <c r="AF63" s="250"/>
      <c r="AG63" s="250"/>
      <c r="AH63" s="250"/>
      <c r="AI63" s="250"/>
      <c r="AJ63" s="250"/>
      <c r="AK63" s="250"/>
      <c r="AL63" s="250"/>
      <c r="AM63" s="250"/>
      <c r="AN63" s="250"/>
      <c r="AO63" s="250"/>
      <c r="AP63" s="250"/>
      <c r="AQ63" s="250"/>
      <c r="AR63" s="250"/>
      <c r="AS63" s="250"/>
      <c r="AT63" s="250"/>
      <c r="AU63" s="250"/>
      <c r="AV63" s="250"/>
      <c r="AW63" s="250"/>
      <c r="AX63" s="250"/>
      <c r="AY63" s="250"/>
      <c r="AZ63" s="250"/>
      <c r="BA63" s="250"/>
      <c r="BB63" s="250"/>
      <c r="BC63" s="250"/>
      <c r="BD63" s="250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</row>
    <row r="64" ht="13.8" spans="1:77">
      <c r="A64" s="250"/>
      <c r="B64" s="250"/>
      <c r="C64" s="250"/>
      <c r="D64" s="270"/>
      <c r="E64" s="270"/>
      <c r="F64" s="250"/>
      <c r="G64" s="270"/>
      <c r="H64" s="250"/>
      <c r="I64" s="250"/>
      <c r="J64" s="27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71"/>
      <c r="X64" s="271"/>
      <c r="Y64" s="250"/>
      <c r="Z64" s="250"/>
      <c r="AA64" s="272"/>
      <c r="AB64" s="250"/>
      <c r="AC64" s="250"/>
      <c r="AD64" s="250"/>
      <c r="AE64" s="272"/>
      <c r="AF64" s="250"/>
      <c r="AG64" s="250"/>
      <c r="AH64" s="250"/>
      <c r="AI64" s="250"/>
      <c r="AJ64" s="250"/>
      <c r="AK64" s="250"/>
      <c r="AL64" s="250"/>
      <c r="AM64" s="250"/>
      <c r="AN64" s="250"/>
      <c r="AO64" s="250"/>
      <c r="AP64" s="250"/>
      <c r="AQ64" s="250"/>
      <c r="AR64" s="250"/>
      <c r="AS64" s="250"/>
      <c r="AT64" s="250"/>
      <c r="AU64" s="250"/>
      <c r="AV64" s="250"/>
      <c r="AW64" s="250"/>
      <c r="AX64" s="250"/>
      <c r="AY64" s="250"/>
      <c r="AZ64" s="250"/>
      <c r="BA64" s="250"/>
      <c r="BB64" s="250"/>
      <c r="BC64" s="250"/>
      <c r="BD64" s="250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</row>
    <row r="65" ht="13.8" spans="1:77">
      <c r="A65" s="250"/>
      <c r="B65" s="250"/>
      <c r="C65" s="250"/>
      <c r="D65" s="270"/>
      <c r="E65" s="270"/>
      <c r="F65" s="250"/>
      <c r="G65" s="270"/>
      <c r="H65" s="250"/>
      <c r="I65" s="250"/>
      <c r="J65" s="27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71"/>
      <c r="X65" s="271"/>
      <c r="Y65" s="250"/>
      <c r="Z65" s="250"/>
      <c r="AA65" s="272"/>
      <c r="AB65" s="250"/>
      <c r="AC65" s="250"/>
      <c r="AD65" s="250"/>
      <c r="AE65" s="272"/>
      <c r="AF65" s="250"/>
      <c r="AG65" s="250"/>
      <c r="AH65" s="250"/>
      <c r="AI65" s="250"/>
      <c r="AJ65" s="250"/>
      <c r="AK65" s="250"/>
      <c r="AL65" s="250"/>
      <c r="AM65" s="250"/>
      <c r="AN65" s="250"/>
      <c r="AO65" s="250"/>
      <c r="AP65" s="250"/>
      <c r="AQ65" s="250"/>
      <c r="AR65" s="250"/>
      <c r="AS65" s="250"/>
      <c r="AT65" s="250"/>
      <c r="AU65" s="250"/>
      <c r="AV65" s="250"/>
      <c r="AW65" s="250"/>
      <c r="AX65" s="250"/>
      <c r="AY65" s="250"/>
      <c r="AZ65" s="250"/>
      <c r="BA65" s="250"/>
      <c r="BB65" s="250"/>
      <c r="BC65" s="250"/>
      <c r="BD65" s="250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</row>
    <row r="66" ht="13.8" spans="1:77">
      <c r="A66" s="250"/>
      <c r="B66" s="250"/>
      <c r="C66" s="250"/>
      <c r="D66" s="270"/>
      <c r="E66" s="270"/>
      <c r="F66" s="250"/>
      <c r="G66" s="270"/>
      <c r="H66" s="250"/>
      <c r="I66" s="250"/>
      <c r="J66" s="27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71"/>
      <c r="X66" s="271"/>
      <c r="Y66" s="250"/>
      <c r="Z66" s="250"/>
      <c r="AA66" s="272"/>
      <c r="AB66" s="250"/>
      <c r="AC66" s="250"/>
      <c r="AD66" s="250"/>
      <c r="AE66" s="272"/>
      <c r="AF66" s="250"/>
      <c r="AG66" s="250"/>
      <c r="AH66" s="250"/>
      <c r="AI66" s="250"/>
      <c r="AJ66" s="250"/>
      <c r="AK66" s="250"/>
      <c r="AL66" s="250"/>
      <c r="AM66" s="250"/>
      <c r="AN66" s="250"/>
      <c r="AO66" s="250"/>
      <c r="AP66" s="250"/>
      <c r="AQ66" s="250"/>
      <c r="AR66" s="250"/>
      <c r="AS66" s="250"/>
      <c r="AT66" s="250"/>
      <c r="AU66" s="250"/>
      <c r="AV66" s="250"/>
      <c r="AW66" s="250"/>
      <c r="AX66" s="250"/>
      <c r="AY66" s="250"/>
      <c r="AZ66" s="250"/>
      <c r="BA66" s="250"/>
      <c r="BB66" s="250"/>
      <c r="BC66" s="250"/>
      <c r="BD66" s="250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</row>
    <row r="67" ht="13.8" spans="1:77">
      <c r="A67" s="250"/>
      <c r="B67" s="250"/>
      <c r="C67" s="250"/>
      <c r="D67" s="270"/>
      <c r="E67" s="270"/>
      <c r="F67" s="250"/>
      <c r="G67" s="270"/>
      <c r="H67" s="250"/>
      <c r="I67" s="250"/>
      <c r="J67" s="27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71"/>
      <c r="X67" s="271"/>
      <c r="Y67" s="250"/>
      <c r="Z67" s="250"/>
      <c r="AA67" s="272"/>
      <c r="AB67" s="250"/>
      <c r="AC67" s="250"/>
      <c r="AD67" s="250"/>
      <c r="AE67" s="272"/>
      <c r="AF67" s="250"/>
      <c r="AG67" s="250"/>
      <c r="AH67" s="250"/>
      <c r="AI67" s="250"/>
      <c r="AJ67" s="250"/>
      <c r="AK67" s="250"/>
      <c r="AL67" s="250"/>
      <c r="AM67" s="250"/>
      <c r="AN67" s="250"/>
      <c r="AO67" s="250"/>
      <c r="AP67" s="250"/>
      <c r="AQ67" s="250"/>
      <c r="AR67" s="250"/>
      <c r="AS67" s="250"/>
      <c r="AT67" s="250"/>
      <c r="AU67" s="250"/>
      <c r="AV67" s="250"/>
      <c r="AW67" s="250"/>
      <c r="AX67" s="250"/>
      <c r="AY67" s="250"/>
      <c r="AZ67" s="250"/>
      <c r="BA67" s="250"/>
      <c r="BB67" s="250"/>
      <c r="BC67" s="250"/>
      <c r="BD67" s="250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</row>
    <row r="68" ht="13.8" spans="1:77">
      <c r="A68" s="250"/>
      <c r="B68" s="250"/>
      <c r="C68" s="250"/>
      <c r="D68" s="270"/>
      <c r="E68" s="270"/>
      <c r="F68" s="250"/>
      <c r="G68" s="270"/>
      <c r="H68" s="250"/>
      <c r="I68" s="250"/>
      <c r="J68" s="27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71"/>
      <c r="X68" s="271"/>
      <c r="Y68" s="250"/>
      <c r="Z68" s="250"/>
      <c r="AA68" s="272"/>
      <c r="AB68" s="250"/>
      <c r="AC68" s="250"/>
      <c r="AD68" s="250"/>
      <c r="AE68" s="272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  <c r="AR68" s="250"/>
      <c r="AS68" s="250"/>
      <c r="AT68" s="250"/>
      <c r="AU68" s="250"/>
      <c r="AV68" s="250"/>
      <c r="AW68" s="250"/>
      <c r="AX68" s="250"/>
      <c r="AY68" s="250"/>
      <c r="AZ68" s="250"/>
      <c r="BA68" s="250"/>
      <c r="BB68" s="250"/>
      <c r="BC68" s="250"/>
      <c r="BD68" s="250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</row>
    <row r="69" ht="13.8" spans="1:77">
      <c r="A69" s="250"/>
      <c r="B69" s="250"/>
      <c r="C69" s="250"/>
      <c r="D69" s="270"/>
      <c r="E69" s="270"/>
      <c r="F69" s="250"/>
      <c r="G69" s="270"/>
      <c r="H69" s="250"/>
      <c r="I69" s="250"/>
      <c r="J69" s="27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W69" s="271"/>
      <c r="X69" s="271"/>
      <c r="Y69" s="250"/>
      <c r="Z69" s="250"/>
      <c r="AA69" s="272"/>
      <c r="AB69" s="250"/>
      <c r="AC69" s="250"/>
      <c r="AD69" s="250"/>
      <c r="AE69" s="272"/>
      <c r="AF69" s="250"/>
      <c r="AG69" s="250"/>
      <c r="AH69" s="250"/>
      <c r="AI69" s="250"/>
      <c r="AJ69" s="250"/>
      <c r="AK69" s="250"/>
      <c r="AL69" s="250"/>
      <c r="AM69" s="250"/>
      <c r="AN69" s="250"/>
      <c r="AO69" s="250"/>
      <c r="AP69" s="250"/>
      <c r="AQ69" s="250"/>
      <c r="AR69" s="250"/>
      <c r="AS69" s="250"/>
      <c r="AT69" s="250"/>
      <c r="AU69" s="250"/>
      <c r="AV69" s="250"/>
      <c r="AW69" s="250"/>
      <c r="AX69" s="250"/>
      <c r="AY69" s="250"/>
      <c r="AZ69" s="250"/>
      <c r="BA69" s="250"/>
      <c r="BB69" s="250"/>
      <c r="BC69" s="250"/>
      <c r="BD69" s="250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</row>
    <row r="70" ht="13.8" spans="1:77">
      <c r="A70" s="250"/>
      <c r="B70" s="250"/>
      <c r="C70" s="250"/>
      <c r="D70" s="270"/>
      <c r="E70" s="270"/>
      <c r="F70" s="250"/>
      <c r="G70" s="270"/>
      <c r="H70" s="250"/>
      <c r="I70" s="250"/>
      <c r="J70" s="27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71"/>
      <c r="X70" s="271"/>
      <c r="Y70" s="250"/>
      <c r="Z70" s="250"/>
      <c r="AA70" s="272"/>
      <c r="AB70" s="250"/>
      <c r="AC70" s="250"/>
      <c r="AD70" s="250"/>
      <c r="AE70" s="272"/>
      <c r="AF70" s="250"/>
      <c r="AG70" s="250"/>
      <c r="AH70" s="250"/>
      <c r="AI70" s="250"/>
      <c r="AJ70" s="250"/>
      <c r="AK70" s="250"/>
      <c r="AL70" s="250"/>
      <c r="AM70" s="250"/>
      <c r="AN70" s="250"/>
      <c r="AO70" s="250"/>
      <c r="AP70" s="250"/>
      <c r="AQ70" s="250"/>
      <c r="AR70" s="250"/>
      <c r="AS70" s="250"/>
      <c r="AT70" s="250"/>
      <c r="AU70" s="250"/>
      <c r="AV70" s="250"/>
      <c r="AW70" s="250"/>
      <c r="AX70" s="250"/>
      <c r="AY70" s="250"/>
      <c r="AZ70" s="250"/>
      <c r="BA70" s="250"/>
      <c r="BB70" s="250"/>
      <c r="BC70" s="250"/>
      <c r="BD70" s="250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</row>
    <row r="71" ht="13.8" spans="1:77">
      <c r="A71" s="250"/>
      <c r="B71" s="250"/>
      <c r="C71" s="250"/>
      <c r="D71" s="270"/>
      <c r="E71" s="270"/>
      <c r="F71" s="250"/>
      <c r="G71" s="270"/>
      <c r="H71" s="250"/>
      <c r="I71" s="250"/>
      <c r="J71" s="27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71"/>
      <c r="X71" s="271"/>
      <c r="Y71" s="250"/>
      <c r="Z71" s="250"/>
      <c r="AA71" s="272"/>
      <c r="AB71" s="250"/>
      <c r="AC71" s="250"/>
      <c r="AD71" s="250"/>
      <c r="AE71" s="272"/>
      <c r="AF71" s="250"/>
      <c r="AG71" s="250"/>
      <c r="AH71" s="250"/>
      <c r="AI71" s="250"/>
      <c r="AJ71" s="250"/>
      <c r="AK71" s="250"/>
      <c r="AL71" s="250"/>
      <c r="AM71" s="250"/>
      <c r="AN71" s="250"/>
      <c r="AO71" s="250"/>
      <c r="AP71" s="250"/>
      <c r="AQ71" s="250"/>
      <c r="AR71" s="250"/>
      <c r="AS71" s="250"/>
      <c r="AT71" s="250"/>
      <c r="AU71" s="250"/>
      <c r="AV71" s="250"/>
      <c r="AW71" s="250"/>
      <c r="AX71" s="250"/>
      <c r="AY71" s="250"/>
      <c r="AZ71" s="250"/>
      <c r="BA71" s="250"/>
      <c r="BB71" s="250"/>
      <c r="BC71" s="250"/>
      <c r="BD71" s="250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</row>
    <row r="72" ht="13.8" spans="1:77">
      <c r="A72" s="250"/>
      <c r="B72" s="250"/>
      <c r="C72" s="250"/>
      <c r="D72" s="270"/>
      <c r="E72" s="270"/>
      <c r="F72" s="250"/>
      <c r="G72" s="270"/>
      <c r="H72" s="250"/>
      <c r="I72" s="250"/>
      <c r="J72" s="27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71"/>
      <c r="X72" s="271"/>
      <c r="Y72" s="250"/>
      <c r="Z72" s="250"/>
      <c r="AA72" s="272"/>
      <c r="AB72" s="250"/>
      <c r="AC72" s="250"/>
      <c r="AD72" s="250"/>
      <c r="AE72" s="272"/>
      <c r="AF72" s="250"/>
      <c r="AG72" s="250"/>
      <c r="AH72" s="250"/>
      <c r="AI72" s="250"/>
      <c r="AJ72" s="250"/>
      <c r="AK72" s="250"/>
      <c r="AL72" s="250"/>
      <c r="AM72" s="250"/>
      <c r="AN72" s="250"/>
      <c r="AO72" s="250"/>
      <c r="AP72" s="250"/>
      <c r="AQ72" s="250"/>
      <c r="AR72" s="250"/>
      <c r="AS72" s="250"/>
      <c r="AT72" s="250"/>
      <c r="AU72" s="250"/>
      <c r="AV72" s="250"/>
      <c r="AW72" s="250"/>
      <c r="AX72" s="250"/>
      <c r="AY72" s="250"/>
      <c r="AZ72" s="250"/>
      <c r="BA72" s="250"/>
      <c r="BB72" s="250"/>
      <c r="BC72" s="250"/>
      <c r="BD72" s="250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</row>
    <row r="73" ht="13.8" spans="1:77">
      <c r="A73" s="250"/>
      <c r="B73" s="250"/>
      <c r="C73" s="250"/>
      <c r="D73" s="270"/>
      <c r="E73" s="270"/>
      <c r="F73" s="250"/>
      <c r="G73" s="270"/>
      <c r="H73" s="250"/>
      <c r="I73" s="250"/>
      <c r="J73" s="27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71"/>
      <c r="X73" s="271"/>
      <c r="Y73" s="250"/>
      <c r="Z73" s="250"/>
      <c r="AA73" s="272"/>
      <c r="AB73" s="250"/>
      <c r="AC73" s="250"/>
      <c r="AD73" s="250"/>
      <c r="AE73" s="272"/>
      <c r="AF73" s="250"/>
      <c r="AG73" s="250"/>
      <c r="AH73" s="250"/>
      <c r="AI73" s="250"/>
      <c r="AJ73" s="250"/>
      <c r="AK73" s="250"/>
      <c r="AL73" s="250"/>
      <c r="AM73" s="250"/>
      <c r="AN73" s="250"/>
      <c r="AO73" s="250"/>
      <c r="AP73" s="250"/>
      <c r="AQ73" s="250"/>
      <c r="AR73" s="250"/>
      <c r="AS73" s="250"/>
      <c r="AT73" s="250"/>
      <c r="AU73" s="250"/>
      <c r="AV73" s="250"/>
      <c r="AW73" s="250"/>
      <c r="AX73" s="250"/>
      <c r="AY73" s="250"/>
      <c r="AZ73" s="250"/>
      <c r="BA73" s="250"/>
      <c r="BB73" s="250"/>
      <c r="BC73" s="250"/>
      <c r="BD73" s="250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</row>
    <row r="74" ht="13.8" spans="1:77">
      <c r="A74" s="250"/>
      <c r="B74" s="250"/>
      <c r="C74" s="250"/>
      <c r="D74" s="270"/>
      <c r="E74" s="270"/>
      <c r="F74" s="250"/>
      <c r="G74" s="270"/>
      <c r="H74" s="250"/>
      <c r="I74" s="250"/>
      <c r="J74" s="27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71"/>
      <c r="X74" s="271"/>
      <c r="Y74" s="250"/>
      <c r="Z74" s="250"/>
      <c r="AA74" s="272"/>
      <c r="AB74" s="250"/>
      <c r="AC74" s="250"/>
      <c r="AD74" s="250"/>
      <c r="AE74" s="272"/>
      <c r="AF74" s="250"/>
      <c r="AG74" s="250"/>
      <c r="AH74" s="250"/>
      <c r="AI74" s="250"/>
      <c r="AJ74" s="250"/>
      <c r="AK74" s="250"/>
      <c r="AL74" s="250"/>
      <c r="AM74" s="250"/>
      <c r="AN74" s="250"/>
      <c r="AO74" s="250"/>
      <c r="AP74" s="250"/>
      <c r="AQ74" s="250"/>
      <c r="AR74" s="250"/>
      <c r="AS74" s="250"/>
      <c r="AT74" s="250"/>
      <c r="AU74" s="250"/>
      <c r="AV74" s="250"/>
      <c r="AW74" s="250"/>
      <c r="AX74" s="250"/>
      <c r="AY74" s="250"/>
      <c r="AZ74" s="250"/>
      <c r="BA74" s="250"/>
      <c r="BB74" s="250"/>
      <c r="BC74" s="250"/>
      <c r="BD74" s="250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</row>
    <row r="75" ht="13.8" spans="1:77">
      <c r="A75" s="250"/>
      <c r="B75" s="250"/>
      <c r="C75" s="250"/>
      <c r="D75" s="270"/>
      <c r="E75" s="270"/>
      <c r="F75" s="250"/>
      <c r="G75" s="270"/>
      <c r="H75" s="250"/>
      <c r="I75" s="250"/>
      <c r="J75" s="27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71"/>
      <c r="X75" s="271"/>
      <c r="Y75" s="250"/>
      <c r="Z75" s="250"/>
      <c r="AA75" s="272"/>
      <c r="AB75" s="250"/>
      <c r="AC75" s="250"/>
      <c r="AD75" s="250"/>
      <c r="AE75" s="272"/>
      <c r="AF75" s="250"/>
      <c r="AG75" s="250"/>
      <c r="AH75" s="250"/>
      <c r="AI75" s="250"/>
      <c r="AJ75" s="250"/>
      <c r="AK75" s="250"/>
      <c r="AL75" s="250"/>
      <c r="AM75" s="250"/>
      <c r="AN75" s="250"/>
      <c r="AO75" s="250"/>
      <c r="AP75" s="250"/>
      <c r="AQ75" s="250"/>
      <c r="AR75" s="250"/>
      <c r="AS75" s="250"/>
      <c r="AT75" s="250"/>
      <c r="AU75" s="250"/>
      <c r="AV75" s="250"/>
      <c r="AW75" s="250"/>
      <c r="AX75" s="250"/>
      <c r="AY75" s="250"/>
      <c r="AZ75" s="250"/>
      <c r="BA75" s="250"/>
      <c r="BB75" s="250"/>
      <c r="BC75" s="250"/>
      <c r="BD75" s="250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</row>
    <row r="76" ht="13.8" spans="1:77">
      <c r="A76" s="250"/>
      <c r="B76" s="250"/>
      <c r="C76" s="250"/>
      <c r="D76" s="270"/>
      <c r="E76" s="270"/>
      <c r="F76" s="250"/>
      <c r="G76" s="270"/>
      <c r="H76" s="250"/>
      <c r="I76" s="250"/>
      <c r="J76" s="27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71"/>
      <c r="X76" s="271"/>
      <c r="Y76" s="250"/>
      <c r="Z76" s="250"/>
      <c r="AA76" s="272"/>
      <c r="AB76" s="250"/>
      <c r="AC76" s="250"/>
      <c r="AD76" s="250"/>
      <c r="AE76" s="272"/>
      <c r="AF76" s="250"/>
      <c r="AG76" s="250"/>
      <c r="AH76" s="250"/>
      <c r="AI76" s="250"/>
      <c r="AJ76" s="250"/>
      <c r="AK76" s="250"/>
      <c r="AL76" s="250"/>
      <c r="AM76" s="250"/>
      <c r="AN76" s="250"/>
      <c r="AO76" s="250"/>
      <c r="AP76" s="250"/>
      <c r="AQ76" s="250"/>
      <c r="AR76" s="250"/>
      <c r="AS76" s="250"/>
      <c r="AT76" s="250"/>
      <c r="AU76" s="250"/>
      <c r="AV76" s="250"/>
      <c r="AW76" s="250"/>
      <c r="AX76" s="250"/>
      <c r="AY76" s="250"/>
      <c r="AZ76" s="250"/>
      <c r="BA76" s="250"/>
      <c r="BB76" s="250"/>
      <c r="BC76" s="250"/>
      <c r="BD76" s="250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</row>
    <row r="77" ht="13.8" spans="1:77">
      <c r="A77" s="250"/>
      <c r="B77" s="250"/>
      <c r="C77" s="250"/>
      <c r="D77" s="270"/>
      <c r="E77" s="270"/>
      <c r="F77" s="250"/>
      <c r="G77" s="270"/>
      <c r="H77" s="250"/>
      <c r="I77" s="250"/>
      <c r="J77" s="270"/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50"/>
      <c r="W77" s="271"/>
      <c r="X77" s="271"/>
      <c r="Y77" s="250"/>
      <c r="Z77" s="250"/>
      <c r="AA77" s="272"/>
      <c r="AB77" s="250"/>
      <c r="AC77" s="250"/>
      <c r="AD77" s="250"/>
      <c r="AE77" s="272"/>
      <c r="AF77" s="250"/>
      <c r="AG77" s="250"/>
      <c r="AH77" s="250"/>
      <c r="AI77" s="250"/>
      <c r="AJ77" s="250"/>
      <c r="AK77" s="250"/>
      <c r="AL77" s="250"/>
      <c r="AM77" s="250"/>
      <c r="AN77" s="250"/>
      <c r="AO77" s="250"/>
      <c r="AP77" s="250"/>
      <c r="AQ77" s="250"/>
      <c r="AR77" s="250"/>
      <c r="AS77" s="250"/>
      <c r="AT77" s="250"/>
      <c r="AU77" s="250"/>
      <c r="AV77" s="250"/>
      <c r="AW77" s="250"/>
      <c r="AX77" s="250"/>
      <c r="AY77" s="250"/>
      <c r="AZ77" s="250"/>
      <c r="BA77" s="250"/>
      <c r="BB77" s="250"/>
      <c r="BC77" s="250"/>
      <c r="BD77" s="250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</row>
    <row r="78" ht="13.8" spans="1:77">
      <c r="A78" s="250"/>
      <c r="B78" s="250"/>
      <c r="C78" s="250"/>
      <c r="D78" s="270"/>
      <c r="E78" s="270"/>
      <c r="F78" s="250"/>
      <c r="G78" s="270"/>
      <c r="H78" s="250"/>
      <c r="I78" s="250"/>
      <c r="J78" s="27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71"/>
      <c r="X78" s="271"/>
      <c r="Y78" s="250"/>
      <c r="Z78" s="250"/>
      <c r="AA78" s="272"/>
      <c r="AB78" s="250"/>
      <c r="AC78" s="250"/>
      <c r="AD78" s="250"/>
      <c r="AE78" s="272"/>
      <c r="AF78" s="250"/>
      <c r="AG78" s="250"/>
      <c r="AH78" s="250"/>
      <c r="AI78" s="250"/>
      <c r="AJ78" s="250"/>
      <c r="AK78" s="250"/>
      <c r="AL78" s="250"/>
      <c r="AM78" s="250"/>
      <c r="AN78" s="250"/>
      <c r="AO78" s="250"/>
      <c r="AP78" s="250"/>
      <c r="AQ78" s="250"/>
      <c r="AR78" s="250"/>
      <c r="AS78" s="250"/>
      <c r="AT78" s="250"/>
      <c r="AU78" s="250"/>
      <c r="AV78" s="250"/>
      <c r="AW78" s="250"/>
      <c r="AX78" s="250"/>
      <c r="AY78" s="250"/>
      <c r="AZ78" s="250"/>
      <c r="BA78" s="250"/>
      <c r="BB78" s="250"/>
      <c r="BC78" s="250"/>
      <c r="BD78" s="250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</row>
    <row r="79" ht="13.8" spans="1:77">
      <c r="A79" s="250"/>
      <c r="B79" s="250"/>
      <c r="C79" s="250"/>
      <c r="D79" s="270"/>
      <c r="E79" s="270"/>
      <c r="F79" s="250"/>
      <c r="G79" s="270"/>
      <c r="H79" s="250"/>
      <c r="I79" s="250"/>
      <c r="J79" s="27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71"/>
      <c r="X79" s="271"/>
      <c r="Y79" s="250"/>
      <c r="Z79" s="250"/>
      <c r="AA79" s="272"/>
      <c r="AB79" s="250"/>
      <c r="AC79" s="250"/>
      <c r="AD79" s="250"/>
      <c r="AE79" s="272"/>
      <c r="AF79" s="250"/>
      <c r="AG79" s="250"/>
      <c r="AH79" s="250"/>
      <c r="AI79" s="250"/>
      <c r="AJ79" s="250"/>
      <c r="AK79" s="250"/>
      <c r="AL79" s="250"/>
      <c r="AM79" s="250"/>
      <c r="AN79" s="250"/>
      <c r="AO79" s="250"/>
      <c r="AP79" s="250"/>
      <c r="AQ79" s="250"/>
      <c r="AR79" s="250"/>
      <c r="AS79" s="250"/>
      <c r="AT79" s="250"/>
      <c r="AU79" s="250"/>
      <c r="AV79" s="250"/>
      <c r="AW79" s="250"/>
      <c r="AX79" s="250"/>
      <c r="AY79" s="250"/>
      <c r="AZ79" s="250"/>
      <c r="BA79" s="250"/>
      <c r="BB79" s="250"/>
      <c r="BC79" s="250"/>
      <c r="BD79" s="250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</row>
    <row r="80" ht="13.8" spans="1:77">
      <c r="A80" s="250"/>
      <c r="B80" s="250"/>
      <c r="C80" s="250"/>
      <c r="D80" s="270"/>
      <c r="E80" s="270"/>
      <c r="F80" s="250"/>
      <c r="G80" s="270"/>
      <c r="H80" s="250"/>
      <c r="I80" s="250"/>
      <c r="J80" s="270"/>
      <c r="K80" s="250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  <c r="W80" s="271"/>
      <c r="X80" s="271"/>
      <c r="Y80" s="250"/>
      <c r="Z80" s="250"/>
      <c r="AA80" s="272"/>
      <c r="AB80" s="250"/>
      <c r="AC80" s="250"/>
      <c r="AD80" s="250"/>
      <c r="AE80" s="272"/>
      <c r="AF80" s="250"/>
      <c r="AG80" s="250"/>
      <c r="AH80" s="250"/>
      <c r="AI80" s="250"/>
      <c r="AJ80" s="250"/>
      <c r="AK80" s="250"/>
      <c r="AL80" s="250"/>
      <c r="AM80" s="250"/>
      <c r="AN80" s="250"/>
      <c r="AO80" s="250"/>
      <c r="AP80" s="250"/>
      <c r="AQ80" s="250"/>
      <c r="AR80" s="250"/>
      <c r="AS80" s="250"/>
      <c r="AT80" s="250"/>
      <c r="AU80" s="250"/>
      <c r="AV80" s="250"/>
      <c r="AW80" s="250"/>
      <c r="AX80" s="250"/>
      <c r="AY80" s="250"/>
      <c r="AZ80" s="250"/>
      <c r="BA80" s="250"/>
      <c r="BB80" s="250"/>
      <c r="BC80" s="250"/>
      <c r="BD80" s="250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</row>
    <row r="81" ht="13.8" spans="1:77">
      <c r="A81" s="250"/>
      <c r="B81" s="250"/>
      <c r="C81" s="250"/>
      <c r="D81" s="270"/>
      <c r="E81" s="270"/>
      <c r="F81" s="250"/>
      <c r="G81" s="270"/>
      <c r="H81" s="250"/>
      <c r="I81" s="250"/>
      <c r="J81" s="270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71"/>
      <c r="X81" s="271"/>
      <c r="Y81" s="250"/>
      <c r="Z81" s="250"/>
      <c r="AA81" s="272"/>
      <c r="AB81" s="250"/>
      <c r="AC81" s="250"/>
      <c r="AD81" s="250"/>
      <c r="AE81" s="272"/>
      <c r="AF81" s="250"/>
      <c r="AG81" s="250"/>
      <c r="AH81" s="250"/>
      <c r="AI81" s="250"/>
      <c r="AJ81" s="250"/>
      <c r="AK81" s="250"/>
      <c r="AL81" s="250"/>
      <c r="AM81" s="250"/>
      <c r="AN81" s="250"/>
      <c r="AO81" s="250"/>
      <c r="AP81" s="250"/>
      <c r="AQ81" s="250"/>
      <c r="AR81" s="250"/>
      <c r="AS81" s="250"/>
      <c r="AT81" s="250"/>
      <c r="AU81" s="250"/>
      <c r="AV81" s="250"/>
      <c r="AW81" s="250"/>
      <c r="AX81" s="250"/>
      <c r="AY81" s="250"/>
      <c r="AZ81" s="250"/>
      <c r="BA81" s="250"/>
      <c r="BB81" s="250"/>
      <c r="BC81" s="250"/>
      <c r="BD81" s="250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</row>
    <row r="82" ht="13.8" spans="1:77">
      <c r="A82" s="250"/>
      <c r="B82" s="250"/>
      <c r="C82" s="250"/>
      <c r="D82" s="270"/>
      <c r="E82" s="270"/>
      <c r="F82" s="250"/>
      <c r="G82" s="270"/>
      <c r="H82" s="250"/>
      <c r="I82" s="250"/>
      <c r="J82" s="270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71"/>
      <c r="X82" s="271"/>
      <c r="Y82" s="250"/>
      <c r="Z82" s="250"/>
      <c r="AA82" s="272"/>
      <c r="AB82" s="250"/>
      <c r="AC82" s="250"/>
      <c r="AD82" s="250"/>
      <c r="AE82" s="272"/>
      <c r="AF82" s="250"/>
      <c r="AG82" s="250"/>
      <c r="AH82" s="250"/>
      <c r="AI82" s="250"/>
      <c r="AJ82" s="250"/>
      <c r="AK82" s="250"/>
      <c r="AL82" s="250"/>
      <c r="AM82" s="250"/>
      <c r="AN82" s="250"/>
      <c r="AO82" s="250"/>
      <c r="AP82" s="250"/>
      <c r="AQ82" s="250"/>
      <c r="AR82" s="250"/>
      <c r="AS82" s="250"/>
      <c r="AT82" s="250"/>
      <c r="AU82" s="250"/>
      <c r="AV82" s="250"/>
      <c r="AW82" s="250"/>
      <c r="AX82" s="250"/>
      <c r="AY82" s="250"/>
      <c r="AZ82" s="250"/>
      <c r="BA82" s="250"/>
      <c r="BB82" s="250"/>
      <c r="BC82" s="250"/>
      <c r="BD82" s="250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</row>
    <row r="83" ht="13.8" spans="1:77">
      <c r="A83" s="250"/>
      <c r="B83" s="250"/>
      <c r="C83" s="250"/>
      <c r="D83" s="270"/>
      <c r="E83" s="270"/>
      <c r="F83" s="250"/>
      <c r="G83" s="270"/>
      <c r="H83" s="250"/>
      <c r="I83" s="250"/>
      <c r="J83" s="270"/>
      <c r="K83" s="250"/>
      <c r="L83" s="250"/>
      <c r="M83" s="250"/>
      <c r="N83" s="250"/>
      <c r="O83" s="250"/>
      <c r="P83" s="250"/>
      <c r="Q83" s="250"/>
      <c r="R83" s="250"/>
      <c r="S83" s="250"/>
      <c r="T83" s="250"/>
      <c r="U83" s="250"/>
      <c r="V83" s="250"/>
      <c r="W83" s="271"/>
      <c r="X83" s="271"/>
      <c r="Y83" s="250"/>
      <c r="Z83" s="250"/>
      <c r="AA83" s="272"/>
      <c r="AB83" s="250"/>
      <c r="AC83" s="250"/>
      <c r="AD83" s="250"/>
      <c r="AE83" s="272"/>
      <c r="AF83" s="250"/>
      <c r="AG83" s="250"/>
      <c r="AH83" s="250"/>
      <c r="AI83" s="250"/>
      <c r="AJ83" s="250"/>
      <c r="AK83" s="250"/>
      <c r="AL83" s="250"/>
      <c r="AM83" s="250"/>
      <c r="AN83" s="250"/>
      <c r="AO83" s="250"/>
      <c r="AP83" s="250"/>
      <c r="AQ83" s="250"/>
      <c r="AR83" s="250"/>
      <c r="AS83" s="250"/>
      <c r="AT83" s="250"/>
      <c r="AU83" s="250"/>
      <c r="AV83" s="250"/>
      <c r="AW83" s="250"/>
      <c r="AX83" s="250"/>
      <c r="AY83" s="250"/>
      <c r="AZ83" s="250"/>
      <c r="BA83" s="250"/>
      <c r="BB83" s="250"/>
      <c r="BC83" s="250"/>
      <c r="BD83" s="250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</row>
    <row r="84" ht="13.8" spans="1:77">
      <c r="A84" s="250"/>
      <c r="B84" s="250"/>
      <c r="C84" s="250"/>
      <c r="D84" s="270"/>
      <c r="E84" s="270"/>
      <c r="F84" s="250"/>
      <c r="G84" s="270"/>
      <c r="H84" s="250"/>
      <c r="I84" s="250"/>
      <c r="J84" s="270"/>
      <c r="K84" s="250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  <c r="W84" s="271"/>
      <c r="X84" s="271"/>
      <c r="Y84" s="250"/>
      <c r="Z84" s="250"/>
      <c r="AA84" s="272"/>
      <c r="AB84" s="250"/>
      <c r="AC84" s="250"/>
      <c r="AD84" s="250"/>
      <c r="AE84" s="272"/>
      <c r="AF84" s="250"/>
      <c r="AG84" s="250"/>
      <c r="AH84" s="250"/>
      <c r="AI84" s="250"/>
      <c r="AJ84" s="250"/>
      <c r="AK84" s="250"/>
      <c r="AL84" s="250"/>
      <c r="AM84" s="250"/>
      <c r="AN84" s="250"/>
      <c r="AO84" s="250"/>
      <c r="AP84" s="250"/>
      <c r="AQ84" s="250"/>
      <c r="AR84" s="250"/>
      <c r="AS84" s="250"/>
      <c r="AT84" s="250"/>
      <c r="AU84" s="250"/>
      <c r="AV84" s="250"/>
      <c r="AW84" s="250"/>
      <c r="AX84" s="250"/>
      <c r="AY84" s="250"/>
      <c r="AZ84" s="250"/>
      <c r="BA84" s="250"/>
      <c r="BB84" s="250"/>
      <c r="BC84" s="250"/>
      <c r="BD84" s="250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</row>
    <row r="85" ht="13.8" spans="1:77">
      <c r="A85" s="250"/>
      <c r="B85" s="250"/>
      <c r="C85" s="250"/>
      <c r="D85" s="270"/>
      <c r="E85" s="270"/>
      <c r="F85" s="250"/>
      <c r="G85" s="270"/>
      <c r="H85" s="250"/>
      <c r="I85" s="250"/>
      <c r="J85" s="270"/>
      <c r="K85" s="250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  <c r="W85" s="271"/>
      <c r="X85" s="271"/>
      <c r="Y85" s="250"/>
      <c r="Z85" s="250"/>
      <c r="AA85" s="272"/>
      <c r="AB85" s="250"/>
      <c r="AC85" s="250"/>
      <c r="AD85" s="250"/>
      <c r="AE85" s="272"/>
      <c r="AF85" s="250"/>
      <c r="AG85" s="250"/>
      <c r="AH85" s="250"/>
      <c r="AI85" s="250"/>
      <c r="AJ85" s="250"/>
      <c r="AK85" s="250"/>
      <c r="AL85" s="250"/>
      <c r="AM85" s="250"/>
      <c r="AN85" s="250"/>
      <c r="AO85" s="250"/>
      <c r="AP85" s="250"/>
      <c r="AQ85" s="250"/>
      <c r="AR85" s="250"/>
      <c r="AS85" s="250"/>
      <c r="AT85" s="250"/>
      <c r="AU85" s="250"/>
      <c r="AV85" s="250"/>
      <c r="AW85" s="250"/>
      <c r="AX85" s="250"/>
      <c r="AY85" s="250"/>
      <c r="AZ85" s="250"/>
      <c r="BA85" s="250"/>
      <c r="BB85" s="250"/>
      <c r="BC85" s="250"/>
      <c r="BD85" s="250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</row>
    <row r="86" ht="13.8" spans="1:77">
      <c r="A86" s="250"/>
      <c r="B86" s="250"/>
      <c r="C86" s="250"/>
      <c r="D86" s="270"/>
      <c r="E86" s="270"/>
      <c r="F86" s="250"/>
      <c r="G86" s="270"/>
      <c r="H86" s="250"/>
      <c r="I86" s="250"/>
      <c r="J86" s="27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71"/>
      <c r="X86" s="271"/>
      <c r="Y86" s="250"/>
      <c r="Z86" s="250"/>
      <c r="AA86" s="272"/>
      <c r="AB86" s="250"/>
      <c r="AC86" s="250"/>
      <c r="AD86" s="250"/>
      <c r="AE86" s="272"/>
      <c r="AF86" s="250"/>
      <c r="AG86" s="250"/>
      <c r="AH86" s="250"/>
      <c r="AI86" s="250"/>
      <c r="AJ86" s="250"/>
      <c r="AK86" s="250"/>
      <c r="AL86" s="250"/>
      <c r="AM86" s="250"/>
      <c r="AN86" s="250"/>
      <c r="AO86" s="250"/>
      <c r="AP86" s="250"/>
      <c r="AQ86" s="250"/>
      <c r="AR86" s="250"/>
      <c r="AS86" s="250"/>
      <c r="AT86" s="250"/>
      <c r="AU86" s="250"/>
      <c r="AV86" s="250"/>
      <c r="AW86" s="250"/>
      <c r="AX86" s="250"/>
      <c r="AY86" s="250"/>
      <c r="AZ86" s="250"/>
      <c r="BA86" s="250"/>
      <c r="BB86" s="250"/>
      <c r="BC86" s="250"/>
      <c r="BD86" s="250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</row>
    <row r="87" ht="13.8" spans="1:77">
      <c r="A87" s="250"/>
      <c r="B87" s="250"/>
      <c r="C87" s="250"/>
      <c r="D87" s="270"/>
      <c r="E87" s="270"/>
      <c r="F87" s="250"/>
      <c r="G87" s="270"/>
      <c r="H87" s="250"/>
      <c r="I87" s="250"/>
      <c r="J87" s="270"/>
      <c r="K87" s="250"/>
      <c r="L87" s="250"/>
      <c r="M87" s="250"/>
      <c r="N87" s="250"/>
      <c r="O87" s="250"/>
      <c r="P87" s="250"/>
      <c r="Q87" s="250"/>
      <c r="R87" s="250"/>
      <c r="S87" s="250"/>
      <c r="T87" s="250"/>
      <c r="U87" s="250"/>
      <c r="V87" s="250"/>
      <c r="W87" s="271"/>
      <c r="X87" s="271"/>
      <c r="Y87" s="250"/>
      <c r="Z87" s="250"/>
      <c r="AA87" s="272"/>
      <c r="AB87" s="250"/>
      <c r="AC87" s="250"/>
      <c r="AD87" s="250"/>
      <c r="AE87" s="272"/>
      <c r="AF87" s="250"/>
      <c r="AG87" s="250"/>
      <c r="AH87" s="250"/>
      <c r="AI87" s="250"/>
      <c r="AJ87" s="250"/>
      <c r="AK87" s="250"/>
      <c r="AL87" s="250"/>
      <c r="AM87" s="250"/>
      <c r="AN87" s="250"/>
      <c r="AO87" s="250"/>
      <c r="AP87" s="250"/>
      <c r="AQ87" s="250"/>
      <c r="AR87" s="250"/>
      <c r="AS87" s="250"/>
      <c r="AT87" s="250"/>
      <c r="AU87" s="250"/>
      <c r="AV87" s="250"/>
      <c r="AW87" s="250"/>
      <c r="AX87" s="250"/>
      <c r="AY87" s="250"/>
      <c r="AZ87" s="250"/>
      <c r="BA87" s="250"/>
      <c r="BB87" s="250"/>
      <c r="BC87" s="250"/>
      <c r="BD87" s="250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</row>
    <row r="88" ht="13.8" spans="1:77">
      <c r="A88" s="250"/>
      <c r="B88" s="250"/>
      <c r="C88" s="250"/>
      <c r="D88" s="270"/>
      <c r="E88" s="270"/>
      <c r="F88" s="250"/>
      <c r="G88" s="270"/>
      <c r="H88" s="250"/>
      <c r="I88" s="250"/>
      <c r="J88" s="270"/>
      <c r="K88" s="250"/>
      <c r="L88" s="250"/>
      <c r="M88" s="250"/>
      <c r="N88" s="250"/>
      <c r="O88" s="250"/>
      <c r="P88" s="250"/>
      <c r="Q88" s="250"/>
      <c r="R88" s="250"/>
      <c r="S88" s="250"/>
      <c r="T88" s="250"/>
      <c r="U88" s="250"/>
      <c r="V88" s="250"/>
      <c r="W88" s="271"/>
      <c r="X88" s="271"/>
      <c r="Y88" s="250"/>
      <c r="Z88" s="250"/>
      <c r="AA88" s="272"/>
      <c r="AB88" s="250"/>
      <c r="AC88" s="250"/>
      <c r="AD88" s="250"/>
      <c r="AE88" s="272"/>
      <c r="AF88" s="250"/>
      <c r="AG88" s="250"/>
      <c r="AH88" s="250"/>
      <c r="AI88" s="250"/>
      <c r="AJ88" s="250"/>
      <c r="AK88" s="250"/>
      <c r="AL88" s="250"/>
      <c r="AM88" s="250"/>
      <c r="AN88" s="250"/>
      <c r="AO88" s="250"/>
      <c r="AP88" s="250"/>
      <c r="AQ88" s="250"/>
      <c r="AR88" s="250"/>
      <c r="AS88" s="250"/>
      <c r="AT88" s="250"/>
      <c r="AU88" s="250"/>
      <c r="AV88" s="250"/>
      <c r="AW88" s="250"/>
      <c r="AX88" s="250"/>
      <c r="AY88" s="250"/>
      <c r="AZ88" s="250"/>
      <c r="BA88" s="250"/>
      <c r="BB88" s="250"/>
      <c r="BC88" s="250"/>
      <c r="BD88" s="250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</row>
    <row r="89" ht="13.8" spans="1:77">
      <c r="A89" s="250"/>
      <c r="B89" s="250"/>
      <c r="C89" s="250"/>
      <c r="D89" s="270"/>
      <c r="E89" s="270"/>
      <c r="F89" s="250"/>
      <c r="G89" s="270"/>
      <c r="H89" s="250"/>
      <c r="I89" s="250"/>
      <c r="J89" s="27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71"/>
      <c r="X89" s="271"/>
      <c r="Y89" s="250"/>
      <c r="Z89" s="250"/>
      <c r="AA89" s="272"/>
      <c r="AB89" s="250"/>
      <c r="AC89" s="250"/>
      <c r="AD89" s="250"/>
      <c r="AE89" s="272"/>
      <c r="AF89" s="250"/>
      <c r="AG89" s="250"/>
      <c r="AH89" s="250"/>
      <c r="AI89" s="250"/>
      <c r="AJ89" s="250"/>
      <c r="AK89" s="250"/>
      <c r="AL89" s="250"/>
      <c r="AM89" s="250"/>
      <c r="AN89" s="250"/>
      <c r="AO89" s="250"/>
      <c r="AP89" s="250"/>
      <c r="AQ89" s="250"/>
      <c r="AR89" s="250"/>
      <c r="AS89" s="250"/>
      <c r="AT89" s="250"/>
      <c r="AU89" s="250"/>
      <c r="AV89" s="250"/>
      <c r="AW89" s="250"/>
      <c r="AX89" s="250"/>
      <c r="AY89" s="250"/>
      <c r="AZ89" s="250"/>
      <c r="BA89" s="250"/>
      <c r="BB89" s="250"/>
      <c r="BC89" s="250"/>
      <c r="BD89" s="250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</row>
    <row r="90" ht="13.8" spans="1:77">
      <c r="A90" s="250"/>
      <c r="B90" s="250"/>
      <c r="C90" s="250"/>
      <c r="D90" s="270"/>
      <c r="E90" s="270"/>
      <c r="F90" s="250"/>
      <c r="G90" s="270"/>
      <c r="H90" s="250"/>
      <c r="I90" s="250"/>
      <c r="J90" s="270"/>
      <c r="K90" s="250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/>
      <c r="W90" s="271"/>
      <c r="X90" s="271"/>
      <c r="Y90" s="250"/>
      <c r="Z90" s="250"/>
      <c r="AA90" s="272"/>
      <c r="AB90" s="250"/>
      <c r="AC90" s="250"/>
      <c r="AD90" s="250"/>
      <c r="AE90" s="272"/>
      <c r="AF90" s="250"/>
      <c r="AG90" s="250"/>
      <c r="AH90" s="250"/>
      <c r="AI90" s="250"/>
      <c r="AJ90" s="250"/>
      <c r="AK90" s="250"/>
      <c r="AL90" s="250"/>
      <c r="AM90" s="250"/>
      <c r="AN90" s="250"/>
      <c r="AO90" s="250"/>
      <c r="AP90" s="250"/>
      <c r="AQ90" s="250"/>
      <c r="AR90" s="250"/>
      <c r="AS90" s="250"/>
      <c r="AT90" s="250"/>
      <c r="AU90" s="250"/>
      <c r="AV90" s="250"/>
      <c r="AW90" s="250"/>
      <c r="AX90" s="250"/>
      <c r="AY90" s="250"/>
      <c r="AZ90" s="250"/>
      <c r="BA90" s="250"/>
      <c r="BB90" s="250"/>
      <c r="BC90" s="250"/>
      <c r="BD90" s="250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</row>
    <row r="91" ht="13.8" spans="1:77">
      <c r="A91" s="250"/>
      <c r="B91" s="250"/>
      <c r="C91" s="250"/>
      <c r="D91" s="270"/>
      <c r="E91" s="270"/>
      <c r="F91" s="250"/>
      <c r="G91" s="270"/>
      <c r="H91" s="250"/>
      <c r="I91" s="250"/>
      <c r="J91" s="270"/>
      <c r="K91" s="250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71"/>
      <c r="X91" s="271"/>
      <c r="Y91" s="250"/>
      <c r="Z91" s="250"/>
      <c r="AA91" s="272"/>
      <c r="AB91" s="250"/>
      <c r="AC91" s="250"/>
      <c r="AD91" s="250"/>
      <c r="AE91" s="272"/>
      <c r="AF91" s="250"/>
      <c r="AG91" s="250"/>
      <c r="AH91" s="250"/>
      <c r="AI91" s="250"/>
      <c r="AJ91" s="250"/>
      <c r="AK91" s="250"/>
      <c r="AL91" s="250"/>
      <c r="AM91" s="250"/>
      <c r="AN91" s="250"/>
      <c r="AO91" s="250"/>
      <c r="AP91" s="250"/>
      <c r="AQ91" s="250"/>
      <c r="AR91" s="250"/>
      <c r="AS91" s="250"/>
      <c r="AT91" s="250"/>
      <c r="AU91" s="250"/>
      <c r="AV91" s="250"/>
      <c r="AW91" s="250"/>
      <c r="AX91" s="250"/>
      <c r="AY91" s="250"/>
      <c r="AZ91" s="250"/>
      <c r="BA91" s="250"/>
      <c r="BB91" s="250"/>
      <c r="BC91" s="250"/>
      <c r="BD91" s="250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</row>
    <row r="92" ht="13.8" spans="1:77">
      <c r="A92" s="250"/>
      <c r="B92" s="250"/>
      <c r="C92" s="250"/>
      <c r="D92" s="270"/>
      <c r="E92" s="270"/>
      <c r="F92" s="250"/>
      <c r="G92" s="270"/>
      <c r="H92" s="250"/>
      <c r="I92" s="250"/>
      <c r="J92" s="27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71"/>
      <c r="X92" s="271"/>
      <c r="Y92" s="250"/>
      <c r="Z92" s="250"/>
      <c r="AA92" s="272"/>
      <c r="AB92" s="250"/>
      <c r="AC92" s="250"/>
      <c r="AD92" s="250"/>
      <c r="AE92" s="272"/>
      <c r="AF92" s="250"/>
      <c r="AG92" s="250"/>
      <c r="AH92" s="250"/>
      <c r="AI92" s="250"/>
      <c r="AJ92" s="250"/>
      <c r="AK92" s="250"/>
      <c r="AL92" s="250"/>
      <c r="AM92" s="250"/>
      <c r="AN92" s="250"/>
      <c r="AO92" s="250"/>
      <c r="AP92" s="250"/>
      <c r="AQ92" s="250"/>
      <c r="AR92" s="250"/>
      <c r="AS92" s="250"/>
      <c r="AT92" s="250"/>
      <c r="AU92" s="250"/>
      <c r="AV92" s="250"/>
      <c r="AW92" s="250"/>
      <c r="AX92" s="250"/>
      <c r="AY92" s="250"/>
      <c r="AZ92" s="250"/>
      <c r="BA92" s="250"/>
      <c r="BB92" s="250"/>
      <c r="BC92" s="250"/>
      <c r="BD92" s="250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</row>
    <row r="93" ht="13.8" spans="1:77">
      <c r="A93" s="250"/>
      <c r="B93" s="250"/>
      <c r="C93" s="250"/>
      <c r="D93" s="270"/>
      <c r="E93" s="270"/>
      <c r="F93" s="250"/>
      <c r="G93" s="270"/>
      <c r="H93" s="250"/>
      <c r="I93" s="250"/>
      <c r="J93" s="270"/>
      <c r="K93" s="250"/>
      <c r="L93" s="250"/>
      <c r="M93" s="250"/>
      <c r="N93" s="250"/>
      <c r="O93" s="250"/>
      <c r="P93" s="250"/>
      <c r="Q93" s="250"/>
      <c r="R93" s="250"/>
      <c r="S93" s="250"/>
      <c r="T93" s="250"/>
      <c r="U93" s="250"/>
      <c r="V93" s="250"/>
      <c r="W93" s="271"/>
      <c r="X93" s="271"/>
      <c r="Y93" s="250"/>
      <c r="Z93" s="250"/>
      <c r="AA93" s="272"/>
      <c r="AB93" s="250"/>
      <c r="AC93" s="250"/>
      <c r="AD93" s="250"/>
      <c r="AE93" s="272"/>
      <c r="AF93" s="250"/>
      <c r="AG93" s="250"/>
      <c r="AH93" s="250"/>
      <c r="AI93" s="250"/>
      <c r="AJ93" s="250"/>
      <c r="AK93" s="250"/>
      <c r="AL93" s="250"/>
      <c r="AM93" s="250"/>
      <c r="AN93" s="250"/>
      <c r="AO93" s="250"/>
      <c r="AP93" s="250"/>
      <c r="AQ93" s="250"/>
      <c r="AR93" s="250"/>
      <c r="AS93" s="250"/>
      <c r="AT93" s="250"/>
      <c r="AU93" s="250"/>
      <c r="AV93" s="250"/>
      <c r="AW93" s="250"/>
      <c r="AX93" s="250"/>
      <c r="AY93" s="250"/>
      <c r="AZ93" s="250"/>
      <c r="BA93" s="250"/>
      <c r="BB93" s="250"/>
      <c r="BC93" s="250"/>
      <c r="BD93" s="250"/>
      <c r="BE93" s="250"/>
      <c r="BF93" s="250"/>
      <c r="BG93" s="250"/>
      <c r="BH93" s="250"/>
      <c r="BI93" s="250"/>
      <c r="BJ93" s="250"/>
      <c r="BK93" s="250"/>
      <c r="BL93" s="250"/>
      <c r="BM93" s="250"/>
      <c r="BN93" s="250"/>
      <c r="BO93" s="250"/>
      <c r="BP93" s="250"/>
      <c r="BQ93" s="250"/>
      <c r="BR93" s="250"/>
      <c r="BS93" s="250"/>
      <c r="BT93" s="250"/>
      <c r="BU93" s="250"/>
      <c r="BV93" s="250"/>
      <c r="BW93" s="250"/>
      <c r="BX93" s="250"/>
      <c r="BY93" s="250"/>
    </row>
    <row r="94" ht="13.8" spans="1:77">
      <c r="A94" s="250"/>
      <c r="B94" s="250"/>
      <c r="C94" s="250"/>
      <c r="D94" s="270"/>
      <c r="E94" s="270"/>
      <c r="F94" s="250"/>
      <c r="G94" s="270"/>
      <c r="H94" s="250"/>
      <c r="I94" s="250"/>
      <c r="J94" s="270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71"/>
      <c r="X94" s="271"/>
      <c r="Y94" s="250"/>
      <c r="Z94" s="250"/>
      <c r="AA94" s="272"/>
      <c r="AB94" s="250"/>
      <c r="AC94" s="250"/>
      <c r="AD94" s="250"/>
      <c r="AE94" s="272"/>
      <c r="AF94" s="250"/>
      <c r="AG94" s="250"/>
      <c r="AH94" s="250"/>
      <c r="AI94" s="250"/>
      <c r="AJ94" s="250"/>
      <c r="AK94" s="250"/>
      <c r="AL94" s="250"/>
      <c r="AM94" s="250"/>
      <c r="AN94" s="250"/>
      <c r="AO94" s="250"/>
      <c r="AP94" s="250"/>
      <c r="AQ94" s="250"/>
      <c r="AR94" s="250"/>
      <c r="AS94" s="250"/>
      <c r="AT94" s="250"/>
      <c r="AU94" s="250"/>
      <c r="AV94" s="250"/>
      <c r="AW94" s="250"/>
      <c r="AX94" s="250"/>
      <c r="AY94" s="250"/>
      <c r="AZ94" s="250"/>
      <c r="BA94" s="250"/>
      <c r="BB94" s="250"/>
      <c r="BC94" s="250"/>
      <c r="BD94" s="250"/>
      <c r="BE94" s="250"/>
      <c r="BF94" s="250"/>
      <c r="BG94" s="250"/>
      <c r="BH94" s="250"/>
      <c r="BI94" s="250"/>
      <c r="BJ94" s="250"/>
      <c r="BK94" s="250"/>
      <c r="BL94" s="250"/>
      <c r="BM94" s="250"/>
      <c r="BN94" s="250"/>
      <c r="BO94" s="250"/>
      <c r="BP94" s="250"/>
      <c r="BQ94" s="250"/>
      <c r="BR94" s="250"/>
      <c r="BS94" s="250"/>
      <c r="BT94" s="250"/>
      <c r="BU94" s="250"/>
      <c r="BV94" s="250"/>
      <c r="BW94" s="250"/>
      <c r="BX94" s="250"/>
      <c r="BY94" s="250"/>
    </row>
    <row r="95" ht="13.8" spans="1:77">
      <c r="A95" s="250"/>
      <c r="B95" s="250"/>
      <c r="C95" s="250"/>
      <c r="D95" s="270"/>
      <c r="E95" s="270"/>
      <c r="F95" s="250"/>
      <c r="G95" s="270"/>
      <c r="H95" s="250"/>
      <c r="I95" s="250"/>
      <c r="J95" s="270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71"/>
      <c r="X95" s="271"/>
      <c r="Y95" s="250"/>
      <c r="Z95" s="250"/>
      <c r="AA95" s="272"/>
      <c r="AB95" s="250"/>
      <c r="AC95" s="250"/>
      <c r="AD95" s="250"/>
      <c r="AE95" s="272"/>
      <c r="AF95" s="250"/>
      <c r="AG95" s="250"/>
      <c r="AH95" s="250"/>
      <c r="AI95" s="250"/>
      <c r="AJ95" s="250"/>
      <c r="AK95" s="250"/>
      <c r="AL95" s="250"/>
      <c r="AM95" s="250"/>
      <c r="AN95" s="250"/>
      <c r="AO95" s="250"/>
      <c r="AP95" s="250"/>
      <c r="AQ95" s="250"/>
      <c r="AR95" s="250"/>
      <c r="AS95" s="250"/>
      <c r="AT95" s="250"/>
      <c r="AU95" s="250"/>
      <c r="AV95" s="250"/>
      <c r="AW95" s="250"/>
      <c r="AX95" s="250"/>
      <c r="AY95" s="250"/>
      <c r="AZ95" s="250"/>
      <c r="BA95" s="250"/>
      <c r="BB95" s="250"/>
      <c r="BC95" s="250"/>
      <c r="BD95" s="250"/>
      <c r="BE95" s="250"/>
      <c r="BF95" s="250"/>
      <c r="BG95" s="250"/>
      <c r="BH95" s="250"/>
      <c r="BI95" s="250"/>
      <c r="BJ95" s="250"/>
      <c r="BK95" s="250"/>
      <c r="BL95" s="250"/>
      <c r="BM95" s="250"/>
      <c r="BN95" s="250"/>
      <c r="BO95" s="250"/>
      <c r="BP95" s="250"/>
      <c r="BQ95" s="250"/>
      <c r="BR95" s="250"/>
      <c r="BS95" s="250"/>
      <c r="BT95" s="250"/>
      <c r="BU95" s="250"/>
      <c r="BV95" s="250"/>
      <c r="BW95" s="250"/>
      <c r="BX95" s="250"/>
      <c r="BY95" s="250"/>
    </row>
    <row r="96" ht="13.8" spans="1:77">
      <c r="A96" s="250"/>
      <c r="B96" s="250"/>
      <c r="C96" s="250"/>
      <c r="D96" s="270"/>
      <c r="E96" s="270"/>
      <c r="F96" s="250"/>
      <c r="G96" s="270"/>
      <c r="H96" s="250"/>
      <c r="I96" s="250"/>
      <c r="J96" s="270"/>
      <c r="K96" s="250"/>
      <c r="L96" s="250"/>
      <c r="M96" s="250"/>
      <c r="N96" s="250"/>
      <c r="O96" s="250"/>
      <c r="P96" s="250"/>
      <c r="Q96" s="250"/>
      <c r="R96" s="250"/>
      <c r="S96" s="250"/>
      <c r="T96" s="250"/>
      <c r="U96" s="250"/>
      <c r="V96" s="250"/>
      <c r="W96" s="271"/>
      <c r="X96" s="271"/>
      <c r="Y96" s="250"/>
      <c r="Z96" s="250"/>
      <c r="AA96" s="272"/>
      <c r="AB96" s="250"/>
      <c r="AC96" s="250"/>
      <c r="AD96" s="250"/>
      <c r="AE96" s="272"/>
      <c r="AF96" s="250"/>
      <c r="AG96" s="250"/>
      <c r="AH96" s="250"/>
      <c r="AI96" s="250"/>
      <c r="AJ96" s="250"/>
      <c r="AK96" s="250"/>
      <c r="AL96" s="250"/>
      <c r="AM96" s="250"/>
      <c r="AN96" s="250"/>
      <c r="AO96" s="250"/>
      <c r="AP96" s="250"/>
      <c r="AQ96" s="250"/>
      <c r="AR96" s="250"/>
      <c r="AS96" s="250"/>
      <c r="AT96" s="250"/>
      <c r="AU96" s="250"/>
      <c r="AV96" s="250"/>
      <c r="AW96" s="250"/>
      <c r="AX96" s="250"/>
      <c r="AY96" s="250"/>
      <c r="AZ96" s="250"/>
      <c r="BA96" s="250"/>
      <c r="BB96" s="250"/>
      <c r="BC96" s="250"/>
      <c r="BD96" s="250"/>
      <c r="BE96" s="250"/>
      <c r="BF96" s="250"/>
      <c r="BG96" s="250"/>
      <c r="BH96" s="250"/>
      <c r="BI96" s="250"/>
      <c r="BJ96" s="250"/>
      <c r="BK96" s="250"/>
      <c r="BL96" s="250"/>
      <c r="BM96" s="250"/>
      <c r="BN96" s="250"/>
      <c r="BO96" s="250"/>
      <c r="BP96" s="250"/>
      <c r="BQ96" s="250"/>
      <c r="BR96" s="250"/>
      <c r="BS96" s="250"/>
      <c r="BT96" s="250"/>
      <c r="BU96" s="250"/>
      <c r="BV96" s="250"/>
      <c r="BW96" s="250"/>
      <c r="BX96" s="250"/>
      <c r="BY96" s="250"/>
    </row>
    <row r="97" ht="13.8" spans="1:77">
      <c r="A97" s="250"/>
      <c r="B97" s="250"/>
      <c r="C97" s="250"/>
      <c r="D97" s="270"/>
      <c r="E97" s="270"/>
      <c r="F97" s="250"/>
      <c r="G97" s="270"/>
      <c r="H97" s="250"/>
      <c r="I97" s="250"/>
      <c r="J97" s="270"/>
      <c r="K97" s="250"/>
      <c r="L97" s="250"/>
      <c r="M97" s="250"/>
      <c r="N97" s="250"/>
      <c r="O97" s="250"/>
      <c r="P97" s="250"/>
      <c r="Q97" s="250"/>
      <c r="R97" s="250"/>
      <c r="S97" s="250"/>
      <c r="T97" s="250"/>
      <c r="U97" s="250"/>
      <c r="V97" s="250"/>
      <c r="W97" s="271"/>
      <c r="X97" s="271"/>
      <c r="Y97" s="250"/>
      <c r="Z97" s="250"/>
      <c r="AA97" s="272"/>
      <c r="AB97" s="250"/>
      <c r="AC97" s="250"/>
      <c r="AD97" s="250"/>
      <c r="AE97" s="272"/>
      <c r="AF97" s="250"/>
      <c r="AG97" s="250"/>
      <c r="AH97" s="250"/>
      <c r="AI97" s="250"/>
      <c r="AJ97" s="250"/>
      <c r="AK97" s="250"/>
      <c r="AL97" s="250"/>
      <c r="AM97" s="250"/>
      <c r="AN97" s="250"/>
      <c r="AO97" s="250"/>
      <c r="AP97" s="250"/>
      <c r="AQ97" s="250"/>
      <c r="AR97" s="250"/>
      <c r="AS97" s="250"/>
      <c r="AT97" s="250"/>
      <c r="AU97" s="250"/>
      <c r="AV97" s="250"/>
      <c r="AW97" s="250"/>
      <c r="AX97" s="250"/>
      <c r="AY97" s="250"/>
      <c r="AZ97" s="250"/>
      <c r="BA97" s="250"/>
      <c r="BB97" s="250"/>
      <c r="BC97" s="250"/>
      <c r="BD97" s="250"/>
      <c r="BE97" s="250"/>
      <c r="BF97" s="250"/>
      <c r="BG97" s="250"/>
      <c r="BH97" s="250"/>
      <c r="BI97" s="250"/>
      <c r="BJ97" s="250"/>
      <c r="BK97" s="250"/>
      <c r="BL97" s="250"/>
      <c r="BM97" s="250"/>
      <c r="BN97" s="250"/>
      <c r="BO97" s="250"/>
      <c r="BP97" s="250"/>
      <c r="BQ97" s="250"/>
      <c r="BR97" s="250"/>
      <c r="BS97" s="250"/>
      <c r="BT97" s="250"/>
      <c r="BU97" s="250"/>
      <c r="BV97" s="250"/>
      <c r="BW97" s="250"/>
      <c r="BX97" s="250"/>
      <c r="BY97" s="250"/>
    </row>
    <row r="98" ht="13.8" spans="1:77">
      <c r="A98" s="250"/>
      <c r="B98" s="250"/>
      <c r="C98" s="250"/>
      <c r="D98" s="270"/>
      <c r="E98" s="270"/>
      <c r="F98" s="250"/>
      <c r="G98" s="270"/>
      <c r="H98" s="250"/>
      <c r="I98" s="250"/>
      <c r="J98" s="270"/>
      <c r="K98" s="250"/>
      <c r="L98" s="250"/>
      <c r="M98" s="250"/>
      <c r="N98" s="250"/>
      <c r="O98" s="250"/>
      <c r="P98" s="250"/>
      <c r="Q98" s="250"/>
      <c r="R98" s="250"/>
      <c r="S98" s="250"/>
      <c r="T98" s="250"/>
      <c r="U98" s="250"/>
      <c r="V98" s="250"/>
      <c r="W98" s="271"/>
      <c r="X98" s="271"/>
      <c r="Y98" s="250"/>
      <c r="Z98" s="250"/>
      <c r="AA98" s="272"/>
      <c r="AB98" s="250"/>
      <c r="AC98" s="250"/>
      <c r="AD98" s="250"/>
      <c r="AE98" s="272"/>
      <c r="AF98" s="250"/>
      <c r="AG98" s="250"/>
      <c r="AH98" s="250"/>
      <c r="AI98" s="250"/>
      <c r="AJ98" s="250"/>
      <c r="AK98" s="250"/>
      <c r="AL98" s="250"/>
      <c r="AM98" s="250"/>
      <c r="AN98" s="250"/>
      <c r="AO98" s="250"/>
      <c r="AP98" s="250"/>
      <c r="AQ98" s="250"/>
      <c r="AR98" s="250"/>
      <c r="AS98" s="250"/>
      <c r="AT98" s="250"/>
      <c r="AU98" s="250"/>
      <c r="AV98" s="250"/>
      <c r="AW98" s="250"/>
      <c r="AX98" s="250"/>
      <c r="AY98" s="250"/>
      <c r="AZ98" s="250"/>
      <c r="BA98" s="250"/>
      <c r="BB98" s="250"/>
      <c r="BC98" s="250"/>
      <c r="BD98" s="250"/>
      <c r="BE98" s="250"/>
      <c r="BF98" s="250"/>
      <c r="BG98" s="250"/>
      <c r="BH98" s="250"/>
      <c r="BI98" s="250"/>
      <c r="BJ98" s="250"/>
      <c r="BK98" s="250"/>
      <c r="BL98" s="250"/>
      <c r="BM98" s="250"/>
      <c r="BN98" s="250"/>
      <c r="BO98" s="250"/>
      <c r="BP98" s="250"/>
      <c r="BQ98" s="250"/>
      <c r="BR98" s="250"/>
      <c r="BS98" s="250"/>
      <c r="BT98" s="250"/>
      <c r="BU98" s="250"/>
      <c r="BV98" s="250"/>
      <c r="BW98" s="250"/>
      <c r="BX98" s="250"/>
      <c r="BY98" s="250"/>
    </row>
    <row r="99" ht="13.8" spans="1:77">
      <c r="A99" s="250"/>
      <c r="B99" s="250"/>
      <c r="C99" s="250"/>
      <c r="D99" s="270"/>
      <c r="E99" s="270"/>
      <c r="F99" s="250"/>
      <c r="G99" s="270"/>
      <c r="H99" s="250"/>
      <c r="I99" s="250"/>
      <c r="J99" s="270"/>
      <c r="K99" s="250"/>
      <c r="L99" s="250"/>
      <c r="M99" s="250"/>
      <c r="N99" s="250"/>
      <c r="O99" s="250"/>
      <c r="P99" s="250"/>
      <c r="Q99" s="250"/>
      <c r="R99" s="250"/>
      <c r="S99" s="250"/>
      <c r="T99" s="250"/>
      <c r="U99" s="250"/>
      <c r="V99" s="250"/>
      <c r="W99" s="271"/>
      <c r="X99" s="271"/>
      <c r="Y99" s="250"/>
      <c r="Z99" s="250"/>
      <c r="AA99" s="272"/>
      <c r="AB99" s="250"/>
      <c r="AC99" s="250"/>
      <c r="AD99" s="250"/>
      <c r="AE99" s="272"/>
      <c r="AF99" s="250"/>
      <c r="AG99" s="250"/>
      <c r="AH99" s="250"/>
      <c r="AI99" s="250"/>
      <c r="AJ99" s="250"/>
      <c r="AK99" s="250"/>
      <c r="AL99" s="250"/>
      <c r="AM99" s="250"/>
      <c r="AN99" s="250"/>
      <c r="AO99" s="250"/>
      <c r="AP99" s="250"/>
      <c r="AQ99" s="250"/>
      <c r="AR99" s="250"/>
      <c r="AS99" s="250"/>
      <c r="AT99" s="250"/>
      <c r="AU99" s="250"/>
      <c r="AV99" s="250"/>
      <c r="AW99" s="250"/>
      <c r="AX99" s="250"/>
      <c r="AY99" s="250"/>
      <c r="AZ99" s="250"/>
      <c r="BA99" s="250"/>
      <c r="BB99" s="250"/>
      <c r="BC99" s="250"/>
      <c r="BD99" s="250"/>
      <c r="BE99" s="250"/>
      <c r="BF99" s="250"/>
      <c r="BG99" s="250"/>
      <c r="BH99" s="250"/>
      <c r="BI99" s="250"/>
      <c r="BJ99" s="250"/>
      <c r="BK99" s="250"/>
      <c r="BL99" s="250"/>
      <c r="BM99" s="250"/>
      <c r="BN99" s="250"/>
      <c r="BO99" s="250"/>
      <c r="BP99" s="250"/>
      <c r="BQ99" s="250"/>
      <c r="BR99" s="250"/>
      <c r="BS99" s="250"/>
      <c r="BT99" s="250"/>
      <c r="BU99" s="250"/>
      <c r="BV99" s="250"/>
      <c r="BW99" s="250"/>
      <c r="BX99" s="250"/>
      <c r="BY99" s="250"/>
    </row>
    <row r="100" ht="13.8" spans="1:77">
      <c r="A100" s="250"/>
      <c r="B100" s="250"/>
      <c r="C100" s="250"/>
      <c r="D100" s="270"/>
      <c r="E100" s="270"/>
      <c r="F100" s="250"/>
      <c r="G100" s="270"/>
      <c r="H100" s="250"/>
      <c r="I100" s="250"/>
      <c r="J100" s="27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71"/>
      <c r="X100" s="271"/>
      <c r="Y100" s="250"/>
      <c r="Z100" s="250"/>
      <c r="AA100" s="272"/>
      <c r="AB100" s="250"/>
      <c r="AC100" s="250"/>
      <c r="AD100" s="250"/>
      <c r="AE100" s="272"/>
      <c r="AF100" s="250"/>
      <c r="AG100" s="250"/>
      <c r="AH100" s="250"/>
      <c r="AI100" s="250"/>
      <c r="AJ100" s="250"/>
      <c r="AK100" s="250"/>
      <c r="AL100" s="250"/>
      <c r="AM100" s="250"/>
      <c r="AN100" s="250"/>
      <c r="AO100" s="250"/>
      <c r="AP100" s="250"/>
      <c r="AQ100" s="250"/>
      <c r="AR100" s="250"/>
      <c r="AS100" s="250"/>
      <c r="AT100" s="250"/>
      <c r="AU100" s="250"/>
      <c r="AV100" s="250"/>
      <c r="AW100" s="250"/>
      <c r="AX100" s="250"/>
      <c r="AY100" s="250"/>
      <c r="AZ100" s="250"/>
      <c r="BA100" s="250"/>
      <c r="BB100" s="250"/>
      <c r="BC100" s="250"/>
      <c r="BD100" s="250"/>
      <c r="BE100" s="250"/>
      <c r="BF100" s="250"/>
      <c r="BG100" s="250"/>
      <c r="BH100" s="250"/>
      <c r="BI100" s="250"/>
      <c r="BJ100" s="250"/>
      <c r="BK100" s="250"/>
      <c r="BL100" s="250"/>
      <c r="BM100" s="250"/>
      <c r="BN100" s="250"/>
      <c r="BO100" s="250"/>
      <c r="BP100" s="250"/>
      <c r="BQ100" s="250"/>
      <c r="BR100" s="250"/>
      <c r="BS100" s="250"/>
      <c r="BT100" s="250"/>
      <c r="BU100" s="250"/>
      <c r="BV100" s="250"/>
      <c r="BW100" s="250"/>
      <c r="BX100" s="250"/>
      <c r="BY100" s="250"/>
    </row>
    <row r="101" ht="13.8" spans="1:77">
      <c r="A101" s="250"/>
      <c r="B101" s="250"/>
      <c r="C101" s="250"/>
      <c r="D101" s="270"/>
      <c r="E101" s="270"/>
      <c r="F101" s="250"/>
      <c r="G101" s="270"/>
      <c r="H101" s="250"/>
      <c r="I101" s="250"/>
      <c r="J101" s="270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  <c r="U101" s="250"/>
      <c r="V101" s="250"/>
      <c r="W101" s="271"/>
      <c r="X101" s="271"/>
      <c r="Y101" s="250"/>
      <c r="Z101" s="250"/>
      <c r="AA101" s="272"/>
      <c r="AB101" s="250"/>
      <c r="AC101" s="250"/>
      <c r="AD101" s="250"/>
      <c r="AE101" s="272"/>
      <c r="AF101" s="250"/>
      <c r="AG101" s="250"/>
      <c r="AH101" s="250"/>
      <c r="AI101" s="250"/>
      <c r="AJ101" s="250"/>
      <c r="AK101" s="250"/>
      <c r="AL101" s="250"/>
      <c r="AM101" s="250"/>
      <c r="AN101" s="250"/>
      <c r="AO101" s="250"/>
      <c r="AP101" s="250"/>
      <c r="AQ101" s="250"/>
      <c r="AR101" s="250"/>
      <c r="AS101" s="250"/>
      <c r="AT101" s="250"/>
      <c r="AU101" s="250"/>
      <c r="AV101" s="250"/>
      <c r="AW101" s="250"/>
      <c r="AX101" s="250"/>
      <c r="AY101" s="250"/>
      <c r="AZ101" s="250"/>
      <c r="BA101" s="250"/>
      <c r="BB101" s="250"/>
      <c r="BC101" s="250"/>
      <c r="BD101" s="250"/>
      <c r="BE101" s="250"/>
      <c r="BF101" s="250"/>
      <c r="BG101" s="250"/>
      <c r="BH101" s="250"/>
      <c r="BI101" s="250"/>
      <c r="BJ101" s="250"/>
      <c r="BK101" s="250"/>
      <c r="BL101" s="250"/>
      <c r="BM101" s="250"/>
      <c r="BN101" s="250"/>
      <c r="BO101" s="250"/>
      <c r="BP101" s="250"/>
      <c r="BQ101" s="250"/>
      <c r="BR101" s="250"/>
      <c r="BS101" s="250"/>
      <c r="BT101" s="250"/>
      <c r="BU101" s="250"/>
      <c r="BV101" s="250"/>
      <c r="BW101" s="250"/>
      <c r="BX101" s="250"/>
      <c r="BY101" s="250"/>
    </row>
    <row r="102" ht="13.8" spans="1:77">
      <c r="A102" s="250"/>
      <c r="B102" s="250"/>
      <c r="C102" s="250"/>
      <c r="D102" s="270"/>
      <c r="E102" s="270"/>
      <c r="F102" s="250"/>
      <c r="G102" s="270"/>
      <c r="H102" s="250"/>
      <c r="I102" s="250"/>
      <c r="J102" s="270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  <c r="U102" s="250"/>
      <c r="V102" s="250"/>
      <c r="W102" s="271"/>
      <c r="X102" s="271"/>
      <c r="Y102" s="250"/>
      <c r="Z102" s="250"/>
      <c r="AA102" s="272"/>
      <c r="AB102" s="250"/>
      <c r="AC102" s="250"/>
      <c r="AD102" s="250"/>
      <c r="AE102" s="272"/>
      <c r="AF102" s="250"/>
      <c r="AG102" s="250"/>
      <c r="AH102" s="250"/>
      <c r="AI102" s="250"/>
      <c r="AJ102" s="250"/>
      <c r="AK102" s="250"/>
      <c r="AL102" s="250"/>
      <c r="AM102" s="250"/>
      <c r="AN102" s="250"/>
      <c r="AO102" s="250"/>
      <c r="AP102" s="250"/>
      <c r="AQ102" s="250"/>
      <c r="AR102" s="250"/>
      <c r="AS102" s="250"/>
      <c r="AT102" s="250"/>
      <c r="AU102" s="250"/>
      <c r="AV102" s="250"/>
      <c r="AW102" s="250"/>
      <c r="AX102" s="250"/>
      <c r="AY102" s="250"/>
      <c r="AZ102" s="250"/>
      <c r="BA102" s="250"/>
      <c r="BB102" s="250"/>
      <c r="BC102" s="250"/>
      <c r="BD102" s="250"/>
      <c r="BE102" s="250"/>
      <c r="BF102" s="250"/>
      <c r="BG102" s="250"/>
      <c r="BH102" s="250"/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0"/>
      <c r="BS102" s="250"/>
      <c r="BT102" s="250"/>
      <c r="BU102" s="250"/>
      <c r="BV102" s="250"/>
      <c r="BW102" s="250"/>
      <c r="BX102" s="250"/>
      <c r="BY102" s="250"/>
    </row>
    <row r="103" ht="13.8" spans="1:77">
      <c r="A103" s="250"/>
      <c r="B103" s="250"/>
      <c r="C103" s="250"/>
      <c r="D103" s="270"/>
      <c r="E103" s="270"/>
      <c r="F103" s="250"/>
      <c r="G103" s="270"/>
      <c r="H103" s="250"/>
      <c r="I103" s="250"/>
      <c r="J103" s="270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  <c r="U103" s="250"/>
      <c r="V103" s="250"/>
      <c r="W103" s="271"/>
      <c r="X103" s="271"/>
      <c r="Y103" s="250"/>
      <c r="Z103" s="250"/>
      <c r="AA103" s="272"/>
      <c r="AB103" s="250"/>
      <c r="AC103" s="250"/>
      <c r="AD103" s="250"/>
      <c r="AE103" s="272"/>
      <c r="AF103" s="250"/>
      <c r="AG103" s="250"/>
      <c r="AH103" s="250"/>
      <c r="AI103" s="250"/>
      <c r="AJ103" s="250"/>
      <c r="AK103" s="250"/>
      <c r="AL103" s="250"/>
      <c r="AM103" s="250"/>
      <c r="AN103" s="250"/>
      <c r="AO103" s="250"/>
      <c r="AP103" s="250"/>
      <c r="AQ103" s="250"/>
      <c r="AR103" s="250"/>
      <c r="AS103" s="250"/>
      <c r="AT103" s="250"/>
      <c r="AU103" s="250"/>
      <c r="AV103" s="250"/>
      <c r="AW103" s="250"/>
      <c r="AX103" s="250"/>
      <c r="AY103" s="250"/>
      <c r="AZ103" s="250"/>
      <c r="BA103" s="250"/>
      <c r="BB103" s="250"/>
      <c r="BC103" s="250"/>
      <c r="BD103" s="250"/>
      <c r="BE103" s="250"/>
      <c r="BF103" s="250"/>
      <c r="BG103" s="250"/>
      <c r="BH103" s="250"/>
      <c r="BI103" s="250"/>
      <c r="BJ103" s="250"/>
      <c r="BK103" s="250"/>
      <c r="BL103" s="250"/>
      <c r="BM103" s="250"/>
      <c r="BN103" s="250"/>
      <c r="BO103" s="250"/>
      <c r="BP103" s="250"/>
      <c r="BQ103" s="250"/>
      <c r="BR103" s="250"/>
      <c r="BS103" s="250"/>
      <c r="BT103" s="250"/>
      <c r="BU103" s="250"/>
      <c r="BV103" s="250"/>
      <c r="BW103" s="250"/>
      <c r="BX103" s="250"/>
      <c r="BY103" s="250"/>
    </row>
    <row r="104" ht="13.8" spans="1:77">
      <c r="A104" s="250"/>
      <c r="B104" s="250"/>
      <c r="C104" s="250"/>
      <c r="D104" s="270"/>
      <c r="E104" s="270"/>
      <c r="F104" s="250"/>
      <c r="G104" s="270"/>
      <c r="H104" s="250"/>
      <c r="I104" s="250"/>
      <c r="J104" s="270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  <c r="U104" s="250"/>
      <c r="V104" s="250"/>
      <c r="W104" s="271"/>
      <c r="X104" s="271"/>
      <c r="Y104" s="250"/>
      <c r="Z104" s="250"/>
      <c r="AA104" s="272"/>
      <c r="AB104" s="250"/>
      <c r="AC104" s="250"/>
      <c r="AD104" s="250"/>
      <c r="AE104" s="272"/>
      <c r="AF104" s="250"/>
      <c r="AG104" s="250"/>
      <c r="AH104" s="250"/>
      <c r="AI104" s="250"/>
      <c r="AJ104" s="250"/>
      <c r="AK104" s="250"/>
      <c r="AL104" s="250"/>
      <c r="AM104" s="250"/>
      <c r="AN104" s="250"/>
      <c r="AO104" s="250"/>
      <c r="AP104" s="250"/>
      <c r="AQ104" s="250"/>
      <c r="AR104" s="250"/>
      <c r="AS104" s="250"/>
      <c r="AT104" s="250"/>
      <c r="AU104" s="250"/>
      <c r="AV104" s="250"/>
      <c r="AW104" s="250"/>
      <c r="AX104" s="250"/>
      <c r="AY104" s="250"/>
      <c r="AZ104" s="250"/>
      <c r="BA104" s="250"/>
      <c r="BB104" s="250"/>
      <c r="BC104" s="250"/>
      <c r="BD104" s="250"/>
      <c r="BE104" s="250"/>
      <c r="BF104" s="250"/>
      <c r="BG104" s="250"/>
      <c r="BH104" s="250"/>
      <c r="BI104" s="250"/>
      <c r="BJ104" s="250"/>
      <c r="BK104" s="250"/>
      <c r="BL104" s="250"/>
      <c r="BM104" s="250"/>
      <c r="BN104" s="250"/>
      <c r="BO104" s="250"/>
      <c r="BP104" s="250"/>
      <c r="BQ104" s="250"/>
      <c r="BR104" s="250"/>
      <c r="BS104" s="250"/>
      <c r="BT104" s="250"/>
      <c r="BU104" s="250"/>
      <c r="BV104" s="250"/>
      <c r="BW104" s="250"/>
      <c r="BX104" s="250"/>
      <c r="BY104" s="250"/>
    </row>
    <row r="105" ht="13.8" spans="1:77">
      <c r="A105" s="250"/>
      <c r="B105" s="250"/>
      <c r="C105" s="250"/>
      <c r="D105" s="270"/>
      <c r="E105" s="270"/>
      <c r="F105" s="250"/>
      <c r="G105" s="270"/>
      <c r="H105" s="250"/>
      <c r="I105" s="250"/>
      <c r="J105" s="270"/>
      <c r="K105" s="250"/>
      <c r="L105" s="250"/>
      <c r="M105" s="250"/>
      <c r="N105" s="250"/>
      <c r="O105" s="250"/>
      <c r="P105" s="250"/>
      <c r="Q105" s="250"/>
      <c r="R105" s="250"/>
      <c r="S105" s="250"/>
      <c r="T105" s="250"/>
      <c r="U105" s="250"/>
      <c r="V105" s="250"/>
      <c r="W105" s="271"/>
      <c r="X105" s="271"/>
      <c r="Y105" s="250"/>
      <c r="Z105" s="250"/>
      <c r="AA105" s="272"/>
      <c r="AB105" s="250"/>
      <c r="AC105" s="250"/>
      <c r="AD105" s="250"/>
      <c r="AE105" s="272"/>
      <c r="AF105" s="250"/>
      <c r="AG105" s="250"/>
      <c r="AH105" s="250"/>
      <c r="AI105" s="250"/>
      <c r="AJ105" s="250"/>
      <c r="AK105" s="250"/>
      <c r="AL105" s="250"/>
      <c r="AM105" s="250"/>
      <c r="AN105" s="250"/>
      <c r="AO105" s="250"/>
      <c r="AP105" s="250"/>
      <c r="AQ105" s="250"/>
      <c r="AR105" s="250"/>
      <c r="AS105" s="250"/>
      <c r="AT105" s="250"/>
      <c r="AU105" s="250"/>
      <c r="AV105" s="250"/>
      <c r="AW105" s="250"/>
      <c r="AX105" s="250"/>
      <c r="AY105" s="250"/>
      <c r="AZ105" s="250"/>
      <c r="BA105" s="250"/>
      <c r="BB105" s="250"/>
      <c r="BC105" s="250"/>
      <c r="BD105" s="250"/>
      <c r="BE105" s="250"/>
      <c r="BF105" s="250"/>
      <c r="BG105" s="250"/>
      <c r="BH105" s="250"/>
      <c r="BI105" s="250"/>
      <c r="BJ105" s="250"/>
      <c r="BK105" s="250"/>
      <c r="BL105" s="250"/>
      <c r="BM105" s="250"/>
      <c r="BN105" s="250"/>
      <c r="BO105" s="250"/>
      <c r="BP105" s="250"/>
      <c r="BQ105" s="250"/>
      <c r="BR105" s="250"/>
      <c r="BS105" s="250"/>
      <c r="BT105" s="250"/>
      <c r="BU105" s="250"/>
      <c r="BV105" s="250"/>
      <c r="BW105" s="250"/>
      <c r="BX105" s="250"/>
      <c r="BY105" s="250"/>
    </row>
    <row r="106" ht="13.8" spans="1:77">
      <c r="A106" s="250"/>
      <c r="B106" s="250"/>
      <c r="C106" s="250"/>
      <c r="D106" s="270"/>
      <c r="E106" s="270"/>
      <c r="F106" s="250"/>
      <c r="G106" s="270"/>
      <c r="H106" s="250"/>
      <c r="I106" s="250"/>
      <c r="J106" s="270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  <c r="U106" s="250"/>
      <c r="V106" s="250"/>
      <c r="W106" s="271"/>
      <c r="X106" s="271"/>
      <c r="Y106" s="250"/>
      <c r="Z106" s="250"/>
      <c r="AA106" s="272"/>
      <c r="AB106" s="250"/>
      <c r="AC106" s="250"/>
      <c r="AD106" s="250"/>
      <c r="AE106" s="272"/>
      <c r="AF106" s="250"/>
      <c r="AG106" s="250"/>
      <c r="AH106" s="250"/>
      <c r="AI106" s="250"/>
      <c r="AJ106" s="250"/>
      <c r="AK106" s="250"/>
      <c r="AL106" s="250"/>
      <c r="AM106" s="250"/>
      <c r="AN106" s="250"/>
      <c r="AO106" s="250"/>
      <c r="AP106" s="250"/>
      <c r="AQ106" s="250"/>
      <c r="AR106" s="250"/>
      <c r="AS106" s="250"/>
      <c r="AT106" s="250"/>
      <c r="AU106" s="250"/>
      <c r="AV106" s="250"/>
      <c r="AW106" s="250"/>
      <c r="AX106" s="250"/>
      <c r="AY106" s="250"/>
      <c r="AZ106" s="250"/>
      <c r="BA106" s="250"/>
      <c r="BB106" s="250"/>
      <c r="BC106" s="250"/>
      <c r="BD106" s="250"/>
      <c r="BE106" s="250"/>
      <c r="BF106" s="250"/>
      <c r="BG106" s="250"/>
      <c r="BH106" s="250"/>
      <c r="BI106" s="250"/>
      <c r="BJ106" s="250"/>
      <c r="BK106" s="250"/>
      <c r="BL106" s="250"/>
      <c r="BM106" s="250"/>
      <c r="BN106" s="250"/>
      <c r="BO106" s="250"/>
      <c r="BP106" s="250"/>
      <c r="BQ106" s="250"/>
      <c r="BR106" s="250"/>
      <c r="BS106" s="250"/>
      <c r="BT106" s="250"/>
      <c r="BU106" s="250"/>
      <c r="BV106" s="250"/>
      <c r="BW106" s="250"/>
      <c r="BX106" s="250"/>
      <c r="BY106" s="250"/>
    </row>
    <row r="107" ht="13.8" spans="1:77">
      <c r="A107" s="250"/>
      <c r="B107" s="250"/>
      <c r="C107" s="250"/>
      <c r="D107" s="270"/>
      <c r="E107" s="270"/>
      <c r="F107" s="250"/>
      <c r="G107" s="270"/>
      <c r="H107" s="250"/>
      <c r="I107" s="250"/>
      <c r="J107" s="270"/>
      <c r="K107" s="250"/>
      <c r="L107" s="250"/>
      <c r="M107" s="250"/>
      <c r="N107" s="250"/>
      <c r="O107" s="250"/>
      <c r="P107" s="250"/>
      <c r="Q107" s="250"/>
      <c r="R107" s="250"/>
      <c r="S107" s="250"/>
      <c r="T107" s="250"/>
      <c r="U107" s="250"/>
      <c r="V107" s="250"/>
      <c r="W107" s="271"/>
      <c r="X107" s="271"/>
      <c r="Y107" s="250"/>
      <c r="Z107" s="250"/>
      <c r="AA107" s="272"/>
      <c r="AB107" s="250"/>
      <c r="AC107" s="250"/>
      <c r="AD107" s="250"/>
      <c r="AE107" s="272"/>
      <c r="AF107" s="250"/>
      <c r="AG107" s="250"/>
      <c r="AH107" s="250"/>
      <c r="AI107" s="250"/>
      <c r="AJ107" s="250"/>
      <c r="AK107" s="250"/>
      <c r="AL107" s="250"/>
      <c r="AM107" s="250"/>
      <c r="AN107" s="250"/>
      <c r="AO107" s="250"/>
      <c r="AP107" s="250"/>
      <c r="AQ107" s="250"/>
      <c r="AR107" s="250"/>
      <c r="AS107" s="250"/>
      <c r="AT107" s="250"/>
      <c r="AU107" s="250"/>
      <c r="AV107" s="250"/>
      <c r="AW107" s="250"/>
      <c r="AX107" s="250"/>
      <c r="AY107" s="250"/>
      <c r="AZ107" s="250"/>
      <c r="BA107" s="250"/>
      <c r="BB107" s="250"/>
      <c r="BC107" s="250"/>
      <c r="BD107" s="250"/>
      <c r="BE107" s="250"/>
      <c r="BF107" s="250"/>
      <c r="BG107" s="250"/>
      <c r="BH107" s="250"/>
      <c r="BI107" s="250"/>
      <c r="BJ107" s="250"/>
      <c r="BK107" s="250"/>
      <c r="BL107" s="250"/>
      <c r="BM107" s="250"/>
      <c r="BN107" s="250"/>
      <c r="BO107" s="250"/>
      <c r="BP107" s="250"/>
      <c r="BQ107" s="250"/>
      <c r="BR107" s="250"/>
      <c r="BS107" s="250"/>
      <c r="BT107" s="250"/>
      <c r="BU107" s="250"/>
      <c r="BV107" s="250"/>
      <c r="BW107" s="250"/>
      <c r="BX107" s="250"/>
      <c r="BY107" s="250"/>
    </row>
    <row r="108" ht="13.8" spans="1:77">
      <c r="A108" s="250"/>
      <c r="B108" s="250"/>
      <c r="C108" s="250"/>
      <c r="D108" s="270"/>
      <c r="E108" s="270"/>
      <c r="F108" s="250"/>
      <c r="G108" s="270"/>
      <c r="H108" s="250"/>
      <c r="I108" s="250"/>
      <c r="J108" s="270"/>
      <c r="K108" s="250"/>
      <c r="L108" s="250"/>
      <c r="M108" s="250"/>
      <c r="N108" s="250"/>
      <c r="O108" s="250"/>
      <c r="P108" s="250"/>
      <c r="Q108" s="250"/>
      <c r="R108" s="250"/>
      <c r="S108" s="250"/>
      <c r="T108" s="250"/>
      <c r="U108" s="250"/>
      <c r="V108" s="250"/>
      <c r="W108" s="271"/>
      <c r="X108" s="271"/>
      <c r="Y108" s="250"/>
      <c r="Z108" s="250"/>
      <c r="AA108" s="272"/>
      <c r="AB108" s="250"/>
      <c r="AC108" s="250"/>
      <c r="AD108" s="250"/>
      <c r="AE108" s="272"/>
      <c r="AF108" s="250"/>
      <c r="AG108" s="250"/>
      <c r="AH108" s="250"/>
      <c r="AI108" s="250"/>
      <c r="AJ108" s="250"/>
      <c r="AK108" s="250"/>
      <c r="AL108" s="250"/>
      <c r="AM108" s="250"/>
      <c r="AN108" s="250"/>
      <c r="AO108" s="250"/>
      <c r="AP108" s="250"/>
      <c r="AQ108" s="250"/>
      <c r="AR108" s="250"/>
      <c r="AS108" s="250"/>
      <c r="AT108" s="250"/>
      <c r="AU108" s="250"/>
      <c r="AV108" s="250"/>
      <c r="AW108" s="250"/>
      <c r="AX108" s="250"/>
      <c r="AY108" s="250"/>
      <c r="AZ108" s="250"/>
      <c r="BA108" s="250"/>
      <c r="BB108" s="250"/>
      <c r="BC108" s="250"/>
      <c r="BD108" s="250"/>
      <c r="BE108" s="250"/>
      <c r="BF108" s="250"/>
      <c r="BG108" s="250"/>
      <c r="BH108" s="250"/>
      <c r="BI108" s="250"/>
      <c r="BJ108" s="250"/>
      <c r="BK108" s="250"/>
      <c r="BL108" s="250"/>
      <c r="BM108" s="250"/>
      <c r="BN108" s="250"/>
      <c r="BO108" s="250"/>
      <c r="BP108" s="250"/>
      <c r="BQ108" s="250"/>
      <c r="BR108" s="250"/>
      <c r="BS108" s="250"/>
      <c r="BT108" s="250"/>
      <c r="BU108" s="250"/>
      <c r="BV108" s="250"/>
      <c r="BW108" s="250"/>
      <c r="BX108" s="250"/>
      <c r="BY108" s="250"/>
    </row>
    <row r="109" ht="13.8" spans="1:77">
      <c r="A109" s="250"/>
      <c r="B109" s="250"/>
      <c r="C109" s="250"/>
      <c r="D109" s="270"/>
      <c r="E109" s="270"/>
      <c r="F109" s="250"/>
      <c r="G109" s="270"/>
      <c r="H109" s="250"/>
      <c r="I109" s="250"/>
      <c r="J109" s="270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  <c r="U109" s="250"/>
      <c r="V109" s="250"/>
      <c r="W109" s="271"/>
      <c r="X109" s="271"/>
      <c r="Y109" s="250"/>
      <c r="Z109" s="250"/>
      <c r="AA109" s="272"/>
      <c r="AB109" s="250"/>
      <c r="AC109" s="250"/>
      <c r="AD109" s="250"/>
      <c r="AE109" s="272"/>
      <c r="AF109" s="250"/>
      <c r="AG109" s="250"/>
      <c r="AH109" s="250"/>
      <c r="AI109" s="250"/>
      <c r="AJ109" s="250"/>
      <c r="AK109" s="250"/>
      <c r="AL109" s="250"/>
      <c r="AM109" s="250"/>
      <c r="AN109" s="250"/>
      <c r="AO109" s="250"/>
      <c r="AP109" s="250"/>
      <c r="AQ109" s="250"/>
      <c r="AR109" s="250"/>
      <c r="AS109" s="250"/>
      <c r="AT109" s="250"/>
      <c r="AU109" s="250"/>
      <c r="AV109" s="250"/>
      <c r="AW109" s="250"/>
      <c r="AX109" s="250"/>
      <c r="AY109" s="250"/>
      <c r="AZ109" s="250"/>
      <c r="BA109" s="250"/>
      <c r="BB109" s="250"/>
      <c r="BC109" s="250"/>
      <c r="BD109" s="250"/>
      <c r="BE109" s="250"/>
      <c r="BF109" s="250"/>
      <c r="BG109" s="250"/>
      <c r="BH109" s="250"/>
      <c r="BI109" s="250"/>
      <c r="BJ109" s="250"/>
      <c r="BK109" s="250"/>
      <c r="BL109" s="250"/>
      <c r="BM109" s="250"/>
      <c r="BN109" s="250"/>
      <c r="BO109" s="250"/>
      <c r="BP109" s="250"/>
      <c r="BQ109" s="250"/>
      <c r="BR109" s="250"/>
      <c r="BS109" s="250"/>
      <c r="BT109" s="250"/>
      <c r="BU109" s="250"/>
      <c r="BV109" s="250"/>
      <c r="BW109" s="250"/>
      <c r="BX109" s="250"/>
      <c r="BY109" s="250"/>
    </row>
    <row r="110" ht="13.8" spans="1:77">
      <c r="A110" s="250"/>
      <c r="B110" s="250"/>
      <c r="C110" s="250"/>
      <c r="D110" s="270"/>
      <c r="E110" s="270"/>
      <c r="F110" s="250"/>
      <c r="G110" s="270"/>
      <c r="H110" s="250"/>
      <c r="I110" s="250"/>
      <c r="J110" s="270"/>
      <c r="K110" s="250"/>
      <c r="L110" s="250"/>
      <c r="M110" s="250"/>
      <c r="N110" s="250"/>
      <c r="O110" s="250"/>
      <c r="P110" s="250"/>
      <c r="Q110" s="250"/>
      <c r="R110" s="250"/>
      <c r="S110" s="250"/>
      <c r="T110" s="250"/>
      <c r="U110" s="250"/>
      <c r="V110" s="250"/>
      <c r="W110" s="271"/>
      <c r="X110" s="271"/>
      <c r="Y110" s="250"/>
      <c r="Z110" s="250"/>
      <c r="AA110" s="272"/>
      <c r="AB110" s="250"/>
      <c r="AC110" s="250"/>
      <c r="AD110" s="250"/>
      <c r="AE110" s="272"/>
      <c r="AF110" s="250"/>
      <c r="AG110" s="250"/>
      <c r="AH110" s="250"/>
      <c r="AI110" s="250"/>
      <c r="AJ110" s="250"/>
      <c r="AK110" s="250"/>
      <c r="AL110" s="250"/>
      <c r="AM110" s="250"/>
      <c r="AN110" s="250"/>
      <c r="AO110" s="250"/>
      <c r="AP110" s="250"/>
      <c r="AQ110" s="250"/>
      <c r="AR110" s="250"/>
      <c r="AS110" s="250"/>
      <c r="AT110" s="250"/>
      <c r="AU110" s="250"/>
      <c r="AV110" s="250"/>
      <c r="AW110" s="250"/>
      <c r="AX110" s="250"/>
      <c r="AY110" s="250"/>
      <c r="AZ110" s="250"/>
      <c r="BA110" s="250"/>
      <c r="BB110" s="250"/>
      <c r="BC110" s="250"/>
      <c r="BD110" s="250"/>
      <c r="BE110" s="250"/>
      <c r="BF110" s="250"/>
      <c r="BG110" s="250"/>
      <c r="BH110" s="250"/>
      <c r="BI110" s="250"/>
      <c r="BJ110" s="250"/>
      <c r="BK110" s="250"/>
      <c r="BL110" s="250"/>
      <c r="BM110" s="250"/>
      <c r="BN110" s="250"/>
      <c r="BO110" s="250"/>
      <c r="BP110" s="250"/>
      <c r="BQ110" s="250"/>
      <c r="BR110" s="250"/>
      <c r="BS110" s="250"/>
      <c r="BT110" s="250"/>
      <c r="BU110" s="250"/>
      <c r="BV110" s="250"/>
      <c r="BW110" s="250"/>
      <c r="BX110" s="250"/>
      <c r="BY110" s="250"/>
    </row>
    <row r="111" ht="13.8" spans="1:77">
      <c r="A111" s="250"/>
      <c r="B111" s="250"/>
      <c r="C111" s="250"/>
      <c r="D111" s="270"/>
      <c r="E111" s="270"/>
      <c r="F111" s="250"/>
      <c r="G111" s="270"/>
      <c r="H111" s="250"/>
      <c r="I111" s="250"/>
      <c r="J111" s="270"/>
      <c r="K111" s="250"/>
      <c r="L111" s="250"/>
      <c r="M111" s="250"/>
      <c r="N111" s="250"/>
      <c r="O111" s="250"/>
      <c r="P111" s="250"/>
      <c r="Q111" s="250"/>
      <c r="R111" s="250"/>
      <c r="S111" s="250"/>
      <c r="T111" s="250"/>
      <c r="U111" s="250"/>
      <c r="V111" s="250"/>
      <c r="W111" s="271"/>
      <c r="X111" s="271"/>
      <c r="Y111" s="250"/>
      <c r="Z111" s="250"/>
      <c r="AA111" s="272"/>
      <c r="AB111" s="250"/>
      <c r="AC111" s="250"/>
      <c r="AD111" s="250"/>
      <c r="AE111" s="272"/>
      <c r="AF111" s="250"/>
      <c r="AG111" s="250"/>
      <c r="AH111" s="250"/>
      <c r="AI111" s="250"/>
      <c r="AJ111" s="250"/>
      <c r="AK111" s="250"/>
      <c r="AL111" s="250"/>
      <c r="AM111" s="250"/>
      <c r="AN111" s="250"/>
      <c r="AO111" s="250"/>
      <c r="AP111" s="250"/>
      <c r="AQ111" s="250"/>
      <c r="AR111" s="250"/>
      <c r="AS111" s="250"/>
      <c r="AT111" s="250"/>
      <c r="AU111" s="250"/>
      <c r="AV111" s="250"/>
      <c r="AW111" s="250"/>
      <c r="AX111" s="250"/>
      <c r="AY111" s="250"/>
      <c r="AZ111" s="250"/>
      <c r="BA111" s="250"/>
      <c r="BB111" s="250"/>
      <c r="BC111" s="250"/>
      <c r="BD111" s="250"/>
      <c r="BE111" s="250"/>
      <c r="BF111" s="250"/>
      <c r="BG111" s="250"/>
      <c r="BH111" s="250"/>
      <c r="BI111" s="250"/>
      <c r="BJ111" s="250"/>
      <c r="BK111" s="250"/>
      <c r="BL111" s="250"/>
      <c r="BM111" s="250"/>
      <c r="BN111" s="250"/>
      <c r="BO111" s="250"/>
      <c r="BP111" s="250"/>
      <c r="BQ111" s="250"/>
      <c r="BR111" s="250"/>
      <c r="BS111" s="250"/>
      <c r="BT111" s="250"/>
      <c r="BU111" s="250"/>
      <c r="BV111" s="250"/>
      <c r="BW111" s="250"/>
      <c r="BX111" s="250"/>
      <c r="BY111" s="250"/>
    </row>
    <row r="112" ht="13.8" spans="1:77">
      <c r="A112" s="250"/>
      <c r="B112" s="250"/>
      <c r="C112" s="250"/>
      <c r="D112" s="270"/>
      <c r="E112" s="270"/>
      <c r="F112" s="250"/>
      <c r="G112" s="270"/>
      <c r="H112" s="250"/>
      <c r="I112" s="250"/>
      <c r="J112" s="270"/>
      <c r="K112" s="250"/>
      <c r="L112" s="250"/>
      <c r="M112" s="250"/>
      <c r="N112" s="250"/>
      <c r="O112" s="250"/>
      <c r="P112" s="250"/>
      <c r="Q112" s="250"/>
      <c r="R112" s="250"/>
      <c r="S112" s="250"/>
      <c r="T112" s="250"/>
      <c r="U112" s="250"/>
      <c r="V112" s="250"/>
      <c r="W112" s="271"/>
      <c r="X112" s="271"/>
      <c r="Y112" s="250"/>
      <c r="Z112" s="250"/>
      <c r="AA112" s="272"/>
      <c r="AB112" s="250"/>
      <c r="AC112" s="250"/>
      <c r="AD112" s="250"/>
      <c r="AE112" s="272"/>
      <c r="AF112" s="250"/>
      <c r="AG112" s="250"/>
      <c r="AH112" s="250"/>
      <c r="AI112" s="250"/>
      <c r="AJ112" s="250"/>
      <c r="AK112" s="250"/>
      <c r="AL112" s="250"/>
      <c r="AM112" s="250"/>
      <c r="AN112" s="250"/>
      <c r="AO112" s="250"/>
      <c r="AP112" s="250"/>
      <c r="AQ112" s="250"/>
      <c r="AR112" s="250"/>
      <c r="AS112" s="250"/>
      <c r="AT112" s="250"/>
      <c r="AU112" s="250"/>
      <c r="AV112" s="250"/>
      <c r="AW112" s="250"/>
      <c r="AX112" s="250"/>
      <c r="AY112" s="250"/>
      <c r="AZ112" s="250"/>
      <c r="BA112" s="250"/>
      <c r="BB112" s="250"/>
      <c r="BC112" s="250"/>
      <c r="BD112" s="250"/>
      <c r="BE112" s="250"/>
      <c r="BF112" s="250"/>
      <c r="BG112" s="250"/>
      <c r="BH112" s="250"/>
      <c r="BI112" s="250"/>
      <c r="BJ112" s="250"/>
      <c r="BK112" s="250"/>
      <c r="BL112" s="250"/>
      <c r="BM112" s="250"/>
      <c r="BN112" s="250"/>
      <c r="BO112" s="250"/>
      <c r="BP112" s="250"/>
      <c r="BQ112" s="250"/>
      <c r="BR112" s="250"/>
      <c r="BS112" s="250"/>
      <c r="BT112" s="250"/>
      <c r="BU112" s="250"/>
      <c r="BV112" s="250"/>
      <c r="BW112" s="250"/>
      <c r="BX112" s="250"/>
      <c r="BY112" s="250"/>
    </row>
    <row r="113" ht="13.8" spans="1:77">
      <c r="A113" s="250"/>
      <c r="B113" s="250"/>
      <c r="C113" s="250"/>
      <c r="D113" s="270"/>
      <c r="E113" s="270"/>
      <c r="F113" s="250"/>
      <c r="G113" s="270"/>
      <c r="H113" s="250"/>
      <c r="I113" s="250"/>
      <c r="J113" s="27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71"/>
      <c r="X113" s="271"/>
      <c r="Y113" s="250"/>
      <c r="Z113" s="250"/>
      <c r="AA113" s="272"/>
      <c r="AB113" s="250"/>
      <c r="AC113" s="250"/>
      <c r="AD113" s="250"/>
      <c r="AE113" s="272"/>
      <c r="AF113" s="250"/>
      <c r="AG113" s="250"/>
      <c r="AH113" s="250"/>
      <c r="AI113" s="250"/>
      <c r="AJ113" s="250"/>
      <c r="AK113" s="250"/>
      <c r="AL113" s="250"/>
      <c r="AM113" s="250"/>
      <c r="AN113" s="250"/>
      <c r="AO113" s="250"/>
      <c r="AP113" s="250"/>
      <c r="AQ113" s="250"/>
      <c r="AR113" s="250"/>
      <c r="AS113" s="250"/>
      <c r="AT113" s="250"/>
      <c r="AU113" s="250"/>
      <c r="AV113" s="250"/>
      <c r="AW113" s="250"/>
      <c r="AX113" s="250"/>
      <c r="AY113" s="250"/>
      <c r="AZ113" s="250"/>
      <c r="BA113" s="250"/>
      <c r="BB113" s="250"/>
      <c r="BC113" s="250"/>
      <c r="BD113" s="250"/>
      <c r="BE113" s="250"/>
      <c r="BF113" s="250"/>
      <c r="BG113" s="250"/>
      <c r="BH113" s="250"/>
      <c r="BI113" s="250"/>
      <c r="BJ113" s="250"/>
      <c r="BK113" s="250"/>
      <c r="BL113" s="250"/>
      <c r="BM113" s="250"/>
      <c r="BN113" s="250"/>
      <c r="BO113" s="250"/>
      <c r="BP113" s="250"/>
      <c r="BQ113" s="250"/>
      <c r="BR113" s="250"/>
      <c r="BS113" s="250"/>
      <c r="BT113" s="250"/>
      <c r="BU113" s="250"/>
      <c r="BV113" s="250"/>
      <c r="BW113" s="250"/>
      <c r="BX113" s="250"/>
      <c r="BY113" s="250"/>
    </row>
    <row r="114" ht="13.8" spans="1:77">
      <c r="A114" s="250"/>
      <c r="B114" s="250"/>
      <c r="C114" s="250"/>
      <c r="D114" s="270"/>
      <c r="E114" s="270"/>
      <c r="F114" s="250"/>
      <c r="G114" s="270"/>
      <c r="H114" s="250"/>
      <c r="I114" s="250"/>
      <c r="J114" s="270"/>
      <c r="K114" s="250"/>
      <c r="L114" s="250"/>
      <c r="M114" s="250"/>
      <c r="N114" s="250"/>
      <c r="O114" s="250"/>
      <c r="P114" s="250"/>
      <c r="Q114" s="250"/>
      <c r="R114" s="250"/>
      <c r="S114" s="250"/>
      <c r="T114" s="250"/>
      <c r="U114" s="250"/>
      <c r="V114" s="250"/>
      <c r="W114" s="271"/>
      <c r="X114" s="271"/>
      <c r="Y114" s="250"/>
      <c r="Z114" s="250"/>
      <c r="AA114" s="272"/>
      <c r="AB114" s="250"/>
      <c r="AC114" s="250"/>
      <c r="AD114" s="250"/>
      <c r="AE114" s="272"/>
      <c r="AF114" s="250"/>
      <c r="AG114" s="250"/>
      <c r="AH114" s="250"/>
      <c r="AI114" s="250"/>
      <c r="AJ114" s="250"/>
      <c r="AK114" s="250"/>
      <c r="AL114" s="250"/>
      <c r="AM114" s="250"/>
      <c r="AN114" s="250"/>
      <c r="AO114" s="250"/>
      <c r="AP114" s="250"/>
      <c r="AQ114" s="250"/>
      <c r="AR114" s="250"/>
      <c r="AS114" s="250"/>
      <c r="AT114" s="250"/>
      <c r="AU114" s="250"/>
      <c r="AV114" s="250"/>
      <c r="AW114" s="250"/>
      <c r="AX114" s="250"/>
      <c r="AY114" s="250"/>
      <c r="AZ114" s="250"/>
      <c r="BA114" s="250"/>
      <c r="BB114" s="250"/>
      <c r="BC114" s="250"/>
      <c r="BD114" s="250"/>
      <c r="BE114" s="250"/>
      <c r="BF114" s="250"/>
      <c r="BG114" s="250"/>
      <c r="BH114" s="250"/>
      <c r="BI114" s="250"/>
      <c r="BJ114" s="250"/>
      <c r="BK114" s="250"/>
      <c r="BL114" s="250"/>
      <c r="BM114" s="250"/>
      <c r="BN114" s="250"/>
      <c r="BO114" s="250"/>
      <c r="BP114" s="250"/>
      <c r="BQ114" s="250"/>
      <c r="BR114" s="250"/>
      <c r="BS114" s="250"/>
      <c r="BT114" s="250"/>
      <c r="BU114" s="250"/>
      <c r="BV114" s="250"/>
      <c r="BW114" s="250"/>
      <c r="BX114" s="250"/>
      <c r="BY114" s="250"/>
    </row>
    <row r="115" ht="13.8" spans="1:77">
      <c r="A115" s="250"/>
      <c r="B115" s="250"/>
      <c r="C115" s="250"/>
      <c r="D115" s="270"/>
      <c r="E115" s="270"/>
      <c r="F115" s="250"/>
      <c r="G115" s="270"/>
      <c r="H115" s="250"/>
      <c r="I115" s="250"/>
      <c r="J115" s="270"/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  <c r="U115" s="250"/>
      <c r="V115" s="250"/>
      <c r="W115" s="271"/>
      <c r="X115" s="271"/>
      <c r="Y115" s="250"/>
      <c r="Z115" s="250"/>
      <c r="AA115" s="272"/>
      <c r="AB115" s="250"/>
      <c r="AC115" s="250"/>
      <c r="AD115" s="250"/>
      <c r="AE115" s="272"/>
      <c r="AF115" s="250"/>
      <c r="AG115" s="250"/>
      <c r="AH115" s="250"/>
      <c r="AI115" s="250"/>
      <c r="AJ115" s="250"/>
      <c r="AK115" s="250"/>
      <c r="AL115" s="250"/>
      <c r="AM115" s="250"/>
      <c r="AN115" s="250"/>
      <c r="AO115" s="250"/>
      <c r="AP115" s="250"/>
      <c r="AQ115" s="250"/>
      <c r="AR115" s="250"/>
      <c r="AS115" s="250"/>
      <c r="AT115" s="250"/>
      <c r="AU115" s="250"/>
      <c r="AV115" s="250"/>
      <c r="AW115" s="250"/>
      <c r="AX115" s="250"/>
      <c r="AY115" s="250"/>
      <c r="AZ115" s="250"/>
      <c r="BA115" s="250"/>
      <c r="BB115" s="250"/>
      <c r="BC115" s="250"/>
      <c r="BD115" s="250"/>
      <c r="BE115" s="250"/>
      <c r="BF115" s="250"/>
      <c r="BG115" s="250"/>
      <c r="BH115" s="250"/>
      <c r="BI115" s="250"/>
      <c r="BJ115" s="250"/>
      <c r="BK115" s="250"/>
      <c r="BL115" s="250"/>
      <c r="BM115" s="250"/>
      <c r="BN115" s="250"/>
      <c r="BO115" s="250"/>
      <c r="BP115" s="250"/>
      <c r="BQ115" s="250"/>
      <c r="BR115" s="250"/>
      <c r="BS115" s="250"/>
      <c r="BT115" s="250"/>
      <c r="BU115" s="250"/>
      <c r="BV115" s="250"/>
      <c r="BW115" s="250"/>
      <c r="BX115" s="250"/>
      <c r="BY115" s="250"/>
    </row>
    <row r="116" ht="13.8" spans="1:77">
      <c r="A116" s="250"/>
      <c r="B116" s="250"/>
      <c r="C116" s="250"/>
      <c r="D116" s="270"/>
      <c r="E116" s="270"/>
      <c r="F116" s="250"/>
      <c r="G116" s="270"/>
      <c r="H116" s="250"/>
      <c r="I116" s="250"/>
      <c r="J116" s="270"/>
      <c r="K116" s="250"/>
      <c r="L116" s="250"/>
      <c r="M116" s="250"/>
      <c r="N116" s="250"/>
      <c r="O116" s="250"/>
      <c r="P116" s="250"/>
      <c r="Q116" s="250"/>
      <c r="R116" s="250"/>
      <c r="S116" s="250"/>
      <c r="T116" s="250"/>
      <c r="U116" s="250"/>
      <c r="V116" s="250"/>
      <c r="W116" s="271"/>
      <c r="X116" s="271"/>
      <c r="Y116" s="250"/>
      <c r="Z116" s="250"/>
      <c r="AA116" s="272"/>
      <c r="AB116" s="250"/>
      <c r="AC116" s="250"/>
      <c r="AD116" s="250"/>
      <c r="AE116" s="272"/>
      <c r="AF116" s="250"/>
      <c r="AG116" s="250"/>
      <c r="AH116" s="250"/>
      <c r="AI116" s="250"/>
      <c r="AJ116" s="250"/>
      <c r="AK116" s="250"/>
      <c r="AL116" s="250"/>
      <c r="AM116" s="250"/>
      <c r="AN116" s="250"/>
      <c r="AO116" s="250"/>
      <c r="AP116" s="250"/>
      <c r="AQ116" s="250"/>
      <c r="AR116" s="250"/>
      <c r="AS116" s="250"/>
      <c r="AT116" s="250"/>
      <c r="AU116" s="250"/>
      <c r="AV116" s="250"/>
      <c r="AW116" s="250"/>
      <c r="AX116" s="250"/>
      <c r="AY116" s="250"/>
      <c r="AZ116" s="250"/>
      <c r="BA116" s="250"/>
      <c r="BB116" s="250"/>
      <c r="BC116" s="250"/>
      <c r="BD116" s="250"/>
      <c r="BE116" s="250"/>
      <c r="BF116" s="250"/>
      <c r="BG116" s="250"/>
      <c r="BH116" s="250"/>
      <c r="BI116" s="250"/>
      <c r="BJ116" s="250"/>
      <c r="BK116" s="250"/>
      <c r="BL116" s="250"/>
      <c r="BM116" s="250"/>
      <c r="BN116" s="250"/>
      <c r="BO116" s="250"/>
      <c r="BP116" s="250"/>
      <c r="BQ116" s="250"/>
      <c r="BR116" s="250"/>
      <c r="BS116" s="250"/>
      <c r="BT116" s="250"/>
      <c r="BU116" s="250"/>
      <c r="BV116" s="250"/>
      <c r="BW116" s="250"/>
      <c r="BX116" s="250"/>
      <c r="BY116" s="250"/>
    </row>
    <row r="117" ht="13.8" spans="1:77">
      <c r="A117" s="250"/>
      <c r="B117" s="250"/>
      <c r="C117" s="250"/>
      <c r="D117" s="270"/>
      <c r="E117" s="270"/>
      <c r="F117" s="250"/>
      <c r="G117" s="270"/>
      <c r="H117" s="250"/>
      <c r="I117" s="250"/>
      <c r="J117" s="270"/>
      <c r="K117" s="250"/>
      <c r="L117" s="250"/>
      <c r="M117" s="250"/>
      <c r="N117" s="250"/>
      <c r="O117" s="250"/>
      <c r="P117" s="250"/>
      <c r="Q117" s="250"/>
      <c r="R117" s="250"/>
      <c r="S117" s="250"/>
      <c r="T117" s="250"/>
      <c r="U117" s="250"/>
      <c r="V117" s="250"/>
      <c r="W117" s="271"/>
      <c r="X117" s="271"/>
      <c r="Y117" s="250"/>
      <c r="Z117" s="250"/>
      <c r="AA117" s="272"/>
      <c r="AB117" s="250"/>
      <c r="AC117" s="250"/>
      <c r="AD117" s="250"/>
      <c r="AE117" s="272"/>
      <c r="AF117" s="250"/>
      <c r="AG117" s="250"/>
      <c r="AH117" s="250"/>
      <c r="AI117" s="250"/>
      <c r="AJ117" s="250"/>
      <c r="AK117" s="250"/>
      <c r="AL117" s="250"/>
      <c r="AM117" s="250"/>
      <c r="AN117" s="250"/>
      <c r="AO117" s="250"/>
      <c r="AP117" s="250"/>
      <c r="AQ117" s="250"/>
      <c r="AR117" s="250"/>
      <c r="AS117" s="250"/>
      <c r="AT117" s="250"/>
      <c r="AU117" s="250"/>
      <c r="AV117" s="250"/>
      <c r="AW117" s="250"/>
      <c r="AX117" s="250"/>
      <c r="AY117" s="250"/>
      <c r="AZ117" s="250"/>
      <c r="BA117" s="250"/>
      <c r="BB117" s="250"/>
      <c r="BC117" s="250"/>
      <c r="BD117" s="250"/>
      <c r="BE117" s="250"/>
      <c r="BF117" s="250"/>
      <c r="BG117" s="250"/>
      <c r="BH117" s="250"/>
      <c r="BI117" s="250"/>
      <c r="BJ117" s="250"/>
      <c r="BK117" s="250"/>
      <c r="BL117" s="250"/>
      <c r="BM117" s="250"/>
      <c r="BN117" s="250"/>
      <c r="BO117" s="250"/>
      <c r="BP117" s="250"/>
      <c r="BQ117" s="250"/>
      <c r="BR117" s="250"/>
      <c r="BS117" s="250"/>
      <c r="BT117" s="250"/>
      <c r="BU117" s="250"/>
      <c r="BV117" s="250"/>
      <c r="BW117" s="250"/>
      <c r="BX117" s="250"/>
      <c r="BY117" s="250"/>
    </row>
    <row r="118" ht="13.8" spans="1:77">
      <c r="A118" s="250"/>
      <c r="B118" s="250"/>
      <c r="C118" s="250"/>
      <c r="D118" s="270"/>
      <c r="E118" s="270"/>
      <c r="F118" s="250"/>
      <c r="G118" s="270"/>
      <c r="H118" s="250"/>
      <c r="I118" s="250"/>
      <c r="J118" s="270"/>
      <c r="K118" s="250"/>
      <c r="L118" s="250"/>
      <c r="M118" s="250"/>
      <c r="N118" s="250"/>
      <c r="O118" s="250"/>
      <c r="P118" s="250"/>
      <c r="Q118" s="250"/>
      <c r="R118" s="250"/>
      <c r="S118" s="250"/>
      <c r="T118" s="250"/>
      <c r="U118" s="250"/>
      <c r="V118" s="250"/>
      <c r="W118" s="271"/>
      <c r="X118" s="271"/>
      <c r="Y118" s="250"/>
      <c r="Z118" s="250"/>
      <c r="AA118" s="272"/>
      <c r="AB118" s="250"/>
      <c r="AC118" s="250"/>
      <c r="AD118" s="250"/>
      <c r="AE118" s="272"/>
      <c r="AF118" s="250"/>
      <c r="AG118" s="250"/>
      <c r="AH118" s="250"/>
      <c r="AI118" s="250"/>
      <c r="AJ118" s="250"/>
      <c r="AK118" s="250"/>
      <c r="AL118" s="250"/>
      <c r="AM118" s="250"/>
      <c r="AN118" s="250"/>
      <c r="AO118" s="250"/>
      <c r="AP118" s="250"/>
      <c r="AQ118" s="250"/>
      <c r="AR118" s="250"/>
      <c r="AS118" s="250"/>
      <c r="AT118" s="250"/>
      <c r="AU118" s="250"/>
      <c r="AV118" s="250"/>
      <c r="AW118" s="250"/>
      <c r="AX118" s="250"/>
      <c r="AY118" s="250"/>
      <c r="AZ118" s="250"/>
      <c r="BA118" s="250"/>
      <c r="BB118" s="250"/>
      <c r="BC118" s="250"/>
      <c r="BD118" s="250"/>
      <c r="BE118" s="250"/>
      <c r="BF118" s="250"/>
      <c r="BG118" s="250"/>
      <c r="BH118" s="250"/>
      <c r="BI118" s="250"/>
      <c r="BJ118" s="250"/>
      <c r="BK118" s="250"/>
      <c r="BL118" s="250"/>
      <c r="BM118" s="250"/>
      <c r="BN118" s="250"/>
      <c r="BO118" s="250"/>
      <c r="BP118" s="250"/>
      <c r="BQ118" s="250"/>
      <c r="BR118" s="250"/>
      <c r="BS118" s="250"/>
      <c r="BT118" s="250"/>
      <c r="BU118" s="250"/>
      <c r="BV118" s="250"/>
      <c r="BW118" s="250"/>
      <c r="BX118" s="250"/>
      <c r="BY118" s="250"/>
    </row>
    <row r="119" ht="13.8" spans="1:77">
      <c r="A119" s="250"/>
      <c r="B119" s="250"/>
      <c r="C119" s="250"/>
      <c r="D119" s="270"/>
      <c r="E119" s="270"/>
      <c r="F119" s="250"/>
      <c r="G119" s="270"/>
      <c r="H119" s="250"/>
      <c r="I119" s="250"/>
      <c r="J119" s="270"/>
      <c r="K119" s="250"/>
      <c r="L119" s="250"/>
      <c r="M119" s="250"/>
      <c r="N119" s="250"/>
      <c r="O119" s="250"/>
      <c r="P119" s="250"/>
      <c r="Q119" s="250"/>
      <c r="R119" s="250"/>
      <c r="S119" s="250"/>
      <c r="T119" s="250"/>
      <c r="U119" s="250"/>
      <c r="V119" s="250"/>
      <c r="W119" s="271"/>
      <c r="X119" s="271"/>
      <c r="Y119" s="250"/>
      <c r="Z119" s="250"/>
      <c r="AA119" s="272"/>
      <c r="AB119" s="250"/>
      <c r="AC119" s="250"/>
      <c r="AD119" s="250"/>
      <c r="AE119" s="272"/>
      <c r="AF119" s="250"/>
      <c r="AG119" s="250"/>
      <c r="AH119" s="250"/>
      <c r="AI119" s="250"/>
      <c r="AJ119" s="250"/>
      <c r="AK119" s="250"/>
      <c r="AL119" s="250"/>
      <c r="AM119" s="250"/>
      <c r="AN119" s="250"/>
      <c r="AO119" s="250"/>
      <c r="AP119" s="250"/>
      <c r="AQ119" s="250"/>
      <c r="AR119" s="250"/>
      <c r="AS119" s="250"/>
      <c r="AT119" s="250"/>
      <c r="AU119" s="250"/>
      <c r="AV119" s="250"/>
      <c r="AW119" s="250"/>
      <c r="AX119" s="250"/>
      <c r="AY119" s="250"/>
      <c r="AZ119" s="250"/>
      <c r="BA119" s="250"/>
      <c r="BB119" s="250"/>
      <c r="BC119" s="250"/>
      <c r="BD119" s="250"/>
      <c r="BE119" s="250"/>
      <c r="BF119" s="250"/>
      <c r="BG119" s="250"/>
      <c r="BH119" s="250"/>
      <c r="BI119" s="250"/>
      <c r="BJ119" s="250"/>
      <c r="BK119" s="250"/>
      <c r="BL119" s="250"/>
      <c r="BM119" s="250"/>
      <c r="BN119" s="250"/>
      <c r="BO119" s="250"/>
      <c r="BP119" s="250"/>
      <c r="BQ119" s="250"/>
      <c r="BR119" s="250"/>
      <c r="BS119" s="250"/>
      <c r="BT119" s="250"/>
      <c r="BU119" s="250"/>
      <c r="BV119" s="250"/>
      <c r="BW119" s="250"/>
      <c r="BX119" s="250"/>
      <c r="BY119" s="250"/>
    </row>
    <row r="120" ht="13.8" spans="1:77">
      <c r="A120" s="250"/>
      <c r="B120" s="250"/>
      <c r="C120" s="250"/>
      <c r="D120" s="270"/>
      <c r="E120" s="270"/>
      <c r="F120" s="250"/>
      <c r="G120" s="270"/>
      <c r="H120" s="250"/>
      <c r="I120" s="250"/>
      <c r="J120" s="270"/>
      <c r="K120" s="250"/>
      <c r="L120" s="250"/>
      <c r="M120" s="250"/>
      <c r="N120" s="250"/>
      <c r="O120" s="250"/>
      <c r="P120" s="250"/>
      <c r="Q120" s="250"/>
      <c r="R120" s="250"/>
      <c r="S120" s="250"/>
      <c r="T120" s="250"/>
      <c r="U120" s="250"/>
      <c r="V120" s="250"/>
      <c r="W120" s="271"/>
      <c r="X120" s="271"/>
      <c r="Y120" s="250"/>
      <c r="Z120" s="250"/>
      <c r="AA120" s="272"/>
      <c r="AB120" s="250"/>
      <c r="AC120" s="250"/>
      <c r="AD120" s="250"/>
      <c r="AE120" s="272"/>
      <c r="AF120" s="250"/>
      <c r="AG120" s="250"/>
      <c r="AH120" s="250"/>
      <c r="AI120" s="250"/>
      <c r="AJ120" s="250"/>
      <c r="AK120" s="250"/>
      <c r="AL120" s="250"/>
      <c r="AM120" s="250"/>
      <c r="AN120" s="250"/>
      <c r="AO120" s="250"/>
      <c r="AP120" s="250"/>
      <c r="AQ120" s="250"/>
      <c r="AR120" s="250"/>
      <c r="AS120" s="250"/>
      <c r="AT120" s="250"/>
      <c r="AU120" s="250"/>
      <c r="AV120" s="250"/>
      <c r="AW120" s="250"/>
      <c r="AX120" s="250"/>
      <c r="AY120" s="250"/>
      <c r="AZ120" s="250"/>
      <c r="BA120" s="250"/>
      <c r="BB120" s="250"/>
      <c r="BC120" s="250"/>
      <c r="BD120" s="250"/>
      <c r="BE120" s="250"/>
      <c r="BF120" s="250"/>
      <c r="BG120" s="250"/>
      <c r="BH120" s="250"/>
      <c r="BI120" s="250"/>
      <c r="BJ120" s="250"/>
      <c r="BK120" s="250"/>
      <c r="BL120" s="250"/>
      <c r="BM120" s="250"/>
      <c r="BN120" s="250"/>
      <c r="BO120" s="250"/>
      <c r="BP120" s="250"/>
      <c r="BQ120" s="250"/>
      <c r="BR120" s="250"/>
      <c r="BS120" s="250"/>
      <c r="BT120" s="250"/>
      <c r="BU120" s="250"/>
      <c r="BV120" s="250"/>
      <c r="BW120" s="250"/>
      <c r="BX120" s="250"/>
      <c r="BY120" s="250"/>
    </row>
    <row r="121" ht="13.8" spans="1:77">
      <c r="A121" s="250"/>
      <c r="B121" s="250"/>
      <c r="C121" s="250"/>
      <c r="D121" s="270"/>
      <c r="E121" s="270"/>
      <c r="F121" s="250"/>
      <c r="G121" s="270"/>
      <c r="H121" s="250"/>
      <c r="I121" s="250"/>
      <c r="J121" s="270"/>
      <c r="K121" s="250"/>
      <c r="L121" s="250"/>
      <c r="M121" s="250"/>
      <c r="N121" s="250"/>
      <c r="O121" s="250"/>
      <c r="P121" s="250"/>
      <c r="Q121" s="250"/>
      <c r="R121" s="250"/>
      <c r="S121" s="250"/>
      <c r="T121" s="250"/>
      <c r="U121" s="250"/>
      <c r="V121" s="250"/>
      <c r="W121" s="271"/>
      <c r="X121" s="271"/>
      <c r="Y121" s="250"/>
      <c r="Z121" s="250"/>
      <c r="AA121" s="272"/>
      <c r="AB121" s="250"/>
      <c r="AC121" s="250"/>
      <c r="AD121" s="250"/>
      <c r="AE121" s="272"/>
      <c r="AF121" s="250"/>
      <c r="AG121" s="250"/>
      <c r="AH121" s="250"/>
      <c r="AI121" s="250"/>
      <c r="AJ121" s="250"/>
      <c r="AK121" s="250"/>
      <c r="AL121" s="250"/>
      <c r="AM121" s="250"/>
      <c r="AN121" s="250"/>
      <c r="AO121" s="250"/>
      <c r="AP121" s="250"/>
      <c r="AQ121" s="250"/>
      <c r="AR121" s="250"/>
      <c r="AS121" s="250"/>
      <c r="AT121" s="250"/>
      <c r="AU121" s="250"/>
      <c r="AV121" s="250"/>
      <c r="AW121" s="250"/>
      <c r="AX121" s="250"/>
      <c r="AY121" s="250"/>
      <c r="AZ121" s="250"/>
      <c r="BA121" s="250"/>
      <c r="BB121" s="250"/>
      <c r="BC121" s="250"/>
      <c r="BD121" s="250"/>
      <c r="BE121" s="250"/>
      <c r="BF121" s="250"/>
      <c r="BG121" s="250"/>
      <c r="BH121" s="250"/>
      <c r="BI121" s="250"/>
      <c r="BJ121" s="250"/>
      <c r="BK121" s="250"/>
      <c r="BL121" s="250"/>
      <c r="BM121" s="250"/>
      <c r="BN121" s="250"/>
      <c r="BO121" s="250"/>
      <c r="BP121" s="250"/>
      <c r="BQ121" s="250"/>
      <c r="BR121" s="250"/>
      <c r="BS121" s="250"/>
      <c r="BT121" s="250"/>
      <c r="BU121" s="250"/>
      <c r="BV121" s="250"/>
      <c r="BW121" s="250"/>
      <c r="BX121" s="250"/>
      <c r="BY121" s="250"/>
    </row>
    <row r="122" ht="13.8" spans="1:77">
      <c r="A122" s="250"/>
      <c r="B122" s="250"/>
      <c r="C122" s="250"/>
      <c r="D122" s="270"/>
      <c r="E122" s="270"/>
      <c r="F122" s="250"/>
      <c r="G122" s="270"/>
      <c r="H122" s="250"/>
      <c r="I122" s="250"/>
      <c r="J122" s="270"/>
      <c r="K122" s="250"/>
      <c r="L122" s="250"/>
      <c r="M122" s="250"/>
      <c r="N122" s="250"/>
      <c r="O122" s="250"/>
      <c r="P122" s="250"/>
      <c r="Q122" s="250"/>
      <c r="R122" s="250"/>
      <c r="S122" s="250"/>
      <c r="T122" s="250"/>
      <c r="U122" s="250"/>
      <c r="V122" s="250"/>
      <c r="W122" s="271"/>
      <c r="X122" s="271"/>
      <c r="Y122" s="250"/>
      <c r="Z122" s="250"/>
      <c r="AA122" s="272"/>
      <c r="AB122" s="250"/>
      <c r="AC122" s="250"/>
      <c r="AD122" s="250"/>
      <c r="AE122" s="272"/>
      <c r="AF122" s="250"/>
      <c r="AG122" s="250"/>
      <c r="AH122" s="250"/>
      <c r="AI122" s="250"/>
      <c r="AJ122" s="250"/>
      <c r="AK122" s="250"/>
      <c r="AL122" s="250"/>
      <c r="AM122" s="250"/>
      <c r="AN122" s="250"/>
      <c r="AO122" s="250"/>
      <c r="AP122" s="250"/>
      <c r="AQ122" s="250"/>
      <c r="AR122" s="250"/>
      <c r="AS122" s="250"/>
      <c r="AT122" s="250"/>
      <c r="AU122" s="250"/>
      <c r="AV122" s="250"/>
      <c r="AW122" s="250"/>
      <c r="AX122" s="250"/>
      <c r="AY122" s="250"/>
      <c r="AZ122" s="250"/>
      <c r="BA122" s="250"/>
      <c r="BB122" s="250"/>
      <c r="BC122" s="250"/>
      <c r="BD122" s="250"/>
      <c r="BE122" s="250"/>
      <c r="BF122" s="250"/>
      <c r="BG122" s="250"/>
      <c r="BH122" s="250"/>
      <c r="BI122" s="250"/>
      <c r="BJ122" s="250"/>
      <c r="BK122" s="250"/>
      <c r="BL122" s="250"/>
      <c r="BM122" s="250"/>
      <c r="BN122" s="250"/>
      <c r="BO122" s="250"/>
      <c r="BP122" s="250"/>
      <c r="BQ122" s="250"/>
      <c r="BR122" s="250"/>
      <c r="BS122" s="250"/>
      <c r="BT122" s="250"/>
      <c r="BU122" s="250"/>
      <c r="BV122" s="250"/>
      <c r="BW122" s="250"/>
      <c r="BX122" s="250"/>
      <c r="BY122" s="250"/>
    </row>
    <row r="123" ht="13.8" spans="1:77">
      <c r="A123" s="250"/>
      <c r="B123" s="250"/>
      <c r="C123" s="250"/>
      <c r="D123" s="270"/>
      <c r="E123" s="270"/>
      <c r="F123" s="250"/>
      <c r="G123" s="270"/>
      <c r="H123" s="250"/>
      <c r="I123" s="250"/>
      <c r="J123" s="27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71"/>
      <c r="X123" s="271"/>
      <c r="Y123" s="250"/>
      <c r="Z123" s="250"/>
      <c r="AA123" s="272"/>
      <c r="AB123" s="250"/>
      <c r="AC123" s="250"/>
      <c r="AD123" s="250"/>
      <c r="AE123" s="272"/>
      <c r="AF123" s="250"/>
      <c r="AG123" s="250"/>
      <c r="AH123" s="250"/>
      <c r="AI123" s="250"/>
      <c r="AJ123" s="250"/>
      <c r="AK123" s="250"/>
      <c r="AL123" s="250"/>
      <c r="AM123" s="250"/>
      <c r="AN123" s="250"/>
      <c r="AO123" s="250"/>
      <c r="AP123" s="250"/>
      <c r="AQ123" s="250"/>
      <c r="AR123" s="250"/>
      <c r="AS123" s="250"/>
      <c r="AT123" s="250"/>
      <c r="AU123" s="250"/>
      <c r="AV123" s="250"/>
      <c r="AW123" s="250"/>
      <c r="AX123" s="250"/>
      <c r="AY123" s="250"/>
      <c r="AZ123" s="250"/>
      <c r="BA123" s="250"/>
      <c r="BB123" s="250"/>
      <c r="BC123" s="250"/>
      <c r="BD123" s="250"/>
      <c r="BE123" s="250"/>
      <c r="BF123" s="250"/>
      <c r="BG123" s="250"/>
      <c r="BH123" s="250"/>
      <c r="BI123" s="250"/>
      <c r="BJ123" s="250"/>
      <c r="BK123" s="250"/>
      <c r="BL123" s="250"/>
      <c r="BM123" s="250"/>
      <c r="BN123" s="250"/>
      <c r="BO123" s="250"/>
      <c r="BP123" s="250"/>
      <c r="BQ123" s="250"/>
      <c r="BR123" s="250"/>
      <c r="BS123" s="250"/>
      <c r="BT123" s="250"/>
      <c r="BU123" s="250"/>
      <c r="BV123" s="250"/>
      <c r="BW123" s="250"/>
      <c r="BX123" s="250"/>
      <c r="BY123" s="250"/>
    </row>
    <row r="124" ht="13.8" spans="1:77">
      <c r="A124" s="250"/>
      <c r="B124" s="250"/>
      <c r="C124" s="250"/>
      <c r="D124" s="270"/>
      <c r="E124" s="270"/>
      <c r="F124" s="250"/>
      <c r="G124" s="270"/>
      <c r="H124" s="250"/>
      <c r="I124" s="250"/>
      <c r="J124" s="270"/>
      <c r="K124" s="250"/>
      <c r="L124" s="250"/>
      <c r="M124" s="250"/>
      <c r="N124" s="250"/>
      <c r="O124" s="250"/>
      <c r="P124" s="250"/>
      <c r="Q124" s="250"/>
      <c r="R124" s="250"/>
      <c r="S124" s="250"/>
      <c r="T124" s="250"/>
      <c r="U124" s="250"/>
      <c r="V124" s="250"/>
      <c r="W124" s="271"/>
      <c r="X124" s="271"/>
      <c r="Y124" s="250"/>
      <c r="Z124" s="250"/>
      <c r="AA124" s="272"/>
      <c r="AB124" s="250"/>
      <c r="AC124" s="250"/>
      <c r="AD124" s="250"/>
      <c r="AE124" s="272"/>
      <c r="AF124" s="250"/>
      <c r="AG124" s="250"/>
      <c r="AH124" s="250"/>
      <c r="AI124" s="250"/>
      <c r="AJ124" s="250"/>
      <c r="AK124" s="250"/>
      <c r="AL124" s="250"/>
      <c r="AM124" s="250"/>
      <c r="AN124" s="250"/>
      <c r="AO124" s="250"/>
      <c r="AP124" s="250"/>
      <c r="AQ124" s="250"/>
      <c r="AR124" s="250"/>
      <c r="AS124" s="250"/>
      <c r="AT124" s="250"/>
      <c r="AU124" s="250"/>
      <c r="AV124" s="250"/>
      <c r="AW124" s="250"/>
      <c r="AX124" s="250"/>
      <c r="AY124" s="250"/>
      <c r="AZ124" s="250"/>
      <c r="BA124" s="250"/>
      <c r="BB124" s="250"/>
      <c r="BC124" s="250"/>
      <c r="BD124" s="250"/>
      <c r="BE124" s="250"/>
      <c r="BF124" s="250"/>
      <c r="BG124" s="250"/>
      <c r="BH124" s="250"/>
      <c r="BI124" s="250"/>
      <c r="BJ124" s="250"/>
      <c r="BK124" s="250"/>
      <c r="BL124" s="250"/>
      <c r="BM124" s="250"/>
      <c r="BN124" s="250"/>
      <c r="BO124" s="250"/>
      <c r="BP124" s="250"/>
      <c r="BQ124" s="250"/>
      <c r="BR124" s="250"/>
      <c r="BS124" s="250"/>
      <c r="BT124" s="250"/>
      <c r="BU124" s="250"/>
      <c r="BV124" s="250"/>
      <c r="BW124" s="250"/>
      <c r="BX124" s="250"/>
      <c r="BY124" s="250"/>
    </row>
    <row r="125" ht="13.8" spans="1:77">
      <c r="A125" s="250"/>
      <c r="B125" s="250"/>
      <c r="C125" s="250"/>
      <c r="D125" s="270"/>
      <c r="E125" s="270"/>
      <c r="F125" s="250"/>
      <c r="G125" s="270"/>
      <c r="H125" s="250"/>
      <c r="I125" s="250"/>
      <c r="J125" s="270"/>
      <c r="K125" s="250"/>
      <c r="L125" s="250"/>
      <c r="M125" s="250"/>
      <c r="N125" s="250"/>
      <c r="O125" s="250"/>
      <c r="P125" s="250"/>
      <c r="Q125" s="250"/>
      <c r="R125" s="250"/>
      <c r="S125" s="250"/>
      <c r="T125" s="250"/>
      <c r="U125" s="250"/>
      <c r="V125" s="250"/>
      <c r="W125" s="271"/>
      <c r="X125" s="271"/>
      <c r="Y125" s="250"/>
      <c r="Z125" s="250"/>
      <c r="AA125" s="272"/>
      <c r="AB125" s="250"/>
      <c r="AC125" s="250"/>
      <c r="AD125" s="250"/>
      <c r="AE125" s="272"/>
      <c r="AF125" s="250"/>
      <c r="AG125" s="250"/>
      <c r="AH125" s="250"/>
      <c r="AI125" s="250"/>
      <c r="AJ125" s="250"/>
      <c r="AK125" s="250"/>
      <c r="AL125" s="250"/>
      <c r="AM125" s="250"/>
      <c r="AN125" s="250"/>
      <c r="AO125" s="250"/>
      <c r="AP125" s="250"/>
      <c r="AQ125" s="250"/>
      <c r="AR125" s="250"/>
      <c r="AS125" s="250"/>
      <c r="AT125" s="250"/>
      <c r="AU125" s="250"/>
      <c r="AV125" s="250"/>
      <c r="AW125" s="250"/>
      <c r="AX125" s="250"/>
      <c r="AY125" s="250"/>
      <c r="AZ125" s="250"/>
      <c r="BA125" s="250"/>
      <c r="BB125" s="250"/>
      <c r="BC125" s="250"/>
      <c r="BD125" s="250"/>
      <c r="BE125" s="250"/>
      <c r="BF125" s="250"/>
      <c r="BG125" s="250"/>
      <c r="BH125" s="250"/>
      <c r="BI125" s="250"/>
      <c r="BJ125" s="250"/>
      <c r="BK125" s="250"/>
      <c r="BL125" s="250"/>
      <c r="BM125" s="250"/>
      <c r="BN125" s="250"/>
      <c r="BO125" s="250"/>
      <c r="BP125" s="250"/>
      <c r="BQ125" s="250"/>
      <c r="BR125" s="250"/>
      <c r="BS125" s="250"/>
      <c r="BT125" s="250"/>
      <c r="BU125" s="250"/>
      <c r="BV125" s="250"/>
      <c r="BW125" s="250"/>
      <c r="BX125" s="250"/>
      <c r="BY125" s="250"/>
    </row>
    <row r="126" ht="13.8" spans="1:77">
      <c r="A126" s="250"/>
      <c r="B126" s="250"/>
      <c r="C126" s="250"/>
      <c r="D126" s="270"/>
      <c r="E126" s="270"/>
      <c r="F126" s="250"/>
      <c r="G126" s="270"/>
      <c r="H126" s="250"/>
      <c r="I126" s="250"/>
      <c r="J126" s="270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  <c r="U126" s="250"/>
      <c r="V126" s="250"/>
      <c r="W126" s="271"/>
      <c r="X126" s="271"/>
      <c r="Y126" s="250"/>
      <c r="Z126" s="250"/>
      <c r="AA126" s="272"/>
      <c r="AB126" s="250"/>
      <c r="AC126" s="250"/>
      <c r="AD126" s="250"/>
      <c r="AE126" s="272"/>
      <c r="AF126" s="250"/>
      <c r="AG126" s="250"/>
      <c r="AH126" s="250"/>
      <c r="AI126" s="250"/>
      <c r="AJ126" s="250"/>
      <c r="AK126" s="250"/>
      <c r="AL126" s="250"/>
      <c r="AM126" s="250"/>
      <c r="AN126" s="250"/>
      <c r="AO126" s="250"/>
      <c r="AP126" s="250"/>
      <c r="AQ126" s="250"/>
      <c r="AR126" s="250"/>
      <c r="AS126" s="250"/>
      <c r="AT126" s="250"/>
      <c r="AU126" s="250"/>
      <c r="AV126" s="250"/>
      <c r="AW126" s="250"/>
      <c r="AX126" s="250"/>
      <c r="AY126" s="250"/>
      <c r="AZ126" s="250"/>
      <c r="BA126" s="250"/>
      <c r="BB126" s="250"/>
      <c r="BC126" s="250"/>
      <c r="BD126" s="250"/>
      <c r="BE126" s="250"/>
      <c r="BF126" s="250"/>
      <c r="BG126" s="250"/>
      <c r="BH126" s="250"/>
      <c r="BI126" s="250"/>
      <c r="BJ126" s="250"/>
      <c r="BK126" s="250"/>
      <c r="BL126" s="250"/>
      <c r="BM126" s="250"/>
      <c r="BN126" s="250"/>
      <c r="BO126" s="250"/>
      <c r="BP126" s="250"/>
      <c r="BQ126" s="250"/>
      <c r="BR126" s="250"/>
      <c r="BS126" s="250"/>
      <c r="BT126" s="250"/>
      <c r="BU126" s="250"/>
      <c r="BV126" s="250"/>
      <c r="BW126" s="250"/>
      <c r="BX126" s="250"/>
      <c r="BY126" s="250"/>
    </row>
    <row r="127" ht="13.8" spans="1:77">
      <c r="A127" s="250"/>
      <c r="B127" s="250"/>
      <c r="C127" s="250"/>
      <c r="D127" s="270"/>
      <c r="E127" s="270"/>
      <c r="F127" s="250"/>
      <c r="G127" s="270"/>
      <c r="H127" s="250"/>
      <c r="I127" s="250"/>
      <c r="J127" s="270"/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  <c r="U127" s="250"/>
      <c r="V127" s="250"/>
      <c r="W127" s="271"/>
      <c r="X127" s="271"/>
      <c r="Y127" s="250"/>
      <c r="Z127" s="250"/>
      <c r="AA127" s="272"/>
      <c r="AB127" s="250"/>
      <c r="AC127" s="250"/>
      <c r="AD127" s="250"/>
      <c r="AE127" s="272"/>
      <c r="AF127" s="250"/>
      <c r="AG127" s="250"/>
      <c r="AH127" s="250"/>
      <c r="AI127" s="250"/>
      <c r="AJ127" s="250"/>
      <c r="AK127" s="250"/>
      <c r="AL127" s="250"/>
      <c r="AM127" s="250"/>
      <c r="AN127" s="250"/>
      <c r="AO127" s="250"/>
      <c r="AP127" s="250"/>
      <c r="AQ127" s="250"/>
      <c r="AR127" s="250"/>
      <c r="AS127" s="250"/>
      <c r="AT127" s="250"/>
      <c r="AU127" s="250"/>
      <c r="AV127" s="250"/>
      <c r="AW127" s="250"/>
      <c r="AX127" s="250"/>
      <c r="AY127" s="250"/>
      <c r="AZ127" s="250"/>
      <c r="BA127" s="250"/>
      <c r="BB127" s="250"/>
      <c r="BC127" s="250"/>
      <c r="BD127" s="250"/>
      <c r="BE127" s="250"/>
      <c r="BF127" s="250"/>
      <c r="BG127" s="250"/>
      <c r="BH127" s="250"/>
      <c r="BI127" s="250"/>
      <c r="BJ127" s="250"/>
      <c r="BK127" s="250"/>
      <c r="BL127" s="250"/>
      <c r="BM127" s="250"/>
      <c r="BN127" s="250"/>
      <c r="BO127" s="250"/>
      <c r="BP127" s="250"/>
      <c r="BQ127" s="250"/>
      <c r="BR127" s="250"/>
      <c r="BS127" s="250"/>
      <c r="BT127" s="250"/>
      <c r="BU127" s="250"/>
      <c r="BV127" s="250"/>
      <c r="BW127" s="250"/>
      <c r="BX127" s="250"/>
      <c r="BY127" s="250"/>
    </row>
    <row r="128" ht="13.8" spans="1:77">
      <c r="A128" s="250"/>
      <c r="B128" s="250"/>
      <c r="C128" s="250"/>
      <c r="D128" s="270"/>
      <c r="E128" s="270"/>
      <c r="F128" s="250"/>
      <c r="G128" s="270"/>
      <c r="H128" s="250"/>
      <c r="I128" s="250"/>
      <c r="J128" s="270"/>
      <c r="K128" s="250"/>
      <c r="L128" s="250"/>
      <c r="M128" s="250"/>
      <c r="N128" s="250"/>
      <c r="O128" s="250"/>
      <c r="P128" s="250"/>
      <c r="Q128" s="250"/>
      <c r="R128" s="250"/>
      <c r="S128" s="250"/>
      <c r="T128" s="250"/>
      <c r="U128" s="250"/>
      <c r="V128" s="250"/>
      <c r="W128" s="271"/>
      <c r="X128" s="271"/>
      <c r="Y128" s="250"/>
      <c r="Z128" s="250"/>
      <c r="AA128" s="272"/>
      <c r="AB128" s="250"/>
      <c r="AC128" s="250"/>
      <c r="AD128" s="250"/>
      <c r="AE128" s="272"/>
      <c r="AF128" s="250"/>
      <c r="AG128" s="250"/>
      <c r="AH128" s="250"/>
      <c r="AI128" s="250"/>
      <c r="AJ128" s="250"/>
      <c r="AK128" s="250"/>
      <c r="AL128" s="250"/>
      <c r="AM128" s="250"/>
      <c r="AN128" s="250"/>
      <c r="AO128" s="250"/>
      <c r="AP128" s="250"/>
      <c r="AQ128" s="250"/>
      <c r="AR128" s="250"/>
      <c r="AS128" s="250"/>
      <c r="AT128" s="250"/>
      <c r="AU128" s="250"/>
      <c r="AV128" s="250"/>
      <c r="AW128" s="250"/>
      <c r="AX128" s="250"/>
      <c r="AY128" s="250"/>
      <c r="AZ128" s="250"/>
      <c r="BA128" s="250"/>
      <c r="BB128" s="250"/>
      <c r="BC128" s="250"/>
      <c r="BD128" s="250"/>
      <c r="BE128" s="250"/>
      <c r="BF128" s="250"/>
      <c r="BG128" s="250"/>
      <c r="BH128" s="250"/>
      <c r="BI128" s="250"/>
      <c r="BJ128" s="250"/>
      <c r="BK128" s="250"/>
      <c r="BL128" s="250"/>
      <c r="BM128" s="250"/>
      <c r="BN128" s="250"/>
      <c r="BO128" s="250"/>
      <c r="BP128" s="250"/>
      <c r="BQ128" s="250"/>
      <c r="BR128" s="250"/>
      <c r="BS128" s="250"/>
      <c r="BT128" s="250"/>
      <c r="BU128" s="250"/>
      <c r="BV128" s="250"/>
      <c r="BW128" s="250"/>
      <c r="BX128" s="250"/>
      <c r="BY128" s="250"/>
    </row>
    <row r="129" ht="13.8" spans="1:77">
      <c r="A129" s="250"/>
      <c r="B129" s="250"/>
      <c r="C129" s="250"/>
      <c r="D129" s="270"/>
      <c r="E129" s="270"/>
      <c r="F129" s="250"/>
      <c r="G129" s="270"/>
      <c r="H129" s="250"/>
      <c r="I129" s="250"/>
      <c r="J129" s="270"/>
      <c r="K129" s="250"/>
      <c r="L129" s="250"/>
      <c r="M129" s="250"/>
      <c r="N129" s="250"/>
      <c r="O129" s="250"/>
      <c r="P129" s="250"/>
      <c r="Q129" s="250"/>
      <c r="R129" s="250"/>
      <c r="S129" s="250"/>
      <c r="T129" s="250"/>
      <c r="U129" s="250"/>
      <c r="V129" s="250"/>
      <c r="W129" s="271"/>
      <c r="X129" s="271"/>
      <c r="Y129" s="250"/>
      <c r="Z129" s="250"/>
      <c r="AA129" s="272"/>
      <c r="AB129" s="250"/>
      <c r="AC129" s="250"/>
      <c r="AD129" s="250"/>
      <c r="AE129" s="272"/>
      <c r="AF129" s="250"/>
      <c r="AG129" s="250"/>
      <c r="AH129" s="250"/>
      <c r="AI129" s="250"/>
      <c r="AJ129" s="250"/>
      <c r="AK129" s="250"/>
      <c r="AL129" s="250"/>
      <c r="AM129" s="250"/>
      <c r="AN129" s="250"/>
      <c r="AO129" s="250"/>
      <c r="AP129" s="250"/>
      <c r="AQ129" s="250"/>
      <c r="AR129" s="250"/>
      <c r="AS129" s="250"/>
      <c r="AT129" s="250"/>
      <c r="AU129" s="250"/>
      <c r="AV129" s="250"/>
      <c r="AW129" s="250"/>
      <c r="AX129" s="250"/>
      <c r="AY129" s="250"/>
      <c r="AZ129" s="250"/>
      <c r="BA129" s="250"/>
      <c r="BB129" s="250"/>
      <c r="BC129" s="250"/>
      <c r="BD129" s="250"/>
      <c r="BE129" s="250"/>
      <c r="BF129" s="250"/>
      <c r="BG129" s="250"/>
      <c r="BH129" s="250"/>
      <c r="BI129" s="250"/>
      <c r="BJ129" s="250"/>
      <c r="BK129" s="250"/>
      <c r="BL129" s="250"/>
      <c r="BM129" s="250"/>
      <c r="BN129" s="250"/>
      <c r="BO129" s="250"/>
      <c r="BP129" s="250"/>
      <c r="BQ129" s="250"/>
      <c r="BR129" s="250"/>
      <c r="BS129" s="250"/>
      <c r="BT129" s="250"/>
      <c r="BU129" s="250"/>
      <c r="BV129" s="250"/>
      <c r="BW129" s="250"/>
      <c r="BX129" s="250"/>
      <c r="BY129" s="250"/>
    </row>
    <row r="130" ht="13.8" spans="1:77">
      <c r="A130" s="250"/>
      <c r="B130" s="250"/>
      <c r="C130" s="250"/>
      <c r="D130" s="270"/>
      <c r="E130" s="270"/>
      <c r="F130" s="250"/>
      <c r="G130" s="270"/>
      <c r="H130" s="250"/>
      <c r="I130" s="250"/>
      <c r="J130" s="27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71"/>
      <c r="X130" s="271"/>
      <c r="Y130" s="250"/>
      <c r="Z130" s="250"/>
      <c r="AA130" s="272"/>
      <c r="AB130" s="250"/>
      <c r="AC130" s="250"/>
      <c r="AD130" s="250"/>
      <c r="AE130" s="272"/>
      <c r="AF130" s="250"/>
      <c r="AG130" s="250"/>
      <c r="AH130" s="250"/>
      <c r="AI130" s="250"/>
      <c r="AJ130" s="250"/>
      <c r="AK130" s="250"/>
      <c r="AL130" s="250"/>
      <c r="AM130" s="250"/>
      <c r="AN130" s="250"/>
      <c r="AO130" s="250"/>
      <c r="AP130" s="250"/>
      <c r="AQ130" s="250"/>
      <c r="AR130" s="250"/>
      <c r="AS130" s="250"/>
      <c r="AT130" s="250"/>
      <c r="AU130" s="250"/>
      <c r="AV130" s="250"/>
      <c r="AW130" s="250"/>
      <c r="AX130" s="250"/>
      <c r="AY130" s="250"/>
      <c r="AZ130" s="250"/>
      <c r="BA130" s="250"/>
      <c r="BB130" s="250"/>
      <c r="BC130" s="250"/>
      <c r="BD130" s="250"/>
      <c r="BE130" s="250"/>
      <c r="BF130" s="250"/>
      <c r="BG130" s="250"/>
      <c r="BH130" s="250"/>
      <c r="BI130" s="250"/>
      <c r="BJ130" s="250"/>
      <c r="BK130" s="250"/>
      <c r="BL130" s="250"/>
      <c r="BM130" s="250"/>
      <c r="BN130" s="250"/>
      <c r="BO130" s="250"/>
      <c r="BP130" s="250"/>
      <c r="BQ130" s="250"/>
      <c r="BR130" s="250"/>
      <c r="BS130" s="250"/>
      <c r="BT130" s="250"/>
      <c r="BU130" s="250"/>
      <c r="BV130" s="250"/>
      <c r="BW130" s="250"/>
      <c r="BX130" s="250"/>
      <c r="BY130" s="250"/>
    </row>
    <row r="131" ht="13.8" spans="1:77">
      <c r="A131" s="250"/>
      <c r="B131" s="250"/>
      <c r="C131" s="250"/>
      <c r="D131" s="270"/>
      <c r="E131" s="270"/>
      <c r="F131" s="250"/>
      <c r="G131" s="270"/>
      <c r="H131" s="250"/>
      <c r="I131" s="250"/>
      <c r="J131" s="270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  <c r="U131" s="250"/>
      <c r="V131" s="250"/>
      <c r="W131" s="271"/>
      <c r="X131" s="271"/>
      <c r="Y131" s="250"/>
      <c r="Z131" s="250"/>
      <c r="AA131" s="272"/>
      <c r="AB131" s="250"/>
      <c r="AC131" s="250"/>
      <c r="AD131" s="250"/>
      <c r="AE131" s="272"/>
      <c r="AF131" s="250"/>
      <c r="AG131" s="250"/>
      <c r="AH131" s="250"/>
      <c r="AI131" s="250"/>
      <c r="AJ131" s="250"/>
      <c r="AK131" s="250"/>
      <c r="AL131" s="250"/>
      <c r="AM131" s="250"/>
      <c r="AN131" s="250"/>
      <c r="AO131" s="250"/>
      <c r="AP131" s="250"/>
      <c r="AQ131" s="250"/>
      <c r="AR131" s="250"/>
      <c r="AS131" s="250"/>
      <c r="AT131" s="250"/>
      <c r="AU131" s="250"/>
      <c r="AV131" s="250"/>
      <c r="AW131" s="250"/>
      <c r="AX131" s="250"/>
      <c r="AY131" s="250"/>
      <c r="AZ131" s="250"/>
      <c r="BA131" s="250"/>
      <c r="BB131" s="250"/>
      <c r="BC131" s="250"/>
      <c r="BD131" s="250"/>
      <c r="BE131" s="250"/>
      <c r="BF131" s="250"/>
      <c r="BG131" s="250"/>
      <c r="BH131" s="250"/>
      <c r="BI131" s="250"/>
      <c r="BJ131" s="250"/>
      <c r="BK131" s="250"/>
      <c r="BL131" s="250"/>
      <c r="BM131" s="250"/>
      <c r="BN131" s="250"/>
      <c r="BO131" s="250"/>
      <c r="BP131" s="250"/>
      <c r="BQ131" s="250"/>
      <c r="BR131" s="250"/>
      <c r="BS131" s="250"/>
      <c r="BT131" s="250"/>
      <c r="BU131" s="250"/>
      <c r="BV131" s="250"/>
      <c r="BW131" s="250"/>
      <c r="BX131" s="250"/>
      <c r="BY131" s="250"/>
    </row>
    <row r="132" ht="13.8" spans="1:77">
      <c r="A132" s="250"/>
      <c r="B132" s="250"/>
      <c r="C132" s="250"/>
      <c r="D132" s="270"/>
      <c r="E132" s="270"/>
      <c r="F132" s="250"/>
      <c r="G132" s="270"/>
      <c r="H132" s="250"/>
      <c r="I132" s="250"/>
      <c r="J132" s="270"/>
      <c r="K132" s="250"/>
      <c r="L132" s="250"/>
      <c r="M132" s="250"/>
      <c r="N132" s="250"/>
      <c r="O132" s="250"/>
      <c r="P132" s="250"/>
      <c r="Q132" s="250"/>
      <c r="R132" s="250"/>
      <c r="S132" s="250"/>
      <c r="T132" s="250"/>
      <c r="U132" s="250"/>
      <c r="V132" s="250"/>
      <c r="W132" s="271"/>
      <c r="X132" s="271"/>
      <c r="Y132" s="250"/>
      <c r="Z132" s="250"/>
      <c r="AA132" s="272"/>
      <c r="AB132" s="250"/>
      <c r="AC132" s="250"/>
      <c r="AD132" s="250"/>
      <c r="AE132" s="272"/>
      <c r="AF132" s="250"/>
      <c r="AG132" s="250"/>
      <c r="AH132" s="250"/>
      <c r="AI132" s="250"/>
      <c r="AJ132" s="250"/>
      <c r="AK132" s="250"/>
      <c r="AL132" s="250"/>
      <c r="AM132" s="250"/>
      <c r="AN132" s="250"/>
      <c r="AO132" s="250"/>
      <c r="AP132" s="250"/>
      <c r="AQ132" s="250"/>
      <c r="AR132" s="250"/>
      <c r="AS132" s="250"/>
      <c r="AT132" s="250"/>
      <c r="AU132" s="250"/>
      <c r="AV132" s="250"/>
      <c r="AW132" s="250"/>
      <c r="AX132" s="250"/>
      <c r="AY132" s="250"/>
      <c r="AZ132" s="250"/>
      <c r="BA132" s="250"/>
      <c r="BB132" s="250"/>
      <c r="BC132" s="250"/>
      <c r="BD132" s="250"/>
      <c r="BE132" s="250"/>
      <c r="BF132" s="250"/>
      <c r="BG132" s="250"/>
      <c r="BH132" s="250"/>
      <c r="BI132" s="250"/>
      <c r="BJ132" s="250"/>
      <c r="BK132" s="250"/>
      <c r="BL132" s="250"/>
      <c r="BM132" s="250"/>
      <c r="BN132" s="250"/>
      <c r="BO132" s="250"/>
      <c r="BP132" s="250"/>
      <c r="BQ132" s="250"/>
      <c r="BR132" s="250"/>
      <c r="BS132" s="250"/>
      <c r="BT132" s="250"/>
      <c r="BU132" s="250"/>
      <c r="BV132" s="250"/>
      <c r="BW132" s="250"/>
      <c r="BX132" s="250"/>
      <c r="BY132" s="250"/>
    </row>
    <row r="133" ht="13.8" spans="1:77">
      <c r="A133" s="250"/>
      <c r="B133" s="250"/>
      <c r="C133" s="250"/>
      <c r="D133" s="270"/>
      <c r="E133" s="270"/>
      <c r="F133" s="250"/>
      <c r="G133" s="270"/>
      <c r="H133" s="250"/>
      <c r="I133" s="250"/>
      <c r="J133" s="270"/>
      <c r="K133" s="250"/>
      <c r="L133" s="250"/>
      <c r="M133" s="250"/>
      <c r="N133" s="250"/>
      <c r="O133" s="250"/>
      <c r="P133" s="250"/>
      <c r="Q133" s="250"/>
      <c r="R133" s="250"/>
      <c r="S133" s="250"/>
      <c r="T133" s="250"/>
      <c r="U133" s="250"/>
      <c r="V133" s="250"/>
      <c r="W133" s="271"/>
      <c r="X133" s="271"/>
      <c r="Y133" s="250"/>
      <c r="Z133" s="250"/>
      <c r="AA133" s="272"/>
      <c r="AB133" s="250"/>
      <c r="AC133" s="250"/>
      <c r="AD133" s="250"/>
      <c r="AE133" s="272"/>
      <c r="AF133" s="250"/>
      <c r="AG133" s="250"/>
      <c r="AH133" s="250"/>
      <c r="AI133" s="250"/>
      <c r="AJ133" s="250"/>
      <c r="AK133" s="250"/>
      <c r="AL133" s="250"/>
      <c r="AM133" s="250"/>
      <c r="AN133" s="250"/>
      <c r="AO133" s="250"/>
      <c r="AP133" s="250"/>
      <c r="AQ133" s="250"/>
      <c r="AR133" s="250"/>
      <c r="AS133" s="250"/>
      <c r="AT133" s="250"/>
      <c r="AU133" s="250"/>
      <c r="AV133" s="250"/>
      <c r="AW133" s="250"/>
      <c r="AX133" s="250"/>
      <c r="AY133" s="250"/>
      <c r="AZ133" s="250"/>
      <c r="BA133" s="250"/>
      <c r="BB133" s="250"/>
      <c r="BC133" s="250"/>
      <c r="BD133" s="250"/>
      <c r="BE133" s="250"/>
      <c r="BF133" s="250"/>
      <c r="BG133" s="250"/>
      <c r="BH133" s="250"/>
      <c r="BI133" s="250"/>
      <c r="BJ133" s="250"/>
      <c r="BK133" s="250"/>
      <c r="BL133" s="250"/>
      <c r="BM133" s="250"/>
      <c r="BN133" s="250"/>
      <c r="BO133" s="250"/>
      <c r="BP133" s="250"/>
      <c r="BQ133" s="250"/>
      <c r="BR133" s="250"/>
      <c r="BS133" s="250"/>
      <c r="BT133" s="250"/>
      <c r="BU133" s="250"/>
      <c r="BV133" s="250"/>
      <c r="BW133" s="250"/>
      <c r="BX133" s="250"/>
      <c r="BY133" s="250"/>
    </row>
    <row r="134" ht="13.8" spans="1:77">
      <c r="A134" s="250"/>
      <c r="B134" s="250"/>
      <c r="C134" s="250"/>
      <c r="D134" s="270"/>
      <c r="E134" s="270"/>
      <c r="F134" s="250"/>
      <c r="G134" s="270"/>
      <c r="H134" s="250"/>
      <c r="I134" s="250"/>
      <c r="J134" s="270"/>
      <c r="K134" s="250"/>
      <c r="L134" s="250"/>
      <c r="M134" s="250"/>
      <c r="N134" s="250"/>
      <c r="O134" s="250"/>
      <c r="P134" s="250"/>
      <c r="Q134" s="250"/>
      <c r="R134" s="250"/>
      <c r="S134" s="250"/>
      <c r="T134" s="250"/>
      <c r="U134" s="250"/>
      <c r="V134" s="250"/>
      <c r="W134" s="271"/>
      <c r="X134" s="271"/>
      <c r="Y134" s="250"/>
      <c r="Z134" s="250"/>
      <c r="AA134" s="272"/>
      <c r="AB134" s="250"/>
      <c r="AC134" s="250"/>
      <c r="AD134" s="250"/>
      <c r="AE134" s="272"/>
      <c r="AF134" s="250"/>
      <c r="AG134" s="250"/>
      <c r="AH134" s="250"/>
      <c r="AI134" s="250"/>
      <c r="AJ134" s="250"/>
      <c r="AK134" s="250"/>
      <c r="AL134" s="250"/>
      <c r="AM134" s="250"/>
      <c r="AN134" s="250"/>
      <c r="AO134" s="250"/>
      <c r="AP134" s="250"/>
      <c r="AQ134" s="250"/>
      <c r="AR134" s="250"/>
      <c r="AS134" s="250"/>
      <c r="AT134" s="250"/>
      <c r="AU134" s="250"/>
      <c r="AV134" s="250"/>
      <c r="AW134" s="250"/>
      <c r="AX134" s="250"/>
      <c r="AY134" s="250"/>
      <c r="AZ134" s="250"/>
      <c r="BA134" s="250"/>
      <c r="BB134" s="250"/>
      <c r="BC134" s="250"/>
      <c r="BD134" s="250"/>
      <c r="BE134" s="250"/>
      <c r="BF134" s="250"/>
      <c r="BG134" s="250"/>
      <c r="BH134" s="250"/>
      <c r="BI134" s="250"/>
      <c r="BJ134" s="250"/>
      <c r="BK134" s="250"/>
      <c r="BL134" s="250"/>
      <c r="BM134" s="250"/>
      <c r="BN134" s="250"/>
      <c r="BO134" s="250"/>
      <c r="BP134" s="250"/>
      <c r="BQ134" s="250"/>
      <c r="BR134" s="250"/>
      <c r="BS134" s="250"/>
      <c r="BT134" s="250"/>
      <c r="BU134" s="250"/>
      <c r="BV134" s="250"/>
      <c r="BW134" s="250"/>
      <c r="BX134" s="250"/>
      <c r="BY134" s="250"/>
    </row>
    <row r="135" ht="13.8" spans="1:77">
      <c r="A135" s="250"/>
      <c r="B135" s="250"/>
      <c r="C135" s="250"/>
      <c r="D135" s="270"/>
      <c r="E135" s="270"/>
      <c r="F135" s="250"/>
      <c r="G135" s="270"/>
      <c r="H135" s="250"/>
      <c r="I135" s="250"/>
      <c r="J135" s="270"/>
      <c r="K135" s="250"/>
      <c r="L135" s="250"/>
      <c r="M135" s="250"/>
      <c r="N135" s="250"/>
      <c r="O135" s="250"/>
      <c r="P135" s="250"/>
      <c r="Q135" s="250"/>
      <c r="R135" s="250"/>
      <c r="S135" s="250"/>
      <c r="T135" s="250"/>
      <c r="U135" s="250"/>
      <c r="V135" s="250"/>
      <c r="W135" s="271"/>
      <c r="X135" s="271"/>
      <c r="Y135" s="250"/>
      <c r="Z135" s="250"/>
      <c r="AA135" s="272"/>
      <c r="AB135" s="250"/>
      <c r="AC135" s="250"/>
      <c r="AD135" s="250"/>
      <c r="AE135" s="272"/>
      <c r="AF135" s="250"/>
      <c r="AG135" s="250"/>
      <c r="AH135" s="250"/>
      <c r="AI135" s="250"/>
      <c r="AJ135" s="250"/>
      <c r="AK135" s="250"/>
      <c r="AL135" s="250"/>
      <c r="AM135" s="250"/>
      <c r="AN135" s="250"/>
      <c r="AO135" s="250"/>
      <c r="AP135" s="250"/>
      <c r="AQ135" s="250"/>
      <c r="AR135" s="250"/>
      <c r="AS135" s="250"/>
      <c r="AT135" s="250"/>
      <c r="AU135" s="250"/>
      <c r="AV135" s="250"/>
      <c r="AW135" s="250"/>
      <c r="AX135" s="250"/>
      <c r="AY135" s="250"/>
      <c r="AZ135" s="250"/>
      <c r="BA135" s="250"/>
      <c r="BB135" s="250"/>
      <c r="BC135" s="250"/>
      <c r="BD135" s="250"/>
      <c r="BE135" s="250"/>
      <c r="BF135" s="250"/>
      <c r="BG135" s="250"/>
      <c r="BH135" s="250"/>
      <c r="BI135" s="250"/>
      <c r="BJ135" s="250"/>
      <c r="BK135" s="250"/>
      <c r="BL135" s="250"/>
      <c r="BM135" s="250"/>
      <c r="BN135" s="250"/>
      <c r="BO135" s="250"/>
      <c r="BP135" s="250"/>
      <c r="BQ135" s="250"/>
      <c r="BR135" s="250"/>
      <c r="BS135" s="250"/>
      <c r="BT135" s="250"/>
      <c r="BU135" s="250"/>
      <c r="BV135" s="250"/>
      <c r="BW135" s="250"/>
      <c r="BX135" s="250"/>
      <c r="BY135" s="250"/>
    </row>
    <row r="136" ht="13.8" spans="1:77">
      <c r="A136" s="250"/>
      <c r="B136" s="250"/>
      <c r="C136" s="250"/>
      <c r="D136" s="270"/>
      <c r="E136" s="270"/>
      <c r="F136" s="250"/>
      <c r="G136" s="270"/>
      <c r="H136" s="250"/>
      <c r="I136" s="250"/>
      <c r="J136" s="270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  <c r="V136" s="250"/>
      <c r="W136" s="271"/>
      <c r="X136" s="271"/>
      <c r="Y136" s="250"/>
      <c r="Z136" s="250"/>
      <c r="AA136" s="272"/>
      <c r="AB136" s="250"/>
      <c r="AC136" s="250"/>
      <c r="AD136" s="250"/>
      <c r="AE136" s="272"/>
      <c r="AF136" s="250"/>
      <c r="AG136" s="250"/>
      <c r="AH136" s="250"/>
      <c r="AI136" s="250"/>
      <c r="AJ136" s="250"/>
      <c r="AK136" s="250"/>
      <c r="AL136" s="250"/>
      <c r="AM136" s="250"/>
      <c r="AN136" s="250"/>
      <c r="AO136" s="250"/>
      <c r="AP136" s="250"/>
      <c r="AQ136" s="250"/>
      <c r="AR136" s="250"/>
      <c r="AS136" s="250"/>
      <c r="AT136" s="250"/>
      <c r="AU136" s="250"/>
      <c r="AV136" s="250"/>
      <c r="AW136" s="250"/>
      <c r="AX136" s="250"/>
      <c r="AY136" s="250"/>
      <c r="AZ136" s="250"/>
      <c r="BA136" s="250"/>
      <c r="BB136" s="250"/>
      <c r="BC136" s="250"/>
      <c r="BD136" s="250"/>
      <c r="BE136" s="250"/>
      <c r="BF136" s="250"/>
      <c r="BG136" s="250"/>
      <c r="BH136" s="250"/>
      <c r="BI136" s="250"/>
      <c r="BJ136" s="250"/>
      <c r="BK136" s="250"/>
      <c r="BL136" s="250"/>
      <c r="BM136" s="250"/>
      <c r="BN136" s="250"/>
      <c r="BO136" s="250"/>
      <c r="BP136" s="250"/>
      <c r="BQ136" s="250"/>
      <c r="BR136" s="250"/>
      <c r="BS136" s="250"/>
      <c r="BT136" s="250"/>
      <c r="BU136" s="250"/>
      <c r="BV136" s="250"/>
      <c r="BW136" s="250"/>
      <c r="BX136" s="250"/>
      <c r="BY136" s="250"/>
    </row>
    <row r="137" ht="13.8" spans="1:77">
      <c r="A137" s="250"/>
      <c r="B137" s="250"/>
      <c r="C137" s="250"/>
      <c r="D137" s="270"/>
      <c r="E137" s="270"/>
      <c r="F137" s="250"/>
      <c r="G137" s="270"/>
      <c r="H137" s="250"/>
      <c r="I137" s="250"/>
      <c r="J137" s="270"/>
      <c r="K137" s="250"/>
      <c r="L137" s="250"/>
      <c r="M137" s="250"/>
      <c r="N137" s="250"/>
      <c r="O137" s="250"/>
      <c r="P137" s="250"/>
      <c r="Q137" s="250"/>
      <c r="R137" s="250"/>
      <c r="S137" s="250"/>
      <c r="T137" s="250"/>
      <c r="U137" s="250"/>
      <c r="V137" s="250"/>
      <c r="W137" s="271"/>
      <c r="X137" s="271"/>
      <c r="Y137" s="250"/>
      <c r="Z137" s="250"/>
      <c r="AA137" s="272"/>
      <c r="AB137" s="250"/>
      <c r="AC137" s="250"/>
      <c r="AD137" s="250"/>
      <c r="AE137" s="272"/>
      <c r="AF137" s="250"/>
      <c r="AG137" s="250"/>
      <c r="AH137" s="250"/>
      <c r="AI137" s="250"/>
      <c r="AJ137" s="250"/>
      <c r="AK137" s="250"/>
      <c r="AL137" s="250"/>
      <c r="AM137" s="250"/>
      <c r="AN137" s="250"/>
      <c r="AO137" s="250"/>
      <c r="AP137" s="250"/>
      <c r="AQ137" s="250"/>
      <c r="AR137" s="250"/>
      <c r="AS137" s="250"/>
      <c r="AT137" s="250"/>
      <c r="AU137" s="250"/>
      <c r="AV137" s="250"/>
      <c r="AW137" s="250"/>
      <c r="AX137" s="250"/>
      <c r="AY137" s="250"/>
      <c r="AZ137" s="250"/>
      <c r="BA137" s="250"/>
      <c r="BB137" s="250"/>
      <c r="BC137" s="250"/>
      <c r="BD137" s="250"/>
      <c r="BE137" s="250"/>
      <c r="BF137" s="250"/>
      <c r="BG137" s="250"/>
      <c r="BH137" s="250"/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0"/>
      <c r="BS137" s="250"/>
      <c r="BT137" s="250"/>
      <c r="BU137" s="250"/>
      <c r="BV137" s="250"/>
      <c r="BW137" s="250"/>
      <c r="BX137" s="250"/>
      <c r="BY137" s="250"/>
    </row>
    <row r="138" ht="13.8" spans="1:77">
      <c r="A138" s="250"/>
      <c r="B138" s="250"/>
      <c r="C138" s="250"/>
      <c r="D138" s="270"/>
      <c r="E138" s="270"/>
      <c r="F138" s="250"/>
      <c r="G138" s="270"/>
      <c r="H138" s="250"/>
      <c r="I138" s="250"/>
      <c r="J138" s="270"/>
      <c r="K138" s="250"/>
      <c r="L138" s="250"/>
      <c r="M138" s="250"/>
      <c r="N138" s="250"/>
      <c r="O138" s="250"/>
      <c r="P138" s="250"/>
      <c r="Q138" s="250"/>
      <c r="R138" s="250"/>
      <c r="S138" s="250"/>
      <c r="T138" s="250"/>
      <c r="U138" s="250"/>
      <c r="V138" s="250"/>
      <c r="W138" s="271"/>
      <c r="X138" s="271"/>
      <c r="Y138" s="250"/>
      <c r="Z138" s="250"/>
      <c r="AA138" s="272"/>
      <c r="AB138" s="250"/>
      <c r="AC138" s="250"/>
      <c r="AD138" s="250"/>
      <c r="AE138" s="272"/>
      <c r="AF138" s="250"/>
      <c r="AG138" s="250"/>
      <c r="AH138" s="250"/>
      <c r="AI138" s="250"/>
      <c r="AJ138" s="250"/>
      <c r="AK138" s="250"/>
      <c r="AL138" s="250"/>
      <c r="AM138" s="250"/>
      <c r="AN138" s="250"/>
      <c r="AO138" s="250"/>
      <c r="AP138" s="250"/>
      <c r="AQ138" s="250"/>
      <c r="AR138" s="250"/>
      <c r="AS138" s="250"/>
      <c r="AT138" s="250"/>
      <c r="AU138" s="250"/>
      <c r="AV138" s="250"/>
      <c r="AW138" s="250"/>
      <c r="AX138" s="250"/>
      <c r="AY138" s="250"/>
      <c r="AZ138" s="250"/>
      <c r="BA138" s="250"/>
      <c r="BB138" s="250"/>
      <c r="BC138" s="250"/>
      <c r="BD138" s="250"/>
      <c r="BE138" s="250"/>
      <c r="BF138" s="250"/>
      <c r="BG138" s="250"/>
      <c r="BH138" s="250"/>
      <c r="BI138" s="250"/>
      <c r="BJ138" s="250"/>
      <c r="BK138" s="250"/>
      <c r="BL138" s="250"/>
      <c r="BM138" s="250"/>
      <c r="BN138" s="250"/>
      <c r="BO138" s="250"/>
      <c r="BP138" s="250"/>
      <c r="BQ138" s="250"/>
      <c r="BR138" s="250"/>
      <c r="BS138" s="250"/>
      <c r="BT138" s="250"/>
      <c r="BU138" s="250"/>
      <c r="BV138" s="250"/>
      <c r="BW138" s="250"/>
      <c r="BX138" s="250"/>
      <c r="BY138" s="250"/>
    </row>
    <row r="139" ht="13.8" spans="1:77">
      <c r="A139" s="250"/>
      <c r="B139" s="250"/>
      <c r="C139" s="250"/>
      <c r="D139" s="270"/>
      <c r="E139" s="270"/>
      <c r="F139" s="250"/>
      <c r="G139" s="270"/>
      <c r="H139" s="250"/>
      <c r="I139" s="250"/>
      <c r="J139" s="270"/>
      <c r="K139" s="250"/>
      <c r="L139" s="250"/>
      <c r="M139" s="250"/>
      <c r="N139" s="250"/>
      <c r="O139" s="250"/>
      <c r="P139" s="250"/>
      <c r="Q139" s="250"/>
      <c r="R139" s="250"/>
      <c r="S139" s="250"/>
      <c r="T139" s="250"/>
      <c r="U139" s="250"/>
      <c r="V139" s="250"/>
      <c r="W139" s="271"/>
      <c r="X139" s="271"/>
      <c r="Y139" s="250"/>
      <c r="Z139" s="250"/>
      <c r="AA139" s="272"/>
      <c r="AB139" s="250"/>
      <c r="AC139" s="250"/>
      <c r="AD139" s="250"/>
      <c r="AE139" s="272"/>
      <c r="AF139" s="250"/>
      <c r="AG139" s="250"/>
      <c r="AH139" s="250"/>
      <c r="AI139" s="250"/>
      <c r="AJ139" s="250"/>
      <c r="AK139" s="250"/>
      <c r="AL139" s="250"/>
      <c r="AM139" s="250"/>
      <c r="AN139" s="250"/>
      <c r="AO139" s="250"/>
      <c r="AP139" s="250"/>
      <c r="AQ139" s="250"/>
      <c r="AR139" s="250"/>
      <c r="AS139" s="250"/>
      <c r="AT139" s="250"/>
      <c r="AU139" s="250"/>
      <c r="AV139" s="250"/>
      <c r="AW139" s="250"/>
      <c r="AX139" s="250"/>
      <c r="AY139" s="250"/>
      <c r="AZ139" s="250"/>
      <c r="BA139" s="250"/>
      <c r="BB139" s="250"/>
      <c r="BC139" s="250"/>
      <c r="BD139" s="250"/>
      <c r="BE139" s="250"/>
      <c r="BF139" s="250"/>
      <c r="BG139" s="250"/>
      <c r="BH139" s="250"/>
      <c r="BI139" s="250"/>
      <c r="BJ139" s="250"/>
      <c r="BK139" s="250"/>
      <c r="BL139" s="250"/>
      <c r="BM139" s="250"/>
      <c r="BN139" s="250"/>
      <c r="BO139" s="250"/>
      <c r="BP139" s="250"/>
      <c r="BQ139" s="250"/>
      <c r="BR139" s="250"/>
      <c r="BS139" s="250"/>
      <c r="BT139" s="250"/>
      <c r="BU139" s="250"/>
      <c r="BV139" s="250"/>
      <c r="BW139" s="250"/>
      <c r="BX139" s="250"/>
      <c r="BY139" s="250"/>
    </row>
    <row r="140" ht="13.8" spans="1:77">
      <c r="A140" s="250"/>
      <c r="B140" s="250"/>
      <c r="C140" s="250"/>
      <c r="D140" s="270"/>
      <c r="E140" s="270"/>
      <c r="F140" s="250"/>
      <c r="G140" s="270"/>
      <c r="H140" s="250"/>
      <c r="I140" s="250"/>
      <c r="J140" s="270"/>
      <c r="K140" s="250"/>
      <c r="L140" s="250"/>
      <c r="M140" s="250"/>
      <c r="N140" s="250"/>
      <c r="O140" s="250"/>
      <c r="P140" s="250"/>
      <c r="Q140" s="250"/>
      <c r="R140" s="250"/>
      <c r="S140" s="250"/>
      <c r="T140" s="250"/>
      <c r="U140" s="250"/>
      <c r="V140" s="250"/>
      <c r="W140" s="271"/>
      <c r="X140" s="271"/>
      <c r="Y140" s="250"/>
      <c r="Z140" s="250"/>
      <c r="AA140" s="272"/>
      <c r="AB140" s="250"/>
      <c r="AC140" s="250"/>
      <c r="AD140" s="250"/>
      <c r="AE140" s="272"/>
      <c r="AF140" s="250"/>
      <c r="AG140" s="250"/>
      <c r="AH140" s="250"/>
      <c r="AI140" s="250"/>
      <c r="AJ140" s="250"/>
      <c r="AK140" s="250"/>
      <c r="AL140" s="250"/>
      <c r="AM140" s="250"/>
      <c r="AN140" s="250"/>
      <c r="AO140" s="250"/>
      <c r="AP140" s="250"/>
      <c r="AQ140" s="250"/>
      <c r="AR140" s="250"/>
      <c r="AS140" s="250"/>
      <c r="AT140" s="250"/>
      <c r="AU140" s="250"/>
      <c r="AV140" s="250"/>
      <c r="AW140" s="250"/>
      <c r="AX140" s="250"/>
      <c r="AY140" s="250"/>
      <c r="AZ140" s="250"/>
      <c r="BA140" s="250"/>
      <c r="BB140" s="250"/>
      <c r="BC140" s="250"/>
      <c r="BD140" s="250"/>
      <c r="BE140" s="250"/>
      <c r="BF140" s="250"/>
      <c r="BG140" s="250"/>
      <c r="BH140" s="250"/>
      <c r="BI140" s="250"/>
      <c r="BJ140" s="250"/>
      <c r="BK140" s="250"/>
      <c r="BL140" s="250"/>
      <c r="BM140" s="250"/>
      <c r="BN140" s="250"/>
      <c r="BO140" s="250"/>
      <c r="BP140" s="250"/>
      <c r="BQ140" s="250"/>
      <c r="BR140" s="250"/>
      <c r="BS140" s="250"/>
      <c r="BT140" s="250"/>
      <c r="BU140" s="250"/>
      <c r="BV140" s="250"/>
      <c r="BW140" s="250"/>
      <c r="BX140" s="250"/>
      <c r="BY140" s="250"/>
    </row>
    <row r="141" ht="13.8" spans="1:77">
      <c r="A141" s="250"/>
      <c r="B141" s="250"/>
      <c r="C141" s="250"/>
      <c r="D141" s="270"/>
      <c r="E141" s="270"/>
      <c r="F141" s="250"/>
      <c r="G141" s="270"/>
      <c r="H141" s="250"/>
      <c r="I141" s="250"/>
      <c r="J141" s="270"/>
      <c r="K141" s="250"/>
      <c r="L141" s="250"/>
      <c r="M141" s="250"/>
      <c r="N141" s="250"/>
      <c r="O141" s="250"/>
      <c r="P141" s="250"/>
      <c r="Q141" s="250"/>
      <c r="R141" s="250"/>
      <c r="S141" s="250"/>
      <c r="T141" s="250"/>
      <c r="U141" s="250"/>
      <c r="V141" s="250"/>
      <c r="W141" s="271"/>
      <c r="X141" s="271"/>
      <c r="Y141" s="250"/>
      <c r="Z141" s="250"/>
      <c r="AA141" s="272"/>
      <c r="AB141" s="250"/>
      <c r="AC141" s="250"/>
      <c r="AD141" s="250"/>
      <c r="AE141" s="272"/>
      <c r="AF141" s="250"/>
      <c r="AG141" s="250"/>
      <c r="AH141" s="250"/>
      <c r="AI141" s="250"/>
      <c r="AJ141" s="250"/>
      <c r="AK141" s="250"/>
      <c r="AL141" s="250"/>
      <c r="AM141" s="250"/>
      <c r="AN141" s="250"/>
      <c r="AO141" s="250"/>
      <c r="AP141" s="250"/>
      <c r="AQ141" s="250"/>
      <c r="AR141" s="250"/>
      <c r="AS141" s="250"/>
      <c r="AT141" s="250"/>
      <c r="AU141" s="250"/>
      <c r="AV141" s="250"/>
      <c r="AW141" s="250"/>
      <c r="AX141" s="250"/>
      <c r="AY141" s="250"/>
      <c r="AZ141" s="250"/>
      <c r="BA141" s="250"/>
      <c r="BB141" s="250"/>
      <c r="BC141" s="250"/>
      <c r="BD141" s="250"/>
      <c r="BE141" s="250"/>
      <c r="BF141" s="250"/>
      <c r="BG141" s="250"/>
      <c r="BH141" s="250"/>
      <c r="BI141" s="250"/>
      <c r="BJ141" s="250"/>
      <c r="BK141" s="250"/>
      <c r="BL141" s="250"/>
      <c r="BM141" s="250"/>
      <c r="BN141" s="250"/>
      <c r="BO141" s="250"/>
      <c r="BP141" s="250"/>
      <c r="BQ141" s="250"/>
      <c r="BR141" s="250"/>
      <c r="BS141" s="250"/>
      <c r="BT141" s="250"/>
      <c r="BU141" s="250"/>
      <c r="BV141" s="250"/>
      <c r="BW141" s="250"/>
      <c r="BX141" s="250"/>
      <c r="BY141" s="250"/>
    </row>
    <row r="142" ht="13.8" spans="1:77">
      <c r="A142" s="250"/>
      <c r="B142" s="250"/>
      <c r="C142" s="250"/>
      <c r="D142" s="270"/>
      <c r="E142" s="270"/>
      <c r="F142" s="250"/>
      <c r="G142" s="270"/>
      <c r="H142" s="250"/>
      <c r="I142" s="250"/>
      <c r="J142" s="270"/>
      <c r="K142" s="250"/>
      <c r="L142" s="250"/>
      <c r="M142" s="250"/>
      <c r="N142" s="250"/>
      <c r="O142" s="250"/>
      <c r="P142" s="250"/>
      <c r="Q142" s="250"/>
      <c r="R142" s="250"/>
      <c r="S142" s="250"/>
      <c r="T142" s="250"/>
      <c r="U142" s="250"/>
      <c r="V142" s="250"/>
      <c r="W142" s="271"/>
      <c r="X142" s="271"/>
      <c r="Y142" s="250"/>
      <c r="Z142" s="250"/>
      <c r="AA142" s="272"/>
      <c r="AB142" s="250"/>
      <c r="AC142" s="250"/>
      <c r="AD142" s="250"/>
      <c r="AE142" s="272"/>
      <c r="AF142" s="250"/>
      <c r="AG142" s="250"/>
      <c r="AH142" s="250"/>
      <c r="AI142" s="250"/>
      <c r="AJ142" s="250"/>
      <c r="AK142" s="250"/>
      <c r="AL142" s="250"/>
      <c r="AM142" s="250"/>
      <c r="AN142" s="250"/>
      <c r="AO142" s="250"/>
      <c r="AP142" s="250"/>
      <c r="AQ142" s="250"/>
      <c r="AR142" s="250"/>
      <c r="AS142" s="250"/>
      <c r="AT142" s="250"/>
      <c r="AU142" s="250"/>
      <c r="AV142" s="250"/>
      <c r="AW142" s="250"/>
      <c r="AX142" s="250"/>
      <c r="AY142" s="250"/>
      <c r="AZ142" s="250"/>
      <c r="BA142" s="250"/>
      <c r="BB142" s="250"/>
      <c r="BC142" s="250"/>
      <c r="BD142" s="250"/>
      <c r="BE142" s="250"/>
      <c r="BF142" s="250"/>
      <c r="BG142" s="250"/>
      <c r="BH142" s="250"/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0"/>
      <c r="BS142" s="250"/>
      <c r="BT142" s="250"/>
      <c r="BU142" s="250"/>
      <c r="BV142" s="250"/>
      <c r="BW142" s="250"/>
      <c r="BX142" s="250"/>
      <c r="BY142" s="250"/>
    </row>
    <row r="143" ht="13.8" spans="1:77">
      <c r="A143" s="250"/>
      <c r="B143" s="250"/>
      <c r="C143" s="250"/>
      <c r="D143" s="270"/>
      <c r="E143" s="270"/>
      <c r="F143" s="250"/>
      <c r="G143" s="270"/>
      <c r="H143" s="250"/>
      <c r="I143" s="250"/>
      <c r="J143" s="270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  <c r="U143" s="250"/>
      <c r="V143" s="250"/>
      <c r="W143" s="271"/>
      <c r="X143" s="271"/>
      <c r="Y143" s="250"/>
      <c r="Z143" s="250"/>
      <c r="AA143" s="272"/>
      <c r="AB143" s="250"/>
      <c r="AC143" s="250"/>
      <c r="AD143" s="250"/>
      <c r="AE143" s="272"/>
      <c r="AF143" s="250"/>
      <c r="AG143" s="250"/>
      <c r="AH143" s="250"/>
      <c r="AI143" s="250"/>
      <c r="AJ143" s="250"/>
      <c r="AK143" s="250"/>
      <c r="AL143" s="250"/>
      <c r="AM143" s="250"/>
      <c r="AN143" s="250"/>
      <c r="AO143" s="250"/>
      <c r="AP143" s="250"/>
      <c r="AQ143" s="250"/>
      <c r="AR143" s="250"/>
      <c r="AS143" s="250"/>
      <c r="AT143" s="250"/>
      <c r="AU143" s="250"/>
      <c r="AV143" s="250"/>
      <c r="AW143" s="250"/>
      <c r="AX143" s="250"/>
      <c r="AY143" s="250"/>
      <c r="AZ143" s="250"/>
      <c r="BA143" s="250"/>
      <c r="BB143" s="250"/>
      <c r="BC143" s="250"/>
      <c r="BD143" s="250"/>
      <c r="BE143" s="250"/>
      <c r="BF143" s="250"/>
      <c r="BG143" s="250"/>
      <c r="BH143" s="250"/>
      <c r="BI143" s="250"/>
      <c r="BJ143" s="250"/>
      <c r="BK143" s="250"/>
      <c r="BL143" s="250"/>
      <c r="BM143" s="250"/>
      <c r="BN143" s="250"/>
      <c r="BO143" s="250"/>
      <c r="BP143" s="250"/>
      <c r="BQ143" s="250"/>
      <c r="BR143" s="250"/>
      <c r="BS143" s="250"/>
      <c r="BT143" s="250"/>
      <c r="BU143" s="250"/>
      <c r="BV143" s="250"/>
      <c r="BW143" s="250"/>
      <c r="BX143" s="250"/>
      <c r="BY143" s="250"/>
    </row>
    <row r="144" ht="13.8" spans="1:77">
      <c r="A144" s="250"/>
      <c r="B144" s="250"/>
      <c r="C144" s="250"/>
      <c r="D144" s="270"/>
      <c r="E144" s="270"/>
      <c r="F144" s="250"/>
      <c r="G144" s="270"/>
      <c r="H144" s="250"/>
      <c r="I144" s="250"/>
      <c r="J144" s="270"/>
      <c r="K144" s="250"/>
      <c r="L144" s="250"/>
      <c r="M144" s="250"/>
      <c r="N144" s="250"/>
      <c r="O144" s="250"/>
      <c r="P144" s="250"/>
      <c r="Q144" s="250"/>
      <c r="R144" s="250"/>
      <c r="S144" s="250"/>
      <c r="T144" s="250"/>
      <c r="U144" s="250"/>
      <c r="V144" s="250"/>
      <c r="W144" s="271"/>
      <c r="X144" s="271"/>
      <c r="Y144" s="250"/>
      <c r="Z144" s="250"/>
      <c r="AA144" s="272"/>
      <c r="AB144" s="250"/>
      <c r="AC144" s="250"/>
      <c r="AD144" s="250"/>
      <c r="AE144" s="272"/>
      <c r="AF144" s="250"/>
      <c r="AG144" s="250"/>
      <c r="AH144" s="250"/>
      <c r="AI144" s="250"/>
      <c r="AJ144" s="250"/>
      <c r="AK144" s="250"/>
      <c r="AL144" s="250"/>
      <c r="AM144" s="250"/>
      <c r="AN144" s="250"/>
      <c r="AO144" s="250"/>
      <c r="AP144" s="250"/>
      <c r="AQ144" s="250"/>
      <c r="AR144" s="250"/>
      <c r="AS144" s="250"/>
      <c r="AT144" s="250"/>
      <c r="AU144" s="250"/>
      <c r="AV144" s="250"/>
      <c r="AW144" s="250"/>
      <c r="AX144" s="250"/>
      <c r="AY144" s="250"/>
      <c r="AZ144" s="250"/>
      <c r="BA144" s="250"/>
      <c r="BB144" s="250"/>
      <c r="BC144" s="250"/>
      <c r="BD144" s="250"/>
      <c r="BE144" s="250"/>
      <c r="BF144" s="250"/>
      <c r="BG144" s="250"/>
      <c r="BH144" s="250"/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0"/>
      <c r="BS144" s="250"/>
      <c r="BT144" s="250"/>
      <c r="BU144" s="250"/>
      <c r="BV144" s="250"/>
      <c r="BW144" s="250"/>
      <c r="BX144" s="250"/>
      <c r="BY144" s="250"/>
    </row>
    <row r="145" ht="13.8" spans="1:77">
      <c r="A145" s="250"/>
      <c r="B145" s="250"/>
      <c r="C145" s="250"/>
      <c r="D145" s="270"/>
      <c r="E145" s="270"/>
      <c r="F145" s="250"/>
      <c r="G145" s="270"/>
      <c r="H145" s="250"/>
      <c r="I145" s="250"/>
      <c r="J145" s="270"/>
      <c r="K145" s="250"/>
      <c r="L145" s="250"/>
      <c r="M145" s="250"/>
      <c r="N145" s="250"/>
      <c r="O145" s="250"/>
      <c r="P145" s="250"/>
      <c r="Q145" s="250"/>
      <c r="R145" s="250"/>
      <c r="S145" s="250"/>
      <c r="T145" s="250"/>
      <c r="U145" s="250"/>
      <c r="V145" s="250"/>
      <c r="W145" s="271"/>
      <c r="X145" s="271"/>
      <c r="Y145" s="250"/>
      <c r="Z145" s="250"/>
      <c r="AA145" s="272"/>
      <c r="AB145" s="250"/>
      <c r="AC145" s="250"/>
      <c r="AD145" s="250"/>
      <c r="AE145" s="272"/>
      <c r="AF145" s="250"/>
      <c r="AG145" s="250"/>
      <c r="AH145" s="250"/>
      <c r="AI145" s="250"/>
      <c r="AJ145" s="250"/>
      <c r="AK145" s="250"/>
      <c r="AL145" s="250"/>
      <c r="AM145" s="250"/>
      <c r="AN145" s="250"/>
      <c r="AO145" s="250"/>
      <c r="AP145" s="250"/>
      <c r="AQ145" s="250"/>
      <c r="AR145" s="250"/>
      <c r="AS145" s="250"/>
      <c r="AT145" s="250"/>
      <c r="AU145" s="250"/>
      <c r="AV145" s="250"/>
      <c r="AW145" s="250"/>
      <c r="AX145" s="250"/>
      <c r="AY145" s="250"/>
      <c r="AZ145" s="250"/>
      <c r="BA145" s="250"/>
      <c r="BB145" s="250"/>
      <c r="BC145" s="250"/>
      <c r="BD145" s="250"/>
      <c r="BE145" s="250"/>
      <c r="BF145" s="250"/>
      <c r="BG145" s="250"/>
      <c r="BH145" s="250"/>
      <c r="BI145" s="250"/>
      <c r="BJ145" s="250"/>
      <c r="BK145" s="250"/>
      <c r="BL145" s="250"/>
      <c r="BM145" s="250"/>
      <c r="BN145" s="250"/>
      <c r="BO145" s="250"/>
      <c r="BP145" s="250"/>
      <c r="BQ145" s="250"/>
      <c r="BR145" s="250"/>
      <c r="BS145" s="250"/>
      <c r="BT145" s="250"/>
      <c r="BU145" s="250"/>
      <c r="BV145" s="250"/>
      <c r="BW145" s="250"/>
      <c r="BX145" s="250"/>
      <c r="BY145" s="250"/>
    </row>
    <row r="146" ht="13.8" spans="1:77">
      <c r="A146" s="250"/>
      <c r="B146" s="250"/>
      <c r="C146" s="250"/>
      <c r="D146" s="270"/>
      <c r="E146" s="270"/>
      <c r="F146" s="250"/>
      <c r="G146" s="270"/>
      <c r="H146" s="250"/>
      <c r="I146" s="250"/>
      <c r="J146" s="270"/>
      <c r="K146" s="250"/>
      <c r="L146" s="250"/>
      <c r="M146" s="250"/>
      <c r="N146" s="250"/>
      <c r="O146" s="250"/>
      <c r="P146" s="250"/>
      <c r="Q146" s="250"/>
      <c r="R146" s="250"/>
      <c r="S146" s="250"/>
      <c r="T146" s="250"/>
      <c r="U146" s="250"/>
      <c r="V146" s="250"/>
      <c r="W146" s="271"/>
      <c r="X146" s="271"/>
      <c r="Y146" s="250"/>
      <c r="Z146" s="250"/>
      <c r="AA146" s="272"/>
      <c r="AB146" s="250"/>
      <c r="AC146" s="250"/>
      <c r="AD146" s="250"/>
      <c r="AE146" s="272"/>
      <c r="AF146" s="250"/>
      <c r="AG146" s="250"/>
      <c r="AH146" s="250"/>
      <c r="AI146" s="250"/>
      <c r="AJ146" s="250"/>
      <c r="AK146" s="250"/>
      <c r="AL146" s="250"/>
      <c r="AM146" s="250"/>
      <c r="AN146" s="250"/>
      <c r="AO146" s="250"/>
      <c r="AP146" s="250"/>
      <c r="AQ146" s="250"/>
      <c r="AR146" s="250"/>
      <c r="AS146" s="250"/>
      <c r="AT146" s="250"/>
      <c r="AU146" s="250"/>
      <c r="AV146" s="250"/>
      <c r="AW146" s="250"/>
      <c r="AX146" s="250"/>
      <c r="AY146" s="250"/>
      <c r="AZ146" s="250"/>
      <c r="BA146" s="250"/>
      <c r="BB146" s="250"/>
      <c r="BC146" s="250"/>
      <c r="BD146" s="250"/>
      <c r="BE146" s="250"/>
      <c r="BF146" s="250"/>
      <c r="BG146" s="250"/>
      <c r="BH146" s="250"/>
      <c r="BI146" s="250"/>
      <c r="BJ146" s="250"/>
      <c r="BK146" s="250"/>
      <c r="BL146" s="250"/>
      <c r="BM146" s="250"/>
      <c r="BN146" s="250"/>
      <c r="BO146" s="250"/>
      <c r="BP146" s="250"/>
      <c r="BQ146" s="250"/>
      <c r="BR146" s="250"/>
      <c r="BS146" s="250"/>
      <c r="BT146" s="250"/>
      <c r="BU146" s="250"/>
      <c r="BV146" s="250"/>
      <c r="BW146" s="250"/>
      <c r="BX146" s="250"/>
      <c r="BY146" s="250"/>
    </row>
    <row r="147" ht="13.8" spans="1:77">
      <c r="A147" s="250"/>
      <c r="B147" s="250"/>
      <c r="C147" s="250"/>
      <c r="D147" s="270"/>
      <c r="E147" s="270"/>
      <c r="F147" s="250"/>
      <c r="G147" s="270"/>
      <c r="H147" s="250"/>
      <c r="I147" s="250"/>
      <c r="J147" s="270"/>
      <c r="K147" s="250"/>
      <c r="L147" s="250"/>
      <c r="M147" s="250"/>
      <c r="N147" s="250"/>
      <c r="O147" s="250"/>
      <c r="P147" s="250"/>
      <c r="Q147" s="250"/>
      <c r="R147" s="250"/>
      <c r="S147" s="250"/>
      <c r="T147" s="250"/>
      <c r="U147" s="250"/>
      <c r="V147" s="250"/>
      <c r="W147" s="271"/>
      <c r="X147" s="271"/>
      <c r="Y147" s="250"/>
      <c r="Z147" s="250"/>
      <c r="AA147" s="272"/>
      <c r="AB147" s="250"/>
      <c r="AC147" s="250"/>
      <c r="AD147" s="250"/>
      <c r="AE147" s="272"/>
      <c r="AF147" s="250"/>
      <c r="AG147" s="250"/>
      <c r="AH147" s="250"/>
      <c r="AI147" s="250"/>
      <c r="AJ147" s="250"/>
      <c r="AK147" s="250"/>
      <c r="AL147" s="250"/>
      <c r="AM147" s="250"/>
      <c r="AN147" s="250"/>
      <c r="AO147" s="250"/>
      <c r="AP147" s="250"/>
      <c r="AQ147" s="250"/>
      <c r="AR147" s="250"/>
      <c r="AS147" s="250"/>
      <c r="AT147" s="250"/>
      <c r="AU147" s="250"/>
      <c r="AV147" s="250"/>
      <c r="AW147" s="250"/>
      <c r="AX147" s="250"/>
      <c r="AY147" s="250"/>
      <c r="AZ147" s="250"/>
      <c r="BA147" s="250"/>
      <c r="BB147" s="250"/>
      <c r="BC147" s="250"/>
      <c r="BD147" s="250"/>
      <c r="BE147" s="250"/>
      <c r="BF147" s="250"/>
      <c r="BG147" s="250"/>
      <c r="BH147" s="250"/>
      <c r="BI147" s="250"/>
      <c r="BJ147" s="250"/>
      <c r="BK147" s="250"/>
      <c r="BL147" s="250"/>
      <c r="BM147" s="250"/>
      <c r="BN147" s="250"/>
      <c r="BO147" s="250"/>
      <c r="BP147" s="250"/>
      <c r="BQ147" s="250"/>
      <c r="BR147" s="250"/>
      <c r="BS147" s="250"/>
      <c r="BT147" s="250"/>
      <c r="BU147" s="250"/>
      <c r="BV147" s="250"/>
      <c r="BW147" s="250"/>
      <c r="BX147" s="250"/>
      <c r="BY147" s="250"/>
    </row>
    <row r="148" ht="13.8" spans="1:77">
      <c r="A148" s="250"/>
      <c r="B148" s="250"/>
      <c r="C148" s="250"/>
      <c r="D148" s="270"/>
      <c r="E148" s="270"/>
      <c r="F148" s="250"/>
      <c r="G148" s="270"/>
      <c r="H148" s="250"/>
      <c r="I148" s="250"/>
      <c r="J148" s="270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  <c r="U148" s="250"/>
      <c r="V148" s="250"/>
      <c r="W148" s="271"/>
      <c r="X148" s="271"/>
      <c r="Y148" s="250"/>
      <c r="Z148" s="250"/>
      <c r="AA148" s="272"/>
      <c r="AB148" s="250"/>
      <c r="AC148" s="250"/>
      <c r="AD148" s="250"/>
      <c r="AE148" s="272"/>
      <c r="AF148" s="250"/>
      <c r="AG148" s="250"/>
      <c r="AH148" s="250"/>
      <c r="AI148" s="250"/>
      <c r="AJ148" s="250"/>
      <c r="AK148" s="250"/>
      <c r="AL148" s="250"/>
      <c r="AM148" s="250"/>
      <c r="AN148" s="250"/>
      <c r="AO148" s="250"/>
      <c r="AP148" s="250"/>
      <c r="AQ148" s="250"/>
      <c r="AR148" s="250"/>
      <c r="AS148" s="250"/>
      <c r="AT148" s="250"/>
      <c r="AU148" s="250"/>
      <c r="AV148" s="250"/>
      <c r="AW148" s="250"/>
      <c r="AX148" s="250"/>
      <c r="AY148" s="250"/>
      <c r="AZ148" s="250"/>
      <c r="BA148" s="250"/>
      <c r="BB148" s="250"/>
      <c r="BC148" s="250"/>
      <c r="BD148" s="250"/>
      <c r="BE148" s="250"/>
      <c r="BF148" s="250"/>
      <c r="BG148" s="250"/>
      <c r="BH148" s="250"/>
      <c r="BI148" s="250"/>
      <c r="BJ148" s="250"/>
      <c r="BK148" s="250"/>
      <c r="BL148" s="250"/>
      <c r="BM148" s="250"/>
      <c r="BN148" s="250"/>
      <c r="BO148" s="250"/>
      <c r="BP148" s="250"/>
      <c r="BQ148" s="250"/>
      <c r="BR148" s="250"/>
      <c r="BS148" s="250"/>
      <c r="BT148" s="250"/>
      <c r="BU148" s="250"/>
      <c r="BV148" s="250"/>
      <c r="BW148" s="250"/>
      <c r="BX148" s="250"/>
      <c r="BY148" s="250"/>
    </row>
    <row r="149" ht="13.8" spans="1:77">
      <c r="A149" s="250"/>
      <c r="B149" s="250"/>
      <c r="C149" s="250"/>
      <c r="D149" s="270"/>
      <c r="E149" s="270"/>
      <c r="F149" s="250"/>
      <c r="G149" s="270"/>
      <c r="H149" s="250"/>
      <c r="I149" s="250"/>
      <c r="J149" s="270"/>
      <c r="K149" s="250"/>
      <c r="L149" s="250"/>
      <c r="M149" s="250"/>
      <c r="N149" s="250"/>
      <c r="O149" s="250"/>
      <c r="P149" s="250"/>
      <c r="Q149" s="250"/>
      <c r="R149" s="250"/>
      <c r="S149" s="250"/>
      <c r="T149" s="250"/>
      <c r="U149" s="250"/>
      <c r="V149" s="250"/>
      <c r="W149" s="271"/>
      <c r="X149" s="271"/>
      <c r="Y149" s="250"/>
      <c r="Z149" s="250"/>
      <c r="AA149" s="272"/>
      <c r="AB149" s="250"/>
      <c r="AC149" s="250"/>
      <c r="AD149" s="250"/>
      <c r="AE149" s="272"/>
      <c r="AF149" s="250"/>
      <c r="AG149" s="250"/>
      <c r="AH149" s="250"/>
      <c r="AI149" s="250"/>
      <c r="AJ149" s="250"/>
      <c r="AK149" s="250"/>
      <c r="AL149" s="250"/>
      <c r="AM149" s="250"/>
      <c r="AN149" s="250"/>
      <c r="AO149" s="250"/>
      <c r="AP149" s="250"/>
      <c r="AQ149" s="250"/>
      <c r="AR149" s="250"/>
      <c r="AS149" s="250"/>
      <c r="AT149" s="250"/>
      <c r="AU149" s="250"/>
      <c r="AV149" s="250"/>
      <c r="AW149" s="250"/>
      <c r="AX149" s="250"/>
      <c r="AY149" s="250"/>
      <c r="AZ149" s="250"/>
      <c r="BA149" s="250"/>
      <c r="BB149" s="250"/>
      <c r="BC149" s="250"/>
      <c r="BD149" s="250"/>
      <c r="BE149" s="250"/>
      <c r="BF149" s="250"/>
      <c r="BG149" s="250"/>
      <c r="BH149" s="250"/>
      <c r="BI149" s="250"/>
      <c r="BJ149" s="250"/>
      <c r="BK149" s="250"/>
      <c r="BL149" s="250"/>
      <c r="BM149" s="250"/>
      <c r="BN149" s="250"/>
      <c r="BO149" s="250"/>
      <c r="BP149" s="250"/>
      <c r="BQ149" s="250"/>
      <c r="BR149" s="250"/>
      <c r="BS149" s="250"/>
      <c r="BT149" s="250"/>
      <c r="BU149" s="250"/>
      <c r="BV149" s="250"/>
      <c r="BW149" s="250"/>
      <c r="BX149" s="250"/>
      <c r="BY149" s="250"/>
    </row>
    <row r="150" ht="13.8" spans="1:77">
      <c r="A150" s="250"/>
      <c r="B150" s="250"/>
      <c r="C150" s="250"/>
      <c r="D150" s="270"/>
      <c r="E150" s="270"/>
      <c r="F150" s="250"/>
      <c r="G150" s="270"/>
      <c r="H150" s="250"/>
      <c r="I150" s="250"/>
      <c r="J150" s="270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71"/>
      <c r="X150" s="271"/>
      <c r="Y150" s="250"/>
      <c r="Z150" s="250"/>
      <c r="AA150" s="272"/>
      <c r="AB150" s="250"/>
      <c r="AC150" s="250"/>
      <c r="AD150" s="250"/>
      <c r="AE150" s="272"/>
      <c r="AF150" s="250"/>
      <c r="AG150" s="250"/>
      <c r="AH150" s="250"/>
      <c r="AI150" s="250"/>
      <c r="AJ150" s="250"/>
      <c r="AK150" s="250"/>
      <c r="AL150" s="250"/>
      <c r="AM150" s="250"/>
      <c r="AN150" s="250"/>
      <c r="AO150" s="250"/>
      <c r="AP150" s="250"/>
      <c r="AQ150" s="250"/>
      <c r="AR150" s="250"/>
      <c r="AS150" s="250"/>
      <c r="AT150" s="250"/>
      <c r="AU150" s="250"/>
      <c r="AV150" s="250"/>
      <c r="AW150" s="250"/>
      <c r="AX150" s="250"/>
      <c r="AY150" s="250"/>
      <c r="AZ150" s="250"/>
      <c r="BA150" s="250"/>
      <c r="BB150" s="250"/>
      <c r="BC150" s="250"/>
      <c r="BD150" s="250"/>
      <c r="BE150" s="250"/>
      <c r="BF150" s="250"/>
      <c r="BG150" s="250"/>
      <c r="BH150" s="250"/>
      <c r="BI150" s="250"/>
      <c r="BJ150" s="250"/>
      <c r="BK150" s="250"/>
      <c r="BL150" s="250"/>
      <c r="BM150" s="250"/>
      <c r="BN150" s="250"/>
      <c r="BO150" s="250"/>
      <c r="BP150" s="250"/>
      <c r="BQ150" s="250"/>
      <c r="BR150" s="250"/>
      <c r="BS150" s="250"/>
      <c r="BT150" s="250"/>
      <c r="BU150" s="250"/>
      <c r="BV150" s="250"/>
      <c r="BW150" s="250"/>
      <c r="BX150" s="250"/>
      <c r="BY150" s="250"/>
    </row>
    <row r="151" ht="13.8" spans="1:77">
      <c r="A151" s="250"/>
      <c r="B151" s="250"/>
      <c r="C151" s="250"/>
      <c r="D151" s="270"/>
      <c r="E151" s="270"/>
      <c r="F151" s="250"/>
      <c r="G151" s="270"/>
      <c r="H151" s="250"/>
      <c r="I151" s="250"/>
      <c r="J151" s="270"/>
      <c r="K151" s="250"/>
      <c r="L151" s="250"/>
      <c r="M151" s="250"/>
      <c r="N151" s="250"/>
      <c r="O151" s="250"/>
      <c r="P151" s="250"/>
      <c r="Q151" s="250"/>
      <c r="R151" s="250"/>
      <c r="S151" s="250"/>
      <c r="T151" s="250"/>
      <c r="U151" s="250"/>
      <c r="V151" s="250"/>
      <c r="W151" s="271"/>
      <c r="X151" s="271"/>
      <c r="Y151" s="250"/>
      <c r="Z151" s="250"/>
      <c r="AA151" s="272"/>
      <c r="AB151" s="250"/>
      <c r="AC151" s="250"/>
      <c r="AD151" s="250"/>
      <c r="AE151" s="272"/>
      <c r="AF151" s="250"/>
      <c r="AG151" s="250"/>
      <c r="AH151" s="250"/>
      <c r="AI151" s="250"/>
      <c r="AJ151" s="250"/>
      <c r="AK151" s="250"/>
      <c r="AL151" s="250"/>
      <c r="AM151" s="250"/>
      <c r="AN151" s="250"/>
      <c r="AO151" s="250"/>
      <c r="AP151" s="250"/>
      <c r="AQ151" s="250"/>
      <c r="AR151" s="250"/>
      <c r="AS151" s="250"/>
      <c r="AT151" s="250"/>
      <c r="AU151" s="250"/>
      <c r="AV151" s="250"/>
      <c r="AW151" s="250"/>
      <c r="AX151" s="250"/>
      <c r="AY151" s="250"/>
      <c r="AZ151" s="250"/>
      <c r="BA151" s="250"/>
      <c r="BB151" s="250"/>
      <c r="BC151" s="250"/>
      <c r="BD151" s="250"/>
      <c r="BE151" s="250"/>
      <c r="BF151" s="250"/>
      <c r="BG151" s="250"/>
      <c r="BH151" s="250"/>
      <c r="BI151" s="250"/>
      <c r="BJ151" s="250"/>
      <c r="BK151" s="250"/>
      <c r="BL151" s="250"/>
      <c r="BM151" s="250"/>
      <c r="BN151" s="250"/>
      <c r="BO151" s="250"/>
      <c r="BP151" s="250"/>
      <c r="BQ151" s="250"/>
      <c r="BR151" s="250"/>
      <c r="BS151" s="250"/>
      <c r="BT151" s="250"/>
      <c r="BU151" s="250"/>
      <c r="BV151" s="250"/>
      <c r="BW151" s="250"/>
      <c r="BX151" s="250"/>
      <c r="BY151" s="250"/>
    </row>
    <row r="152" ht="13.8" spans="1:77">
      <c r="A152" s="250"/>
      <c r="B152" s="250"/>
      <c r="C152" s="250"/>
      <c r="D152" s="270"/>
      <c r="E152" s="270"/>
      <c r="F152" s="250"/>
      <c r="G152" s="270"/>
      <c r="H152" s="250"/>
      <c r="I152" s="250"/>
      <c r="J152" s="270"/>
      <c r="K152" s="250"/>
      <c r="L152" s="250"/>
      <c r="M152" s="250"/>
      <c r="N152" s="250"/>
      <c r="O152" s="250"/>
      <c r="P152" s="250"/>
      <c r="Q152" s="250"/>
      <c r="R152" s="250"/>
      <c r="S152" s="250"/>
      <c r="T152" s="250"/>
      <c r="U152" s="250"/>
      <c r="V152" s="250"/>
      <c r="W152" s="271"/>
      <c r="X152" s="271"/>
      <c r="Y152" s="250"/>
      <c r="Z152" s="250"/>
      <c r="AA152" s="272"/>
      <c r="AB152" s="250"/>
      <c r="AC152" s="250"/>
      <c r="AD152" s="250"/>
      <c r="AE152" s="272"/>
      <c r="AF152" s="250"/>
      <c r="AG152" s="250"/>
      <c r="AH152" s="250"/>
      <c r="AI152" s="250"/>
      <c r="AJ152" s="250"/>
      <c r="AK152" s="250"/>
      <c r="AL152" s="250"/>
      <c r="AM152" s="250"/>
      <c r="AN152" s="250"/>
      <c r="AO152" s="250"/>
      <c r="AP152" s="250"/>
      <c r="AQ152" s="250"/>
      <c r="AR152" s="250"/>
      <c r="AS152" s="250"/>
      <c r="AT152" s="250"/>
      <c r="AU152" s="250"/>
      <c r="AV152" s="250"/>
      <c r="AW152" s="250"/>
      <c r="AX152" s="250"/>
      <c r="AY152" s="250"/>
      <c r="AZ152" s="250"/>
      <c r="BA152" s="250"/>
      <c r="BB152" s="250"/>
      <c r="BC152" s="250"/>
      <c r="BD152" s="250"/>
      <c r="BE152" s="250"/>
      <c r="BF152" s="250"/>
      <c r="BG152" s="250"/>
      <c r="BH152" s="250"/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0"/>
      <c r="BS152" s="250"/>
      <c r="BT152" s="250"/>
      <c r="BU152" s="250"/>
      <c r="BV152" s="250"/>
      <c r="BW152" s="250"/>
      <c r="BX152" s="250"/>
      <c r="BY152" s="250"/>
    </row>
    <row r="153" ht="13.8" spans="1:77">
      <c r="A153" s="250"/>
      <c r="B153" s="250"/>
      <c r="C153" s="250"/>
      <c r="D153" s="270"/>
      <c r="E153" s="270"/>
      <c r="F153" s="250"/>
      <c r="G153" s="270"/>
      <c r="H153" s="250"/>
      <c r="I153" s="250"/>
      <c r="J153" s="270"/>
      <c r="K153" s="250"/>
      <c r="L153" s="250"/>
      <c r="M153" s="250"/>
      <c r="N153" s="250"/>
      <c r="O153" s="250"/>
      <c r="P153" s="250"/>
      <c r="Q153" s="250"/>
      <c r="R153" s="250"/>
      <c r="S153" s="250"/>
      <c r="T153" s="250"/>
      <c r="U153" s="250"/>
      <c r="V153" s="250"/>
      <c r="W153" s="271"/>
      <c r="X153" s="271"/>
      <c r="Y153" s="250"/>
      <c r="Z153" s="250"/>
      <c r="AA153" s="272"/>
      <c r="AB153" s="250"/>
      <c r="AC153" s="250"/>
      <c r="AD153" s="250"/>
      <c r="AE153" s="272"/>
      <c r="AF153" s="250"/>
      <c r="AG153" s="250"/>
      <c r="AH153" s="250"/>
      <c r="AI153" s="250"/>
      <c r="AJ153" s="250"/>
      <c r="AK153" s="250"/>
      <c r="AL153" s="250"/>
      <c r="AM153" s="250"/>
      <c r="AN153" s="250"/>
      <c r="AO153" s="250"/>
      <c r="AP153" s="250"/>
      <c r="AQ153" s="250"/>
      <c r="AR153" s="250"/>
      <c r="AS153" s="250"/>
      <c r="AT153" s="250"/>
      <c r="AU153" s="250"/>
      <c r="AV153" s="250"/>
      <c r="AW153" s="250"/>
      <c r="AX153" s="250"/>
      <c r="AY153" s="250"/>
      <c r="AZ153" s="250"/>
      <c r="BA153" s="250"/>
      <c r="BB153" s="250"/>
      <c r="BC153" s="250"/>
      <c r="BD153" s="250"/>
      <c r="BE153" s="250"/>
      <c r="BF153" s="250"/>
      <c r="BG153" s="250"/>
      <c r="BH153" s="250"/>
      <c r="BI153" s="250"/>
      <c r="BJ153" s="250"/>
      <c r="BK153" s="250"/>
      <c r="BL153" s="250"/>
      <c r="BM153" s="250"/>
      <c r="BN153" s="250"/>
      <c r="BO153" s="250"/>
      <c r="BP153" s="250"/>
      <c r="BQ153" s="250"/>
      <c r="BR153" s="250"/>
      <c r="BS153" s="250"/>
      <c r="BT153" s="250"/>
      <c r="BU153" s="250"/>
      <c r="BV153" s="250"/>
      <c r="BW153" s="250"/>
      <c r="BX153" s="250"/>
      <c r="BY153" s="250"/>
    </row>
    <row r="154" ht="13.8" spans="1:77">
      <c r="A154" s="250"/>
      <c r="B154" s="250"/>
      <c r="C154" s="250"/>
      <c r="D154" s="270"/>
      <c r="E154" s="270"/>
      <c r="F154" s="250"/>
      <c r="G154" s="270"/>
      <c r="H154" s="250"/>
      <c r="I154" s="250"/>
      <c r="J154" s="270"/>
      <c r="K154" s="250"/>
      <c r="L154" s="250"/>
      <c r="M154" s="250"/>
      <c r="N154" s="250"/>
      <c r="O154" s="250"/>
      <c r="P154" s="250"/>
      <c r="Q154" s="250"/>
      <c r="R154" s="250"/>
      <c r="S154" s="250"/>
      <c r="T154" s="250"/>
      <c r="U154" s="250"/>
      <c r="V154" s="250"/>
      <c r="W154" s="271"/>
      <c r="X154" s="271"/>
      <c r="Y154" s="250"/>
      <c r="Z154" s="250"/>
      <c r="AA154" s="272"/>
      <c r="AB154" s="250"/>
      <c r="AC154" s="250"/>
      <c r="AD154" s="250"/>
      <c r="AE154" s="272"/>
      <c r="AF154" s="250"/>
      <c r="AG154" s="250"/>
      <c r="AH154" s="250"/>
      <c r="AI154" s="250"/>
      <c r="AJ154" s="250"/>
      <c r="AK154" s="250"/>
      <c r="AL154" s="250"/>
      <c r="AM154" s="250"/>
      <c r="AN154" s="250"/>
      <c r="AO154" s="250"/>
      <c r="AP154" s="250"/>
      <c r="AQ154" s="250"/>
      <c r="AR154" s="250"/>
      <c r="AS154" s="250"/>
      <c r="AT154" s="250"/>
      <c r="AU154" s="250"/>
      <c r="AV154" s="250"/>
      <c r="AW154" s="250"/>
      <c r="AX154" s="250"/>
      <c r="AY154" s="250"/>
      <c r="AZ154" s="250"/>
      <c r="BA154" s="250"/>
      <c r="BB154" s="250"/>
      <c r="BC154" s="250"/>
      <c r="BD154" s="250"/>
      <c r="BE154" s="250"/>
      <c r="BF154" s="250"/>
      <c r="BG154" s="250"/>
      <c r="BH154" s="250"/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0"/>
      <c r="BS154" s="250"/>
      <c r="BT154" s="250"/>
      <c r="BU154" s="250"/>
      <c r="BV154" s="250"/>
      <c r="BW154" s="250"/>
      <c r="BX154" s="250"/>
      <c r="BY154" s="250"/>
    </row>
    <row r="155" ht="13.8" spans="1:77">
      <c r="A155" s="250"/>
      <c r="B155" s="250"/>
      <c r="C155" s="250"/>
      <c r="D155" s="270"/>
      <c r="E155" s="270"/>
      <c r="F155" s="250"/>
      <c r="G155" s="270"/>
      <c r="H155" s="250"/>
      <c r="I155" s="250"/>
      <c r="J155" s="270"/>
      <c r="K155" s="250"/>
      <c r="L155" s="250"/>
      <c r="M155" s="250"/>
      <c r="N155" s="250"/>
      <c r="O155" s="250"/>
      <c r="P155" s="250"/>
      <c r="Q155" s="250"/>
      <c r="R155" s="250"/>
      <c r="S155" s="250"/>
      <c r="T155" s="250"/>
      <c r="U155" s="250"/>
      <c r="V155" s="250"/>
      <c r="W155" s="271"/>
      <c r="X155" s="271"/>
      <c r="Y155" s="250"/>
      <c r="Z155" s="250"/>
      <c r="AA155" s="272"/>
      <c r="AB155" s="250"/>
      <c r="AC155" s="250"/>
      <c r="AD155" s="250"/>
      <c r="AE155" s="272"/>
      <c r="AF155" s="250"/>
      <c r="AG155" s="250"/>
      <c r="AH155" s="250"/>
      <c r="AI155" s="250"/>
      <c r="AJ155" s="250"/>
      <c r="AK155" s="250"/>
      <c r="AL155" s="250"/>
      <c r="AM155" s="250"/>
      <c r="AN155" s="250"/>
      <c r="AO155" s="250"/>
      <c r="AP155" s="250"/>
      <c r="AQ155" s="250"/>
      <c r="AR155" s="250"/>
      <c r="AS155" s="250"/>
      <c r="AT155" s="250"/>
      <c r="AU155" s="250"/>
      <c r="AV155" s="250"/>
      <c r="AW155" s="250"/>
      <c r="AX155" s="250"/>
      <c r="AY155" s="250"/>
      <c r="AZ155" s="250"/>
      <c r="BA155" s="250"/>
      <c r="BB155" s="250"/>
      <c r="BC155" s="250"/>
      <c r="BD155" s="250"/>
      <c r="BE155" s="250"/>
      <c r="BF155" s="250"/>
      <c r="BG155" s="250"/>
      <c r="BH155" s="250"/>
      <c r="BI155" s="250"/>
      <c r="BJ155" s="250"/>
      <c r="BK155" s="250"/>
      <c r="BL155" s="250"/>
      <c r="BM155" s="250"/>
      <c r="BN155" s="250"/>
      <c r="BO155" s="250"/>
      <c r="BP155" s="250"/>
      <c r="BQ155" s="250"/>
      <c r="BR155" s="250"/>
      <c r="BS155" s="250"/>
      <c r="BT155" s="250"/>
      <c r="BU155" s="250"/>
      <c r="BV155" s="250"/>
      <c r="BW155" s="250"/>
      <c r="BX155" s="250"/>
      <c r="BY155" s="250"/>
    </row>
    <row r="156" ht="13.8" spans="1:77">
      <c r="A156" s="250"/>
      <c r="B156" s="250"/>
      <c r="C156" s="250"/>
      <c r="D156" s="270"/>
      <c r="E156" s="270"/>
      <c r="F156" s="250"/>
      <c r="G156" s="270"/>
      <c r="H156" s="250"/>
      <c r="I156" s="250"/>
      <c r="J156" s="270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  <c r="U156" s="250"/>
      <c r="V156" s="250"/>
      <c r="W156" s="271"/>
      <c r="X156" s="271"/>
      <c r="Y156" s="250"/>
      <c r="Z156" s="250"/>
      <c r="AA156" s="272"/>
      <c r="AB156" s="250"/>
      <c r="AC156" s="250"/>
      <c r="AD156" s="250"/>
      <c r="AE156" s="272"/>
      <c r="AF156" s="250"/>
      <c r="AG156" s="250"/>
      <c r="AH156" s="250"/>
      <c r="AI156" s="250"/>
      <c r="AJ156" s="250"/>
      <c r="AK156" s="250"/>
      <c r="AL156" s="250"/>
      <c r="AM156" s="250"/>
      <c r="AN156" s="250"/>
      <c r="AO156" s="250"/>
      <c r="AP156" s="250"/>
      <c r="AQ156" s="250"/>
      <c r="AR156" s="250"/>
      <c r="AS156" s="250"/>
      <c r="AT156" s="250"/>
      <c r="AU156" s="250"/>
      <c r="AV156" s="250"/>
      <c r="AW156" s="250"/>
      <c r="AX156" s="250"/>
      <c r="AY156" s="250"/>
      <c r="AZ156" s="250"/>
      <c r="BA156" s="250"/>
      <c r="BB156" s="250"/>
      <c r="BC156" s="250"/>
      <c r="BD156" s="250"/>
      <c r="BE156" s="250"/>
      <c r="BF156" s="250"/>
      <c r="BG156" s="250"/>
      <c r="BH156" s="250"/>
      <c r="BI156" s="250"/>
      <c r="BJ156" s="250"/>
      <c r="BK156" s="250"/>
      <c r="BL156" s="250"/>
      <c r="BM156" s="250"/>
      <c r="BN156" s="250"/>
      <c r="BO156" s="250"/>
      <c r="BP156" s="250"/>
      <c r="BQ156" s="250"/>
      <c r="BR156" s="250"/>
      <c r="BS156" s="250"/>
      <c r="BT156" s="250"/>
      <c r="BU156" s="250"/>
      <c r="BV156" s="250"/>
      <c r="BW156" s="250"/>
      <c r="BX156" s="250"/>
      <c r="BY156" s="250"/>
    </row>
    <row r="157" ht="13.8" spans="1:77">
      <c r="A157" s="250"/>
      <c r="B157" s="250"/>
      <c r="C157" s="250"/>
      <c r="D157" s="270"/>
      <c r="E157" s="270"/>
      <c r="F157" s="250"/>
      <c r="G157" s="270"/>
      <c r="H157" s="250"/>
      <c r="I157" s="250"/>
      <c r="J157" s="27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71"/>
      <c r="X157" s="271"/>
      <c r="Y157" s="250"/>
      <c r="Z157" s="250"/>
      <c r="AA157" s="272"/>
      <c r="AB157" s="250"/>
      <c r="AC157" s="250"/>
      <c r="AD157" s="250"/>
      <c r="AE157" s="272"/>
      <c r="AF157" s="250"/>
      <c r="AG157" s="250"/>
      <c r="AH157" s="250"/>
      <c r="AI157" s="250"/>
      <c r="AJ157" s="250"/>
      <c r="AK157" s="250"/>
      <c r="AL157" s="250"/>
      <c r="AM157" s="250"/>
      <c r="AN157" s="250"/>
      <c r="AO157" s="250"/>
      <c r="AP157" s="250"/>
      <c r="AQ157" s="250"/>
      <c r="AR157" s="250"/>
      <c r="AS157" s="250"/>
      <c r="AT157" s="250"/>
      <c r="AU157" s="250"/>
      <c r="AV157" s="250"/>
      <c r="AW157" s="250"/>
      <c r="AX157" s="250"/>
      <c r="AY157" s="250"/>
      <c r="AZ157" s="250"/>
      <c r="BA157" s="250"/>
      <c r="BB157" s="250"/>
      <c r="BC157" s="250"/>
      <c r="BD157" s="250"/>
      <c r="BE157" s="250"/>
      <c r="BF157" s="250"/>
      <c r="BG157" s="250"/>
      <c r="BH157" s="250"/>
      <c r="BI157" s="250"/>
      <c r="BJ157" s="250"/>
      <c r="BK157" s="250"/>
      <c r="BL157" s="250"/>
      <c r="BM157" s="250"/>
      <c r="BN157" s="250"/>
      <c r="BO157" s="250"/>
      <c r="BP157" s="250"/>
      <c r="BQ157" s="250"/>
      <c r="BR157" s="250"/>
      <c r="BS157" s="250"/>
      <c r="BT157" s="250"/>
      <c r="BU157" s="250"/>
      <c r="BV157" s="250"/>
      <c r="BW157" s="250"/>
      <c r="BX157" s="250"/>
      <c r="BY157" s="250"/>
    </row>
    <row r="158" ht="13.8" spans="1:77">
      <c r="A158" s="250"/>
      <c r="B158" s="250"/>
      <c r="C158" s="250"/>
      <c r="D158" s="270"/>
      <c r="E158" s="270"/>
      <c r="F158" s="250"/>
      <c r="G158" s="270"/>
      <c r="H158" s="250"/>
      <c r="I158" s="250"/>
      <c r="J158" s="27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  <c r="U158" s="250"/>
      <c r="V158" s="250"/>
      <c r="W158" s="271"/>
      <c r="X158" s="271"/>
      <c r="Y158" s="250"/>
      <c r="Z158" s="250"/>
      <c r="AA158" s="272"/>
      <c r="AB158" s="250"/>
      <c r="AC158" s="250"/>
      <c r="AD158" s="250"/>
      <c r="AE158" s="272"/>
      <c r="AF158" s="250"/>
      <c r="AG158" s="250"/>
      <c r="AH158" s="250"/>
      <c r="AI158" s="250"/>
      <c r="AJ158" s="250"/>
      <c r="AK158" s="250"/>
      <c r="AL158" s="250"/>
      <c r="AM158" s="250"/>
      <c r="AN158" s="250"/>
      <c r="AO158" s="250"/>
      <c r="AP158" s="250"/>
      <c r="AQ158" s="250"/>
      <c r="AR158" s="250"/>
      <c r="AS158" s="250"/>
      <c r="AT158" s="250"/>
      <c r="AU158" s="250"/>
      <c r="AV158" s="250"/>
      <c r="AW158" s="250"/>
      <c r="AX158" s="250"/>
      <c r="AY158" s="250"/>
      <c r="AZ158" s="250"/>
      <c r="BA158" s="250"/>
      <c r="BB158" s="250"/>
      <c r="BC158" s="250"/>
      <c r="BD158" s="250"/>
      <c r="BE158" s="250"/>
      <c r="BF158" s="250"/>
      <c r="BG158" s="250"/>
      <c r="BH158" s="250"/>
      <c r="BI158" s="250"/>
      <c r="BJ158" s="250"/>
      <c r="BK158" s="250"/>
      <c r="BL158" s="250"/>
      <c r="BM158" s="250"/>
      <c r="BN158" s="250"/>
      <c r="BO158" s="250"/>
      <c r="BP158" s="250"/>
      <c r="BQ158" s="250"/>
      <c r="BR158" s="250"/>
      <c r="BS158" s="250"/>
      <c r="BT158" s="250"/>
      <c r="BU158" s="250"/>
      <c r="BV158" s="250"/>
      <c r="BW158" s="250"/>
      <c r="BX158" s="250"/>
      <c r="BY158" s="250"/>
    </row>
    <row r="159" ht="13.8" spans="1:77">
      <c r="A159" s="250"/>
      <c r="B159" s="250"/>
      <c r="C159" s="250"/>
      <c r="D159" s="270"/>
      <c r="E159" s="270"/>
      <c r="F159" s="250"/>
      <c r="G159" s="270"/>
      <c r="H159" s="250"/>
      <c r="I159" s="250"/>
      <c r="J159" s="270"/>
      <c r="K159" s="250"/>
      <c r="L159" s="250"/>
      <c r="M159" s="250"/>
      <c r="N159" s="250"/>
      <c r="O159" s="250"/>
      <c r="P159" s="250"/>
      <c r="Q159" s="250"/>
      <c r="R159" s="250"/>
      <c r="S159" s="250"/>
      <c r="T159" s="250"/>
      <c r="U159" s="250"/>
      <c r="V159" s="250"/>
      <c r="W159" s="271"/>
      <c r="X159" s="271"/>
      <c r="Y159" s="250"/>
      <c r="Z159" s="250"/>
      <c r="AA159" s="272"/>
      <c r="AB159" s="250"/>
      <c r="AC159" s="250"/>
      <c r="AD159" s="250"/>
      <c r="AE159" s="272"/>
      <c r="AF159" s="250"/>
      <c r="AG159" s="250"/>
      <c r="AH159" s="250"/>
      <c r="AI159" s="250"/>
      <c r="AJ159" s="250"/>
      <c r="AK159" s="250"/>
      <c r="AL159" s="250"/>
      <c r="AM159" s="250"/>
      <c r="AN159" s="250"/>
      <c r="AO159" s="250"/>
      <c r="AP159" s="250"/>
      <c r="AQ159" s="250"/>
      <c r="AR159" s="250"/>
      <c r="AS159" s="250"/>
      <c r="AT159" s="250"/>
      <c r="AU159" s="250"/>
      <c r="AV159" s="250"/>
      <c r="AW159" s="250"/>
      <c r="AX159" s="250"/>
      <c r="AY159" s="250"/>
      <c r="AZ159" s="250"/>
      <c r="BA159" s="250"/>
      <c r="BB159" s="250"/>
      <c r="BC159" s="250"/>
      <c r="BD159" s="250"/>
      <c r="BE159" s="250"/>
      <c r="BF159" s="250"/>
      <c r="BG159" s="250"/>
      <c r="BH159" s="250"/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0"/>
      <c r="BS159" s="250"/>
      <c r="BT159" s="250"/>
      <c r="BU159" s="250"/>
      <c r="BV159" s="250"/>
      <c r="BW159" s="250"/>
      <c r="BX159" s="250"/>
      <c r="BY159" s="250"/>
    </row>
    <row r="160" ht="13.8" spans="1:77">
      <c r="A160" s="250"/>
      <c r="B160" s="250"/>
      <c r="C160" s="250"/>
      <c r="D160" s="270"/>
      <c r="E160" s="270"/>
      <c r="F160" s="250"/>
      <c r="G160" s="270"/>
      <c r="H160" s="250"/>
      <c r="I160" s="250"/>
      <c r="J160" s="270"/>
      <c r="K160" s="250"/>
      <c r="L160" s="250"/>
      <c r="M160" s="250"/>
      <c r="N160" s="250"/>
      <c r="O160" s="250"/>
      <c r="P160" s="250"/>
      <c r="Q160" s="250"/>
      <c r="R160" s="250"/>
      <c r="S160" s="250"/>
      <c r="T160" s="250"/>
      <c r="U160" s="250"/>
      <c r="V160" s="250"/>
      <c r="W160" s="271"/>
      <c r="X160" s="271"/>
      <c r="Y160" s="250"/>
      <c r="Z160" s="250"/>
      <c r="AA160" s="272"/>
      <c r="AB160" s="250"/>
      <c r="AC160" s="250"/>
      <c r="AD160" s="250"/>
      <c r="AE160" s="272"/>
      <c r="AF160" s="250"/>
      <c r="AG160" s="250"/>
      <c r="AH160" s="250"/>
      <c r="AI160" s="250"/>
      <c r="AJ160" s="250"/>
      <c r="AK160" s="250"/>
      <c r="AL160" s="250"/>
      <c r="AM160" s="250"/>
      <c r="AN160" s="250"/>
      <c r="AO160" s="250"/>
      <c r="AP160" s="250"/>
      <c r="AQ160" s="250"/>
      <c r="AR160" s="250"/>
      <c r="AS160" s="250"/>
      <c r="AT160" s="250"/>
      <c r="AU160" s="250"/>
      <c r="AV160" s="250"/>
      <c r="AW160" s="250"/>
      <c r="AX160" s="250"/>
      <c r="AY160" s="250"/>
      <c r="AZ160" s="250"/>
      <c r="BA160" s="250"/>
      <c r="BB160" s="250"/>
      <c r="BC160" s="250"/>
      <c r="BD160" s="250"/>
      <c r="BE160" s="250"/>
      <c r="BF160" s="250"/>
      <c r="BG160" s="250"/>
      <c r="BH160" s="250"/>
      <c r="BI160" s="250"/>
      <c r="BJ160" s="250"/>
      <c r="BK160" s="250"/>
      <c r="BL160" s="250"/>
      <c r="BM160" s="250"/>
      <c r="BN160" s="250"/>
      <c r="BO160" s="250"/>
      <c r="BP160" s="250"/>
      <c r="BQ160" s="250"/>
      <c r="BR160" s="250"/>
      <c r="BS160" s="250"/>
      <c r="BT160" s="250"/>
      <c r="BU160" s="250"/>
      <c r="BV160" s="250"/>
      <c r="BW160" s="250"/>
      <c r="BX160" s="250"/>
      <c r="BY160" s="250"/>
    </row>
    <row r="161" ht="13.8" spans="1:77">
      <c r="A161" s="250"/>
      <c r="B161" s="250"/>
      <c r="C161" s="250"/>
      <c r="D161" s="270"/>
      <c r="E161" s="270"/>
      <c r="F161" s="250"/>
      <c r="G161" s="270"/>
      <c r="H161" s="250"/>
      <c r="I161" s="250"/>
      <c r="J161" s="27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71"/>
      <c r="X161" s="271"/>
      <c r="Y161" s="250"/>
      <c r="Z161" s="250"/>
      <c r="AA161" s="272"/>
      <c r="AB161" s="250"/>
      <c r="AC161" s="250"/>
      <c r="AD161" s="250"/>
      <c r="AE161" s="272"/>
      <c r="AF161" s="250"/>
      <c r="AG161" s="250"/>
      <c r="AH161" s="250"/>
      <c r="AI161" s="250"/>
      <c r="AJ161" s="250"/>
      <c r="AK161" s="250"/>
      <c r="AL161" s="250"/>
      <c r="AM161" s="250"/>
      <c r="AN161" s="250"/>
      <c r="AO161" s="250"/>
      <c r="AP161" s="250"/>
      <c r="AQ161" s="250"/>
      <c r="AR161" s="250"/>
      <c r="AS161" s="250"/>
      <c r="AT161" s="250"/>
      <c r="AU161" s="250"/>
      <c r="AV161" s="250"/>
      <c r="AW161" s="250"/>
      <c r="AX161" s="250"/>
      <c r="AY161" s="250"/>
      <c r="AZ161" s="250"/>
      <c r="BA161" s="250"/>
      <c r="BB161" s="250"/>
      <c r="BC161" s="250"/>
      <c r="BD161" s="250"/>
      <c r="BE161" s="250"/>
      <c r="BF161" s="250"/>
      <c r="BG161" s="250"/>
      <c r="BH161" s="250"/>
      <c r="BI161" s="250"/>
      <c r="BJ161" s="250"/>
      <c r="BK161" s="250"/>
      <c r="BL161" s="250"/>
      <c r="BM161" s="250"/>
      <c r="BN161" s="250"/>
      <c r="BO161" s="250"/>
      <c r="BP161" s="250"/>
      <c r="BQ161" s="250"/>
      <c r="BR161" s="250"/>
      <c r="BS161" s="250"/>
      <c r="BT161" s="250"/>
      <c r="BU161" s="250"/>
      <c r="BV161" s="250"/>
      <c r="BW161" s="250"/>
      <c r="BX161" s="250"/>
      <c r="BY161" s="250"/>
    </row>
    <row r="162" ht="13.8" spans="1:77">
      <c r="A162" s="250"/>
      <c r="B162" s="250"/>
      <c r="C162" s="250"/>
      <c r="D162" s="270"/>
      <c r="E162" s="270"/>
      <c r="F162" s="250"/>
      <c r="G162" s="270"/>
      <c r="H162" s="250"/>
      <c r="I162" s="250"/>
      <c r="J162" s="270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  <c r="U162" s="250"/>
      <c r="V162" s="250"/>
      <c r="W162" s="271"/>
      <c r="X162" s="271"/>
      <c r="Y162" s="250"/>
      <c r="Z162" s="250"/>
      <c r="AA162" s="272"/>
      <c r="AB162" s="250"/>
      <c r="AC162" s="250"/>
      <c r="AD162" s="250"/>
      <c r="AE162" s="272"/>
      <c r="AF162" s="250"/>
      <c r="AG162" s="250"/>
      <c r="AH162" s="250"/>
      <c r="AI162" s="250"/>
      <c r="AJ162" s="250"/>
      <c r="AK162" s="250"/>
      <c r="AL162" s="250"/>
      <c r="AM162" s="250"/>
      <c r="AN162" s="250"/>
      <c r="AO162" s="250"/>
      <c r="AP162" s="250"/>
      <c r="AQ162" s="250"/>
      <c r="AR162" s="250"/>
      <c r="AS162" s="250"/>
      <c r="AT162" s="250"/>
      <c r="AU162" s="250"/>
      <c r="AV162" s="250"/>
      <c r="AW162" s="250"/>
      <c r="AX162" s="250"/>
      <c r="AY162" s="250"/>
      <c r="AZ162" s="250"/>
      <c r="BA162" s="250"/>
      <c r="BB162" s="250"/>
      <c r="BC162" s="250"/>
      <c r="BD162" s="250"/>
      <c r="BE162" s="250"/>
      <c r="BF162" s="250"/>
      <c r="BG162" s="250"/>
      <c r="BH162" s="250"/>
      <c r="BI162" s="250"/>
      <c r="BJ162" s="250"/>
      <c r="BK162" s="250"/>
      <c r="BL162" s="250"/>
      <c r="BM162" s="250"/>
      <c r="BN162" s="250"/>
      <c r="BO162" s="250"/>
      <c r="BP162" s="250"/>
      <c r="BQ162" s="250"/>
      <c r="BR162" s="250"/>
      <c r="BS162" s="250"/>
      <c r="BT162" s="250"/>
      <c r="BU162" s="250"/>
      <c r="BV162" s="250"/>
      <c r="BW162" s="250"/>
      <c r="BX162" s="250"/>
      <c r="BY162" s="250"/>
    </row>
    <row r="163" ht="13.8" spans="1:77">
      <c r="A163" s="250"/>
      <c r="B163" s="250"/>
      <c r="C163" s="250"/>
      <c r="D163" s="270"/>
      <c r="E163" s="270"/>
      <c r="F163" s="250"/>
      <c r="G163" s="270"/>
      <c r="H163" s="250"/>
      <c r="I163" s="250"/>
      <c r="J163" s="270"/>
      <c r="K163" s="250"/>
      <c r="L163" s="250"/>
      <c r="M163" s="250"/>
      <c r="N163" s="250"/>
      <c r="O163" s="250"/>
      <c r="P163" s="250"/>
      <c r="Q163" s="250"/>
      <c r="R163" s="250"/>
      <c r="S163" s="250"/>
      <c r="T163" s="250"/>
      <c r="U163" s="250"/>
      <c r="V163" s="250"/>
      <c r="W163" s="271"/>
      <c r="X163" s="271"/>
      <c r="Y163" s="250"/>
      <c r="Z163" s="250"/>
      <c r="AA163" s="272"/>
      <c r="AB163" s="250"/>
      <c r="AC163" s="250"/>
      <c r="AD163" s="250"/>
      <c r="AE163" s="272"/>
      <c r="AF163" s="250"/>
      <c r="AG163" s="250"/>
      <c r="AH163" s="250"/>
      <c r="AI163" s="250"/>
      <c r="AJ163" s="250"/>
      <c r="AK163" s="250"/>
      <c r="AL163" s="250"/>
      <c r="AM163" s="250"/>
      <c r="AN163" s="250"/>
      <c r="AO163" s="250"/>
      <c r="AP163" s="250"/>
      <c r="AQ163" s="250"/>
      <c r="AR163" s="250"/>
      <c r="AS163" s="250"/>
      <c r="AT163" s="250"/>
      <c r="AU163" s="250"/>
      <c r="AV163" s="250"/>
      <c r="AW163" s="250"/>
      <c r="AX163" s="250"/>
      <c r="AY163" s="250"/>
      <c r="AZ163" s="250"/>
      <c r="BA163" s="250"/>
      <c r="BB163" s="250"/>
      <c r="BC163" s="250"/>
      <c r="BD163" s="250"/>
      <c r="BE163" s="250"/>
      <c r="BF163" s="250"/>
      <c r="BG163" s="250"/>
      <c r="BH163" s="250"/>
      <c r="BI163" s="250"/>
      <c r="BJ163" s="250"/>
      <c r="BK163" s="250"/>
      <c r="BL163" s="250"/>
      <c r="BM163" s="250"/>
      <c r="BN163" s="250"/>
      <c r="BO163" s="250"/>
      <c r="BP163" s="250"/>
      <c r="BQ163" s="250"/>
      <c r="BR163" s="250"/>
      <c r="BS163" s="250"/>
      <c r="BT163" s="250"/>
      <c r="BU163" s="250"/>
      <c r="BV163" s="250"/>
      <c r="BW163" s="250"/>
      <c r="BX163" s="250"/>
      <c r="BY163" s="250"/>
    </row>
    <row r="164" ht="13.8" spans="1:77">
      <c r="A164" s="250"/>
      <c r="B164" s="250"/>
      <c r="C164" s="250"/>
      <c r="D164" s="270"/>
      <c r="E164" s="270"/>
      <c r="F164" s="250"/>
      <c r="G164" s="270"/>
      <c r="H164" s="250"/>
      <c r="I164" s="250"/>
      <c r="J164" s="270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  <c r="U164" s="250"/>
      <c r="V164" s="250"/>
      <c r="W164" s="271"/>
      <c r="X164" s="271"/>
      <c r="Y164" s="250"/>
      <c r="Z164" s="250"/>
      <c r="AA164" s="272"/>
      <c r="AB164" s="250"/>
      <c r="AC164" s="250"/>
      <c r="AD164" s="250"/>
      <c r="AE164" s="272"/>
      <c r="AF164" s="250"/>
      <c r="AG164" s="250"/>
      <c r="AH164" s="250"/>
      <c r="AI164" s="250"/>
      <c r="AJ164" s="250"/>
      <c r="AK164" s="250"/>
      <c r="AL164" s="250"/>
      <c r="AM164" s="250"/>
      <c r="AN164" s="250"/>
      <c r="AO164" s="250"/>
      <c r="AP164" s="250"/>
      <c r="AQ164" s="250"/>
      <c r="AR164" s="250"/>
      <c r="AS164" s="250"/>
      <c r="AT164" s="250"/>
      <c r="AU164" s="250"/>
      <c r="AV164" s="250"/>
      <c r="AW164" s="250"/>
      <c r="AX164" s="250"/>
      <c r="AY164" s="250"/>
      <c r="AZ164" s="250"/>
      <c r="BA164" s="250"/>
      <c r="BB164" s="250"/>
      <c r="BC164" s="250"/>
      <c r="BD164" s="250"/>
      <c r="BE164" s="250"/>
      <c r="BF164" s="250"/>
      <c r="BG164" s="250"/>
      <c r="BH164" s="250"/>
      <c r="BI164" s="250"/>
      <c r="BJ164" s="250"/>
      <c r="BK164" s="250"/>
      <c r="BL164" s="250"/>
      <c r="BM164" s="250"/>
      <c r="BN164" s="250"/>
      <c r="BO164" s="250"/>
      <c r="BP164" s="250"/>
      <c r="BQ164" s="250"/>
      <c r="BR164" s="250"/>
      <c r="BS164" s="250"/>
      <c r="BT164" s="250"/>
      <c r="BU164" s="250"/>
      <c r="BV164" s="250"/>
      <c r="BW164" s="250"/>
      <c r="BX164" s="250"/>
      <c r="BY164" s="250"/>
    </row>
    <row r="165" ht="13.8" spans="1:77">
      <c r="A165" s="250"/>
      <c r="B165" s="250"/>
      <c r="C165" s="250"/>
      <c r="D165" s="270"/>
      <c r="E165" s="270"/>
      <c r="F165" s="250"/>
      <c r="G165" s="270"/>
      <c r="H165" s="250"/>
      <c r="I165" s="250"/>
      <c r="J165" s="270"/>
      <c r="K165" s="250"/>
      <c r="L165" s="250"/>
      <c r="M165" s="250"/>
      <c r="N165" s="250"/>
      <c r="O165" s="250"/>
      <c r="P165" s="250"/>
      <c r="Q165" s="250"/>
      <c r="R165" s="250"/>
      <c r="S165" s="250"/>
      <c r="T165" s="250"/>
      <c r="U165" s="250"/>
      <c r="V165" s="250"/>
      <c r="W165" s="271"/>
      <c r="X165" s="271"/>
      <c r="Y165" s="250"/>
      <c r="Z165" s="250"/>
      <c r="AA165" s="272"/>
      <c r="AB165" s="250"/>
      <c r="AC165" s="250"/>
      <c r="AD165" s="250"/>
      <c r="AE165" s="272"/>
      <c r="AF165" s="250"/>
      <c r="AG165" s="250"/>
      <c r="AH165" s="250"/>
      <c r="AI165" s="250"/>
      <c r="AJ165" s="250"/>
      <c r="AK165" s="250"/>
      <c r="AL165" s="250"/>
      <c r="AM165" s="250"/>
      <c r="AN165" s="250"/>
      <c r="AO165" s="250"/>
      <c r="AP165" s="250"/>
      <c r="AQ165" s="250"/>
      <c r="AR165" s="250"/>
      <c r="AS165" s="250"/>
      <c r="AT165" s="250"/>
      <c r="AU165" s="250"/>
      <c r="AV165" s="250"/>
      <c r="AW165" s="250"/>
      <c r="AX165" s="250"/>
      <c r="AY165" s="250"/>
      <c r="AZ165" s="250"/>
      <c r="BA165" s="250"/>
      <c r="BB165" s="250"/>
      <c r="BC165" s="250"/>
      <c r="BD165" s="250"/>
      <c r="BE165" s="250"/>
      <c r="BF165" s="250"/>
      <c r="BG165" s="250"/>
      <c r="BH165" s="250"/>
      <c r="BI165" s="250"/>
      <c r="BJ165" s="250"/>
      <c r="BK165" s="250"/>
      <c r="BL165" s="250"/>
      <c r="BM165" s="250"/>
      <c r="BN165" s="250"/>
      <c r="BO165" s="250"/>
      <c r="BP165" s="250"/>
      <c r="BQ165" s="250"/>
      <c r="BR165" s="250"/>
      <c r="BS165" s="250"/>
      <c r="BT165" s="250"/>
      <c r="BU165" s="250"/>
      <c r="BV165" s="250"/>
      <c r="BW165" s="250"/>
      <c r="BX165" s="250"/>
      <c r="BY165" s="250"/>
    </row>
    <row r="166" ht="13.8" spans="1:77">
      <c r="A166" s="250"/>
      <c r="B166" s="250"/>
      <c r="C166" s="250"/>
      <c r="D166" s="270"/>
      <c r="E166" s="270"/>
      <c r="F166" s="250"/>
      <c r="G166" s="270"/>
      <c r="H166" s="250"/>
      <c r="I166" s="250"/>
      <c r="J166" s="270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  <c r="U166" s="250"/>
      <c r="V166" s="250"/>
      <c r="W166" s="271"/>
      <c r="X166" s="271"/>
      <c r="Y166" s="250"/>
      <c r="Z166" s="250"/>
      <c r="AA166" s="272"/>
      <c r="AB166" s="250"/>
      <c r="AC166" s="250"/>
      <c r="AD166" s="250"/>
      <c r="AE166" s="272"/>
      <c r="AF166" s="250"/>
      <c r="AG166" s="250"/>
      <c r="AH166" s="250"/>
      <c r="AI166" s="250"/>
      <c r="AJ166" s="250"/>
      <c r="AK166" s="250"/>
      <c r="AL166" s="250"/>
      <c r="AM166" s="250"/>
      <c r="AN166" s="250"/>
      <c r="AO166" s="250"/>
      <c r="AP166" s="250"/>
      <c r="AQ166" s="250"/>
      <c r="AR166" s="250"/>
      <c r="AS166" s="250"/>
      <c r="AT166" s="250"/>
      <c r="AU166" s="250"/>
      <c r="AV166" s="250"/>
      <c r="AW166" s="250"/>
      <c r="AX166" s="250"/>
      <c r="AY166" s="250"/>
      <c r="AZ166" s="250"/>
      <c r="BA166" s="250"/>
      <c r="BB166" s="250"/>
      <c r="BC166" s="250"/>
      <c r="BD166" s="250"/>
      <c r="BE166" s="250"/>
      <c r="BF166" s="250"/>
      <c r="BG166" s="250"/>
      <c r="BH166" s="250"/>
      <c r="BI166" s="250"/>
      <c r="BJ166" s="250"/>
      <c r="BK166" s="250"/>
      <c r="BL166" s="250"/>
      <c r="BM166" s="250"/>
      <c r="BN166" s="250"/>
      <c r="BO166" s="250"/>
      <c r="BP166" s="250"/>
      <c r="BQ166" s="250"/>
      <c r="BR166" s="250"/>
      <c r="BS166" s="250"/>
      <c r="BT166" s="250"/>
      <c r="BU166" s="250"/>
      <c r="BV166" s="250"/>
      <c r="BW166" s="250"/>
      <c r="BX166" s="250"/>
      <c r="BY166" s="250"/>
    </row>
    <row r="167" ht="13.8" spans="1:77">
      <c r="A167" s="250"/>
      <c r="B167" s="250"/>
      <c r="C167" s="250"/>
      <c r="D167" s="270"/>
      <c r="E167" s="270"/>
      <c r="F167" s="250"/>
      <c r="G167" s="270"/>
      <c r="H167" s="250"/>
      <c r="I167" s="250"/>
      <c r="J167" s="270"/>
      <c r="K167" s="250"/>
      <c r="L167" s="250"/>
      <c r="M167" s="250"/>
      <c r="N167" s="250"/>
      <c r="O167" s="250"/>
      <c r="P167" s="250"/>
      <c r="Q167" s="250"/>
      <c r="R167" s="250"/>
      <c r="S167" s="250"/>
      <c r="T167" s="250"/>
      <c r="U167" s="250"/>
      <c r="V167" s="250"/>
      <c r="W167" s="271"/>
      <c r="X167" s="271"/>
      <c r="Y167" s="250"/>
      <c r="Z167" s="250"/>
      <c r="AA167" s="272"/>
      <c r="AB167" s="250"/>
      <c r="AC167" s="250"/>
      <c r="AD167" s="250"/>
      <c r="AE167" s="272"/>
      <c r="AF167" s="250"/>
      <c r="AG167" s="250"/>
      <c r="AH167" s="250"/>
      <c r="AI167" s="250"/>
      <c r="AJ167" s="250"/>
      <c r="AK167" s="250"/>
      <c r="AL167" s="250"/>
      <c r="AM167" s="250"/>
      <c r="AN167" s="250"/>
      <c r="AO167" s="250"/>
      <c r="AP167" s="250"/>
      <c r="AQ167" s="250"/>
      <c r="AR167" s="250"/>
      <c r="AS167" s="250"/>
      <c r="AT167" s="250"/>
      <c r="AU167" s="250"/>
      <c r="AV167" s="250"/>
      <c r="AW167" s="250"/>
      <c r="AX167" s="250"/>
      <c r="AY167" s="250"/>
      <c r="AZ167" s="250"/>
      <c r="BA167" s="250"/>
      <c r="BB167" s="250"/>
      <c r="BC167" s="250"/>
      <c r="BD167" s="250"/>
      <c r="BE167" s="250"/>
      <c r="BF167" s="250"/>
      <c r="BG167" s="250"/>
      <c r="BH167" s="250"/>
      <c r="BI167" s="250"/>
      <c r="BJ167" s="250"/>
      <c r="BK167" s="250"/>
      <c r="BL167" s="250"/>
      <c r="BM167" s="250"/>
      <c r="BN167" s="250"/>
      <c r="BO167" s="250"/>
      <c r="BP167" s="250"/>
      <c r="BQ167" s="250"/>
      <c r="BR167" s="250"/>
      <c r="BS167" s="250"/>
      <c r="BT167" s="250"/>
      <c r="BU167" s="250"/>
      <c r="BV167" s="250"/>
      <c r="BW167" s="250"/>
      <c r="BX167" s="250"/>
      <c r="BY167" s="250"/>
    </row>
    <row r="168" ht="13.8" spans="1:77">
      <c r="A168" s="250"/>
      <c r="B168" s="250"/>
      <c r="C168" s="250"/>
      <c r="D168" s="270"/>
      <c r="E168" s="270"/>
      <c r="F168" s="250"/>
      <c r="G168" s="270"/>
      <c r="H168" s="250"/>
      <c r="I168" s="250"/>
      <c r="J168" s="270"/>
      <c r="K168" s="250"/>
      <c r="L168" s="250"/>
      <c r="M168" s="250"/>
      <c r="N168" s="250"/>
      <c r="O168" s="250"/>
      <c r="P168" s="250"/>
      <c r="Q168" s="250"/>
      <c r="R168" s="250"/>
      <c r="S168" s="250"/>
      <c r="T168" s="250"/>
      <c r="U168" s="250"/>
      <c r="V168" s="250"/>
      <c r="W168" s="271"/>
      <c r="X168" s="271"/>
      <c r="Y168" s="250"/>
      <c r="Z168" s="250"/>
      <c r="AA168" s="272"/>
      <c r="AB168" s="250"/>
      <c r="AC168" s="250"/>
      <c r="AD168" s="250"/>
      <c r="AE168" s="272"/>
      <c r="AF168" s="250"/>
      <c r="AG168" s="250"/>
      <c r="AH168" s="250"/>
      <c r="AI168" s="250"/>
      <c r="AJ168" s="250"/>
      <c r="AK168" s="250"/>
      <c r="AL168" s="250"/>
      <c r="AM168" s="250"/>
      <c r="AN168" s="250"/>
      <c r="AO168" s="250"/>
      <c r="AP168" s="250"/>
      <c r="AQ168" s="250"/>
      <c r="AR168" s="250"/>
      <c r="AS168" s="250"/>
      <c r="AT168" s="250"/>
      <c r="AU168" s="250"/>
      <c r="AV168" s="250"/>
      <c r="AW168" s="250"/>
      <c r="AX168" s="250"/>
      <c r="AY168" s="250"/>
      <c r="AZ168" s="250"/>
      <c r="BA168" s="250"/>
      <c r="BB168" s="250"/>
      <c r="BC168" s="250"/>
      <c r="BD168" s="250"/>
      <c r="BE168" s="250"/>
      <c r="BF168" s="250"/>
      <c r="BG168" s="250"/>
      <c r="BH168" s="250"/>
      <c r="BI168" s="250"/>
      <c r="BJ168" s="250"/>
      <c r="BK168" s="250"/>
      <c r="BL168" s="250"/>
      <c r="BM168" s="250"/>
      <c r="BN168" s="250"/>
      <c r="BO168" s="250"/>
      <c r="BP168" s="250"/>
      <c r="BQ168" s="250"/>
      <c r="BR168" s="250"/>
      <c r="BS168" s="250"/>
      <c r="BT168" s="250"/>
      <c r="BU168" s="250"/>
      <c r="BV168" s="250"/>
      <c r="BW168" s="250"/>
      <c r="BX168" s="250"/>
      <c r="BY168" s="250"/>
    </row>
    <row r="169" ht="13.8" spans="1:77">
      <c r="A169" s="250"/>
      <c r="B169" s="250"/>
      <c r="C169" s="250"/>
      <c r="D169" s="270"/>
      <c r="E169" s="270"/>
      <c r="F169" s="250"/>
      <c r="G169" s="270"/>
      <c r="H169" s="250"/>
      <c r="I169" s="250"/>
      <c r="J169" s="270"/>
      <c r="K169" s="250"/>
      <c r="L169" s="250"/>
      <c r="M169" s="250"/>
      <c r="N169" s="250"/>
      <c r="O169" s="250"/>
      <c r="P169" s="250"/>
      <c r="Q169" s="250"/>
      <c r="R169" s="250"/>
      <c r="S169" s="250"/>
      <c r="T169" s="250"/>
      <c r="U169" s="250"/>
      <c r="V169" s="250"/>
      <c r="W169" s="271"/>
      <c r="X169" s="271"/>
      <c r="Y169" s="250"/>
      <c r="Z169" s="250"/>
      <c r="AA169" s="272"/>
      <c r="AB169" s="250"/>
      <c r="AC169" s="250"/>
      <c r="AD169" s="250"/>
      <c r="AE169" s="272"/>
      <c r="AF169" s="250"/>
      <c r="AG169" s="250"/>
      <c r="AH169" s="250"/>
      <c r="AI169" s="250"/>
      <c r="AJ169" s="250"/>
      <c r="AK169" s="250"/>
      <c r="AL169" s="250"/>
      <c r="AM169" s="250"/>
      <c r="AN169" s="250"/>
      <c r="AO169" s="250"/>
      <c r="AP169" s="250"/>
      <c r="AQ169" s="250"/>
      <c r="AR169" s="250"/>
      <c r="AS169" s="250"/>
      <c r="AT169" s="250"/>
      <c r="AU169" s="250"/>
      <c r="AV169" s="250"/>
      <c r="AW169" s="250"/>
      <c r="AX169" s="250"/>
      <c r="AY169" s="250"/>
      <c r="AZ169" s="250"/>
      <c r="BA169" s="250"/>
      <c r="BB169" s="250"/>
      <c r="BC169" s="250"/>
      <c r="BD169" s="250"/>
      <c r="BE169" s="250"/>
      <c r="BF169" s="250"/>
      <c r="BG169" s="250"/>
      <c r="BH169" s="250"/>
      <c r="BI169" s="250"/>
      <c r="BJ169" s="250"/>
      <c r="BK169" s="250"/>
      <c r="BL169" s="250"/>
      <c r="BM169" s="250"/>
      <c r="BN169" s="250"/>
      <c r="BO169" s="250"/>
      <c r="BP169" s="250"/>
      <c r="BQ169" s="250"/>
      <c r="BR169" s="250"/>
      <c r="BS169" s="250"/>
      <c r="BT169" s="250"/>
      <c r="BU169" s="250"/>
      <c r="BV169" s="250"/>
      <c r="BW169" s="250"/>
      <c r="BX169" s="250"/>
      <c r="BY169" s="250"/>
    </row>
    <row r="170" ht="13.8" spans="1:77">
      <c r="A170" s="250"/>
      <c r="B170" s="250"/>
      <c r="C170" s="250"/>
      <c r="D170" s="270"/>
      <c r="E170" s="270"/>
      <c r="F170" s="250"/>
      <c r="G170" s="270"/>
      <c r="H170" s="250"/>
      <c r="I170" s="250"/>
      <c r="J170" s="270"/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  <c r="U170" s="250"/>
      <c r="V170" s="250"/>
      <c r="W170" s="271"/>
      <c r="X170" s="271"/>
      <c r="Y170" s="250"/>
      <c r="Z170" s="250"/>
      <c r="AA170" s="272"/>
      <c r="AB170" s="250"/>
      <c r="AC170" s="250"/>
      <c r="AD170" s="250"/>
      <c r="AE170" s="272"/>
      <c r="AF170" s="250"/>
      <c r="AG170" s="250"/>
      <c r="AH170" s="250"/>
      <c r="AI170" s="250"/>
      <c r="AJ170" s="250"/>
      <c r="AK170" s="250"/>
      <c r="AL170" s="250"/>
      <c r="AM170" s="250"/>
      <c r="AN170" s="250"/>
      <c r="AO170" s="250"/>
      <c r="AP170" s="250"/>
      <c r="AQ170" s="250"/>
      <c r="AR170" s="250"/>
      <c r="AS170" s="250"/>
      <c r="AT170" s="250"/>
      <c r="AU170" s="250"/>
      <c r="AV170" s="250"/>
      <c r="AW170" s="250"/>
      <c r="AX170" s="250"/>
      <c r="AY170" s="250"/>
      <c r="AZ170" s="250"/>
      <c r="BA170" s="250"/>
      <c r="BB170" s="250"/>
      <c r="BC170" s="250"/>
      <c r="BD170" s="250"/>
      <c r="BE170" s="250"/>
      <c r="BF170" s="250"/>
      <c r="BG170" s="250"/>
      <c r="BH170" s="250"/>
      <c r="BI170" s="250"/>
      <c r="BJ170" s="250"/>
      <c r="BK170" s="250"/>
      <c r="BL170" s="250"/>
      <c r="BM170" s="250"/>
      <c r="BN170" s="250"/>
      <c r="BO170" s="250"/>
      <c r="BP170" s="250"/>
      <c r="BQ170" s="250"/>
      <c r="BR170" s="250"/>
      <c r="BS170" s="250"/>
      <c r="BT170" s="250"/>
      <c r="BU170" s="250"/>
      <c r="BV170" s="250"/>
      <c r="BW170" s="250"/>
      <c r="BX170" s="250"/>
      <c r="BY170" s="250"/>
    </row>
    <row r="171" ht="13.8" spans="1:77">
      <c r="A171" s="250"/>
      <c r="B171" s="250"/>
      <c r="C171" s="250"/>
      <c r="D171" s="270"/>
      <c r="E171" s="270"/>
      <c r="F171" s="250"/>
      <c r="G171" s="270"/>
      <c r="H171" s="250"/>
      <c r="I171" s="250"/>
      <c r="J171" s="270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  <c r="U171" s="250"/>
      <c r="V171" s="250"/>
      <c r="W171" s="271"/>
      <c r="X171" s="271"/>
      <c r="Y171" s="250"/>
      <c r="Z171" s="250"/>
      <c r="AA171" s="272"/>
      <c r="AB171" s="250"/>
      <c r="AC171" s="250"/>
      <c r="AD171" s="250"/>
      <c r="AE171" s="272"/>
      <c r="AF171" s="250"/>
      <c r="AG171" s="250"/>
      <c r="AH171" s="250"/>
      <c r="AI171" s="250"/>
      <c r="AJ171" s="250"/>
      <c r="AK171" s="250"/>
      <c r="AL171" s="250"/>
      <c r="AM171" s="250"/>
      <c r="AN171" s="250"/>
      <c r="AO171" s="250"/>
      <c r="AP171" s="250"/>
      <c r="AQ171" s="250"/>
      <c r="AR171" s="250"/>
      <c r="AS171" s="250"/>
      <c r="AT171" s="250"/>
      <c r="AU171" s="250"/>
      <c r="AV171" s="250"/>
      <c r="AW171" s="250"/>
      <c r="AX171" s="250"/>
      <c r="AY171" s="250"/>
      <c r="AZ171" s="250"/>
      <c r="BA171" s="250"/>
      <c r="BB171" s="250"/>
      <c r="BC171" s="250"/>
      <c r="BD171" s="250"/>
      <c r="BE171" s="250"/>
      <c r="BF171" s="250"/>
      <c r="BG171" s="250"/>
      <c r="BH171" s="250"/>
      <c r="BI171" s="250"/>
      <c r="BJ171" s="250"/>
      <c r="BK171" s="250"/>
      <c r="BL171" s="250"/>
      <c r="BM171" s="250"/>
      <c r="BN171" s="250"/>
      <c r="BO171" s="250"/>
      <c r="BP171" s="250"/>
      <c r="BQ171" s="250"/>
      <c r="BR171" s="250"/>
      <c r="BS171" s="250"/>
      <c r="BT171" s="250"/>
      <c r="BU171" s="250"/>
      <c r="BV171" s="250"/>
      <c r="BW171" s="250"/>
      <c r="BX171" s="250"/>
      <c r="BY171" s="250"/>
    </row>
    <row r="172" ht="13.8" spans="1:77">
      <c r="A172" s="250"/>
      <c r="B172" s="250"/>
      <c r="C172" s="250"/>
      <c r="D172" s="270"/>
      <c r="E172" s="270"/>
      <c r="F172" s="250"/>
      <c r="G172" s="270"/>
      <c r="H172" s="250"/>
      <c r="I172" s="250"/>
      <c r="J172" s="270"/>
      <c r="K172" s="250"/>
      <c r="L172" s="250"/>
      <c r="M172" s="250"/>
      <c r="N172" s="250"/>
      <c r="O172" s="250"/>
      <c r="P172" s="250"/>
      <c r="Q172" s="250"/>
      <c r="R172" s="250"/>
      <c r="S172" s="250"/>
      <c r="T172" s="250"/>
      <c r="U172" s="250"/>
      <c r="V172" s="250"/>
      <c r="W172" s="271"/>
      <c r="X172" s="271"/>
      <c r="Y172" s="250"/>
      <c r="Z172" s="250"/>
      <c r="AA172" s="272"/>
      <c r="AB172" s="250"/>
      <c r="AC172" s="250"/>
      <c r="AD172" s="250"/>
      <c r="AE172" s="272"/>
      <c r="AF172" s="250"/>
      <c r="AG172" s="250"/>
      <c r="AH172" s="250"/>
      <c r="AI172" s="250"/>
      <c r="AJ172" s="250"/>
      <c r="AK172" s="250"/>
      <c r="AL172" s="250"/>
      <c r="AM172" s="250"/>
      <c r="AN172" s="250"/>
      <c r="AO172" s="250"/>
      <c r="AP172" s="250"/>
      <c r="AQ172" s="250"/>
      <c r="AR172" s="250"/>
      <c r="AS172" s="250"/>
      <c r="AT172" s="250"/>
      <c r="AU172" s="250"/>
      <c r="AV172" s="250"/>
      <c r="AW172" s="250"/>
      <c r="AX172" s="250"/>
      <c r="AY172" s="250"/>
      <c r="AZ172" s="250"/>
      <c r="BA172" s="250"/>
      <c r="BB172" s="250"/>
      <c r="BC172" s="250"/>
      <c r="BD172" s="250"/>
      <c r="BE172" s="250"/>
      <c r="BF172" s="250"/>
      <c r="BG172" s="250"/>
      <c r="BH172" s="250"/>
      <c r="BI172" s="250"/>
      <c r="BJ172" s="250"/>
      <c r="BK172" s="250"/>
      <c r="BL172" s="250"/>
      <c r="BM172" s="250"/>
      <c r="BN172" s="250"/>
      <c r="BO172" s="250"/>
      <c r="BP172" s="250"/>
      <c r="BQ172" s="250"/>
      <c r="BR172" s="250"/>
      <c r="BS172" s="250"/>
      <c r="BT172" s="250"/>
      <c r="BU172" s="250"/>
      <c r="BV172" s="250"/>
      <c r="BW172" s="250"/>
      <c r="BX172" s="250"/>
      <c r="BY172" s="250"/>
    </row>
    <row r="173" ht="13.8" spans="1:77">
      <c r="A173" s="250"/>
      <c r="B173" s="250"/>
      <c r="C173" s="250"/>
      <c r="D173" s="270"/>
      <c r="E173" s="270"/>
      <c r="F173" s="250"/>
      <c r="G173" s="270"/>
      <c r="H173" s="250"/>
      <c r="I173" s="250"/>
      <c r="J173" s="270"/>
      <c r="K173" s="250"/>
      <c r="L173" s="250"/>
      <c r="M173" s="250"/>
      <c r="N173" s="250"/>
      <c r="O173" s="250"/>
      <c r="P173" s="250"/>
      <c r="Q173" s="250"/>
      <c r="R173" s="250"/>
      <c r="S173" s="250"/>
      <c r="T173" s="250"/>
      <c r="U173" s="250"/>
      <c r="V173" s="250"/>
      <c r="W173" s="271"/>
      <c r="X173" s="271"/>
      <c r="Y173" s="250"/>
      <c r="Z173" s="250"/>
      <c r="AA173" s="272"/>
      <c r="AB173" s="250"/>
      <c r="AC173" s="250"/>
      <c r="AD173" s="250"/>
      <c r="AE173" s="272"/>
      <c r="AF173" s="250"/>
      <c r="AG173" s="250"/>
      <c r="AH173" s="250"/>
      <c r="AI173" s="250"/>
      <c r="AJ173" s="250"/>
      <c r="AK173" s="250"/>
      <c r="AL173" s="250"/>
      <c r="AM173" s="250"/>
      <c r="AN173" s="250"/>
      <c r="AO173" s="250"/>
      <c r="AP173" s="250"/>
      <c r="AQ173" s="250"/>
      <c r="AR173" s="250"/>
      <c r="AS173" s="250"/>
      <c r="AT173" s="250"/>
      <c r="AU173" s="250"/>
      <c r="AV173" s="250"/>
      <c r="AW173" s="250"/>
      <c r="AX173" s="250"/>
      <c r="AY173" s="250"/>
      <c r="AZ173" s="250"/>
      <c r="BA173" s="250"/>
      <c r="BB173" s="250"/>
      <c r="BC173" s="250"/>
      <c r="BD173" s="250"/>
      <c r="BE173" s="250"/>
      <c r="BF173" s="250"/>
      <c r="BG173" s="250"/>
      <c r="BH173" s="250"/>
      <c r="BI173" s="250"/>
      <c r="BJ173" s="250"/>
      <c r="BK173" s="250"/>
      <c r="BL173" s="250"/>
      <c r="BM173" s="250"/>
      <c r="BN173" s="250"/>
      <c r="BO173" s="250"/>
      <c r="BP173" s="250"/>
      <c r="BQ173" s="250"/>
      <c r="BR173" s="250"/>
      <c r="BS173" s="250"/>
      <c r="BT173" s="250"/>
      <c r="BU173" s="250"/>
      <c r="BV173" s="250"/>
      <c r="BW173" s="250"/>
      <c r="BX173" s="250"/>
      <c r="BY173" s="250"/>
    </row>
    <row r="174" ht="13.8" spans="1:77">
      <c r="A174" s="250"/>
      <c r="B174" s="250"/>
      <c r="C174" s="250"/>
      <c r="D174" s="270"/>
      <c r="E174" s="270"/>
      <c r="F174" s="250"/>
      <c r="G174" s="270"/>
      <c r="H174" s="250"/>
      <c r="I174" s="250"/>
      <c r="J174" s="270"/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  <c r="U174" s="250"/>
      <c r="V174" s="250"/>
      <c r="W174" s="271"/>
      <c r="X174" s="271"/>
      <c r="Y174" s="250"/>
      <c r="Z174" s="250"/>
      <c r="AA174" s="272"/>
      <c r="AB174" s="250"/>
      <c r="AC174" s="250"/>
      <c r="AD174" s="250"/>
      <c r="AE174" s="272"/>
      <c r="AF174" s="250"/>
      <c r="AG174" s="250"/>
      <c r="AH174" s="250"/>
      <c r="AI174" s="250"/>
      <c r="AJ174" s="250"/>
      <c r="AK174" s="250"/>
      <c r="AL174" s="250"/>
      <c r="AM174" s="250"/>
      <c r="AN174" s="250"/>
      <c r="AO174" s="250"/>
      <c r="AP174" s="250"/>
      <c r="AQ174" s="250"/>
      <c r="AR174" s="250"/>
      <c r="AS174" s="250"/>
      <c r="AT174" s="250"/>
      <c r="AU174" s="250"/>
      <c r="AV174" s="250"/>
      <c r="AW174" s="250"/>
      <c r="AX174" s="250"/>
      <c r="AY174" s="250"/>
      <c r="AZ174" s="250"/>
      <c r="BA174" s="250"/>
      <c r="BB174" s="250"/>
      <c r="BC174" s="250"/>
      <c r="BD174" s="250"/>
      <c r="BE174" s="250"/>
      <c r="BF174" s="250"/>
      <c r="BG174" s="250"/>
      <c r="BH174" s="250"/>
      <c r="BI174" s="250"/>
      <c r="BJ174" s="250"/>
      <c r="BK174" s="250"/>
      <c r="BL174" s="250"/>
      <c r="BM174" s="250"/>
      <c r="BN174" s="250"/>
      <c r="BO174" s="250"/>
      <c r="BP174" s="250"/>
      <c r="BQ174" s="250"/>
      <c r="BR174" s="250"/>
      <c r="BS174" s="250"/>
      <c r="BT174" s="250"/>
      <c r="BU174" s="250"/>
      <c r="BV174" s="250"/>
      <c r="BW174" s="250"/>
      <c r="BX174" s="250"/>
      <c r="BY174" s="250"/>
    </row>
    <row r="175" ht="13.8" spans="1:77">
      <c r="A175" s="250"/>
      <c r="B175" s="250"/>
      <c r="C175" s="250"/>
      <c r="D175" s="270"/>
      <c r="E175" s="270"/>
      <c r="F175" s="250"/>
      <c r="G175" s="270"/>
      <c r="H175" s="250"/>
      <c r="I175" s="250"/>
      <c r="J175" s="270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  <c r="U175" s="250"/>
      <c r="V175" s="250"/>
      <c r="W175" s="271"/>
      <c r="X175" s="271"/>
      <c r="Y175" s="250"/>
      <c r="Z175" s="250"/>
      <c r="AA175" s="272"/>
      <c r="AB175" s="250"/>
      <c r="AC175" s="250"/>
      <c r="AD175" s="250"/>
      <c r="AE175" s="272"/>
      <c r="AF175" s="250"/>
      <c r="AG175" s="250"/>
      <c r="AH175" s="250"/>
      <c r="AI175" s="250"/>
      <c r="AJ175" s="250"/>
      <c r="AK175" s="250"/>
      <c r="AL175" s="250"/>
      <c r="AM175" s="250"/>
      <c r="AN175" s="250"/>
      <c r="AO175" s="250"/>
      <c r="AP175" s="250"/>
      <c r="AQ175" s="250"/>
      <c r="AR175" s="250"/>
      <c r="AS175" s="250"/>
      <c r="AT175" s="250"/>
      <c r="AU175" s="250"/>
      <c r="AV175" s="250"/>
      <c r="AW175" s="250"/>
      <c r="AX175" s="250"/>
      <c r="AY175" s="250"/>
      <c r="AZ175" s="250"/>
      <c r="BA175" s="250"/>
      <c r="BB175" s="250"/>
      <c r="BC175" s="250"/>
      <c r="BD175" s="250"/>
      <c r="BE175" s="250"/>
      <c r="BF175" s="250"/>
      <c r="BG175" s="250"/>
      <c r="BH175" s="250"/>
      <c r="BI175" s="250"/>
      <c r="BJ175" s="250"/>
      <c r="BK175" s="250"/>
      <c r="BL175" s="250"/>
      <c r="BM175" s="250"/>
      <c r="BN175" s="250"/>
      <c r="BO175" s="250"/>
      <c r="BP175" s="250"/>
      <c r="BQ175" s="250"/>
      <c r="BR175" s="250"/>
      <c r="BS175" s="250"/>
      <c r="BT175" s="250"/>
      <c r="BU175" s="250"/>
      <c r="BV175" s="250"/>
      <c r="BW175" s="250"/>
      <c r="BX175" s="250"/>
      <c r="BY175" s="250"/>
    </row>
    <row r="176" ht="13.8" spans="1:77">
      <c r="A176" s="250"/>
      <c r="B176" s="250"/>
      <c r="C176" s="250"/>
      <c r="D176" s="270"/>
      <c r="E176" s="270"/>
      <c r="F176" s="250"/>
      <c r="G176" s="270"/>
      <c r="H176" s="250"/>
      <c r="I176" s="250"/>
      <c r="J176" s="270"/>
      <c r="K176" s="250"/>
      <c r="L176" s="250"/>
      <c r="M176" s="250"/>
      <c r="N176" s="250"/>
      <c r="O176" s="250"/>
      <c r="P176" s="250"/>
      <c r="Q176" s="250"/>
      <c r="R176" s="250"/>
      <c r="S176" s="250"/>
      <c r="T176" s="250"/>
      <c r="U176" s="250"/>
      <c r="V176" s="250"/>
      <c r="W176" s="271"/>
      <c r="X176" s="271"/>
      <c r="Y176" s="250"/>
      <c r="Z176" s="250"/>
      <c r="AA176" s="272"/>
      <c r="AB176" s="250"/>
      <c r="AC176" s="250"/>
      <c r="AD176" s="250"/>
      <c r="AE176" s="272"/>
      <c r="AF176" s="250"/>
      <c r="AG176" s="250"/>
      <c r="AH176" s="250"/>
      <c r="AI176" s="250"/>
      <c r="AJ176" s="250"/>
      <c r="AK176" s="250"/>
      <c r="AL176" s="250"/>
      <c r="AM176" s="250"/>
      <c r="AN176" s="250"/>
      <c r="AO176" s="250"/>
      <c r="AP176" s="250"/>
      <c r="AQ176" s="250"/>
      <c r="AR176" s="250"/>
      <c r="AS176" s="250"/>
      <c r="AT176" s="250"/>
      <c r="AU176" s="250"/>
      <c r="AV176" s="250"/>
      <c r="AW176" s="250"/>
      <c r="AX176" s="250"/>
      <c r="AY176" s="250"/>
      <c r="AZ176" s="250"/>
      <c r="BA176" s="250"/>
      <c r="BB176" s="250"/>
      <c r="BC176" s="250"/>
      <c r="BD176" s="250"/>
      <c r="BE176" s="250"/>
      <c r="BF176" s="250"/>
      <c r="BG176" s="250"/>
      <c r="BH176" s="250"/>
      <c r="BI176" s="250"/>
      <c r="BJ176" s="250"/>
      <c r="BK176" s="250"/>
      <c r="BL176" s="250"/>
      <c r="BM176" s="250"/>
      <c r="BN176" s="250"/>
      <c r="BO176" s="250"/>
      <c r="BP176" s="250"/>
      <c r="BQ176" s="250"/>
      <c r="BR176" s="250"/>
      <c r="BS176" s="250"/>
      <c r="BT176" s="250"/>
      <c r="BU176" s="250"/>
      <c r="BV176" s="250"/>
      <c r="BW176" s="250"/>
      <c r="BX176" s="250"/>
      <c r="BY176" s="250"/>
    </row>
    <row r="177" ht="13.8" spans="1:77">
      <c r="A177" s="250"/>
      <c r="B177" s="250"/>
      <c r="C177" s="250"/>
      <c r="D177" s="270"/>
      <c r="E177" s="270"/>
      <c r="F177" s="250"/>
      <c r="G177" s="270"/>
      <c r="H177" s="250"/>
      <c r="I177" s="250"/>
      <c r="J177" s="270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  <c r="U177" s="250"/>
      <c r="V177" s="250"/>
      <c r="W177" s="271"/>
      <c r="X177" s="271"/>
      <c r="Y177" s="250"/>
      <c r="Z177" s="250"/>
      <c r="AA177" s="272"/>
      <c r="AB177" s="250"/>
      <c r="AC177" s="250"/>
      <c r="AD177" s="250"/>
      <c r="AE177" s="272"/>
      <c r="AF177" s="250"/>
      <c r="AG177" s="250"/>
      <c r="AH177" s="250"/>
      <c r="AI177" s="250"/>
      <c r="AJ177" s="250"/>
      <c r="AK177" s="250"/>
      <c r="AL177" s="250"/>
      <c r="AM177" s="250"/>
      <c r="AN177" s="250"/>
      <c r="AO177" s="250"/>
      <c r="AP177" s="250"/>
      <c r="AQ177" s="250"/>
      <c r="AR177" s="250"/>
      <c r="AS177" s="250"/>
      <c r="AT177" s="250"/>
      <c r="AU177" s="250"/>
      <c r="AV177" s="250"/>
      <c r="AW177" s="250"/>
      <c r="AX177" s="250"/>
      <c r="AY177" s="250"/>
      <c r="AZ177" s="250"/>
      <c r="BA177" s="250"/>
      <c r="BB177" s="250"/>
      <c r="BC177" s="250"/>
      <c r="BD177" s="250"/>
      <c r="BE177" s="250"/>
      <c r="BF177" s="250"/>
      <c r="BG177" s="250"/>
      <c r="BH177" s="250"/>
      <c r="BI177" s="250"/>
      <c r="BJ177" s="250"/>
      <c r="BK177" s="250"/>
      <c r="BL177" s="250"/>
      <c r="BM177" s="250"/>
      <c r="BN177" s="250"/>
      <c r="BO177" s="250"/>
      <c r="BP177" s="250"/>
      <c r="BQ177" s="250"/>
      <c r="BR177" s="250"/>
      <c r="BS177" s="250"/>
      <c r="BT177" s="250"/>
      <c r="BU177" s="250"/>
      <c r="BV177" s="250"/>
      <c r="BW177" s="250"/>
      <c r="BX177" s="250"/>
      <c r="BY177" s="250"/>
    </row>
    <row r="178" ht="13.8" spans="1:77">
      <c r="A178" s="250"/>
      <c r="B178" s="250"/>
      <c r="C178" s="250"/>
      <c r="D178" s="270"/>
      <c r="E178" s="270"/>
      <c r="F178" s="250"/>
      <c r="G178" s="270"/>
      <c r="H178" s="250"/>
      <c r="I178" s="250"/>
      <c r="J178" s="270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  <c r="W178" s="271"/>
      <c r="X178" s="271"/>
      <c r="Y178" s="250"/>
      <c r="Z178" s="250"/>
      <c r="AA178" s="272"/>
      <c r="AB178" s="250"/>
      <c r="AC178" s="250"/>
      <c r="AD178" s="250"/>
      <c r="AE178" s="272"/>
      <c r="AF178" s="250"/>
      <c r="AG178" s="250"/>
      <c r="AH178" s="250"/>
      <c r="AI178" s="250"/>
      <c r="AJ178" s="250"/>
      <c r="AK178" s="250"/>
      <c r="AL178" s="250"/>
      <c r="AM178" s="250"/>
      <c r="AN178" s="250"/>
      <c r="AO178" s="250"/>
      <c r="AP178" s="250"/>
      <c r="AQ178" s="250"/>
      <c r="AR178" s="250"/>
      <c r="AS178" s="250"/>
      <c r="AT178" s="250"/>
      <c r="AU178" s="250"/>
      <c r="AV178" s="250"/>
      <c r="AW178" s="250"/>
      <c r="AX178" s="250"/>
      <c r="AY178" s="250"/>
      <c r="AZ178" s="250"/>
      <c r="BA178" s="250"/>
      <c r="BB178" s="250"/>
      <c r="BC178" s="250"/>
      <c r="BD178" s="250"/>
      <c r="BE178" s="250"/>
      <c r="BF178" s="250"/>
      <c r="BG178" s="250"/>
      <c r="BH178" s="250"/>
      <c r="BI178" s="250"/>
      <c r="BJ178" s="250"/>
      <c r="BK178" s="250"/>
      <c r="BL178" s="250"/>
      <c r="BM178" s="250"/>
      <c r="BN178" s="250"/>
      <c r="BO178" s="250"/>
      <c r="BP178" s="250"/>
      <c r="BQ178" s="250"/>
      <c r="BR178" s="250"/>
      <c r="BS178" s="250"/>
      <c r="BT178" s="250"/>
      <c r="BU178" s="250"/>
      <c r="BV178" s="250"/>
      <c r="BW178" s="250"/>
      <c r="BX178" s="250"/>
      <c r="BY178" s="250"/>
    </row>
    <row r="179" ht="13.8" spans="1:77">
      <c r="A179" s="250"/>
      <c r="B179" s="250"/>
      <c r="C179" s="250"/>
      <c r="D179" s="270"/>
      <c r="E179" s="270"/>
      <c r="F179" s="250"/>
      <c r="G179" s="270"/>
      <c r="H179" s="250"/>
      <c r="I179" s="250"/>
      <c r="J179" s="270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  <c r="U179" s="250"/>
      <c r="V179" s="250"/>
      <c r="W179" s="271"/>
      <c r="X179" s="271"/>
      <c r="Y179" s="250"/>
      <c r="Z179" s="250"/>
      <c r="AA179" s="272"/>
      <c r="AB179" s="250"/>
      <c r="AC179" s="250"/>
      <c r="AD179" s="250"/>
      <c r="AE179" s="272"/>
      <c r="AF179" s="250"/>
      <c r="AG179" s="250"/>
      <c r="AH179" s="250"/>
      <c r="AI179" s="250"/>
      <c r="AJ179" s="250"/>
      <c r="AK179" s="250"/>
      <c r="AL179" s="250"/>
      <c r="AM179" s="250"/>
      <c r="AN179" s="250"/>
      <c r="AO179" s="250"/>
      <c r="AP179" s="250"/>
      <c r="AQ179" s="250"/>
      <c r="AR179" s="250"/>
      <c r="AS179" s="250"/>
      <c r="AT179" s="250"/>
      <c r="AU179" s="250"/>
      <c r="AV179" s="250"/>
      <c r="AW179" s="250"/>
      <c r="AX179" s="250"/>
      <c r="AY179" s="250"/>
      <c r="AZ179" s="250"/>
      <c r="BA179" s="250"/>
      <c r="BB179" s="250"/>
      <c r="BC179" s="250"/>
      <c r="BD179" s="250"/>
      <c r="BE179" s="250"/>
      <c r="BF179" s="250"/>
      <c r="BG179" s="250"/>
      <c r="BH179" s="250"/>
      <c r="BI179" s="250"/>
      <c r="BJ179" s="250"/>
      <c r="BK179" s="250"/>
      <c r="BL179" s="250"/>
      <c r="BM179" s="250"/>
      <c r="BN179" s="250"/>
      <c r="BO179" s="250"/>
      <c r="BP179" s="250"/>
      <c r="BQ179" s="250"/>
      <c r="BR179" s="250"/>
      <c r="BS179" s="250"/>
      <c r="BT179" s="250"/>
      <c r="BU179" s="250"/>
      <c r="BV179" s="250"/>
      <c r="BW179" s="250"/>
      <c r="BX179" s="250"/>
      <c r="BY179" s="250"/>
    </row>
    <row r="180" ht="13.8" spans="1:77">
      <c r="A180" s="250"/>
      <c r="B180" s="250"/>
      <c r="C180" s="250"/>
      <c r="D180" s="270"/>
      <c r="E180" s="270"/>
      <c r="F180" s="250"/>
      <c r="G180" s="270"/>
      <c r="H180" s="250"/>
      <c r="I180" s="250"/>
      <c r="J180" s="27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71"/>
      <c r="X180" s="271"/>
      <c r="Y180" s="250"/>
      <c r="Z180" s="250"/>
      <c r="AA180" s="272"/>
      <c r="AB180" s="250"/>
      <c r="AC180" s="250"/>
      <c r="AD180" s="250"/>
      <c r="AE180" s="272"/>
      <c r="AF180" s="250"/>
      <c r="AG180" s="250"/>
      <c r="AH180" s="250"/>
      <c r="AI180" s="250"/>
      <c r="AJ180" s="250"/>
      <c r="AK180" s="250"/>
      <c r="AL180" s="250"/>
      <c r="AM180" s="250"/>
      <c r="AN180" s="250"/>
      <c r="AO180" s="250"/>
      <c r="AP180" s="250"/>
      <c r="AQ180" s="250"/>
      <c r="AR180" s="250"/>
      <c r="AS180" s="250"/>
      <c r="AT180" s="250"/>
      <c r="AU180" s="250"/>
      <c r="AV180" s="250"/>
      <c r="AW180" s="250"/>
      <c r="AX180" s="250"/>
      <c r="AY180" s="250"/>
      <c r="AZ180" s="250"/>
      <c r="BA180" s="250"/>
      <c r="BB180" s="250"/>
      <c r="BC180" s="250"/>
      <c r="BD180" s="250"/>
      <c r="BE180" s="250"/>
      <c r="BF180" s="250"/>
      <c r="BG180" s="250"/>
      <c r="BH180" s="250"/>
      <c r="BI180" s="250"/>
      <c r="BJ180" s="250"/>
      <c r="BK180" s="250"/>
      <c r="BL180" s="250"/>
      <c r="BM180" s="250"/>
      <c r="BN180" s="250"/>
      <c r="BO180" s="250"/>
      <c r="BP180" s="250"/>
      <c r="BQ180" s="250"/>
      <c r="BR180" s="250"/>
      <c r="BS180" s="250"/>
      <c r="BT180" s="250"/>
      <c r="BU180" s="250"/>
      <c r="BV180" s="250"/>
      <c r="BW180" s="250"/>
      <c r="BX180" s="250"/>
      <c r="BY180" s="250"/>
    </row>
    <row r="181" ht="13.8" spans="1:77">
      <c r="A181" s="250"/>
      <c r="B181" s="250"/>
      <c r="C181" s="250"/>
      <c r="D181" s="270"/>
      <c r="E181" s="270"/>
      <c r="F181" s="250"/>
      <c r="G181" s="270"/>
      <c r="H181" s="250"/>
      <c r="I181" s="250"/>
      <c r="J181" s="270"/>
      <c r="K181" s="250"/>
      <c r="L181" s="250"/>
      <c r="M181" s="250"/>
      <c r="N181" s="250"/>
      <c r="O181" s="250"/>
      <c r="P181" s="250"/>
      <c r="Q181" s="250"/>
      <c r="R181" s="250"/>
      <c r="S181" s="250"/>
      <c r="T181" s="250"/>
      <c r="U181" s="250"/>
      <c r="V181" s="250"/>
      <c r="W181" s="271"/>
      <c r="X181" s="271"/>
      <c r="Y181" s="250"/>
      <c r="Z181" s="250"/>
      <c r="AA181" s="272"/>
      <c r="AB181" s="250"/>
      <c r="AC181" s="250"/>
      <c r="AD181" s="250"/>
      <c r="AE181" s="272"/>
      <c r="AF181" s="250"/>
      <c r="AG181" s="250"/>
      <c r="AH181" s="250"/>
      <c r="AI181" s="250"/>
      <c r="AJ181" s="250"/>
      <c r="AK181" s="250"/>
      <c r="AL181" s="250"/>
      <c r="AM181" s="250"/>
      <c r="AN181" s="250"/>
      <c r="AO181" s="250"/>
      <c r="AP181" s="250"/>
      <c r="AQ181" s="250"/>
      <c r="AR181" s="250"/>
      <c r="AS181" s="250"/>
      <c r="AT181" s="250"/>
      <c r="AU181" s="250"/>
      <c r="AV181" s="250"/>
      <c r="AW181" s="250"/>
      <c r="AX181" s="250"/>
      <c r="AY181" s="250"/>
      <c r="AZ181" s="250"/>
      <c r="BA181" s="250"/>
      <c r="BB181" s="250"/>
      <c r="BC181" s="250"/>
      <c r="BD181" s="250"/>
      <c r="BE181" s="250"/>
      <c r="BF181" s="250"/>
      <c r="BG181" s="250"/>
      <c r="BH181" s="250"/>
      <c r="BI181" s="250"/>
      <c r="BJ181" s="250"/>
      <c r="BK181" s="250"/>
      <c r="BL181" s="250"/>
      <c r="BM181" s="250"/>
      <c r="BN181" s="250"/>
      <c r="BO181" s="250"/>
      <c r="BP181" s="250"/>
      <c r="BQ181" s="250"/>
      <c r="BR181" s="250"/>
      <c r="BS181" s="250"/>
      <c r="BT181" s="250"/>
      <c r="BU181" s="250"/>
      <c r="BV181" s="250"/>
      <c r="BW181" s="250"/>
      <c r="BX181" s="250"/>
      <c r="BY181" s="250"/>
    </row>
    <row r="182" ht="13.8" spans="1:77">
      <c r="A182" s="250"/>
      <c r="B182" s="250"/>
      <c r="C182" s="250"/>
      <c r="D182" s="270"/>
      <c r="E182" s="270"/>
      <c r="F182" s="250"/>
      <c r="G182" s="270"/>
      <c r="H182" s="250"/>
      <c r="I182" s="250"/>
      <c r="J182" s="270"/>
      <c r="K182" s="250"/>
      <c r="L182" s="250"/>
      <c r="M182" s="250"/>
      <c r="N182" s="250"/>
      <c r="O182" s="250"/>
      <c r="P182" s="250"/>
      <c r="Q182" s="250"/>
      <c r="R182" s="250"/>
      <c r="S182" s="250"/>
      <c r="T182" s="250"/>
      <c r="U182" s="250"/>
      <c r="V182" s="250"/>
      <c r="W182" s="271"/>
      <c r="X182" s="271"/>
      <c r="Y182" s="250"/>
      <c r="Z182" s="250"/>
      <c r="AA182" s="272"/>
      <c r="AB182" s="250"/>
      <c r="AC182" s="250"/>
      <c r="AD182" s="250"/>
      <c r="AE182" s="272"/>
      <c r="AF182" s="250"/>
      <c r="AG182" s="250"/>
      <c r="AH182" s="250"/>
      <c r="AI182" s="250"/>
      <c r="AJ182" s="250"/>
      <c r="AK182" s="250"/>
      <c r="AL182" s="250"/>
      <c r="AM182" s="250"/>
      <c r="AN182" s="250"/>
      <c r="AO182" s="250"/>
      <c r="AP182" s="250"/>
      <c r="AQ182" s="250"/>
      <c r="AR182" s="250"/>
      <c r="AS182" s="250"/>
      <c r="AT182" s="250"/>
      <c r="AU182" s="250"/>
      <c r="AV182" s="250"/>
      <c r="AW182" s="250"/>
      <c r="AX182" s="250"/>
      <c r="AY182" s="250"/>
      <c r="AZ182" s="250"/>
      <c r="BA182" s="250"/>
      <c r="BB182" s="250"/>
      <c r="BC182" s="250"/>
      <c r="BD182" s="250"/>
      <c r="BE182" s="250"/>
      <c r="BF182" s="250"/>
      <c r="BG182" s="250"/>
      <c r="BH182" s="250"/>
      <c r="BI182" s="250"/>
      <c r="BJ182" s="250"/>
      <c r="BK182" s="250"/>
      <c r="BL182" s="250"/>
      <c r="BM182" s="250"/>
      <c r="BN182" s="250"/>
      <c r="BO182" s="250"/>
      <c r="BP182" s="250"/>
      <c r="BQ182" s="250"/>
      <c r="BR182" s="250"/>
      <c r="BS182" s="250"/>
      <c r="BT182" s="250"/>
      <c r="BU182" s="250"/>
      <c r="BV182" s="250"/>
      <c r="BW182" s="250"/>
      <c r="BX182" s="250"/>
      <c r="BY182" s="250"/>
    </row>
    <row r="183" ht="13.8" spans="1:77">
      <c r="A183" s="250"/>
      <c r="B183" s="250"/>
      <c r="C183" s="250"/>
      <c r="D183" s="270"/>
      <c r="E183" s="270"/>
      <c r="F183" s="250"/>
      <c r="G183" s="270"/>
      <c r="H183" s="250"/>
      <c r="I183" s="250"/>
      <c r="J183" s="27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  <c r="U183" s="250"/>
      <c r="V183" s="250"/>
      <c r="W183" s="271"/>
      <c r="X183" s="271"/>
      <c r="Y183" s="250"/>
      <c r="Z183" s="250"/>
      <c r="AA183" s="272"/>
      <c r="AB183" s="250"/>
      <c r="AC183" s="250"/>
      <c r="AD183" s="250"/>
      <c r="AE183" s="272"/>
      <c r="AF183" s="250"/>
      <c r="AG183" s="250"/>
      <c r="AH183" s="250"/>
      <c r="AI183" s="250"/>
      <c r="AJ183" s="250"/>
      <c r="AK183" s="250"/>
      <c r="AL183" s="250"/>
      <c r="AM183" s="250"/>
      <c r="AN183" s="250"/>
      <c r="AO183" s="250"/>
      <c r="AP183" s="250"/>
      <c r="AQ183" s="250"/>
      <c r="AR183" s="250"/>
      <c r="AS183" s="250"/>
      <c r="AT183" s="250"/>
      <c r="AU183" s="250"/>
      <c r="AV183" s="250"/>
      <c r="AW183" s="250"/>
      <c r="AX183" s="250"/>
      <c r="AY183" s="250"/>
      <c r="AZ183" s="250"/>
      <c r="BA183" s="250"/>
      <c r="BB183" s="250"/>
      <c r="BC183" s="250"/>
      <c r="BD183" s="250"/>
      <c r="BE183" s="250"/>
      <c r="BF183" s="250"/>
      <c r="BG183" s="250"/>
      <c r="BH183" s="250"/>
      <c r="BI183" s="250"/>
      <c r="BJ183" s="250"/>
      <c r="BK183" s="250"/>
      <c r="BL183" s="250"/>
      <c r="BM183" s="250"/>
      <c r="BN183" s="250"/>
      <c r="BO183" s="250"/>
      <c r="BP183" s="250"/>
      <c r="BQ183" s="250"/>
      <c r="BR183" s="250"/>
      <c r="BS183" s="250"/>
      <c r="BT183" s="250"/>
      <c r="BU183" s="250"/>
      <c r="BV183" s="250"/>
      <c r="BW183" s="250"/>
      <c r="BX183" s="250"/>
      <c r="BY183" s="250"/>
    </row>
    <row r="184" ht="13.8" spans="1:77">
      <c r="A184" s="250"/>
      <c r="B184" s="250"/>
      <c r="C184" s="250"/>
      <c r="D184" s="270"/>
      <c r="E184" s="270"/>
      <c r="F184" s="250"/>
      <c r="G184" s="270"/>
      <c r="H184" s="250"/>
      <c r="I184" s="250"/>
      <c r="J184" s="270"/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  <c r="U184" s="250"/>
      <c r="V184" s="250"/>
      <c r="W184" s="271"/>
      <c r="X184" s="271"/>
      <c r="Y184" s="250"/>
      <c r="Z184" s="250"/>
      <c r="AA184" s="272"/>
      <c r="AB184" s="250"/>
      <c r="AC184" s="250"/>
      <c r="AD184" s="250"/>
      <c r="AE184" s="272"/>
      <c r="AF184" s="250"/>
      <c r="AG184" s="250"/>
      <c r="AH184" s="250"/>
      <c r="AI184" s="250"/>
      <c r="AJ184" s="250"/>
      <c r="AK184" s="250"/>
      <c r="AL184" s="250"/>
      <c r="AM184" s="250"/>
      <c r="AN184" s="250"/>
      <c r="AO184" s="250"/>
      <c r="AP184" s="250"/>
      <c r="AQ184" s="250"/>
      <c r="AR184" s="250"/>
      <c r="AS184" s="250"/>
      <c r="AT184" s="250"/>
      <c r="AU184" s="250"/>
      <c r="AV184" s="250"/>
      <c r="AW184" s="250"/>
      <c r="AX184" s="250"/>
      <c r="AY184" s="250"/>
      <c r="AZ184" s="250"/>
      <c r="BA184" s="250"/>
      <c r="BB184" s="250"/>
      <c r="BC184" s="250"/>
      <c r="BD184" s="250"/>
      <c r="BE184" s="250"/>
      <c r="BF184" s="250"/>
      <c r="BG184" s="250"/>
      <c r="BH184" s="250"/>
      <c r="BI184" s="250"/>
      <c r="BJ184" s="250"/>
      <c r="BK184" s="250"/>
      <c r="BL184" s="250"/>
      <c r="BM184" s="250"/>
      <c r="BN184" s="250"/>
      <c r="BO184" s="250"/>
      <c r="BP184" s="250"/>
      <c r="BQ184" s="250"/>
      <c r="BR184" s="250"/>
      <c r="BS184" s="250"/>
      <c r="BT184" s="250"/>
      <c r="BU184" s="250"/>
      <c r="BV184" s="250"/>
      <c r="BW184" s="250"/>
      <c r="BX184" s="250"/>
      <c r="BY184" s="250"/>
    </row>
    <row r="185" ht="13.8" spans="1:77">
      <c r="A185" s="250"/>
      <c r="B185" s="250"/>
      <c r="C185" s="250"/>
      <c r="D185" s="270"/>
      <c r="E185" s="270"/>
      <c r="F185" s="250"/>
      <c r="G185" s="270"/>
      <c r="H185" s="250"/>
      <c r="I185" s="250"/>
      <c r="J185" s="270"/>
      <c r="K185" s="250"/>
      <c r="L185" s="250"/>
      <c r="M185" s="250"/>
      <c r="N185" s="250"/>
      <c r="O185" s="250"/>
      <c r="P185" s="250"/>
      <c r="Q185" s="250"/>
      <c r="R185" s="250"/>
      <c r="S185" s="250"/>
      <c r="T185" s="250"/>
      <c r="U185" s="250"/>
      <c r="V185" s="250"/>
      <c r="W185" s="271"/>
      <c r="X185" s="271"/>
      <c r="Y185" s="250"/>
      <c r="Z185" s="250"/>
      <c r="AA185" s="272"/>
      <c r="AB185" s="250"/>
      <c r="AC185" s="250"/>
      <c r="AD185" s="250"/>
      <c r="AE185" s="272"/>
      <c r="AF185" s="250"/>
      <c r="AG185" s="250"/>
      <c r="AH185" s="250"/>
      <c r="AI185" s="250"/>
      <c r="AJ185" s="250"/>
      <c r="AK185" s="250"/>
      <c r="AL185" s="250"/>
      <c r="AM185" s="250"/>
      <c r="AN185" s="250"/>
      <c r="AO185" s="250"/>
      <c r="AP185" s="250"/>
      <c r="AQ185" s="250"/>
      <c r="AR185" s="250"/>
      <c r="AS185" s="250"/>
      <c r="AT185" s="250"/>
      <c r="AU185" s="250"/>
      <c r="AV185" s="250"/>
      <c r="AW185" s="250"/>
      <c r="AX185" s="250"/>
      <c r="AY185" s="250"/>
      <c r="AZ185" s="250"/>
      <c r="BA185" s="250"/>
      <c r="BB185" s="250"/>
      <c r="BC185" s="250"/>
      <c r="BD185" s="250"/>
      <c r="BE185" s="250"/>
      <c r="BF185" s="250"/>
      <c r="BG185" s="250"/>
      <c r="BH185" s="250"/>
      <c r="BI185" s="250"/>
      <c r="BJ185" s="250"/>
      <c r="BK185" s="250"/>
      <c r="BL185" s="250"/>
      <c r="BM185" s="250"/>
      <c r="BN185" s="250"/>
      <c r="BO185" s="250"/>
      <c r="BP185" s="250"/>
      <c r="BQ185" s="250"/>
      <c r="BR185" s="250"/>
      <c r="BS185" s="250"/>
      <c r="BT185" s="250"/>
      <c r="BU185" s="250"/>
      <c r="BV185" s="250"/>
      <c r="BW185" s="250"/>
      <c r="BX185" s="250"/>
      <c r="BY185" s="250"/>
    </row>
    <row r="186" ht="13.8" spans="1:77">
      <c r="A186" s="250"/>
      <c r="B186" s="250"/>
      <c r="C186" s="250"/>
      <c r="D186" s="270"/>
      <c r="E186" s="270"/>
      <c r="F186" s="250"/>
      <c r="G186" s="270"/>
      <c r="H186" s="250"/>
      <c r="I186" s="250"/>
      <c r="J186" s="27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  <c r="U186" s="250"/>
      <c r="V186" s="250"/>
      <c r="W186" s="271"/>
      <c r="X186" s="271"/>
      <c r="Y186" s="250"/>
      <c r="Z186" s="250"/>
      <c r="AA186" s="272"/>
      <c r="AB186" s="250"/>
      <c r="AC186" s="250"/>
      <c r="AD186" s="250"/>
      <c r="AE186" s="272"/>
      <c r="AF186" s="250"/>
      <c r="AG186" s="250"/>
      <c r="AH186" s="250"/>
      <c r="AI186" s="250"/>
      <c r="AJ186" s="250"/>
      <c r="AK186" s="250"/>
      <c r="AL186" s="250"/>
      <c r="AM186" s="250"/>
      <c r="AN186" s="250"/>
      <c r="AO186" s="250"/>
      <c r="AP186" s="250"/>
      <c r="AQ186" s="250"/>
      <c r="AR186" s="250"/>
      <c r="AS186" s="250"/>
      <c r="AT186" s="250"/>
      <c r="AU186" s="250"/>
      <c r="AV186" s="250"/>
      <c r="AW186" s="250"/>
      <c r="AX186" s="250"/>
      <c r="AY186" s="250"/>
      <c r="AZ186" s="250"/>
      <c r="BA186" s="250"/>
      <c r="BB186" s="250"/>
      <c r="BC186" s="250"/>
      <c r="BD186" s="250"/>
      <c r="BE186" s="250"/>
      <c r="BF186" s="250"/>
      <c r="BG186" s="250"/>
      <c r="BH186" s="250"/>
      <c r="BI186" s="250"/>
      <c r="BJ186" s="250"/>
      <c r="BK186" s="250"/>
      <c r="BL186" s="250"/>
      <c r="BM186" s="250"/>
      <c r="BN186" s="250"/>
      <c r="BO186" s="250"/>
      <c r="BP186" s="250"/>
      <c r="BQ186" s="250"/>
      <c r="BR186" s="250"/>
      <c r="BS186" s="250"/>
      <c r="BT186" s="250"/>
      <c r="BU186" s="250"/>
      <c r="BV186" s="250"/>
      <c r="BW186" s="250"/>
      <c r="BX186" s="250"/>
      <c r="BY186" s="250"/>
    </row>
    <row r="187" ht="13.8" spans="1:77">
      <c r="A187" s="250"/>
      <c r="B187" s="250"/>
      <c r="C187" s="250"/>
      <c r="D187" s="270"/>
      <c r="E187" s="270"/>
      <c r="F187" s="250"/>
      <c r="G187" s="270"/>
      <c r="H187" s="250"/>
      <c r="I187" s="250"/>
      <c r="J187" s="27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  <c r="U187" s="250"/>
      <c r="V187" s="250"/>
      <c r="W187" s="271"/>
      <c r="X187" s="271"/>
      <c r="Y187" s="250"/>
      <c r="Z187" s="250"/>
      <c r="AA187" s="272"/>
      <c r="AB187" s="250"/>
      <c r="AC187" s="250"/>
      <c r="AD187" s="250"/>
      <c r="AE187" s="272"/>
      <c r="AF187" s="250"/>
      <c r="AG187" s="250"/>
      <c r="AH187" s="250"/>
      <c r="AI187" s="250"/>
      <c r="AJ187" s="250"/>
      <c r="AK187" s="250"/>
      <c r="AL187" s="250"/>
      <c r="AM187" s="250"/>
      <c r="AN187" s="250"/>
      <c r="AO187" s="250"/>
      <c r="AP187" s="250"/>
      <c r="AQ187" s="250"/>
      <c r="AR187" s="250"/>
      <c r="AS187" s="250"/>
      <c r="AT187" s="250"/>
      <c r="AU187" s="250"/>
      <c r="AV187" s="250"/>
      <c r="AW187" s="250"/>
      <c r="AX187" s="250"/>
      <c r="AY187" s="250"/>
      <c r="AZ187" s="250"/>
      <c r="BA187" s="250"/>
      <c r="BB187" s="250"/>
      <c r="BC187" s="250"/>
      <c r="BD187" s="250"/>
      <c r="BE187" s="250"/>
      <c r="BF187" s="250"/>
      <c r="BG187" s="250"/>
      <c r="BH187" s="250"/>
      <c r="BI187" s="250"/>
      <c r="BJ187" s="250"/>
      <c r="BK187" s="250"/>
      <c r="BL187" s="250"/>
      <c r="BM187" s="250"/>
      <c r="BN187" s="250"/>
      <c r="BO187" s="250"/>
      <c r="BP187" s="250"/>
      <c r="BQ187" s="250"/>
      <c r="BR187" s="250"/>
      <c r="BS187" s="250"/>
      <c r="BT187" s="250"/>
      <c r="BU187" s="250"/>
      <c r="BV187" s="250"/>
      <c r="BW187" s="250"/>
      <c r="BX187" s="250"/>
      <c r="BY187" s="250"/>
    </row>
    <row r="188" ht="13.8" spans="1:77">
      <c r="A188" s="250"/>
      <c r="B188" s="250"/>
      <c r="C188" s="250"/>
      <c r="D188" s="270"/>
      <c r="E188" s="270"/>
      <c r="F188" s="250"/>
      <c r="G188" s="270"/>
      <c r="H188" s="250"/>
      <c r="I188" s="250"/>
      <c r="J188" s="27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71"/>
      <c r="X188" s="271"/>
      <c r="Y188" s="250"/>
      <c r="Z188" s="250"/>
      <c r="AA188" s="272"/>
      <c r="AB188" s="250"/>
      <c r="AC188" s="250"/>
      <c r="AD188" s="250"/>
      <c r="AE188" s="272"/>
      <c r="AF188" s="250"/>
      <c r="AG188" s="250"/>
      <c r="AH188" s="250"/>
      <c r="AI188" s="250"/>
      <c r="AJ188" s="250"/>
      <c r="AK188" s="250"/>
      <c r="AL188" s="250"/>
      <c r="AM188" s="250"/>
      <c r="AN188" s="250"/>
      <c r="AO188" s="250"/>
      <c r="AP188" s="250"/>
      <c r="AQ188" s="250"/>
      <c r="AR188" s="250"/>
      <c r="AS188" s="250"/>
      <c r="AT188" s="250"/>
      <c r="AU188" s="250"/>
      <c r="AV188" s="250"/>
      <c r="AW188" s="250"/>
      <c r="AX188" s="250"/>
      <c r="AY188" s="250"/>
      <c r="AZ188" s="250"/>
      <c r="BA188" s="250"/>
      <c r="BB188" s="250"/>
      <c r="BC188" s="250"/>
      <c r="BD188" s="250"/>
      <c r="BE188" s="250"/>
      <c r="BF188" s="250"/>
      <c r="BG188" s="250"/>
      <c r="BH188" s="250"/>
      <c r="BI188" s="250"/>
      <c r="BJ188" s="250"/>
      <c r="BK188" s="250"/>
      <c r="BL188" s="250"/>
      <c r="BM188" s="250"/>
      <c r="BN188" s="250"/>
      <c r="BO188" s="250"/>
      <c r="BP188" s="250"/>
      <c r="BQ188" s="250"/>
      <c r="BR188" s="250"/>
      <c r="BS188" s="250"/>
      <c r="BT188" s="250"/>
      <c r="BU188" s="250"/>
      <c r="BV188" s="250"/>
      <c r="BW188" s="250"/>
      <c r="BX188" s="250"/>
      <c r="BY188" s="250"/>
    </row>
    <row r="189" ht="13.8" spans="1:77">
      <c r="A189" s="250"/>
      <c r="B189" s="250"/>
      <c r="C189" s="250"/>
      <c r="D189" s="270"/>
      <c r="E189" s="270"/>
      <c r="F189" s="250"/>
      <c r="G189" s="270"/>
      <c r="H189" s="250"/>
      <c r="I189" s="250"/>
      <c r="J189" s="27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  <c r="W189" s="271"/>
      <c r="X189" s="271"/>
      <c r="Y189" s="250"/>
      <c r="Z189" s="250"/>
      <c r="AA189" s="272"/>
      <c r="AB189" s="250"/>
      <c r="AC189" s="250"/>
      <c r="AD189" s="250"/>
      <c r="AE189" s="272"/>
      <c r="AF189" s="250"/>
      <c r="AG189" s="250"/>
      <c r="AH189" s="250"/>
      <c r="AI189" s="250"/>
      <c r="AJ189" s="250"/>
      <c r="AK189" s="250"/>
      <c r="AL189" s="250"/>
      <c r="AM189" s="250"/>
      <c r="AN189" s="250"/>
      <c r="AO189" s="250"/>
      <c r="AP189" s="250"/>
      <c r="AQ189" s="250"/>
      <c r="AR189" s="250"/>
      <c r="AS189" s="250"/>
      <c r="AT189" s="250"/>
      <c r="AU189" s="250"/>
      <c r="AV189" s="250"/>
      <c r="AW189" s="250"/>
      <c r="AX189" s="250"/>
      <c r="AY189" s="250"/>
      <c r="AZ189" s="250"/>
      <c r="BA189" s="250"/>
      <c r="BB189" s="250"/>
      <c r="BC189" s="250"/>
      <c r="BD189" s="250"/>
      <c r="BE189" s="250"/>
      <c r="BF189" s="250"/>
      <c r="BG189" s="250"/>
      <c r="BH189" s="250"/>
      <c r="BI189" s="250"/>
      <c r="BJ189" s="250"/>
      <c r="BK189" s="250"/>
      <c r="BL189" s="250"/>
      <c r="BM189" s="250"/>
      <c r="BN189" s="250"/>
      <c r="BO189" s="250"/>
      <c r="BP189" s="250"/>
      <c r="BQ189" s="250"/>
      <c r="BR189" s="250"/>
      <c r="BS189" s="250"/>
      <c r="BT189" s="250"/>
      <c r="BU189" s="250"/>
      <c r="BV189" s="250"/>
      <c r="BW189" s="250"/>
      <c r="BX189" s="250"/>
      <c r="BY189" s="250"/>
    </row>
    <row r="190" ht="13.8" spans="1:77">
      <c r="A190" s="250"/>
      <c r="B190" s="250"/>
      <c r="C190" s="250"/>
      <c r="D190" s="270"/>
      <c r="E190" s="270"/>
      <c r="F190" s="250"/>
      <c r="G190" s="270"/>
      <c r="H190" s="250"/>
      <c r="I190" s="250"/>
      <c r="J190" s="270"/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  <c r="U190" s="250"/>
      <c r="V190" s="250"/>
      <c r="W190" s="271"/>
      <c r="X190" s="271"/>
      <c r="Y190" s="250"/>
      <c r="Z190" s="250"/>
      <c r="AA190" s="272"/>
      <c r="AB190" s="250"/>
      <c r="AC190" s="250"/>
      <c r="AD190" s="250"/>
      <c r="AE190" s="272"/>
      <c r="AF190" s="250"/>
      <c r="AG190" s="250"/>
      <c r="AH190" s="250"/>
      <c r="AI190" s="250"/>
      <c r="AJ190" s="250"/>
      <c r="AK190" s="250"/>
      <c r="AL190" s="250"/>
      <c r="AM190" s="250"/>
      <c r="AN190" s="250"/>
      <c r="AO190" s="250"/>
      <c r="AP190" s="250"/>
      <c r="AQ190" s="250"/>
      <c r="AR190" s="250"/>
      <c r="AS190" s="250"/>
      <c r="AT190" s="250"/>
      <c r="AU190" s="250"/>
      <c r="AV190" s="250"/>
      <c r="AW190" s="250"/>
      <c r="AX190" s="250"/>
      <c r="AY190" s="250"/>
      <c r="AZ190" s="250"/>
      <c r="BA190" s="250"/>
      <c r="BB190" s="250"/>
      <c r="BC190" s="250"/>
      <c r="BD190" s="250"/>
      <c r="BE190" s="250"/>
      <c r="BF190" s="250"/>
      <c r="BG190" s="250"/>
      <c r="BH190" s="250"/>
      <c r="BI190" s="250"/>
      <c r="BJ190" s="250"/>
      <c r="BK190" s="250"/>
      <c r="BL190" s="250"/>
      <c r="BM190" s="250"/>
      <c r="BN190" s="250"/>
      <c r="BO190" s="250"/>
      <c r="BP190" s="250"/>
      <c r="BQ190" s="250"/>
      <c r="BR190" s="250"/>
      <c r="BS190" s="250"/>
      <c r="BT190" s="250"/>
      <c r="BU190" s="250"/>
      <c r="BV190" s="250"/>
      <c r="BW190" s="250"/>
      <c r="BX190" s="250"/>
      <c r="BY190" s="250"/>
    </row>
    <row r="191" ht="13.8" spans="1:77">
      <c r="A191" s="250"/>
      <c r="B191" s="250"/>
      <c r="C191" s="250"/>
      <c r="D191" s="270"/>
      <c r="E191" s="270"/>
      <c r="F191" s="250"/>
      <c r="G191" s="270"/>
      <c r="H191" s="250"/>
      <c r="I191" s="250"/>
      <c r="J191" s="270"/>
      <c r="K191" s="250"/>
      <c r="L191" s="250"/>
      <c r="M191" s="250"/>
      <c r="N191" s="250"/>
      <c r="O191" s="250"/>
      <c r="P191" s="250"/>
      <c r="Q191" s="250"/>
      <c r="R191" s="250"/>
      <c r="S191" s="250"/>
      <c r="T191" s="250"/>
      <c r="U191" s="250"/>
      <c r="V191" s="250"/>
      <c r="W191" s="271"/>
      <c r="X191" s="271"/>
      <c r="Y191" s="250"/>
      <c r="Z191" s="250"/>
      <c r="AA191" s="272"/>
      <c r="AB191" s="250"/>
      <c r="AC191" s="250"/>
      <c r="AD191" s="250"/>
      <c r="AE191" s="272"/>
      <c r="AF191" s="250"/>
      <c r="AG191" s="250"/>
      <c r="AH191" s="250"/>
      <c r="AI191" s="250"/>
      <c r="AJ191" s="250"/>
      <c r="AK191" s="250"/>
      <c r="AL191" s="250"/>
      <c r="AM191" s="250"/>
      <c r="AN191" s="250"/>
      <c r="AO191" s="250"/>
      <c r="AP191" s="250"/>
      <c r="AQ191" s="250"/>
      <c r="AR191" s="250"/>
      <c r="AS191" s="250"/>
      <c r="AT191" s="250"/>
      <c r="AU191" s="250"/>
      <c r="AV191" s="250"/>
      <c r="AW191" s="250"/>
      <c r="AX191" s="250"/>
      <c r="AY191" s="250"/>
      <c r="AZ191" s="250"/>
      <c r="BA191" s="250"/>
      <c r="BB191" s="250"/>
      <c r="BC191" s="250"/>
      <c r="BD191" s="250"/>
      <c r="BE191" s="250"/>
      <c r="BF191" s="250"/>
      <c r="BG191" s="250"/>
      <c r="BH191" s="250"/>
      <c r="BI191" s="250"/>
      <c r="BJ191" s="250"/>
      <c r="BK191" s="250"/>
      <c r="BL191" s="250"/>
      <c r="BM191" s="250"/>
      <c r="BN191" s="250"/>
      <c r="BO191" s="250"/>
      <c r="BP191" s="250"/>
      <c r="BQ191" s="250"/>
      <c r="BR191" s="250"/>
      <c r="BS191" s="250"/>
      <c r="BT191" s="250"/>
      <c r="BU191" s="250"/>
      <c r="BV191" s="250"/>
      <c r="BW191" s="250"/>
      <c r="BX191" s="250"/>
      <c r="BY191" s="250"/>
    </row>
    <row r="192" ht="13.8" spans="1:77">
      <c r="A192" s="250"/>
      <c r="B192" s="250"/>
      <c r="C192" s="250"/>
      <c r="D192" s="270"/>
      <c r="E192" s="270"/>
      <c r="F192" s="250"/>
      <c r="G192" s="270"/>
      <c r="H192" s="250"/>
      <c r="I192" s="250"/>
      <c r="J192" s="270"/>
      <c r="K192" s="250"/>
      <c r="L192" s="250"/>
      <c r="M192" s="250"/>
      <c r="N192" s="250"/>
      <c r="O192" s="250"/>
      <c r="P192" s="250"/>
      <c r="Q192" s="250"/>
      <c r="R192" s="250"/>
      <c r="S192" s="250"/>
      <c r="T192" s="250"/>
      <c r="U192" s="250"/>
      <c r="V192" s="250"/>
      <c r="W192" s="271"/>
      <c r="X192" s="271"/>
      <c r="Y192" s="250"/>
      <c r="Z192" s="250"/>
      <c r="AA192" s="272"/>
      <c r="AB192" s="250"/>
      <c r="AC192" s="250"/>
      <c r="AD192" s="250"/>
      <c r="AE192" s="272"/>
      <c r="AF192" s="250"/>
      <c r="AG192" s="250"/>
      <c r="AH192" s="250"/>
      <c r="AI192" s="250"/>
      <c r="AJ192" s="250"/>
      <c r="AK192" s="250"/>
      <c r="AL192" s="250"/>
      <c r="AM192" s="250"/>
      <c r="AN192" s="250"/>
      <c r="AO192" s="250"/>
      <c r="AP192" s="250"/>
      <c r="AQ192" s="250"/>
      <c r="AR192" s="250"/>
      <c r="AS192" s="250"/>
      <c r="AT192" s="250"/>
      <c r="AU192" s="250"/>
      <c r="AV192" s="250"/>
      <c r="AW192" s="250"/>
      <c r="AX192" s="250"/>
      <c r="AY192" s="250"/>
      <c r="AZ192" s="250"/>
      <c r="BA192" s="250"/>
      <c r="BB192" s="250"/>
      <c r="BC192" s="250"/>
      <c r="BD192" s="250"/>
      <c r="BE192" s="250"/>
      <c r="BF192" s="250"/>
      <c r="BG192" s="250"/>
      <c r="BH192" s="250"/>
      <c r="BI192" s="250"/>
      <c r="BJ192" s="250"/>
      <c r="BK192" s="250"/>
      <c r="BL192" s="250"/>
      <c r="BM192" s="250"/>
      <c r="BN192" s="250"/>
      <c r="BO192" s="250"/>
      <c r="BP192" s="250"/>
      <c r="BQ192" s="250"/>
      <c r="BR192" s="250"/>
      <c r="BS192" s="250"/>
      <c r="BT192" s="250"/>
      <c r="BU192" s="250"/>
      <c r="BV192" s="250"/>
      <c r="BW192" s="250"/>
      <c r="BX192" s="250"/>
      <c r="BY192" s="250"/>
    </row>
    <row r="193" ht="13.8" spans="1:77">
      <c r="A193" s="250"/>
      <c r="B193" s="250"/>
      <c r="C193" s="250"/>
      <c r="D193" s="270"/>
      <c r="E193" s="270"/>
      <c r="F193" s="250"/>
      <c r="G193" s="270"/>
      <c r="H193" s="250"/>
      <c r="I193" s="250"/>
      <c r="J193" s="270"/>
      <c r="K193" s="250"/>
      <c r="L193" s="250"/>
      <c r="M193" s="250"/>
      <c r="N193" s="250"/>
      <c r="O193" s="250"/>
      <c r="P193" s="250"/>
      <c r="Q193" s="250"/>
      <c r="R193" s="250"/>
      <c r="S193" s="250"/>
      <c r="T193" s="250"/>
      <c r="U193" s="250"/>
      <c r="V193" s="250"/>
      <c r="W193" s="271"/>
      <c r="X193" s="271"/>
      <c r="Y193" s="250"/>
      <c r="Z193" s="250"/>
      <c r="AA193" s="272"/>
      <c r="AB193" s="250"/>
      <c r="AC193" s="250"/>
      <c r="AD193" s="250"/>
      <c r="AE193" s="272"/>
      <c r="AF193" s="250"/>
      <c r="AG193" s="250"/>
      <c r="AH193" s="250"/>
      <c r="AI193" s="250"/>
      <c r="AJ193" s="250"/>
      <c r="AK193" s="250"/>
      <c r="AL193" s="250"/>
      <c r="AM193" s="250"/>
      <c r="AN193" s="250"/>
      <c r="AO193" s="250"/>
      <c r="AP193" s="250"/>
      <c r="AQ193" s="250"/>
      <c r="AR193" s="250"/>
      <c r="AS193" s="250"/>
      <c r="AT193" s="250"/>
      <c r="AU193" s="250"/>
      <c r="AV193" s="250"/>
      <c r="AW193" s="250"/>
      <c r="AX193" s="250"/>
      <c r="AY193" s="250"/>
      <c r="AZ193" s="250"/>
      <c r="BA193" s="250"/>
      <c r="BB193" s="250"/>
      <c r="BC193" s="250"/>
      <c r="BD193" s="250"/>
      <c r="BE193" s="250"/>
      <c r="BF193" s="250"/>
      <c r="BG193" s="250"/>
      <c r="BH193" s="250"/>
      <c r="BI193" s="250"/>
      <c r="BJ193" s="250"/>
      <c r="BK193" s="250"/>
      <c r="BL193" s="250"/>
      <c r="BM193" s="250"/>
      <c r="BN193" s="250"/>
      <c r="BO193" s="250"/>
      <c r="BP193" s="250"/>
      <c r="BQ193" s="250"/>
      <c r="BR193" s="250"/>
      <c r="BS193" s="250"/>
      <c r="BT193" s="250"/>
      <c r="BU193" s="250"/>
      <c r="BV193" s="250"/>
      <c r="BW193" s="250"/>
      <c r="BX193" s="250"/>
      <c r="BY193" s="250"/>
    </row>
    <row r="194" ht="13.8" spans="1:77">
      <c r="A194" s="250"/>
      <c r="B194" s="250"/>
      <c r="C194" s="250"/>
      <c r="D194" s="270"/>
      <c r="E194" s="270"/>
      <c r="F194" s="250"/>
      <c r="G194" s="270"/>
      <c r="H194" s="250"/>
      <c r="I194" s="250"/>
      <c r="J194" s="270"/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  <c r="U194" s="250"/>
      <c r="V194" s="250"/>
      <c r="W194" s="271"/>
      <c r="X194" s="271"/>
      <c r="Y194" s="250"/>
      <c r="Z194" s="250"/>
      <c r="AA194" s="272"/>
      <c r="AB194" s="250"/>
      <c r="AC194" s="250"/>
      <c r="AD194" s="250"/>
      <c r="AE194" s="272"/>
      <c r="AF194" s="250"/>
      <c r="AG194" s="250"/>
      <c r="AH194" s="250"/>
      <c r="AI194" s="250"/>
      <c r="AJ194" s="250"/>
      <c r="AK194" s="250"/>
      <c r="AL194" s="250"/>
      <c r="AM194" s="250"/>
      <c r="AN194" s="250"/>
      <c r="AO194" s="250"/>
      <c r="AP194" s="250"/>
      <c r="AQ194" s="250"/>
      <c r="AR194" s="250"/>
      <c r="AS194" s="250"/>
      <c r="AT194" s="250"/>
      <c r="AU194" s="250"/>
      <c r="AV194" s="250"/>
      <c r="AW194" s="250"/>
      <c r="AX194" s="250"/>
      <c r="AY194" s="250"/>
      <c r="AZ194" s="250"/>
      <c r="BA194" s="250"/>
      <c r="BB194" s="250"/>
      <c r="BC194" s="250"/>
      <c r="BD194" s="250"/>
      <c r="BE194" s="250"/>
      <c r="BF194" s="250"/>
      <c r="BG194" s="250"/>
      <c r="BH194" s="250"/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0"/>
      <c r="BS194" s="250"/>
      <c r="BT194" s="250"/>
      <c r="BU194" s="250"/>
      <c r="BV194" s="250"/>
      <c r="BW194" s="250"/>
      <c r="BX194" s="250"/>
      <c r="BY194" s="250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94"/>
  <sheetViews>
    <sheetView workbookViewId="0">
      <selection activeCell="A1" sqref="A1"/>
    </sheetView>
  </sheetViews>
  <sheetFormatPr defaultColWidth="17" defaultRowHeight="11.4"/>
  <cols>
    <col min="1" max="1" width="8.20833333333333" customWidth="1"/>
    <col min="2" max="2" width="16.9375" customWidth="1"/>
    <col min="3" max="3" width="11.1666666666667" customWidth="1"/>
    <col min="4" max="4" width="37.5416666666667" customWidth="1"/>
    <col min="5" max="5" width="12.3958333333333" customWidth="1"/>
    <col min="6" max="6" width="13.1041666666667" customWidth="1"/>
    <col min="7" max="7" width="14.6666666666667" customWidth="1"/>
    <col min="8" max="8" width="16.0625" customWidth="1"/>
    <col min="9" max="10" width="10.125" customWidth="1"/>
    <col min="11" max="11" width="13.96875" customWidth="1"/>
    <col min="12" max="12" width="11.5208333333333" customWidth="1"/>
    <col min="13" max="15" width="12.21875" customWidth="1"/>
    <col min="16" max="16" width="6.11458333333333" customWidth="1"/>
    <col min="17" max="17" width="6.8125" customWidth="1"/>
    <col min="18" max="23" width="6.11458333333333" customWidth="1"/>
    <col min="24" max="27" width="7.33333333333333" customWidth="1"/>
    <col min="28" max="32" width="12.5729166666667" customWidth="1"/>
    <col min="33" max="66" width="16.59375" customWidth="1"/>
  </cols>
  <sheetData>
    <row r="1" ht="39" customHeight="1" spans="1:66">
      <c r="A1" s="209" t="s">
        <v>451</v>
      </c>
      <c r="B1" s="209" t="s">
        <v>1</v>
      </c>
      <c r="C1" s="209" t="s">
        <v>0</v>
      </c>
      <c r="D1" s="209" t="s">
        <v>3</v>
      </c>
      <c r="E1" s="209" t="s">
        <v>452</v>
      </c>
      <c r="F1" s="210" t="s">
        <v>453</v>
      </c>
      <c r="G1" s="211" t="s">
        <v>454</v>
      </c>
      <c r="H1" s="212" t="s">
        <v>455</v>
      </c>
      <c r="I1" s="213" t="s">
        <v>456</v>
      </c>
      <c r="J1" s="214" t="s">
        <v>423</v>
      </c>
      <c r="K1" s="215" t="s">
        <v>457</v>
      </c>
      <c r="L1" s="216" t="s">
        <v>458</v>
      </c>
      <c r="M1" s="213" t="s">
        <v>459</v>
      </c>
      <c r="N1" s="216" t="s">
        <v>460</v>
      </c>
      <c r="O1" s="216" t="s">
        <v>461</v>
      </c>
      <c r="P1" s="210" t="s">
        <v>9</v>
      </c>
      <c r="Q1" s="217" t="s">
        <v>135</v>
      </c>
      <c r="R1" s="218" t="s">
        <v>154</v>
      </c>
      <c r="S1" s="218" t="s">
        <v>462</v>
      </c>
      <c r="T1" s="218" t="s">
        <v>463</v>
      </c>
      <c r="U1" s="12" t="s">
        <v>464</v>
      </c>
      <c r="V1" s="12" t="s">
        <v>431</v>
      </c>
      <c r="W1" s="12" t="s">
        <v>153</v>
      </c>
      <c r="X1" s="12" t="s">
        <v>465</v>
      </c>
      <c r="Y1" s="219" t="s">
        <v>466</v>
      </c>
      <c r="Z1" s="12" t="s">
        <v>467</v>
      </c>
      <c r="AA1" s="12" t="s">
        <v>468</v>
      </c>
      <c r="AB1" s="220" t="s">
        <v>469</v>
      </c>
      <c r="AC1" s="221" t="s">
        <v>470</v>
      </c>
      <c r="AD1" s="217" t="s">
        <v>471</v>
      </c>
      <c r="AE1" s="12" t="s">
        <v>472</v>
      </c>
      <c r="AF1" s="12" t="s">
        <v>430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</row>
    <row r="2" ht="13.2" spans="1:66">
      <c r="A2" s="222" t="s">
        <v>473</v>
      </c>
      <c r="B2" s="223" t="s">
        <v>23</v>
      </c>
      <c r="C2" s="224" t="s">
        <v>22</v>
      </c>
      <c r="D2" s="225" t="s">
        <v>25</v>
      </c>
      <c r="E2" s="224" t="s">
        <v>275</v>
      </c>
      <c r="F2" s="226" t="s">
        <v>474</v>
      </c>
      <c r="G2" s="227">
        <v>53.99</v>
      </c>
      <c r="H2" s="226">
        <v>64.99</v>
      </c>
      <c r="I2" s="227">
        <f t="shared" ref="I2:I12" si="0">G2-N2/Q2-O2-X2-Y2-Z2-AA2</f>
        <v>3.69941997471555</v>
      </c>
      <c r="J2" s="228">
        <f t="shared" ref="J2:J12" si="1">I2/G2</f>
        <v>0.0685204662847851</v>
      </c>
      <c r="K2" s="229">
        <f t="shared" ref="K2:K12" si="2">(H2-G2)/H2</f>
        <v>0.169256808739806</v>
      </c>
      <c r="L2" s="228">
        <f>(H2-G2+AA2)/(H2)</f>
        <v>0.343712878904447</v>
      </c>
      <c r="M2" s="227">
        <f t="shared" ref="M2:M12" si="3">H2-G2</f>
        <v>11</v>
      </c>
      <c r="N2" s="230">
        <f t="shared" ref="N2:N12" si="4">AC2+AD2</f>
        <v>175.796460176991</v>
      </c>
      <c r="O2" s="226">
        <v>1.5</v>
      </c>
      <c r="P2" s="224">
        <v>4</v>
      </c>
      <c r="Q2" s="224">
        <v>7</v>
      </c>
      <c r="R2" s="231">
        <v>0.1</v>
      </c>
      <c r="S2" s="231">
        <f t="shared" ref="S2:S12" si="5">Y2/G2</f>
        <v>0.118540470457492</v>
      </c>
      <c r="T2" s="231">
        <v>0.01</v>
      </c>
      <c r="U2" s="228">
        <f t="shared" ref="U2:U12" si="6">N2/(G2*Q2)</f>
        <v>0.465156140494248</v>
      </c>
      <c r="V2" s="231">
        <f t="shared" ref="V2:V12" si="7">O2/G2</f>
        <v>0.0277829227634747</v>
      </c>
      <c r="W2" s="228">
        <f t="shared" ref="W2:W12" si="8">IF(F2="J671X",0,0.21)</f>
        <v>0.21</v>
      </c>
      <c r="X2" s="232">
        <f t="shared" ref="X2:X7" si="9">G2*R2</f>
        <v>5.399</v>
      </c>
      <c r="Y2" s="232">
        <v>6.4</v>
      </c>
      <c r="Z2" s="232">
        <f t="shared" ref="Z2:Z12" si="10">G2*T2</f>
        <v>0.5399</v>
      </c>
      <c r="AA2" s="233">
        <f t="shared" ref="AA2:AA12" si="11">G2*W2</f>
        <v>11.3379</v>
      </c>
      <c r="AB2" s="234">
        <v>136.5</v>
      </c>
      <c r="AC2" s="234">
        <f t="shared" ref="AC2:AC12" si="12">AB2/1.13</f>
        <v>120.796460176991</v>
      </c>
      <c r="AD2" s="230">
        <v>55</v>
      </c>
      <c r="AE2" s="231">
        <f t="shared" ref="AE2:AE12" si="13">AC2/(G2*Q2)</f>
        <v>0.319626545066523</v>
      </c>
      <c r="AF2" s="231">
        <f t="shared" ref="AF2:AF12" si="14">AD2/Q2/G2</f>
        <v>0.145529595427725</v>
      </c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</row>
    <row r="3" ht="13.2" spans="1:66">
      <c r="A3" s="235" t="s">
        <v>475</v>
      </c>
      <c r="B3" s="224" t="s">
        <v>23</v>
      </c>
      <c r="C3" s="224" t="s">
        <v>22</v>
      </c>
      <c r="D3" s="225" t="s">
        <v>25</v>
      </c>
      <c r="E3" s="224" t="s">
        <v>275</v>
      </c>
      <c r="F3" s="226" t="s">
        <v>476</v>
      </c>
      <c r="G3" s="227">
        <v>48</v>
      </c>
      <c r="H3" s="226">
        <v>89.99</v>
      </c>
      <c r="I3" s="227">
        <f t="shared" si="0"/>
        <v>14.0233628318584</v>
      </c>
      <c r="J3" s="228">
        <f t="shared" si="1"/>
        <v>0.292153392330383</v>
      </c>
      <c r="K3" s="229">
        <f t="shared" si="2"/>
        <v>0.466607400822314</v>
      </c>
      <c r="L3" s="228">
        <f>(H3-G3+AA3-Y3)/(H3-Y3)</f>
        <v>0.399924990623828</v>
      </c>
      <c r="M3" s="227">
        <f t="shared" si="3"/>
        <v>41.99</v>
      </c>
      <c r="N3" s="230">
        <f t="shared" si="4"/>
        <v>120.796460176991</v>
      </c>
      <c r="O3" s="226">
        <v>0</v>
      </c>
      <c r="P3" s="224">
        <v>4</v>
      </c>
      <c r="Q3" s="224">
        <v>7</v>
      </c>
      <c r="R3" s="231">
        <v>0.13</v>
      </c>
      <c r="S3" s="231">
        <f t="shared" si="5"/>
        <v>0.208333333333333</v>
      </c>
      <c r="T3" s="231">
        <v>0.01</v>
      </c>
      <c r="U3" s="228">
        <f t="shared" si="6"/>
        <v>0.359513274336283</v>
      </c>
      <c r="V3" s="231">
        <f t="shared" si="7"/>
        <v>0</v>
      </c>
      <c r="W3" s="228">
        <f t="shared" si="8"/>
        <v>0</v>
      </c>
      <c r="X3" s="232">
        <f t="shared" si="9"/>
        <v>6.24</v>
      </c>
      <c r="Y3" s="232">
        <v>10</v>
      </c>
      <c r="Z3" s="232">
        <f t="shared" si="10"/>
        <v>0.48</v>
      </c>
      <c r="AA3" s="233">
        <f t="shared" si="11"/>
        <v>0</v>
      </c>
      <c r="AB3" s="234">
        <v>136.5</v>
      </c>
      <c r="AC3" s="234">
        <f t="shared" si="12"/>
        <v>120.796460176991</v>
      </c>
      <c r="AD3" s="230">
        <v>0</v>
      </c>
      <c r="AE3" s="231">
        <f t="shared" si="13"/>
        <v>0.359513274336283</v>
      </c>
      <c r="AF3" s="231">
        <f t="shared" si="14"/>
        <v>0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</row>
    <row r="4" ht="13.2" spans="1:66">
      <c r="A4" s="224" t="s">
        <v>473</v>
      </c>
      <c r="B4" s="224" t="s">
        <v>477</v>
      </c>
      <c r="C4" s="224" t="s">
        <v>478</v>
      </c>
      <c r="D4" s="225" t="s">
        <v>479</v>
      </c>
      <c r="E4" s="224" t="s">
        <v>275</v>
      </c>
      <c r="F4" s="226" t="s">
        <v>474</v>
      </c>
      <c r="G4" s="227">
        <v>22</v>
      </c>
      <c r="H4" s="226">
        <v>29.99</v>
      </c>
      <c r="I4" s="227">
        <f t="shared" si="0"/>
        <v>2.12886219974716</v>
      </c>
      <c r="J4" s="236">
        <f t="shared" si="1"/>
        <v>0.0967664636248707</v>
      </c>
      <c r="K4" s="229">
        <f t="shared" si="2"/>
        <v>0.266422140713571</v>
      </c>
      <c r="L4" s="228">
        <f>(H4-G4+AA4-Y4)/(H4-Y4)</f>
        <v>0.340667678300455</v>
      </c>
      <c r="M4" s="227">
        <f t="shared" si="3"/>
        <v>7.99</v>
      </c>
      <c r="N4" s="230">
        <f t="shared" si="4"/>
        <v>49.7079646017699</v>
      </c>
      <c r="O4" s="226">
        <v>1</v>
      </c>
      <c r="P4" s="224">
        <v>54</v>
      </c>
      <c r="Q4" s="224">
        <v>7</v>
      </c>
      <c r="R4" s="231">
        <v>0.15</v>
      </c>
      <c r="S4" s="231">
        <f t="shared" si="5"/>
        <v>0.165</v>
      </c>
      <c r="T4" s="231">
        <v>0.01</v>
      </c>
      <c r="U4" s="228">
        <f t="shared" si="6"/>
        <v>0.322778990920584</v>
      </c>
      <c r="V4" s="231">
        <f t="shared" si="7"/>
        <v>0.0454545454545455</v>
      </c>
      <c r="W4" s="228">
        <f t="shared" si="8"/>
        <v>0.21</v>
      </c>
      <c r="X4" s="232">
        <f t="shared" si="9"/>
        <v>3.3</v>
      </c>
      <c r="Y4" s="237">
        <v>3.63</v>
      </c>
      <c r="Z4" s="232">
        <f t="shared" si="10"/>
        <v>0.22</v>
      </c>
      <c r="AA4" s="233">
        <f t="shared" si="11"/>
        <v>4.62</v>
      </c>
      <c r="AB4" s="234">
        <v>46</v>
      </c>
      <c r="AC4" s="234">
        <f t="shared" si="12"/>
        <v>40.7079646017699</v>
      </c>
      <c r="AD4" s="230">
        <v>9</v>
      </c>
      <c r="AE4" s="231">
        <f t="shared" si="13"/>
        <v>0.264337432479025</v>
      </c>
      <c r="AF4" s="231">
        <f t="shared" si="14"/>
        <v>0.0584415584415584</v>
      </c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</row>
    <row r="5" ht="13.2" spans="1:66">
      <c r="A5" s="224" t="s">
        <v>473</v>
      </c>
      <c r="B5" s="224" t="s">
        <v>477</v>
      </c>
      <c r="C5" s="224" t="s">
        <v>478</v>
      </c>
      <c r="D5" s="225" t="s">
        <v>479</v>
      </c>
      <c r="E5" s="224" t="s">
        <v>275</v>
      </c>
      <c r="F5" s="226" t="s">
        <v>474</v>
      </c>
      <c r="G5" s="227">
        <v>21</v>
      </c>
      <c r="H5" s="226">
        <v>27.99</v>
      </c>
      <c r="I5" s="227">
        <f t="shared" si="0"/>
        <v>2.33886219974715</v>
      </c>
      <c r="J5" s="236">
        <f t="shared" si="1"/>
        <v>0.11137439046415</v>
      </c>
      <c r="K5" s="229">
        <f t="shared" si="2"/>
        <v>0.2497320471597</v>
      </c>
      <c r="L5" s="228">
        <f>(H5-G5+AA5-Y5)/(H5-Y5)</f>
        <v>0.341666666666667</v>
      </c>
      <c r="M5" s="227">
        <f t="shared" si="3"/>
        <v>6.99</v>
      </c>
      <c r="N5" s="230">
        <f t="shared" si="4"/>
        <v>49.7079646017699</v>
      </c>
      <c r="O5" s="226">
        <v>1</v>
      </c>
      <c r="P5" s="224">
        <v>54</v>
      </c>
      <c r="Q5" s="224">
        <v>7</v>
      </c>
      <c r="R5" s="231">
        <v>0.15</v>
      </c>
      <c r="S5" s="231">
        <f t="shared" si="5"/>
        <v>0.132857142857143</v>
      </c>
      <c r="T5" s="231">
        <v>0.01</v>
      </c>
      <c r="U5" s="228">
        <f t="shared" si="6"/>
        <v>0.338149419059659</v>
      </c>
      <c r="V5" s="231">
        <f t="shared" si="7"/>
        <v>0.0476190476190476</v>
      </c>
      <c r="W5" s="228">
        <f t="shared" si="8"/>
        <v>0.21</v>
      </c>
      <c r="X5" s="232">
        <f t="shared" si="9"/>
        <v>3.15</v>
      </c>
      <c r="Y5" s="237">
        <v>2.79</v>
      </c>
      <c r="Z5" s="232">
        <f t="shared" si="10"/>
        <v>0.21</v>
      </c>
      <c r="AA5" s="233">
        <f t="shared" si="11"/>
        <v>4.41</v>
      </c>
      <c r="AB5" s="234">
        <v>46</v>
      </c>
      <c r="AC5" s="234">
        <f t="shared" si="12"/>
        <v>40.7079646017699</v>
      </c>
      <c r="AD5" s="230">
        <v>9</v>
      </c>
      <c r="AE5" s="231">
        <f t="shared" si="13"/>
        <v>0.276924929263741</v>
      </c>
      <c r="AF5" s="231">
        <f t="shared" si="14"/>
        <v>0.0612244897959184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</row>
    <row r="6" ht="13.2" spans="1:66">
      <c r="A6" s="224" t="s">
        <v>473</v>
      </c>
      <c r="B6" s="224" t="s">
        <v>477</v>
      </c>
      <c r="C6" s="224" t="s">
        <v>478</v>
      </c>
      <c r="D6" s="225" t="s">
        <v>479</v>
      </c>
      <c r="E6" s="224" t="s">
        <v>275</v>
      </c>
      <c r="F6" s="226" t="s">
        <v>474</v>
      </c>
      <c r="G6" s="227">
        <v>21</v>
      </c>
      <c r="H6" s="226">
        <v>27.99</v>
      </c>
      <c r="I6" s="227">
        <f t="shared" si="0"/>
        <v>0.828862199747155</v>
      </c>
      <c r="J6" s="236">
        <f t="shared" si="1"/>
        <v>0.0394696285593883</v>
      </c>
      <c r="K6" s="229">
        <f t="shared" si="2"/>
        <v>0.2497320471597</v>
      </c>
      <c r="L6" s="228">
        <f>(H6-G6+AA6-Y6)/(H6-Y6)</f>
        <v>0.299704516673702</v>
      </c>
      <c r="M6" s="227">
        <f t="shared" si="3"/>
        <v>6.99</v>
      </c>
      <c r="N6" s="230">
        <f t="shared" si="4"/>
        <v>49.7079646017699</v>
      </c>
      <c r="O6" s="226">
        <v>1</v>
      </c>
      <c r="P6" s="224">
        <v>54</v>
      </c>
      <c r="Q6" s="224">
        <v>7</v>
      </c>
      <c r="R6" s="231">
        <v>0.15</v>
      </c>
      <c r="S6" s="231">
        <f t="shared" si="5"/>
        <v>0.204761904761905</v>
      </c>
      <c r="T6" s="231">
        <v>0.01</v>
      </c>
      <c r="U6" s="228">
        <f t="shared" si="6"/>
        <v>0.338149419059659</v>
      </c>
      <c r="V6" s="231">
        <f t="shared" si="7"/>
        <v>0.0476190476190476</v>
      </c>
      <c r="W6" s="228">
        <f t="shared" si="8"/>
        <v>0.21</v>
      </c>
      <c r="X6" s="232">
        <f t="shared" si="9"/>
        <v>3.15</v>
      </c>
      <c r="Y6" s="237">
        <v>4.3</v>
      </c>
      <c r="Z6" s="232">
        <f t="shared" si="10"/>
        <v>0.21</v>
      </c>
      <c r="AA6" s="233">
        <f t="shared" si="11"/>
        <v>4.41</v>
      </c>
      <c r="AB6" s="234">
        <v>46</v>
      </c>
      <c r="AC6" s="234">
        <f t="shared" si="12"/>
        <v>40.7079646017699</v>
      </c>
      <c r="AD6" s="230">
        <v>9</v>
      </c>
      <c r="AE6" s="231">
        <f t="shared" si="13"/>
        <v>0.276924929263741</v>
      </c>
      <c r="AF6" s="231">
        <f t="shared" si="14"/>
        <v>0.0612244897959184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</row>
    <row r="7" ht="13.2" spans="1:66">
      <c r="A7" s="224" t="s">
        <v>475</v>
      </c>
      <c r="B7" s="224" t="s">
        <v>477</v>
      </c>
      <c r="C7" s="224" t="s">
        <v>478</v>
      </c>
      <c r="D7" s="225" t="s">
        <v>479</v>
      </c>
      <c r="E7" s="224" t="s">
        <v>275</v>
      </c>
      <c r="F7" s="226" t="s">
        <v>476</v>
      </c>
      <c r="G7" s="227">
        <v>19</v>
      </c>
      <c r="H7" s="226">
        <v>34.99</v>
      </c>
      <c r="I7" s="227">
        <f t="shared" si="0"/>
        <v>7.52457648546144</v>
      </c>
      <c r="J7" s="228">
        <f t="shared" si="1"/>
        <v>0.396030341340076</v>
      </c>
      <c r="K7" s="229">
        <f t="shared" si="2"/>
        <v>0.456987710774507</v>
      </c>
      <c r="L7" s="228">
        <f>(H7-G7+AA7-Y7)/(H7-Y7)</f>
        <v>0.406064395123476</v>
      </c>
      <c r="M7" s="227">
        <f t="shared" si="3"/>
        <v>15.99</v>
      </c>
      <c r="N7" s="230">
        <f t="shared" si="4"/>
        <v>40.7079646017699</v>
      </c>
      <c r="O7" s="226">
        <v>0</v>
      </c>
      <c r="P7" s="224">
        <v>54</v>
      </c>
      <c r="Q7" s="224">
        <v>7</v>
      </c>
      <c r="R7" s="231">
        <v>0.13</v>
      </c>
      <c r="S7" s="231">
        <f t="shared" si="5"/>
        <v>0.157894736842105</v>
      </c>
      <c r="T7" s="231">
        <v>0.01</v>
      </c>
      <c r="U7" s="228">
        <f t="shared" si="6"/>
        <v>0.306074921817819</v>
      </c>
      <c r="V7" s="231">
        <f t="shared" si="7"/>
        <v>0</v>
      </c>
      <c r="W7" s="228">
        <f t="shared" si="8"/>
        <v>0</v>
      </c>
      <c r="X7" s="232">
        <f t="shared" si="9"/>
        <v>2.47</v>
      </c>
      <c r="Y7" s="232">
        <v>3</v>
      </c>
      <c r="Z7" s="232">
        <f t="shared" si="10"/>
        <v>0.19</v>
      </c>
      <c r="AA7" s="233">
        <f t="shared" si="11"/>
        <v>0</v>
      </c>
      <c r="AB7" s="234">
        <v>46</v>
      </c>
      <c r="AC7" s="234">
        <f t="shared" si="12"/>
        <v>40.7079646017699</v>
      </c>
      <c r="AD7" s="230">
        <v>0</v>
      </c>
      <c r="AE7" s="231">
        <f t="shared" si="13"/>
        <v>0.306074921817819</v>
      </c>
      <c r="AF7" s="231">
        <f t="shared" si="14"/>
        <v>0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</row>
    <row r="8" ht="13.2" spans="1:66">
      <c r="A8" s="235" t="s">
        <v>473</v>
      </c>
      <c r="B8" s="224" t="s">
        <v>159</v>
      </c>
      <c r="C8" s="175" t="s">
        <v>58</v>
      </c>
      <c r="D8" s="238" t="s">
        <v>480</v>
      </c>
      <c r="E8" s="224" t="s">
        <v>275</v>
      </c>
      <c r="F8" s="226" t="s">
        <v>474</v>
      </c>
      <c r="G8" s="239">
        <v>34.5</v>
      </c>
      <c r="H8" s="240">
        <v>44.99</v>
      </c>
      <c r="I8" s="227">
        <f t="shared" si="0"/>
        <v>6.3328824273072</v>
      </c>
      <c r="J8" s="228">
        <f t="shared" si="1"/>
        <v>0.183561809487165</v>
      </c>
      <c r="K8" s="229">
        <f t="shared" si="2"/>
        <v>0.233162925094465</v>
      </c>
      <c r="L8" s="228">
        <f>(H8-G8+AA8)/(H8)</f>
        <v>0.394198710824628</v>
      </c>
      <c r="M8" s="227">
        <f t="shared" si="3"/>
        <v>10.49</v>
      </c>
      <c r="N8" s="230">
        <f t="shared" si="4"/>
        <v>98.5398230088496</v>
      </c>
      <c r="O8" s="226">
        <v>1.5</v>
      </c>
      <c r="P8" s="224">
        <v>4</v>
      </c>
      <c r="Q8" s="224">
        <v>7</v>
      </c>
      <c r="R8" s="231">
        <f>X8/G8</f>
        <v>0.144927536231884</v>
      </c>
      <c r="S8" s="231">
        <f t="shared" si="5"/>
        <v>0</v>
      </c>
      <c r="T8" s="231">
        <v>0.01</v>
      </c>
      <c r="U8" s="228">
        <f t="shared" si="6"/>
        <v>0.408032393411385</v>
      </c>
      <c r="V8" s="231">
        <f t="shared" si="7"/>
        <v>0.0434782608695652</v>
      </c>
      <c r="W8" s="228">
        <f t="shared" si="8"/>
        <v>0.21</v>
      </c>
      <c r="X8" s="232">
        <v>5</v>
      </c>
      <c r="Y8" s="232">
        <f>H8*0</f>
        <v>0</v>
      </c>
      <c r="Z8" s="232">
        <f t="shared" si="10"/>
        <v>0.345</v>
      </c>
      <c r="AA8" s="233">
        <f t="shared" si="11"/>
        <v>7.245</v>
      </c>
      <c r="AB8" s="234">
        <v>94.4</v>
      </c>
      <c r="AC8" s="234">
        <f t="shared" si="12"/>
        <v>83.5398230088496</v>
      </c>
      <c r="AD8" s="230">
        <v>15</v>
      </c>
      <c r="AE8" s="231">
        <f t="shared" si="13"/>
        <v>0.345920592169149</v>
      </c>
      <c r="AF8" s="231">
        <f t="shared" si="14"/>
        <v>0.062111801242236</v>
      </c>
    </row>
    <row r="9" ht="13.2" spans="1:66">
      <c r="A9" s="235" t="s">
        <v>473</v>
      </c>
      <c r="B9" s="224" t="s">
        <v>159</v>
      </c>
      <c r="C9" s="175" t="s">
        <v>58</v>
      </c>
      <c r="D9" s="238" t="s">
        <v>481</v>
      </c>
      <c r="E9" s="224" t="s">
        <v>275</v>
      </c>
      <c r="F9" s="226" t="s">
        <v>474</v>
      </c>
      <c r="G9" s="227">
        <v>34.5</v>
      </c>
      <c r="H9" s="226">
        <v>44.99</v>
      </c>
      <c r="I9" s="227">
        <f t="shared" si="0"/>
        <v>4.0833824273072</v>
      </c>
      <c r="J9" s="228">
        <f t="shared" si="1"/>
        <v>0.118358910936441</v>
      </c>
      <c r="K9" s="229">
        <f t="shared" si="2"/>
        <v>0.233162925094465</v>
      </c>
      <c r="L9" s="228">
        <f>(H9-G9+AA9)/(H9)</f>
        <v>0.394198710824628</v>
      </c>
      <c r="M9" s="227">
        <f t="shared" si="3"/>
        <v>10.49</v>
      </c>
      <c r="N9" s="230">
        <f t="shared" si="4"/>
        <v>98.5398230088496</v>
      </c>
      <c r="O9" s="226">
        <v>1.5</v>
      </c>
      <c r="P9" s="224">
        <v>4</v>
      </c>
      <c r="Q9" s="224">
        <v>7</v>
      </c>
      <c r="R9" s="231">
        <f>X9/G9</f>
        <v>0.144927536231884</v>
      </c>
      <c r="S9" s="231">
        <f t="shared" si="5"/>
        <v>0.0652028985507246</v>
      </c>
      <c r="T9" s="231">
        <v>0.01</v>
      </c>
      <c r="U9" s="228">
        <f t="shared" si="6"/>
        <v>0.408032393411385</v>
      </c>
      <c r="V9" s="231">
        <f t="shared" si="7"/>
        <v>0.0434782608695652</v>
      </c>
      <c r="W9" s="228">
        <f t="shared" si="8"/>
        <v>0.21</v>
      </c>
      <c r="X9" s="232">
        <v>5</v>
      </c>
      <c r="Y9" s="232">
        <f>H9*0.05</f>
        <v>2.2495</v>
      </c>
      <c r="Z9" s="232">
        <f t="shared" si="10"/>
        <v>0.345</v>
      </c>
      <c r="AA9" s="233">
        <f t="shared" si="11"/>
        <v>7.245</v>
      </c>
      <c r="AB9" s="234">
        <v>94.4</v>
      </c>
      <c r="AC9" s="234">
        <f t="shared" si="12"/>
        <v>83.5398230088496</v>
      </c>
      <c r="AD9" s="230">
        <v>15</v>
      </c>
      <c r="AE9" s="231">
        <f t="shared" si="13"/>
        <v>0.345920592169149</v>
      </c>
      <c r="AF9" s="231">
        <f t="shared" si="14"/>
        <v>0.062111801242236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</row>
    <row r="10" ht="13.2" spans="1:66">
      <c r="A10" s="235" t="s">
        <v>473</v>
      </c>
      <c r="B10" s="224" t="s">
        <v>159</v>
      </c>
      <c r="C10" s="175" t="s">
        <v>58</v>
      </c>
      <c r="D10" s="238" t="s">
        <v>482</v>
      </c>
      <c r="E10" s="224" t="s">
        <v>275</v>
      </c>
      <c r="F10" s="226" t="s">
        <v>474</v>
      </c>
      <c r="G10" s="227">
        <v>34.5</v>
      </c>
      <c r="H10" s="226">
        <v>44.99</v>
      </c>
      <c r="I10" s="227">
        <f t="shared" si="0"/>
        <v>1.8338824273072</v>
      </c>
      <c r="J10" s="228">
        <f t="shared" si="1"/>
        <v>0.053156012385716</v>
      </c>
      <c r="K10" s="229">
        <f t="shared" si="2"/>
        <v>0.233162925094465</v>
      </c>
      <c r="L10" s="228">
        <f>(H10-G10+AA10)/(H10)</f>
        <v>0.394198710824628</v>
      </c>
      <c r="M10" s="227">
        <f t="shared" si="3"/>
        <v>10.49</v>
      </c>
      <c r="N10" s="230">
        <f t="shared" si="4"/>
        <v>98.5398230088496</v>
      </c>
      <c r="O10" s="226">
        <v>1.5</v>
      </c>
      <c r="P10" s="224">
        <v>4</v>
      </c>
      <c r="Q10" s="224">
        <v>7</v>
      </c>
      <c r="R10" s="231">
        <f>X10/G10</f>
        <v>0.144927536231884</v>
      </c>
      <c r="S10" s="231">
        <f t="shared" si="5"/>
        <v>0.130405797101449</v>
      </c>
      <c r="T10" s="231">
        <v>0.01</v>
      </c>
      <c r="U10" s="228">
        <f t="shared" si="6"/>
        <v>0.408032393411385</v>
      </c>
      <c r="V10" s="231">
        <f t="shared" si="7"/>
        <v>0.0434782608695652</v>
      </c>
      <c r="W10" s="228">
        <f t="shared" si="8"/>
        <v>0.21</v>
      </c>
      <c r="X10" s="232">
        <v>5</v>
      </c>
      <c r="Y10" s="232">
        <f>H10*0.1</f>
        <v>4.499</v>
      </c>
      <c r="Z10" s="232">
        <f t="shared" si="10"/>
        <v>0.345</v>
      </c>
      <c r="AA10" s="233">
        <f t="shared" si="11"/>
        <v>7.245</v>
      </c>
      <c r="AB10" s="234">
        <v>94.4</v>
      </c>
      <c r="AC10" s="234">
        <f t="shared" si="12"/>
        <v>83.5398230088496</v>
      </c>
      <c r="AD10" s="230">
        <v>15</v>
      </c>
      <c r="AE10" s="231">
        <f t="shared" si="13"/>
        <v>0.345920592169149</v>
      </c>
      <c r="AF10" s="231">
        <f t="shared" si="14"/>
        <v>0.062111801242236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</row>
    <row r="11" ht="13.2" spans="1:66">
      <c r="A11" s="235" t="s">
        <v>473</v>
      </c>
      <c r="B11" s="224" t="s">
        <v>159</v>
      </c>
      <c r="C11" s="175" t="s">
        <v>58</v>
      </c>
      <c r="D11" s="238" t="s">
        <v>483</v>
      </c>
      <c r="E11" s="224" t="s">
        <v>275</v>
      </c>
      <c r="F11" s="226" t="s">
        <v>474</v>
      </c>
      <c r="G11" s="227">
        <v>34.5</v>
      </c>
      <c r="H11" s="226">
        <v>44.99</v>
      </c>
      <c r="I11" s="227">
        <f t="shared" si="0"/>
        <v>-0.415617572692796</v>
      </c>
      <c r="J11" s="228">
        <f t="shared" si="1"/>
        <v>-0.0120468861650086</v>
      </c>
      <c r="K11" s="229">
        <f t="shared" si="2"/>
        <v>0.233162925094465</v>
      </c>
      <c r="L11" s="228">
        <f>(H11-G11+AA11)/(H11)</f>
        <v>0.394198710824628</v>
      </c>
      <c r="M11" s="227">
        <f t="shared" si="3"/>
        <v>10.49</v>
      </c>
      <c r="N11" s="230">
        <f t="shared" si="4"/>
        <v>98.5398230088496</v>
      </c>
      <c r="O11" s="226">
        <v>1.5</v>
      </c>
      <c r="P11" s="224">
        <v>4</v>
      </c>
      <c r="Q11" s="224">
        <v>7</v>
      </c>
      <c r="R11" s="231">
        <f>X11/G11</f>
        <v>0.144927536231884</v>
      </c>
      <c r="S11" s="231">
        <f t="shared" si="5"/>
        <v>0.195608695652174</v>
      </c>
      <c r="T11" s="231">
        <v>0.01</v>
      </c>
      <c r="U11" s="228">
        <f t="shared" si="6"/>
        <v>0.408032393411385</v>
      </c>
      <c r="V11" s="231">
        <f t="shared" si="7"/>
        <v>0.0434782608695652</v>
      </c>
      <c r="W11" s="228">
        <f t="shared" si="8"/>
        <v>0.21</v>
      </c>
      <c r="X11" s="232">
        <v>5</v>
      </c>
      <c r="Y11" s="232">
        <f>H11*0.15</f>
        <v>6.7485</v>
      </c>
      <c r="Z11" s="232">
        <f t="shared" si="10"/>
        <v>0.345</v>
      </c>
      <c r="AA11" s="233">
        <f t="shared" si="11"/>
        <v>7.245</v>
      </c>
      <c r="AB11" s="234">
        <v>94.4</v>
      </c>
      <c r="AC11" s="234">
        <f t="shared" si="12"/>
        <v>83.5398230088496</v>
      </c>
      <c r="AD11" s="230">
        <v>15</v>
      </c>
      <c r="AE11" s="231">
        <f t="shared" si="13"/>
        <v>0.345920592169149</v>
      </c>
      <c r="AF11" s="231">
        <f t="shared" si="14"/>
        <v>0.062111801242236</v>
      </c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</row>
    <row r="12" ht="13.2" spans="1:66">
      <c r="A12" s="235" t="s">
        <v>475</v>
      </c>
      <c r="B12" s="224" t="s">
        <v>159</v>
      </c>
      <c r="C12" s="122" t="s">
        <v>58</v>
      </c>
      <c r="D12" s="225" t="s">
        <v>61</v>
      </c>
      <c r="E12" s="224" t="s">
        <v>275</v>
      </c>
      <c r="F12" s="226" t="s">
        <v>476</v>
      </c>
      <c r="G12" s="227">
        <v>40</v>
      </c>
      <c r="H12" s="226">
        <v>49.99</v>
      </c>
      <c r="I12" s="227">
        <f t="shared" si="0"/>
        <v>12.4657395701643</v>
      </c>
      <c r="J12" s="228">
        <f t="shared" si="1"/>
        <v>0.311643489254109</v>
      </c>
      <c r="K12" s="229">
        <f t="shared" si="2"/>
        <v>0.199839967993599</v>
      </c>
      <c r="L12" s="228">
        <f>(H12-G12+AA12-Y12)/(H12-Y12)</f>
        <v>-0.000250062515628857</v>
      </c>
      <c r="M12" s="227">
        <f t="shared" si="3"/>
        <v>9.99</v>
      </c>
      <c r="N12" s="230">
        <f t="shared" si="4"/>
        <v>83.5398230088496</v>
      </c>
      <c r="O12" s="226">
        <v>0</v>
      </c>
      <c r="P12" s="224">
        <v>4</v>
      </c>
      <c r="Q12" s="224">
        <v>7</v>
      </c>
      <c r="R12" s="231">
        <v>0.13</v>
      </c>
      <c r="S12" s="231">
        <f t="shared" si="5"/>
        <v>0.25</v>
      </c>
      <c r="T12" s="231">
        <v>0.01</v>
      </c>
      <c r="U12" s="228">
        <f t="shared" si="6"/>
        <v>0.298356510745891</v>
      </c>
      <c r="V12" s="231">
        <f t="shared" si="7"/>
        <v>0</v>
      </c>
      <c r="W12" s="228">
        <f t="shared" si="8"/>
        <v>0</v>
      </c>
      <c r="X12" s="232">
        <f>G12*R12</f>
        <v>5.2</v>
      </c>
      <c r="Y12" s="232">
        <v>10</v>
      </c>
      <c r="Z12" s="232">
        <f t="shared" si="10"/>
        <v>0.4</v>
      </c>
      <c r="AA12" s="233">
        <f t="shared" si="11"/>
        <v>0</v>
      </c>
      <c r="AB12" s="234">
        <v>94.4</v>
      </c>
      <c r="AC12" s="234">
        <f t="shared" si="12"/>
        <v>83.5398230088496</v>
      </c>
      <c r="AD12" s="230">
        <v>0</v>
      </c>
      <c r="AE12" s="231">
        <f t="shared" si="13"/>
        <v>0.298356510745891</v>
      </c>
      <c r="AF12" s="231">
        <f t="shared" si="14"/>
        <v>0</v>
      </c>
    </row>
    <row r="13" ht="29.05" customHeight="1" spans="1:66">
      <c r="A13" s="15"/>
      <c r="D13" s="15"/>
    </row>
    <row r="14" spans="1:66">
      <c r="A14" s="15"/>
    </row>
    <row r="15" spans="1:66">
      <c r="A15" s="15"/>
    </row>
    <row r="16" spans="1:66">
      <c r="A16" s="15"/>
    </row>
    <row r="17" spans="1:1">
      <c r="A17" s="15"/>
    </row>
    <row r="18" spans="1:1">
      <c r="A18" s="15"/>
    </row>
    <row r="19" spans="1:1">
      <c r="A19" s="15"/>
    </row>
    <row r="20" spans="1:1">
      <c r="A20" s="15"/>
    </row>
    <row r="21" spans="1:1">
      <c r="A21" s="15"/>
    </row>
    <row r="22" spans="1:1">
      <c r="A22" s="15"/>
    </row>
    <row r="23" spans="1:1">
      <c r="A23" s="15"/>
    </row>
    <row r="24" spans="1:1">
      <c r="A24" s="15"/>
    </row>
    <row r="25" spans="1:1">
      <c r="A25" s="15"/>
    </row>
    <row r="26" spans="1:1">
      <c r="A26" s="15"/>
    </row>
    <row r="27" spans="1:1">
      <c r="A27" s="15"/>
    </row>
    <row r="28" spans="1:1">
      <c r="A28" s="15"/>
    </row>
    <row r="29" spans="1:1">
      <c r="A29" s="15"/>
    </row>
    <row r="30" spans="1:1">
      <c r="A30" s="15"/>
    </row>
    <row r="31" spans="1:1">
      <c r="A31" s="15"/>
    </row>
    <row r="32" spans="1:1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08" spans="1:1">
      <c r="A108" s="15"/>
    </row>
    <row r="109" spans="1:1">
      <c r="A109" s="15"/>
    </row>
    <row r="110" spans="1:1">
      <c r="A110" s="15"/>
    </row>
    <row r="111" spans="1:1">
      <c r="A111" s="15"/>
    </row>
    <row r="112" spans="1:1">
      <c r="A112" s="15"/>
    </row>
    <row r="113" spans="1:1">
      <c r="A113" s="15"/>
    </row>
    <row r="114" spans="1:1">
      <c r="A114" s="15"/>
    </row>
    <row r="115" spans="1:1">
      <c r="A115" s="15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23" spans="1:1">
      <c r="A123" s="15"/>
    </row>
    <row r="124" spans="1:1">
      <c r="A124" s="15"/>
    </row>
    <row r="125" spans="1:1">
      <c r="A125" s="15"/>
    </row>
    <row r="126" spans="1:1">
      <c r="A126" s="15"/>
    </row>
    <row r="127" spans="1:1">
      <c r="A127" s="15"/>
    </row>
    <row r="128" spans="1:1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  <row r="133" spans="1:1">
      <c r="A133" s="15"/>
    </row>
    <row r="134" spans="1:1">
      <c r="A134" s="15"/>
    </row>
    <row r="135" spans="1:1">
      <c r="A135" s="15"/>
    </row>
    <row r="136" spans="1:1">
      <c r="A136" s="15"/>
    </row>
    <row r="137" spans="1:1">
      <c r="A137" s="15"/>
    </row>
    <row r="138" spans="1:1">
      <c r="A138" s="15"/>
    </row>
    <row r="139" spans="1:1">
      <c r="A139" s="15"/>
    </row>
    <row r="140" spans="1:1">
      <c r="A140" s="15"/>
    </row>
    <row r="141" spans="1:1">
      <c r="A141" s="15"/>
    </row>
    <row r="142" spans="1:1">
      <c r="A142" s="15"/>
    </row>
    <row r="143" spans="1:1">
      <c r="A143" s="15"/>
    </row>
    <row r="144" spans="1:1">
      <c r="A144" s="15"/>
    </row>
    <row r="145" spans="1:1">
      <c r="A145" s="15"/>
    </row>
    <row r="146" spans="1:1">
      <c r="A146" s="15"/>
    </row>
    <row r="147" spans="1:1">
      <c r="A147" s="15"/>
    </row>
    <row r="148" spans="1:1">
      <c r="A148" s="15"/>
    </row>
    <row r="149" spans="1:1">
      <c r="A149" s="15"/>
    </row>
    <row r="150" spans="1:1">
      <c r="A150" s="15"/>
    </row>
    <row r="151" spans="1:1">
      <c r="A151" s="15"/>
    </row>
    <row r="152" spans="1:1">
      <c r="A152" s="15"/>
    </row>
    <row r="153" spans="1:1">
      <c r="A153" s="15"/>
    </row>
    <row r="154" spans="1:1">
      <c r="A154" s="15"/>
    </row>
    <row r="155" spans="1:1">
      <c r="A155" s="15"/>
    </row>
    <row r="156" spans="1:1">
      <c r="A156" s="15"/>
    </row>
    <row r="157" spans="1:1">
      <c r="A157" s="15"/>
    </row>
    <row r="158" spans="1:1">
      <c r="A158" s="15"/>
    </row>
    <row r="159" spans="1:1">
      <c r="A159" s="15"/>
    </row>
    <row r="160" spans="1:1">
      <c r="A160" s="15"/>
    </row>
    <row r="161" spans="1:1">
      <c r="A161" s="15"/>
    </row>
    <row r="162" spans="1:1">
      <c r="A162" s="15"/>
    </row>
    <row r="163" spans="1:1">
      <c r="A163" s="15"/>
    </row>
    <row r="164" spans="1:1">
      <c r="A164" s="15"/>
    </row>
    <row r="165" spans="1:1">
      <c r="A165" s="15"/>
    </row>
    <row r="166" spans="1:1">
      <c r="A166" s="15"/>
    </row>
    <row r="167" spans="1:1">
      <c r="A167" s="15"/>
    </row>
    <row r="168" spans="1:1">
      <c r="A168" s="15"/>
    </row>
    <row r="169" spans="1:1">
      <c r="A169" s="15"/>
    </row>
    <row r="170" spans="1:1">
      <c r="A170" s="15"/>
    </row>
    <row r="171" spans="1:1">
      <c r="A171" s="15"/>
    </row>
    <row r="172" spans="1:1">
      <c r="A172" s="15"/>
    </row>
    <row r="173" spans="1:1">
      <c r="A173" s="15"/>
    </row>
    <row r="174" spans="1:1">
      <c r="A174" s="15"/>
    </row>
    <row r="175" spans="1:1">
      <c r="A175" s="15"/>
    </row>
    <row r="176" spans="1:1">
      <c r="A176" s="15"/>
    </row>
    <row r="177" spans="1:1">
      <c r="A177" s="15"/>
    </row>
    <row r="178" spans="1:1">
      <c r="A178" s="15"/>
    </row>
    <row r="179" spans="1:1">
      <c r="A179" s="15"/>
    </row>
    <row r="180" spans="1:1">
      <c r="A180" s="15"/>
    </row>
    <row r="181" spans="1:1">
      <c r="A181" s="15"/>
    </row>
    <row r="182" spans="1:1">
      <c r="A182" s="15"/>
    </row>
    <row r="183" spans="1:1">
      <c r="A183" s="15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</sheetData>
  <conditionalFormatting sqref="C1">
    <cfRule type="duplicateValues" dxfId="0" priority="1"/>
  </conditionalFormatting>
  <pageMargins left="0.7" right="0.7" top="0.75" bottom="0.75" header="0.3" footer="0.3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304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7" defaultRowHeight="11.4"/>
  <cols>
    <col min="1" max="1" width="35.2708333333333" customWidth="1"/>
    <col min="2" max="2" width="5.40625" customWidth="1"/>
    <col min="3" max="3" width="4.70833333333333" customWidth="1"/>
    <col min="4" max="4" width="6.45833333333333" customWidth="1"/>
    <col min="5" max="5" width="8.20833333333333" customWidth="1"/>
    <col min="6" max="6" width="15.0208333333333" customWidth="1"/>
    <col min="7" max="7" width="16.59375" customWidth="1"/>
    <col min="8" max="8" width="10.3020833333333" customWidth="1"/>
    <col min="9" max="9" width="11.6979166666667" customWidth="1"/>
    <col min="10" max="10" width="11.1666666666667" customWidth="1"/>
    <col min="11" max="11" width="9.08333333333333" customWidth="1"/>
    <col min="12" max="12" width="10.8333333333333" customWidth="1"/>
    <col min="13" max="13" width="11.6979166666667" customWidth="1"/>
    <col min="14" max="14" width="12.3958333333333" customWidth="1"/>
    <col min="15" max="15" width="13.2708333333333" customWidth="1"/>
    <col min="16" max="16" width="12.0520833333333" customWidth="1"/>
    <col min="17" max="17" width="12.3958333333333" customWidth="1"/>
    <col min="18" max="23" width="10.3020833333333" hidden="1" customWidth="1"/>
    <col min="24" max="24" width="11.875" hidden="1" customWidth="1"/>
    <col min="25" max="25" width="8.5625" hidden="1" customWidth="1"/>
    <col min="26" max="27" width="9.78125" customWidth="1"/>
    <col min="28" max="28" width="11.3541666666667" customWidth="1"/>
    <col min="29" max="29" width="35.4375" customWidth="1"/>
    <col min="30" max="30" width="19.5625" customWidth="1"/>
    <col min="31" max="31" width="12.21875" customWidth="1"/>
    <col min="32" max="75" width="16.59375" customWidth="1"/>
  </cols>
  <sheetData>
    <row r="1" ht="13.2" spans="1:75">
      <c r="A1" s="184" t="s">
        <v>130</v>
      </c>
      <c r="B1" s="185" t="s">
        <v>135</v>
      </c>
      <c r="C1" s="185" t="s">
        <v>484</v>
      </c>
      <c r="D1" s="185" t="s">
        <v>485</v>
      </c>
      <c r="E1" s="185" t="s">
        <v>486</v>
      </c>
      <c r="F1" s="186" t="s">
        <v>487</v>
      </c>
      <c r="G1" s="186" t="s">
        <v>488</v>
      </c>
      <c r="H1" s="185" t="s">
        <v>489</v>
      </c>
      <c r="I1" s="186" t="s">
        <v>138</v>
      </c>
      <c r="J1" s="185" t="s">
        <v>490</v>
      </c>
      <c r="K1" s="185" t="s">
        <v>491</v>
      </c>
      <c r="L1" s="185" t="s">
        <v>492</v>
      </c>
      <c r="M1" s="185" t="s">
        <v>434</v>
      </c>
      <c r="N1" s="185" t="s">
        <v>493</v>
      </c>
      <c r="O1" s="187" t="s">
        <v>494</v>
      </c>
      <c r="P1" s="185" t="s">
        <v>495</v>
      </c>
      <c r="Q1" s="188" t="s">
        <v>496</v>
      </c>
      <c r="R1" s="185" t="s">
        <v>131</v>
      </c>
      <c r="S1" s="185" t="s">
        <v>132</v>
      </c>
      <c r="T1" s="185" t="s">
        <v>133</v>
      </c>
      <c r="U1" s="185" t="s">
        <v>497</v>
      </c>
      <c r="V1" s="186" t="s">
        <v>14</v>
      </c>
      <c r="W1" s="186" t="s">
        <v>498</v>
      </c>
      <c r="X1" s="185" t="s">
        <v>499</v>
      </c>
      <c r="Y1" s="189" t="s">
        <v>500</v>
      </c>
      <c r="Z1" s="190" t="s">
        <v>501</v>
      </c>
      <c r="AA1" s="186" t="s">
        <v>502</v>
      </c>
      <c r="AB1" s="187" t="s">
        <v>503</v>
      </c>
      <c r="AC1" s="191" t="s">
        <v>504</v>
      </c>
      <c r="AD1" s="192" t="s">
        <v>432</v>
      </c>
      <c r="AE1" s="185" t="s">
        <v>150</v>
      </c>
      <c r="AF1" s="185" t="s">
        <v>151</v>
      </c>
      <c r="AG1" s="185" t="s">
        <v>153</v>
      </c>
      <c r="AH1" s="185" t="s">
        <v>154</v>
      </c>
      <c r="AI1" s="185" t="s">
        <v>433</v>
      </c>
      <c r="AJ1" s="185" t="s">
        <v>434</v>
      </c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4"/>
      <c r="AX1" s="184"/>
      <c r="AY1" s="184"/>
      <c r="AZ1" s="184"/>
      <c r="BA1" s="184"/>
      <c r="BB1" s="184"/>
      <c r="BC1" s="184"/>
      <c r="BD1" s="184"/>
      <c r="BE1" s="184"/>
      <c r="BF1" s="184"/>
      <c r="BG1" s="184"/>
      <c r="BH1" s="184"/>
      <c r="BI1" s="184"/>
      <c r="BJ1" s="184"/>
      <c r="BK1" s="184"/>
      <c r="BL1" s="184"/>
      <c r="BM1" s="184"/>
      <c r="BN1" s="184"/>
      <c r="BO1" s="184"/>
      <c r="BP1" s="184"/>
      <c r="BQ1" s="184"/>
      <c r="BR1" s="184"/>
      <c r="BS1" s="184"/>
      <c r="BT1" s="184"/>
      <c r="BU1" s="184"/>
      <c r="BV1" s="184"/>
      <c r="BW1" s="184"/>
    </row>
    <row r="2" spans="1:75">
      <c r="A2" s="22" t="s">
        <v>505</v>
      </c>
      <c r="B2" s="20">
        <v>8</v>
      </c>
      <c r="C2" s="20" t="s">
        <v>506</v>
      </c>
      <c r="D2" s="20" t="s">
        <v>277</v>
      </c>
      <c r="E2" s="20" t="s">
        <v>507</v>
      </c>
      <c r="F2" s="193">
        <f>IF(E2="有",(I2/B2+J2+Z2/B2)/(0.99999-K2-L2-M2-N2),(I2/B2+J2+Z2/B2)/(0.99999-K2-M2-N2))</f>
        <v>46.4473385069794</v>
      </c>
      <c r="G2" s="193">
        <f>IF(E2="有",(I2/B2+J2+Z2/B2)/(0.8-K2-L2-M2-N2-O2-P2),(I2/B2+J2+Z2/B2)/(0.8-K2-M2-N2-O2-P2))</f>
        <v>82.1949107124526</v>
      </c>
      <c r="H2" s="194">
        <v>84.99</v>
      </c>
      <c r="I2" s="193">
        <f>138.5/1.13</f>
        <v>122.566371681416</v>
      </c>
      <c r="J2" s="20">
        <v>5.69</v>
      </c>
      <c r="K2" s="18">
        <v>0.15</v>
      </c>
      <c r="L2" s="18">
        <v>0.16</v>
      </c>
      <c r="M2" s="18">
        <v>0.05</v>
      </c>
      <c r="N2" s="18">
        <f>Q2/H2</f>
        <v>0.117660901282504</v>
      </c>
      <c r="O2" s="195">
        <f>0.61/H2</f>
        <v>0.00717731497823273</v>
      </c>
      <c r="P2" s="18">
        <v>0.02</v>
      </c>
      <c r="Q2" s="193">
        <v>10</v>
      </c>
      <c r="R2" s="14">
        <v>33.5</v>
      </c>
      <c r="S2" s="14">
        <v>26.5</v>
      </c>
      <c r="T2" s="14">
        <v>25</v>
      </c>
      <c r="U2" s="14">
        <v>2.3</v>
      </c>
      <c r="V2" s="193">
        <f>R2*S2*T2/6000</f>
        <v>3.69895833333333</v>
      </c>
      <c r="W2" s="193">
        <f>MAX(U2:V2)</f>
        <v>3.69895833333333</v>
      </c>
      <c r="X2" s="14" t="s">
        <v>21</v>
      </c>
      <c r="Y2" s="196">
        <v>5.55136</v>
      </c>
      <c r="Z2" s="197">
        <v>26</v>
      </c>
      <c r="AA2" s="193">
        <f>H2-SUM(K2:P2)*H2-J2-I2/B2-Z2/B2</f>
        <v>17.823003539823</v>
      </c>
      <c r="AB2" s="195">
        <f>AA2/H2</f>
        <v>0.209707066005683</v>
      </c>
      <c r="AC2" s="14"/>
      <c r="AD2" s="17">
        <f>J2/H2</f>
        <v>0.0669490528297447</v>
      </c>
      <c r="AE2" s="18">
        <f>I2/7.4/H2</f>
        <v>0.194882023769753</v>
      </c>
      <c r="AF2" s="18">
        <f>Z2/7.4/H2</f>
        <v>0.0413403166668257</v>
      </c>
      <c r="AG2" s="18">
        <v>0.15</v>
      </c>
      <c r="AH2" s="18">
        <f>N2</f>
        <v>0.117660901282504</v>
      </c>
      <c r="AI2" s="18">
        <v>0.02</v>
      </c>
      <c r="AJ2" s="18">
        <f>M2</f>
        <v>0.05</v>
      </c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</row>
    <row r="3" spans="1:75">
      <c r="A3" s="22" t="s">
        <v>508</v>
      </c>
      <c r="B3" s="20">
        <v>8</v>
      </c>
      <c r="C3" s="20" t="s">
        <v>506</v>
      </c>
      <c r="D3" s="20" t="s">
        <v>277</v>
      </c>
      <c r="E3" s="20" t="s">
        <v>507</v>
      </c>
      <c r="F3" s="193">
        <f>IF(E3="有",(I3/B3+J3+Z3/B3)/(0.99999-K3-L3-M3-N3),(I3/B3+J3+Z3/B3)/(0.99999-K3-M3-N3))</f>
        <v>48.3701546480252</v>
      </c>
      <c r="G3" s="193">
        <f>IF(E3="有",(I3/B3+J3+Z3/B3)/(0.8-K3-L3-M3-N3-O3-P3),(I3/B3+J3+Z3/B3)/(0.8-K3-M3-N3-O3-P3))</f>
        <v>88.8245974811697</v>
      </c>
      <c r="H3" s="194">
        <f>H2*0.85</f>
        <v>72.2415</v>
      </c>
      <c r="I3" s="193">
        <f>138.5/1.13</f>
        <v>122.566371681416</v>
      </c>
      <c r="J3" s="20">
        <v>5.69</v>
      </c>
      <c r="K3" s="18">
        <v>0.15</v>
      </c>
      <c r="L3" s="18">
        <v>0.16</v>
      </c>
      <c r="M3" s="18">
        <v>0.05</v>
      </c>
      <c r="N3" s="18">
        <f>Q3/H3</f>
        <v>0.138424589744122</v>
      </c>
      <c r="O3" s="195">
        <f>0.61/H3</f>
        <v>0.00844389997439145</v>
      </c>
      <c r="P3" s="18">
        <v>0.02</v>
      </c>
      <c r="Q3" s="193">
        <v>10</v>
      </c>
      <c r="R3" s="14">
        <v>33.5</v>
      </c>
      <c r="S3" s="14">
        <v>26.5</v>
      </c>
      <c r="T3" s="14">
        <v>25</v>
      </c>
      <c r="U3" s="14">
        <v>2.3</v>
      </c>
      <c r="V3" s="193">
        <f>R3*S3*T3/6000</f>
        <v>3.69895833333333</v>
      </c>
      <c r="W3" s="193">
        <f>MAX(U3:V3)</f>
        <v>3.69895833333333</v>
      </c>
      <c r="X3" s="20" t="s">
        <v>21</v>
      </c>
      <c r="Y3" s="196">
        <v>5.55136</v>
      </c>
      <c r="Z3" s="197">
        <v>26</v>
      </c>
      <c r="AA3" s="193">
        <f>H3-SUM(K3:P3)*H3-J3-I3/B3-Z3/B3</f>
        <v>9.918933539823</v>
      </c>
      <c r="AB3" s="195">
        <f>AA3/H3</f>
        <v>0.137302430594921</v>
      </c>
      <c r="AC3" s="14"/>
      <c r="AD3" s="17">
        <f>J3/H3</f>
        <v>0.0787635915644055</v>
      </c>
      <c r="AE3" s="18">
        <f>I3/B3/H3</f>
        <v>0.21207749645532</v>
      </c>
      <c r="AF3" s="18">
        <f>Z3/B3/H3</f>
        <v>0.0449879916668397</v>
      </c>
      <c r="AG3" s="18">
        <f>K3</f>
        <v>0.15</v>
      </c>
      <c r="AH3" s="18">
        <f>N3</f>
        <v>0.138424589744122</v>
      </c>
      <c r="AI3" s="18">
        <v>0.02</v>
      </c>
      <c r="AJ3" s="18">
        <f>M3</f>
        <v>0.05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</row>
    <row r="4" spans="1:75">
      <c r="A4" s="22" t="s">
        <v>509</v>
      </c>
      <c r="B4" s="20">
        <v>8</v>
      </c>
      <c r="C4" s="20" t="s">
        <v>506</v>
      </c>
      <c r="D4" s="20" t="s">
        <v>277</v>
      </c>
      <c r="E4" s="20" t="s">
        <v>507</v>
      </c>
      <c r="F4" s="193">
        <f>IF(E4="有",(I4/B4+J4+Z4/B4)/(0.99999-K4-L4-M4-N4),(I4/B4+J4+Z4/B4)/(0.99999-K4-M4-N4))</f>
        <v>50.9068772580331</v>
      </c>
      <c r="G4" s="193">
        <f>IF(E4="有",(I4/B4+J4+Z4/B4)/(0.8-K4-L4-M4-N4-O4-P4),(I4/B4+J4+Z4/B4)/(0.8-K4-M4-N4-O4-P4))</f>
        <v>98.375748899761</v>
      </c>
      <c r="H4" s="194">
        <f>H2*0.72</f>
        <v>61.1928</v>
      </c>
      <c r="I4" s="193">
        <f>138.5/1.13</f>
        <v>122.566371681416</v>
      </c>
      <c r="J4" s="20">
        <v>5.69</v>
      </c>
      <c r="K4" s="18">
        <v>0.15</v>
      </c>
      <c r="L4" s="18">
        <v>0.16</v>
      </c>
      <c r="M4" s="18">
        <v>0.05</v>
      </c>
      <c r="N4" s="18">
        <f>Q4/H4</f>
        <v>0.163417918447922</v>
      </c>
      <c r="O4" s="195">
        <f>0.61/H4</f>
        <v>0.00996849302532324</v>
      </c>
      <c r="P4" s="18">
        <v>0.02</v>
      </c>
      <c r="Q4" s="193">
        <v>10</v>
      </c>
      <c r="R4" s="14">
        <v>33.5</v>
      </c>
      <c r="S4" s="14">
        <v>26.5</v>
      </c>
      <c r="T4" s="14">
        <v>25</v>
      </c>
      <c r="U4" s="14">
        <v>2.3</v>
      </c>
      <c r="V4" s="193">
        <f>R4*S4*T4/6000</f>
        <v>3.69895833333333</v>
      </c>
      <c r="W4" s="193">
        <f>MAX(U4:V4)</f>
        <v>3.69895833333333</v>
      </c>
      <c r="X4" s="20" t="s">
        <v>21</v>
      </c>
      <c r="Y4" s="196">
        <v>5.55136</v>
      </c>
      <c r="Z4" s="197">
        <v>26</v>
      </c>
      <c r="AA4" s="193">
        <f>H4-SUM(K4:P4)*H4-J4-I4/B4-Z4/B4</f>
        <v>3.068739539823</v>
      </c>
      <c r="AB4" s="195">
        <f>AA4/H4</f>
        <v>0.0501487027856709</v>
      </c>
      <c r="AC4" s="14"/>
      <c r="AD4" s="17">
        <f>J4/H4</f>
        <v>0.0929847955968676</v>
      </c>
      <c r="AE4" s="18">
        <f>I4/7.4/H4</f>
        <v>0.270669477457991</v>
      </c>
      <c r="AF4" s="18">
        <f>Z4/7.4/H4</f>
        <v>0.0574171064817023</v>
      </c>
      <c r="AG4" s="18">
        <v>0.15</v>
      </c>
      <c r="AH4" s="18">
        <f>N4</f>
        <v>0.163417918447922</v>
      </c>
      <c r="AI4" s="18">
        <v>0.02</v>
      </c>
      <c r="AJ4" s="18">
        <f>M4</f>
        <v>0.05</v>
      </c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</row>
    <row r="5" spans="1:75">
      <c r="B5" s="14"/>
      <c r="C5" s="14"/>
      <c r="D5" s="14"/>
      <c r="E5" s="14"/>
      <c r="F5" s="193"/>
      <c r="G5" s="193"/>
      <c r="H5" s="198"/>
      <c r="I5" s="193"/>
      <c r="J5" s="20"/>
      <c r="K5" s="18"/>
      <c r="L5" s="18"/>
      <c r="M5" s="18"/>
      <c r="N5" s="18"/>
      <c r="O5" s="195"/>
      <c r="P5" s="18"/>
      <c r="Q5" s="193"/>
      <c r="R5" s="14"/>
      <c r="S5" s="14"/>
      <c r="T5" s="14"/>
      <c r="U5" s="14"/>
      <c r="V5" s="193"/>
      <c r="W5" s="193"/>
      <c r="X5" s="20"/>
      <c r="Y5" s="196"/>
      <c r="Z5" s="197"/>
      <c r="AA5" s="193"/>
      <c r="AB5" s="195"/>
      <c r="AC5" s="14"/>
      <c r="AD5" s="17"/>
      <c r="AE5" s="18"/>
      <c r="AF5" s="18"/>
      <c r="AG5" s="18"/>
      <c r="AH5" s="18"/>
      <c r="AI5" s="18"/>
      <c r="AJ5" s="18"/>
    </row>
    <row r="6" spans="1:75">
      <c r="A6" s="199" t="s">
        <v>505</v>
      </c>
      <c r="B6" s="20">
        <v>8</v>
      </c>
      <c r="C6" s="14" t="s">
        <v>510</v>
      </c>
      <c r="D6" s="14" t="s">
        <v>511</v>
      </c>
      <c r="E6" s="20" t="s">
        <v>507</v>
      </c>
      <c r="F6" s="193">
        <f>IF(E6="有",(I6/B6+J6+Z6/B6)/(0.99999-K6-L6-M6-N6),(I6/B6+J6+Z6/B6)/(0.99999-K6-M6-N6))</f>
        <v>53.3987201421953</v>
      </c>
      <c r="G6" s="193">
        <f>IF(E6="有",(I6/B6+J6+Z6/B6)/(0.8-K6-L6-M6-N6-O6-P6),(I6/B6+J6+Z6/B6)/(0.8-K6-M6-N6-O6-P6))</f>
        <v>93.4822323952699</v>
      </c>
      <c r="H6" s="194">
        <v>89.99</v>
      </c>
      <c r="I6" s="193">
        <f>138.5/1.13</f>
        <v>122.566371681416</v>
      </c>
      <c r="J6" s="14">
        <v>9.67</v>
      </c>
      <c r="K6" s="18">
        <v>0.15</v>
      </c>
      <c r="L6" s="18">
        <v>0.16</v>
      </c>
      <c r="M6" s="18">
        <v>0.05</v>
      </c>
      <c r="N6" s="18">
        <f>Q6/H6</f>
        <v>0.111123458162018</v>
      </c>
      <c r="O6" s="195">
        <f>0.61/H6</f>
        <v>0.0067785309478831</v>
      </c>
      <c r="P6" s="18">
        <v>0.02</v>
      </c>
      <c r="Q6" s="193">
        <v>10</v>
      </c>
      <c r="R6" s="14">
        <v>33.5</v>
      </c>
      <c r="S6" s="14">
        <v>26.5</v>
      </c>
      <c r="T6" s="14">
        <v>25</v>
      </c>
      <c r="U6" s="14">
        <v>2.3</v>
      </c>
      <c r="V6" s="193">
        <f>R6*S6*T6/6000</f>
        <v>3.69895833333333</v>
      </c>
      <c r="W6" s="193">
        <f>MAX(U6:V6)</f>
        <v>3.69895833333333</v>
      </c>
      <c r="X6" s="14" t="s">
        <v>21</v>
      </c>
      <c r="Y6" s="196">
        <v>5.55136</v>
      </c>
      <c r="Z6" s="197">
        <v>26</v>
      </c>
      <c r="AA6" s="193">
        <f>H6-SUM(K6:P6)*H6-J6-I6/B6-Z6/B6</f>
        <v>16.943003539823</v>
      </c>
      <c r="AB6" s="195">
        <f>AA6/H6</f>
        <v>0.188276514499644</v>
      </c>
      <c r="AC6" s="14"/>
      <c r="AD6" s="17">
        <f>J6/H6</f>
        <v>0.107456384042671</v>
      </c>
      <c r="AE6" s="18">
        <f>I6/7.4/H6</f>
        <v>0.1840540415623</v>
      </c>
      <c r="AF6" s="18">
        <f>Z6/7.4/H6</f>
        <v>0.0390433771920604</v>
      </c>
      <c r="AG6" s="18">
        <v>0.15</v>
      </c>
      <c r="AH6" s="18">
        <f>N6</f>
        <v>0.111123458162018</v>
      </c>
      <c r="AI6" s="18">
        <v>0.02</v>
      </c>
      <c r="AJ6" s="18">
        <f>M6</f>
        <v>0.05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</row>
    <row r="7" spans="1:75">
      <c r="A7" s="199" t="s">
        <v>508</v>
      </c>
      <c r="B7" s="20">
        <v>8</v>
      </c>
      <c r="C7" s="20" t="s">
        <v>510</v>
      </c>
      <c r="D7" s="20" t="s">
        <v>511</v>
      </c>
      <c r="E7" s="20" t="s">
        <v>507</v>
      </c>
      <c r="F7" s="193">
        <f>IF(E7="有",(I7/B7+J7+Z7/B7)/(0.99999-K7-L7-M7-N7),(I7/B7+J7+Z7/B7)/(0.99999-K7-M7-N7))</f>
        <v>55.4549531751645</v>
      </c>
      <c r="G7" s="193">
        <f>IF(E7="有",(I7/B7+J7+Z7/B7)/(0.8-K7-L7-M7-N7-O7-P7),(I7/B7+J7+Z7/B7)/(0.8-K7-M7-N7-O7-P7))</f>
        <v>100.396807576054</v>
      </c>
      <c r="H7" s="194">
        <f>H6*0.85</f>
        <v>76.4915</v>
      </c>
      <c r="I7" s="193">
        <f>138.5/1.13</f>
        <v>122.566371681416</v>
      </c>
      <c r="J7" s="20">
        <v>9.67</v>
      </c>
      <c r="K7" s="18">
        <v>0.15</v>
      </c>
      <c r="L7" s="18">
        <v>0.16</v>
      </c>
      <c r="M7" s="18">
        <v>0.05</v>
      </c>
      <c r="N7" s="18">
        <f>Q7/H7</f>
        <v>0.130733480190609</v>
      </c>
      <c r="O7" s="195">
        <f>0.61/H7</f>
        <v>0.00797474229162718</v>
      </c>
      <c r="P7" s="18">
        <v>0.02</v>
      </c>
      <c r="Q7" s="193">
        <v>10</v>
      </c>
      <c r="R7" s="14">
        <v>33.5</v>
      </c>
      <c r="S7" s="14">
        <v>26.5</v>
      </c>
      <c r="T7" s="14">
        <v>25</v>
      </c>
      <c r="U7" s="14">
        <v>2.3</v>
      </c>
      <c r="V7" s="193">
        <f>R7*S7*T7/6000</f>
        <v>3.69895833333333</v>
      </c>
      <c r="W7" s="193">
        <f>MAX(U7:V7)</f>
        <v>3.69895833333333</v>
      </c>
      <c r="X7" s="20" t="s">
        <v>21</v>
      </c>
      <c r="Y7" s="196">
        <v>5.55136</v>
      </c>
      <c r="Z7" s="197">
        <v>26</v>
      </c>
      <c r="AA7" s="193">
        <f>H7-SUM(K7:P7)*H7-J7-I7/B7-Z7/B7</f>
        <v>8.573933539823</v>
      </c>
      <c r="AB7" s="195">
        <f>AA7/H7</f>
        <v>0.112090017058405</v>
      </c>
      <c r="AC7" s="14"/>
      <c r="AD7" s="17">
        <f>J7/H7</f>
        <v>0.126419275344319</v>
      </c>
      <c r="AE7" s="18">
        <f>I7/7.4/H7</f>
        <v>0.216534166543882</v>
      </c>
      <c r="AF7" s="18">
        <f>Z7/7.4/H7</f>
        <v>0.0459333849318357</v>
      </c>
      <c r="AG7" s="18">
        <v>0.15</v>
      </c>
      <c r="AH7" s="18">
        <f>N7</f>
        <v>0.130733480190609</v>
      </c>
      <c r="AI7" s="18">
        <v>0.02</v>
      </c>
      <c r="AJ7" s="18">
        <f>M7</f>
        <v>0.05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</row>
    <row r="8" spans="1:75">
      <c r="A8" s="199" t="s">
        <v>509</v>
      </c>
      <c r="B8" s="20">
        <v>8</v>
      </c>
      <c r="C8" s="20" t="s">
        <v>510</v>
      </c>
      <c r="D8" s="20" t="s">
        <v>511</v>
      </c>
      <c r="E8" s="20" t="s">
        <v>507</v>
      </c>
      <c r="F8" s="193">
        <f>IF(E8="有",(I8/B8+J8+Z8/B8)/(0.99999-K8-L8-M8-N8),(I8/B8+J8+Z8/B8)/(0.99999-K8-M8-N8))</f>
        <v>58.2083707798146</v>
      </c>
      <c r="G8" s="193">
        <f>IF(E8="有",(I8/B8+J8+Z8/B8)/(0.8-K8-L8-M8-N8-O8-P8),(I8/B8+J8+Z8/B8)/(0.8-K8-M8-N8-O8-P8))</f>
        <v>110.430750061318</v>
      </c>
      <c r="H8" s="194">
        <v>64.59</v>
      </c>
      <c r="I8" s="193">
        <f>138.5/1.13</f>
        <v>122.566371681416</v>
      </c>
      <c r="J8" s="20">
        <v>9.67</v>
      </c>
      <c r="K8" s="18">
        <v>0.15</v>
      </c>
      <c r="L8" s="18">
        <v>0.16</v>
      </c>
      <c r="M8" s="18">
        <v>0.05</v>
      </c>
      <c r="N8" s="18">
        <f>Q8/H8</f>
        <v>0.154822727976467</v>
      </c>
      <c r="O8" s="195">
        <f>0.61/H8</f>
        <v>0.00944418640656448</v>
      </c>
      <c r="P8" s="18">
        <v>0.02</v>
      </c>
      <c r="Q8" s="193">
        <v>10</v>
      </c>
      <c r="R8" s="14">
        <v>33.5</v>
      </c>
      <c r="S8" s="14">
        <v>26.5</v>
      </c>
      <c r="T8" s="14">
        <v>25</v>
      </c>
      <c r="U8" s="14">
        <v>2.3</v>
      </c>
      <c r="V8" s="193">
        <f>R8*S8*T8/6000</f>
        <v>3.69895833333333</v>
      </c>
      <c r="W8" s="193">
        <f>MAX(U8:V8)</f>
        <v>3.69895833333333</v>
      </c>
      <c r="X8" s="20" t="s">
        <v>21</v>
      </c>
      <c r="Y8" s="196">
        <v>5.55136</v>
      </c>
      <c r="Z8" s="197">
        <v>26</v>
      </c>
      <c r="AA8" s="193">
        <f>H8-SUM(K8:P8)*H8-J8-I8/B8-Z8/B8</f>
        <v>1.19500353982301</v>
      </c>
      <c r="AB8" s="195">
        <f>AA8/H8</f>
        <v>0.0185013707976932</v>
      </c>
      <c r="AC8" s="14"/>
      <c r="AD8" s="17">
        <f>J8/H8</f>
        <v>0.149713577953244</v>
      </c>
      <c r="AE8" s="18">
        <f>I8/7.4/H8</f>
        <v>0.256433243539114</v>
      </c>
      <c r="AF8" s="18">
        <f>Z8/7.4/H8</f>
        <v>0.0543971746944343</v>
      </c>
      <c r="AG8" s="18">
        <v>0.15</v>
      </c>
      <c r="AH8" s="18">
        <f>N8</f>
        <v>0.154822727976467</v>
      </c>
      <c r="AI8" s="18">
        <v>0.02</v>
      </c>
      <c r="AJ8" s="18">
        <f>M8</f>
        <v>0.05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</row>
    <row r="9" spans="1:75">
      <c r="B9" s="14"/>
      <c r="C9" s="14"/>
      <c r="D9" s="14"/>
      <c r="E9" s="14"/>
      <c r="F9" s="193"/>
      <c r="G9" s="193"/>
      <c r="H9" s="198"/>
      <c r="I9" s="193"/>
      <c r="J9" s="20"/>
      <c r="K9" s="18"/>
      <c r="L9" s="18"/>
      <c r="M9" s="18"/>
      <c r="N9" s="18"/>
      <c r="O9" s="195"/>
      <c r="P9" s="18"/>
      <c r="Q9" s="18"/>
      <c r="R9" s="14"/>
      <c r="S9" s="14"/>
      <c r="T9" s="14"/>
      <c r="U9" s="14"/>
      <c r="V9" s="193"/>
      <c r="W9" s="193"/>
      <c r="X9" s="20"/>
      <c r="Y9" s="196"/>
      <c r="Z9" s="197"/>
      <c r="AA9" s="193"/>
      <c r="AB9" s="195"/>
      <c r="AC9" s="14"/>
      <c r="AD9" s="17"/>
      <c r="AE9" s="18"/>
      <c r="AF9" s="18"/>
      <c r="AG9" s="18"/>
      <c r="AH9" s="18"/>
      <c r="AI9" s="18"/>
      <c r="AJ9" s="18"/>
    </row>
    <row r="10" spans="1:75">
      <c r="A10" s="199" t="s">
        <v>505</v>
      </c>
      <c r="B10" s="20">
        <v>8</v>
      </c>
      <c r="C10" s="14" t="s">
        <v>512</v>
      </c>
      <c r="D10" s="14" t="s">
        <v>513</v>
      </c>
      <c r="E10" s="20" t="s">
        <v>507</v>
      </c>
      <c r="F10" s="193">
        <f>IF(E10="有",(I10/B10+J10+Z10/B10)/(0.99999-K10-L10-M10-N10),(I10/B10+J10+Z10/B10)/(0.99999-K10-M10-N10))</f>
        <v>48.8228965486101</v>
      </c>
      <c r="G10" s="193">
        <f>IF(E10="有",(I10/B10+J10+Z10/B10)/(0.8-K10-L10-M10-N10-O10-P10),(I10/B10+J10+Z10/B10)/(0.8-K10-M10-N10-O10-P10))</f>
        <v>85.4715871319339</v>
      </c>
      <c r="H10" s="194">
        <v>89.99</v>
      </c>
      <c r="I10" s="193">
        <f>138.5/1.13</f>
        <v>122.566371681416</v>
      </c>
      <c r="J10" s="14">
        <v>7.25</v>
      </c>
      <c r="K10" s="18">
        <v>0.15</v>
      </c>
      <c r="L10" s="18">
        <v>0.16</v>
      </c>
      <c r="M10" s="18">
        <v>0.05</v>
      </c>
      <c r="N10" s="18">
        <f>Q10/H10</f>
        <v>0.111123458162018</v>
      </c>
      <c r="O10" s="195">
        <f>0.61/H10</f>
        <v>0.0067785309478831</v>
      </c>
      <c r="P10" s="18">
        <v>0.02</v>
      </c>
      <c r="Q10" s="193">
        <v>10</v>
      </c>
      <c r="R10" s="14">
        <v>33.5</v>
      </c>
      <c r="S10" s="14">
        <v>26.5</v>
      </c>
      <c r="T10" s="14">
        <v>25</v>
      </c>
      <c r="U10" s="14">
        <v>2.3</v>
      </c>
      <c r="V10" s="193">
        <f>R10*S10*T10/6000</f>
        <v>3.69895833333333</v>
      </c>
      <c r="W10" s="193">
        <f>MAX(U10:V10)</f>
        <v>3.69895833333333</v>
      </c>
      <c r="X10" s="14" t="s">
        <v>21</v>
      </c>
      <c r="Y10" s="196">
        <v>5.55136</v>
      </c>
      <c r="Z10" s="197">
        <v>26</v>
      </c>
      <c r="AA10" s="193">
        <f>H10-SUM(K10:P10)*H10-J10-I10/B10-Z10/B10</f>
        <v>19.363003539823</v>
      </c>
      <c r="AB10" s="195">
        <f>AA10/H10</f>
        <v>0.215168391374853</v>
      </c>
      <c r="AC10" s="14"/>
      <c r="AD10" s="17">
        <f>J10/H10</f>
        <v>0.0805645071674631</v>
      </c>
      <c r="AE10" s="18">
        <f>I10/7.4/H10</f>
        <v>0.1840540415623</v>
      </c>
      <c r="AF10" s="18">
        <f>Z10/7.4/H10</f>
        <v>0.0390433771920604</v>
      </c>
      <c r="AG10" s="18">
        <v>0.15</v>
      </c>
      <c r="AH10" s="18">
        <f>N10</f>
        <v>0.111123458162018</v>
      </c>
      <c r="AI10" s="18">
        <v>0.02</v>
      </c>
      <c r="AJ10" s="18">
        <f>M10</f>
        <v>0.05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</row>
    <row r="11" spans="1:75">
      <c r="A11" s="199" t="s">
        <v>508</v>
      </c>
      <c r="B11" s="20">
        <v>8</v>
      </c>
      <c r="C11" s="20" t="s">
        <v>512</v>
      </c>
      <c r="D11" s="20" t="s">
        <v>513</v>
      </c>
      <c r="E11" s="20" t="s">
        <v>507</v>
      </c>
      <c r="F11" s="193">
        <f>IF(E11="有",(I11/B11+J11+Z11/B11)/(0.99999-K11-L11-M11-N11),(I11/B11+J11+Z11/B11)/(0.99999-K11-M11-N11))</f>
        <v>50.7029276126724</v>
      </c>
      <c r="G11" s="193">
        <f>IF(E11="有",(I11/B11+J11+Z11/B11)/(0.8-K11-L11-M11-N11-O11-P11),(I11/B11+J11+Z11/B11)/(0.8-K11-M11-N11-O11-P11))</f>
        <v>91.7936410656242</v>
      </c>
      <c r="H11" s="194">
        <f>H10*0.85</f>
        <v>76.4915</v>
      </c>
      <c r="I11" s="193">
        <f>138.5/1.13</f>
        <v>122.566371681416</v>
      </c>
      <c r="J11" s="20">
        <v>7.25</v>
      </c>
      <c r="K11" s="18">
        <v>0.15</v>
      </c>
      <c r="L11" s="18">
        <v>0.16</v>
      </c>
      <c r="M11" s="18">
        <v>0.05</v>
      </c>
      <c r="N11" s="18">
        <f>Q11/H11</f>
        <v>0.130733480190609</v>
      </c>
      <c r="O11" s="195">
        <f>0.61/H11</f>
        <v>0.00797474229162718</v>
      </c>
      <c r="P11" s="18">
        <v>0.02</v>
      </c>
      <c r="Q11" s="193">
        <v>10</v>
      </c>
      <c r="R11" s="14">
        <v>33.5</v>
      </c>
      <c r="S11" s="14">
        <v>26.5</v>
      </c>
      <c r="T11" s="14">
        <v>25</v>
      </c>
      <c r="U11" s="14">
        <v>2.3</v>
      </c>
      <c r="V11" s="193">
        <f>R11*S11*T11/6000</f>
        <v>3.69895833333333</v>
      </c>
      <c r="W11" s="193">
        <f>MAX(U11:V11)</f>
        <v>3.69895833333333</v>
      </c>
      <c r="X11" s="20" t="s">
        <v>21</v>
      </c>
      <c r="Y11" s="196">
        <v>5.55136</v>
      </c>
      <c r="Z11" s="197">
        <v>26</v>
      </c>
      <c r="AA11" s="193">
        <f>H11-SUM(K11:P11)*H11-J11-I11/B11-Z11/B11</f>
        <v>10.993933539823</v>
      </c>
      <c r="AB11" s="195">
        <f>AA11/H11</f>
        <v>0.143727519264533</v>
      </c>
      <c r="AC11" s="14"/>
      <c r="AD11" s="17">
        <f>J11/H11</f>
        <v>0.0947817731381918</v>
      </c>
      <c r="AE11" s="18">
        <f>I11/7.4/H11</f>
        <v>0.216534166543882</v>
      </c>
      <c r="AF11" s="18">
        <f>Z11/7.4/H11</f>
        <v>0.0459333849318357</v>
      </c>
      <c r="AG11" s="18">
        <v>0.15</v>
      </c>
      <c r="AH11" s="18">
        <f>N11</f>
        <v>0.130733480190609</v>
      </c>
      <c r="AI11" s="18">
        <v>0.02</v>
      </c>
      <c r="AJ11" s="18">
        <f>M11</f>
        <v>0.05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</row>
    <row r="12" spans="1:75">
      <c r="A12" s="199" t="s">
        <v>509</v>
      </c>
      <c r="B12" s="20">
        <v>8</v>
      </c>
      <c r="C12" s="20" t="s">
        <v>512</v>
      </c>
      <c r="D12" s="20" t="s">
        <v>513</v>
      </c>
      <c r="E12" s="20" t="s">
        <v>507</v>
      </c>
      <c r="F12" s="193">
        <f>IF(E12="有",(I12/B12+J12+Z12/B12)/(0.99999-K12-L12-M12-N12),(I12/B12+J12+Z12/B12)/(0.99999-K12-M12-N12))</f>
        <v>51.5297036615319</v>
      </c>
      <c r="G12" s="193">
        <f>IF(E12="有",(I12/B12+J12+Z12/B12)/(0.8-K12-L12-M12-N12-O12-P12),(I12/B12+J12+Z12/B12)/(0.8-K12-M12-N12-O12-P12))</f>
        <v>94.7126343969758</v>
      </c>
      <c r="H12" s="194">
        <f>H10*0.8</f>
        <v>71.992</v>
      </c>
      <c r="I12" s="193">
        <f>138.5/1.13</f>
        <v>122.566371681416</v>
      </c>
      <c r="J12" s="20">
        <v>7.25</v>
      </c>
      <c r="K12" s="18">
        <v>0.15</v>
      </c>
      <c r="L12" s="18">
        <v>0.16</v>
      </c>
      <c r="M12" s="18">
        <v>0.05</v>
      </c>
      <c r="N12" s="18">
        <f>Q12/H12</f>
        <v>0.138904322702522</v>
      </c>
      <c r="O12" s="195">
        <f>0.61/H12</f>
        <v>0.00847316368485387</v>
      </c>
      <c r="P12" s="18">
        <v>0.02</v>
      </c>
      <c r="Q12" s="193">
        <v>10</v>
      </c>
      <c r="R12" s="14">
        <v>33.5</v>
      </c>
      <c r="S12" s="14">
        <v>26.5</v>
      </c>
      <c r="T12" s="14">
        <v>25</v>
      </c>
      <c r="U12" s="14">
        <v>2.3</v>
      </c>
      <c r="V12" s="193">
        <f>R12*S12*T12/6000</f>
        <v>3.69895833333333</v>
      </c>
      <c r="W12" s="193">
        <f>MAX(U12:V12)</f>
        <v>3.69895833333333</v>
      </c>
      <c r="X12" s="20" t="s">
        <v>21</v>
      </c>
      <c r="Y12" s="196">
        <v>5.55136</v>
      </c>
      <c r="Z12" s="197">
        <v>26</v>
      </c>
      <c r="AA12" s="193">
        <f>H12-SUM(K12:P12)*H12-J12-I12/B12-Z12/B12</f>
        <v>8.20424353982301</v>
      </c>
      <c r="AB12" s="195">
        <f>AA12/H12</f>
        <v>0.113960489218566</v>
      </c>
      <c r="AC12" s="14"/>
      <c r="AD12" s="17">
        <f>J12/H12</f>
        <v>0.100705633959329</v>
      </c>
      <c r="AE12" s="18">
        <f>I12/7.4/H12</f>
        <v>0.230067551952875</v>
      </c>
      <c r="AF12" s="18">
        <f>Z12/7.4/H12</f>
        <v>0.0488042214900755</v>
      </c>
      <c r="AG12" s="18">
        <v>0.15</v>
      </c>
      <c r="AH12" s="18">
        <f>N12</f>
        <v>0.138904322702522</v>
      </c>
      <c r="AI12" s="18">
        <v>0.02</v>
      </c>
      <c r="AJ12" s="18">
        <f>M12</f>
        <v>0.05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</row>
    <row r="13" spans="1:75">
      <c r="A13" s="22" t="s">
        <v>514</v>
      </c>
      <c r="B13" s="20">
        <v>8</v>
      </c>
      <c r="C13" s="20" t="s">
        <v>512</v>
      </c>
      <c r="D13" s="20" t="s">
        <v>513</v>
      </c>
      <c r="E13" s="20" t="s">
        <v>507</v>
      </c>
      <c r="F13" s="193">
        <f>IF(E13="有",(I13/B13+J13+Z13/B13)/(0.99999-K13-L13-M13-N13),(I13/B13+J13+Z13/B13)/(0.99999-K13-M13-N13))</f>
        <v>54.1206407513801</v>
      </c>
      <c r="G13" s="193">
        <f>IF(E13="有",(I13/B13+J13+Z13/B13)/(0.8-K13-L13-M13-N13-O13-P13),(I13/B13+J13+Z13/B13)/(0.8-K13-M13-N13-O13-P13))</f>
        <v>104.465505983357</v>
      </c>
      <c r="H13" s="194">
        <v>61.39</v>
      </c>
      <c r="I13" s="193">
        <f>138.5/1.13</f>
        <v>122.566371681416</v>
      </c>
      <c r="J13" s="20">
        <v>7.25</v>
      </c>
      <c r="K13" s="18">
        <v>0.15</v>
      </c>
      <c r="L13" s="18">
        <v>0.16</v>
      </c>
      <c r="M13" s="18">
        <v>0.05</v>
      </c>
      <c r="N13" s="18">
        <f>Q13/H13</f>
        <v>0.162892979312592</v>
      </c>
      <c r="O13" s="195">
        <f>0.61/H13</f>
        <v>0.00993647173806809</v>
      </c>
      <c r="P13" s="18">
        <v>0.02</v>
      </c>
      <c r="Q13" s="193">
        <v>10</v>
      </c>
      <c r="R13" s="14">
        <v>33.5</v>
      </c>
      <c r="S13" s="14">
        <v>26.5</v>
      </c>
      <c r="T13" s="14">
        <v>25</v>
      </c>
      <c r="U13" s="14">
        <v>2.3</v>
      </c>
      <c r="V13" s="193">
        <f>R13*S13*T13/6000</f>
        <v>3.69895833333333</v>
      </c>
      <c r="W13" s="193">
        <f>MAX(U13:V13)</f>
        <v>3.69895833333333</v>
      </c>
      <c r="X13" s="20" t="s">
        <v>21</v>
      </c>
      <c r="Y13" s="196">
        <v>5.55136</v>
      </c>
      <c r="Z13" s="197">
        <v>26</v>
      </c>
      <c r="AA13" s="193">
        <f>H13-SUM(K13:P13)*H13-J13-I13/B13-Z13/B13</f>
        <v>1.63100353982301</v>
      </c>
      <c r="AB13" s="195">
        <f>AA13/H13</f>
        <v>0.0265679025871153</v>
      </c>
      <c r="AC13" s="14"/>
      <c r="AD13" s="17">
        <f>J13/H13</f>
        <v>0.118097410001629</v>
      </c>
      <c r="AE13" s="18">
        <f>I13/7.4/H13</f>
        <v>0.269800019550274</v>
      </c>
      <c r="AF13" s="18">
        <f>Z13/7.4/H13</f>
        <v>0.0572326684071268</v>
      </c>
      <c r="AG13" s="18">
        <v>0.15</v>
      </c>
      <c r="AH13" s="18">
        <f>N13</f>
        <v>0.162892979312592</v>
      </c>
      <c r="AI13" s="18">
        <v>0.02</v>
      </c>
      <c r="AJ13" s="18">
        <f>M13</f>
        <v>0.05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</row>
    <row r="14" spans="1:75">
      <c r="B14" s="14"/>
      <c r="C14" s="14"/>
      <c r="D14" s="14"/>
      <c r="E14" s="14"/>
      <c r="F14" s="193"/>
      <c r="G14" s="193"/>
      <c r="H14" s="198"/>
      <c r="I14" s="193"/>
      <c r="J14" s="20"/>
      <c r="K14" s="18"/>
      <c r="L14" s="18"/>
      <c r="M14" s="18"/>
      <c r="N14" s="18"/>
      <c r="O14" s="195"/>
      <c r="P14" s="18"/>
      <c r="Q14" s="18"/>
      <c r="R14" s="14"/>
      <c r="S14" s="14"/>
      <c r="T14" s="14"/>
      <c r="U14" s="14"/>
      <c r="V14" s="193"/>
      <c r="W14" s="193"/>
      <c r="X14" s="20"/>
      <c r="Y14" s="196"/>
      <c r="Z14" s="197"/>
      <c r="AA14" s="193"/>
      <c r="AB14" s="195"/>
      <c r="AC14" s="14"/>
      <c r="AD14" s="17"/>
      <c r="AE14" s="18"/>
      <c r="AF14" s="18"/>
      <c r="AG14" s="18"/>
      <c r="AH14" s="18"/>
      <c r="AI14" s="18"/>
      <c r="AJ14" s="18"/>
    </row>
    <row r="15" spans="1:75">
      <c r="A15" s="199" t="s">
        <v>505</v>
      </c>
      <c r="B15" s="20">
        <v>8</v>
      </c>
      <c r="C15" s="14" t="s">
        <v>515</v>
      </c>
      <c r="D15" s="14" t="s">
        <v>516</v>
      </c>
      <c r="E15" s="20" t="s">
        <v>507</v>
      </c>
      <c r="F15" s="193">
        <f>IF(E15="有",(I15/B15+J15+Z15/B15)/(0.99999-K15-L15-M15-N15),(I15/B15+J15+Z15/B15)/(0.99999-K15-M15-N15))</f>
        <v>48.3880042236</v>
      </c>
      <c r="G15" s="193">
        <f>IF(E15="有",(I15/B15+J15+Z15/B15)/(0.8-K15-L15-M15-N15-O15-P15),(I15/B15+J15+Z15/B15)/(0.8-K15-M15-N15-O15-P15))</f>
        <v>84.7102448135176</v>
      </c>
      <c r="H15" s="194">
        <v>89.99</v>
      </c>
      <c r="I15" s="193">
        <f>138.5/1.13</f>
        <v>122.566371681416</v>
      </c>
      <c r="J15" s="14">
        <v>7.02</v>
      </c>
      <c r="K15" s="18">
        <v>0.15</v>
      </c>
      <c r="L15" s="18">
        <v>0.16</v>
      </c>
      <c r="M15" s="18">
        <v>0.05</v>
      </c>
      <c r="N15" s="18">
        <f>Q15/H15</f>
        <v>0.111123458162018</v>
      </c>
      <c r="O15" s="195">
        <f>0.61/H15</f>
        <v>0.0067785309478831</v>
      </c>
      <c r="P15" s="18">
        <v>0.02</v>
      </c>
      <c r="Q15" s="193">
        <v>10</v>
      </c>
      <c r="R15" s="14">
        <v>33.5</v>
      </c>
      <c r="S15" s="14">
        <v>26.5</v>
      </c>
      <c r="T15" s="14">
        <v>25</v>
      </c>
      <c r="U15" s="14">
        <v>2.3</v>
      </c>
      <c r="V15" s="193">
        <f>R15*S15*T15/6000</f>
        <v>3.69895833333333</v>
      </c>
      <c r="W15" s="193">
        <f>MAX(U15:V15)</f>
        <v>3.69895833333333</v>
      </c>
      <c r="X15" s="14" t="s">
        <v>21</v>
      </c>
      <c r="Y15" s="196">
        <v>5.55136</v>
      </c>
      <c r="Z15" s="197">
        <v>26</v>
      </c>
      <c r="AA15" s="193">
        <f>H15-SUM(K15:P15)*H15-J15-I15/B15-Z15/B15</f>
        <v>19.593003539823</v>
      </c>
      <c r="AB15" s="195">
        <f>AA15/H15</f>
        <v>0.217724230912579</v>
      </c>
      <c r="AC15" s="14"/>
      <c r="AD15" s="17">
        <f>J15/H15</f>
        <v>0.0780086676297366</v>
      </c>
      <c r="AE15" s="18">
        <f>I15/7.4/H15</f>
        <v>0.1840540415623</v>
      </c>
      <c r="AF15" s="18">
        <f>Z15/7.4/H15</f>
        <v>0.0390433771920604</v>
      </c>
      <c r="AG15" s="18">
        <v>0.15</v>
      </c>
      <c r="AH15" s="18">
        <f>N15</f>
        <v>0.111123458162018</v>
      </c>
      <c r="AI15" s="18">
        <v>0.02</v>
      </c>
      <c r="AJ15" s="18">
        <f>M15</f>
        <v>0.05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</row>
    <row r="16" spans="1:75">
      <c r="A16" s="199" t="s">
        <v>508</v>
      </c>
      <c r="B16" s="20">
        <v>8</v>
      </c>
      <c r="C16" s="20" t="s">
        <v>515</v>
      </c>
      <c r="D16" s="20" t="s">
        <v>516</v>
      </c>
      <c r="E16" s="20" t="s">
        <v>507</v>
      </c>
      <c r="F16" s="193">
        <f>IF(E16="有",(I16/B16+J16+Z16/B16)/(0.99999-K16-L16-M16-N16),(I16/B16+J16+Z16/B16)/(0.99999-K16-M16-N16))</f>
        <v>50.251288819543</v>
      </c>
      <c r="G16" s="193">
        <f>IF(E16="有",(I16/B16+J16+Z16/B16)/(0.8-K16-L16-M16-N16-O16-P16),(I16/B16+J16+Z16/B16)/(0.8-K16-M16-N16-O16-P16))</f>
        <v>90.975984744385</v>
      </c>
      <c r="H16" s="194">
        <f>H15*0.85</f>
        <v>76.4915</v>
      </c>
      <c r="I16" s="193">
        <f>138.5/1.13</f>
        <v>122.566371681416</v>
      </c>
      <c r="J16" s="20">
        <v>7.02</v>
      </c>
      <c r="K16" s="18">
        <v>0.15</v>
      </c>
      <c r="L16" s="18">
        <v>0.16</v>
      </c>
      <c r="M16" s="18">
        <v>0.05</v>
      </c>
      <c r="N16" s="18">
        <f>Q16/H16</f>
        <v>0.130733480190609</v>
      </c>
      <c r="O16" s="195">
        <f>0.61/H16</f>
        <v>0.00797474229162718</v>
      </c>
      <c r="P16" s="18">
        <v>0.02</v>
      </c>
      <c r="Q16" s="193">
        <v>10</v>
      </c>
      <c r="R16" s="14">
        <v>33.5</v>
      </c>
      <c r="S16" s="14">
        <v>26.5</v>
      </c>
      <c r="T16" s="14">
        <v>25</v>
      </c>
      <c r="U16" s="14">
        <v>2.3</v>
      </c>
      <c r="V16" s="193">
        <f>R16*S16*T16/6000</f>
        <v>3.69895833333333</v>
      </c>
      <c r="W16" s="193">
        <f>MAX(U16:V16)</f>
        <v>3.69895833333333</v>
      </c>
      <c r="X16" s="20" t="s">
        <v>21</v>
      </c>
      <c r="Y16" s="196">
        <v>5.55136</v>
      </c>
      <c r="Z16" s="197">
        <v>26</v>
      </c>
      <c r="AA16" s="193">
        <f>H16-SUM(K16:P16)*H16-J16-I16/B16-Z16/B16</f>
        <v>11.223933539823</v>
      </c>
      <c r="AB16" s="195">
        <f>AA16/H16</f>
        <v>0.146734389308917</v>
      </c>
      <c r="AC16" s="14"/>
      <c r="AD16" s="17">
        <f>J16/H16</f>
        <v>0.0917749030938078</v>
      </c>
      <c r="AE16" s="18">
        <f>I16/7.4/H16</f>
        <v>0.216534166543882</v>
      </c>
      <c r="AF16" s="18">
        <f>Z16/7.4/H16</f>
        <v>0.0459333849318357</v>
      </c>
      <c r="AG16" s="18">
        <v>0.15</v>
      </c>
      <c r="AH16" s="18">
        <f>N16</f>
        <v>0.130733480190609</v>
      </c>
      <c r="AI16" s="18">
        <v>0.02</v>
      </c>
      <c r="AJ16" s="18">
        <f>M16</f>
        <v>0.05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</row>
    <row r="17" spans="1:75">
      <c r="A17" s="199" t="s">
        <v>509</v>
      </c>
      <c r="B17" s="14">
        <v>8</v>
      </c>
      <c r="C17" s="20" t="s">
        <v>515</v>
      </c>
      <c r="D17" s="20" t="s">
        <v>516</v>
      </c>
      <c r="E17" s="20" t="s">
        <v>507</v>
      </c>
      <c r="F17" s="193">
        <f>IF(E17="有",(I17/B17+J17+Z17/B17)/(0.99999-K17-L17-M17-N17),(I17/B17+J17+Z17/B17)/(0.99999-K17-M17-N17))</f>
        <v>53.6385585122821</v>
      </c>
      <c r="G17" s="193">
        <f>IF(E17="有",(I17/B17+J17+Z17/B17)/(0.8-K17-L17-M17-N17-O17-P17),(I17/B17+J17+Z17/B17)/(0.8-K17-M17-N17-O17-P17))</f>
        <v>103.534974409196</v>
      </c>
      <c r="H17" s="194">
        <v>61.39</v>
      </c>
      <c r="I17" s="193">
        <f>138.5/1.13</f>
        <v>122.566371681416</v>
      </c>
      <c r="J17" s="20">
        <v>7.02</v>
      </c>
      <c r="K17" s="18">
        <v>0.15</v>
      </c>
      <c r="L17" s="18">
        <v>0.16</v>
      </c>
      <c r="M17" s="18">
        <v>0.05</v>
      </c>
      <c r="N17" s="18">
        <f>Q17/H17</f>
        <v>0.162892979312592</v>
      </c>
      <c r="O17" s="195">
        <f>0.61/H17</f>
        <v>0.00993647173806809</v>
      </c>
      <c r="P17" s="18">
        <v>0.02</v>
      </c>
      <c r="Q17" s="193">
        <v>10</v>
      </c>
      <c r="R17" s="14">
        <v>33.5</v>
      </c>
      <c r="S17" s="14">
        <v>26.5</v>
      </c>
      <c r="T17" s="14">
        <v>25</v>
      </c>
      <c r="U17" s="14">
        <v>2.3</v>
      </c>
      <c r="V17" s="193">
        <f>R17*S17*T17/6000</f>
        <v>3.69895833333333</v>
      </c>
      <c r="W17" s="193">
        <f>MAX(U17:V17)</f>
        <v>3.69895833333333</v>
      </c>
      <c r="X17" s="20" t="s">
        <v>21</v>
      </c>
      <c r="Y17" s="196">
        <v>5.55136</v>
      </c>
      <c r="Z17" s="197">
        <v>26</v>
      </c>
      <c r="AA17" s="193">
        <f>H17-SUM(K17:P17)*H17-J17-I17/B17-Z17/B17</f>
        <v>1.86100353982301</v>
      </c>
      <c r="AB17" s="195">
        <f>AA17/H17</f>
        <v>0.0303144411113049</v>
      </c>
      <c r="AC17" s="14"/>
      <c r="AD17" s="17">
        <f>J17/H17</f>
        <v>0.114350871477439</v>
      </c>
      <c r="AE17" s="18">
        <f>I17/7.4/H17</f>
        <v>0.269800019550274</v>
      </c>
      <c r="AF17" s="18">
        <f>Z17/7.4/H17</f>
        <v>0.0572326684071268</v>
      </c>
      <c r="AG17" s="18">
        <v>0.15</v>
      </c>
      <c r="AH17" s="18">
        <f>N17</f>
        <v>0.162892979312592</v>
      </c>
      <c r="AI17" s="18">
        <v>0.02</v>
      </c>
      <c r="AJ17" s="18">
        <f>M17</f>
        <v>0.05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</row>
    <row r="18" spans="1:75">
      <c r="A18" s="15"/>
      <c r="B18" s="20"/>
      <c r="C18" s="20"/>
      <c r="D18" s="20"/>
      <c r="E18" s="20"/>
      <c r="F18" s="193"/>
      <c r="G18" s="193"/>
      <c r="H18" s="198"/>
      <c r="I18" s="193"/>
      <c r="J18" s="20"/>
      <c r="K18" s="18"/>
      <c r="L18" s="18"/>
      <c r="M18" s="18"/>
      <c r="N18" s="18"/>
      <c r="O18" s="195"/>
      <c r="P18" s="18"/>
      <c r="Q18" s="18"/>
      <c r="R18" s="14"/>
      <c r="S18" s="14"/>
      <c r="T18" s="14"/>
      <c r="U18" s="14"/>
      <c r="V18" s="193"/>
      <c r="W18" s="193"/>
      <c r="X18" s="20"/>
      <c r="Y18" s="196"/>
      <c r="Z18" s="197"/>
      <c r="AA18" s="193"/>
      <c r="AB18" s="195"/>
      <c r="AC18" s="14"/>
      <c r="AD18" s="17"/>
      <c r="AE18" s="18"/>
      <c r="AF18" s="18"/>
      <c r="AG18" s="18"/>
      <c r="AH18" s="18"/>
      <c r="AI18" s="18"/>
      <c r="AJ18" s="18"/>
    </row>
    <row r="19" spans="1:75">
      <c r="A19" s="199" t="s">
        <v>505</v>
      </c>
      <c r="B19" s="14">
        <v>9</v>
      </c>
      <c r="C19" s="20" t="s">
        <v>517</v>
      </c>
      <c r="D19" s="20" t="s">
        <v>300</v>
      </c>
      <c r="E19" s="20" t="s">
        <v>507</v>
      </c>
      <c r="F19" s="193">
        <f>IF(E19="有",(I19/B19+J19+Z19/B19)/(0.99999-K19-L19-M19-N19),(I19/B19+J19+Z19/B19)/(0.99999-K19-M19-N19))</f>
        <v>45.1890542588739</v>
      </c>
      <c r="G19" s="193">
        <f>IF(E19="有",(I19/B19+J19+Z19/B19)/(0.8-K19-L19-M19-N19-O19-P19),(I19/B19+J19+Z19/B19)/(0.8-K19-M19-N19-O19-P19))</f>
        <v>83.6939736632179</v>
      </c>
      <c r="H19" s="194">
        <v>69.99</v>
      </c>
      <c r="I19" s="193">
        <f>138.5/1.13</f>
        <v>122.566371681416</v>
      </c>
      <c r="J19" s="20">
        <v>5.19</v>
      </c>
      <c r="K19" s="18">
        <v>0.15</v>
      </c>
      <c r="L19" s="18">
        <v>0.16</v>
      </c>
      <c r="M19" s="18">
        <v>0.05</v>
      </c>
      <c r="N19" s="18">
        <f>Q19/H19</f>
        <v>0.142877553936277</v>
      </c>
      <c r="O19" s="195">
        <f>0.61/H19</f>
        <v>0.00871553079011287</v>
      </c>
      <c r="P19" s="18">
        <v>0.02</v>
      </c>
      <c r="Q19" s="193">
        <v>10</v>
      </c>
      <c r="R19" s="14">
        <v>33.5</v>
      </c>
      <c r="S19" s="14">
        <v>26.5</v>
      </c>
      <c r="T19" s="14">
        <v>25</v>
      </c>
      <c r="U19" s="14">
        <v>2.3</v>
      </c>
      <c r="V19" s="193">
        <f>R19*S19*T19/6000</f>
        <v>3.69895833333333</v>
      </c>
      <c r="W19" s="193">
        <f>MAX(U19:V19)</f>
        <v>3.69895833333333</v>
      </c>
      <c r="X19" s="20" t="s">
        <v>21</v>
      </c>
      <c r="Y19" s="196">
        <v>6.084</v>
      </c>
      <c r="Z19" s="197">
        <v>32.9</v>
      </c>
      <c r="AA19" s="193">
        <f>H19-SUM(K19:P19)*H19-J19-I19/B19-Z19/B19</f>
        <v>10.3197587020649</v>
      </c>
      <c r="AB19" s="195">
        <f>AA19/H19</f>
        <v>0.147446188056364</v>
      </c>
      <c r="AC19" s="14"/>
      <c r="AD19" s="17">
        <f>J19/H19</f>
        <v>0.0741534504929276</v>
      </c>
      <c r="AE19" s="18">
        <f>I19/7.4/H19</f>
        <v>0.236648424063314</v>
      </c>
      <c r="AF19" s="18">
        <f>Z19/7.4/H19</f>
        <v>0.0635225881689662</v>
      </c>
      <c r="AG19" s="18">
        <v>0.15</v>
      </c>
      <c r="AH19" s="18">
        <f>N19</f>
        <v>0.142877553936277</v>
      </c>
      <c r="AI19" s="18">
        <v>0.02</v>
      </c>
      <c r="AJ19" s="18">
        <f>M19</f>
        <v>0.05</v>
      </c>
    </row>
    <row r="20" spans="1:75">
      <c r="A20" s="199" t="s">
        <v>508</v>
      </c>
      <c r="B20" s="14">
        <v>9</v>
      </c>
      <c r="C20" s="20" t="s">
        <v>517</v>
      </c>
      <c r="D20" s="20" t="s">
        <v>300</v>
      </c>
      <c r="E20" s="20" t="s">
        <v>507</v>
      </c>
      <c r="F20" s="193">
        <f>IF(E20="有",(I20/B20+J20+Z20/B20)/(0.99999-K20-L20-M20-N20),(I20/B20+J20+Z20/B20)/(0.99999-K20-M20-N20))</f>
        <v>47.6035183783198</v>
      </c>
      <c r="G20" s="193">
        <f>IF(E20="有",(I20/B20+J20+Z20/B20)/(0.8-K20-L20-M20-N20-O20-P20),(I20/B20+J20+Z20/B20)/(0.8-K20-M20-N20-O20-P20))</f>
        <v>92.9590665329366</v>
      </c>
      <c r="H20" s="194">
        <f>H19*0.85</f>
        <v>59.4915</v>
      </c>
      <c r="I20" s="193">
        <f>138.5/1.13</f>
        <v>122.566371681416</v>
      </c>
      <c r="J20" s="20">
        <v>5.19</v>
      </c>
      <c r="K20" s="18">
        <v>0.15</v>
      </c>
      <c r="L20" s="18">
        <v>0.16</v>
      </c>
      <c r="M20" s="18">
        <v>0.05</v>
      </c>
      <c r="N20" s="18">
        <f>Q20/H20</f>
        <v>0.168091239925031</v>
      </c>
      <c r="O20" s="195">
        <f>0.61/H20</f>
        <v>0.0102535656354269</v>
      </c>
      <c r="P20" s="18">
        <v>0.02</v>
      </c>
      <c r="Q20" s="193">
        <v>10</v>
      </c>
      <c r="R20" s="14">
        <v>33.5</v>
      </c>
      <c r="S20" s="14">
        <v>26.5</v>
      </c>
      <c r="T20" s="14">
        <v>25</v>
      </c>
      <c r="U20" s="14">
        <v>2.3</v>
      </c>
      <c r="V20" s="193">
        <f>R20*S20*T20/6000</f>
        <v>3.69895833333333</v>
      </c>
      <c r="W20" s="193">
        <f>MAX(U20:V20)</f>
        <v>3.69895833333333</v>
      </c>
      <c r="X20" s="20" t="s">
        <v>21</v>
      </c>
      <c r="Y20" s="196">
        <v>6.084</v>
      </c>
      <c r="Z20" s="197">
        <v>32.9</v>
      </c>
      <c r="AA20" s="193">
        <f>H20-SUM(K20:P20)*H20-J20-I20/B20-Z20/B20</f>
        <v>3.81068870206489</v>
      </c>
      <c r="AB20" s="195">
        <f>AA20/H20</f>
        <v>0.0640543388898396</v>
      </c>
      <c r="AC20" s="14"/>
      <c r="AD20" s="17">
        <f>J20/H20</f>
        <v>0.0872393535210913</v>
      </c>
      <c r="AE20" s="18">
        <f>I20/7.4/H20</f>
        <v>0.278409910662722</v>
      </c>
      <c r="AF20" s="18">
        <f>Z20/7.4/H20</f>
        <v>0.074732456669372</v>
      </c>
      <c r="AG20" s="18">
        <v>0.15</v>
      </c>
      <c r="AH20" s="18">
        <f>N20</f>
        <v>0.168091239925031</v>
      </c>
      <c r="AI20" s="18">
        <v>0.02</v>
      </c>
      <c r="AJ20" s="18">
        <f>M20</f>
        <v>0.05</v>
      </c>
    </row>
    <row r="21" spans="1:75">
      <c r="A21" s="199" t="s">
        <v>509</v>
      </c>
      <c r="B21" s="14">
        <v>9</v>
      </c>
      <c r="C21" s="20" t="s">
        <v>517</v>
      </c>
      <c r="D21" s="20" t="s">
        <v>300</v>
      </c>
      <c r="E21" s="20" t="s">
        <v>507</v>
      </c>
      <c r="F21" s="193">
        <f>IF(E21="有",(I21/B21+J21+Z21/B21)/(0.99999-K21-L21-M21-N21),(I21/B21+J21+Z21/B21)/(0.99999-K21-M21-N21))</f>
        <v>48.6874280592246</v>
      </c>
      <c r="G21" s="193">
        <f>IF(E21="有",(I21/B21+J21+Z21/B21)/(0.8-K21-L21-M21-N21-O21-P21),(I21/B21+J21+Z21/B21)/(0.8-K21-M21-N21-O21-P21))</f>
        <v>97.4542251394617</v>
      </c>
      <c r="H21" s="194">
        <f>H19*0.8</f>
        <v>55.992</v>
      </c>
      <c r="I21" s="193">
        <f>138.5/1.13</f>
        <v>122.566371681416</v>
      </c>
      <c r="J21" s="20">
        <v>5.19</v>
      </c>
      <c r="K21" s="18">
        <v>0.15</v>
      </c>
      <c r="L21" s="18">
        <v>0.16</v>
      </c>
      <c r="M21" s="18">
        <v>0.05</v>
      </c>
      <c r="N21" s="18">
        <f>Q21/H21</f>
        <v>0.178596942420346</v>
      </c>
      <c r="O21" s="195">
        <f>0.61/H21</f>
        <v>0.0108944134876411</v>
      </c>
      <c r="P21" s="18">
        <v>0.02</v>
      </c>
      <c r="Q21" s="193">
        <v>10</v>
      </c>
      <c r="R21" s="14">
        <v>33.5</v>
      </c>
      <c r="S21" s="14">
        <v>26.5</v>
      </c>
      <c r="T21" s="14">
        <v>25</v>
      </c>
      <c r="U21" s="14">
        <v>2.3</v>
      </c>
      <c r="V21" s="193">
        <f>R21*S21*T21/6000</f>
        <v>3.69895833333333</v>
      </c>
      <c r="W21" s="193">
        <f>MAX(U21:V21)</f>
        <v>3.69895833333333</v>
      </c>
      <c r="X21" s="20" t="s">
        <v>21</v>
      </c>
      <c r="Y21" s="196">
        <v>6.084</v>
      </c>
      <c r="Z21" s="197">
        <v>32.9</v>
      </c>
      <c r="AA21" s="193">
        <f>H21-SUM(K21:P21)*H21-J21-I21/B21-Z21/B21</f>
        <v>1.64099870206489</v>
      </c>
      <c r="AB21" s="195">
        <f>AA21/H21</f>
        <v>0.0293077350704546</v>
      </c>
      <c r="AC21" s="14"/>
      <c r="AD21" s="17">
        <f>J21/H21</f>
        <v>0.0926918131161595</v>
      </c>
      <c r="AE21" s="18">
        <f>I21/7.4/H21</f>
        <v>0.295810530079142</v>
      </c>
      <c r="AF21" s="18">
        <f>Z21/7.4/H21</f>
        <v>0.0794032352112078</v>
      </c>
      <c r="AG21" s="18">
        <v>0.15</v>
      </c>
      <c r="AH21" s="18">
        <f>N21</f>
        <v>0.178596942420346</v>
      </c>
      <c r="AI21" s="18">
        <v>0.02</v>
      </c>
      <c r="AJ21" s="18">
        <f>M21</f>
        <v>0.05</v>
      </c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</row>
    <row r="22" spans="1:75">
      <c r="B22" s="20"/>
      <c r="C22" s="20"/>
      <c r="D22" s="20"/>
      <c r="E22" s="20"/>
      <c r="F22" s="193"/>
      <c r="G22" s="193"/>
      <c r="H22" s="198"/>
      <c r="I22" s="193"/>
      <c r="J22" s="20"/>
      <c r="K22" s="18"/>
      <c r="L22" s="18"/>
      <c r="M22" s="18"/>
      <c r="N22" s="18"/>
      <c r="O22" s="195"/>
      <c r="P22" s="18"/>
      <c r="Q22" s="18"/>
      <c r="R22" s="14"/>
      <c r="S22" s="14"/>
      <c r="T22" s="14"/>
      <c r="U22" s="14"/>
      <c r="V22" s="193"/>
      <c r="W22" s="193"/>
      <c r="X22" s="20"/>
      <c r="Y22" s="196"/>
      <c r="Z22" s="193"/>
      <c r="AA22" s="193"/>
      <c r="AB22" s="195"/>
      <c r="AC22" s="14"/>
      <c r="AD22" s="17"/>
      <c r="AE22" s="18"/>
      <c r="AF22" s="18"/>
      <c r="AG22" s="18"/>
      <c r="AH22" s="18"/>
      <c r="AI22" s="18"/>
      <c r="AJ22" s="18"/>
    </row>
    <row r="23" spans="1:75">
      <c r="A23" s="200" t="s">
        <v>518</v>
      </c>
      <c r="B23" s="14">
        <v>8</v>
      </c>
      <c r="C23" s="20" t="s">
        <v>506</v>
      </c>
      <c r="D23" s="20" t="s">
        <v>277</v>
      </c>
      <c r="E23" s="20" t="s">
        <v>507</v>
      </c>
      <c r="F23" s="193">
        <f>IF(E23="有",(I23/B23+J23+Z23/B23)/(0.99999-K23-L23-M23-N23),(I23/B23+J23+Z23/B23)/(0.99999-K23-M23-N23))</f>
        <v>27.8828506411451</v>
      </c>
      <c r="G23" s="193">
        <f>IF(E23="有",(I23/B23+J23+Z23/B23)/(0.8-K23-L23-M23-N23-O23-P23),(I23/B23+J23+Z23/B23)/(0.8-K23-M23-N23-O23-P23))</f>
        <v>47.0265397542386</v>
      </c>
      <c r="H23" s="194">
        <v>39.99</v>
      </c>
      <c r="I23" s="193">
        <f>100.1/1.13</f>
        <v>88.5840707964602</v>
      </c>
      <c r="J23" s="14">
        <v>3.68</v>
      </c>
      <c r="K23" s="18">
        <v>0.15</v>
      </c>
      <c r="L23" s="18">
        <v>0.16</v>
      </c>
      <c r="M23" s="18">
        <v>0.05</v>
      </c>
      <c r="N23" s="18">
        <f>Q23/H23</f>
        <v>0.0750187546886722</v>
      </c>
      <c r="O23" s="195">
        <v>0.01</v>
      </c>
      <c r="P23" s="18">
        <v>0.02</v>
      </c>
      <c r="Q23" s="193">
        <v>3</v>
      </c>
      <c r="R23" s="14"/>
      <c r="S23" s="14"/>
      <c r="T23" s="14"/>
      <c r="U23" s="14"/>
      <c r="V23" s="193"/>
      <c r="W23" s="193"/>
      <c r="X23" s="14" t="s">
        <v>21</v>
      </c>
      <c r="Y23" s="196">
        <v>5.55136</v>
      </c>
      <c r="Z23" s="197">
        <v>8</v>
      </c>
      <c r="AA23" s="193">
        <f>H23-SUM(K23:P23)*H23-J23-I23/B23-Z23/B23</f>
        <v>5.64089115044248</v>
      </c>
      <c r="AB23" s="195">
        <f>AA23/H23</f>
        <v>0.141057543146849</v>
      </c>
      <c r="AC23" s="14"/>
      <c r="AD23" s="17">
        <f>J23/H23</f>
        <v>0.0920230057514379</v>
      </c>
      <c r="AE23" s="18">
        <f>I23/7.4/H23</f>
        <v>0.299345345783947</v>
      </c>
      <c r="AF23" s="18">
        <f>Z23/7.4/H23</f>
        <v>0.0270337854733954</v>
      </c>
      <c r="AG23" s="18">
        <v>0.15</v>
      </c>
      <c r="AH23" s="18">
        <f>N23</f>
        <v>0.0750187546886722</v>
      </c>
      <c r="AI23" s="18">
        <v>0.02</v>
      </c>
      <c r="AJ23" s="18">
        <f>M23</f>
        <v>0.05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</row>
    <row r="24" spans="1:75">
      <c r="A24" s="200" t="s">
        <v>519</v>
      </c>
      <c r="B24" s="20">
        <v>8</v>
      </c>
      <c r="C24" s="20" t="s">
        <v>506</v>
      </c>
      <c r="D24" s="20" t="s">
        <v>277</v>
      </c>
      <c r="E24" s="20" t="s">
        <v>507</v>
      </c>
      <c r="F24" s="193">
        <f>IF(E24="有",(I24/B24+J24+Z24/B24)/(0.99999-K24-L24-M24-N24),(I24/B24+J24+Z24/B24)/(0.99999-K24-M24-N24))</f>
        <v>28.3003860938266</v>
      </c>
      <c r="G24" s="193">
        <f>IF(E24="有",(I24/B24+J24+Z24/B24)/(0.8-K24-L24-M24-N24-O24-P24),(I24/B24+J24+Z24/B24)/(0.8-K24-M24-N24-O24-P24))</f>
        <v>48.2265729216416</v>
      </c>
      <c r="H24" s="194">
        <f>H23*0.9</f>
        <v>35.991</v>
      </c>
      <c r="I24" s="193">
        <f>100.1/1.13</f>
        <v>88.5840707964602</v>
      </c>
      <c r="J24" s="20">
        <v>3.68</v>
      </c>
      <c r="K24" s="18">
        <v>0.15</v>
      </c>
      <c r="L24" s="18">
        <v>0.16</v>
      </c>
      <c r="M24" s="18">
        <v>0.05</v>
      </c>
      <c r="N24" s="18">
        <f>Q24/H24</f>
        <v>0.0833541718763024</v>
      </c>
      <c r="O24" s="195">
        <v>0.01</v>
      </c>
      <c r="P24" s="18">
        <v>0.02</v>
      </c>
      <c r="Q24" s="193">
        <v>3</v>
      </c>
      <c r="R24" s="14"/>
      <c r="S24" s="14"/>
      <c r="T24" s="14"/>
      <c r="U24" s="14"/>
      <c r="V24" s="193"/>
      <c r="W24" s="193"/>
      <c r="X24" s="20" t="s">
        <v>21</v>
      </c>
      <c r="Y24" s="196">
        <v>5.55136</v>
      </c>
      <c r="Z24" s="197">
        <v>8</v>
      </c>
      <c r="AA24" s="193">
        <f>H24-SUM(K24:P24)*H24-J24-I24/B24-Z24/B24</f>
        <v>3.20150115044248</v>
      </c>
      <c r="AB24" s="195">
        <f>AA24/H24</f>
        <v>0.0889528257187207</v>
      </c>
      <c r="AC24" s="14"/>
      <c r="AD24" s="17">
        <f>J24/H24</f>
        <v>0.102247784168264</v>
      </c>
      <c r="AE24" s="18">
        <f>I24/B24/H24</f>
        <v>0.307660494277945</v>
      </c>
      <c r="AF24" s="18">
        <f>Z24/B24/H24</f>
        <v>0.0277847239587675</v>
      </c>
      <c r="AG24" s="18">
        <f>K24</f>
        <v>0.15</v>
      </c>
      <c r="AH24" s="18">
        <f>N24</f>
        <v>0.0833541718763024</v>
      </c>
      <c r="AI24" s="18">
        <v>0.02</v>
      </c>
      <c r="AJ24" s="18">
        <f>M24</f>
        <v>0.05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</row>
    <row r="25" spans="1:75">
      <c r="A25" s="200" t="s">
        <v>520</v>
      </c>
      <c r="B25" s="20">
        <v>8</v>
      </c>
      <c r="C25" s="20" t="s">
        <v>506</v>
      </c>
      <c r="D25" s="20" t="s">
        <v>277</v>
      </c>
      <c r="E25" s="20" t="s">
        <v>507</v>
      </c>
      <c r="F25" s="193">
        <f>IF(E25="有",(I25/B25+J25+Z25/B25)/(0.99999-K25-L25-M25-N25),(I25/B25+J25+Z25/B25)/(0.99999-K25-M25-N25))</f>
        <v>24.6144609283856</v>
      </c>
      <c r="G25" s="193">
        <f>IF(E25="有",(I25/B25+J25+Z25/B25)/(0.8-K25-L25-M25-N25-O25-P25),(I25/B25+J25+Z25/B25)/(0.8-K25-M25-N25-O25-P25))</f>
        <v>38.4219728037988</v>
      </c>
      <c r="H25" s="201">
        <f>H23*0.85</f>
        <v>33.9915</v>
      </c>
      <c r="I25" s="193">
        <f>100.1/1.13</f>
        <v>88.5840707964602</v>
      </c>
      <c r="J25" s="20">
        <v>3.68</v>
      </c>
      <c r="K25" s="18">
        <v>0.15</v>
      </c>
      <c r="L25" s="18">
        <v>0.16</v>
      </c>
      <c r="M25" s="18">
        <v>0.05</v>
      </c>
      <c r="N25" s="18">
        <f>Q25/H25</f>
        <v>0</v>
      </c>
      <c r="O25" s="195">
        <v>0.01</v>
      </c>
      <c r="P25" s="18">
        <v>0.02</v>
      </c>
      <c r="Q25" s="193">
        <v>0</v>
      </c>
      <c r="R25" s="14"/>
      <c r="S25" s="14"/>
      <c r="T25" s="14"/>
      <c r="U25" s="14"/>
      <c r="V25" s="193"/>
      <c r="W25" s="193"/>
      <c r="X25" s="20" t="s">
        <v>21</v>
      </c>
      <c r="Y25" s="196">
        <v>5.55136</v>
      </c>
      <c r="Z25" s="197">
        <v>8</v>
      </c>
      <c r="AA25" s="193">
        <f>H25-SUM(K25:P25)*H25-J25-I25/B25-Z25/B25</f>
        <v>4.98180615044248</v>
      </c>
      <c r="AB25" s="195">
        <f>AA25/H25</f>
        <v>0.14656035039473</v>
      </c>
      <c r="AC25" s="14"/>
      <c r="AD25" s="17">
        <f>J25/H25</f>
        <v>0.108262359707574</v>
      </c>
      <c r="AE25" s="18">
        <f>I25/B25/H25</f>
        <v>0.325758170411942</v>
      </c>
      <c r="AF25" s="18">
        <f>Z25/B25/H25</f>
        <v>0.0294191194857538</v>
      </c>
      <c r="AG25" s="18">
        <f>K25</f>
        <v>0.15</v>
      </c>
      <c r="AH25" s="18">
        <f>N25</f>
        <v>0</v>
      </c>
      <c r="AI25" s="18">
        <v>0.02</v>
      </c>
      <c r="AJ25" s="18">
        <f>M25</f>
        <v>0.05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</row>
    <row r="26" spans="1:75">
      <c r="A26" s="200" t="s">
        <v>521</v>
      </c>
      <c r="B26" s="20">
        <v>8</v>
      </c>
      <c r="C26" s="20" t="s">
        <v>506</v>
      </c>
      <c r="D26" s="20" t="s">
        <v>277</v>
      </c>
      <c r="E26" s="20" t="s">
        <v>507</v>
      </c>
      <c r="F26" s="193">
        <f>IF(E26="有",(I26/B26+J26+Z26/B26)/(0.99999-K26-L26-M26-N26),(I26/B26+J26+Z26/B26)/(0.99999-K26-M26-N26))</f>
        <v>24.6144609283856</v>
      </c>
      <c r="G26" s="193">
        <f>IF(E26="有",(I26/B26+J26+Z26/B26)/(0.8-K26-L26-M26-N26-O26-P26),(I26/B26+J26+Z26/B26)/(0.8-K26-M26-N26-O26-P26))</f>
        <v>38.4219728037988</v>
      </c>
      <c r="H26" s="194">
        <v>29.99</v>
      </c>
      <c r="I26" s="193">
        <f>100.1/1.13</f>
        <v>88.5840707964602</v>
      </c>
      <c r="J26" s="20">
        <v>3.68</v>
      </c>
      <c r="K26" s="18">
        <v>0.15</v>
      </c>
      <c r="L26" s="18">
        <v>0.16</v>
      </c>
      <c r="M26" s="18">
        <v>0.05</v>
      </c>
      <c r="N26" s="18">
        <f>Q26/H26</f>
        <v>0</v>
      </c>
      <c r="O26" s="195">
        <v>0.01</v>
      </c>
      <c r="P26" s="18">
        <v>0.02</v>
      </c>
      <c r="Q26" s="193">
        <v>0</v>
      </c>
      <c r="R26" s="14"/>
      <c r="S26" s="14"/>
      <c r="T26" s="14"/>
      <c r="U26" s="14"/>
      <c r="V26" s="193"/>
      <c r="W26" s="193"/>
      <c r="X26" s="20" t="s">
        <v>21</v>
      </c>
      <c r="Y26" s="196">
        <v>5.55136</v>
      </c>
      <c r="Z26" s="197">
        <v>8</v>
      </c>
      <c r="AA26" s="193">
        <f>H26-SUM(K26:P26)*H26-J26-I26/B26-Z26/B26</f>
        <v>2.54089115044248</v>
      </c>
      <c r="AB26" s="195">
        <f>AA26/H26</f>
        <v>0.0847246132191557</v>
      </c>
      <c r="AC26" s="14"/>
      <c r="AD26" s="17">
        <f>J26/H26</f>
        <v>0.12270756918973</v>
      </c>
      <c r="AE26" s="18">
        <f>I26/7.4/H26</f>
        <v>0.399160399396466</v>
      </c>
      <c r="AF26" s="18">
        <f>Z26/7.4/H26</f>
        <v>0.0360480520533872</v>
      </c>
      <c r="AG26" s="18">
        <v>0.15</v>
      </c>
      <c r="AH26" s="18">
        <f>N26</f>
        <v>0</v>
      </c>
      <c r="AI26" s="18">
        <v>0.02</v>
      </c>
      <c r="AJ26" s="18">
        <f>M26</f>
        <v>0.05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</row>
    <row r="27" ht="21" customHeight="1" spans="1:75">
      <c r="E27" s="20"/>
      <c r="F27" s="193"/>
      <c r="G27" s="193"/>
      <c r="H27" s="20"/>
      <c r="I27" s="193"/>
      <c r="J27" s="20"/>
      <c r="K27" s="18"/>
      <c r="L27" s="18"/>
      <c r="M27" s="18"/>
      <c r="N27" s="18"/>
      <c r="O27" s="195"/>
      <c r="P27" s="18"/>
      <c r="Q27" s="18"/>
      <c r="R27" s="14"/>
      <c r="S27" s="14"/>
      <c r="T27" s="14"/>
      <c r="U27" s="14"/>
      <c r="V27" s="193"/>
      <c r="W27" s="193"/>
      <c r="X27" s="20"/>
      <c r="Y27" s="196"/>
      <c r="Z27" s="193"/>
      <c r="AA27" s="193"/>
      <c r="AB27" s="195"/>
      <c r="AC27" s="14"/>
      <c r="AD27" s="17"/>
      <c r="AE27" s="18"/>
      <c r="AF27" s="18"/>
      <c r="AG27" s="18"/>
      <c r="AH27" s="18"/>
      <c r="AI27" s="18"/>
      <c r="AJ27" s="18"/>
    </row>
    <row r="28" spans="1:75">
      <c r="A28" s="200" t="s">
        <v>518</v>
      </c>
      <c r="B28" s="20">
        <v>8</v>
      </c>
      <c r="C28" s="14" t="s">
        <v>510</v>
      </c>
      <c r="D28" s="14" t="s">
        <v>511</v>
      </c>
      <c r="E28" s="20" t="s">
        <v>507</v>
      </c>
      <c r="F28" s="193">
        <f>IF(E28="有",(I28/B28+J28+Z28/B28)/(0.99999-K28-L28-M28-N28),(I28/B28+J28+Z28/B28)/(0.99999-K28-M28-N28))</f>
        <v>31.794554145245</v>
      </c>
      <c r="G28" s="193">
        <f>IF(E28="有",(I28/B28+J28+Z28/B28)/(0.8-K28-L28-M28-N28-O28-P28),(I28/B28+J28+Z28/B28)/(0.8-K28-M28-N28-O28-P28))</f>
        <v>53.6239240285315</v>
      </c>
      <c r="H28" s="194">
        <v>39.99</v>
      </c>
      <c r="I28" s="193">
        <f>100.1/1.13</f>
        <v>88.5840707964602</v>
      </c>
      <c r="J28" s="14">
        <v>5.89</v>
      </c>
      <c r="K28" s="18">
        <v>0.15</v>
      </c>
      <c r="L28" s="18">
        <v>0.16</v>
      </c>
      <c r="M28" s="18">
        <v>0.05</v>
      </c>
      <c r="N28" s="18">
        <f>Q28/H28</f>
        <v>0.0750187546886722</v>
      </c>
      <c r="O28" s="195">
        <v>0.01</v>
      </c>
      <c r="P28" s="18">
        <v>0.02</v>
      </c>
      <c r="Q28" s="193">
        <v>3</v>
      </c>
      <c r="R28" s="14"/>
      <c r="S28" s="14"/>
      <c r="T28" s="14"/>
      <c r="U28" s="14"/>
      <c r="V28" s="193"/>
      <c r="W28" s="193"/>
      <c r="X28" s="14" t="s">
        <v>21</v>
      </c>
      <c r="Y28" s="196">
        <v>5.55136</v>
      </c>
      <c r="Z28" s="197">
        <v>8</v>
      </c>
      <c r="AA28" s="193">
        <f>H28-SUM(K28:P28)*H28-J28-I28/B28-Z28/B28</f>
        <v>3.43089115044248</v>
      </c>
      <c r="AB28" s="195">
        <f>AA28/H28</f>
        <v>0.0857937271928602</v>
      </c>
      <c r="AC28" s="14"/>
      <c r="AD28" s="17">
        <f>J28/H28</f>
        <v>0.147286821705426</v>
      </c>
      <c r="AE28" s="18">
        <f>I28/7.4/H28</f>
        <v>0.299345345783947</v>
      </c>
      <c r="AF28" s="18">
        <f>Z28/7.4/H28</f>
        <v>0.0270337854733954</v>
      </c>
      <c r="AG28" s="18">
        <v>0.15</v>
      </c>
      <c r="AH28" s="18">
        <f>N28</f>
        <v>0.0750187546886722</v>
      </c>
      <c r="AI28" s="18">
        <v>0.02</v>
      </c>
      <c r="AJ28" s="18">
        <f>M28</f>
        <v>0.05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</row>
    <row r="29" spans="1:75">
      <c r="A29" s="200" t="s">
        <v>519</v>
      </c>
      <c r="B29" s="20">
        <v>8</v>
      </c>
      <c r="C29" s="20" t="s">
        <v>510</v>
      </c>
      <c r="D29" s="20" t="s">
        <v>511</v>
      </c>
      <c r="E29" s="20" t="s">
        <v>507</v>
      </c>
      <c r="F29" s="193">
        <f>IF(E29="有",(I29/B29+J29+Z29/B29)/(0.99999-K29-L29-M29-N29),(I29/B29+J29+Z29/B29)/(0.99999-K29-M29-N29))</f>
        <v>32.2706659219315</v>
      </c>
      <c r="G29" s="193">
        <f>IF(E29="有",(I29/B29+J29+Z29/B29)/(0.8-K29-L29-M29-N29-O29-P29),(I29/B29+J29+Z29/B29)/(0.8-K29-M29-N29-O29-P29))</f>
        <v>54.9923106403646</v>
      </c>
      <c r="H29" s="194">
        <f>H28*0.9</f>
        <v>35.991</v>
      </c>
      <c r="I29" s="193">
        <f>100.1/1.13</f>
        <v>88.5840707964602</v>
      </c>
      <c r="J29" s="20">
        <v>5.89</v>
      </c>
      <c r="K29" s="18">
        <v>0.15</v>
      </c>
      <c r="L29" s="18">
        <v>0.16</v>
      </c>
      <c r="M29" s="18">
        <v>0.05</v>
      </c>
      <c r="N29" s="18">
        <f>Q29/H29</f>
        <v>0.0833541718763024</v>
      </c>
      <c r="O29" s="195">
        <v>0.01</v>
      </c>
      <c r="P29" s="18">
        <v>0.02</v>
      </c>
      <c r="Q29" s="193">
        <v>3</v>
      </c>
      <c r="R29" s="14"/>
      <c r="S29" s="14"/>
      <c r="T29" s="14"/>
      <c r="U29" s="14"/>
      <c r="V29" s="193"/>
      <c r="W29" s="193"/>
      <c r="X29" s="20" t="s">
        <v>21</v>
      </c>
      <c r="Y29" s="196">
        <v>5.55136</v>
      </c>
      <c r="Z29" s="197">
        <v>8</v>
      </c>
      <c r="AA29" s="193">
        <f>H29-SUM(K29:P29)*H29-J29-I29/B29-Z29/B29</f>
        <v>0.991501150442476</v>
      </c>
      <c r="AB29" s="195">
        <f>AA29/H29</f>
        <v>0.0275485857698446</v>
      </c>
      <c r="AC29" s="14"/>
      <c r="AD29" s="17">
        <f>J29/H29</f>
        <v>0.16365202411714</v>
      </c>
      <c r="AE29" s="18">
        <f>I29/B29/H29</f>
        <v>0.307660494277945</v>
      </c>
      <c r="AF29" s="18">
        <f>Z29/B29/H29</f>
        <v>0.0277847239587675</v>
      </c>
      <c r="AG29" s="18">
        <f>K29</f>
        <v>0.15</v>
      </c>
      <c r="AH29" s="18">
        <f>N29</f>
        <v>0.0833541718763024</v>
      </c>
      <c r="AI29" s="18">
        <v>0.02</v>
      </c>
      <c r="AJ29" s="18">
        <f>M29</f>
        <v>0.05</v>
      </c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</row>
    <row r="30" spans="1:75">
      <c r="A30" s="200" t="s">
        <v>520</v>
      </c>
      <c r="B30" s="20">
        <v>8</v>
      </c>
      <c r="C30" s="20" t="s">
        <v>510</v>
      </c>
      <c r="D30" s="20" t="s">
        <v>511</v>
      </c>
      <c r="E30" s="20" t="s">
        <v>507</v>
      </c>
      <c r="F30" s="193">
        <f>IF(E30="有",(I30/B30+J30+Z30/B30)/(0.99999-K30-L30-M30-N30),(I30/B30+J30+Z30/B30)/(0.99999-K30-M30-N30))</f>
        <v>32.5574517384541</v>
      </c>
      <c r="G30" s="193">
        <f>IF(E30="有",(I30/B30+J30+Z30/B30)/(0.8-K30-L30-M30-N30-O30-P30),(I30/B30+J30+Z30/B30)/(0.8-K30-M30-N30-O30-P30))</f>
        <v>55.8303641799727</v>
      </c>
      <c r="H30" s="201">
        <f>H28*0.85</f>
        <v>33.9915</v>
      </c>
      <c r="I30" s="193">
        <f>100.1/1.13</f>
        <v>88.5840707964602</v>
      </c>
      <c r="J30" s="20">
        <v>5.89</v>
      </c>
      <c r="K30" s="18">
        <v>0.15</v>
      </c>
      <c r="L30" s="18">
        <v>0.16</v>
      </c>
      <c r="M30" s="18">
        <v>0.05</v>
      </c>
      <c r="N30" s="18">
        <f>Q30/H30</f>
        <v>0.0882573584572614</v>
      </c>
      <c r="O30" s="195">
        <v>0.01</v>
      </c>
      <c r="P30" s="18">
        <v>0.02</v>
      </c>
      <c r="Q30" s="193">
        <v>3</v>
      </c>
      <c r="R30" s="14"/>
      <c r="S30" s="14"/>
      <c r="T30" s="14"/>
      <c r="U30" s="14"/>
      <c r="V30" s="193"/>
      <c r="W30" s="193"/>
      <c r="X30" s="20" t="s">
        <v>21</v>
      </c>
      <c r="Y30" s="196">
        <v>5.55136</v>
      </c>
      <c r="Z30" s="197">
        <v>8</v>
      </c>
      <c r="AA30" s="193">
        <f>H30-SUM(K30:P30)*H30-J30-I30/B30-Z30/B30</f>
        <v>-0.228193849557522</v>
      </c>
      <c r="AB30" s="195">
        <f>AA30/H30</f>
        <v>-0.00671326212604687</v>
      </c>
      <c r="AC30" s="14"/>
      <c r="AD30" s="17">
        <f>J30/H30</f>
        <v>0.17327861377109</v>
      </c>
      <c r="AE30" s="18">
        <f>I30/B30/H30</f>
        <v>0.325758170411942</v>
      </c>
      <c r="AF30" s="18">
        <f>Z30/B30/H30</f>
        <v>0.0294191194857538</v>
      </c>
      <c r="AG30" s="18">
        <f>K30</f>
        <v>0.15</v>
      </c>
      <c r="AH30" s="18">
        <f>N30</f>
        <v>0.0882573584572614</v>
      </c>
      <c r="AI30" s="18">
        <v>0.02</v>
      </c>
      <c r="AJ30" s="18">
        <f>M30</f>
        <v>0.05</v>
      </c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</row>
    <row r="31" spans="1:75">
      <c r="A31" s="200" t="s">
        <v>521</v>
      </c>
      <c r="B31" s="20">
        <v>8</v>
      </c>
      <c r="C31" s="20" t="s">
        <v>510</v>
      </c>
      <c r="D31" s="20" t="s">
        <v>511</v>
      </c>
      <c r="E31" s="20" t="s">
        <v>507</v>
      </c>
      <c r="F31" s="193">
        <f>IF(E31="有",(I31/B31+J31+Z31/B31)/(0.99999-K31-L31-M31-N31),(I31/B31+J31+Z31/B31)/(0.99999-K31-M31-N31))</f>
        <v>32.8862401390447</v>
      </c>
      <c r="G31" s="193">
        <f>IF(E31="有",(I31/B31+J31+Z31/B31)/(0.8-K31-L31-M31-N31-O31-P31),(I31/B31+J31+Z31/B31)/(0.8-K31-M31-N31-O31-P31))</f>
        <v>56.8042388358128</v>
      </c>
      <c r="H31" s="194">
        <f>H28*0.8</f>
        <v>31.992</v>
      </c>
      <c r="I31" s="193">
        <f>100.1/1.13</f>
        <v>88.5840707964602</v>
      </c>
      <c r="J31" s="20">
        <v>5.89</v>
      </c>
      <c r="K31" s="18">
        <v>0.15</v>
      </c>
      <c r="L31" s="18">
        <v>0.16</v>
      </c>
      <c r="M31" s="18">
        <v>0.05</v>
      </c>
      <c r="N31" s="18">
        <f>Q31/H31</f>
        <v>0.0937734433608402</v>
      </c>
      <c r="O31" s="195">
        <v>0.01</v>
      </c>
      <c r="P31" s="18">
        <v>0.02</v>
      </c>
      <c r="Q31" s="193">
        <v>3</v>
      </c>
      <c r="R31" s="14"/>
      <c r="S31" s="14"/>
      <c r="T31" s="14"/>
      <c r="U31" s="14"/>
      <c r="V31" s="193"/>
      <c r="W31" s="193"/>
      <c r="X31" s="20" t="s">
        <v>21</v>
      </c>
      <c r="Y31" s="196">
        <v>5.55136</v>
      </c>
      <c r="Z31" s="197">
        <v>8</v>
      </c>
      <c r="AA31" s="193">
        <f>H31-SUM(K31:P31)*H31-J31-I31/B31-Z31/B31</f>
        <v>-1.44788884955752</v>
      </c>
      <c r="AB31" s="195">
        <f>AA31/H31</f>
        <v>-0.0452578410089247</v>
      </c>
      <c r="AC31" s="14"/>
      <c r="AD31" s="17">
        <f>J31/H31</f>
        <v>0.184108527131783</v>
      </c>
      <c r="AE31" s="18">
        <f>I31/7.4/H31</f>
        <v>0.374181682229933</v>
      </c>
      <c r="AF31" s="18">
        <f>Z31/7.4/H31</f>
        <v>0.0337922318417442</v>
      </c>
      <c r="AG31" s="18">
        <v>0.15</v>
      </c>
      <c r="AH31" s="18">
        <f>N31</f>
        <v>0.0937734433608402</v>
      </c>
      <c r="AI31" s="18">
        <v>0.02</v>
      </c>
      <c r="AJ31" s="18">
        <f>M31</f>
        <v>0.05</v>
      </c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</row>
    <row r="32" ht="21" customHeight="1" spans="1:75">
      <c r="E32" s="20"/>
      <c r="F32" s="193"/>
      <c r="G32" s="193"/>
      <c r="H32" s="20"/>
      <c r="I32" s="193"/>
      <c r="J32" s="20"/>
      <c r="K32" s="18"/>
      <c r="L32" s="18"/>
      <c r="M32" s="18"/>
      <c r="N32" s="18"/>
      <c r="O32" s="195"/>
      <c r="P32" s="18"/>
      <c r="Q32" s="18"/>
      <c r="R32" s="14"/>
      <c r="S32" s="14"/>
      <c r="T32" s="14"/>
      <c r="U32" s="14"/>
      <c r="V32" s="193"/>
      <c r="W32" s="193"/>
      <c r="X32" s="20"/>
      <c r="Y32" s="196"/>
      <c r="Z32" s="193"/>
      <c r="AA32" s="193"/>
      <c r="AB32" s="195"/>
      <c r="AC32" s="14"/>
      <c r="AD32" s="17"/>
      <c r="AE32" s="18"/>
      <c r="AF32" s="18"/>
      <c r="AG32" s="18"/>
      <c r="AH32" s="18"/>
      <c r="AI32" s="18"/>
      <c r="AJ32" s="18"/>
    </row>
    <row r="33" spans="1:75">
      <c r="A33" s="200" t="s">
        <v>518</v>
      </c>
      <c r="B33" s="20">
        <v>8</v>
      </c>
      <c r="C33" s="14" t="s">
        <v>512</v>
      </c>
      <c r="D33" s="14" t="s">
        <v>513</v>
      </c>
      <c r="E33" s="20" t="s">
        <v>507</v>
      </c>
      <c r="F33" s="193">
        <f>IF(E33="有",(I33/B33+J33+Z33/B33)/(0.99999-K33-L33-M33-N33),(I33/B33+J33+Z33/B33)/(0.99999-K33-M33-N33))</f>
        <v>30.1307526548134</v>
      </c>
      <c r="G33" s="193">
        <f>IF(E33="有",(I33/B33+J33+Z33/B33)/(0.8-K33-L33-M33-N33-O33-P33),(I33/B33+J33+Z33/B33)/(0.8-K33-M33-N33-O33-P33))</f>
        <v>50.8177967806422</v>
      </c>
      <c r="H33" s="194">
        <v>39.99</v>
      </c>
      <c r="I33" s="193">
        <f>100.1/1.13</f>
        <v>88.5840707964602</v>
      </c>
      <c r="J33" s="14">
        <v>4.95</v>
      </c>
      <c r="K33" s="18">
        <v>0.15</v>
      </c>
      <c r="L33" s="18">
        <v>0.16</v>
      </c>
      <c r="M33" s="18">
        <v>0.05</v>
      </c>
      <c r="N33" s="18">
        <f>Q33/H33</f>
        <v>0.0750187546886722</v>
      </c>
      <c r="O33" s="195">
        <v>0.01</v>
      </c>
      <c r="P33" s="18">
        <v>0.02</v>
      </c>
      <c r="Q33" s="193">
        <v>3</v>
      </c>
      <c r="R33" s="14"/>
      <c r="S33" s="14"/>
      <c r="T33" s="14"/>
      <c r="U33" s="14"/>
      <c r="V33" s="193"/>
      <c r="W33" s="193"/>
      <c r="X33" s="14" t="s">
        <v>21</v>
      </c>
      <c r="Y33" s="196">
        <v>5.55136</v>
      </c>
      <c r="Z33" s="197">
        <v>8</v>
      </c>
      <c r="AA33" s="193">
        <f>H33-SUM(K33:P33)*H33-J33-I33/B33-Z33/B33</f>
        <v>4.37089115044248</v>
      </c>
      <c r="AB33" s="195">
        <f>AA33/H33</f>
        <v>0.109299603661977</v>
      </c>
      <c r="AC33" s="14"/>
      <c r="AD33" s="17">
        <f>J33/H33</f>
        <v>0.123780945236309</v>
      </c>
      <c r="AE33" s="18">
        <f>I33/7.4/H33</f>
        <v>0.299345345783947</v>
      </c>
      <c r="AF33" s="18">
        <f>Z33/7.4/H33</f>
        <v>0.0270337854733954</v>
      </c>
      <c r="AG33" s="18">
        <v>0.15</v>
      </c>
      <c r="AH33" s="18">
        <f>N33</f>
        <v>0.0750187546886722</v>
      </c>
      <c r="AI33" s="18">
        <v>0.02</v>
      </c>
      <c r="AJ33" s="18">
        <f>M33</f>
        <v>0.05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</row>
    <row r="34" spans="1:75">
      <c r="A34" s="200" t="s">
        <v>519</v>
      </c>
      <c r="B34" s="20">
        <v>8</v>
      </c>
      <c r="C34" s="20" t="s">
        <v>512</v>
      </c>
      <c r="D34" s="20" t="s">
        <v>513</v>
      </c>
      <c r="E34" s="20" t="s">
        <v>507</v>
      </c>
      <c r="F34" s="193">
        <f>IF(E34="有",(I34/B34+J34+Z34/B34)/(0.99999-K34-L34-M34-N34),(I34/B34+J34+Z34/B34)/(0.99999-K34-M34-N34))</f>
        <v>30.5819496149547</v>
      </c>
      <c r="G34" s="193">
        <f>IF(E34="有",(I34/B34+J34+Z34/B34)/(0.8-K34-L34-M34-N34-O34-P34),(I34/B34+J34+Z34/B34)/(0.8-K34-M34-N34-O34-P34))</f>
        <v>52.1145760450707</v>
      </c>
      <c r="H34" s="194">
        <f>H33*0.9</f>
        <v>35.991</v>
      </c>
      <c r="I34" s="193">
        <f>100.1/1.13</f>
        <v>88.5840707964602</v>
      </c>
      <c r="J34" s="20">
        <v>4.95</v>
      </c>
      <c r="K34" s="18">
        <v>0.15</v>
      </c>
      <c r="L34" s="18">
        <v>0.16</v>
      </c>
      <c r="M34" s="18">
        <v>0.05</v>
      </c>
      <c r="N34" s="18">
        <f>Q34/H34</f>
        <v>0.0833541718763024</v>
      </c>
      <c r="O34" s="195">
        <v>0.01</v>
      </c>
      <c r="P34" s="18">
        <v>0.02</v>
      </c>
      <c r="Q34" s="193">
        <v>3</v>
      </c>
      <c r="R34" s="14"/>
      <c r="S34" s="14"/>
      <c r="T34" s="14"/>
      <c r="U34" s="14"/>
      <c r="V34" s="193"/>
      <c r="W34" s="193"/>
      <c r="X34" s="20" t="s">
        <v>21</v>
      </c>
      <c r="Y34" s="196">
        <v>5.55136</v>
      </c>
      <c r="Z34" s="197">
        <v>8</v>
      </c>
      <c r="AA34" s="193">
        <f>H34-SUM(K34:P34)*H34-J34-I34/B34-Z34/B34</f>
        <v>1.93150115044248</v>
      </c>
      <c r="AB34" s="195">
        <f>AA34/H34</f>
        <v>0.053666226291086</v>
      </c>
      <c r="AC34" s="14"/>
      <c r="AD34" s="17">
        <f>J34/H34</f>
        <v>0.137534383595899</v>
      </c>
      <c r="AE34" s="18">
        <f>I34/B34/H34</f>
        <v>0.307660494277945</v>
      </c>
      <c r="AF34" s="18">
        <f>Z34/B34/H34</f>
        <v>0.0277847239587675</v>
      </c>
      <c r="AG34" s="18">
        <f>K34</f>
        <v>0.15</v>
      </c>
      <c r="AH34" s="18">
        <f>N34</f>
        <v>0.0833541718763024</v>
      </c>
      <c r="AI34" s="18">
        <v>0.02</v>
      </c>
      <c r="AJ34" s="18">
        <f>M34</f>
        <v>0.05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</row>
    <row r="35" spans="1:75">
      <c r="A35" s="200" t="s">
        <v>520</v>
      </c>
      <c r="B35" s="20">
        <v>8</v>
      </c>
      <c r="C35" s="20" t="s">
        <v>512</v>
      </c>
      <c r="D35" s="20" t="s">
        <v>513</v>
      </c>
      <c r="E35" s="20" t="s">
        <v>507</v>
      </c>
      <c r="F35" s="193">
        <f>IF(E35="有",(I35/B35+J35+Z35/B35)/(0.99999-K35-L35-M35-N35),(I35/B35+J35+Z35/B35)/(0.99999-K35-M35-N35))</f>
        <v>30.853727997601</v>
      </c>
      <c r="G35" s="193">
        <f>IF(E35="有",(I35/B35+J35+Z35/B35)/(0.8-K35-L35-M35-N35-O35-P35),(I35/B35+J35+Z35/B35)/(0.8-K35-M35-N35-O35-P35))</f>
        <v>52.9087744413769</v>
      </c>
      <c r="H35" s="201">
        <f>H33*0.85</f>
        <v>33.9915</v>
      </c>
      <c r="I35" s="193">
        <f>100.1/1.13</f>
        <v>88.5840707964602</v>
      </c>
      <c r="J35" s="20">
        <v>4.95</v>
      </c>
      <c r="K35" s="18">
        <v>0.15</v>
      </c>
      <c r="L35" s="18">
        <v>0.16</v>
      </c>
      <c r="M35" s="18">
        <v>0.05</v>
      </c>
      <c r="N35" s="18">
        <f>Q35/H35</f>
        <v>0.0882573584572614</v>
      </c>
      <c r="O35" s="195">
        <v>0.01</v>
      </c>
      <c r="P35" s="18">
        <v>0.02</v>
      </c>
      <c r="Q35" s="193">
        <v>3</v>
      </c>
      <c r="R35" s="14"/>
      <c r="S35" s="14"/>
      <c r="T35" s="14"/>
      <c r="U35" s="14"/>
      <c r="V35" s="193"/>
      <c r="W35" s="193"/>
      <c r="X35" s="20" t="s">
        <v>21</v>
      </c>
      <c r="Y35" s="196">
        <v>5.55136</v>
      </c>
      <c r="Z35" s="197">
        <v>8</v>
      </c>
      <c r="AA35" s="193">
        <f>H35-SUM(K35:P35)*H35-J35-I35/B35-Z35/B35</f>
        <v>0.711806150442479</v>
      </c>
      <c r="AB35" s="195">
        <f>AA35/H35</f>
        <v>0.0209407101905617</v>
      </c>
      <c r="AC35" s="14"/>
      <c r="AD35" s="17">
        <f>J35/H35</f>
        <v>0.145624641454481</v>
      </c>
      <c r="AE35" s="18">
        <f>I35/B35/H35</f>
        <v>0.325758170411942</v>
      </c>
      <c r="AF35" s="18">
        <f>Z35/B35/H35</f>
        <v>0.0294191194857538</v>
      </c>
      <c r="AG35" s="18">
        <f>K35</f>
        <v>0.15</v>
      </c>
      <c r="AH35" s="18">
        <f>N35</f>
        <v>0.0882573584572614</v>
      </c>
      <c r="AI35" s="18">
        <v>0.02</v>
      </c>
      <c r="AJ35" s="18">
        <f>M35</f>
        <v>0.05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</row>
    <row r="36" spans="1:75">
      <c r="A36" s="200" t="s">
        <v>521</v>
      </c>
      <c r="B36" s="20">
        <v>8</v>
      </c>
      <c r="C36" s="20" t="s">
        <v>512</v>
      </c>
      <c r="D36" s="20" t="s">
        <v>513</v>
      </c>
      <c r="E36" s="20" t="s">
        <v>507</v>
      </c>
      <c r="F36" s="193">
        <f>IF(E36="有",(I36/B36+J36+Z36/B36)/(0.99999-K36-L36-M36-N36),(I36/B36+J36+Z36/B36)/(0.99999-K36-M36-N36))</f>
        <v>31.1653109790358</v>
      </c>
      <c r="G36" s="193">
        <f>IF(E36="有",(I36/B36+J36+Z36/B36)/(0.8-K36-L36-M36-N36-O36-P36),(I36/B36+J36+Z36/B36)/(0.8-K36-M36-N36-O36-P36))</f>
        <v>53.8316864670609</v>
      </c>
      <c r="H36" s="194">
        <f>H33*0.8</f>
        <v>31.992</v>
      </c>
      <c r="I36" s="193">
        <f>100.1/1.13</f>
        <v>88.5840707964602</v>
      </c>
      <c r="J36" s="20">
        <v>4.95</v>
      </c>
      <c r="K36" s="18">
        <v>0.15</v>
      </c>
      <c r="L36" s="18">
        <v>0.16</v>
      </c>
      <c r="M36" s="18">
        <v>0.05</v>
      </c>
      <c r="N36" s="18">
        <f>Q36/H36</f>
        <v>0.0937734433608402</v>
      </c>
      <c r="O36" s="195">
        <v>0.01</v>
      </c>
      <c r="P36" s="18">
        <v>0.02</v>
      </c>
      <c r="Q36" s="193">
        <v>3</v>
      </c>
      <c r="R36" s="14"/>
      <c r="S36" s="14"/>
      <c r="T36" s="14"/>
      <c r="U36" s="14"/>
      <c r="V36" s="193"/>
      <c r="W36" s="193"/>
      <c r="X36" s="20" t="s">
        <v>21</v>
      </c>
      <c r="Y36" s="196">
        <v>5.55136</v>
      </c>
      <c r="Z36" s="197">
        <v>8</v>
      </c>
      <c r="AA36" s="193">
        <f>H36-SUM(K36:P36)*H36-J36-I36/B36-Z36/B36</f>
        <v>-0.507888849557519</v>
      </c>
      <c r="AB36" s="195">
        <f>AA36/H36</f>
        <v>-0.0158754954225281</v>
      </c>
      <c r="AC36" s="14"/>
      <c r="AD36" s="17">
        <f>J36/H36</f>
        <v>0.154726181545386</v>
      </c>
      <c r="AE36" s="18">
        <f>I36/7.4/H36</f>
        <v>0.374181682229933</v>
      </c>
      <c r="AF36" s="18">
        <f>Z36/7.4/H36</f>
        <v>0.0337922318417442</v>
      </c>
      <c r="AG36" s="18">
        <v>0.15</v>
      </c>
      <c r="AH36" s="18">
        <f>N36</f>
        <v>0.0937734433608402</v>
      </c>
      <c r="AI36" s="18">
        <v>0.02</v>
      </c>
      <c r="AJ36" s="18">
        <f>M36</f>
        <v>0.05</v>
      </c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</row>
    <row r="37" ht="21" customHeight="1" spans="1:75">
      <c r="E37" s="20"/>
      <c r="F37" s="193"/>
      <c r="G37" s="193"/>
      <c r="H37" s="20"/>
      <c r="I37" s="193"/>
      <c r="J37" s="20"/>
      <c r="K37" s="18"/>
      <c r="L37" s="18"/>
      <c r="M37" s="18"/>
      <c r="N37" s="18"/>
      <c r="O37" s="195"/>
      <c r="P37" s="18"/>
      <c r="Q37" s="18"/>
      <c r="R37" s="14"/>
      <c r="S37" s="14"/>
      <c r="T37" s="14"/>
      <c r="U37" s="14"/>
      <c r="V37" s="193"/>
      <c r="W37" s="193"/>
      <c r="X37" s="20"/>
      <c r="Y37" s="196"/>
      <c r="Z37" s="193"/>
      <c r="AA37" s="193"/>
      <c r="AB37" s="195"/>
      <c r="AC37" s="14"/>
      <c r="AD37" s="17"/>
      <c r="AE37" s="18"/>
      <c r="AF37" s="18"/>
      <c r="AG37" s="18"/>
      <c r="AH37" s="18"/>
      <c r="AI37" s="18"/>
      <c r="AJ37" s="18"/>
    </row>
    <row r="38" spans="1:75">
      <c r="A38" s="200" t="s">
        <v>518</v>
      </c>
      <c r="B38" s="20">
        <v>8</v>
      </c>
      <c r="C38" s="14" t="s">
        <v>515</v>
      </c>
      <c r="D38" s="14" t="s">
        <v>516</v>
      </c>
      <c r="E38" s="20" t="s">
        <v>507</v>
      </c>
      <c r="F38" s="193">
        <f>IF(E38="有",(I38/B38+J38+Z38/B38)/(0.99999-K38-L38-M38-N38),(I38/B38+J38+Z38/B38)/(0.99999-K38-M38-N38))</f>
        <v>28.3607510692478</v>
      </c>
      <c r="G38" s="193">
        <f>IF(E38="有",(I38/B38+J38+Z38/B38)/(0.8-K38-L38-M38-N38-O38-P38),(I38/B38+J38+Z38/B38)/(0.8-K38-M38-N38-O38-P38))</f>
        <v>47.8325550275685</v>
      </c>
      <c r="H38" s="194">
        <v>39.99</v>
      </c>
      <c r="I38" s="193">
        <f>100.1/1.13</f>
        <v>88.5840707964602</v>
      </c>
      <c r="J38" s="14">
        <v>3.95</v>
      </c>
      <c r="K38" s="18">
        <v>0.15</v>
      </c>
      <c r="L38" s="18">
        <v>0.16</v>
      </c>
      <c r="M38" s="18">
        <v>0.05</v>
      </c>
      <c r="N38" s="18">
        <f>Q38/H38</f>
        <v>0.0750187546886722</v>
      </c>
      <c r="O38" s="195">
        <v>0.01</v>
      </c>
      <c r="P38" s="18">
        <v>0.02</v>
      </c>
      <c r="Q38" s="193">
        <v>3</v>
      </c>
      <c r="R38" s="14"/>
      <c r="S38" s="14"/>
      <c r="T38" s="14"/>
      <c r="U38" s="14"/>
      <c r="V38" s="193"/>
      <c r="W38" s="193"/>
      <c r="X38" s="14" t="s">
        <v>21</v>
      </c>
      <c r="Y38" s="196">
        <v>5.55136</v>
      </c>
      <c r="Z38" s="197">
        <v>8</v>
      </c>
      <c r="AA38" s="193">
        <f>H38-SUM(K38:P38)*H38-J38-I38/B38-Z38/B38</f>
        <v>5.37089115044248</v>
      </c>
      <c r="AB38" s="195">
        <f>AA38/H38</f>
        <v>0.134305855224868</v>
      </c>
      <c r="AC38" s="14"/>
      <c r="AD38" s="17">
        <f>J38/H38</f>
        <v>0.0987746936734184</v>
      </c>
      <c r="AE38" s="18">
        <f>I38/7.4/H38</f>
        <v>0.299345345783947</v>
      </c>
      <c r="AF38" s="18">
        <f>Z38/7.4/H38</f>
        <v>0.0270337854733954</v>
      </c>
      <c r="AG38" s="18">
        <v>0.15</v>
      </c>
      <c r="AH38" s="18">
        <f>N38</f>
        <v>0.0750187546886722</v>
      </c>
      <c r="AI38" s="18">
        <v>0.02</v>
      </c>
      <c r="AJ38" s="18">
        <f>M38</f>
        <v>0.05</v>
      </c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</row>
    <row r="39" spans="1:75">
      <c r="A39" s="200" t="s">
        <v>519</v>
      </c>
      <c r="B39" s="20">
        <v>8</v>
      </c>
      <c r="C39" s="20" t="s">
        <v>515</v>
      </c>
      <c r="D39" s="20" t="s">
        <v>516</v>
      </c>
      <c r="E39" s="20" t="s">
        <v>507</v>
      </c>
      <c r="F39" s="193">
        <f>IF(E39="有",(I39/B39+J39+Z39/B39)/(0.99999-K39-L39-M39-N39),(I39/B39+J39+Z39/B39)/(0.99999-K39-M39-N39))</f>
        <v>28.785442905405</v>
      </c>
      <c r="G39" s="193">
        <f>IF(E39="有",(I39/B39+J39+Z39/B39)/(0.8-K39-L39-M39-N39-O39-P39),(I39/B39+J39+Z39/B39)/(0.8-K39-M39-N39-O39-P39))</f>
        <v>49.0531562628431</v>
      </c>
      <c r="H39" s="194">
        <f>H38*0.9</f>
        <v>35.991</v>
      </c>
      <c r="I39" s="193">
        <f>100.1/1.13</f>
        <v>88.5840707964602</v>
      </c>
      <c r="J39" s="20">
        <v>3.95</v>
      </c>
      <c r="K39" s="18">
        <v>0.15</v>
      </c>
      <c r="L39" s="18">
        <v>0.16</v>
      </c>
      <c r="M39" s="18">
        <v>0.05</v>
      </c>
      <c r="N39" s="18">
        <f>Q39/H39</f>
        <v>0.0833541718763024</v>
      </c>
      <c r="O39" s="195">
        <v>0.01</v>
      </c>
      <c r="P39" s="18">
        <v>0.02</v>
      </c>
      <c r="Q39" s="193">
        <v>3</v>
      </c>
      <c r="R39" s="14"/>
      <c r="S39" s="14"/>
      <c r="T39" s="14"/>
      <c r="U39" s="14"/>
      <c r="V39" s="193"/>
      <c r="W39" s="193"/>
      <c r="X39" s="20" t="s">
        <v>21</v>
      </c>
      <c r="Y39" s="196">
        <v>5.55136</v>
      </c>
      <c r="Z39" s="197">
        <v>8</v>
      </c>
      <c r="AA39" s="193">
        <f>H39-SUM(K39:P39)*H39-J39-I39/B39-Z39/B39</f>
        <v>2.93150115044248</v>
      </c>
      <c r="AB39" s="195">
        <f>AA39/H39</f>
        <v>0.0814509502498535</v>
      </c>
      <c r="AC39" s="14"/>
      <c r="AD39" s="17">
        <f>J39/H39</f>
        <v>0.109749659637132</v>
      </c>
      <c r="AE39" s="18">
        <f>I39/B39/H39</f>
        <v>0.307660494277945</v>
      </c>
      <c r="AF39" s="18">
        <f>Z39/B39/H39</f>
        <v>0.0277847239587675</v>
      </c>
      <c r="AG39" s="18">
        <f>K39</f>
        <v>0.15</v>
      </c>
      <c r="AH39" s="18">
        <f>N39</f>
        <v>0.0833541718763024</v>
      </c>
      <c r="AI39" s="18">
        <v>0.02</v>
      </c>
      <c r="AJ39" s="18">
        <f>M39</f>
        <v>0.05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</row>
    <row r="40" spans="1:75">
      <c r="A40" s="200" t="s">
        <v>520</v>
      </c>
      <c r="B40" s="20">
        <v>8</v>
      </c>
      <c r="C40" s="20" t="s">
        <v>515</v>
      </c>
      <c r="D40" s="20" t="s">
        <v>516</v>
      </c>
      <c r="E40" s="20" t="s">
        <v>507</v>
      </c>
      <c r="F40" s="193">
        <f>IF(E40="有",(I40/B40+J40+Z40/B40)/(0.99999-K40-L40-M40-N40),(I40/B40+J40+Z40/B40)/(0.99999-K40-M40-N40))</f>
        <v>29.0412559328635</v>
      </c>
      <c r="G40" s="193">
        <f>IF(E40="有",(I40/B40+J40+Z40/B40)/(0.8-K40-L40-M40-N40-O40-P40),(I40/B40+J40+Z40/B40)/(0.8-K40-M40-N40-O40-P40))</f>
        <v>49.8007002513812</v>
      </c>
      <c r="H40" s="201">
        <f>H38*0.85</f>
        <v>33.9915</v>
      </c>
      <c r="I40" s="193">
        <f>100.1/1.13</f>
        <v>88.5840707964602</v>
      </c>
      <c r="J40" s="20">
        <v>3.95</v>
      </c>
      <c r="K40" s="18">
        <v>0.15</v>
      </c>
      <c r="L40" s="18">
        <v>0.16</v>
      </c>
      <c r="M40" s="18">
        <v>0.05</v>
      </c>
      <c r="N40" s="18">
        <f>Q40/H40</f>
        <v>0.0882573584572614</v>
      </c>
      <c r="O40" s="195">
        <v>0.01</v>
      </c>
      <c r="P40" s="18">
        <v>0.02</v>
      </c>
      <c r="Q40" s="193">
        <v>3</v>
      </c>
      <c r="R40" s="14"/>
      <c r="S40" s="14"/>
      <c r="T40" s="14"/>
      <c r="U40" s="14"/>
      <c r="V40" s="193"/>
      <c r="W40" s="193"/>
      <c r="X40" s="20" t="s">
        <v>21</v>
      </c>
      <c r="Y40" s="196">
        <v>5.55136</v>
      </c>
      <c r="Z40" s="197">
        <v>8</v>
      </c>
      <c r="AA40" s="193">
        <f>H40-SUM(K40:P40)*H40-J40-I40/B40-Z40/B40</f>
        <v>1.71180615044248</v>
      </c>
      <c r="AB40" s="195">
        <f>AA40/H40</f>
        <v>0.0503598296763155</v>
      </c>
      <c r="AC40" s="14"/>
      <c r="AD40" s="17">
        <f>J40/H40</f>
        <v>0.116205521968727</v>
      </c>
      <c r="AE40" s="18">
        <f>I40/B40/H40</f>
        <v>0.325758170411942</v>
      </c>
      <c r="AF40" s="18">
        <f>Z40/B40/H40</f>
        <v>0.0294191194857538</v>
      </c>
      <c r="AG40" s="18">
        <f>K40</f>
        <v>0.15</v>
      </c>
      <c r="AH40" s="18">
        <f>N40</f>
        <v>0.0882573584572614</v>
      </c>
      <c r="AI40" s="18">
        <v>0.02</v>
      </c>
      <c r="AJ40" s="18">
        <f>M40</f>
        <v>0.05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</row>
    <row r="41" spans="1:75">
      <c r="A41" s="200" t="s">
        <v>521</v>
      </c>
      <c r="B41" s="20">
        <v>8</v>
      </c>
      <c r="C41" s="20" t="s">
        <v>515</v>
      </c>
      <c r="D41" s="20" t="s">
        <v>516</v>
      </c>
      <c r="E41" s="20" t="s">
        <v>507</v>
      </c>
      <c r="F41" s="193">
        <f>IF(E41="有",(I41/B41+J41+Z41/B41)/(0.99999-K41-L41-M41-N41),(I41/B41+J41+Z41/B41)/(0.99999-K41-M41-N41))</f>
        <v>29.3345352768986</v>
      </c>
      <c r="G41" s="193">
        <f>IF(E41="有",(I41/B41+J41+Z41/B41)/(0.8-K41-L41-M41-N41-O41-P41),(I41/B41+J41+Z41/B41)/(0.8-K41-M41-N41-O41-P41))</f>
        <v>50.6693967130695</v>
      </c>
      <c r="H41" s="194">
        <f>H38*0.8</f>
        <v>31.992</v>
      </c>
      <c r="I41" s="193">
        <f>100.1/1.13</f>
        <v>88.5840707964602</v>
      </c>
      <c r="J41" s="20">
        <v>3.95</v>
      </c>
      <c r="K41" s="18">
        <v>0.15</v>
      </c>
      <c r="L41" s="18">
        <v>0.16</v>
      </c>
      <c r="M41" s="18">
        <v>0.05</v>
      </c>
      <c r="N41" s="18">
        <f>Q41/H41</f>
        <v>0.0937734433608402</v>
      </c>
      <c r="O41" s="195">
        <v>0.01</v>
      </c>
      <c r="P41" s="18">
        <v>0.02</v>
      </c>
      <c r="Q41" s="193">
        <v>3</v>
      </c>
      <c r="R41" s="14"/>
      <c r="S41" s="14"/>
      <c r="T41" s="14"/>
      <c r="U41" s="14"/>
      <c r="V41" s="193"/>
      <c r="W41" s="193"/>
      <c r="X41" s="20" t="s">
        <v>21</v>
      </c>
      <c r="Y41" s="196">
        <v>5.55136</v>
      </c>
      <c r="Z41" s="197">
        <v>8</v>
      </c>
      <c r="AA41" s="193">
        <f>H41-SUM(K41:P41)*H41-J41-I41/B41-Z41/B41</f>
        <v>0.492111150442481</v>
      </c>
      <c r="AB41" s="195">
        <f>AA41/H41</f>
        <v>0.0153823190310853</v>
      </c>
      <c r="AC41" s="14"/>
      <c r="AD41" s="17">
        <f>J41/H41</f>
        <v>0.123468367091773</v>
      </c>
      <c r="AE41" s="18">
        <f>I41/7.4/H41</f>
        <v>0.374181682229933</v>
      </c>
      <c r="AF41" s="18">
        <f>Z41/7.4/H41</f>
        <v>0.0337922318417442</v>
      </c>
      <c r="AG41" s="18">
        <v>0.15</v>
      </c>
      <c r="AH41" s="18">
        <f>N41</f>
        <v>0.0937734433608402</v>
      </c>
      <c r="AI41" s="18">
        <v>0.02</v>
      </c>
      <c r="AJ41" s="18">
        <f>M41</f>
        <v>0.05</v>
      </c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</row>
    <row r="42" ht="21" customHeight="1" spans="1:75">
      <c r="E42" s="20"/>
      <c r="F42" s="193"/>
      <c r="G42" s="193"/>
      <c r="H42" s="20"/>
      <c r="I42" s="193"/>
      <c r="J42" s="20"/>
      <c r="K42" s="18"/>
      <c r="L42" s="18"/>
      <c r="M42" s="18"/>
      <c r="N42" s="18"/>
      <c r="O42" s="195"/>
      <c r="P42" s="18"/>
      <c r="Q42" s="18"/>
      <c r="R42" s="14"/>
      <c r="S42" s="14"/>
      <c r="T42" s="14"/>
      <c r="U42" s="14"/>
      <c r="V42" s="193"/>
      <c r="W42" s="193"/>
      <c r="X42" s="20"/>
      <c r="Y42" s="196"/>
      <c r="Z42" s="193"/>
      <c r="AA42" s="193"/>
      <c r="AB42" s="195"/>
      <c r="AC42" s="14"/>
      <c r="AD42" s="17"/>
      <c r="AE42" s="18"/>
      <c r="AF42" s="18"/>
      <c r="AG42" s="18"/>
      <c r="AH42" s="18"/>
      <c r="AI42" s="18"/>
      <c r="AJ42" s="18"/>
    </row>
    <row r="43" spans="1:75">
      <c r="A43" s="200" t="s">
        <v>518</v>
      </c>
      <c r="B43" s="14">
        <v>9</v>
      </c>
      <c r="C43" s="14" t="s">
        <v>515</v>
      </c>
      <c r="D43" s="14" t="s">
        <v>300</v>
      </c>
      <c r="E43" s="20" t="s">
        <v>507</v>
      </c>
      <c r="F43" s="193">
        <f>IF(E43="有",(I43/B43+J43+Z43/B43)/(0.99999-K43-L43-M43-N43),(I43/B43+J43+Z43/B43)/(0.99999-K43-M43-N43))</f>
        <v>25.1623564637163</v>
      </c>
      <c r="G43" s="193">
        <f>IF(E43="有",(I43/B43+J43+Z43/B43)/(0.8-K43-L43-M43-N43-O43-P43),(I43/B43+J43+Z43/B43)/(0.8-K43-M43-N43-O43-P43))</f>
        <v>42.4382202444234</v>
      </c>
      <c r="H43" s="194">
        <v>39.99</v>
      </c>
      <c r="I43" s="193">
        <f>100.1/1.13</f>
        <v>88.5840707964602</v>
      </c>
      <c r="J43" s="14">
        <v>3.04</v>
      </c>
      <c r="K43" s="18">
        <v>0.15</v>
      </c>
      <c r="L43" s="18">
        <v>0.16</v>
      </c>
      <c r="M43" s="18">
        <v>0.05</v>
      </c>
      <c r="N43" s="18">
        <f>Q43/H43</f>
        <v>0.0750187546886722</v>
      </c>
      <c r="O43" s="195">
        <v>0.01</v>
      </c>
      <c r="P43" s="18">
        <v>0.02</v>
      </c>
      <c r="Q43" s="193">
        <v>3</v>
      </c>
      <c r="R43" s="14"/>
      <c r="S43" s="14"/>
      <c r="T43" s="14"/>
      <c r="U43" s="14"/>
      <c r="V43" s="193"/>
      <c r="W43" s="193"/>
      <c r="X43" s="14" t="s">
        <v>21</v>
      </c>
      <c r="Y43" s="196">
        <v>5.55136</v>
      </c>
      <c r="Z43" s="197">
        <v>12</v>
      </c>
      <c r="AA43" s="193">
        <f>H43-SUM(K43:P43)*H43-J43-I43/B43-Z43/B43</f>
        <v>7.17789213372665</v>
      </c>
      <c r="AB43" s="195">
        <f>AA43/H43</f>
        <v>0.179492176387263</v>
      </c>
      <c r="AC43" s="14"/>
      <c r="AD43" s="17">
        <f>J43/H43</f>
        <v>0.0760190047511878</v>
      </c>
      <c r="AE43" s="18">
        <f>I43/7.4/H43</f>
        <v>0.299345345783947</v>
      </c>
      <c r="AF43" s="18">
        <f>Z43/7.4/H43</f>
        <v>0.0405506782100931</v>
      </c>
      <c r="AG43" s="18">
        <v>0.15</v>
      </c>
      <c r="AH43" s="18">
        <f>N43</f>
        <v>0.0750187546886722</v>
      </c>
      <c r="AI43" s="18">
        <v>0.02</v>
      </c>
      <c r="AJ43" s="18">
        <f>M43</f>
        <v>0.05</v>
      </c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</row>
    <row r="44" spans="1:75">
      <c r="A44" s="200" t="s">
        <v>519</v>
      </c>
      <c r="B44" s="14">
        <v>9</v>
      </c>
      <c r="C44" s="20" t="s">
        <v>515</v>
      </c>
      <c r="D44" s="20" t="s">
        <v>300</v>
      </c>
      <c r="E44" s="20" t="s">
        <v>507</v>
      </c>
      <c r="F44" s="193">
        <f>IF(E44="有",(I44/B44+J44+Z44/B44)/(0.99999-K44-L44-M44-N44),(I44/B44+J44+Z44/B44)/(0.99999-K44-M44-N44))</f>
        <v>25.539153514772</v>
      </c>
      <c r="G44" s="193">
        <f>IF(E44="有",(I44/B44+J44+Z44/B44)/(0.8-K44-L44-M44-N44-O44-P44),(I44/B44+J44+Z44/B44)/(0.8-K44-M44-N44-O44-P44))</f>
        <v>43.5211677061122</v>
      </c>
      <c r="H44" s="194">
        <f>H43*0.9</f>
        <v>35.991</v>
      </c>
      <c r="I44" s="193">
        <f>100.1/1.13</f>
        <v>88.5840707964602</v>
      </c>
      <c r="J44" s="20">
        <v>3.04</v>
      </c>
      <c r="K44" s="18">
        <v>0.15</v>
      </c>
      <c r="L44" s="18">
        <v>0.16</v>
      </c>
      <c r="M44" s="18">
        <v>0.05</v>
      </c>
      <c r="N44" s="18">
        <f>Q44/H44</f>
        <v>0.0833541718763024</v>
      </c>
      <c r="O44" s="195">
        <v>0.01</v>
      </c>
      <c r="P44" s="18">
        <v>0.02</v>
      </c>
      <c r="Q44" s="193">
        <v>3</v>
      </c>
      <c r="R44" s="14"/>
      <c r="S44" s="14"/>
      <c r="T44" s="14"/>
      <c r="U44" s="14"/>
      <c r="V44" s="193"/>
      <c r="W44" s="193"/>
      <c r="X44" s="20" t="s">
        <v>21</v>
      </c>
      <c r="Y44" s="196">
        <v>5.55136</v>
      </c>
      <c r="Z44" s="197">
        <v>12</v>
      </c>
      <c r="AA44" s="193">
        <f>H44-SUM(K44:P44)*H44-J44-I44/B44-Z44/B44</f>
        <v>4.73850213372665</v>
      </c>
      <c r="AB44" s="195">
        <f>AA44/H44</f>
        <v>0.131657973763626</v>
      </c>
      <c r="AC44" s="14"/>
      <c r="AD44" s="17">
        <f>J44/H44</f>
        <v>0.0844655608346531</v>
      </c>
      <c r="AE44" s="18">
        <f>I44/B44/H44</f>
        <v>0.273475994913729</v>
      </c>
      <c r="AF44" s="18">
        <f>Z44/B44/H44</f>
        <v>0.03704629861169</v>
      </c>
      <c r="AG44" s="18">
        <f>K44</f>
        <v>0.15</v>
      </c>
      <c r="AH44" s="18">
        <f>N44</f>
        <v>0.0833541718763024</v>
      </c>
      <c r="AI44" s="18">
        <v>0.02</v>
      </c>
      <c r="AJ44" s="18">
        <f>M44</f>
        <v>0.05</v>
      </c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</row>
    <row r="45" spans="1:75">
      <c r="A45" s="200" t="s">
        <v>520</v>
      </c>
      <c r="B45" s="14">
        <v>9</v>
      </c>
      <c r="C45" s="20" t="s">
        <v>515</v>
      </c>
      <c r="D45" s="20" t="s">
        <v>300</v>
      </c>
      <c r="E45" s="20" t="s">
        <v>507</v>
      </c>
      <c r="F45" s="193">
        <f>IF(E45="有",(I45/B45+J45+Z45/B45)/(0.99999-K45-L45-M45-N45),(I45/B45+J45+Z45/B45)/(0.99999-K45-M45-N45))</f>
        <v>25.7661171297079</v>
      </c>
      <c r="G45" s="193">
        <f>IF(E45="有",(I45/B45+J45+Z45/B45)/(0.8-K45-L45-M45-N45-O45-P45),(I45/B45+J45+Z45/B45)/(0.8-K45-M45-N45-O45-P45))</f>
        <v>44.184407133939</v>
      </c>
      <c r="H45" s="201">
        <f>H43*0.85</f>
        <v>33.9915</v>
      </c>
      <c r="I45" s="193">
        <f>100.1/1.13</f>
        <v>88.5840707964602</v>
      </c>
      <c r="J45" s="20">
        <v>3.04</v>
      </c>
      <c r="K45" s="18">
        <v>0.15</v>
      </c>
      <c r="L45" s="18">
        <v>0.16</v>
      </c>
      <c r="M45" s="18">
        <v>0.05</v>
      </c>
      <c r="N45" s="18">
        <f>Q45/H45</f>
        <v>0.0882573584572614</v>
      </c>
      <c r="O45" s="195">
        <v>0.01</v>
      </c>
      <c r="P45" s="18">
        <v>0.02</v>
      </c>
      <c r="Q45" s="193">
        <v>3</v>
      </c>
      <c r="R45" s="14"/>
      <c r="S45" s="14"/>
      <c r="T45" s="14"/>
      <c r="U45" s="14"/>
      <c r="V45" s="193"/>
      <c r="W45" s="193"/>
      <c r="X45" s="20" t="s">
        <v>21</v>
      </c>
      <c r="Y45" s="196">
        <v>5.55136</v>
      </c>
      <c r="Z45" s="197">
        <v>12</v>
      </c>
      <c r="AA45" s="193">
        <f>H45-SUM(K45:P45)*H45-J45-I45/B45-Z45/B45</f>
        <v>3.51880713372665</v>
      </c>
      <c r="AB45" s="195">
        <f>AA45/H45</f>
        <v>0.103520207514427</v>
      </c>
      <c r="AC45" s="14"/>
      <c r="AD45" s="17">
        <f>J45/H45</f>
        <v>0.0894341232366915</v>
      </c>
      <c r="AE45" s="18">
        <f>I45/B45/H45</f>
        <v>0.289562818143948</v>
      </c>
      <c r="AF45" s="18">
        <f>Z45/B45/H45</f>
        <v>0.0392254926476717</v>
      </c>
      <c r="AG45" s="18">
        <f>K45</f>
        <v>0.15</v>
      </c>
      <c r="AH45" s="18">
        <f>N45</f>
        <v>0.0882573584572614</v>
      </c>
      <c r="AI45" s="18">
        <v>0.02</v>
      </c>
      <c r="AJ45" s="18">
        <f>M45</f>
        <v>0.05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</row>
    <row r="46" ht="21" customHeight="1" spans="1:75">
      <c r="E46" s="20"/>
      <c r="F46" s="193"/>
      <c r="G46" s="193"/>
      <c r="H46" s="20"/>
      <c r="I46" s="193"/>
      <c r="J46" s="20"/>
      <c r="K46" s="18"/>
      <c r="L46" s="18"/>
      <c r="M46" s="18"/>
      <c r="N46" s="18"/>
      <c r="O46" s="195"/>
      <c r="P46" s="18"/>
      <c r="Q46" s="18"/>
      <c r="R46" s="14"/>
      <c r="S46" s="14"/>
      <c r="T46" s="14"/>
      <c r="U46" s="14"/>
      <c r="V46" s="193"/>
      <c r="W46" s="193"/>
      <c r="X46" s="20"/>
      <c r="Y46" s="196"/>
      <c r="Z46" s="193"/>
      <c r="AA46" s="193"/>
      <c r="AB46" s="195"/>
      <c r="AC46" s="14"/>
      <c r="AD46" s="17"/>
      <c r="AE46" s="18"/>
      <c r="AF46" s="18"/>
      <c r="AG46" s="18"/>
      <c r="AH46" s="18"/>
      <c r="AI46" s="18"/>
      <c r="AJ46" s="18"/>
    </row>
    <row r="47" spans="1:75">
      <c r="A47" s="22" t="s">
        <v>522</v>
      </c>
      <c r="B47" s="20">
        <v>8</v>
      </c>
      <c r="C47" s="20" t="s">
        <v>506</v>
      </c>
      <c r="D47" s="20" t="s">
        <v>277</v>
      </c>
      <c r="E47" s="20" t="s">
        <v>507</v>
      </c>
      <c r="F47" s="193">
        <f>IF(E47="有",(I47/B47+J47+Z47/B47)/(0.99999-K47-L47-M47-N47),(I47/B47+J47+Z47/B47)/(0.99999-K47-M47-N47))</f>
        <v>12.3035987405923</v>
      </c>
      <c r="G47" s="193">
        <f>IF(E47="有",(I47/B47+J47+Z47/B47)/(0.8-K47-L47-M47-N47-O47-P47),(I47/B47+J47+Z47/B47)/(0.8-K47-M47-N47-O47-P47))</f>
        <v>23.9378380418591</v>
      </c>
      <c r="H47" s="194">
        <v>14.99</v>
      </c>
      <c r="I47" s="193">
        <f>29.4/1.13</f>
        <v>26.0176991150442</v>
      </c>
      <c r="J47" s="14">
        <v>2.07</v>
      </c>
      <c r="K47" s="18">
        <v>0.15</v>
      </c>
      <c r="L47" s="18">
        <v>0.16</v>
      </c>
      <c r="M47" s="18">
        <v>0.05</v>
      </c>
      <c r="N47" s="18">
        <f>Q47/H47</f>
        <v>0.166777851901268</v>
      </c>
      <c r="O47" s="195">
        <v>0.01</v>
      </c>
      <c r="P47" s="18">
        <v>0.02</v>
      </c>
      <c r="Q47" s="193">
        <v>2.5</v>
      </c>
      <c r="R47" s="14"/>
      <c r="S47" s="14"/>
      <c r="T47" s="14"/>
      <c r="U47" s="14"/>
      <c r="V47" s="193"/>
      <c r="W47" s="193"/>
      <c r="X47" s="14" t="s">
        <v>21</v>
      </c>
      <c r="Y47" s="196">
        <v>5.55136</v>
      </c>
      <c r="Z47" s="197">
        <v>4</v>
      </c>
      <c r="AA47" s="193">
        <f>H47-SUM(K47:P47)*H47-J47-I47/B47-Z47/B47</f>
        <v>0.821687610619469</v>
      </c>
      <c r="AB47" s="195">
        <f>AA47/H47</f>
        <v>0.0548157178532001</v>
      </c>
      <c r="AC47" s="14"/>
      <c r="AD47" s="17">
        <f>J47/H47</f>
        <v>0.138092061374249</v>
      </c>
      <c r="AE47" s="18">
        <f>I47/7.4/H47</f>
        <v>0.234550052422734</v>
      </c>
      <c r="AF47" s="18">
        <f>Z47/7.4/H47</f>
        <v>0.0360600760867605</v>
      </c>
      <c r="AG47" s="18">
        <v>0.15</v>
      </c>
      <c r="AH47" s="18">
        <f>N47</f>
        <v>0.166777851901268</v>
      </c>
      <c r="AI47" s="18">
        <v>0.02</v>
      </c>
      <c r="AJ47" s="18">
        <f>M47</f>
        <v>0.05</v>
      </c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</row>
    <row r="48" spans="1:75">
      <c r="A48" s="22" t="s">
        <v>523</v>
      </c>
      <c r="B48" s="20">
        <v>8</v>
      </c>
      <c r="C48" s="20" t="s">
        <v>506</v>
      </c>
      <c r="D48" s="20" t="s">
        <v>277</v>
      </c>
      <c r="E48" s="20" t="s">
        <v>507</v>
      </c>
      <c r="F48" s="193">
        <f>IF(E48="有",(I48/B48+J48+Z48/B48)/(0.99999-K48-L48-M48-N48),(I48/B48+J48+Z48/B48)/(0.99999-K48-M48-N48))</f>
        <v>12.8050410276119</v>
      </c>
      <c r="G48" s="193">
        <f>IF(E48="有",(I48/B48+J48+Z48/B48)/(0.8-K48-L48-M48-N48-O48-P48),(I48/B48+J48+Z48/B48)/(0.8-K48-M48-N48-O48-P48))</f>
        <v>25.9120536484664</v>
      </c>
      <c r="H48" s="194">
        <f>H47*0.9</f>
        <v>13.491</v>
      </c>
      <c r="I48" s="193">
        <f>29.4/1.13</f>
        <v>26.0176991150442</v>
      </c>
      <c r="J48" s="20">
        <v>2.07</v>
      </c>
      <c r="K48" s="18">
        <v>0.15</v>
      </c>
      <c r="L48" s="18">
        <v>0.16</v>
      </c>
      <c r="M48" s="18">
        <v>0.05</v>
      </c>
      <c r="N48" s="18">
        <f>Q48/H48</f>
        <v>0.185308724334742</v>
      </c>
      <c r="O48" s="195">
        <v>0.01</v>
      </c>
      <c r="P48" s="18">
        <v>0.02</v>
      </c>
      <c r="Q48" s="193">
        <v>2.5</v>
      </c>
      <c r="R48" s="14"/>
      <c r="S48" s="14"/>
      <c r="T48" s="14"/>
      <c r="U48" s="14"/>
      <c r="V48" s="193"/>
      <c r="W48" s="193"/>
      <c r="X48" s="20" t="s">
        <v>21</v>
      </c>
      <c r="Y48" s="196">
        <v>5.55136</v>
      </c>
      <c r="Z48" s="197">
        <v>4</v>
      </c>
      <c r="AA48" s="193">
        <f>H48-SUM(K48:P48)*H48-J48-I48/B48-Z48/B48</f>
        <v>-0.0927023893805305</v>
      </c>
      <c r="AB48" s="195">
        <f>AA48/H48</f>
        <v>-0.00687142460755545</v>
      </c>
      <c r="AC48" s="14"/>
      <c r="AD48" s="17">
        <f>J48/H48</f>
        <v>0.153435623749166</v>
      </c>
      <c r="AE48" s="18">
        <f>I48/B48/H48</f>
        <v>0.241065331656699</v>
      </c>
      <c r="AF48" s="18">
        <f>Z48/B48/H48</f>
        <v>0.0370617448669483</v>
      </c>
      <c r="AG48" s="18">
        <f>K48</f>
        <v>0.15</v>
      </c>
      <c r="AH48" s="18">
        <f>N48</f>
        <v>0.185308724334742</v>
      </c>
      <c r="AI48" s="18">
        <v>0.02</v>
      </c>
      <c r="AJ48" s="18">
        <f>M48</f>
        <v>0.05</v>
      </c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</row>
    <row r="49" spans="1:75">
      <c r="A49" s="22" t="s">
        <v>524</v>
      </c>
      <c r="B49" s="20">
        <v>8</v>
      </c>
      <c r="C49" s="20" t="s">
        <v>506</v>
      </c>
      <c r="D49" s="20" t="s">
        <v>277</v>
      </c>
      <c r="E49" s="20" t="s">
        <v>507</v>
      </c>
      <c r="F49" s="193">
        <f>IF(E49="有",(I49/B49+J49+Z49/B49)/(0.99999-K49-L49-M49-N49),(I49/B49+J49+Z49/B49)/(0.99999-K49-M49-N49))</f>
        <v>13.1195691245989</v>
      </c>
      <c r="G49" s="193">
        <f>IF(E49="有",(I49/B49+J49+Z49/B49)/(0.8-K49-L49-M49-N49-O49-P49),(I49/B49+J49+Z49/B49)/(0.8-K49-M49-N49-O49-P49))</f>
        <v>27.2332271148624</v>
      </c>
      <c r="H49" s="201">
        <f>H47*0.85</f>
        <v>12.7415</v>
      </c>
      <c r="I49" s="193">
        <f>29.4/1.13</f>
        <v>26.0176991150442</v>
      </c>
      <c r="J49" s="20">
        <v>2.07</v>
      </c>
      <c r="K49" s="18">
        <v>0.15</v>
      </c>
      <c r="L49" s="18">
        <v>0.16</v>
      </c>
      <c r="M49" s="18">
        <v>0.05</v>
      </c>
      <c r="N49" s="18">
        <f>Q49/H49</f>
        <v>0.196209237530903</v>
      </c>
      <c r="O49" s="195">
        <v>0.01</v>
      </c>
      <c r="P49" s="18">
        <v>0.02</v>
      </c>
      <c r="Q49" s="193">
        <v>2.5</v>
      </c>
      <c r="R49" s="14"/>
      <c r="S49" s="14"/>
      <c r="T49" s="14"/>
      <c r="U49" s="14"/>
      <c r="V49" s="193"/>
      <c r="W49" s="193"/>
      <c r="X49" s="20" t="s">
        <v>21</v>
      </c>
      <c r="Y49" s="196">
        <v>5.55136</v>
      </c>
      <c r="Z49" s="197">
        <v>4</v>
      </c>
      <c r="AA49" s="193">
        <f>H49-SUM(K49:P49)*H49-J49-I49/B49-Z49/B49</f>
        <v>-0.54989738938053</v>
      </c>
      <c r="AB49" s="195">
        <f>AA49/H49</f>
        <v>-0.0431579789962351</v>
      </c>
      <c r="AC49" s="14"/>
      <c r="AD49" s="17">
        <f>J49/H49</f>
        <v>0.162461248675588</v>
      </c>
      <c r="AE49" s="18">
        <f>I49/B49/H49</f>
        <v>0.255245645283564</v>
      </c>
      <c r="AF49" s="18">
        <f>Z49/B49/H49</f>
        <v>0.0392418475061806</v>
      </c>
      <c r="AG49" s="18">
        <f>K49</f>
        <v>0.15</v>
      </c>
      <c r="AH49" s="18">
        <f>N49</f>
        <v>0.196209237530903</v>
      </c>
      <c r="AI49" s="18">
        <v>0.02</v>
      </c>
      <c r="AJ49" s="18">
        <f>M49</f>
        <v>0.05</v>
      </c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</row>
    <row r="50" spans="1:75">
      <c r="A50" s="22" t="s">
        <v>525</v>
      </c>
      <c r="B50" s="20">
        <v>8</v>
      </c>
      <c r="C50" s="20" t="s">
        <v>506</v>
      </c>
      <c r="D50" s="20" t="s">
        <v>277</v>
      </c>
      <c r="E50" s="20" t="s">
        <v>507</v>
      </c>
      <c r="F50" s="193">
        <f>IF(E50="有",(I50/B50+J50+Z50/B50)/(0.99999-K50-L50-M50-N50),(I50/B50+J50+Z50/B50)/(0.99999-K50-M50-N50))</f>
        <v>13.4924073568743</v>
      </c>
      <c r="G50" s="193">
        <f>IF(E50="有",(I50/B50+J50+Z50/B50)/(0.8-K50-L50-M50-N50-O50-P50),(I50/B50+J50+Z50/B50)/(0.8-K50-M50-N50-O50-P50))</f>
        <v>28.890384890865</v>
      </c>
      <c r="H50" s="194">
        <f>H47*0.8</f>
        <v>11.992</v>
      </c>
      <c r="I50" s="193">
        <f>29.4/1.13</f>
        <v>26.0176991150442</v>
      </c>
      <c r="J50" s="20">
        <v>2.07</v>
      </c>
      <c r="K50" s="18">
        <v>0.15</v>
      </c>
      <c r="L50" s="18">
        <v>0.16</v>
      </c>
      <c r="M50" s="18">
        <v>0.05</v>
      </c>
      <c r="N50" s="18">
        <f>Q50/H50</f>
        <v>0.208472314876584</v>
      </c>
      <c r="O50" s="195">
        <v>0.01</v>
      </c>
      <c r="P50" s="18">
        <v>0.02</v>
      </c>
      <c r="Q50" s="193">
        <v>2.5</v>
      </c>
      <c r="R50" s="14"/>
      <c r="S50" s="14"/>
      <c r="T50" s="14"/>
      <c r="U50" s="14"/>
      <c r="V50" s="193"/>
      <c r="W50" s="193"/>
      <c r="X50" s="20" t="s">
        <v>21</v>
      </c>
      <c r="Y50" s="196">
        <v>5.55136</v>
      </c>
      <c r="Z50" s="197">
        <v>4</v>
      </c>
      <c r="AA50" s="193">
        <f>H50-SUM(K50:P50)*H50-J50-I50/B50-Z50/B50</f>
        <v>-1.00709238938053</v>
      </c>
      <c r="AB50" s="195">
        <f>AA50/H50</f>
        <v>-0.0839803526834999</v>
      </c>
      <c r="AC50" s="14"/>
      <c r="AD50" s="17">
        <f>J50/H50</f>
        <v>0.172615076717812</v>
      </c>
      <c r="AE50" s="18">
        <f>I50/7.4/H50</f>
        <v>0.293187565528418</v>
      </c>
      <c r="AF50" s="18">
        <f>Z50/7.4/H50</f>
        <v>0.0450750951084507</v>
      </c>
      <c r="AG50" s="18">
        <v>0.15</v>
      </c>
      <c r="AH50" s="18">
        <f>N50</f>
        <v>0.208472314876584</v>
      </c>
      <c r="AI50" s="18">
        <v>0.02</v>
      </c>
      <c r="AJ50" s="18">
        <f>M50</f>
        <v>0.05</v>
      </c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</row>
    <row r="51" ht="21" customHeight="1" spans="1:75">
      <c r="A51" s="15"/>
      <c r="B51" s="15"/>
      <c r="C51" s="15"/>
      <c r="D51" s="15"/>
      <c r="E51" s="20"/>
      <c r="F51" s="193"/>
      <c r="G51" s="193"/>
      <c r="H51" s="20"/>
      <c r="I51" s="193"/>
      <c r="J51" s="20"/>
      <c r="K51" s="18"/>
      <c r="L51" s="18"/>
      <c r="M51" s="18"/>
      <c r="N51" s="18"/>
      <c r="O51" s="195"/>
      <c r="P51" s="18"/>
      <c r="Q51" s="195"/>
      <c r="R51" s="14"/>
      <c r="S51" s="14"/>
      <c r="T51" s="14"/>
      <c r="U51" s="14"/>
      <c r="V51" s="193"/>
      <c r="W51" s="193"/>
      <c r="X51" s="20"/>
      <c r="Y51" s="196"/>
      <c r="Z51" s="193"/>
      <c r="AA51" s="193"/>
      <c r="AB51" s="195"/>
      <c r="AC51" s="14"/>
      <c r="AD51" s="17"/>
      <c r="AE51" s="18"/>
      <c r="AF51" s="18"/>
      <c r="AG51" s="18"/>
      <c r="AH51" s="18"/>
      <c r="AI51" s="18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</row>
    <row r="52" spans="1:75">
      <c r="A52" s="199" t="s">
        <v>522</v>
      </c>
      <c r="B52" s="20">
        <v>8</v>
      </c>
      <c r="C52" s="14" t="s">
        <v>510</v>
      </c>
      <c r="D52" s="14" t="s">
        <v>511</v>
      </c>
      <c r="E52" s="20" t="s">
        <v>507</v>
      </c>
      <c r="F52" s="193">
        <f>IF(E52="有",(I52/B52+J52+Z52/B52)/(0.99999-K52-L52-M52-N52),(I52/B52+J52+Z52/B52)/(0.99999-K52-M52-N52))</f>
        <v>12.6274335400328</v>
      </c>
      <c r="G52" s="193">
        <f>IF(E52="有",(I52/B52+J52+Z52/B52)/(0.8-K52-L52-M52-N52-O52-P52),(I52/B52+J52+Z52/B52)/(0.8-K52-M52-N52-O52-P52))</f>
        <v>22.8197871563259</v>
      </c>
      <c r="H52" s="194">
        <v>19.99</v>
      </c>
      <c r="I52" s="193">
        <f>29.4/1.13</f>
        <v>26.0176991150442</v>
      </c>
      <c r="J52" s="14">
        <v>2.75</v>
      </c>
      <c r="K52" s="18">
        <v>0.15</v>
      </c>
      <c r="L52" s="18">
        <v>0.16</v>
      </c>
      <c r="M52" s="18">
        <v>0.05</v>
      </c>
      <c r="N52" s="18">
        <f>Q52/H52</f>
        <v>0.125062531265633</v>
      </c>
      <c r="O52" s="195">
        <v>0.01</v>
      </c>
      <c r="P52" s="18">
        <v>0.02</v>
      </c>
      <c r="Q52" s="193">
        <v>2.5</v>
      </c>
      <c r="R52" s="14"/>
      <c r="S52" s="14"/>
      <c r="T52" s="14"/>
      <c r="U52" s="14"/>
      <c r="V52" s="193"/>
      <c r="W52" s="193"/>
      <c r="X52" s="14" t="s">
        <v>21</v>
      </c>
      <c r="Y52" s="196">
        <v>5.55136</v>
      </c>
      <c r="Z52" s="197">
        <v>4</v>
      </c>
      <c r="AA52" s="193">
        <f>H52-SUM(K52:P52)*H52-J52-I52/B52-Z52/B52</f>
        <v>3.19168761061947</v>
      </c>
      <c r="AB52" s="195">
        <f>AA52/H52</f>
        <v>0.159664212637292</v>
      </c>
      <c r="AC52" s="14"/>
      <c r="AD52" s="17">
        <f>J52/H52</f>
        <v>0.137568784392196</v>
      </c>
      <c r="AE52" s="18">
        <f>I52/7.4/H52</f>
        <v>0.175883205893786</v>
      </c>
      <c r="AF52" s="18">
        <f>Z52/7.4/H52</f>
        <v>0.0270405473006774</v>
      </c>
      <c r="AG52" s="18">
        <v>0.15</v>
      </c>
      <c r="AH52" s="18">
        <f>N52</f>
        <v>0.125062531265633</v>
      </c>
      <c r="AI52" s="18">
        <v>0.02</v>
      </c>
      <c r="AJ52" s="18">
        <f>M52</f>
        <v>0.05</v>
      </c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</row>
    <row r="53" spans="1:75">
      <c r="A53" s="22" t="s">
        <v>523</v>
      </c>
      <c r="B53" s="20">
        <v>8</v>
      </c>
      <c r="C53" s="20" t="s">
        <v>510</v>
      </c>
      <c r="D53" s="20" t="s">
        <v>511</v>
      </c>
      <c r="E53" s="20" t="s">
        <v>507</v>
      </c>
      <c r="F53" s="193">
        <f>IF(E53="有",(I53/B53+J53+Z53/B53)/(0.99999-K53-L53-M53-N53),(I53/B53+J53+Z53/B53)/(0.99999-K53-M53-N53))</f>
        <v>12.9776484657698</v>
      </c>
      <c r="G53" s="193">
        <f>IF(E53="有",(I53/B53+J53+Z53/B53)/(0.8-K53-L53-M53-N53-O53-P53),(I53/B53+J53+Z53/B53)/(0.8-K53-M53-N53-O53-P53))</f>
        <v>23.9897182700331</v>
      </c>
      <c r="H53" s="194">
        <f>H52*0.9</f>
        <v>17.991</v>
      </c>
      <c r="I53" s="193">
        <f>29.4/1.13</f>
        <v>26.0176991150442</v>
      </c>
      <c r="J53" s="20">
        <v>2.75</v>
      </c>
      <c r="K53" s="18">
        <v>0.15</v>
      </c>
      <c r="L53" s="18">
        <v>0.16</v>
      </c>
      <c r="M53" s="18">
        <v>0.05</v>
      </c>
      <c r="N53" s="18">
        <f>Q53/H53</f>
        <v>0.138958368072925</v>
      </c>
      <c r="O53" s="195">
        <v>0.01</v>
      </c>
      <c r="P53" s="18">
        <v>0.02</v>
      </c>
      <c r="Q53" s="193">
        <v>2.5</v>
      </c>
      <c r="R53" s="14"/>
      <c r="S53" s="14"/>
      <c r="T53" s="14"/>
      <c r="U53" s="14"/>
      <c r="V53" s="193"/>
      <c r="W53" s="193"/>
      <c r="X53" s="20" t="s">
        <v>21</v>
      </c>
      <c r="Y53" s="196">
        <v>5.55136</v>
      </c>
      <c r="Z53" s="197">
        <v>4</v>
      </c>
      <c r="AA53" s="193">
        <f>H53-SUM(K53:P53)*H53-J53-I53/B53-Z53/B53</f>
        <v>1.97229761061947</v>
      </c>
      <c r="AB53" s="195">
        <f>AA53/H53</f>
        <v>0.109626902930324</v>
      </c>
      <c r="AC53" s="14"/>
      <c r="AD53" s="17">
        <f>J53/H53</f>
        <v>0.152854204880218</v>
      </c>
      <c r="AE53" s="18">
        <f>I53/B53/H53</f>
        <v>0.180768850501947</v>
      </c>
      <c r="AF53" s="18">
        <f>Z53/B53/H53</f>
        <v>0.0277916736145851</v>
      </c>
      <c r="AG53" s="18">
        <f>K53</f>
        <v>0.15</v>
      </c>
      <c r="AH53" s="18">
        <f>N53</f>
        <v>0.138958368072925</v>
      </c>
      <c r="AI53" s="18">
        <v>0.02</v>
      </c>
      <c r="AJ53" s="18">
        <f>M53</f>
        <v>0.05</v>
      </c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</row>
    <row r="54" spans="1:75">
      <c r="A54" s="22" t="s">
        <v>524</v>
      </c>
      <c r="B54" s="20">
        <v>8</v>
      </c>
      <c r="C54" s="20" t="s">
        <v>510</v>
      </c>
      <c r="D54" s="20" t="s">
        <v>511</v>
      </c>
      <c r="E54" s="20" t="s">
        <v>507</v>
      </c>
      <c r="F54" s="193">
        <f>IF(E54="有",(I54/B54+J54+Z54/B54)/(0.99999-K54-L54-M54-N54),(I54/B54+J54+Z54/B54)/(0.99999-K54-M54-N54))</f>
        <v>13.1928821911523</v>
      </c>
      <c r="G54" s="193">
        <f>IF(E54="有",(I54/B54+J54+Z54/B54)/(0.8-K54-L54-M54-N54-O54-P54),(I54/B54+J54+Z54/B54)/(0.8-K54-M54-N54-O54-P54))</f>
        <v>24.7356925509395</v>
      </c>
      <c r="H54" s="201">
        <f>H52*0.85</f>
        <v>16.9915</v>
      </c>
      <c r="I54" s="193">
        <f>29.4/1.13</f>
        <v>26.0176991150442</v>
      </c>
      <c r="J54" s="20">
        <v>2.75</v>
      </c>
      <c r="K54" s="18">
        <v>0.15</v>
      </c>
      <c r="L54" s="18">
        <v>0.16</v>
      </c>
      <c r="M54" s="18">
        <v>0.05</v>
      </c>
      <c r="N54" s="18">
        <f>Q54/H54</f>
        <v>0.147132389724274</v>
      </c>
      <c r="O54" s="195">
        <v>0.01</v>
      </c>
      <c r="P54" s="18">
        <v>0.02</v>
      </c>
      <c r="Q54" s="193">
        <v>2.5</v>
      </c>
      <c r="R54" s="14"/>
      <c r="S54" s="14"/>
      <c r="T54" s="14"/>
      <c r="U54" s="14"/>
      <c r="V54" s="193"/>
      <c r="W54" s="193"/>
      <c r="X54" s="20" t="s">
        <v>21</v>
      </c>
      <c r="Y54" s="196">
        <v>5.55136</v>
      </c>
      <c r="Z54" s="197">
        <v>4</v>
      </c>
      <c r="AA54" s="193">
        <f>H54-SUM(K54:P54)*H54-J54-I54/B54-Z54/B54</f>
        <v>1.36260261061947</v>
      </c>
      <c r="AB54" s="195">
        <f>AA54/H54</f>
        <v>0.0801931913379906</v>
      </c>
      <c r="AC54" s="14"/>
      <c r="AD54" s="17">
        <f>J54/H54</f>
        <v>0.161845628696701</v>
      </c>
      <c r="AE54" s="18">
        <f>I54/B54/H54</f>
        <v>0.191402312296179</v>
      </c>
      <c r="AF54" s="18">
        <f>Z54/B54/H54</f>
        <v>0.0294264779448548</v>
      </c>
      <c r="AG54" s="18">
        <f>K54</f>
        <v>0.15</v>
      </c>
      <c r="AH54" s="18">
        <f>N54</f>
        <v>0.147132389724274</v>
      </c>
      <c r="AI54" s="18">
        <v>0.02</v>
      </c>
      <c r="AJ54" s="18">
        <f>M54</f>
        <v>0.05</v>
      </c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</row>
    <row r="55" spans="1:75">
      <c r="A55" s="22" t="s">
        <v>525</v>
      </c>
      <c r="B55" s="20">
        <v>8</v>
      </c>
      <c r="C55" s="20" t="s">
        <v>510</v>
      </c>
      <c r="D55" s="20" t="s">
        <v>511</v>
      </c>
      <c r="E55" s="20" t="s">
        <v>507</v>
      </c>
      <c r="F55" s="193">
        <f>IF(E55="有",(I55/B55+J55+Z55/B55)/(0.99999-K55-L55-M55-N55),(I55/B55+J55+Z55/B55)/(0.99999-K55-M55-N55))</f>
        <v>10.1598656063072</v>
      </c>
      <c r="G55" s="193">
        <f>IF(E55="有",(I55/B55+J55+Z55/B55)/(0.8-K55-L55-M55-N55-O55-P55),(I55/B55+J55+Z55/B55)/(0.8-K55-M55-N55-O55-P55))</f>
        <v>15.8590546082452</v>
      </c>
      <c r="H55" s="194">
        <v>12.99</v>
      </c>
      <c r="I55" s="193">
        <f>29.4/1.13</f>
        <v>26.0176991150442</v>
      </c>
      <c r="J55" s="20">
        <v>2.75</v>
      </c>
      <c r="K55" s="18">
        <v>0.15</v>
      </c>
      <c r="L55" s="18">
        <v>0.16</v>
      </c>
      <c r="M55" s="18">
        <v>0.05</v>
      </c>
      <c r="N55" s="18">
        <f>Q55/H55</f>
        <v>0</v>
      </c>
      <c r="O55" s="195">
        <v>0.01</v>
      </c>
      <c r="P55" s="18">
        <v>0.02</v>
      </c>
      <c r="Q55" s="193">
        <v>0</v>
      </c>
      <c r="R55" s="14"/>
      <c r="S55" s="14"/>
      <c r="T55" s="14"/>
      <c r="U55" s="14"/>
      <c r="V55" s="193"/>
      <c r="W55" s="193"/>
      <c r="X55" s="20" t="s">
        <v>21</v>
      </c>
      <c r="Y55" s="196">
        <v>5.55136</v>
      </c>
      <c r="Z55" s="197">
        <v>4</v>
      </c>
      <c r="AA55" s="193">
        <f>H55-SUM(K55:P55)*H55-J55-I55/B55-Z55/B55</f>
        <v>1.42168761061947</v>
      </c>
      <c r="AB55" s="195">
        <f>AA55/H55</f>
        <v>0.109444773719744</v>
      </c>
      <c r="AC55" s="14"/>
      <c r="AD55" s="17">
        <f>J55/H55</f>
        <v>0.211701308698999</v>
      </c>
      <c r="AE55" s="18">
        <f>I55/7.4/H55</f>
        <v>0.270662454643325</v>
      </c>
      <c r="AF55" s="18">
        <f>Z55/7.4/H55</f>
        <v>0.0416120508499261</v>
      </c>
      <c r="AG55" s="18">
        <v>0.15</v>
      </c>
      <c r="AH55" s="18">
        <f>N55</f>
        <v>0</v>
      </c>
      <c r="AI55" s="18">
        <v>0.02</v>
      </c>
      <c r="AJ55" s="18">
        <f>M55</f>
        <v>0.05</v>
      </c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</row>
    <row r="56" ht="21" customHeight="1" spans="1:75">
      <c r="A56" s="15"/>
      <c r="B56" s="15"/>
      <c r="C56" s="15"/>
      <c r="D56" s="15"/>
      <c r="E56" s="20"/>
      <c r="F56" s="193"/>
      <c r="G56" s="193"/>
      <c r="H56" s="20"/>
      <c r="I56" s="193"/>
      <c r="J56" s="20"/>
      <c r="K56" s="18"/>
      <c r="L56" s="18"/>
      <c r="M56" s="18"/>
      <c r="N56" s="18"/>
      <c r="O56" s="195"/>
      <c r="P56" s="18"/>
      <c r="Q56" s="195"/>
      <c r="R56" s="14"/>
      <c r="S56" s="14"/>
      <c r="T56" s="14"/>
      <c r="U56" s="14"/>
      <c r="V56" s="193"/>
      <c r="W56" s="193"/>
      <c r="X56" s="20"/>
      <c r="Y56" s="196"/>
      <c r="Z56" s="193"/>
      <c r="AA56" s="193"/>
      <c r="AB56" s="195"/>
      <c r="AC56" s="14"/>
      <c r="AD56" s="17"/>
      <c r="AE56" s="18"/>
      <c r="AF56" s="18"/>
      <c r="AG56" s="18"/>
      <c r="AH56" s="18"/>
      <c r="AI56" s="18"/>
      <c r="AJ56" s="18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</row>
    <row r="57" spans="1:75">
      <c r="A57" s="199" t="s">
        <v>522</v>
      </c>
      <c r="B57" s="20">
        <v>8</v>
      </c>
      <c r="C57" s="14" t="s">
        <v>512</v>
      </c>
      <c r="D57" s="14" t="s">
        <v>513</v>
      </c>
      <c r="E57" s="20" t="s">
        <v>507</v>
      </c>
      <c r="F57" s="193">
        <f>IF(E57="有",(I57/B57+J57+Z57/B57)/(0.99999-K57-L57-M57-N57),(I57/B57+J57+Z57/B57)/(0.99999-K57-M57-N57))</f>
        <v>13.5596036594086</v>
      </c>
      <c r="G57" s="193">
        <f>IF(E57="有",(I57/B57+J57+Z57/B57)/(0.8-K57-L57-M57-N57-O57-P57),(I57/B57+J57+Z57/B57)/(0.8-K57-M57-N57-O57-P57))</f>
        <v>24.5043672929154</v>
      </c>
      <c r="H57" s="194">
        <v>19.99</v>
      </c>
      <c r="I57" s="193">
        <f>29.4/1.13</f>
        <v>26.0176991150442</v>
      </c>
      <c r="J57" s="14">
        <v>3.23</v>
      </c>
      <c r="K57" s="18">
        <v>0.15</v>
      </c>
      <c r="L57" s="18">
        <v>0.16</v>
      </c>
      <c r="M57" s="18">
        <v>0.05</v>
      </c>
      <c r="N57" s="18">
        <f>Q57/H57</f>
        <v>0.125062531265633</v>
      </c>
      <c r="O57" s="195">
        <v>0.01</v>
      </c>
      <c r="P57" s="18">
        <v>0.02</v>
      </c>
      <c r="Q57" s="193">
        <v>2.5</v>
      </c>
      <c r="R57" s="14"/>
      <c r="S57" s="14"/>
      <c r="T57" s="14"/>
      <c r="U57" s="14"/>
      <c r="V57" s="193"/>
      <c r="W57" s="193"/>
      <c r="X57" s="14" t="s">
        <v>21</v>
      </c>
      <c r="Y57" s="196">
        <v>5.55136</v>
      </c>
      <c r="Z57" s="197">
        <v>4</v>
      </c>
      <c r="AA57" s="193">
        <f>H57-SUM(K57:P57)*H57-J57-I57/B57-Z57/B57</f>
        <v>2.71168761061947</v>
      </c>
      <c r="AB57" s="195">
        <f>AA57/H57</f>
        <v>0.135652206634291</v>
      </c>
      <c r="AC57" s="14"/>
      <c r="AD57" s="17">
        <f>J57/H57</f>
        <v>0.161580790395198</v>
      </c>
      <c r="AE57" s="18">
        <f>I57/7.4/H57</f>
        <v>0.175883205893786</v>
      </c>
      <c r="AF57" s="18">
        <f>Z57/7.4/H57</f>
        <v>0.0270405473006774</v>
      </c>
      <c r="AG57" s="18">
        <v>0.15</v>
      </c>
      <c r="AH57" s="18">
        <f>N57</f>
        <v>0.125062531265633</v>
      </c>
      <c r="AI57" s="18">
        <v>0.02</v>
      </c>
      <c r="AJ57" s="18">
        <f>M57</f>
        <v>0.05</v>
      </c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</row>
    <row r="58" spans="1:75">
      <c r="A58" s="22" t="s">
        <v>523</v>
      </c>
      <c r="B58" s="20">
        <v>8</v>
      </c>
      <c r="C58" s="20" t="s">
        <v>512</v>
      </c>
      <c r="D58" s="20" t="s">
        <v>513</v>
      </c>
      <c r="E58" s="20" t="s">
        <v>507</v>
      </c>
      <c r="F58" s="193">
        <f>IF(E58="有",(I58/B58+J58+Z58/B58)/(0.99999-K58-L58-M58-N58),(I58/B58+J58+Z58/B58)/(0.99999-K58-M58-N58))</f>
        <v>13.9356718108305</v>
      </c>
      <c r="G58" s="193">
        <f>IF(E58="有",(I58/B58+J58+Z58/B58)/(0.8-K58-L58-M58-N58-O58-P58),(I58/B58+J58+Z58/B58)/(0.8-K58-M58-N58-O58-P58))</f>
        <v>25.7606639236113</v>
      </c>
      <c r="H58" s="194">
        <f>H57*0.9</f>
        <v>17.991</v>
      </c>
      <c r="I58" s="193">
        <f>29.4/1.13</f>
        <v>26.0176991150442</v>
      </c>
      <c r="J58" s="20">
        <v>3.23</v>
      </c>
      <c r="K58" s="18">
        <v>0.15</v>
      </c>
      <c r="L58" s="18">
        <v>0.16</v>
      </c>
      <c r="M58" s="18">
        <v>0.05</v>
      </c>
      <c r="N58" s="18">
        <f>Q58/H58</f>
        <v>0.138958368072925</v>
      </c>
      <c r="O58" s="195">
        <v>0.01</v>
      </c>
      <c r="P58" s="18">
        <v>0.02</v>
      </c>
      <c r="Q58" s="193">
        <v>2.5</v>
      </c>
      <c r="R58" s="14"/>
      <c r="S58" s="14"/>
      <c r="T58" s="14"/>
      <c r="U58" s="14"/>
      <c r="V58" s="193"/>
      <c r="W58" s="193"/>
      <c r="X58" s="20" t="s">
        <v>21</v>
      </c>
      <c r="Y58" s="196">
        <v>5.55136</v>
      </c>
      <c r="Z58" s="197">
        <v>4</v>
      </c>
      <c r="AA58" s="193">
        <f>H58-SUM(K58:P58)*H58-J58-I58/B58-Z58/B58</f>
        <v>1.49229761061947</v>
      </c>
      <c r="AB58" s="195">
        <f>AA58/H58</f>
        <v>0.0829468962603228</v>
      </c>
      <c r="AC58" s="14"/>
      <c r="AD58" s="17">
        <f>J58/H58</f>
        <v>0.17953421155022</v>
      </c>
      <c r="AE58" s="18">
        <f>I58/B58/H58</f>
        <v>0.180768850501947</v>
      </c>
      <c r="AF58" s="18">
        <f>Z58/B58/H58</f>
        <v>0.0277916736145851</v>
      </c>
      <c r="AG58" s="18">
        <f>K58</f>
        <v>0.15</v>
      </c>
      <c r="AH58" s="18">
        <f>N58</f>
        <v>0.138958368072925</v>
      </c>
      <c r="AI58" s="18">
        <v>0.02</v>
      </c>
      <c r="AJ58" s="18">
        <f>M58</f>
        <v>0.05</v>
      </c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</row>
    <row r="59" spans="1:75">
      <c r="A59" s="22" t="s">
        <v>524</v>
      </c>
      <c r="B59" s="20">
        <v>8</v>
      </c>
      <c r="C59" s="20" t="s">
        <v>512</v>
      </c>
      <c r="D59" s="20" t="s">
        <v>513</v>
      </c>
      <c r="E59" s="20" t="s">
        <v>507</v>
      </c>
      <c r="F59" s="193">
        <f>IF(E59="有",(I59/B59+J59+Z59/B59)/(0.99999-K59-L59-M59-N59),(I59/B59+J59+Z59/B59)/(0.99999-K59-M59-N59))</f>
        <v>14.1667943109864</v>
      </c>
      <c r="G59" s="193">
        <f>IF(E59="有",(I59/B59+J59+Z59/B59)/(0.8-K59-L59-M59-N59-O59-P59),(I59/B59+J59+Z59/B59)/(0.8-K59-M59-N59-O59-P59))</f>
        <v>26.5617067924678</v>
      </c>
      <c r="H59" s="201">
        <f>H57*0.85</f>
        <v>16.9915</v>
      </c>
      <c r="I59" s="193">
        <f>29.4/1.13</f>
        <v>26.0176991150442</v>
      </c>
      <c r="J59" s="20">
        <v>3.23</v>
      </c>
      <c r="K59" s="18">
        <v>0.15</v>
      </c>
      <c r="L59" s="18">
        <v>0.16</v>
      </c>
      <c r="M59" s="18">
        <v>0.05</v>
      </c>
      <c r="N59" s="18">
        <f>Q59/H59</f>
        <v>0.147132389724274</v>
      </c>
      <c r="O59" s="195">
        <v>0.01</v>
      </c>
      <c r="P59" s="18">
        <v>0.02</v>
      </c>
      <c r="Q59" s="193">
        <v>2.5</v>
      </c>
      <c r="R59" s="14"/>
      <c r="S59" s="14"/>
      <c r="T59" s="14"/>
      <c r="U59" s="14"/>
      <c r="V59" s="193"/>
      <c r="W59" s="193"/>
      <c r="X59" s="20" t="s">
        <v>21</v>
      </c>
      <c r="Y59" s="196">
        <v>5.55136</v>
      </c>
      <c r="Z59" s="197">
        <v>4</v>
      </c>
      <c r="AA59" s="193">
        <f>H59-SUM(K59:P59)*H59-J59-I59/B59-Z59/B59</f>
        <v>0.882602610619467</v>
      </c>
      <c r="AB59" s="195">
        <f>AA59/H59</f>
        <v>0.05194377251093</v>
      </c>
      <c r="AC59" s="14"/>
      <c r="AD59" s="17">
        <f>J59/H59</f>
        <v>0.190095047523762</v>
      </c>
      <c r="AE59" s="18">
        <f>I59/B59/H59</f>
        <v>0.191402312296179</v>
      </c>
      <c r="AF59" s="18">
        <f>Z59/B59/H59</f>
        <v>0.0294264779448548</v>
      </c>
      <c r="AG59" s="18">
        <f>K59</f>
        <v>0.15</v>
      </c>
      <c r="AH59" s="18">
        <f>N59</f>
        <v>0.147132389724274</v>
      </c>
      <c r="AI59" s="18">
        <v>0.02</v>
      </c>
      <c r="AJ59" s="18">
        <f>M59</f>
        <v>0.05</v>
      </c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</row>
    <row r="60" spans="1:75">
      <c r="A60" s="22" t="s">
        <v>525</v>
      </c>
      <c r="B60" s="20">
        <v>8</v>
      </c>
      <c r="C60" s="20" t="s">
        <v>512</v>
      </c>
      <c r="D60" s="20" t="s">
        <v>513</v>
      </c>
      <c r="E60" s="20" t="s">
        <v>507</v>
      </c>
      <c r="F60" s="193">
        <f>IF(E60="有",(I60/B60+J60+Z60/B60)/(0.99999-K60-L60-M60-N60),(I60/B60+J60+Z60/B60)/(0.99999-K60-M60-N60))</f>
        <v>14.4361449898745</v>
      </c>
      <c r="G60" s="193">
        <f>IF(E60="有",(I60/B60+J60+Z60/B60)/(0.8-K60-L60-M60-N60-O60-P60),(I60/B60+J60+Z60/B60)/(0.8-K60-M60-N60-O60-P60))</f>
        <v>27.5245864962269</v>
      </c>
      <c r="H60" s="194">
        <f>H57*0.8</f>
        <v>15.992</v>
      </c>
      <c r="I60" s="193">
        <f>29.4/1.13</f>
        <v>26.0176991150442</v>
      </c>
      <c r="J60" s="20">
        <v>3.23</v>
      </c>
      <c r="K60" s="18">
        <v>0.15</v>
      </c>
      <c r="L60" s="18">
        <v>0.16</v>
      </c>
      <c r="M60" s="18">
        <v>0.05</v>
      </c>
      <c r="N60" s="18">
        <f>Q60/H60</f>
        <v>0.156328164082041</v>
      </c>
      <c r="O60" s="195">
        <v>0.01</v>
      </c>
      <c r="P60" s="18">
        <v>0.02</v>
      </c>
      <c r="Q60" s="193">
        <v>2.5</v>
      </c>
      <c r="R60" s="14"/>
      <c r="S60" s="14"/>
      <c r="T60" s="14"/>
      <c r="U60" s="14"/>
      <c r="V60" s="193"/>
      <c r="W60" s="193"/>
      <c r="X60" s="20" t="s">
        <v>21</v>
      </c>
      <c r="Y60" s="196">
        <v>5.55136</v>
      </c>
      <c r="Z60" s="197">
        <v>4</v>
      </c>
      <c r="AA60" s="193">
        <f>H60-SUM(K60:P60)*H60-J60-I60/B60-Z60/B60</f>
        <v>0.272907610619468</v>
      </c>
      <c r="AB60" s="195">
        <f>AA60/H60</f>
        <v>0.0170652582928632</v>
      </c>
      <c r="AC60" s="14"/>
      <c r="AD60" s="17">
        <f>J60/H60</f>
        <v>0.201975987993997</v>
      </c>
      <c r="AE60" s="18">
        <f>I60/7.4/H60</f>
        <v>0.219854007367233</v>
      </c>
      <c r="AF60" s="18">
        <f>Z60/7.4/H60</f>
        <v>0.0338006841258467</v>
      </c>
      <c r="AG60" s="18">
        <v>0.15</v>
      </c>
      <c r="AH60" s="18">
        <f>N60</f>
        <v>0.156328164082041</v>
      </c>
      <c r="AI60" s="18">
        <v>0.02</v>
      </c>
      <c r="AJ60" s="18">
        <f>M60</f>
        <v>0.05</v>
      </c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</row>
    <row r="61" ht="21" customHeight="1" spans="1:75">
      <c r="A61" s="15"/>
      <c r="B61" s="15"/>
      <c r="C61" s="15"/>
      <c r="D61" s="15"/>
      <c r="E61" s="20"/>
      <c r="F61" s="193"/>
      <c r="G61" s="193"/>
      <c r="H61" s="20"/>
      <c r="I61" s="193"/>
      <c r="J61" s="20"/>
      <c r="K61" s="18"/>
      <c r="L61" s="18"/>
      <c r="M61" s="18"/>
      <c r="N61" s="18"/>
      <c r="O61" s="195"/>
      <c r="P61" s="18"/>
      <c r="Q61" s="195"/>
      <c r="R61" s="14"/>
      <c r="S61" s="14"/>
      <c r="T61" s="14"/>
      <c r="U61" s="14"/>
      <c r="V61" s="193"/>
      <c r="W61" s="193"/>
      <c r="X61" s="20"/>
      <c r="Y61" s="196"/>
      <c r="Z61" s="193"/>
      <c r="AA61" s="193"/>
      <c r="AB61" s="195"/>
      <c r="AC61" s="14"/>
      <c r="AD61" s="17"/>
      <c r="AE61" s="18"/>
      <c r="AF61" s="18"/>
      <c r="AG61" s="18"/>
      <c r="AH61" s="18"/>
      <c r="AI61" s="18"/>
      <c r="AJ61" s="18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</row>
    <row r="62" spans="1:75">
      <c r="A62" s="199" t="s">
        <v>522</v>
      </c>
      <c r="B62" s="20">
        <v>8</v>
      </c>
      <c r="C62" s="14" t="s">
        <v>515</v>
      </c>
      <c r="D62" s="14" t="s">
        <v>516</v>
      </c>
      <c r="E62" s="20" t="s">
        <v>507</v>
      </c>
      <c r="F62" s="193">
        <f>IF(E62="有",(I62/B62+J62+Z62/B62)/(0.99999-K62-L62-M62-N62),(I62/B62+J62+Z62/B62)/(0.99999-K62-M62-N62))</f>
        <v>12.6662739616734</v>
      </c>
      <c r="G62" s="193">
        <f>IF(E62="有",(I62/B62+J62+Z62/B62)/(0.8-K62-L62-M62-N62-O62-P62),(I62/B62+J62+Z62/B62)/(0.8-K62-M62-N62-O62-P62))</f>
        <v>22.8899779953505</v>
      </c>
      <c r="H62" s="194">
        <v>19.99</v>
      </c>
      <c r="I62" s="193">
        <f>29.4/1.13</f>
        <v>26.0176991150442</v>
      </c>
      <c r="J62" s="14">
        <v>2.77</v>
      </c>
      <c r="K62" s="18">
        <v>0.15</v>
      </c>
      <c r="L62" s="18">
        <v>0.16</v>
      </c>
      <c r="M62" s="18">
        <v>0.05</v>
      </c>
      <c r="N62" s="18">
        <f>Q62/H62</f>
        <v>0.125062531265633</v>
      </c>
      <c r="O62" s="195">
        <v>0.01</v>
      </c>
      <c r="P62" s="18">
        <v>0.02</v>
      </c>
      <c r="Q62" s="193">
        <v>2.5</v>
      </c>
      <c r="R62" s="14"/>
      <c r="S62" s="14"/>
      <c r="T62" s="14"/>
      <c r="U62" s="14"/>
      <c r="V62" s="193"/>
      <c r="W62" s="193"/>
      <c r="X62" s="14" t="s">
        <v>21</v>
      </c>
      <c r="Y62" s="196">
        <v>5.55136</v>
      </c>
      <c r="Z62" s="197">
        <v>4</v>
      </c>
      <c r="AA62" s="193">
        <f>H62-SUM(K62:P62)*H62-J62-I62/B62-Z62/B62</f>
        <v>3.17168761061947</v>
      </c>
      <c r="AB62" s="195">
        <f>AA62/H62</f>
        <v>0.158663712387167</v>
      </c>
      <c r="AC62" s="14"/>
      <c r="AD62" s="17">
        <f>J62/H62</f>
        <v>0.138569284642321</v>
      </c>
      <c r="AE62" s="18">
        <f>I62/7.4/H62</f>
        <v>0.175883205893786</v>
      </c>
      <c r="AF62" s="18">
        <f>Z62/7.4/H62</f>
        <v>0.0270405473006774</v>
      </c>
      <c r="AG62" s="18">
        <v>0.15</v>
      </c>
      <c r="AH62" s="18">
        <f>N62</f>
        <v>0.125062531265633</v>
      </c>
      <c r="AI62" s="18">
        <v>0.02</v>
      </c>
      <c r="AJ62" s="18">
        <f>M62</f>
        <v>0.05</v>
      </c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</row>
    <row r="63" spans="1:75">
      <c r="A63" s="22" t="s">
        <v>523</v>
      </c>
      <c r="B63" s="20">
        <v>8</v>
      </c>
      <c r="C63" s="20" t="s">
        <v>515</v>
      </c>
      <c r="D63" s="20" t="s">
        <v>516</v>
      </c>
      <c r="E63" s="20" t="s">
        <v>507</v>
      </c>
      <c r="F63" s="193">
        <f>IF(E63="有",(I63/B63+J63+Z63/B63)/(0.99999-K63-L63-M63-N63),(I63/B63+J63+Z63/B63)/(0.99999-K63-M63-N63))</f>
        <v>13.0175661051473</v>
      </c>
      <c r="G63" s="193">
        <f>IF(E63="有",(I63/B63+J63+Z63/B63)/(0.8-K63-L63-M63-N63-O63-P63),(I63/B63+J63+Z63/B63)/(0.8-K63-M63-N63-O63-P63))</f>
        <v>24.0635076722655</v>
      </c>
      <c r="H63" s="194">
        <f>H62*0.9</f>
        <v>17.991</v>
      </c>
      <c r="I63" s="193">
        <f>29.4/1.13</f>
        <v>26.0176991150442</v>
      </c>
      <c r="J63" s="20">
        <v>2.77</v>
      </c>
      <c r="K63" s="18">
        <v>0.15</v>
      </c>
      <c r="L63" s="18">
        <v>0.16</v>
      </c>
      <c r="M63" s="18">
        <v>0.05</v>
      </c>
      <c r="N63" s="18">
        <f>Q63/H63</f>
        <v>0.138958368072925</v>
      </c>
      <c r="O63" s="195">
        <v>0.01</v>
      </c>
      <c r="P63" s="18">
        <v>0.02</v>
      </c>
      <c r="Q63" s="193">
        <v>2.5</v>
      </c>
      <c r="R63" s="14"/>
      <c r="S63" s="14"/>
      <c r="T63" s="14"/>
      <c r="U63" s="14"/>
      <c r="V63" s="193"/>
      <c r="W63" s="193"/>
      <c r="X63" s="20" t="s">
        <v>21</v>
      </c>
      <c r="Y63" s="196">
        <v>5.55136</v>
      </c>
      <c r="Z63" s="197">
        <v>4</v>
      </c>
      <c r="AA63" s="193">
        <f>H63-SUM(K63:P63)*H63-J63-I63/B63-Z63/B63</f>
        <v>1.95229761061947</v>
      </c>
      <c r="AB63" s="195">
        <f>AA63/H63</f>
        <v>0.108515235985741</v>
      </c>
      <c r="AC63" s="14"/>
      <c r="AD63" s="17">
        <f>J63/H63</f>
        <v>0.153965871824801</v>
      </c>
      <c r="AE63" s="18">
        <f>I63/B63/H63</f>
        <v>0.180768850501947</v>
      </c>
      <c r="AF63" s="18">
        <f>Z63/B63/H63</f>
        <v>0.0277916736145851</v>
      </c>
      <c r="AG63" s="18">
        <f>K63</f>
        <v>0.15</v>
      </c>
      <c r="AH63" s="18">
        <f>N63</f>
        <v>0.138958368072925</v>
      </c>
      <c r="AI63" s="18">
        <v>0.02</v>
      </c>
      <c r="AJ63" s="18">
        <f>M63</f>
        <v>0.05</v>
      </c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</row>
    <row r="64" spans="1:75">
      <c r="A64" s="22" t="s">
        <v>524</v>
      </c>
      <c r="B64" s="20">
        <v>8</v>
      </c>
      <c r="C64" s="20" t="s">
        <v>515</v>
      </c>
      <c r="D64" s="20" t="s">
        <v>516</v>
      </c>
      <c r="E64" s="20" t="s">
        <v>507</v>
      </c>
      <c r="F64" s="193">
        <f>IF(E64="有",(I64/B64+J64+Z64/B64)/(0.99999-K64-L64-M64-N64),(I64/B64+J64+Z64/B64)/(0.99999-K64-M64-N64))</f>
        <v>13.2334618628121</v>
      </c>
      <c r="G64" s="193">
        <f>IF(E64="有",(I64/B64+J64+Z64/B64)/(0.8-K64-L64-M64-N64-O64-P64),(I64/B64+J64+Z64/B64)/(0.8-K64-M64-N64-O64-P64))</f>
        <v>24.8117764776698</v>
      </c>
      <c r="H64" s="201">
        <f>H62*0.85</f>
        <v>16.9915</v>
      </c>
      <c r="I64" s="193">
        <f>29.4/1.13</f>
        <v>26.0176991150442</v>
      </c>
      <c r="J64" s="20">
        <v>2.77</v>
      </c>
      <c r="K64" s="18">
        <v>0.15</v>
      </c>
      <c r="L64" s="18">
        <v>0.16</v>
      </c>
      <c r="M64" s="18">
        <v>0.05</v>
      </c>
      <c r="N64" s="18">
        <f>Q64/H64</f>
        <v>0.147132389724274</v>
      </c>
      <c r="O64" s="195">
        <v>0.01</v>
      </c>
      <c r="P64" s="18">
        <v>0.02</v>
      </c>
      <c r="Q64" s="193">
        <v>2.5</v>
      </c>
      <c r="R64" s="14"/>
      <c r="S64" s="14"/>
      <c r="T64" s="14"/>
      <c r="U64" s="14"/>
      <c r="V64" s="193"/>
      <c r="W64" s="193"/>
      <c r="X64" s="20" t="s">
        <v>21</v>
      </c>
      <c r="Y64" s="196">
        <v>5.55136</v>
      </c>
      <c r="Z64" s="197">
        <v>4</v>
      </c>
      <c r="AA64" s="193">
        <f>H64-SUM(K64:P64)*H64-J64-I64/B64-Z64/B64</f>
        <v>1.34260261061947</v>
      </c>
      <c r="AB64" s="195">
        <f>AA64/H64</f>
        <v>0.0790161322201964</v>
      </c>
      <c r="AC64" s="14"/>
      <c r="AD64" s="17">
        <f>J64/H64</f>
        <v>0.163022687814495</v>
      </c>
      <c r="AE64" s="18">
        <f>I64/B64/H64</f>
        <v>0.191402312296179</v>
      </c>
      <c r="AF64" s="18">
        <f>Z64/B64/H64</f>
        <v>0.0294264779448548</v>
      </c>
      <c r="AG64" s="18">
        <f>K64</f>
        <v>0.15</v>
      </c>
      <c r="AH64" s="18">
        <f>N64</f>
        <v>0.147132389724274</v>
      </c>
      <c r="AI64" s="18">
        <v>0.02</v>
      </c>
      <c r="AJ64" s="18">
        <f>M64</f>
        <v>0.05</v>
      </c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</row>
    <row r="65" spans="1:75">
      <c r="A65" s="22" t="s">
        <v>525</v>
      </c>
      <c r="B65" s="20">
        <v>8</v>
      </c>
      <c r="C65" s="20" t="s">
        <v>515</v>
      </c>
      <c r="D65" s="20" t="s">
        <v>516</v>
      </c>
      <c r="E65" s="20" t="s">
        <v>507</v>
      </c>
      <c r="F65" s="193">
        <f>IF(E65="有",(I65/B65+J65+Z65/B65)/(0.99999-K65-L65-M65-N65),(I65/B65+J65+Z65/B65)/(0.99999-K65-M65-N65))</f>
        <v>13.4850672619265</v>
      </c>
      <c r="G65" s="193">
        <f>IF(E65="有",(I65/B65+J65+Z65/B65)/(0.8-K65-L65-M65-N65-O65-P65),(I65/B65+J65+Z65/B65)/(0.8-K65-M65-N65-O65-P65))</f>
        <v>25.71122003268</v>
      </c>
      <c r="H65" s="194">
        <f>H62*0.8</f>
        <v>15.992</v>
      </c>
      <c r="I65" s="193">
        <f>29.4/1.13</f>
        <v>26.0176991150442</v>
      </c>
      <c r="J65" s="20">
        <v>2.77</v>
      </c>
      <c r="K65" s="18">
        <v>0.15</v>
      </c>
      <c r="L65" s="18">
        <v>0.16</v>
      </c>
      <c r="M65" s="18">
        <v>0.05</v>
      </c>
      <c r="N65" s="18">
        <f>Q65/H65</f>
        <v>0.156328164082041</v>
      </c>
      <c r="O65" s="195">
        <v>0.01</v>
      </c>
      <c r="P65" s="18">
        <v>0.02</v>
      </c>
      <c r="Q65" s="193">
        <v>2.5</v>
      </c>
      <c r="R65" s="14"/>
      <c r="S65" s="14"/>
      <c r="T65" s="14"/>
      <c r="U65" s="14"/>
      <c r="V65" s="193"/>
      <c r="W65" s="193"/>
      <c r="X65" s="20" t="s">
        <v>21</v>
      </c>
      <c r="Y65" s="196">
        <v>5.55136</v>
      </c>
      <c r="Z65" s="197">
        <v>4</v>
      </c>
      <c r="AA65" s="193">
        <f>H65-SUM(K65:P65)*H65-J65-I65/B65-Z65/B65</f>
        <v>0.732907610619469</v>
      </c>
      <c r="AB65" s="195">
        <f>AA65/H65</f>
        <v>0.0458296404839588</v>
      </c>
      <c r="AC65" s="14"/>
      <c r="AD65" s="17">
        <f>J65/H65</f>
        <v>0.173211605802901</v>
      </c>
      <c r="AE65" s="18">
        <f>I65/7.4/H65</f>
        <v>0.219854007367233</v>
      </c>
      <c r="AF65" s="18">
        <f>Z65/7.4/H65</f>
        <v>0.0338006841258467</v>
      </c>
      <c r="AG65" s="18">
        <v>0.15</v>
      </c>
      <c r="AH65" s="18">
        <f>N65</f>
        <v>0.156328164082041</v>
      </c>
      <c r="AI65" s="18">
        <v>0.02</v>
      </c>
      <c r="AJ65" s="18">
        <f>M65</f>
        <v>0.05</v>
      </c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</row>
    <row r="66" spans="1:75">
      <c r="A66" s="21"/>
      <c r="B66" s="20"/>
      <c r="C66" s="20"/>
      <c r="D66" s="20"/>
      <c r="E66" s="20"/>
      <c r="F66" s="193"/>
      <c r="G66" s="193"/>
      <c r="H66" s="198"/>
      <c r="I66" s="193"/>
      <c r="J66" s="14"/>
      <c r="K66" s="18"/>
      <c r="L66" s="18"/>
      <c r="M66" s="18"/>
      <c r="N66" s="18"/>
      <c r="O66" s="195"/>
      <c r="P66" s="18"/>
      <c r="Q66" s="193"/>
      <c r="R66" s="14"/>
      <c r="S66" s="14"/>
      <c r="T66" s="14"/>
      <c r="U66" s="14"/>
      <c r="V66" s="193"/>
      <c r="W66" s="193"/>
      <c r="X66" s="14"/>
      <c r="Y66" s="196"/>
      <c r="Z66" s="193"/>
      <c r="AA66" s="193"/>
      <c r="AB66" s="195"/>
      <c r="AC66" s="14"/>
      <c r="AD66" s="17"/>
      <c r="AE66" s="18"/>
      <c r="AF66" s="18"/>
      <c r="AG66" s="18"/>
      <c r="AH66" s="18"/>
      <c r="AI66" s="18"/>
      <c r="AJ66" s="18"/>
    </row>
    <row r="67" spans="1:75">
      <c r="A67" s="200" t="s">
        <v>526</v>
      </c>
      <c r="B67" s="20">
        <v>8</v>
      </c>
      <c r="C67" s="20" t="s">
        <v>506</v>
      </c>
      <c r="D67" s="20" t="s">
        <v>277</v>
      </c>
      <c r="E67" s="20" t="s">
        <v>507</v>
      </c>
      <c r="F67" s="193">
        <f>IF(E67="有",(I67/B67+J67+Z67/B67)/(0.99999-K67-L67-M67-N67),(I67/B67+J67+Z67/B67)/(0.99999-K67-M67-N67))</f>
        <v>25.7864962931679</v>
      </c>
      <c r="G67" s="193">
        <f>IF(E67="有",(I67/B67+J67+Z67/B67)/(0.8-K67-L67-M67-N67-O67-P67),(I67/B67+J67+Z67/B67)/(0.8-K67-M67-N67-O67-P67))</f>
        <v>44.919124415031</v>
      </c>
      <c r="H67" s="194">
        <v>39.99</v>
      </c>
      <c r="I67" s="193">
        <f>80.4/1.13</f>
        <v>71.1504424778761</v>
      </c>
      <c r="J67" s="14">
        <v>4.03</v>
      </c>
      <c r="K67" s="18">
        <v>0.15</v>
      </c>
      <c r="L67" s="18">
        <v>0.16</v>
      </c>
      <c r="M67" s="18">
        <v>0.05</v>
      </c>
      <c r="N67" s="18">
        <f>Q67/H67</f>
        <v>0.100025006251563</v>
      </c>
      <c r="O67" s="195">
        <v>0.01</v>
      </c>
      <c r="P67" s="18">
        <v>0.02</v>
      </c>
      <c r="Q67" s="193">
        <v>4</v>
      </c>
      <c r="R67" s="14"/>
      <c r="S67" s="14"/>
      <c r="T67" s="14"/>
      <c r="U67" s="14"/>
      <c r="V67" s="193"/>
      <c r="W67" s="193"/>
      <c r="X67" s="14" t="s">
        <v>21</v>
      </c>
      <c r="Y67" s="196">
        <v>5.55136</v>
      </c>
      <c r="Z67" s="197">
        <v>8</v>
      </c>
      <c r="AA67" s="193">
        <f>H67-SUM(K67:P67)*H67-J67-I67/B67-Z67/B67</f>
        <v>6.47009469026549</v>
      </c>
      <c r="AB67" s="195">
        <f>AA67/H67</f>
        <v>0.161792815460502</v>
      </c>
      <c r="AC67" s="14"/>
      <c r="AD67" s="17">
        <f>J67/H67</f>
        <v>0.10077519379845</v>
      </c>
      <c r="AE67" s="18">
        <f>I67/7.4/H67</f>
        <v>0.240433224785508</v>
      </c>
      <c r="AF67" s="18">
        <f>Z67/7.4/H67</f>
        <v>0.0270337854733954</v>
      </c>
      <c r="AG67" s="18">
        <v>0.15</v>
      </c>
      <c r="AH67" s="18">
        <f>N67</f>
        <v>0.100025006251563</v>
      </c>
      <c r="AI67" s="18">
        <v>0.02</v>
      </c>
      <c r="AJ67" s="18">
        <f>M67</f>
        <v>0.05</v>
      </c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</row>
    <row r="68" spans="1:75">
      <c r="A68" s="200" t="s">
        <v>527</v>
      </c>
      <c r="B68" s="20">
        <v>8</v>
      </c>
      <c r="C68" s="20" t="s">
        <v>506</v>
      </c>
      <c r="D68" s="20" t="s">
        <v>277</v>
      </c>
      <c r="E68" s="20" t="s">
        <v>507</v>
      </c>
      <c r="F68" s="193">
        <f>IF(E68="有",(I68/B68+J68+Z68/B68)/(0.99999-K68-L68-M68-N68),(I68/B68+J68+Z68/B68)/(0.99999-K68-M68-N68))</f>
        <v>26.3284035904975</v>
      </c>
      <c r="G68" s="193">
        <f>IF(E68="有",(I68/B68+J68+Z68/B68)/(0.8-K68-L68-M68-N68-O68-P68),(I68/B68+J68+Z68/B68)/(0.8-K68-M68-N68-O68-P68))</f>
        <v>46.589553192745</v>
      </c>
      <c r="H68" s="194">
        <f>H67*0.9</f>
        <v>35.991</v>
      </c>
      <c r="I68" s="193">
        <f>80.4/1.13</f>
        <v>71.1504424778761</v>
      </c>
      <c r="J68" s="20">
        <v>4.03</v>
      </c>
      <c r="K68" s="18">
        <v>0.15</v>
      </c>
      <c r="L68" s="18">
        <v>0.16</v>
      </c>
      <c r="M68" s="18">
        <v>0.05</v>
      </c>
      <c r="N68" s="18">
        <f>Q68/H68</f>
        <v>0.11113889583507</v>
      </c>
      <c r="O68" s="195">
        <v>0.01</v>
      </c>
      <c r="P68" s="18">
        <v>0.02</v>
      </c>
      <c r="Q68" s="193">
        <v>4</v>
      </c>
      <c r="R68" s="14"/>
      <c r="S68" s="14"/>
      <c r="T68" s="14"/>
      <c r="U68" s="14"/>
      <c r="V68" s="193"/>
      <c r="W68" s="193"/>
      <c r="X68" s="20" t="s">
        <v>21</v>
      </c>
      <c r="Y68" s="196">
        <v>5.55136</v>
      </c>
      <c r="Z68" s="197">
        <v>8</v>
      </c>
      <c r="AA68" s="193">
        <f>H68-SUM(K68:P68)*H68-J68-I68/B68-Z68/B68</f>
        <v>4.03070469026548</v>
      </c>
      <c r="AB68" s="195">
        <f>AA68/H68</f>
        <v>0.111992017178336</v>
      </c>
      <c r="AC68" s="14"/>
      <c r="AD68" s="17">
        <f>J68/H68</f>
        <v>0.111972437553833</v>
      </c>
      <c r="AE68" s="18">
        <f>I68/B68/H68</f>
        <v>0.247111925473994</v>
      </c>
      <c r="AF68" s="18">
        <f>Z68/B68/H68</f>
        <v>0.0277847239587675</v>
      </c>
      <c r="AG68" s="18">
        <f>K68</f>
        <v>0.15</v>
      </c>
      <c r="AH68" s="18">
        <f>N68</f>
        <v>0.11113889583507</v>
      </c>
      <c r="AI68" s="18">
        <v>0.02</v>
      </c>
      <c r="AJ68" s="18">
        <f>M68</f>
        <v>0.05</v>
      </c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</row>
    <row r="69" spans="1:75">
      <c r="A69" s="200" t="s">
        <v>528</v>
      </c>
      <c r="B69" s="20">
        <v>8</v>
      </c>
      <c r="C69" s="20" t="s">
        <v>506</v>
      </c>
      <c r="D69" s="20" t="s">
        <v>277</v>
      </c>
      <c r="E69" s="20" t="s">
        <v>507</v>
      </c>
      <c r="F69" s="193">
        <f>IF(E69="有",(I69/B69+J69+Z69/B69)/(0.99999-K69-L69-M69-N69),(I69/B69+J69+Z69/B69)/(0.99999-K69-M69-N69))</f>
        <v>26.6579453177845</v>
      </c>
      <c r="G69" s="193">
        <f>IF(E69="有",(I69/B69+J69+Z69/B69)/(0.8-K69-L69-M69-N69-O69-P69),(I69/B69+J69+Z69/B69)/(0.8-K69-M69-N69-O69-P69))</f>
        <v>47.6314913413647</v>
      </c>
      <c r="H69" s="201">
        <f>H67*0.85</f>
        <v>33.9915</v>
      </c>
      <c r="I69" s="193">
        <f>80.4/1.13</f>
        <v>71.1504424778761</v>
      </c>
      <c r="J69" s="20">
        <v>4.03</v>
      </c>
      <c r="K69" s="18">
        <v>0.15</v>
      </c>
      <c r="L69" s="18">
        <v>0.16</v>
      </c>
      <c r="M69" s="18">
        <v>0.05</v>
      </c>
      <c r="N69" s="18">
        <f>Q69/H69</f>
        <v>0.117676477943015</v>
      </c>
      <c r="O69" s="195">
        <v>0.01</v>
      </c>
      <c r="P69" s="18">
        <v>0.02</v>
      </c>
      <c r="Q69" s="193">
        <v>4</v>
      </c>
      <c r="R69" s="14"/>
      <c r="S69" s="14"/>
      <c r="T69" s="14"/>
      <c r="U69" s="14"/>
      <c r="V69" s="193"/>
      <c r="W69" s="193"/>
      <c r="X69" s="20" t="s">
        <v>21</v>
      </c>
      <c r="Y69" s="196">
        <v>5.55136</v>
      </c>
      <c r="Z69" s="197">
        <v>8</v>
      </c>
      <c r="AA69" s="193">
        <f>H69-SUM(K69:P69)*H69-J69-I69/B69-Z69/B69</f>
        <v>2.81100969026549</v>
      </c>
      <c r="AB69" s="195">
        <f>AA69/H69</f>
        <v>0.0826974299535321</v>
      </c>
      <c r="AC69" s="14"/>
      <c r="AD69" s="17">
        <f>J69/H69</f>
        <v>0.118559051527588</v>
      </c>
      <c r="AE69" s="18">
        <f>I69/B69/H69</f>
        <v>0.261647921090111</v>
      </c>
      <c r="AF69" s="18">
        <f>Z69/B69/H69</f>
        <v>0.0294191194857538</v>
      </c>
      <c r="AG69" s="18">
        <f>K69</f>
        <v>0.15</v>
      </c>
      <c r="AH69" s="18">
        <f>N69</f>
        <v>0.117676477943015</v>
      </c>
      <c r="AI69" s="18">
        <v>0.02</v>
      </c>
      <c r="AJ69" s="18">
        <f>M69</f>
        <v>0.05</v>
      </c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</row>
    <row r="70" spans="1:75">
      <c r="A70" s="200" t="s">
        <v>529</v>
      </c>
      <c r="B70" s="20">
        <v>8</v>
      </c>
      <c r="C70" s="20" t="s">
        <v>506</v>
      </c>
      <c r="D70" s="20" t="s">
        <v>277</v>
      </c>
      <c r="E70" s="20" t="s">
        <v>507</v>
      </c>
      <c r="F70" s="193">
        <f>IF(E70="有",(I70/B70+J70+Z70/B70)/(0.99999-K70-L70-M70-N70),(I70/B70+J70+Z70/B70)/(0.99999-K70-M70-N70))</f>
        <v>27.038681294428</v>
      </c>
      <c r="G70" s="193">
        <f>IF(E70="有",(I70/B70+J70+Z70/B70)/(0.8-K70-L70-M70-N70-O70-P70),(I70/B70+J70+Z70/B70)/(0.8-K70-M70-N70-O70-P70))</f>
        <v>48.8608161124864</v>
      </c>
      <c r="H70" s="194">
        <f>H67*0.8</f>
        <v>31.992</v>
      </c>
      <c r="I70" s="193">
        <f>80.4/1.13</f>
        <v>71.1504424778761</v>
      </c>
      <c r="J70" s="20">
        <v>4.03</v>
      </c>
      <c r="K70" s="18">
        <v>0.15</v>
      </c>
      <c r="L70" s="18">
        <v>0.16</v>
      </c>
      <c r="M70" s="18">
        <v>0.05</v>
      </c>
      <c r="N70" s="18">
        <f>Q70/H70</f>
        <v>0.125031257814454</v>
      </c>
      <c r="O70" s="195">
        <v>0.01</v>
      </c>
      <c r="P70" s="18">
        <v>0.02</v>
      </c>
      <c r="Q70" s="193">
        <v>4</v>
      </c>
      <c r="R70" s="14"/>
      <c r="S70" s="14"/>
      <c r="T70" s="14"/>
      <c r="U70" s="14"/>
      <c r="V70" s="193"/>
      <c r="W70" s="193"/>
      <c r="X70" s="20" t="s">
        <v>21</v>
      </c>
      <c r="Y70" s="196">
        <v>5.55136</v>
      </c>
      <c r="Z70" s="197">
        <v>8</v>
      </c>
      <c r="AA70" s="193">
        <f>H70-SUM(K70:P70)*H70-J70-I70/B70-Z70/B70</f>
        <v>1.59131469026549</v>
      </c>
      <c r="AB70" s="195">
        <f>AA70/H70</f>
        <v>0.0497410193256279</v>
      </c>
      <c r="AC70" s="14"/>
      <c r="AD70" s="17">
        <f>J70/H70</f>
        <v>0.125968992248062</v>
      </c>
      <c r="AE70" s="18">
        <f>I70/7.4/H70</f>
        <v>0.300541530981884</v>
      </c>
      <c r="AF70" s="18">
        <f>Z70/7.4/H70</f>
        <v>0.0337922318417442</v>
      </c>
      <c r="AG70" s="18">
        <v>0.15</v>
      </c>
      <c r="AH70" s="18">
        <f>N70</f>
        <v>0.125031257814454</v>
      </c>
      <c r="AI70" s="18">
        <v>0.02</v>
      </c>
      <c r="AJ70" s="18">
        <f>M70</f>
        <v>0.05</v>
      </c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</row>
    <row r="71" ht="21" customHeight="1" spans="1:75">
      <c r="A71" s="15"/>
      <c r="B71" s="15"/>
      <c r="C71" s="15"/>
      <c r="D71" s="15"/>
      <c r="E71" s="20"/>
      <c r="F71" s="193"/>
      <c r="G71" s="193"/>
      <c r="H71" s="20"/>
      <c r="I71" s="193"/>
      <c r="J71" s="20"/>
      <c r="K71" s="18"/>
      <c r="L71" s="18"/>
      <c r="M71" s="18"/>
      <c r="N71" s="18"/>
      <c r="O71" s="195"/>
      <c r="P71" s="18"/>
      <c r="Q71" s="18"/>
      <c r="R71" s="14"/>
      <c r="S71" s="14"/>
      <c r="T71" s="14"/>
      <c r="U71" s="14"/>
      <c r="V71" s="193"/>
      <c r="W71" s="193"/>
      <c r="X71" s="20"/>
      <c r="Y71" s="196"/>
      <c r="Z71" s="193"/>
      <c r="AA71" s="193"/>
      <c r="AB71" s="195"/>
      <c r="AC71" s="14"/>
      <c r="AD71" s="17"/>
      <c r="AE71" s="18"/>
      <c r="AF71" s="18"/>
      <c r="AG71" s="18"/>
      <c r="AH71" s="18"/>
      <c r="AI71" s="18"/>
      <c r="AJ71" s="18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</row>
    <row r="72" spans="1:75">
      <c r="A72" s="202" t="s">
        <v>526</v>
      </c>
      <c r="B72" s="20">
        <v>8</v>
      </c>
      <c r="C72" s="14" t="s">
        <v>510</v>
      </c>
      <c r="D72" s="14" t="s">
        <v>511</v>
      </c>
      <c r="E72" s="20" t="s">
        <v>507</v>
      </c>
      <c r="F72" s="193">
        <f>IF(E72="有",(I72/B72+J72+Z72/B72)/(0.99999-K72-L72-M72-N72),(I72/B72+J72+Z72/B72)/(0.99999-K72-M72-N72))</f>
        <v>29.1941246048233</v>
      </c>
      <c r="G72" s="193">
        <f>IF(E72="有",(I72/B72+J72+Z72/B72)/(0.8-K72-L72-M72-N72-O72-P72),(I72/B72+J72+Z72/B72)/(0.8-K72-M72-N72-O72-P72))</f>
        <v>50.8550871123745</v>
      </c>
      <c r="H72" s="194">
        <v>39.99</v>
      </c>
      <c r="I72" s="193">
        <f>80.4/1.13</f>
        <v>71.1504424778761</v>
      </c>
      <c r="J72" s="14">
        <v>5.87</v>
      </c>
      <c r="K72" s="18">
        <v>0.15</v>
      </c>
      <c r="L72" s="18">
        <v>0.16</v>
      </c>
      <c r="M72" s="18">
        <v>0.05</v>
      </c>
      <c r="N72" s="18">
        <f>Q72/H72</f>
        <v>0.100025006251563</v>
      </c>
      <c r="O72" s="195">
        <v>0.01</v>
      </c>
      <c r="P72" s="18">
        <v>0.02</v>
      </c>
      <c r="Q72" s="193">
        <v>4</v>
      </c>
      <c r="R72" s="14"/>
      <c r="S72" s="14"/>
      <c r="T72" s="14"/>
      <c r="U72" s="14"/>
      <c r="V72" s="193"/>
      <c r="W72" s="193"/>
      <c r="X72" s="14" t="s">
        <v>21</v>
      </c>
      <c r="Y72" s="196">
        <v>5.55136</v>
      </c>
      <c r="Z72" s="197">
        <v>8</v>
      </c>
      <c r="AA72" s="193">
        <f>H72-SUM(K72:P72)*H72-J72-I72/B72-Z72/B72</f>
        <v>4.63009469026549</v>
      </c>
      <c r="AB72" s="195">
        <f>AA72/H72</f>
        <v>0.115781312584783</v>
      </c>
      <c r="AC72" s="14"/>
      <c r="AD72" s="17">
        <f>J72/H72</f>
        <v>0.146786696674169</v>
      </c>
      <c r="AE72" s="18">
        <f>I72/7.4/H72</f>
        <v>0.240433224785508</v>
      </c>
      <c r="AF72" s="18">
        <f>Z72/7.4/H72</f>
        <v>0.0270337854733954</v>
      </c>
      <c r="AG72" s="18">
        <v>0.15</v>
      </c>
      <c r="AH72" s="18">
        <f>N72</f>
        <v>0.100025006251563</v>
      </c>
      <c r="AI72" s="18">
        <v>0.02</v>
      </c>
      <c r="AJ72" s="18">
        <f>M72</f>
        <v>0.05</v>
      </c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</row>
    <row r="73" spans="1:75">
      <c r="A73" s="200" t="s">
        <v>527</v>
      </c>
      <c r="B73" s="20">
        <v>8</v>
      </c>
      <c r="C73" s="20" t="s">
        <v>510</v>
      </c>
      <c r="D73" s="20" t="s">
        <v>511</v>
      </c>
      <c r="E73" s="20" t="s">
        <v>507</v>
      </c>
      <c r="F73" s="193">
        <f>IF(E73="有",(I73/B73+J73+Z73/B73)/(0.99999-K73-L73-M73-N73),(I73/B73+J73+Z73/B73)/(0.99999-K73-M73-N73))</f>
        <v>29.8076437499851</v>
      </c>
      <c r="G73" s="193">
        <f>IF(E73="有",(I73/B73+J73+Z73/B73)/(0.8-K73-L73-M73-N73-O73-P73),(I73/B73+J73+Z73/B73)/(0.8-K73-M73-N73-O73-P73))</f>
        <v>52.7462593494102</v>
      </c>
      <c r="H73" s="194">
        <f>H72*0.9</f>
        <v>35.991</v>
      </c>
      <c r="I73" s="193">
        <f>80.4/1.13</f>
        <v>71.1504424778761</v>
      </c>
      <c r="J73" s="20">
        <v>5.87</v>
      </c>
      <c r="K73" s="18">
        <v>0.15</v>
      </c>
      <c r="L73" s="18">
        <v>0.16</v>
      </c>
      <c r="M73" s="18">
        <v>0.05</v>
      </c>
      <c r="N73" s="18">
        <f>Q73/H73</f>
        <v>0.11113889583507</v>
      </c>
      <c r="O73" s="195">
        <v>0.01</v>
      </c>
      <c r="P73" s="18">
        <v>0.02</v>
      </c>
      <c r="Q73" s="193">
        <v>4</v>
      </c>
      <c r="R73" s="14"/>
      <c r="S73" s="14"/>
      <c r="T73" s="14"/>
      <c r="U73" s="14"/>
      <c r="V73" s="193"/>
      <c r="W73" s="193"/>
      <c r="X73" s="20" t="s">
        <v>21</v>
      </c>
      <c r="Y73" s="196">
        <v>5.55136</v>
      </c>
      <c r="Z73" s="197">
        <v>8</v>
      </c>
      <c r="AA73" s="193">
        <f>H73-SUM(K73:P73)*H73-J73-I73/B73-Z73/B73</f>
        <v>2.19070469026548</v>
      </c>
      <c r="AB73" s="195">
        <f>AA73/H73</f>
        <v>0.0608681250942037</v>
      </c>
      <c r="AC73" s="14"/>
      <c r="AD73" s="17">
        <f>J73/H73</f>
        <v>0.163096329637965</v>
      </c>
      <c r="AE73" s="18">
        <f>I73/B73/H73</f>
        <v>0.247111925473994</v>
      </c>
      <c r="AF73" s="18">
        <f>Z73/B73/H73</f>
        <v>0.0277847239587675</v>
      </c>
      <c r="AG73" s="18">
        <f>K73</f>
        <v>0.15</v>
      </c>
      <c r="AH73" s="18">
        <f>N73</f>
        <v>0.11113889583507</v>
      </c>
      <c r="AI73" s="18">
        <v>0.02</v>
      </c>
      <c r="AJ73" s="18">
        <f>M73</f>
        <v>0.05</v>
      </c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</row>
    <row r="74" spans="1:75">
      <c r="A74" s="200" t="s">
        <v>528</v>
      </c>
      <c r="B74" s="20">
        <v>8</v>
      </c>
      <c r="C74" s="20" t="s">
        <v>510</v>
      </c>
      <c r="D74" s="20" t="s">
        <v>511</v>
      </c>
      <c r="E74" s="20" t="s">
        <v>507</v>
      </c>
      <c r="F74" s="193">
        <f>IF(E74="有",(I74/B74+J74+Z74/B74)/(0.99999-K74-L74-M74-N74),(I74/B74+J74+Z74/B74)/(0.99999-K74-M74-N74))</f>
        <v>30.1807336858774</v>
      </c>
      <c r="G74" s="193">
        <f>IF(E74="有",(I74/B74+J74+Z74/B74)/(0.8-K74-L74-M74-N74-O74-P74),(I74/B74+J74+Z74/B74)/(0.8-K74-M74-N74-O74-P74))</f>
        <v>53.9258873141983</v>
      </c>
      <c r="H74" s="201">
        <f>H72*0.85</f>
        <v>33.9915</v>
      </c>
      <c r="I74" s="193">
        <f>80.4/1.13</f>
        <v>71.1504424778761</v>
      </c>
      <c r="J74" s="20">
        <v>5.87</v>
      </c>
      <c r="K74" s="18">
        <v>0.15</v>
      </c>
      <c r="L74" s="18">
        <v>0.16</v>
      </c>
      <c r="M74" s="18">
        <v>0.05</v>
      </c>
      <c r="N74" s="18">
        <f>Q74/H74</f>
        <v>0.117676477943015</v>
      </c>
      <c r="O74" s="195">
        <v>0.01</v>
      </c>
      <c r="P74" s="18">
        <v>0.02</v>
      </c>
      <c r="Q74" s="193">
        <v>4</v>
      </c>
      <c r="R74" s="14"/>
      <c r="S74" s="14"/>
      <c r="T74" s="14"/>
      <c r="U74" s="14"/>
      <c r="V74" s="193"/>
      <c r="W74" s="193"/>
      <c r="X74" s="20" t="s">
        <v>21</v>
      </c>
      <c r="Y74" s="196">
        <v>5.55136</v>
      </c>
      <c r="Z74" s="197">
        <v>8</v>
      </c>
      <c r="AA74" s="193">
        <f>H74-SUM(K74:P74)*H74-J74-I74/B74-Z74/B74</f>
        <v>0.971009690265486</v>
      </c>
      <c r="AB74" s="195">
        <f>AA74/H74</f>
        <v>0.0285662500997451</v>
      </c>
      <c r="AC74" s="14"/>
      <c r="AD74" s="17">
        <f>J74/H74</f>
        <v>0.172690231381375</v>
      </c>
      <c r="AE74" s="18">
        <f>I74/B74/H74</f>
        <v>0.261647921090111</v>
      </c>
      <c r="AF74" s="18">
        <f>Z74/B74/H74</f>
        <v>0.0294191194857538</v>
      </c>
      <c r="AG74" s="18">
        <f>K74</f>
        <v>0.15</v>
      </c>
      <c r="AH74" s="18">
        <f>N74</f>
        <v>0.117676477943015</v>
      </c>
      <c r="AI74" s="18">
        <v>0.02</v>
      </c>
      <c r="AJ74" s="18">
        <f>M74</f>
        <v>0.05</v>
      </c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</row>
    <row r="75" spans="1:75">
      <c r="A75" s="200" t="s">
        <v>529</v>
      </c>
      <c r="B75" s="20">
        <v>8</v>
      </c>
      <c r="C75" s="20" t="s">
        <v>510</v>
      </c>
      <c r="D75" s="20" t="s">
        <v>511</v>
      </c>
      <c r="E75" s="20" t="s">
        <v>507</v>
      </c>
      <c r="F75" s="193">
        <f>IF(E75="有",(I75/B75+J75+Z75/B75)/(0.99999-K75-L75-M75-N75),(I75/B75+J75+Z75/B75)/(0.99999-K75-M75-N75))</f>
        <v>30.6117830776715</v>
      </c>
      <c r="G75" s="193">
        <f>IF(E75="有",(I75/B75+J75+Z75/B75)/(0.8-K75-L75-M75-N75-O75-P75),(I75/B75+J75+Z75/B75)/(0.8-K75-M75-N75-O75-P75))</f>
        <v>55.3176646281806</v>
      </c>
      <c r="H75" s="194">
        <f>H72*0.8</f>
        <v>31.992</v>
      </c>
      <c r="I75" s="193">
        <f>80.4/1.13</f>
        <v>71.1504424778761</v>
      </c>
      <c r="J75" s="20">
        <v>5.87</v>
      </c>
      <c r="K75" s="18">
        <v>0.15</v>
      </c>
      <c r="L75" s="18">
        <v>0.16</v>
      </c>
      <c r="M75" s="18">
        <v>0.05</v>
      </c>
      <c r="N75" s="18">
        <f>Q75/H75</f>
        <v>0.125031257814454</v>
      </c>
      <c r="O75" s="195">
        <v>0.01</v>
      </c>
      <c r="P75" s="18">
        <v>0.02</v>
      </c>
      <c r="Q75" s="193">
        <v>4</v>
      </c>
      <c r="R75" s="14"/>
      <c r="S75" s="14"/>
      <c r="T75" s="14"/>
      <c r="U75" s="14"/>
      <c r="V75" s="193"/>
      <c r="W75" s="193"/>
      <c r="X75" s="20" t="s">
        <v>21</v>
      </c>
      <c r="Y75" s="196">
        <v>5.55136</v>
      </c>
      <c r="Z75" s="197">
        <v>8</v>
      </c>
      <c r="AA75" s="193">
        <f>H75-SUM(K75:P75)*H75-J75-I75/B75-Z75/B75</f>
        <v>-0.248685309734512</v>
      </c>
      <c r="AB75" s="195">
        <f>AA75/H75</f>
        <v>-0.00777335926902075</v>
      </c>
      <c r="AC75" s="14"/>
      <c r="AD75" s="17">
        <f>J75/H75</f>
        <v>0.183483370842711</v>
      </c>
      <c r="AE75" s="18">
        <f>I75/7.4/H75</f>
        <v>0.300541530981884</v>
      </c>
      <c r="AF75" s="18">
        <f>Z75/7.4/H75</f>
        <v>0.0337922318417442</v>
      </c>
      <c r="AG75" s="18">
        <v>0.15</v>
      </c>
      <c r="AH75" s="18">
        <f>N75</f>
        <v>0.125031257814454</v>
      </c>
      <c r="AI75" s="18">
        <v>0.02</v>
      </c>
      <c r="AJ75" s="18">
        <f>M75</f>
        <v>0.05</v>
      </c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</row>
    <row r="76" ht="21" customHeight="1" spans="1:75">
      <c r="A76" s="15"/>
      <c r="B76" s="15"/>
      <c r="C76" s="15"/>
      <c r="D76" s="15"/>
      <c r="E76" s="20"/>
      <c r="F76" s="193"/>
      <c r="G76" s="193"/>
      <c r="H76" s="20"/>
      <c r="I76" s="193"/>
      <c r="J76" s="20"/>
      <c r="K76" s="18"/>
      <c r="L76" s="18"/>
      <c r="M76" s="18"/>
      <c r="N76" s="18"/>
      <c r="O76" s="195"/>
      <c r="P76" s="18"/>
      <c r="Q76" s="18"/>
      <c r="R76" s="14"/>
      <c r="S76" s="14"/>
      <c r="T76" s="14"/>
      <c r="U76" s="14"/>
      <c r="V76" s="193"/>
      <c r="W76" s="193"/>
      <c r="X76" s="20"/>
      <c r="Y76" s="196"/>
      <c r="Z76" s="193"/>
      <c r="AA76" s="193"/>
      <c r="AB76" s="195"/>
      <c r="AC76" s="14"/>
      <c r="AD76" s="17"/>
      <c r="AE76" s="18"/>
      <c r="AF76" s="18"/>
      <c r="AG76" s="18"/>
      <c r="AH76" s="18"/>
      <c r="AI76" s="18"/>
      <c r="AJ76" s="18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</row>
    <row r="77" spans="1:75">
      <c r="A77" s="202" t="s">
        <v>526</v>
      </c>
      <c r="B77" s="20">
        <v>8</v>
      </c>
      <c r="C77" s="14" t="s">
        <v>512</v>
      </c>
      <c r="D77" s="14" t="s">
        <v>513</v>
      </c>
      <c r="E77" s="20" t="s">
        <v>507</v>
      </c>
      <c r="F77" s="193">
        <f>IF(E77="有",(I77/B77+J77+Z77/B77)/(0.99999-K77-L77-M77-N77),(I77/B77+J77+Z77/B77)/(0.99999-K77-M77-N77))</f>
        <v>28.5274147177603</v>
      </c>
      <c r="G77" s="193">
        <f>IF(E77="有",(I77/B77+J77+Z77/B77)/(0.8-K77-L77-M77-N77-O77-P77),(I77/B77+J77+Z77/B77)/(0.8-K77-M77-N77-O77-P77))</f>
        <v>49.6937031063725</v>
      </c>
      <c r="H77" s="194">
        <v>39.99</v>
      </c>
      <c r="I77" s="193">
        <f>80.4/1.13</f>
        <v>71.1504424778761</v>
      </c>
      <c r="J77" s="14">
        <v>5.51</v>
      </c>
      <c r="K77" s="18">
        <v>0.15</v>
      </c>
      <c r="L77" s="18">
        <v>0.16</v>
      </c>
      <c r="M77" s="18">
        <v>0.05</v>
      </c>
      <c r="N77" s="18">
        <f>Q77/H77</f>
        <v>0.100025006251563</v>
      </c>
      <c r="O77" s="195">
        <v>0.01</v>
      </c>
      <c r="P77" s="18">
        <v>0.02</v>
      </c>
      <c r="Q77" s="193">
        <v>4</v>
      </c>
      <c r="R77" s="14"/>
      <c r="S77" s="14"/>
      <c r="T77" s="14"/>
      <c r="U77" s="14"/>
      <c r="V77" s="193"/>
      <c r="W77" s="193"/>
      <c r="X77" s="14" t="s">
        <v>21</v>
      </c>
      <c r="Y77" s="196">
        <v>5.55136</v>
      </c>
      <c r="Z77" s="197">
        <v>8</v>
      </c>
      <c r="AA77" s="193">
        <f>H77-SUM(K77:P77)*H77-J77-I77/B77-Z77/B77</f>
        <v>4.99009469026549</v>
      </c>
      <c r="AB77" s="195">
        <f>AA77/H77</f>
        <v>0.124783563147424</v>
      </c>
      <c r="AC77" s="14"/>
      <c r="AD77" s="17">
        <f>J77/H77</f>
        <v>0.137784446111528</v>
      </c>
      <c r="AE77" s="18">
        <f>I77/7.4/H77</f>
        <v>0.240433224785508</v>
      </c>
      <c r="AF77" s="18">
        <f>Z77/7.4/H77</f>
        <v>0.0270337854733954</v>
      </c>
      <c r="AG77" s="18">
        <v>0.15</v>
      </c>
      <c r="AH77" s="18">
        <f>N77</f>
        <v>0.100025006251563</v>
      </c>
      <c r="AI77" s="18">
        <v>0.02</v>
      </c>
      <c r="AJ77" s="18">
        <f>M77</f>
        <v>0.05</v>
      </c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</row>
    <row r="78" spans="1:75">
      <c r="A78" s="200" t="s">
        <v>527</v>
      </c>
      <c r="B78" s="20">
        <v>8</v>
      </c>
      <c r="C78" s="20" t="s">
        <v>512</v>
      </c>
      <c r="D78" s="20" t="s">
        <v>513</v>
      </c>
      <c r="E78" s="20" t="s">
        <v>507</v>
      </c>
      <c r="F78" s="193">
        <f>IF(E78="有",(I78/B78+J78+Z78/B78)/(0.99999-K78-L78-M78-N78),(I78/B78+J78+Z78/B78)/(0.99999-K78-M78-N78))</f>
        <v>29.1269228492158</v>
      </c>
      <c r="G78" s="193">
        <f>IF(E78="有",(I78/B78+J78+Z78/B78)/(0.8-K78-L78-M78-N78-O78-P78),(I78/B78+J78+Z78/B78)/(0.8-K78-M78-N78-O78-P78))</f>
        <v>51.5416864057149</v>
      </c>
      <c r="H78" s="194">
        <f>H77*0.9</f>
        <v>35.991</v>
      </c>
      <c r="I78" s="193">
        <f>80.4/1.13</f>
        <v>71.1504424778761</v>
      </c>
      <c r="J78" s="20">
        <v>5.51</v>
      </c>
      <c r="K78" s="18">
        <v>0.15</v>
      </c>
      <c r="L78" s="18">
        <v>0.16</v>
      </c>
      <c r="M78" s="18">
        <v>0.05</v>
      </c>
      <c r="N78" s="18">
        <f>Q78/H78</f>
        <v>0.11113889583507</v>
      </c>
      <c r="O78" s="195">
        <v>0.01</v>
      </c>
      <c r="P78" s="18">
        <v>0.02</v>
      </c>
      <c r="Q78" s="193">
        <v>4</v>
      </c>
      <c r="R78" s="14"/>
      <c r="S78" s="14"/>
      <c r="T78" s="14"/>
      <c r="U78" s="14"/>
      <c r="V78" s="193"/>
      <c r="W78" s="193"/>
      <c r="X78" s="20" t="s">
        <v>21</v>
      </c>
      <c r="Y78" s="196">
        <v>5.55136</v>
      </c>
      <c r="Z78" s="197">
        <v>8</v>
      </c>
      <c r="AA78" s="193">
        <f>H78-SUM(K78:P78)*H78-J78-I78/B78-Z78/B78</f>
        <v>2.55070469026549</v>
      </c>
      <c r="AB78" s="195">
        <f>AA78/H78</f>
        <v>0.07087062571936</v>
      </c>
      <c r="AC78" s="14"/>
      <c r="AD78" s="17">
        <f>J78/H78</f>
        <v>0.153093829012809</v>
      </c>
      <c r="AE78" s="18">
        <f>I78/B78/H78</f>
        <v>0.247111925473994</v>
      </c>
      <c r="AF78" s="18">
        <f>Z78/B78/H78</f>
        <v>0.0277847239587675</v>
      </c>
      <c r="AG78" s="18">
        <f>K78</f>
        <v>0.15</v>
      </c>
      <c r="AH78" s="18">
        <f>N78</f>
        <v>0.11113889583507</v>
      </c>
      <c r="AI78" s="18">
        <v>0.02</v>
      </c>
      <c r="AJ78" s="18">
        <f>M78</f>
        <v>0.05</v>
      </c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</row>
    <row r="79" spans="1:75">
      <c r="A79" s="200" t="s">
        <v>528</v>
      </c>
      <c r="B79" s="20">
        <v>8</v>
      </c>
      <c r="C79" s="20" t="s">
        <v>512</v>
      </c>
      <c r="D79" s="20" t="s">
        <v>513</v>
      </c>
      <c r="E79" s="20" t="s">
        <v>507</v>
      </c>
      <c r="F79" s="193">
        <f>IF(E79="有",(I79/B79+J79+Z79/B79)/(0.99999-K79-L79-M79-N79),(I79/B79+J79+Z79/B79)/(0.99999-K79-M79-N79))</f>
        <v>29.4914924834244</v>
      </c>
      <c r="G79" s="193">
        <f>IF(E79="有",(I79/B79+J79+Z79/B79)/(0.8-K79-L79-M79-N79-O79-P79),(I79/B79+J79+Z79/B79)/(0.8-K79-M79-N79-O79-P79))</f>
        <v>52.6943750586439</v>
      </c>
      <c r="H79" s="201">
        <f>H77*0.85</f>
        <v>33.9915</v>
      </c>
      <c r="I79" s="193">
        <f>80.4/1.13</f>
        <v>71.1504424778761</v>
      </c>
      <c r="J79" s="20">
        <v>5.51</v>
      </c>
      <c r="K79" s="18">
        <v>0.15</v>
      </c>
      <c r="L79" s="18">
        <v>0.16</v>
      </c>
      <c r="M79" s="18">
        <v>0.05</v>
      </c>
      <c r="N79" s="18">
        <f>Q79/H79</f>
        <v>0.117676477943015</v>
      </c>
      <c r="O79" s="195">
        <v>0.01</v>
      </c>
      <c r="P79" s="18">
        <v>0.02</v>
      </c>
      <c r="Q79" s="193">
        <v>4</v>
      </c>
      <c r="R79" s="14"/>
      <c r="S79" s="14"/>
      <c r="T79" s="14"/>
      <c r="U79" s="14"/>
      <c r="V79" s="193"/>
      <c r="W79" s="193"/>
      <c r="X79" s="20" t="s">
        <v>21</v>
      </c>
      <c r="Y79" s="196">
        <v>5.55136</v>
      </c>
      <c r="Z79" s="197">
        <v>8</v>
      </c>
      <c r="AA79" s="193">
        <f>H79-SUM(K79:P79)*H79-J79-I79/B79-Z79/B79</f>
        <v>1.33100969026549</v>
      </c>
      <c r="AB79" s="195">
        <f>AA79/H79</f>
        <v>0.0391571331146165</v>
      </c>
      <c r="AC79" s="14"/>
      <c r="AD79" s="17">
        <f>J79/H79</f>
        <v>0.162099348366503</v>
      </c>
      <c r="AE79" s="18">
        <f>I79/B79/H79</f>
        <v>0.261647921090111</v>
      </c>
      <c r="AF79" s="18">
        <f>Z79/B79/H79</f>
        <v>0.0294191194857538</v>
      </c>
      <c r="AG79" s="18">
        <f>K79</f>
        <v>0.15</v>
      </c>
      <c r="AH79" s="18">
        <f>N79</f>
        <v>0.117676477943015</v>
      </c>
      <c r="AI79" s="18">
        <v>0.02</v>
      </c>
      <c r="AJ79" s="18">
        <f>M79</f>
        <v>0.05</v>
      </c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</row>
    <row r="80" spans="1:75">
      <c r="A80" s="200" t="s">
        <v>529</v>
      </c>
      <c r="B80" s="20">
        <v>8</v>
      </c>
      <c r="C80" s="20" t="s">
        <v>512</v>
      </c>
      <c r="D80" s="20" t="s">
        <v>513</v>
      </c>
      <c r="E80" s="20" t="s">
        <v>507</v>
      </c>
      <c r="F80" s="193">
        <f>IF(E80="有",(I80/B80+J80+Z80/B80)/(0.99999-K80-L80-M80-N80),(I80/B80+J80+Z80/B80)/(0.99999-K80-M80-N80))</f>
        <v>29.9126979461673</v>
      </c>
      <c r="G80" s="193">
        <f>IF(E80="有",(I80/B80+J80+Z80/B80)/(0.8-K80-L80-M80-N80-O80-P80),(I80/B80+J80+Z80/B80)/(0.8-K80-M80-N80-O80-P80))</f>
        <v>54.0543681794578</v>
      </c>
      <c r="H80" s="194">
        <f>H77*0.8</f>
        <v>31.992</v>
      </c>
      <c r="I80" s="193">
        <f>80.4/1.13</f>
        <v>71.1504424778761</v>
      </c>
      <c r="J80" s="20">
        <v>5.51</v>
      </c>
      <c r="K80" s="18">
        <v>0.15</v>
      </c>
      <c r="L80" s="18">
        <v>0.16</v>
      </c>
      <c r="M80" s="18">
        <v>0.05</v>
      </c>
      <c r="N80" s="18">
        <f>Q80/H80</f>
        <v>0.125031257814454</v>
      </c>
      <c r="O80" s="195">
        <v>0.01</v>
      </c>
      <c r="P80" s="18">
        <v>0.02</v>
      </c>
      <c r="Q80" s="193">
        <v>4</v>
      </c>
      <c r="R80" s="14"/>
      <c r="S80" s="14"/>
      <c r="T80" s="14"/>
      <c r="U80" s="14"/>
      <c r="V80" s="193"/>
      <c r="W80" s="193"/>
      <c r="X80" s="20" t="s">
        <v>21</v>
      </c>
      <c r="Y80" s="196">
        <v>5.55136</v>
      </c>
      <c r="Z80" s="197">
        <v>8</v>
      </c>
      <c r="AA80" s="193">
        <f>H80-SUM(K80:P80)*H80-J80-I80/B80-Z80/B80</f>
        <v>0.111314690265489</v>
      </c>
      <c r="AB80" s="195">
        <f>AA80/H80</f>
        <v>0.00347945393428011</v>
      </c>
      <c r="AC80" s="14"/>
      <c r="AD80" s="17">
        <f>J80/H80</f>
        <v>0.17223055763941</v>
      </c>
      <c r="AE80" s="18">
        <f>I80/7.4/H80</f>
        <v>0.300541530981884</v>
      </c>
      <c r="AF80" s="18">
        <f>Z80/7.4/H80</f>
        <v>0.0337922318417442</v>
      </c>
      <c r="AG80" s="18">
        <v>0.15</v>
      </c>
      <c r="AH80" s="18">
        <f>N80</f>
        <v>0.125031257814454</v>
      </c>
      <c r="AI80" s="18">
        <v>0.02</v>
      </c>
      <c r="AJ80" s="18">
        <f>M80</f>
        <v>0.05</v>
      </c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</row>
    <row r="81" ht="21" customHeight="1" spans="1:75">
      <c r="A81" s="15"/>
      <c r="B81" s="15"/>
      <c r="C81" s="15"/>
      <c r="D81" s="15"/>
      <c r="E81" s="20"/>
      <c r="F81" s="193"/>
      <c r="G81" s="193"/>
      <c r="H81" s="20"/>
      <c r="I81" s="193"/>
      <c r="J81" s="20"/>
      <c r="K81" s="18"/>
      <c r="L81" s="18"/>
      <c r="M81" s="18"/>
      <c r="N81" s="18"/>
      <c r="O81" s="195"/>
      <c r="P81" s="18"/>
      <c r="Q81" s="18"/>
      <c r="R81" s="14"/>
      <c r="S81" s="14"/>
      <c r="T81" s="14"/>
      <c r="U81" s="14"/>
      <c r="V81" s="193"/>
      <c r="W81" s="193"/>
      <c r="X81" s="20"/>
      <c r="Y81" s="196"/>
      <c r="Z81" s="193"/>
      <c r="AA81" s="193"/>
      <c r="AB81" s="195"/>
      <c r="AC81" s="14"/>
      <c r="AD81" s="17"/>
      <c r="AE81" s="18"/>
      <c r="AF81" s="18"/>
      <c r="AG81" s="18"/>
      <c r="AH81" s="18"/>
      <c r="AI81" s="18"/>
      <c r="AJ81" s="18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</row>
    <row r="82" spans="1:75">
      <c r="A82" s="202" t="s">
        <v>526</v>
      </c>
      <c r="B82" s="20">
        <v>8</v>
      </c>
      <c r="C82" s="14" t="s">
        <v>515</v>
      </c>
      <c r="D82" s="14" t="s">
        <v>516</v>
      </c>
      <c r="E82" s="20" t="s">
        <v>507</v>
      </c>
      <c r="F82" s="193">
        <f>IF(E82="有",(I82/B82+J82+Z82/B82)/(0.99999-K82-L82-M82-N82),(I82/B82+J82+Z82/B82)/(0.99999-K82-M82-N82))</f>
        <v>26.1198512366994</v>
      </c>
      <c r="G82" s="193">
        <f>IF(E82="有",(I82/B82+J82+Z82/B82)/(0.8-K82-L82-M82-N82-O82-P82),(I82/B82+J82+Z82/B82)/(0.8-K82-M82-N82-O82-P82))</f>
        <v>45.499816418032</v>
      </c>
      <c r="H82" s="194">
        <v>39.99</v>
      </c>
      <c r="I82" s="193">
        <f>80.4/1.13</f>
        <v>71.1504424778761</v>
      </c>
      <c r="J82" s="14">
        <v>4.21</v>
      </c>
      <c r="K82" s="18">
        <v>0.15</v>
      </c>
      <c r="L82" s="18">
        <v>0.16</v>
      </c>
      <c r="M82" s="18">
        <v>0.05</v>
      </c>
      <c r="N82" s="18">
        <f>Q82/H82</f>
        <v>0.100025006251563</v>
      </c>
      <c r="O82" s="195">
        <v>0.01</v>
      </c>
      <c r="P82" s="18">
        <v>0.02</v>
      </c>
      <c r="Q82" s="193">
        <v>4</v>
      </c>
      <c r="R82" s="14"/>
      <c r="S82" s="14"/>
      <c r="T82" s="14"/>
      <c r="U82" s="14"/>
      <c r="V82" s="193"/>
      <c r="W82" s="193"/>
      <c r="X82" s="14" t="s">
        <v>21</v>
      </c>
      <c r="Y82" s="196">
        <v>5.55136</v>
      </c>
      <c r="Z82" s="197">
        <v>8</v>
      </c>
      <c r="AA82" s="193">
        <f>H82-SUM(K82:P82)*H82-J82-I82/B82-Z82/B82</f>
        <v>6.29009469026549</v>
      </c>
      <c r="AB82" s="195">
        <f>AA82/H82</f>
        <v>0.157291690179182</v>
      </c>
      <c r="AC82" s="14"/>
      <c r="AD82" s="17">
        <f>J82/H82</f>
        <v>0.10527631907977</v>
      </c>
      <c r="AE82" s="18">
        <f>I82/7.4/H82</f>
        <v>0.240433224785508</v>
      </c>
      <c r="AF82" s="18">
        <f>Z82/7.4/H82</f>
        <v>0.0270337854733954</v>
      </c>
      <c r="AG82" s="18">
        <v>0.15</v>
      </c>
      <c r="AH82" s="18">
        <f>N82</f>
        <v>0.100025006251563</v>
      </c>
      <c r="AI82" s="18">
        <v>0.02</v>
      </c>
      <c r="AJ82" s="18">
        <f>M82</f>
        <v>0.05</v>
      </c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</row>
    <row r="83" spans="1:75">
      <c r="A83" s="200" t="s">
        <v>527</v>
      </c>
      <c r="B83" s="20">
        <v>8</v>
      </c>
      <c r="C83" s="20" t="s">
        <v>515</v>
      </c>
      <c r="D83" s="20" t="s">
        <v>516</v>
      </c>
      <c r="E83" s="20" t="s">
        <v>507</v>
      </c>
      <c r="F83" s="193">
        <f>IF(E83="有",(I83/B83+J83+Z83/B83)/(0.99999-K83-L83-M83-N83),(I83/B83+J83+Z83/B83)/(0.99999-K83-M83-N83))</f>
        <v>26.1771322792154</v>
      </c>
      <c r="G83" s="193">
        <f>IF(E83="有",(I83/B83+J83+Z83/B83)/(0.8-K83-L83-M83-N83-O83-P83),(I83/B83+J83+Z83/B83)/(0.8-K83-M83-N83-O83-P83))</f>
        <v>46.3218703163682</v>
      </c>
      <c r="H83" s="194">
        <f>H82*0.9</f>
        <v>35.991</v>
      </c>
      <c r="I83" s="193">
        <f>80.4/1.13</f>
        <v>71.1504424778761</v>
      </c>
      <c r="J83" s="20">
        <v>3.95</v>
      </c>
      <c r="K83" s="18">
        <v>0.15</v>
      </c>
      <c r="L83" s="18">
        <v>0.16</v>
      </c>
      <c r="M83" s="18">
        <v>0.05</v>
      </c>
      <c r="N83" s="18">
        <f>Q83/H83</f>
        <v>0.11113889583507</v>
      </c>
      <c r="O83" s="195">
        <v>0.01</v>
      </c>
      <c r="P83" s="18">
        <v>0.02</v>
      </c>
      <c r="Q83" s="193">
        <v>4</v>
      </c>
      <c r="R83" s="14"/>
      <c r="S83" s="14"/>
      <c r="T83" s="14"/>
      <c r="U83" s="14"/>
      <c r="V83" s="193"/>
      <c r="W83" s="193"/>
      <c r="X83" s="20" t="s">
        <v>21</v>
      </c>
      <c r="Y83" s="196">
        <v>5.55136</v>
      </c>
      <c r="Z83" s="197">
        <v>8</v>
      </c>
      <c r="AA83" s="193">
        <f>H83-SUM(K83:P83)*H83-J83-I83/B83-Z83/B83</f>
        <v>4.11070469026549</v>
      </c>
      <c r="AB83" s="195">
        <f>AA83/H83</f>
        <v>0.114214795095037</v>
      </c>
      <c r="AC83" s="14"/>
      <c r="AD83" s="17">
        <f>J83/H83</f>
        <v>0.109749659637132</v>
      </c>
      <c r="AE83" s="18">
        <f>I83/B83/H83</f>
        <v>0.247111925473994</v>
      </c>
      <c r="AF83" s="18">
        <f>Z83/B83/H83</f>
        <v>0.0277847239587675</v>
      </c>
      <c r="AG83" s="18">
        <f>K83</f>
        <v>0.15</v>
      </c>
      <c r="AH83" s="18">
        <f>N83</f>
        <v>0.11113889583507</v>
      </c>
      <c r="AI83" s="18">
        <v>0.02</v>
      </c>
      <c r="AJ83" s="18">
        <f>M83</f>
        <v>0.05</v>
      </c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</row>
    <row r="84" spans="1:75">
      <c r="A84" s="200" t="s">
        <v>528</v>
      </c>
      <c r="B84" s="20">
        <v>8</v>
      </c>
      <c r="C84" s="20" t="s">
        <v>515</v>
      </c>
      <c r="D84" s="20" t="s">
        <v>516</v>
      </c>
      <c r="E84" s="20" t="s">
        <v>507</v>
      </c>
      <c r="F84" s="193">
        <f>IF(E84="有",(I84/B84+J84+Z84/B84)/(0.99999-K84-L84-M84-N84),(I84/B84+J84+Z84/B84)/(0.99999-K84-M84-N84))</f>
        <v>26.5047806061283</v>
      </c>
      <c r="G84" s="193">
        <f>IF(E84="有",(I84/B84+J84+Z84/B84)/(0.8-K84-L84-M84-N84-O84-P84),(I84/B84+J84+Z84/B84)/(0.8-K84-M84-N84-O84-P84))</f>
        <v>47.3578219512415</v>
      </c>
      <c r="H84" s="201">
        <f>H82*0.85</f>
        <v>33.9915</v>
      </c>
      <c r="I84" s="193">
        <f>80.4/1.13</f>
        <v>71.1504424778761</v>
      </c>
      <c r="J84" s="20">
        <v>3.95</v>
      </c>
      <c r="K84" s="18">
        <v>0.15</v>
      </c>
      <c r="L84" s="18">
        <v>0.16</v>
      </c>
      <c r="M84" s="18">
        <v>0.05</v>
      </c>
      <c r="N84" s="18">
        <f>Q84/H84</f>
        <v>0.117676477943015</v>
      </c>
      <c r="O84" s="195">
        <v>0.01</v>
      </c>
      <c r="P84" s="18">
        <v>0.02</v>
      </c>
      <c r="Q84" s="193">
        <v>4</v>
      </c>
      <c r="R84" s="14"/>
      <c r="S84" s="14"/>
      <c r="T84" s="14"/>
      <c r="U84" s="14"/>
      <c r="V84" s="193"/>
      <c r="W84" s="193"/>
      <c r="X84" s="20" t="s">
        <v>21</v>
      </c>
      <c r="Y84" s="196">
        <v>5.55136</v>
      </c>
      <c r="Z84" s="197">
        <v>8</v>
      </c>
      <c r="AA84" s="193">
        <f>H84-SUM(K84:P84)*H84-J84-I84/B84-Z84/B84</f>
        <v>2.89100969026549</v>
      </c>
      <c r="AB84" s="195">
        <f>AA84/H84</f>
        <v>0.0850509595123924</v>
      </c>
      <c r="AC84" s="14"/>
      <c r="AD84" s="17">
        <f>J84/H84</f>
        <v>0.116205521968727</v>
      </c>
      <c r="AE84" s="18">
        <f>I84/B84/H84</f>
        <v>0.261647921090111</v>
      </c>
      <c r="AF84" s="18">
        <f>Z84/B84/H84</f>
        <v>0.0294191194857538</v>
      </c>
      <c r="AG84" s="18">
        <f>K84</f>
        <v>0.15</v>
      </c>
      <c r="AH84" s="18">
        <f>N84</f>
        <v>0.117676477943015</v>
      </c>
      <c r="AI84" s="18">
        <v>0.02</v>
      </c>
      <c r="AJ84" s="18">
        <f>M84</f>
        <v>0.05</v>
      </c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</row>
    <row r="85" spans="1:75">
      <c r="A85" s="200" t="s">
        <v>529</v>
      </c>
      <c r="B85" s="20">
        <v>8</v>
      </c>
      <c r="C85" s="20" t="s">
        <v>515</v>
      </c>
      <c r="D85" s="20" t="s">
        <v>516</v>
      </c>
      <c r="E85" s="20" t="s">
        <v>507</v>
      </c>
      <c r="F85" s="193">
        <f>IF(E85="有",(I85/B85+J85+Z85/B85)/(0.99999-K85-L85-M85-N85),(I85/B85+J85+Z85/B85)/(0.99999-K85-M85-N85))</f>
        <v>26.8833290429826</v>
      </c>
      <c r="G85" s="193">
        <f>IF(E85="有",(I85/B85+J85+Z85/B85)/(0.8-K85-L85-M85-N85-O85-P85),(I85/B85+J85+Z85/B85)/(0.8-K85-M85-N85-O85-P85))</f>
        <v>48.5800835683257</v>
      </c>
      <c r="H85" s="194">
        <f>H82*0.8</f>
        <v>31.992</v>
      </c>
      <c r="I85" s="193">
        <f>80.4/1.13</f>
        <v>71.1504424778761</v>
      </c>
      <c r="J85" s="20">
        <v>3.95</v>
      </c>
      <c r="K85" s="18">
        <v>0.15</v>
      </c>
      <c r="L85" s="18">
        <v>0.16</v>
      </c>
      <c r="M85" s="18">
        <v>0.05</v>
      </c>
      <c r="N85" s="18">
        <f>Q85/H85</f>
        <v>0.125031257814454</v>
      </c>
      <c r="O85" s="195">
        <v>0.01</v>
      </c>
      <c r="P85" s="18">
        <v>0.02</v>
      </c>
      <c r="Q85" s="193">
        <v>4</v>
      </c>
      <c r="R85" s="14"/>
      <c r="S85" s="14"/>
      <c r="T85" s="14"/>
      <c r="U85" s="14"/>
      <c r="V85" s="193"/>
      <c r="W85" s="193"/>
      <c r="X85" s="20" t="s">
        <v>21</v>
      </c>
      <c r="Y85" s="196">
        <v>5.55136</v>
      </c>
      <c r="Z85" s="197">
        <v>8</v>
      </c>
      <c r="AA85" s="193">
        <f>H85-SUM(K85:P85)*H85-J85-I85/B85-Z85/B85</f>
        <v>1.67131469026549</v>
      </c>
      <c r="AB85" s="195">
        <f>AA85/H85</f>
        <v>0.052241644481917</v>
      </c>
      <c r="AC85" s="14"/>
      <c r="AD85" s="17">
        <f>J85/H85</f>
        <v>0.123468367091773</v>
      </c>
      <c r="AE85" s="18">
        <f>I85/7.4/H85</f>
        <v>0.300541530981884</v>
      </c>
      <c r="AF85" s="18">
        <f>Z85/7.4/H85</f>
        <v>0.0337922318417442</v>
      </c>
      <c r="AG85" s="18">
        <v>0.15</v>
      </c>
      <c r="AH85" s="18">
        <f>N85</f>
        <v>0.125031257814454</v>
      </c>
      <c r="AI85" s="18">
        <v>0.02</v>
      </c>
      <c r="AJ85" s="18">
        <f>M85</f>
        <v>0.05</v>
      </c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</row>
    <row r="86" ht="21" customHeight="1" spans="1:75">
      <c r="E86" s="20"/>
      <c r="F86" s="193"/>
      <c r="G86" s="193"/>
      <c r="H86" s="20"/>
      <c r="I86" s="193"/>
      <c r="J86" s="20"/>
      <c r="K86" s="18"/>
      <c r="L86" s="18"/>
      <c r="M86" s="18"/>
      <c r="N86" s="18"/>
      <c r="O86" s="195"/>
      <c r="P86" s="18"/>
      <c r="Q86" s="18"/>
      <c r="R86" s="14"/>
      <c r="S86" s="14"/>
      <c r="T86" s="14"/>
      <c r="U86" s="14"/>
      <c r="V86" s="193"/>
      <c r="W86" s="193"/>
      <c r="X86" s="20"/>
      <c r="Y86" s="196"/>
      <c r="Z86" s="193"/>
      <c r="AA86" s="193"/>
      <c r="AB86" s="195"/>
      <c r="AC86" s="14"/>
      <c r="AD86" s="17"/>
      <c r="AE86" s="18"/>
      <c r="AF86" s="18"/>
      <c r="AG86" s="18"/>
      <c r="AH86" s="18"/>
      <c r="AI86" s="18"/>
      <c r="AJ86" s="18"/>
    </row>
    <row r="87" spans="1:75">
      <c r="A87" s="22" t="s">
        <v>530</v>
      </c>
      <c r="B87" s="20">
        <v>8</v>
      </c>
      <c r="C87" s="20" t="s">
        <v>506</v>
      </c>
      <c r="D87" s="20" t="s">
        <v>277</v>
      </c>
      <c r="E87" s="20" t="s">
        <v>507</v>
      </c>
      <c r="F87" s="193">
        <f>IF(E87="有",(I87/B87+J87+Z87/B87)/(0.99999-K87-L87-M87-N87),(I87/B87+J87+Z87/B87)/(0.99999-K87-M87-N87))</f>
        <v>54.8769915899805</v>
      </c>
      <c r="G87" s="193">
        <f>IF(E87="有",(I87/B87+J87+Z87/B87)/(0.8-K87-L87-M87-N87-O87-P87),(I87/B87+J87+Z87/B87)/(0.8-K87-M87-N87-O87-P87))</f>
        <v>98.0500031753249</v>
      </c>
      <c r="H87" s="194">
        <v>84.99</v>
      </c>
      <c r="I87" s="193">
        <f>208/1.13</f>
        <v>184.070796460177</v>
      </c>
      <c r="J87" s="14">
        <v>4.03</v>
      </c>
      <c r="K87" s="18">
        <v>0.15</v>
      </c>
      <c r="L87" s="18">
        <v>0.16</v>
      </c>
      <c r="M87" s="18">
        <v>0.05</v>
      </c>
      <c r="N87" s="18">
        <f>Q87/H87</f>
        <v>0.117660901282504</v>
      </c>
      <c r="O87" s="195">
        <v>0.01</v>
      </c>
      <c r="P87" s="18">
        <v>0.02</v>
      </c>
      <c r="Q87" s="193">
        <v>10</v>
      </c>
      <c r="R87" s="14"/>
      <c r="S87" s="14"/>
      <c r="T87" s="14"/>
      <c r="U87" s="14"/>
      <c r="V87" s="193"/>
      <c r="W87" s="193"/>
      <c r="X87" s="14" t="s">
        <v>21</v>
      </c>
      <c r="Y87" s="196">
        <v>5.55136</v>
      </c>
      <c r="Z87" s="197">
        <v>13</v>
      </c>
      <c r="AA87" s="193">
        <f>H87-SUM(K87:P87)*H87-J87-I87/B87-Z87/B87</f>
        <v>13.1800504424779</v>
      </c>
      <c r="AB87" s="195">
        <f>AA87/H87</f>
        <v>0.155077661401081</v>
      </c>
      <c r="AC87" s="14"/>
      <c r="AD87" s="17">
        <f>J87/H87</f>
        <v>0.047417343216849</v>
      </c>
      <c r="AE87" s="18">
        <f>I87/7.4/H87</f>
        <v>0.292674808260713</v>
      </c>
      <c r="AF87" s="18">
        <f>Z87/7.4/H87</f>
        <v>0.0206701583334128</v>
      </c>
      <c r="AG87" s="18">
        <v>0.15</v>
      </c>
      <c r="AH87" s="18">
        <f>N87</f>
        <v>0.117660901282504</v>
      </c>
      <c r="AI87" s="18">
        <v>0.02</v>
      </c>
      <c r="AJ87" s="18">
        <f>M87</f>
        <v>0.05</v>
      </c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</row>
    <row r="88" spans="1:75">
      <c r="A88" s="22" t="s">
        <v>531</v>
      </c>
      <c r="B88" s="20">
        <v>8</v>
      </c>
      <c r="C88" s="20" t="s">
        <v>506</v>
      </c>
      <c r="D88" s="20" t="s">
        <v>277</v>
      </c>
      <c r="E88" s="20" t="s">
        <v>507</v>
      </c>
      <c r="F88" s="193">
        <f>IF(E88="有",(I88/B88+J88+Z88/B88)/(0.99999-K88-L88-M88-N88),(I88/B88+J88+Z88/B88)/(0.99999-K88-M88-N88))</f>
        <v>56.2857745410058</v>
      </c>
      <c r="G88" s="193">
        <f>IF(E88="有",(I88/B88+J88+Z88/B88)/(0.8-K88-L88-M88-N88-O88-P88),(I88/B88+J88+Z88/B88)/(0.8-K88-M88-N88-O88-P88))</f>
        <v>102.640077621851</v>
      </c>
      <c r="H88" s="194">
        <f>H87*0.9</f>
        <v>76.491</v>
      </c>
      <c r="I88" s="193">
        <f>208/1.13</f>
        <v>184.070796460177</v>
      </c>
      <c r="J88" s="20">
        <v>4.03</v>
      </c>
      <c r="K88" s="18">
        <v>0.15</v>
      </c>
      <c r="L88" s="18">
        <v>0.16</v>
      </c>
      <c r="M88" s="18">
        <v>0.05</v>
      </c>
      <c r="N88" s="18">
        <f>Q88/H88</f>
        <v>0.130734334758338</v>
      </c>
      <c r="O88" s="195">
        <v>0.01</v>
      </c>
      <c r="P88" s="18">
        <v>0.02</v>
      </c>
      <c r="Q88" s="193">
        <v>10</v>
      </c>
      <c r="R88" s="14"/>
      <c r="S88" s="14"/>
      <c r="T88" s="14"/>
      <c r="U88" s="14"/>
      <c r="V88" s="193"/>
      <c r="W88" s="193"/>
      <c r="X88" s="20" t="s">
        <v>21</v>
      </c>
      <c r="Y88" s="196">
        <v>5.55136</v>
      </c>
      <c r="Z88" s="197">
        <v>13</v>
      </c>
      <c r="AA88" s="193">
        <f>H88-SUM(K88:P88)*H88-J88-I88/B88-Z88/B88</f>
        <v>7.99566044247787</v>
      </c>
      <c r="AB88" s="195">
        <f>AA88/H88</f>
        <v>0.10453073489009</v>
      </c>
      <c r="AC88" s="14"/>
      <c r="AD88" s="17">
        <f>J88/H88</f>
        <v>0.0526859369076101</v>
      </c>
      <c r="AE88" s="18">
        <f>I88/B88/H88</f>
        <v>0.300804664045733</v>
      </c>
      <c r="AF88" s="18">
        <f>Z88/B88/H88</f>
        <v>0.0212443293982299</v>
      </c>
      <c r="AG88" s="18">
        <f>K88</f>
        <v>0.15</v>
      </c>
      <c r="AH88" s="18">
        <f>N88</f>
        <v>0.130734334758338</v>
      </c>
      <c r="AI88" s="18">
        <v>0.02</v>
      </c>
      <c r="AJ88" s="18">
        <f>M88</f>
        <v>0.05</v>
      </c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</row>
    <row r="89" spans="1:75">
      <c r="A89" s="22" t="s">
        <v>532</v>
      </c>
      <c r="B89" s="20">
        <v>8</v>
      </c>
      <c r="C89" s="20" t="s">
        <v>506</v>
      </c>
      <c r="D89" s="20" t="s">
        <v>277</v>
      </c>
      <c r="E89" s="20" t="s">
        <v>507</v>
      </c>
      <c r="F89" s="193">
        <f>IF(E89="有",(I89/B89+J89+Z89/B89)/(0.99999-K89-L89-M89-N89),(I89/B89+J89+Z89/B89)/(0.99999-K89-M89-N89))</f>
        <v>57.1487765531898</v>
      </c>
      <c r="G89" s="193">
        <f>IF(E89="有",(I89/B89+J89+Z89/B89)/(0.8-K89-L89-M89-N89-O89-P89),(I89/B89+J89+Z89/B89)/(0.8-K89-M89-N89-O89-P89))</f>
        <v>105.546557144165</v>
      </c>
      <c r="H89" s="201">
        <f>H87*0.85</f>
        <v>72.2415</v>
      </c>
      <c r="I89" s="193">
        <f>208/1.13</f>
        <v>184.070796460177</v>
      </c>
      <c r="J89" s="20">
        <v>4.03</v>
      </c>
      <c r="K89" s="18">
        <v>0.15</v>
      </c>
      <c r="L89" s="18">
        <v>0.16</v>
      </c>
      <c r="M89" s="18">
        <v>0.05</v>
      </c>
      <c r="N89" s="18">
        <f>Q89/H89</f>
        <v>0.138424589744122</v>
      </c>
      <c r="O89" s="195">
        <v>0.01</v>
      </c>
      <c r="P89" s="18">
        <v>0.02</v>
      </c>
      <c r="Q89" s="193">
        <v>10</v>
      </c>
      <c r="R89" s="14"/>
      <c r="S89" s="14"/>
      <c r="T89" s="14"/>
      <c r="U89" s="14"/>
      <c r="V89" s="193"/>
      <c r="W89" s="193"/>
      <c r="X89" s="20" t="s">
        <v>21</v>
      </c>
      <c r="Y89" s="196">
        <v>5.55136</v>
      </c>
      <c r="Z89" s="197">
        <v>13</v>
      </c>
      <c r="AA89" s="193">
        <f>H89-SUM(K89:P89)*H89-J89-I89/B89-Z89/B89</f>
        <v>5.40346544247786</v>
      </c>
      <c r="AB89" s="195">
        <f>AA89/H89</f>
        <v>0.0747972487071539</v>
      </c>
      <c r="AC89" s="14"/>
      <c r="AD89" s="17">
        <f>J89/H89</f>
        <v>0.0557851096668812</v>
      </c>
      <c r="AE89" s="18">
        <f>I89/B89/H89</f>
        <v>0.318499056048423</v>
      </c>
      <c r="AF89" s="18">
        <f>Z89/B89/H89</f>
        <v>0.0224939958334199</v>
      </c>
      <c r="AG89" s="18">
        <f>K89</f>
        <v>0.15</v>
      </c>
      <c r="AH89" s="18">
        <f>N89</f>
        <v>0.138424589744122</v>
      </c>
      <c r="AI89" s="18">
        <v>0.02</v>
      </c>
      <c r="AJ89" s="18">
        <f>M89</f>
        <v>0.05</v>
      </c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</row>
    <row r="90" spans="1:75">
      <c r="A90" s="22" t="s">
        <v>533</v>
      </c>
      <c r="B90" s="20">
        <v>8</v>
      </c>
      <c r="C90" s="20" t="s">
        <v>506</v>
      </c>
      <c r="D90" s="20" t="s">
        <v>277</v>
      </c>
      <c r="E90" s="20" t="s">
        <v>507</v>
      </c>
      <c r="F90" s="193">
        <f>IF(E90="有",(I90/B90+J90+Z90/B90)/(0.99999-K90-L90-M90-N90),(I90/B90+J90+Z90/B90)/(0.99999-K90-M90-N90))</f>
        <v>44.7879647455775</v>
      </c>
      <c r="G90" s="193">
        <f>IF(E90="有",(I90/B90+J90+Z90/B90)/(0.8-K90-L90-M90-N90-O90-P90),(I90/B90+J90+Z90/B90)/(0.8-K90-M90-N90-O90-P90))</f>
        <v>69.9118281890784</v>
      </c>
      <c r="H90" s="194">
        <v>59.99</v>
      </c>
      <c r="I90" s="193">
        <f>208/1.13</f>
        <v>184.070796460177</v>
      </c>
      <c r="J90" s="20">
        <v>4.03</v>
      </c>
      <c r="K90" s="18">
        <v>0.15</v>
      </c>
      <c r="L90" s="18">
        <v>0.16</v>
      </c>
      <c r="M90" s="18">
        <v>0.05</v>
      </c>
      <c r="N90" s="18">
        <f>Q90/H90</f>
        <v>0</v>
      </c>
      <c r="O90" s="195">
        <v>0.01</v>
      </c>
      <c r="P90" s="18">
        <v>0.02</v>
      </c>
      <c r="Q90" s="193">
        <v>0</v>
      </c>
      <c r="R90" s="14"/>
      <c r="S90" s="14"/>
      <c r="T90" s="14"/>
      <c r="U90" s="14"/>
      <c r="V90" s="193"/>
      <c r="W90" s="193"/>
      <c r="X90" s="20" t="s">
        <v>21</v>
      </c>
      <c r="Y90" s="196">
        <v>5.55136</v>
      </c>
      <c r="Z90" s="197">
        <v>13</v>
      </c>
      <c r="AA90" s="193">
        <f>H90-SUM(K90:P90)*H90-J90-I90/B90-Z90/B90</f>
        <v>7.93005044247788</v>
      </c>
      <c r="AB90" s="195">
        <f>AA90/H90</f>
        <v>0.132189538964459</v>
      </c>
      <c r="AC90" s="14"/>
      <c r="AD90" s="17">
        <f>J90/H90</f>
        <v>0.0671778629771629</v>
      </c>
      <c r="AE90" s="18">
        <f>I90/7.4/H90</f>
        <v>0.414642973063477</v>
      </c>
      <c r="AF90" s="18">
        <f>Z90/7.4/H90</f>
        <v>0.029284159972608</v>
      </c>
      <c r="AG90" s="18">
        <v>0.15</v>
      </c>
      <c r="AH90" s="18">
        <f>N90</f>
        <v>0</v>
      </c>
      <c r="AI90" s="18">
        <v>0.02</v>
      </c>
      <c r="AJ90" s="18">
        <f>M90</f>
        <v>0.05</v>
      </c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</row>
    <row r="91" ht="21" customHeight="1" spans="1:75">
      <c r="A91" s="15"/>
      <c r="B91" s="15"/>
      <c r="C91" s="15"/>
      <c r="D91" s="15"/>
      <c r="E91" s="20"/>
      <c r="F91" s="193"/>
      <c r="G91" s="193"/>
      <c r="H91" s="20"/>
      <c r="I91" s="193"/>
      <c r="J91" s="20"/>
      <c r="K91" s="18"/>
      <c r="L91" s="18"/>
      <c r="M91" s="18"/>
      <c r="N91" s="18"/>
      <c r="O91" s="195"/>
      <c r="P91" s="18"/>
      <c r="Q91" s="18"/>
      <c r="R91" s="14"/>
      <c r="S91" s="14"/>
      <c r="T91" s="14"/>
      <c r="U91" s="14"/>
      <c r="V91" s="193"/>
      <c r="W91" s="193"/>
      <c r="X91" s="20"/>
      <c r="Y91" s="196"/>
      <c r="Z91" s="193"/>
      <c r="AA91" s="193"/>
      <c r="AB91" s="195"/>
      <c r="AC91" s="14"/>
      <c r="AD91" s="17"/>
      <c r="AE91" s="18"/>
      <c r="AF91" s="18"/>
      <c r="AG91" s="18"/>
      <c r="AH91" s="18"/>
      <c r="AI91" s="18"/>
      <c r="AJ91" s="18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</row>
    <row r="92" spans="1:75">
      <c r="A92" s="199" t="s">
        <v>530</v>
      </c>
      <c r="B92" s="20">
        <v>8</v>
      </c>
      <c r="C92" s="14" t="s">
        <v>510</v>
      </c>
      <c r="D92" s="14" t="s">
        <v>511</v>
      </c>
      <c r="E92" s="20" t="s">
        <v>507</v>
      </c>
      <c r="F92" s="193">
        <f>IF(E92="有",(I92/B92+J92+Z92/B92)/(0.99999-K92-L92-M92-N92),(I92/B92+J92+Z92/B92)/(0.99999-K92-M92-N92))</f>
        <v>58.399674903083</v>
      </c>
      <c r="G92" s="193">
        <f>IF(E92="有",(I92/B92+J92+Z92/B92)/(0.8-K92-L92-M92-N92-O92-P92),(I92/B92+J92+Z92/B92)/(0.8-K92-M92-N92-O92-P92))</f>
        <v>104.344063764798</v>
      </c>
      <c r="H92" s="194">
        <v>84.99</v>
      </c>
      <c r="I92" s="193">
        <f>208/1.13</f>
        <v>184.070796460177</v>
      </c>
      <c r="J92" s="14">
        <v>5.87</v>
      </c>
      <c r="K92" s="18">
        <v>0.15</v>
      </c>
      <c r="L92" s="18">
        <v>0.16</v>
      </c>
      <c r="M92" s="18">
        <v>0.05</v>
      </c>
      <c r="N92" s="18">
        <f>Q92/H92</f>
        <v>0.117660901282504</v>
      </c>
      <c r="O92" s="195">
        <v>0.01</v>
      </c>
      <c r="P92" s="18">
        <v>0.02</v>
      </c>
      <c r="Q92" s="193">
        <v>10</v>
      </c>
      <c r="R92" s="14"/>
      <c r="S92" s="14"/>
      <c r="T92" s="14"/>
      <c r="U92" s="14"/>
      <c r="V92" s="193"/>
      <c r="W92" s="193"/>
      <c r="X92" s="14" t="s">
        <v>21</v>
      </c>
      <c r="Y92" s="196">
        <v>5.55136</v>
      </c>
      <c r="Z92" s="197">
        <v>13</v>
      </c>
      <c r="AA92" s="193">
        <f>H92-SUM(K92:P92)*H92-J92-I92/B92-Z92/B92</f>
        <v>11.3400504424779</v>
      </c>
      <c r="AB92" s="195">
        <f>AA92/H92</f>
        <v>0.1334280555651</v>
      </c>
      <c r="AC92" s="14"/>
      <c r="AD92" s="17">
        <f>J92/H92</f>
        <v>0.0690669490528298</v>
      </c>
      <c r="AE92" s="18">
        <f>I92/7.4/H92</f>
        <v>0.292674808260713</v>
      </c>
      <c r="AF92" s="18">
        <f>Z92/7.4/H92</f>
        <v>0.0206701583334128</v>
      </c>
      <c r="AG92" s="18">
        <v>0.15</v>
      </c>
      <c r="AH92" s="18">
        <f>N92</f>
        <v>0.117660901282504</v>
      </c>
      <c r="AI92" s="18">
        <v>0.02</v>
      </c>
      <c r="AJ92" s="18">
        <f>M92</f>
        <v>0.05</v>
      </c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</row>
    <row r="93" spans="1:75">
      <c r="A93" s="22" t="s">
        <v>531</v>
      </c>
      <c r="B93" s="20">
        <v>8</v>
      </c>
      <c r="C93" s="20" t="s">
        <v>510</v>
      </c>
      <c r="D93" s="20" t="s">
        <v>511</v>
      </c>
      <c r="E93" s="20" t="s">
        <v>507</v>
      </c>
      <c r="F93" s="193">
        <f>IF(E93="有",(I93/B93+J93+Z93/B93)/(0.99999-K93-L93-M93-N93),(I93/B93+J93+Z93/B93)/(0.99999-K93-M93-N93))</f>
        <v>59.8988909491008</v>
      </c>
      <c r="G93" s="193">
        <f>IF(E93="有",(I93/B93+J93+Z93/B93)/(0.8-K93-L93-M93-N93-O93-P93),(I93/B93+J93+Z93/B93)/(0.8-K93-M93-N93-O93-P93))</f>
        <v>109.228785898638</v>
      </c>
      <c r="H93" s="194">
        <f>H92*0.9</f>
        <v>76.491</v>
      </c>
      <c r="I93" s="193">
        <f>208/1.13</f>
        <v>184.070796460177</v>
      </c>
      <c r="J93" s="20">
        <v>5.87</v>
      </c>
      <c r="K93" s="18">
        <v>0.15</v>
      </c>
      <c r="L93" s="18">
        <v>0.16</v>
      </c>
      <c r="M93" s="18">
        <v>0.05</v>
      </c>
      <c r="N93" s="18">
        <f>Q93/H93</f>
        <v>0.130734334758338</v>
      </c>
      <c r="O93" s="195">
        <v>0.01</v>
      </c>
      <c r="P93" s="18">
        <v>0.02</v>
      </c>
      <c r="Q93" s="193">
        <v>10</v>
      </c>
      <c r="R93" s="14"/>
      <c r="S93" s="14"/>
      <c r="T93" s="14"/>
      <c r="U93" s="14"/>
      <c r="V93" s="193"/>
      <c r="W93" s="193"/>
      <c r="X93" s="20" t="s">
        <v>21</v>
      </c>
      <c r="Y93" s="196">
        <v>5.55136</v>
      </c>
      <c r="Z93" s="197">
        <v>13</v>
      </c>
      <c r="AA93" s="193">
        <f>H93-SUM(K93:P93)*H93-J93-I93/B93-Z93/B93</f>
        <v>6.15566044247787</v>
      </c>
      <c r="AB93" s="195">
        <f>AA93/H93</f>
        <v>0.0804756172945558</v>
      </c>
      <c r="AC93" s="14"/>
      <c r="AD93" s="17">
        <f>J93/H93</f>
        <v>0.0767410545031442</v>
      </c>
      <c r="AE93" s="18">
        <f>I93/B93/H93</f>
        <v>0.300804664045733</v>
      </c>
      <c r="AF93" s="18">
        <f>Z93/B93/H93</f>
        <v>0.0212443293982299</v>
      </c>
      <c r="AG93" s="18">
        <f>K93</f>
        <v>0.15</v>
      </c>
      <c r="AH93" s="18">
        <f>N93</f>
        <v>0.130734334758338</v>
      </c>
      <c r="AI93" s="18">
        <v>0.02</v>
      </c>
      <c r="AJ93" s="18">
        <f>M93</f>
        <v>0.05</v>
      </c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</row>
    <row r="94" spans="1:75">
      <c r="A94" s="22" t="s">
        <v>532</v>
      </c>
      <c r="B94" s="20">
        <v>8</v>
      </c>
      <c r="C94" s="20" t="s">
        <v>510</v>
      </c>
      <c r="D94" s="20" t="s">
        <v>511</v>
      </c>
      <c r="E94" s="20" t="s">
        <v>507</v>
      </c>
      <c r="F94" s="193">
        <f>IF(E94="有",(I94/B94+J94+Z94/B94)/(0.99999-K94-L94-M94-N94),(I94/B94+J94+Z94/B94)/(0.99999-K94-M94-N94))</f>
        <v>60.8172910926221</v>
      </c>
      <c r="G94" s="193">
        <f>IF(E94="有",(I94/B94+J94+Z94/B94)/(0.8-K94-L94-M94-N94-O94-P94),(I94/B94+J94+Z94/B94)/(0.8-K94-M94-N94-O94-P94))</f>
        <v>112.321839185593</v>
      </c>
      <c r="H94" s="201">
        <f>H92*0.85</f>
        <v>72.2415</v>
      </c>
      <c r="I94" s="193">
        <f>208/1.13</f>
        <v>184.070796460177</v>
      </c>
      <c r="J94" s="20">
        <v>5.87</v>
      </c>
      <c r="K94" s="18">
        <v>0.15</v>
      </c>
      <c r="L94" s="18">
        <v>0.16</v>
      </c>
      <c r="M94" s="18">
        <v>0.05</v>
      </c>
      <c r="N94" s="18">
        <f>Q94/H94</f>
        <v>0.138424589744122</v>
      </c>
      <c r="O94" s="195">
        <v>0.01</v>
      </c>
      <c r="P94" s="18">
        <v>0.02</v>
      </c>
      <c r="Q94" s="193">
        <v>10</v>
      </c>
      <c r="R94" s="14"/>
      <c r="S94" s="14"/>
      <c r="T94" s="14"/>
      <c r="U94" s="14"/>
      <c r="V94" s="193"/>
      <c r="W94" s="193"/>
      <c r="X94" s="20" t="s">
        <v>21</v>
      </c>
      <c r="Y94" s="196">
        <v>5.55136</v>
      </c>
      <c r="Z94" s="197">
        <v>13</v>
      </c>
      <c r="AA94" s="193">
        <f>H94-SUM(K94:P94)*H94-J94-I94/B94-Z94/B94</f>
        <v>3.56346544247786</v>
      </c>
      <c r="AB94" s="195">
        <f>AA94/H94</f>
        <v>0.0493271241942354</v>
      </c>
      <c r="AC94" s="14"/>
      <c r="AD94" s="17">
        <f>J94/H94</f>
        <v>0.0812552341797997</v>
      </c>
      <c r="AE94" s="18">
        <f>I94/B94/H94</f>
        <v>0.318499056048423</v>
      </c>
      <c r="AF94" s="18">
        <f>Z94/B94/H94</f>
        <v>0.0224939958334199</v>
      </c>
      <c r="AG94" s="18">
        <f>K94</f>
        <v>0.15</v>
      </c>
      <c r="AH94" s="18">
        <f>N94</f>
        <v>0.138424589744122</v>
      </c>
      <c r="AI94" s="18">
        <v>0.02</v>
      </c>
      <c r="AJ94" s="18">
        <f>M94</f>
        <v>0.05</v>
      </c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</row>
    <row r="95" spans="1:75">
      <c r="A95" s="22" t="s">
        <v>533</v>
      </c>
      <c r="B95" s="20">
        <v>8</v>
      </c>
      <c r="C95" s="20" t="s">
        <v>510</v>
      </c>
      <c r="D95" s="20" t="s">
        <v>511</v>
      </c>
      <c r="E95" s="20" t="s">
        <v>507</v>
      </c>
      <c r="F95" s="193">
        <f>IF(E95="有",(I95/B95+J95+Z95/B95)/(0.99999-K95-L95-M95-N95),(I95/B95+J95+Z95/B95)/(0.99999-K95-M95-N95))</f>
        <v>61.884745396407</v>
      </c>
      <c r="G95" s="193">
        <f>IF(E95="有",(I95/B95+J95+Z95/B95)/(0.8-K95-L95-M95-N95-O95-P95),(I95/B95+J95+Z95/B95)/(0.8-K95-M95-N95-O95-P95))</f>
        <v>116.017800755119</v>
      </c>
      <c r="H95" s="194">
        <f>H92*0.8</f>
        <v>67.992</v>
      </c>
      <c r="I95" s="193">
        <f>208/1.13</f>
        <v>184.070796460177</v>
      </c>
      <c r="J95" s="20">
        <v>5.87</v>
      </c>
      <c r="K95" s="18">
        <v>0.15</v>
      </c>
      <c r="L95" s="18">
        <v>0.16</v>
      </c>
      <c r="M95" s="18">
        <v>0.05</v>
      </c>
      <c r="N95" s="18">
        <f>Q95/H95</f>
        <v>0.14707612660313</v>
      </c>
      <c r="O95" s="195">
        <v>0.01</v>
      </c>
      <c r="P95" s="18">
        <v>0.02</v>
      </c>
      <c r="Q95" s="193">
        <v>10</v>
      </c>
      <c r="R95" s="14"/>
      <c r="S95" s="14"/>
      <c r="T95" s="14"/>
      <c r="U95" s="14"/>
      <c r="V95" s="193"/>
      <c r="W95" s="193"/>
      <c r="X95" s="20" t="s">
        <v>21</v>
      </c>
      <c r="Y95" s="196">
        <v>5.55136</v>
      </c>
      <c r="Z95" s="197">
        <v>13</v>
      </c>
      <c r="AA95" s="193">
        <f>H95-SUM(K95:P95)*H95-J95-I95/B95-Z95/B95</f>
        <v>0.971270442477877</v>
      </c>
      <c r="AB95" s="195">
        <f>AA95/H95</f>
        <v>0.0142850694563754</v>
      </c>
      <c r="AC95" s="14"/>
      <c r="AD95" s="17">
        <f>J95/H95</f>
        <v>0.0863336863160372</v>
      </c>
      <c r="AE95" s="18">
        <f>I95/7.4/H95</f>
        <v>0.365843510325891</v>
      </c>
      <c r="AF95" s="18">
        <f>Z95/7.4/H95</f>
        <v>0.025837697916766</v>
      </c>
      <c r="AG95" s="18">
        <v>0.15</v>
      </c>
      <c r="AH95" s="18">
        <f>N95</f>
        <v>0.14707612660313</v>
      </c>
      <c r="AI95" s="18">
        <v>0.02</v>
      </c>
      <c r="AJ95" s="18">
        <f>M95</f>
        <v>0.05</v>
      </c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</row>
    <row r="96" ht="21" customHeight="1" spans="1:75">
      <c r="A96" s="15"/>
      <c r="B96" s="15"/>
      <c r="C96" s="15"/>
      <c r="D96" s="15"/>
      <c r="E96" s="20"/>
      <c r="F96" s="193"/>
      <c r="G96" s="193"/>
      <c r="H96" s="20"/>
      <c r="I96" s="193"/>
      <c r="J96" s="20"/>
      <c r="K96" s="18"/>
      <c r="L96" s="18"/>
      <c r="M96" s="18"/>
      <c r="N96" s="18"/>
      <c r="O96" s="195"/>
      <c r="P96" s="18"/>
      <c r="Q96" s="18"/>
      <c r="R96" s="14"/>
      <c r="S96" s="14"/>
      <c r="T96" s="14"/>
      <c r="U96" s="14"/>
      <c r="V96" s="193"/>
      <c r="W96" s="193"/>
      <c r="X96" s="20"/>
      <c r="Y96" s="196"/>
      <c r="Z96" s="193"/>
      <c r="AA96" s="193"/>
      <c r="AB96" s="195"/>
      <c r="AC96" s="14"/>
      <c r="AD96" s="17"/>
      <c r="AE96" s="18"/>
      <c r="AF96" s="18"/>
      <c r="AG96" s="18"/>
      <c r="AH96" s="18"/>
      <c r="AI96" s="18"/>
      <c r="AJ96" s="18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</row>
    <row r="97" spans="1:75">
      <c r="A97" s="199" t="s">
        <v>530</v>
      </c>
      <c r="B97" s="20">
        <v>8</v>
      </c>
      <c r="C97" s="14" t="s">
        <v>512</v>
      </c>
      <c r="D97" s="14" t="s">
        <v>513</v>
      </c>
      <c r="E97" s="20" t="s">
        <v>507</v>
      </c>
      <c r="F97" s="193">
        <f>IF(E97="有",(I97/B97+J97+Z97/B97)/(0.99999-K97-L97-M97-N97),(I97/B97+J97+Z97/B97)/(0.99999-K97-M97-N97))</f>
        <v>57.7104542548673</v>
      </c>
      <c r="G97" s="193">
        <f>IF(E97="有",(I97/B97+J97+Z97/B97)/(0.8-K97-L97-M97-N97-O97-P97),(I97/B97+J97+Z97/B97)/(0.8-K97-M97-N97-O97-P97))</f>
        <v>103.112617127728</v>
      </c>
      <c r="H97" s="194">
        <v>84.99</v>
      </c>
      <c r="I97" s="193">
        <f>208/1.13</f>
        <v>184.070796460177</v>
      </c>
      <c r="J97" s="14">
        <v>5.51</v>
      </c>
      <c r="K97" s="18">
        <v>0.15</v>
      </c>
      <c r="L97" s="18">
        <v>0.16</v>
      </c>
      <c r="M97" s="18">
        <v>0.05</v>
      </c>
      <c r="N97" s="18">
        <f>Q97/H97</f>
        <v>0.117660901282504</v>
      </c>
      <c r="O97" s="195">
        <v>0.01</v>
      </c>
      <c r="P97" s="18">
        <v>0.02</v>
      </c>
      <c r="Q97" s="193">
        <v>10</v>
      </c>
      <c r="R97" s="14"/>
      <c r="S97" s="14"/>
      <c r="T97" s="14"/>
      <c r="U97" s="14"/>
      <c r="V97" s="193"/>
      <c r="W97" s="193"/>
      <c r="X97" s="14" t="s">
        <v>21</v>
      </c>
      <c r="Y97" s="196">
        <v>5.55136</v>
      </c>
      <c r="Z97" s="197">
        <v>13</v>
      </c>
      <c r="AA97" s="193">
        <f>H97-SUM(K97:P97)*H97-J97-I97/B97-Z97/B97</f>
        <v>11.7000504424779</v>
      </c>
      <c r="AB97" s="195">
        <f>AA97/H97</f>
        <v>0.13766384801127</v>
      </c>
      <c r="AC97" s="14"/>
      <c r="AD97" s="17">
        <f>J97/H97</f>
        <v>0.0648311566066596</v>
      </c>
      <c r="AE97" s="18">
        <f>I97/7.4/H97</f>
        <v>0.292674808260713</v>
      </c>
      <c r="AF97" s="18">
        <f>Z97/7.4/H97</f>
        <v>0.0206701583334128</v>
      </c>
      <c r="AG97" s="18">
        <v>0.15</v>
      </c>
      <c r="AH97" s="18">
        <f>N97</f>
        <v>0.117660901282504</v>
      </c>
      <c r="AI97" s="18">
        <v>0.02</v>
      </c>
      <c r="AJ97" s="18">
        <f>M97</f>
        <v>0.05</v>
      </c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</row>
    <row r="98" spans="1:75">
      <c r="A98" s="22" t="s">
        <v>531</v>
      </c>
      <c r="B98" s="20">
        <v>8</v>
      </c>
      <c r="C98" s="20" t="s">
        <v>512</v>
      </c>
      <c r="D98" s="20" t="s">
        <v>513</v>
      </c>
      <c r="E98" s="20" t="s">
        <v>507</v>
      </c>
      <c r="F98" s="193">
        <f>IF(E98="有",(I98/B98+J98+Z98/B98)/(0.99999-K98-L98-M98-N98),(I98/B98+J98+Z98/B98)/(0.99999-K98-M98-N98))</f>
        <v>59.1919768692561</v>
      </c>
      <c r="G98" s="193">
        <f>IF(E98="有",(I98/B98+J98+Z98/B98)/(0.8-K98-L98-M98-N98-O98-P98),(I98/B98+J98+Z98/B98)/(0.8-K98-M98-N98-O98-P98))</f>
        <v>107.939690801005</v>
      </c>
      <c r="H98" s="194">
        <f>H97*0.9</f>
        <v>76.491</v>
      </c>
      <c r="I98" s="193">
        <f>208/1.13</f>
        <v>184.070796460177</v>
      </c>
      <c r="J98" s="20">
        <v>5.51</v>
      </c>
      <c r="K98" s="18">
        <v>0.15</v>
      </c>
      <c r="L98" s="18">
        <v>0.16</v>
      </c>
      <c r="M98" s="18">
        <v>0.05</v>
      </c>
      <c r="N98" s="18">
        <f>Q98/H98</f>
        <v>0.130734334758338</v>
      </c>
      <c r="O98" s="195">
        <v>0.01</v>
      </c>
      <c r="P98" s="18">
        <v>0.02</v>
      </c>
      <c r="Q98" s="193">
        <v>10</v>
      </c>
      <c r="R98" s="14"/>
      <c r="S98" s="14"/>
      <c r="T98" s="14"/>
      <c r="U98" s="14"/>
      <c r="V98" s="193"/>
      <c r="W98" s="193"/>
      <c r="X98" s="20" t="s">
        <v>21</v>
      </c>
      <c r="Y98" s="196">
        <v>5.55136</v>
      </c>
      <c r="Z98" s="197">
        <v>13</v>
      </c>
      <c r="AA98" s="193">
        <f>H98-SUM(K98:P98)*H98-J98-I98/B98-Z98/B98</f>
        <v>6.51566044247787</v>
      </c>
      <c r="AB98" s="195">
        <f>AA98/H98</f>
        <v>0.085182053345856</v>
      </c>
      <c r="AC98" s="14"/>
      <c r="AD98" s="17">
        <f>J98/H98</f>
        <v>0.072034618451844</v>
      </c>
      <c r="AE98" s="18">
        <f>I98/B98/H98</f>
        <v>0.300804664045733</v>
      </c>
      <c r="AF98" s="18">
        <f>Z98/B98/H98</f>
        <v>0.0212443293982299</v>
      </c>
      <c r="AG98" s="18">
        <f>K98</f>
        <v>0.15</v>
      </c>
      <c r="AH98" s="18">
        <f>N98</f>
        <v>0.130734334758338</v>
      </c>
      <c r="AI98" s="18">
        <v>0.02</v>
      </c>
      <c r="AJ98" s="18">
        <f>M98</f>
        <v>0.05</v>
      </c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</row>
    <row r="99" spans="1:75">
      <c r="A99" s="22" t="s">
        <v>532</v>
      </c>
      <c r="B99" s="20">
        <v>8</v>
      </c>
      <c r="C99" s="20" t="s">
        <v>512</v>
      </c>
      <c r="D99" s="20" t="s">
        <v>513</v>
      </c>
      <c r="E99" s="20" t="s">
        <v>507</v>
      </c>
      <c r="F99" s="193">
        <f>IF(E99="有",(I99/B99+J99+Z99/B99)/(0.99999-K99-L99-M99-N99),(I99/B99+J99+Z99/B99)/(0.99999-K99-M99-N99))</f>
        <v>60.0995382479505</v>
      </c>
      <c r="G99" s="193">
        <f>IF(E99="有",(I99/B99+J99+Z99/B99)/(0.8-K99-L99-M99-N99-O99-P99),(I99/B99+J99+Z99/B99)/(0.8-K99-M99-N99-O99-P99))</f>
        <v>110.996240525314</v>
      </c>
      <c r="H99" s="201">
        <f>H97*0.85</f>
        <v>72.2415</v>
      </c>
      <c r="I99" s="193">
        <f>208/1.13</f>
        <v>184.070796460177</v>
      </c>
      <c r="J99" s="20">
        <v>5.51</v>
      </c>
      <c r="K99" s="18">
        <v>0.15</v>
      </c>
      <c r="L99" s="18">
        <v>0.16</v>
      </c>
      <c r="M99" s="18">
        <v>0.05</v>
      </c>
      <c r="N99" s="18">
        <f>Q99/H99</f>
        <v>0.138424589744122</v>
      </c>
      <c r="O99" s="195">
        <v>0.01</v>
      </c>
      <c r="P99" s="18">
        <v>0.02</v>
      </c>
      <c r="Q99" s="193">
        <v>10</v>
      </c>
      <c r="R99" s="14"/>
      <c r="S99" s="14"/>
      <c r="T99" s="14"/>
      <c r="U99" s="14"/>
      <c r="V99" s="193"/>
      <c r="W99" s="193"/>
      <c r="X99" s="20" t="s">
        <v>21</v>
      </c>
      <c r="Y99" s="196">
        <v>5.55136</v>
      </c>
      <c r="Z99" s="197">
        <v>13</v>
      </c>
      <c r="AA99" s="193">
        <f>H99-SUM(K99:P99)*H99-J99-I99/B99-Z99/B99</f>
        <v>3.92346544247786</v>
      </c>
      <c r="AB99" s="195">
        <f>AA99/H99</f>
        <v>0.0543104094250239</v>
      </c>
      <c r="AC99" s="14"/>
      <c r="AD99" s="17">
        <f>J99/H99</f>
        <v>0.0762719489490113</v>
      </c>
      <c r="AE99" s="18">
        <f>I99/B99/H99</f>
        <v>0.318499056048423</v>
      </c>
      <c r="AF99" s="18">
        <f>Z99/B99/H99</f>
        <v>0.0224939958334199</v>
      </c>
      <c r="AG99" s="18">
        <f>K99</f>
        <v>0.15</v>
      </c>
      <c r="AH99" s="18">
        <f>N99</f>
        <v>0.138424589744122</v>
      </c>
      <c r="AI99" s="18">
        <v>0.02</v>
      </c>
      <c r="AJ99" s="18">
        <f>M99</f>
        <v>0.05</v>
      </c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</row>
    <row r="100" spans="1:75">
      <c r="A100" s="22" t="s">
        <v>533</v>
      </c>
      <c r="B100" s="20">
        <v>8</v>
      </c>
      <c r="C100" s="20" t="s">
        <v>512</v>
      </c>
      <c r="D100" s="20" t="s">
        <v>513</v>
      </c>
      <c r="E100" s="20" t="s">
        <v>507</v>
      </c>
      <c r="F100" s="193">
        <f>IF(E100="有",(I100/B100+J100+Z100/B100)/(0.99999-K100-L100-M100-N100),(I100/B100+J100+Z100/B100)/(0.99999-K100-M100-N100))</f>
        <v>61.1543946811409</v>
      </c>
      <c r="G100" s="193">
        <f>IF(E100="有",(I100/B100+J100+Z100/B100)/(0.8-K100-L100-M100-N100-O100-P100),(I100/B100+J100+Z100/B100)/(0.8-K100-M100-N100-O100-P100))</f>
        <v>114.648583135779</v>
      </c>
      <c r="H100" s="194">
        <f>H97*0.8</f>
        <v>67.992</v>
      </c>
      <c r="I100" s="193">
        <f>208/1.13</f>
        <v>184.070796460177</v>
      </c>
      <c r="J100" s="20">
        <v>5.51</v>
      </c>
      <c r="K100" s="18">
        <v>0.15</v>
      </c>
      <c r="L100" s="18">
        <v>0.16</v>
      </c>
      <c r="M100" s="18">
        <v>0.05</v>
      </c>
      <c r="N100" s="18">
        <f>Q100/H100</f>
        <v>0.14707612660313</v>
      </c>
      <c r="O100" s="195">
        <v>0.01</v>
      </c>
      <c r="P100" s="18">
        <v>0.02</v>
      </c>
      <c r="Q100" s="193">
        <v>10</v>
      </c>
      <c r="R100" s="14"/>
      <c r="S100" s="14"/>
      <c r="T100" s="14"/>
      <c r="U100" s="14"/>
      <c r="V100" s="193"/>
      <c r="W100" s="193"/>
      <c r="X100" s="20" t="s">
        <v>21</v>
      </c>
      <c r="Y100" s="196">
        <v>5.55136</v>
      </c>
      <c r="Z100" s="197">
        <v>13</v>
      </c>
      <c r="AA100" s="193">
        <f>H100-SUM(K100:P100)*H100-J100-I100/B100-Z100/B100</f>
        <v>1.33127044247788</v>
      </c>
      <c r="AB100" s="195">
        <f>AA100/H100</f>
        <v>0.0195798100140881</v>
      </c>
      <c r="AC100" s="14"/>
      <c r="AD100" s="17">
        <f>J100/H100</f>
        <v>0.0810389457583245</v>
      </c>
      <c r="AE100" s="18">
        <f>I100/7.4/H100</f>
        <v>0.365843510325891</v>
      </c>
      <c r="AF100" s="18">
        <f>Z100/7.4/H100</f>
        <v>0.025837697916766</v>
      </c>
      <c r="AG100" s="18">
        <v>0.15</v>
      </c>
      <c r="AH100" s="18">
        <f>N100</f>
        <v>0.14707612660313</v>
      </c>
      <c r="AI100" s="18">
        <v>0.02</v>
      </c>
      <c r="AJ100" s="18">
        <f>M100</f>
        <v>0.05</v>
      </c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</row>
    <row r="101" ht="21" customHeight="1" spans="1:75">
      <c r="A101" s="15"/>
      <c r="B101" s="15"/>
      <c r="C101" s="15"/>
      <c r="D101" s="15"/>
      <c r="E101" s="20"/>
      <c r="F101" s="193"/>
      <c r="G101" s="193"/>
      <c r="H101" s="20"/>
      <c r="I101" s="193"/>
      <c r="J101" s="20"/>
      <c r="K101" s="18"/>
      <c r="L101" s="18"/>
      <c r="M101" s="18"/>
      <c r="N101" s="18"/>
      <c r="O101" s="195"/>
      <c r="P101" s="18"/>
      <c r="Q101" s="18"/>
      <c r="R101" s="14"/>
      <c r="S101" s="14"/>
      <c r="T101" s="14"/>
      <c r="U101" s="14"/>
      <c r="V101" s="193"/>
      <c r="W101" s="193"/>
      <c r="X101" s="20"/>
      <c r="Y101" s="196"/>
      <c r="Z101" s="193"/>
      <c r="AA101" s="193"/>
      <c r="AB101" s="195"/>
      <c r="AC101" s="14"/>
      <c r="AD101" s="17"/>
      <c r="AE101" s="18"/>
      <c r="AF101" s="18"/>
      <c r="AG101" s="18"/>
      <c r="AH101" s="18"/>
      <c r="AI101" s="18"/>
      <c r="AJ101" s="18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</row>
    <row r="102" spans="1:75">
      <c r="A102" s="199" t="s">
        <v>530</v>
      </c>
      <c r="B102" s="20">
        <v>8</v>
      </c>
      <c r="C102" s="14" t="s">
        <v>515</v>
      </c>
      <c r="D102" s="14" t="s">
        <v>516</v>
      </c>
      <c r="E102" s="20" t="s">
        <v>507</v>
      </c>
      <c r="F102" s="193">
        <f>IF(E102="有",(I102/B102+J102+Z102/B102)/(0.99999-K102-L102-M102-N102),(I102/B102+J102+Z102/B102)/(0.99999-K102-M102-N102))</f>
        <v>55.2216019140884</v>
      </c>
      <c r="G102" s="193">
        <f>IF(E102="有",(I102/B102+J102+Z102/B102)/(0.8-K102-L102-M102-N102-O102-P102),(I102/B102+J102+Z102/B102)/(0.8-K102-M102-N102-O102-P102))</f>
        <v>98.6657264938604</v>
      </c>
      <c r="H102" s="194">
        <v>84.99</v>
      </c>
      <c r="I102" s="193">
        <f>208/1.13</f>
        <v>184.070796460177</v>
      </c>
      <c r="J102" s="14">
        <v>4.21</v>
      </c>
      <c r="K102" s="18">
        <v>0.15</v>
      </c>
      <c r="L102" s="18">
        <v>0.16</v>
      </c>
      <c r="M102" s="18">
        <v>0.05</v>
      </c>
      <c r="N102" s="18">
        <f>Q102/H102</f>
        <v>0.117660901282504</v>
      </c>
      <c r="O102" s="195">
        <v>0.01</v>
      </c>
      <c r="P102" s="18">
        <v>0.02</v>
      </c>
      <c r="Q102" s="193">
        <v>10</v>
      </c>
      <c r="R102" s="14"/>
      <c r="S102" s="14"/>
      <c r="T102" s="14"/>
      <c r="U102" s="14"/>
      <c r="V102" s="193"/>
      <c r="W102" s="193"/>
      <c r="X102" s="14" t="s">
        <v>21</v>
      </c>
      <c r="Y102" s="196">
        <v>5.55136</v>
      </c>
      <c r="Z102" s="197">
        <v>13</v>
      </c>
      <c r="AA102" s="193">
        <f>H102-SUM(K102:P102)*H102-J102-I102/B102-Z102/B102</f>
        <v>13.0000504424779</v>
      </c>
      <c r="AB102" s="195">
        <f>AA102/H102</f>
        <v>0.152959765177996</v>
      </c>
      <c r="AC102" s="14"/>
      <c r="AD102" s="17">
        <f>J102/H102</f>
        <v>0.0495352394399341</v>
      </c>
      <c r="AE102" s="18">
        <f>I102/7.4/H102</f>
        <v>0.292674808260713</v>
      </c>
      <c r="AF102" s="18">
        <f>Z102/7.4/H102</f>
        <v>0.0206701583334128</v>
      </c>
      <c r="AG102" s="18">
        <v>0.15</v>
      </c>
      <c r="AH102" s="18">
        <f>N102</f>
        <v>0.117660901282504</v>
      </c>
      <c r="AI102" s="18">
        <v>0.02</v>
      </c>
      <c r="AJ102" s="18">
        <f>M102</f>
        <v>0.05</v>
      </c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</row>
    <row r="103" spans="1:75">
      <c r="A103" s="22" t="s">
        <v>531</v>
      </c>
      <c r="B103" s="20">
        <v>8</v>
      </c>
      <c r="C103" s="20" t="s">
        <v>515</v>
      </c>
      <c r="D103" s="20" t="s">
        <v>516</v>
      </c>
      <c r="E103" s="20" t="s">
        <v>507</v>
      </c>
      <c r="F103" s="193">
        <f>IF(E103="有",(I103/B103+J103+Z103/B103)/(0.99999-K103-L103-M103-N103),(I103/B103+J103+Z103/B103)/(0.99999-K103-M103-N103))</f>
        <v>56.6392315809281</v>
      </c>
      <c r="G103" s="193">
        <f>IF(E103="有",(I103/B103+J103+Z103/B103)/(0.8-K103-L103-M103-N103-O103-P103),(I103/B103+J103+Z103/B103)/(0.8-K103-M103-N103-O103-P103))</f>
        <v>103.284625170667</v>
      </c>
      <c r="H103" s="194">
        <f>H102*0.9</f>
        <v>76.491</v>
      </c>
      <c r="I103" s="193">
        <f>208/1.13</f>
        <v>184.070796460177</v>
      </c>
      <c r="J103" s="14">
        <v>4.21</v>
      </c>
      <c r="K103" s="18">
        <v>0.15</v>
      </c>
      <c r="L103" s="18">
        <v>0.16</v>
      </c>
      <c r="M103" s="18">
        <v>0.05</v>
      </c>
      <c r="N103" s="18">
        <f>Q103/H103</f>
        <v>0.130734334758338</v>
      </c>
      <c r="O103" s="195">
        <v>0.01</v>
      </c>
      <c r="P103" s="18">
        <v>0.02</v>
      </c>
      <c r="Q103" s="193">
        <v>10</v>
      </c>
      <c r="R103" s="14"/>
      <c r="S103" s="14"/>
      <c r="T103" s="14"/>
      <c r="U103" s="14"/>
      <c r="V103" s="193"/>
      <c r="W103" s="193"/>
      <c r="X103" s="20" t="s">
        <v>21</v>
      </c>
      <c r="Y103" s="196">
        <v>5.55136</v>
      </c>
      <c r="Z103" s="197">
        <v>13</v>
      </c>
      <c r="AA103" s="193">
        <f>H103-SUM(K103:P103)*H103-J103-I103/B103-Z103/B103</f>
        <v>7.81566044247787</v>
      </c>
      <c r="AB103" s="195">
        <f>AA103/H103</f>
        <v>0.10217751686444</v>
      </c>
      <c r="AC103" s="14"/>
      <c r="AD103" s="17">
        <f>J103/H103</f>
        <v>0.0550391549332601</v>
      </c>
      <c r="AE103" s="18">
        <f>I103/B103/H103</f>
        <v>0.300804664045733</v>
      </c>
      <c r="AF103" s="18">
        <f>Z103/B103/H103</f>
        <v>0.0212443293982299</v>
      </c>
      <c r="AG103" s="18">
        <f>K103</f>
        <v>0.15</v>
      </c>
      <c r="AH103" s="18">
        <f>N103</f>
        <v>0.130734334758338</v>
      </c>
      <c r="AI103" s="18">
        <v>0.02</v>
      </c>
      <c r="AJ103" s="18">
        <f>M103</f>
        <v>0.05</v>
      </c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</row>
    <row r="104" spans="1:75">
      <c r="A104" s="22" t="s">
        <v>532</v>
      </c>
      <c r="B104" s="20">
        <v>8</v>
      </c>
      <c r="C104" s="20" t="s">
        <v>515</v>
      </c>
      <c r="D104" s="20" t="s">
        <v>516</v>
      </c>
      <c r="E104" s="20" t="s">
        <v>507</v>
      </c>
      <c r="F104" s="193">
        <f>IF(E104="有",(I104/B104+J104+Z104/B104)/(0.99999-K104-L104-M104-N104),(I104/B104+J104+Z104/B104)/(0.99999-K104-M104-N104))</f>
        <v>57.5076529755256</v>
      </c>
      <c r="G104" s="193">
        <f>IF(E104="有",(I104/B104+J104+Z104/B104)/(0.8-K104-L104-M104-N104-O104-P104),(I104/B104+J104+Z104/B104)/(0.8-K104-M104-N104-O104-P104))</f>
        <v>106.209356474305</v>
      </c>
      <c r="H104" s="201">
        <f>H102*0.85</f>
        <v>72.2415</v>
      </c>
      <c r="I104" s="193">
        <f>208/1.13</f>
        <v>184.070796460177</v>
      </c>
      <c r="J104" s="14">
        <v>4.21</v>
      </c>
      <c r="K104" s="18">
        <v>0.15</v>
      </c>
      <c r="L104" s="18">
        <v>0.16</v>
      </c>
      <c r="M104" s="18">
        <v>0.05</v>
      </c>
      <c r="N104" s="18">
        <f>Q104/H104</f>
        <v>0.138424589744122</v>
      </c>
      <c r="O104" s="195">
        <v>0.01</v>
      </c>
      <c r="P104" s="18">
        <v>0.02</v>
      </c>
      <c r="Q104" s="193">
        <v>10</v>
      </c>
      <c r="R104" s="14"/>
      <c r="S104" s="14"/>
      <c r="T104" s="14"/>
      <c r="U104" s="14"/>
      <c r="V104" s="193"/>
      <c r="W104" s="193"/>
      <c r="X104" s="20" t="s">
        <v>21</v>
      </c>
      <c r="Y104" s="196">
        <v>5.55136</v>
      </c>
      <c r="Z104" s="197">
        <v>13</v>
      </c>
      <c r="AA104" s="193">
        <f>H104-SUM(K104:P104)*H104-J104-I104/B104-Z104/B104</f>
        <v>5.22346544247786</v>
      </c>
      <c r="AB104" s="195">
        <f>AA104/H104</f>
        <v>0.0723056060917597</v>
      </c>
      <c r="AC104" s="14"/>
      <c r="AD104" s="17">
        <f>J104/H104</f>
        <v>0.0582767522822754</v>
      </c>
      <c r="AE104" s="18">
        <f>I104/B104/H104</f>
        <v>0.318499056048423</v>
      </c>
      <c r="AF104" s="18">
        <f>Z104/B104/H104</f>
        <v>0.0224939958334199</v>
      </c>
      <c r="AG104" s="18">
        <f>K104</f>
        <v>0.15</v>
      </c>
      <c r="AH104" s="18">
        <f>N104</f>
        <v>0.138424589744122</v>
      </c>
      <c r="AI104" s="18">
        <v>0.02</v>
      </c>
      <c r="AJ104" s="18">
        <f>M104</f>
        <v>0.05</v>
      </c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</row>
    <row r="105" spans="1:75">
      <c r="A105" s="22" t="s">
        <v>533</v>
      </c>
      <c r="B105" s="20">
        <v>8</v>
      </c>
      <c r="C105" s="20" t="s">
        <v>515</v>
      </c>
      <c r="D105" s="20" t="s">
        <v>516</v>
      </c>
      <c r="E105" s="20" t="s">
        <v>507</v>
      </c>
      <c r="F105" s="193">
        <f>IF(E105="有",(I105/B105+J105+Z105/B105)/(0.99999-K105-L105-M105-N105),(I105/B105+J105+Z105/B105)/(0.99999-K105-M105-N105))</f>
        <v>58.5170170982355</v>
      </c>
      <c r="G105" s="193">
        <f>IF(E105="有",(I105/B105+J105+Z105/B105)/(0.8-K105-L105-M105-N105-O105-P105),(I105/B105+J105+Z105/B105)/(0.8-K105-M105-N105-O105-P105))</f>
        <v>109.704186177053</v>
      </c>
      <c r="H105" s="194">
        <f>H102*0.8</f>
        <v>67.992</v>
      </c>
      <c r="I105" s="193">
        <f>208/1.13</f>
        <v>184.070796460177</v>
      </c>
      <c r="J105" s="14">
        <v>4.21</v>
      </c>
      <c r="K105" s="18">
        <v>0.15</v>
      </c>
      <c r="L105" s="18">
        <v>0.16</v>
      </c>
      <c r="M105" s="18">
        <v>0.05</v>
      </c>
      <c r="N105" s="18">
        <f>Q105/H105</f>
        <v>0.14707612660313</v>
      </c>
      <c r="O105" s="195">
        <v>0.01</v>
      </c>
      <c r="P105" s="18">
        <v>0.02</v>
      </c>
      <c r="Q105" s="193">
        <v>10</v>
      </c>
      <c r="R105" s="14"/>
      <c r="S105" s="14"/>
      <c r="T105" s="14"/>
      <c r="U105" s="14"/>
      <c r="V105" s="193"/>
      <c r="W105" s="193"/>
      <c r="X105" s="20" t="s">
        <v>21</v>
      </c>
      <c r="Y105" s="196">
        <v>5.55136</v>
      </c>
      <c r="Z105" s="197">
        <v>13</v>
      </c>
      <c r="AA105" s="193">
        <f>H105-SUM(K105:P105)*H105-J105-I105/B105-Z105/B105</f>
        <v>2.63127044247788</v>
      </c>
      <c r="AB105" s="195">
        <f>AA105/H105</f>
        <v>0.038699706472495</v>
      </c>
      <c r="AC105" s="14"/>
      <c r="AD105" s="17">
        <f>J105/H105</f>
        <v>0.0619190492999176</v>
      </c>
      <c r="AE105" s="18">
        <f>I105/7.4/H105</f>
        <v>0.365843510325891</v>
      </c>
      <c r="AF105" s="18">
        <f>Z105/7.4/H105</f>
        <v>0.025837697916766</v>
      </c>
      <c r="AG105" s="18">
        <v>0.15</v>
      </c>
      <c r="AH105" s="18">
        <f>N105</f>
        <v>0.14707612660313</v>
      </c>
      <c r="AI105" s="18">
        <v>0.02</v>
      </c>
      <c r="AJ105" s="18">
        <f>M105</f>
        <v>0.05</v>
      </c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</row>
    <row r="106" ht="21" customHeight="1" spans="1:75">
      <c r="E106" s="20"/>
      <c r="F106" s="193"/>
      <c r="G106" s="193"/>
      <c r="H106" s="20"/>
      <c r="I106" s="193"/>
      <c r="J106" s="20"/>
      <c r="K106" s="18"/>
      <c r="L106" s="18"/>
      <c r="M106" s="18"/>
      <c r="N106" s="18"/>
      <c r="O106" s="195"/>
      <c r="P106" s="18"/>
      <c r="Q106" s="18"/>
      <c r="R106" s="14"/>
      <c r="S106" s="14"/>
      <c r="T106" s="14"/>
      <c r="U106" s="14"/>
      <c r="V106" s="193"/>
      <c r="W106" s="193"/>
      <c r="X106" s="20"/>
      <c r="Y106" s="196"/>
      <c r="Z106" s="193"/>
      <c r="AA106" s="193"/>
      <c r="AB106" s="195"/>
      <c r="AC106" s="14"/>
      <c r="AD106" s="17"/>
      <c r="AE106" s="18"/>
      <c r="AF106" s="18"/>
      <c r="AG106" s="18"/>
      <c r="AH106" s="18"/>
      <c r="AI106" s="18"/>
      <c r="AJ106" s="18"/>
    </row>
    <row r="107" spans="1:75">
      <c r="A107" s="22" t="s">
        <v>534</v>
      </c>
      <c r="B107" s="14">
        <v>9</v>
      </c>
      <c r="C107" s="20" t="s">
        <v>517</v>
      </c>
      <c r="D107" s="20" t="s">
        <v>300</v>
      </c>
      <c r="E107" s="20" t="s">
        <v>507</v>
      </c>
      <c r="F107" s="193">
        <f>IF(E107="有",(I107/B107+J107+Z107/B107)/(0.99999-K107-L107-M107-N107),(I107/B107+J107+Z107/B107)/(0.99999-K107-M107-N107))</f>
        <v>50.3362678949856</v>
      </c>
      <c r="G107" s="193">
        <f>IF(E107="有",(I107/B107+J107+Z107/B107)/(0.8-K107-L107-M107-N107-O107-P107),(I107/B107+J107+Z107/B107)/(0.8-K107-M107-N107-O107-P107))</f>
        <v>91.5654789726815</v>
      </c>
      <c r="H107" s="194">
        <v>74.99</v>
      </c>
      <c r="I107" s="193">
        <f>208/1.13</f>
        <v>184.070796460177</v>
      </c>
      <c r="J107" s="14">
        <v>3.05</v>
      </c>
      <c r="K107" s="18">
        <v>0.15</v>
      </c>
      <c r="L107" s="18">
        <v>0.16</v>
      </c>
      <c r="M107" s="18">
        <v>0.05</v>
      </c>
      <c r="N107" s="18">
        <f>Q107/H107</f>
        <v>0.133351113481798</v>
      </c>
      <c r="O107" s="195">
        <f>0.61/H107</f>
        <v>0.00813441792238965</v>
      </c>
      <c r="P107" s="18">
        <v>0.02</v>
      </c>
      <c r="Q107" s="193">
        <v>10</v>
      </c>
      <c r="R107" s="14">
        <v>33.5</v>
      </c>
      <c r="S107" s="14">
        <v>26.5</v>
      </c>
      <c r="T107" s="14">
        <v>25</v>
      </c>
      <c r="U107" s="14">
        <v>2.3</v>
      </c>
      <c r="V107" s="193">
        <f>R107*S107*T107/6000</f>
        <v>3.69895833333333</v>
      </c>
      <c r="W107" s="193">
        <f>MAX(U107:V107)</f>
        <v>3.69895833333333</v>
      </c>
      <c r="X107" s="20" t="s">
        <v>21</v>
      </c>
      <c r="Y107" s="196">
        <v>6.084</v>
      </c>
      <c r="Z107" s="197">
        <v>18</v>
      </c>
      <c r="AA107" s="193">
        <f>H107-SUM(K107:P107)*H107-J107-I107/B107-Z107/B107</f>
        <v>10.3814892822026</v>
      </c>
      <c r="AB107" s="195">
        <f>AA107/H107</f>
        <v>0.138438315538106</v>
      </c>
      <c r="AC107" s="14"/>
      <c r="AD107" s="17">
        <f>J107/H107</f>
        <v>0.0406720896119483</v>
      </c>
      <c r="AE107" s="18">
        <f>I107/7.4/H107</f>
        <v>0.33170331983035</v>
      </c>
      <c r="AF107" s="18">
        <f>Z107/7.4/H107</f>
        <v>0.0324367573334102</v>
      </c>
      <c r="AG107" s="18">
        <v>0.15</v>
      </c>
      <c r="AH107" s="18">
        <f>N107</f>
        <v>0.133351113481798</v>
      </c>
      <c r="AI107" s="18">
        <v>0.02</v>
      </c>
      <c r="AJ107" s="18">
        <f>M107</f>
        <v>0.05</v>
      </c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</row>
    <row r="108" spans="1:75">
      <c r="A108" s="22" t="s">
        <v>531</v>
      </c>
      <c r="B108" s="14">
        <v>9</v>
      </c>
      <c r="C108" s="20" t="s">
        <v>517</v>
      </c>
      <c r="D108" s="20" t="s">
        <v>300</v>
      </c>
      <c r="E108" s="20" t="s">
        <v>507</v>
      </c>
      <c r="F108" s="193">
        <f>IF(E108="有",(I108/B108+J108+Z108/B108)/(0.99999-K108-L108-M108-N108),(I108/B108+J108+Z108/B108)/(0.99999-K108-M108-N108))</f>
        <v>51.8527144640271</v>
      </c>
      <c r="G108" s="193">
        <f>IF(E108="有",(I108/B108+J108+Z108/B108)/(0.8-K108-L108-M108-N108-O108-P108),(I108/B108+J108+Z108/B108)/(0.8-K108-M108-N108-O108-P108))</f>
        <v>97.0430256647058</v>
      </c>
      <c r="H108" s="194">
        <f>H107*0.9</f>
        <v>67.491</v>
      </c>
      <c r="I108" s="193">
        <f>208/1.13</f>
        <v>184.070796460177</v>
      </c>
      <c r="J108" s="20">
        <v>3.05</v>
      </c>
      <c r="K108" s="18">
        <v>0.15</v>
      </c>
      <c r="L108" s="18">
        <v>0.16</v>
      </c>
      <c r="M108" s="18">
        <v>0.05</v>
      </c>
      <c r="N108" s="18">
        <f>Q108/H108</f>
        <v>0.148167903868664</v>
      </c>
      <c r="O108" s="195">
        <f>0.61/H108</f>
        <v>0.0090382421359885</v>
      </c>
      <c r="P108" s="18">
        <v>0.02</v>
      </c>
      <c r="Q108" s="193">
        <v>10</v>
      </c>
      <c r="R108" s="14">
        <v>33.5</v>
      </c>
      <c r="S108" s="14">
        <v>26.5</v>
      </c>
      <c r="T108" s="14">
        <v>25</v>
      </c>
      <c r="U108" s="14">
        <v>2.3</v>
      </c>
      <c r="V108" s="193">
        <f>R108*S108*T108/6000</f>
        <v>3.69895833333333</v>
      </c>
      <c r="W108" s="193">
        <f>MAX(U108:V108)</f>
        <v>3.69895833333333</v>
      </c>
      <c r="X108" s="20" t="s">
        <v>21</v>
      </c>
      <c r="Y108" s="196">
        <v>6.084</v>
      </c>
      <c r="Z108" s="197">
        <v>18</v>
      </c>
      <c r="AA108" s="193">
        <f>H108-SUM(K108:P108)*H108-J108-I108/B108-Z108/B108</f>
        <v>5.73210928220255</v>
      </c>
      <c r="AB108" s="195">
        <f>AA108/H108</f>
        <v>0.0849314617090065</v>
      </c>
      <c r="AC108" s="14"/>
      <c r="AD108" s="17">
        <f>J108/H108</f>
        <v>0.0451912106799425</v>
      </c>
      <c r="AE108" s="18">
        <f>I108/7.4/H108</f>
        <v>0.368559244255945</v>
      </c>
      <c r="AF108" s="18">
        <f>Z108/7.4/H108</f>
        <v>0.0360408414815669</v>
      </c>
      <c r="AG108" s="18">
        <v>0.15</v>
      </c>
      <c r="AH108" s="18">
        <f>N108</f>
        <v>0.148167903868664</v>
      </c>
      <c r="AI108" s="18">
        <v>0.02</v>
      </c>
      <c r="AJ108" s="18">
        <f>M108</f>
        <v>0.05</v>
      </c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</row>
    <row r="109" spans="1:75">
      <c r="A109" s="22" t="s">
        <v>532</v>
      </c>
      <c r="B109" s="14">
        <v>9</v>
      </c>
      <c r="C109" s="20" t="s">
        <v>517</v>
      </c>
      <c r="D109" s="20" t="s">
        <v>300</v>
      </c>
      <c r="E109" s="20" t="s">
        <v>507</v>
      </c>
      <c r="F109" s="193">
        <f>IF(E109="有",(I109/B109+J109+Z109/B109)/(0.99999-K109-L109-M109-N109),(I109/B109+J109+Z109/B109)/(0.99999-K109-M109-N109))</f>
        <v>52.7881933239096</v>
      </c>
      <c r="G109" s="193">
        <f>IF(E109="有",(I109/B109+J109+Z109/B109)/(0.8-K109-L109-M109-N109-O109-P109),(I109/B109+J109+Z109/B109)/(0.8-K109-M109-N109-O109-P109))</f>
        <v>100.582407535626</v>
      </c>
      <c r="H109" s="201">
        <f>H107*0.85</f>
        <v>63.7415</v>
      </c>
      <c r="I109" s="193">
        <f>208/1.13</f>
        <v>184.070796460177</v>
      </c>
      <c r="J109" s="20">
        <v>3.05</v>
      </c>
      <c r="K109" s="18">
        <v>0.15</v>
      </c>
      <c r="L109" s="18">
        <v>0.16</v>
      </c>
      <c r="M109" s="18">
        <v>0.05</v>
      </c>
      <c r="N109" s="18">
        <f>Q109/H109</f>
        <v>0.156883662919762</v>
      </c>
      <c r="O109" s="195">
        <f>0.61/H109</f>
        <v>0.00956990343810547</v>
      </c>
      <c r="P109" s="18">
        <v>0.02</v>
      </c>
      <c r="Q109" s="193">
        <v>10</v>
      </c>
      <c r="R109" s="14">
        <v>33.5</v>
      </c>
      <c r="S109" s="14">
        <v>26.5</v>
      </c>
      <c r="T109" s="14">
        <v>25</v>
      </c>
      <c r="U109" s="14">
        <v>2.3</v>
      </c>
      <c r="V109" s="193">
        <f>R109*S109*T109/6000</f>
        <v>3.69895833333333</v>
      </c>
      <c r="W109" s="193">
        <f>MAX(U109:V109)</f>
        <v>3.69895833333333</v>
      </c>
      <c r="X109" s="20" t="s">
        <v>21</v>
      </c>
      <c r="Y109" s="196">
        <v>6.084</v>
      </c>
      <c r="Z109" s="197">
        <v>18</v>
      </c>
      <c r="AA109" s="193">
        <f>H109-SUM(K109:P109)*H109-J109-I109/B109-Z109/B109</f>
        <v>3.40741928220255</v>
      </c>
      <c r="AB109" s="195">
        <f>AA109/H109</f>
        <v>0.0534568418095362</v>
      </c>
      <c r="AC109" s="14"/>
      <c r="AD109" s="17">
        <f>J109/H109</f>
        <v>0.0478495171905274</v>
      </c>
      <c r="AE109" s="18">
        <f>I109/7.4/H109</f>
        <v>0.390239199800412</v>
      </c>
      <c r="AF109" s="18">
        <f>Z109/7.4/H109</f>
        <v>0.0381608909804826</v>
      </c>
      <c r="AG109" s="18">
        <v>0.15</v>
      </c>
      <c r="AH109" s="18">
        <f>N109</f>
        <v>0.156883662919762</v>
      </c>
      <c r="AI109" s="18">
        <v>0.02</v>
      </c>
      <c r="AJ109" s="18">
        <f>M109</f>
        <v>0.05</v>
      </c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</row>
    <row r="110" ht="21" customHeight="1" spans="1:75">
      <c r="E110" s="20"/>
      <c r="F110" s="193"/>
      <c r="G110" s="193"/>
      <c r="H110" s="20"/>
      <c r="I110" s="193"/>
      <c r="J110" s="20"/>
      <c r="K110" s="18"/>
      <c r="L110" s="18"/>
      <c r="M110" s="18"/>
      <c r="N110" s="18"/>
      <c r="O110" s="195"/>
      <c r="P110" s="18"/>
      <c r="Q110" s="18"/>
      <c r="R110" s="14"/>
      <c r="S110" s="14"/>
      <c r="T110" s="14"/>
      <c r="U110" s="14"/>
      <c r="V110" s="193"/>
      <c r="W110" s="193"/>
      <c r="X110" s="20"/>
      <c r="Y110" s="196"/>
      <c r="Z110" s="193"/>
      <c r="AA110" s="193"/>
      <c r="AB110" s="195"/>
      <c r="AC110" s="14"/>
      <c r="AD110" s="17"/>
      <c r="AE110" s="18"/>
      <c r="AF110" s="18"/>
      <c r="AG110" s="18"/>
      <c r="AH110" s="18"/>
      <c r="AI110" s="18"/>
      <c r="AJ110" s="18"/>
    </row>
    <row r="111" spans="1:75">
      <c r="A111" s="200" t="s">
        <v>535</v>
      </c>
      <c r="B111" s="20">
        <v>8</v>
      </c>
      <c r="C111" s="20" t="s">
        <v>506</v>
      </c>
      <c r="D111" s="20" t="s">
        <v>277</v>
      </c>
      <c r="E111" s="20" t="s">
        <v>507</v>
      </c>
      <c r="F111" s="193">
        <f>IF(E111="有",(I111/B111+J111+Z111/B111)/(0.99999-K111-L111-M111-N111),(I111/B111+J111+Z111/B111)/(0.99999-K111-M111-N111))</f>
        <v>15.8237606489378</v>
      </c>
      <c r="G111" s="193">
        <f>IF(E111="有",(I111/B111+J111+Z111/B111)/(0.8-K111-L111-M111-N111-O111-P111),(I111/B111+J111+Z111/B111)/(0.8-K111-M111-N111-O111-P111))</f>
        <v>25.933844992852</v>
      </c>
      <c r="H111" s="194">
        <v>24.99</v>
      </c>
      <c r="I111" s="193">
        <f>49/1.13</f>
        <v>43.3628318584071</v>
      </c>
      <c r="J111" s="14">
        <v>3.04</v>
      </c>
      <c r="K111" s="18">
        <v>0.15</v>
      </c>
      <c r="L111" s="18">
        <v>0.16</v>
      </c>
      <c r="M111" s="18">
        <v>0.02</v>
      </c>
      <c r="N111" s="18">
        <f>Q111/H111</f>
        <v>0.0800320128051221</v>
      </c>
      <c r="O111" s="195">
        <v>0.01</v>
      </c>
      <c r="P111" s="18">
        <v>0.02</v>
      </c>
      <c r="Q111" s="193">
        <v>2</v>
      </c>
      <c r="R111" s="14"/>
      <c r="S111" s="14"/>
      <c r="T111" s="14"/>
      <c r="U111" s="14"/>
      <c r="V111" s="193"/>
      <c r="W111" s="193"/>
      <c r="X111" s="14" t="s">
        <v>21</v>
      </c>
      <c r="Y111" s="196">
        <v>5.55136</v>
      </c>
      <c r="Z111" s="197">
        <v>7</v>
      </c>
      <c r="AA111" s="193">
        <f>H111-SUM(K111:P111)*H111-J111-I111/B111-Z111/B111</f>
        <v>4.65824601769911</v>
      </c>
      <c r="AB111" s="195">
        <f>AA111/H111</f>
        <v>0.186404402468952</v>
      </c>
      <c r="AC111" s="14"/>
      <c r="AD111" s="17">
        <f>J111/H111</f>
        <v>0.121648659463786</v>
      </c>
      <c r="AE111" s="18">
        <f>I111/7.4/H111</f>
        <v>0.234487480713405</v>
      </c>
      <c r="AF111" s="18">
        <f>Z111/7.4/H111</f>
        <v>0.0378529790294496</v>
      </c>
      <c r="AG111" s="18">
        <v>0.15</v>
      </c>
      <c r="AH111" s="18">
        <f>N111</f>
        <v>0.0800320128051221</v>
      </c>
      <c r="AI111" s="18">
        <v>0.02</v>
      </c>
      <c r="AJ111" s="18">
        <f>M111</f>
        <v>0.02</v>
      </c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</row>
    <row r="112" spans="1:75">
      <c r="A112" s="200" t="s">
        <v>536</v>
      </c>
      <c r="B112" s="20">
        <v>8</v>
      </c>
      <c r="C112" s="20" t="s">
        <v>506</v>
      </c>
      <c r="D112" s="20" t="s">
        <v>277</v>
      </c>
      <c r="E112" s="20" t="s">
        <v>507</v>
      </c>
      <c r="F112" s="193">
        <f>IF(E112="有",(I112/B112+J112+Z112/B112)/(0.99999-K112-L112-M112-N112),(I112/B112+J112+Z112/B112)/(0.99999-K112-M112-N112))</f>
        <v>16.0659225480332</v>
      </c>
      <c r="G112" s="193">
        <f>IF(E112="有",(I112/B112+J112+Z112/B112)/(0.8-K112-L112-M112-N112-O112-P112),(I112/B112+J112+Z112/B112)/(0.8-K112-M112-N112-O112-P112))</f>
        <v>26.5907273032975</v>
      </c>
      <c r="H112" s="194">
        <f>H111*0.9</f>
        <v>22.491</v>
      </c>
      <c r="I112" s="193">
        <f>49/1.13</f>
        <v>43.3628318584071</v>
      </c>
      <c r="J112" s="20">
        <v>3.04</v>
      </c>
      <c r="K112" s="18">
        <v>0.15</v>
      </c>
      <c r="L112" s="18">
        <v>0.16</v>
      </c>
      <c r="M112" s="18">
        <v>0.02</v>
      </c>
      <c r="N112" s="18">
        <f>Q112/H112</f>
        <v>0.0889244586723578</v>
      </c>
      <c r="O112" s="195">
        <v>0.01</v>
      </c>
      <c r="P112" s="18">
        <v>0.02</v>
      </c>
      <c r="Q112" s="193">
        <v>2</v>
      </c>
      <c r="R112" s="14"/>
      <c r="S112" s="14"/>
      <c r="T112" s="14"/>
      <c r="U112" s="14"/>
      <c r="V112" s="193"/>
      <c r="W112" s="193"/>
      <c r="X112" s="20" t="s">
        <v>21</v>
      </c>
      <c r="Y112" s="196">
        <v>5.55136</v>
      </c>
      <c r="Z112" s="197">
        <v>7</v>
      </c>
      <c r="AA112" s="193">
        <f>H112-SUM(K112:P112)*H112-J112-I112/B112-Z112/B112</f>
        <v>3.05888601769912</v>
      </c>
      <c r="AB112" s="195">
        <f>AA112/H112</f>
        <v>0.136004891632169</v>
      </c>
      <c r="AC112" s="14"/>
      <c r="AD112" s="17">
        <f>J112/H112</f>
        <v>0.135165177181984</v>
      </c>
      <c r="AE112" s="18">
        <f>I112/B112/H112</f>
        <v>0.241001021844333</v>
      </c>
      <c r="AF112" s="18">
        <f>Z112/B112/H112</f>
        <v>0.0389044506691565</v>
      </c>
      <c r="AG112" s="18">
        <f>K112</f>
        <v>0.15</v>
      </c>
      <c r="AH112" s="18">
        <f>N112</f>
        <v>0.0889244586723578</v>
      </c>
      <c r="AI112" s="18">
        <v>0.02</v>
      </c>
      <c r="AJ112" s="18">
        <f>M112</f>
        <v>0.02</v>
      </c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</row>
    <row r="113" spans="1:75">
      <c r="A113" s="200" t="s">
        <v>537</v>
      </c>
      <c r="B113" s="20">
        <v>8</v>
      </c>
      <c r="C113" s="20" t="s">
        <v>506</v>
      </c>
      <c r="D113" s="20" t="s">
        <v>277</v>
      </c>
      <c r="E113" s="20" t="s">
        <v>507</v>
      </c>
      <c r="F113" s="193">
        <f>IF(E113="有",(I113/B113+J113+Z113/B113)/(0.99999-K113-L113-M113-N113),(I113/B113+J113+Z113/B113)/(0.99999-K113-M113-N113))</f>
        <v>16.2118645006393</v>
      </c>
      <c r="G113" s="193">
        <f>IF(E113="有",(I113/B113+J113+Z113/B113)/(0.8-K113-L113-M113-N113-O113-P113),(I113/B113+J113+Z113/B113)/(0.8-K113-M113-N113-O113-P113))</f>
        <v>26.9929081757308</v>
      </c>
      <c r="H113" s="201">
        <f>H111*0.85</f>
        <v>21.2415</v>
      </c>
      <c r="I113" s="193">
        <f>49/1.13</f>
        <v>43.3628318584071</v>
      </c>
      <c r="J113" s="20">
        <v>3.04</v>
      </c>
      <c r="K113" s="18">
        <v>0.15</v>
      </c>
      <c r="L113" s="18">
        <v>0.16</v>
      </c>
      <c r="M113" s="18">
        <v>0.02</v>
      </c>
      <c r="N113" s="18">
        <f>Q113/H113</f>
        <v>0.0941553091824965</v>
      </c>
      <c r="O113" s="195">
        <v>0.01</v>
      </c>
      <c r="P113" s="18">
        <v>0.02</v>
      </c>
      <c r="Q113" s="193">
        <v>2</v>
      </c>
      <c r="R113" s="14"/>
      <c r="S113" s="14"/>
      <c r="T113" s="14"/>
      <c r="U113" s="14"/>
      <c r="V113" s="193"/>
      <c r="W113" s="193"/>
      <c r="X113" s="20" t="s">
        <v>21</v>
      </c>
      <c r="Y113" s="196">
        <v>5.55136</v>
      </c>
      <c r="Z113" s="197">
        <v>7</v>
      </c>
      <c r="AA113" s="193">
        <f>H113-SUM(K113:P113)*H113-J113-I113/B113-Z113/B113</f>
        <v>2.25920601769911</v>
      </c>
      <c r="AB113" s="195">
        <f>AA113/H113</f>
        <v>0.106358120551708</v>
      </c>
      <c r="AC113" s="14"/>
      <c r="AD113" s="17">
        <f>J113/H113</f>
        <v>0.143116069957395</v>
      </c>
      <c r="AE113" s="18">
        <f>I113/B113/H113</f>
        <v>0.255177552541058</v>
      </c>
      <c r="AF113" s="18">
        <f>Z113/B113/H113</f>
        <v>0.0411929477673422</v>
      </c>
      <c r="AG113" s="18">
        <f>K113</f>
        <v>0.15</v>
      </c>
      <c r="AH113" s="18">
        <f>N113</f>
        <v>0.0941553091824965</v>
      </c>
      <c r="AI113" s="18">
        <v>0.02</v>
      </c>
      <c r="AJ113" s="18">
        <f>M113</f>
        <v>0.02</v>
      </c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</row>
    <row r="114" spans="1:75">
      <c r="A114" s="200" t="s">
        <v>538</v>
      </c>
      <c r="B114" s="20">
        <v>8</v>
      </c>
      <c r="C114" s="20" t="s">
        <v>506</v>
      </c>
      <c r="D114" s="20" t="s">
        <v>277</v>
      </c>
      <c r="E114" s="20" t="s">
        <v>507</v>
      </c>
      <c r="F114" s="193">
        <f>IF(E114="有",(I114/B114+J114+Z114/B114)/(0.99999-K114-L114-M114-N114),(I114/B114+J114+Z114/B114)/(0.99999-K114-M114-N114))</f>
        <v>16.3792512404137</v>
      </c>
      <c r="G114" s="193">
        <f>IF(E114="有",(I114/B114+J114+Z114/B114)/(0.8-K114-L114-M114-N114-O114-P114),(I114/B114+J114+Z114/B114)/(0.8-K114-M114-N114-O114-P114))</f>
        <v>27.4601553766302</v>
      </c>
      <c r="H114" s="194">
        <f>H111*0.8</f>
        <v>19.992</v>
      </c>
      <c r="I114" s="193">
        <f>49/1.13</f>
        <v>43.3628318584071</v>
      </c>
      <c r="J114" s="20">
        <v>3.04</v>
      </c>
      <c r="K114" s="18">
        <v>0.15</v>
      </c>
      <c r="L114" s="18">
        <v>0.16</v>
      </c>
      <c r="M114" s="18">
        <v>0.02</v>
      </c>
      <c r="N114" s="18">
        <f>Q114/H114</f>
        <v>0.100040016006403</v>
      </c>
      <c r="O114" s="195">
        <v>0.01</v>
      </c>
      <c r="P114" s="18">
        <v>0.02</v>
      </c>
      <c r="Q114" s="193">
        <v>2</v>
      </c>
      <c r="R114" s="14"/>
      <c r="S114" s="14"/>
      <c r="T114" s="14"/>
      <c r="U114" s="14"/>
      <c r="V114" s="193"/>
      <c r="W114" s="193"/>
      <c r="X114" s="20" t="s">
        <v>21</v>
      </c>
      <c r="Y114" s="196">
        <v>5.55136</v>
      </c>
      <c r="Z114" s="197">
        <v>7</v>
      </c>
      <c r="AA114" s="193">
        <f>H114-SUM(K114:P114)*H114-J114-I114/B114-Z114/B114</f>
        <v>1.45952601769911</v>
      </c>
      <c r="AB114" s="195">
        <f>AA114/H114</f>
        <v>0.0730055030861902</v>
      </c>
      <c r="AC114" s="14"/>
      <c r="AD114" s="17">
        <f>J114/H114</f>
        <v>0.152060824329732</v>
      </c>
      <c r="AE114" s="18">
        <f>I114/7.4/H114</f>
        <v>0.293109350891756</v>
      </c>
      <c r="AF114" s="18">
        <f>Z114/7.4/H114</f>
        <v>0.047316223786812</v>
      </c>
      <c r="AG114" s="18">
        <v>0.15</v>
      </c>
      <c r="AH114" s="18">
        <f>N114</f>
        <v>0.100040016006403</v>
      </c>
      <c r="AI114" s="18">
        <v>0.02</v>
      </c>
      <c r="AJ114" s="18">
        <f>M114</f>
        <v>0.02</v>
      </c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</row>
    <row r="115" ht="21" customHeight="1" spans="1:75">
      <c r="A115" s="15"/>
      <c r="B115" s="15"/>
      <c r="C115" s="15"/>
      <c r="D115" s="15"/>
      <c r="E115" s="20"/>
      <c r="F115" s="193"/>
      <c r="G115" s="193"/>
      <c r="H115" s="20"/>
      <c r="I115" s="193"/>
      <c r="J115" s="20"/>
      <c r="K115" s="18"/>
      <c r="L115" s="18"/>
      <c r="M115" s="18"/>
      <c r="N115" s="18"/>
      <c r="O115" s="195"/>
      <c r="P115" s="18"/>
      <c r="Q115" s="18"/>
      <c r="R115" s="14"/>
      <c r="S115" s="14"/>
      <c r="T115" s="14"/>
      <c r="U115" s="14"/>
      <c r="V115" s="193"/>
      <c r="W115" s="193"/>
      <c r="X115" s="20"/>
      <c r="Y115" s="196"/>
      <c r="Z115" s="193"/>
      <c r="AA115" s="193"/>
      <c r="AB115" s="195"/>
      <c r="AC115" s="14"/>
      <c r="AD115" s="17"/>
      <c r="AE115" s="18"/>
      <c r="AF115" s="18"/>
      <c r="AG115" s="18"/>
      <c r="AH115" s="18"/>
      <c r="AI115" s="18"/>
      <c r="AJ115" s="18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</row>
    <row r="116" spans="1:75">
      <c r="A116" s="200" t="s">
        <v>535</v>
      </c>
      <c r="B116" s="20">
        <v>8</v>
      </c>
      <c r="C116" s="14" t="s">
        <v>510</v>
      </c>
      <c r="D116" s="14" t="s">
        <v>511</v>
      </c>
      <c r="E116" s="20" t="s">
        <v>507</v>
      </c>
      <c r="F116" s="193">
        <f>IF(E116="有",(I116/B116+J116+Z116/B116)/(0.99999-K116-L116-M116-N116),(I116/B116+J116+Z116/B116)/(0.99999-K116-M116-N116))</f>
        <v>18.5527685358472</v>
      </c>
      <c r="G116" s="193">
        <f>IF(E116="有",(I116/B116+J116+Z116/B116)/(0.8-K116-L116-M116-N116-O116-P116),(I116/B116+J116+Z116/B116)/(0.8-K116-M116-N116-O116-P116))</f>
        <v>30.4064649403819</v>
      </c>
      <c r="H116" s="194">
        <v>24.99</v>
      </c>
      <c r="I116" s="193">
        <f>49/1.13</f>
        <v>43.3628318584071</v>
      </c>
      <c r="J116" s="14">
        <v>4.65</v>
      </c>
      <c r="K116" s="18">
        <v>0.15</v>
      </c>
      <c r="L116" s="18">
        <v>0.16</v>
      </c>
      <c r="M116" s="18">
        <v>0.02</v>
      </c>
      <c r="N116" s="18">
        <f>Q116/H116</f>
        <v>0.0800320128051221</v>
      </c>
      <c r="O116" s="195">
        <v>0.01</v>
      </c>
      <c r="P116" s="18">
        <v>0.02</v>
      </c>
      <c r="Q116" s="193">
        <v>2</v>
      </c>
      <c r="R116" s="14"/>
      <c r="S116" s="14"/>
      <c r="T116" s="14"/>
      <c r="U116" s="14"/>
      <c r="V116" s="193"/>
      <c r="W116" s="193"/>
      <c r="X116" s="14" t="s">
        <v>21</v>
      </c>
      <c r="Y116" s="196">
        <v>5.55136</v>
      </c>
      <c r="Z116" s="197">
        <v>7</v>
      </c>
      <c r="AA116" s="193">
        <f>H116-SUM(K116:P116)*H116-J116-I116/B116-Z116/B116</f>
        <v>3.04824601769911</v>
      </c>
      <c r="AB116" s="195">
        <f>AA116/H116</f>
        <v>0.121978632160829</v>
      </c>
      <c r="AC116" s="14"/>
      <c r="AD116" s="17">
        <f>J116/H116</f>
        <v>0.186074429771909</v>
      </c>
      <c r="AE116" s="18">
        <f>I116/7.4/H116</f>
        <v>0.234487480713405</v>
      </c>
      <c r="AF116" s="18">
        <f>Z116/7.4/H116</f>
        <v>0.0378529790294496</v>
      </c>
      <c r="AG116" s="18">
        <v>0.15</v>
      </c>
      <c r="AH116" s="18">
        <f>N116</f>
        <v>0.0800320128051221</v>
      </c>
      <c r="AI116" s="18">
        <v>0.02</v>
      </c>
      <c r="AJ116" s="18">
        <f>M116</f>
        <v>0.02</v>
      </c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</row>
    <row r="117" spans="1:75">
      <c r="A117" s="200" t="s">
        <v>536</v>
      </c>
      <c r="B117" s="20">
        <v>8</v>
      </c>
      <c r="C117" s="20" t="s">
        <v>510</v>
      </c>
      <c r="D117" s="20" t="s">
        <v>511</v>
      </c>
      <c r="E117" s="20" t="s">
        <v>507</v>
      </c>
      <c r="F117" s="193">
        <f>IF(E117="有",(I117/B117+J117+Z117/B117)/(0.99999-K117-L117-M117-N117),(I117/B117+J117+Z117/B117)/(0.99999-K117-M117-N117))</f>
        <v>18.8366943207345</v>
      </c>
      <c r="G117" s="193">
        <f>IF(E117="有",(I117/B117+J117+Z117/B117)/(0.8-K117-L117-M117-N117-O117-P117),(I117/B117+J117+Z117/B117)/(0.8-K117-M117-N117-O117-P117))</f>
        <v>31.1766349228131</v>
      </c>
      <c r="H117" s="194">
        <f>H116*0.9</f>
        <v>22.491</v>
      </c>
      <c r="I117" s="193">
        <f>49/1.13</f>
        <v>43.3628318584071</v>
      </c>
      <c r="J117" s="20">
        <v>4.65</v>
      </c>
      <c r="K117" s="18">
        <v>0.15</v>
      </c>
      <c r="L117" s="18">
        <v>0.16</v>
      </c>
      <c r="M117" s="18">
        <v>0.02</v>
      </c>
      <c r="N117" s="18">
        <f>Q117/H117</f>
        <v>0.0889244586723578</v>
      </c>
      <c r="O117" s="195">
        <v>0.01</v>
      </c>
      <c r="P117" s="18">
        <v>0.02</v>
      </c>
      <c r="Q117" s="193">
        <v>2</v>
      </c>
      <c r="R117" s="14"/>
      <c r="S117" s="14"/>
      <c r="T117" s="14"/>
      <c r="U117" s="14"/>
      <c r="V117" s="193"/>
      <c r="W117" s="193"/>
      <c r="X117" s="20" t="s">
        <v>21</v>
      </c>
      <c r="Y117" s="196">
        <v>5.55136</v>
      </c>
      <c r="Z117" s="197">
        <v>7</v>
      </c>
      <c r="AA117" s="193">
        <f>H117-SUM(K117:P117)*H117-J117-I117/B117-Z117/B117</f>
        <v>1.44888601769911</v>
      </c>
      <c r="AB117" s="195">
        <f>AA117/H117</f>
        <v>0.064420702400921</v>
      </c>
      <c r="AC117" s="14"/>
      <c r="AD117" s="17">
        <f>J117/H117</f>
        <v>0.206749366413232</v>
      </c>
      <c r="AE117" s="18">
        <f>I117/B117/H117</f>
        <v>0.241001021844333</v>
      </c>
      <c r="AF117" s="18">
        <f>Z117/B117/H117</f>
        <v>0.0389044506691565</v>
      </c>
      <c r="AG117" s="18">
        <f>K117</f>
        <v>0.15</v>
      </c>
      <c r="AH117" s="18">
        <f>N117</f>
        <v>0.0889244586723578</v>
      </c>
      <c r="AI117" s="18">
        <v>0.02</v>
      </c>
      <c r="AJ117" s="18">
        <f>M117</f>
        <v>0.02</v>
      </c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</row>
    <row r="118" spans="1:75">
      <c r="A118" s="200" t="s">
        <v>537</v>
      </c>
      <c r="B118" s="20">
        <v>8</v>
      </c>
      <c r="C118" s="20" t="s">
        <v>510</v>
      </c>
      <c r="D118" s="20" t="s">
        <v>511</v>
      </c>
      <c r="E118" s="20" t="s">
        <v>507</v>
      </c>
      <c r="F118" s="193">
        <f>IF(E118="有",(I118/B118+J118+Z118/B118)/(0.99999-K118-L118-M118-N118),(I118/B118+J118+Z118/B118)/(0.99999-K118-M118-N118))</f>
        <v>19.0078058110079</v>
      </c>
      <c r="G118" s="193">
        <f>IF(E118="有",(I118/B118+J118+Z118/B118)/(0.8-K118-L118-M118-N118-O118-P118),(I118/B118+J118+Z118/B118)/(0.8-K118-M118-N118-O118-P118))</f>
        <v>31.6481769791764</v>
      </c>
      <c r="H118" s="201">
        <f>H116*0.85</f>
        <v>21.2415</v>
      </c>
      <c r="I118" s="193">
        <f>49/1.13</f>
        <v>43.3628318584071</v>
      </c>
      <c r="J118" s="20">
        <v>4.65</v>
      </c>
      <c r="K118" s="18">
        <v>0.15</v>
      </c>
      <c r="L118" s="18">
        <v>0.16</v>
      </c>
      <c r="M118" s="18">
        <v>0.02</v>
      </c>
      <c r="N118" s="18">
        <f>Q118/H118</f>
        <v>0.0941553091824965</v>
      </c>
      <c r="O118" s="195">
        <v>0.01</v>
      </c>
      <c r="P118" s="18">
        <v>0.02</v>
      </c>
      <c r="Q118" s="193">
        <v>2</v>
      </c>
      <c r="R118" s="14"/>
      <c r="S118" s="14"/>
      <c r="T118" s="14"/>
      <c r="U118" s="14"/>
      <c r="V118" s="193"/>
      <c r="W118" s="193"/>
      <c r="X118" s="20" t="s">
        <v>21</v>
      </c>
      <c r="Y118" s="196">
        <v>5.55136</v>
      </c>
      <c r="Z118" s="197">
        <v>7</v>
      </c>
      <c r="AA118" s="193">
        <f>H118-SUM(K118:P118)*H118-J118-I118/B118-Z118/B118</f>
        <v>0.649206017699112</v>
      </c>
      <c r="AB118" s="195">
        <f>AA118/H118</f>
        <v>0.0305630966597986</v>
      </c>
      <c r="AC118" s="14"/>
      <c r="AD118" s="17">
        <f>J118/H118</f>
        <v>0.218911093849304</v>
      </c>
      <c r="AE118" s="18">
        <f>I118/B118/H118</f>
        <v>0.255177552541058</v>
      </c>
      <c r="AF118" s="18">
        <f>Z118/B118/H118</f>
        <v>0.0411929477673422</v>
      </c>
      <c r="AG118" s="18">
        <f>K118</f>
        <v>0.15</v>
      </c>
      <c r="AH118" s="18">
        <f>N118</f>
        <v>0.0941553091824965</v>
      </c>
      <c r="AI118" s="18">
        <v>0.02</v>
      </c>
      <c r="AJ118" s="18">
        <f>M118</f>
        <v>0.02</v>
      </c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</row>
    <row r="119" spans="1:75">
      <c r="A119" s="200" t="s">
        <v>538</v>
      </c>
      <c r="B119" s="20">
        <v>8</v>
      </c>
      <c r="C119" s="20" t="s">
        <v>510</v>
      </c>
      <c r="D119" s="20" t="s">
        <v>511</v>
      </c>
      <c r="E119" s="20" t="s">
        <v>507</v>
      </c>
      <c r="F119" s="193">
        <f>IF(E119="有",(I119/B119+J119+Z119/B119)/(0.99999-K119-L119-M119-N119),(I119/B119+J119+Z119/B119)/(0.99999-K119-M119-N119))</f>
        <v>19.2040605135342</v>
      </c>
      <c r="G119" s="193">
        <f>IF(E119="有",(I119/B119+J119+Z119/B119)/(0.8-K119-L119-M119-N119-O119-P119),(I119/B119+J119+Z119/B119)/(0.8-K119-M119-N119-O119-P119))</f>
        <v>32.19600687623</v>
      </c>
      <c r="H119" s="194">
        <f>H116*0.8</f>
        <v>19.992</v>
      </c>
      <c r="I119" s="193">
        <f>49/1.13</f>
        <v>43.3628318584071</v>
      </c>
      <c r="J119" s="20">
        <v>4.65</v>
      </c>
      <c r="K119" s="18">
        <v>0.15</v>
      </c>
      <c r="L119" s="18">
        <v>0.16</v>
      </c>
      <c r="M119" s="18">
        <v>0.02</v>
      </c>
      <c r="N119" s="18">
        <f>Q119/H119</f>
        <v>0.100040016006403</v>
      </c>
      <c r="O119" s="195">
        <v>0.01</v>
      </c>
      <c r="P119" s="18">
        <v>0.02</v>
      </c>
      <c r="Q119" s="193">
        <v>2</v>
      </c>
      <c r="R119" s="14"/>
      <c r="S119" s="14"/>
      <c r="T119" s="14"/>
      <c r="U119" s="14"/>
      <c r="V119" s="193"/>
      <c r="W119" s="193"/>
      <c r="X119" s="20" t="s">
        <v>21</v>
      </c>
      <c r="Y119" s="196">
        <v>5.55136</v>
      </c>
      <c r="Z119" s="197">
        <v>7</v>
      </c>
      <c r="AA119" s="193">
        <f>H119-SUM(K119:P119)*H119-J119-I119/B119-Z119/B119</f>
        <v>-0.150473982300887</v>
      </c>
      <c r="AB119" s="195">
        <f>AA119/H119</f>
        <v>-0.00752670979896392</v>
      </c>
      <c r="AC119" s="14"/>
      <c r="AD119" s="17">
        <f>J119/H119</f>
        <v>0.232593037214886</v>
      </c>
      <c r="AE119" s="18">
        <f>I119/7.4/H119</f>
        <v>0.293109350891756</v>
      </c>
      <c r="AF119" s="18">
        <f>Z119/7.4/H119</f>
        <v>0.047316223786812</v>
      </c>
      <c r="AG119" s="18">
        <v>0.15</v>
      </c>
      <c r="AH119" s="18">
        <f>N119</f>
        <v>0.100040016006403</v>
      </c>
      <c r="AI119" s="18">
        <v>0.02</v>
      </c>
      <c r="AJ119" s="18">
        <f>M119</f>
        <v>0.02</v>
      </c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</row>
    <row r="120" ht="21" customHeight="1" spans="1:75">
      <c r="A120" s="15"/>
      <c r="B120" s="15"/>
      <c r="C120" s="15"/>
      <c r="D120" s="15"/>
      <c r="E120" s="20"/>
      <c r="F120" s="193"/>
      <c r="G120" s="193"/>
      <c r="H120" s="20"/>
      <c r="I120" s="193"/>
      <c r="J120" s="20"/>
      <c r="K120" s="18"/>
      <c r="L120" s="18"/>
      <c r="M120" s="18"/>
      <c r="N120" s="18"/>
      <c r="O120" s="195"/>
      <c r="P120" s="18"/>
      <c r="Q120" s="18"/>
      <c r="R120" s="14"/>
      <c r="S120" s="14"/>
      <c r="T120" s="14"/>
      <c r="U120" s="14"/>
      <c r="V120" s="193"/>
      <c r="W120" s="193"/>
      <c r="X120" s="20"/>
      <c r="Y120" s="196"/>
      <c r="Z120" s="193"/>
      <c r="AA120" s="193"/>
      <c r="AB120" s="195"/>
      <c r="AC120" s="14"/>
      <c r="AD120" s="17"/>
      <c r="AE120" s="18"/>
      <c r="AF120" s="18"/>
      <c r="AG120" s="18"/>
      <c r="AH120" s="18"/>
      <c r="AI120" s="18"/>
      <c r="AJ120" s="18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</row>
    <row r="121" spans="1:75">
      <c r="A121" s="200" t="s">
        <v>535</v>
      </c>
      <c r="B121" s="20">
        <v>8</v>
      </c>
      <c r="C121" s="14" t="s">
        <v>512</v>
      </c>
      <c r="D121" s="14" t="s">
        <v>513</v>
      </c>
      <c r="E121" s="20" t="s">
        <v>507</v>
      </c>
      <c r="F121" s="193">
        <f>IF(E121="有",(I121/B121+J121+Z121/B121)/(0.99999-K121-L121-M121-N121),(I121/B121+J121+Z121/B121)/(0.99999-K121-M121-N121))</f>
        <v>17.6713498394541</v>
      </c>
      <c r="G121" s="193">
        <f>IF(E121="有",(I121/B121+J121+Z121/B121)/(0.8-K121-L121-M121-N121-O121-P121),(I121/B121+J121+Z121/B121)/(0.8-K121-M121-N121-O121-P121))</f>
        <v>28.9618920380741</v>
      </c>
      <c r="H121" s="194">
        <v>24.99</v>
      </c>
      <c r="I121" s="193">
        <f>49/1.13</f>
        <v>43.3628318584071</v>
      </c>
      <c r="J121" s="14">
        <v>4.13</v>
      </c>
      <c r="K121" s="18">
        <v>0.15</v>
      </c>
      <c r="L121" s="18">
        <v>0.16</v>
      </c>
      <c r="M121" s="18">
        <v>0.02</v>
      </c>
      <c r="N121" s="18">
        <f>Q121/H121</f>
        <v>0.0800320128051221</v>
      </c>
      <c r="O121" s="195">
        <v>0.01</v>
      </c>
      <c r="P121" s="18">
        <v>0.02</v>
      </c>
      <c r="Q121" s="193">
        <v>2</v>
      </c>
      <c r="R121" s="14"/>
      <c r="S121" s="14"/>
      <c r="T121" s="14"/>
      <c r="U121" s="14"/>
      <c r="V121" s="193"/>
      <c r="W121" s="193"/>
      <c r="X121" s="14" t="s">
        <v>21</v>
      </c>
      <c r="Y121" s="196">
        <v>5.55136</v>
      </c>
      <c r="Z121" s="197">
        <v>7</v>
      </c>
      <c r="AA121" s="193">
        <f>H121-SUM(K121:P121)*H121-J121-I121/B121-Z121/B121</f>
        <v>3.56824601769911</v>
      </c>
      <c r="AB121" s="195">
        <f>AA121/H121</f>
        <v>0.142786955490161</v>
      </c>
      <c r="AC121" s="14"/>
      <c r="AD121" s="17">
        <f>J121/H121</f>
        <v>0.165266106442577</v>
      </c>
      <c r="AE121" s="18">
        <f>I121/7.4/H121</f>
        <v>0.234487480713405</v>
      </c>
      <c r="AF121" s="18">
        <f>Z121/7.4/H121</f>
        <v>0.0378529790294496</v>
      </c>
      <c r="AG121" s="18">
        <v>0.15</v>
      </c>
      <c r="AH121" s="18">
        <f>N121</f>
        <v>0.0800320128051221</v>
      </c>
      <c r="AI121" s="18">
        <v>0.02</v>
      </c>
      <c r="AJ121" s="18">
        <f>M121</f>
        <v>0.02</v>
      </c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</row>
    <row r="122" spans="1:75">
      <c r="A122" s="200" t="s">
        <v>536</v>
      </c>
      <c r="B122" s="20">
        <v>8</v>
      </c>
      <c r="C122" s="20" t="s">
        <v>512</v>
      </c>
      <c r="D122" s="20" t="s">
        <v>513</v>
      </c>
      <c r="E122" s="20" t="s">
        <v>507</v>
      </c>
      <c r="F122" s="193">
        <f>IF(E122="有",(I122/B122+J122+Z122/B122)/(0.99999-K122-L122-M122-N122),(I122/B122+J122+Z122/B122)/(0.99999-K122-M122-N122))</f>
        <v>17.9417866674396</v>
      </c>
      <c r="G122" s="193">
        <f>IF(E122="有",(I122/B122+J122+Z122/B122)/(0.8-K122-L122-M122-N122-O122-P122),(I122/B122+J122+Z122/B122)/(0.8-K122-M122-N122-O122-P122))</f>
        <v>29.6954722134043</v>
      </c>
      <c r="H122" s="194">
        <f>H121*0.9</f>
        <v>22.491</v>
      </c>
      <c r="I122" s="193">
        <f>49/1.13</f>
        <v>43.3628318584071</v>
      </c>
      <c r="J122" s="20">
        <v>4.13</v>
      </c>
      <c r="K122" s="18">
        <v>0.15</v>
      </c>
      <c r="L122" s="18">
        <v>0.16</v>
      </c>
      <c r="M122" s="18">
        <v>0.02</v>
      </c>
      <c r="N122" s="18">
        <f>Q122/H122</f>
        <v>0.0889244586723578</v>
      </c>
      <c r="O122" s="195">
        <v>0.01</v>
      </c>
      <c r="P122" s="18">
        <v>0.02</v>
      </c>
      <c r="Q122" s="193">
        <v>2</v>
      </c>
      <c r="R122" s="14"/>
      <c r="S122" s="14"/>
      <c r="T122" s="14"/>
      <c r="U122" s="14"/>
      <c r="V122" s="193"/>
      <c r="W122" s="193"/>
      <c r="X122" s="20" t="s">
        <v>21</v>
      </c>
      <c r="Y122" s="196">
        <v>5.55136</v>
      </c>
      <c r="Z122" s="197">
        <v>7</v>
      </c>
      <c r="AA122" s="193">
        <f>H122-SUM(K122:P122)*H122-J122-I122/B122-Z122/B122</f>
        <v>1.96888601769912</v>
      </c>
      <c r="AB122" s="195">
        <f>AA122/H122</f>
        <v>0.0875410616557341</v>
      </c>
      <c r="AC122" s="14"/>
      <c r="AD122" s="17">
        <f>J122/H122</f>
        <v>0.183629007158419</v>
      </c>
      <c r="AE122" s="18">
        <f>I122/B122/H122</f>
        <v>0.241001021844333</v>
      </c>
      <c r="AF122" s="18">
        <f>Z122/B122/H122</f>
        <v>0.0389044506691565</v>
      </c>
      <c r="AG122" s="18">
        <f>K122</f>
        <v>0.15</v>
      </c>
      <c r="AH122" s="18">
        <f>N122</f>
        <v>0.0889244586723578</v>
      </c>
      <c r="AI122" s="18">
        <v>0.02</v>
      </c>
      <c r="AJ122" s="18">
        <f>M122</f>
        <v>0.02</v>
      </c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</row>
    <row r="123" spans="1:75">
      <c r="A123" s="200" t="s">
        <v>537</v>
      </c>
      <c r="B123" s="20">
        <v>8</v>
      </c>
      <c r="C123" s="20" t="s">
        <v>512</v>
      </c>
      <c r="D123" s="20" t="s">
        <v>513</v>
      </c>
      <c r="E123" s="20" t="s">
        <v>507</v>
      </c>
      <c r="F123" s="193">
        <f>IF(E123="有",(I123/B123+J123+Z123/B123)/(0.99999-K123-L123-M123-N123),(I123/B123+J123+Z123/B123)/(0.99999-K123-M123-N123))</f>
        <v>18.1047688660441</v>
      </c>
      <c r="G123" s="193">
        <f>IF(E123="有",(I123/B123+J123+Z123/B123)/(0.8-K123-L123-M123-N123-O123-P123),(I123/B123+J123+Z123/B123)/(0.8-K123-M123-N123-O123-P123))</f>
        <v>30.1446118998027</v>
      </c>
      <c r="H123" s="201">
        <f>H121*0.85</f>
        <v>21.2415</v>
      </c>
      <c r="I123" s="193">
        <f>49/1.13</f>
        <v>43.3628318584071</v>
      </c>
      <c r="J123" s="20">
        <v>4.13</v>
      </c>
      <c r="K123" s="18">
        <v>0.15</v>
      </c>
      <c r="L123" s="18">
        <v>0.16</v>
      </c>
      <c r="M123" s="18">
        <v>0.02</v>
      </c>
      <c r="N123" s="18">
        <f>Q123/H123</f>
        <v>0.0941553091824965</v>
      </c>
      <c r="O123" s="195">
        <v>0.01</v>
      </c>
      <c r="P123" s="18">
        <v>0.02</v>
      </c>
      <c r="Q123" s="193">
        <v>2</v>
      </c>
      <c r="R123" s="14"/>
      <c r="S123" s="14"/>
      <c r="T123" s="14"/>
      <c r="U123" s="14"/>
      <c r="V123" s="193"/>
      <c r="W123" s="193"/>
      <c r="X123" s="20" t="s">
        <v>21</v>
      </c>
      <c r="Y123" s="196">
        <v>5.55136</v>
      </c>
      <c r="Z123" s="197">
        <v>7</v>
      </c>
      <c r="AA123" s="193">
        <f>H123-SUM(K123:P123)*H123-J123-I123/B123-Z123/B123</f>
        <v>1.16920601769911</v>
      </c>
      <c r="AB123" s="195">
        <f>AA123/H123</f>
        <v>0.0550434770472477</v>
      </c>
      <c r="AC123" s="14"/>
      <c r="AD123" s="17">
        <f>J123/H123</f>
        <v>0.194430713461855</v>
      </c>
      <c r="AE123" s="18">
        <f>I123/B123/H123</f>
        <v>0.255177552541058</v>
      </c>
      <c r="AF123" s="18">
        <f>Z123/B123/H123</f>
        <v>0.0411929477673422</v>
      </c>
      <c r="AG123" s="18">
        <f>K123</f>
        <v>0.15</v>
      </c>
      <c r="AH123" s="18">
        <f>N123</f>
        <v>0.0941553091824965</v>
      </c>
      <c r="AI123" s="18">
        <v>0.02</v>
      </c>
      <c r="AJ123" s="18">
        <f>M123</f>
        <v>0.02</v>
      </c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</row>
    <row r="124" spans="1:75">
      <c r="A124" s="200" t="s">
        <v>538</v>
      </c>
      <c r="B124" s="20">
        <v>8</v>
      </c>
      <c r="C124" s="20" t="s">
        <v>512</v>
      </c>
      <c r="D124" s="20" t="s">
        <v>513</v>
      </c>
      <c r="E124" s="20" t="s">
        <v>507</v>
      </c>
      <c r="F124" s="193">
        <f>IF(E124="有",(I124/B124+J124+Z124/B124)/(0.99999-K124-L124-M124-N124),(I124/B124+J124+Z124/B124)/(0.99999-K124-M124-N124))</f>
        <v>18.2916997545139</v>
      </c>
      <c r="G124" s="193">
        <f>IF(E124="有",(I124/B124+J124+Z124/B124)/(0.8-K124-L124-M124-N124-O124-P124),(I124/B124+J124+Z124/B124)/(0.8-K124-M124-N124-O124-P124))</f>
        <v>30.6664150875393</v>
      </c>
      <c r="H124" s="194">
        <f>H121*0.8</f>
        <v>19.992</v>
      </c>
      <c r="I124" s="193">
        <f>49/1.13</f>
        <v>43.3628318584071</v>
      </c>
      <c r="J124" s="20">
        <v>4.13</v>
      </c>
      <c r="K124" s="18">
        <v>0.15</v>
      </c>
      <c r="L124" s="18">
        <v>0.16</v>
      </c>
      <c r="M124" s="18">
        <v>0.02</v>
      </c>
      <c r="N124" s="18">
        <f>Q124/H124</f>
        <v>0.100040016006403</v>
      </c>
      <c r="O124" s="195">
        <v>0.01</v>
      </c>
      <c r="P124" s="18">
        <v>0.02</v>
      </c>
      <c r="Q124" s="193">
        <v>2</v>
      </c>
      <c r="R124" s="14"/>
      <c r="S124" s="14"/>
      <c r="T124" s="14"/>
      <c r="U124" s="14"/>
      <c r="V124" s="193"/>
      <c r="W124" s="193"/>
      <c r="X124" s="20" t="s">
        <v>21</v>
      </c>
      <c r="Y124" s="196">
        <v>5.55136</v>
      </c>
      <c r="Z124" s="197">
        <v>7</v>
      </c>
      <c r="AA124" s="193">
        <f>H124-SUM(K124:P124)*H124-J124-I124/B124-Z124/B124</f>
        <v>0.369526017699114</v>
      </c>
      <c r="AB124" s="195">
        <f>AA124/H124</f>
        <v>0.0184836943627008</v>
      </c>
      <c r="AC124" s="14"/>
      <c r="AD124" s="17">
        <f>J124/H124</f>
        <v>0.206582633053221</v>
      </c>
      <c r="AE124" s="18">
        <f>I124/7.4/H124</f>
        <v>0.293109350891756</v>
      </c>
      <c r="AF124" s="18">
        <f>Z124/7.4/H124</f>
        <v>0.047316223786812</v>
      </c>
      <c r="AG124" s="18">
        <v>0.15</v>
      </c>
      <c r="AH124" s="18">
        <f>N124</f>
        <v>0.100040016006403</v>
      </c>
      <c r="AI124" s="18">
        <v>0.02</v>
      </c>
      <c r="AJ124" s="18">
        <f>M124</f>
        <v>0.02</v>
      </c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</row>
    <row r="125" ht="21" customHeight="1" spans="1:75">
      <c r="A125" s="15"/>
      <c r="B125" s="15"/>
      <c r="C125" s="15"/>
      <c r="D125" s="15"/>
      <c r="E125" s="20"/>
      <c r="F125" s="193"/>
      <c r="G125" s="193"/>
      <c r="H125" s="20"/>
      <c r="I125" s="193"/>
      <c r="J125" s="20"/>
      <c r="K125" s="18"/>
      <c r="L125" s="18"/>
      <c r="M125" s="18"/>
      <c r="N125" s="18"/>
      <c r="O125" s="195"/>
      <c r="P125" s="18"/>
      <c r="Q125" s="18"/>
      <c r="R125" s="14"/>
      <c r="S125" s="14"/>
      <c r="T125" s="14"/>
      <c r="U125" s="14"/>
      <c r="V125" s="193"/>
      <c r="W125" s="193"/>
      <c r="X125" s="20"/>
      <c r="Y125" s="196"/>
      <c r="Z125" s="193"/>
      <c r="AA125" s="193"/>
      <c r="AB125" s="195"/>
      <c r="AC125" s="14"/>
      <c r="AD125" s="17"/>
      <c r="AE125" s="18"/>
      <c r="AF125" s="18"/>
      <c r="AG125" s="18"/>
      <c r="AH125" s="18"/>
      <c r="AI125" s="18"/>
      <c r="AJ125" s="18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</row>
    <row r="126" spans="1:75">
      <c r="A126" s="200" t="s">
        <v>535</v>
      </c>
      <c r="B126" s="20">
        <v>8</v>
      </c>
      <c r="C126" s="14" t="s">
        <v>515</v>
      </c>
      <c r="D126" s="14" t="s">
        <v>516</v>
      </c>
      <c r="E126" s="20" t="s">
        <v>507</v>
      </c>
      <c r="F126" s="193">
        <f>IF(E126="有",(I126/B126+J126+Z126/B126)/(0.99999-K126-L126-M126-N126),(I126/B126+J126+Z126/B126)/(0.99999-K126-M126-N126))</f>
        <v>17.1119879744354</v>
      </c>
      <c r="G126" s="193">
        <f>IF(E126="有",(I126/B126+J126+Z126/B126)/(0.8-K126-L126-M126-N126-O126-P126),(I126/B126+J126+Z126/B126)/(0.8-K126-M126-N126-O126-P126))</f>
        <v>28.0451438500711</v>
      </c>
      <c r="H126" s="194">
        <v>24.99</v>
      </c>
      <c r="I126" s="193">
        <f>49/1.13</f>
        <v>43.3628318584071</v>
      </c>
      <c r="J126" s="14">
        <v>3.8</v>
      </c>
      <c r="K126" s="18">
        <v>0.15</v>
      </c>
      <c r="L126" s="18">
        <v>0.16</v>
      </c>
      <c r="M126" s="18">
        <v>0.02</v>
      </c>
      <c r="N126" s="18">
        <f>Q126/H126</f>
        <v>0.0800320128051221</v>
      </c>
      <c r="O126" s="195">
        <v>0.01</v>
      </c>
      <c r="P126" s="18">
        <v>0.02</v>
      </c>
      <c r="Q126" s="193">
        <v>2</v>
      </c>
      <c r="R126" s="14"/>
      <c r="S126" s="14"/>
      <c r="T126" s="14"/>
      <c r="U126" s="14"/>
      <c r="V126" s="193"/>
      <c r="W126" s="193"/>
      <c r="X126" s="14" t="s">
        <v>21</v>
      </c>
      <c r="Y126" s="196">
        <v>5.55136</v>
      </c>
      <c r="Z126" s="197">
        <v>7</v>
      </c>
      <c r="AA126" s="193">
        <f>H126-SUM(K126:P126)*H126-J126-I126/B126-Z126/B126</f>
        <v>3.89824601769911</v>
      </c>
      <c r="AB126" s="195">
        <f>AA126/H126</f>
        <v>0.155992237603006</v>
      </c>
      <c r="AC126" s="14"/>
      <c r="AD126" s="17">
        <f>J126/H126</f>
        <v>0.152060824329732</v>
      </c>
      <c r="AE126" s="18">
        <f>I126/7.4/H126</f>
        <v>0.234487480713405</v>
      </c>
      <c r="AF126" s="18">
        <f>Z126/7.4/H126</f>
        <v>0.0378529790294496</v>
      </c>
      <c r="AG126" s="18">
        <v>0.15</v>
      </c>
      <c r="AH126" s="18">
        <f>N126</f>
        <v>0.0800320128051221</v>
      </c>
      <c r="AI126" s="18">
        <v>0.02</v>
      </c>
      <c r="AJ126" s="18">
        <f>M126</f>
        <v>0.02</v>
      </c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</row>
    <row r="127" spans="1:75">
      <c r="A127" s="200" t="s">
        <v>536</v>
      </c>
      <c r="B127" s="20">
        <v>8</v>
      </c>
      <c r="C127" s="20" t="s">
        <v>515</v>
      </c>
      <c r="D127" s="20" t="s">
        <v>516</v>
      </c>
      <c r="E127" s="20" t="s">
        <v>507</v>
      </c>
      <c r="F127" s="193">
        <f>IF(E127="有",(I127/B127+J127+Z127/B127)/(0.99999-K127-L127-M127-N127),(I127/B127+J127+Z127/B127)/(0.99999-K127-M127-N127))</f>
        <v>17.3738645028487</v>
      </c>
      <c r="G127" s="193">
        <f>IF(E127="有",(I127/B127+J127+Z127/B127)/(0.8-K127-L127-M127-N127-O127-P127),(I127/B127+J127+Z127/B127)/(0.8-K127-M127-N127-O127-P127))</f>
        <v>28.7555035708949</v>
      </c>
      <c r="H127" s="194">
        <f>H126*0.9</f>
        <v>22.491</v>
      </c>
      <c r="I127" s="193">
        <f>49/1.13</f>
        <v>43.3628318584071</v>
      </c>
      <c r="J127" s="20">
        <v>3.8</v>
      </c>
      <c r="K127" s="18">
        <v>0.15</v>
      </c>
      <c r="L127" s="18">
        <v>0.16</v>
      </c>
      <c r="M127" s="18">
        <v>0.02</v>
      </c>
      <c r="N127" s="18">
        <f>Q127/H127</f>
        <v>0.0889244586723578</v>
      </c>
      <c r="O127" s="195">
        <v>0.01</v>
      </c>
      <c r="P127" s="18">
        <v>0.02</v>
      </c>
      <c r="Q127" s="193">
        <v>2</v>
      </c>
      <c r="R127" s="14"/>
      <c r="S127" s="14"/>
      <c r="T127" s="14"/>
      <c r="U127" s="14"/>
      <c r="V127" s="193"/>
      <c r="W127" s="193"/>
      <c r="X127" s="20" t="s">
        <v>21</v>
      </c>
      <c r="Y127" s="196">
        <v>5.55136</v>
      </c>
      <c r="Z127" s="197">
        <v>7</v>
      </c>
      <c r="AA127" s="193">
        <f>H127-SUM(K127:P127)*H127-J127-I127/B127-Z127/B127</f>
        <v>2.29888601769911</v>
      </c>
      <c r="AB127" s="195">
        <f>AA127/H127</f>
        <v>0.102213597336673</v>
      </c>
      <c r="AC127" s="14"/>
      <c r="AD127" s="17">
        <f>J127/H127</f>
        <v>0.16895647147748</v>
      </c>
      <c r="AE127" s="18">
        <f>I127/B127/H127</f>
        <v>0.241001021844333</v>
      </c>
      <c r="AF127" s="18">
        <f>Z127/B127/H127</f>
        <v>0.0389044506691565</v>
      </c>
      <c r="AG127" s="18">
        <f>K127</f>
        <v>0.15</v>
      </c>
      <c r="AH127" s="18">
        <f>N127</f>
        <v>0.0889244586723578</v>
      </c>
      <c r="AI127" s="18">
        <v>0.02</v>
      </c>
      <c r="AJ127" s="18">
        <f>M127</f>
        <v>0.02</v>
      </c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</row>
    <row r="128" spans="1:75">
      <c r="A128" s="200" t="s">
        <v>537</v>
      </c>
      <c r="B128" s="20">
        <v>8</v>
      </c>
      <c r="C128" s="20" t="s">
        <v>515</v>
      </c>
      <c r="D128" s="20" t="s">
        <v>516</v>
      </c>
      <c r="E128" s="20" t="s">
        <v>507</v>
      </c>
      <c r="F128" s="193">
        <f>IF(E128="有",(I128/B128+J128+Z128/B128)/(0.99999-K128-L128-M128-N128),(I128/B128+J128+Z128/B128)/(0.99999-K128-M128-N128))</f>
        <v>17.531687727894</v>
      </c>
      <c r="G128" s="193">
        <f>IF(E128="有",(I128/B128+J128+Z128/B128)/(0.8-K128-L128-M128-N128-O128-P128),(I128/B128+J128+Z128/B128)/(0.8-K128-M128-N128-O128-P128))</f>
        <v>29.1904263686616</v>
      </c>
      <c r="H128" s="201">
        <f>H126*0.85</f>
        <v>21.2415</v>
      </c>
      <c r="I128" s="193">
        <f>49/1.13</f>
        <v>43.3628318584071</v>
      </c>
      <c r="J128" s="20">
        <v>3.8</v>
      </c>
      <c r="K128" s="18">
        <v>0.15</v>
      </c>
      <c r="L128" s="18">
        <v>0.16</v>
      </c>
      <c r="M128" s="18">
        <v>0.02</v>
      </c>
      <c r="N128" s="18">
        <f>Q128/H128</f>
        <v>0.0941553091824965</v>
      </c>
      <c r="O128" s="195">
        <v>0.01</v>
      </c>
      <c r="P128" s="18">
        <v>0.02</v>
      </c>
      <c r="Q128" s="193">
        <v>2</v>
      </c>
      <c r="R128" s="14"/>
      <c r="S128" s="14"/>
      <c r="T128" s="14"/>
      <c r="U128" s="14"/>
      <c r="V128" s="193"/>
      <c r="W128" s="193"/>
      <c r="X128" s="20" t="s">
        <v>21</v>
      </c>
      <c r="Y128" s="196">
        <v>5.55136</v>
      </c>
      <c r="Z128" s="197">
        <v>7</v>
      </c>
      <c r="AA128" s="193">
        <f>H128-SUM(K128:P128)*H128-J128-I128/B128-Z128/B128</f>
        <v>1.49920601769911</v>
      </c>
      <c r="AB128" s="195">
        <f>AA128/H128</f>
        <v>0.0705791030623596</v>
      </c>
      <c r="AC128" s="14"/>
      <c r="AD128" s="17">
        <f>J128/H128</f>
        <v>0.178895087446743</v>
      </c>
      <c r="AE128" s="18">
        <f>I128/B128/H128</f>
        <v>0.255177552541058</v>
      </c>
      <c r="AF128" s="18">
        <f>Z128/B128/H128</f>
        <v>0.0411929477673422</v>
      </c>
      <c r="AG128" s="18">
        <f>K128</f>
        <v>0.15</v>
      </c>
      <c r="AH128" s="18">
        <f>N128</f>
        <v>0.0941553091824965</v>
      </c>
      <c r="AI128" s="18">
        <v>0.02</v>
      </c>
      <c r="AJ128" s="18">
        <f>M128</f>
        <v>0.02</v>
      </c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</row>
    <row r="129" spans="1:75">
      <c r="A129" s="200" t="s">
        <v>538</v>
      </c>
      <c r="B129" s="20">
        <v>8</v>
      </c>
      <c r="C129" s="20" t="s">
        <v>515</v>
      </c>
      <c r="D129" s="20" t="s">
        <v>516</v>
      </c>
      <c r="E129" s="20" t="s">
        <v>507</v>
      </c>
      <c r="F129" s="193">
        <f>IF(E129="有",(I129/B129+J129+Z129/B129)/(0.99999-K129-L129-M129-N129),(I129/B129+J129+Z129/B129)/(0.99999-K129-M129-N129))</f>
        <v>17.7127015805203</v>
      </c>
      <c r="G129" s="193">
        <f>IF(E129="有",(I129/B129+J129+Z129/B129)/(0.8-K129-L129-M129-N129-O129-P129),(I129/B129+J129+Z129/B129)/(0.8-K129-M129-N129-O129-P129))</f>
        <v>29.6957126062549</v>
      </c>
      <c r="H129" s="194">
        <f>H126*0.8</f>
        <v>19.992</v>
      </c>
      <c r="I129" s="193">
        <f>49/1.13</f>
        <v>43.3628318584071</v>
      </c>
      <c r="J129" s="20">
        <v>3.8</v>
      </c>
      <c r="K129" s="18">
        <v>0.15</v>
      </c>
      <c r="L129" s="18">
        <v>0.16</v>
      </c>
      <c r="M129" s="18">
        <v>0.02</v>
      </c>
      <c r="N129" s="18">
        <f>Q129/H129</f>
        <v>0.100040016006403</v>
      </c>
      <c r="O129" s="195">
        <v>0.01</v>
      </c>
      <c r="P129" s="18">
        <v>0.02</v>
      </c>
      <c r="Q129" s="193">
        <v>2</v>
      </c>
      <c r="R129" s="14"/>
      <c r="S129" s="14"/>
      <c r="T129" s="14"/>
      <c r="U129" s="14"/>
      <c r="V129" s="193"/>
      <c r="W129" s="193"/>
      <c r="X129" s="20" t="s">
        <v>21</v>
      </c>
      <c r="Y129" s="196">
        <v>5.55136</v>
      </c>
      <c r="Z129" s="197">
        <v>7</v>
      </c>
      <c r="AA129" s="193">
        <f>H129-SUM(K129:P129)*H129-J129-I129/B129-Z129/B129</f>
        <v>0.699526017699114</v>
      </c>
      <c r="AB129" s="195">
        <f>AA129/H129</f>
        <v>0.0349902970037572</v>
      </c>
      <c r="AC129" s="14"/>
      <c r="AD129" s="17">
        <f>J129/H129</f>
        <v>0.190076030412165</v>
      </c>
      <c r="AE129" s="18">
        <f>I129/7.4/H129</f>
        <v>0.293109350891756</v>
      </c>
      <c r="AF129" s="18">
        <f>Z129/7.4/H129</f>
        <v>0.047316223786812</v>
      </c>
      <c r="AG129" s="18">
        <v>0.15</v>
      </c>
      <c r="AH129" s="18">
        <f>N129</f>
        <v>0.100040016006403</v>
      </c>
      <c r="AI129" s="18">
        <v>0.02</v>
      </c>
      <c r="AJ129" s="18">
        <f>M129</f>
        <v>0.02</v>
      </c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</row>
    <row r="130" spans="1:75">
      <c r="A130" s="15"/>
      <c r="B130" s="14"/>
      <c r="C130" s="20"/>
      <c r="D130" s="20"/>
      <c r="E130" s="20"/>
      <c r="F130" s="193"/>
      <c r="G130" s="193"/>
      <c r="H130" s="14"/>
      <c r="I130" s="193"/>
      <c r="J130" s="20"/>
      <c r="K130" s="18"/>
      <c r="L130" s="18"/>
      <c r="M130" s="18"/>
      <c r="N130" s="18"/>
      <c r="O130" s="195"/>
      <c r="P130" s="18"/>
      <c r="Q130" s="18"/>
      <c r="R130" s="14"/>
      <c r="S130" s="14"/>
      <c r="T130" s="14"/>
      <c r="U130" s="14"/>
      <c r="V130" s="193"/>
      <c r="W130" s="193"/>
      <c r="X130" s="14"/>
      <c r="Y130" s="196"/>
      <c r="Z130" s="193"/>
      <c r="AA130" s="193"/>
      <c r="AB130" s="195"/>
      <c r="AC130" s="14"/>
      <c r="AD130" s="17"/>
      <c r="AE130" s="18"/>
      <c r="AF130" s="18"/>
      <c r="AG130" s="18"/>
      <c r="AH130" s="18"/>
      <c r="AI130" s="18"/>
      <c r="AJ130" s="18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</row>
    <row r="131" spans="1:75">
      <c r="A131" s="200" t="s">
        <v>535</v>
      </c>
      <c r="B131" s="14">
        <v>9</v>
      </c>
      <c r="C131" s="20" t="s">
        <v>517</v>
      </c>
      <c r="D131" s="20" t="s">
        <v>300</v>
      </c>
      <c r="E131" s="20" t="s">
        <v>507</v>
      </c>
      <c r="F131" s="193">
        <f>IF(E131="有",(I131/B131+J131+Z131/B131)/(0.99999-K131-L131-M131-N131),(I131/B131+J131+Z131/B131)/(0.99999-K131-M131-N131))</f>
        <v>15.3008798617447</v>
      </c>
      <c r="G131" s="193">
        <f>IF(E131="有",(I131/B131+J131+Z131/B131)/(0.8-K131-L131-M131-N131-O131-P131),(I131/B131+J131+Z131/B131)/(0.8-K131-M131-N131-O131-P131))</f>
        <v>28.1760404599997</v>
      </c>
      <c r="H131" s="194">
        <v>15.99</v>
      </c>
      <c r="I131" s="193">
        <f>49/1.13</f>
        <v>43.3628318584071</v>
      </c>
      <c r="J131" s="14">
        <v>2.77</v>
      </c>
      <c r="K131" s="18">
        <v>0.15</v>
      </c>
      <c r="L131" s="18">
        <v>0.16</v>
      </c>
      <c r="M131" s="203">
        <v>0</v>
      </c>
      <c r="N131" s="18">
        <f>Q131/H131</f>
        <v>0.125078173858662</v>
      </c>
      <c r="O131" s="195">
        <f>0.61/H131</f>
        <v>0.0381488430268918</v>
      </c>
      <c r="P131" s="18">
        <v>0.02</v>
      </c>
      <c r="Q131" s="193">
        <v>2</v>
      </c>
      <c r="R131" s="14">
        <v>33.5</v>
      </c>
      <c r="S131" s="14">
        <v>26.5</v>
      </c>
      <c r="T131" s="14">
        <v>25</v>
      </c>
      <c r="U131" s="14">
        <v>2.3</v>
      </c>
      <c r="V131" s="193">
        <f>R131*S131*T131/6000</f>
        <v>3.69895833333333</v>
      </c>
      <c r="W131" s="193">
        <f>MAX(U131:V131)</f>
        <v>3.69895833333333</v>
      </c>
      <c r="X131" s="20" t="s">
        <v>21</v>
      </c>
      <c r="Y131" s="196">
        <v>6.084</v>
      </c>
      <c r="Z131" s="197">
        <v>9.5</v>
      </c>
      <c r="AA131" s="193">
        <f>H131-SUM(K131:P131)*H131-J131-I131/B131-Z131/B131</f>
        <v>-0.540347984267452</v>
      </c>
      <c r="AB131" s="195">
        <f>AA131/H131</f>
        <v>-0.0337928695601909</v>
      </c>
      <c r="AC131" s="14"/>
      <c r="AD131" s="17">
        <f>J131/H131</f>
        <v>0.173233270794246</v>
      </c>
      <c r="AE131" s="18">
        <f>I131/7.4/H131</f>
        <v>0.366469177174983</v>
      </c>
      <c r="AF131" s="18">
        <f>Z131/7.4/H131</f>
        <v>0.0802866656525193</v>
      </c>
      <c r="AG131" s="18">
        <v>0.15</v>
      </c>
      <c r="AH131" s="18">
        <f>N131</f>
        <v>0.125078173858662</v>
      </c>
      <c r="AI131" s="18">
        <v>0.02</v>
      </c>
      <c r="AJ131" s="18">
        <f>M131</f>
        <v>0</v>
      </c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</row>
    <row r="132" spans="1:75">
      <c r="A132" s="200" t="s">
        <v>536</v>
      </c>
      <c r="B132" s="14">
        <v>9</v>
      </c>
      <c r="C132" s="20" t="s">
        <v>517</v>
      </c>
      <c r="D132" s="20" t="s">
        <v>300</v>
      </c>
      <c r="E132" s="20" t="s">
        <v>507</v>
      </c>
      <c r="F132" s="193">
        <f>IF(E132="有",(I132/B132+J132+Z132/B132)/(0.99999-K132-L132-M132-N132),(I132/B132+J132+Z132/B132)/(0.99999-K132-M132-N132))</f>
        <v>16.2776195998976</v>
      </c>
      <c r="G132" s="193">
        <f>IF(E132="有",(I132/B132+J132+Z132/B132)/(0.8-K132-L132-M132-N132-O132-P132),(I132/B132+J132+Z132/B132)/(0.8-K132-M132-N132-O132-P132))</f>
        <v>32.1759821367563</v>
      </c>
      <c r="H132" s="194">
        <f>H131*0.9</f>
        <v>14.391</v>
      </c>
      <c r="I132" s="193">
        <f>49/1.13</f>
        <v>43.3628318584071</v>
      </c>
      <c r="J132" s="20">
        <v>2.77</v>
      </c>
      <c r="K132" s="18">
        <v>0.15</v>
      </c>
      <c r="L132" s="18">
        <v>0.16</v>
      </c>
      <c r="M132" s="18">
        <v>0.02</v>
      </c>
      <c r="N132" s="18">
        <f>Q132/H132</f>
        <v>0.138975748731846</v>
      </c>
      <c r="O132" s="195">
        <f>0.61/H132</f>
        <v>0.0423876033632131</v>
      </c>
      <c r="P132" s="18">
        <v>0.02</v>
      </c>
      <c r="Q132" s="193">
        <v>2</v>
      </c>
      <c r="R132" s="14">
        <v>33.5</v>
      </c>
      <c r="S132" s="14">
        <v>26.5</v>
      </c>
      <c r="T132" s="14">
        <v>25</v>
      </c>
      <c r="U132" s="14">
        <v>2.3</v>
      </c>
      <c r="V132" s="193">
        <f>R132*S132*T132/6000</f>
        <v>3.69895833333333</v>
      </c>
      <c r="W132" s="193">
        <f>MAX(U132:V132)</f>
        <v>3.69895833333333</v>
      </c>
      <c r="X132" s="20" t="s">
        <v>21</v>
      </c>
      <c r="Y132" s="196">
        <v>6.084</v>
      </c>
      <c r="Z132" s="197">
        <v>9.5</v>
      </c>
      <c r="AA132" s="193">
        <f>H132-SUM(K132:P132)*H132-J132-I132/B132-Z132/B132</f>
        <v>-1.89949798426745</v>
      </c>
      <c r="AB132" s="195">
        <f>AA132/H132</f>
        <v>-0.131992077289101</v>
      </c>
      <c r="AC132" s="14"/>
      <c r="AD132" s="17">
        <f>J132/H132</f>
        <v>0.192481411993607</v>
      </c>
      <c r="AE132" s="18">
        <f>I132/7.4/H132</f>
        <v>0.40718797463887</v>
      </c>
      <c r="AF132" s="18">
        <f>Z132/7.4/H132</f>
        <v>0.089207406280577</v>
      </c>
      <c r="AG132" s="18">
        <v>0.15</v>
      </c>
      <c r="AH132" s="18">
        <f>N132</f>
        <v>0.138975748731846</v>
      </c>
      <c r="AI132" s="18">
        <v>0.02</v>
      </c>
      <c r="AJ132" s="18">
        <f>M132</f>
        <v>0.02</v>
      </c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</row>
    <row r="133" spans="1:75">
      <c r="A133" s="200" t="s">
        <v>537</v>
      </c>
      <c r="B133" s="14">
        <v>9</v>
      </c>
      <c r="C133" s="20" t="s">
        <v>517</v>
      </c>
      <c r="D133" s="20" t="s">
        <v>300</v>
      </c>
      <c r="E133" s="20" t="s">
        <v>507</v>
      </c>
      <c r="F133" s="193">
        <f>IF(E133="有",(I133/B133+J133+Z133/B133)/(0.99999-K133-L133-M133-N133),(I133/B133+J133+Z133/B133)/(0.99999-K133-M133-N133))</f>
        <v>16.5321342868344</v>
      </c>
      <c r="G133" s="193">
        <f>IF(E133="有",(I133/B133+J133+Z133/B133)/(0.8-K133-L133-M133-N133-O133-P133),(I133/B133+J133+Z133/B133)/(0.8-K133-M133-N133-O133-P133))</f>
        <v>33.5066394513027</v>
      </c>
      <c r="H133" s="201">
        <f>H131*0.85</f>
        <v>13.5915</v>
      </c>
      <c r="I133" s="193">
        <f>49/1.13</f>
        <v>43.3628318584071</v>
      </c>
      <c r="J133" s="20">
        <v>2.77</v>
      </c>
      <c r="K133" s="18">
        <v>0.15</v>
      </c>
      <c r="L133" s="18">
        <v>0.16</v>
      </c>
      <c r="M133" s="18">
        <v>0.02</v>
      </c>
      <c r="N133" s="18">
        <f>Q133/H133</f>
        <v>0.147150792774896</v>
      </c>
      <c r="O133" s="195">
        <f>0.61/H133</f>
        <v>0.0448809917963433</v>
      </c>
      <c r="P133" s="18">
        <v>0.02</v>
      </c>
      <c r="Q133" s="193">
        <v>2</v>
      </c>
      <c r="R133" s="14">
        <v>33.5</v>
      </c>
      <c r="S133" s="14">
        <v>26.5</v>
      </c>
      <c r="T133" s="14">
        <v>25</v>
      </c>
      <c r="U133" s="14">
        <v>2.3</v>
      </c>
      <c r="V133" s="193">
        <f>R133*S133*T133/6000</f>
        <v>3.69895833333333</v>
      </c>
      <c r="W133" s="193">
        <f>MAX(U133:V133)</f>
        <v>3.69895833333333</v>
      </c>
      <c r="X133" s="20" t="s">
        <v>21</v>
      </c>
      <c r="Y133" s="196">
        <v>6.084</v>
      </c>
      <c r="Z133" s="197">
        <v>9.5</v>
      </c>
      <c r="AA133" s="193">
        <f>H133-SUM(K133:P133)*H133-J133-I133/B133-Z133/B133</f>
        <v>-2.41917298426745</v>
      </c>
      <c r="AB133" s="195">
        <f>AA133/H133</f>
        <v>-0.177991611247284</v>
      </c>
      <c r="AC133" s="14"/>
      <c r="AD133" s="17">
        <f>J133/H133</f>
        <v>0.203803847993231</v>
      </c>
      <c r="AE133" s="18">
        <f>I133/7.4/H133</f>
        <v>0.431140208441157</v>
      </c>
      <c r="AF133" s="18">
        <f>Z133/7.4/H133</f>
        <v>0.0944549007676698</v>
      </c>
      <c r="AG133" s="18">
        <v>0.15</v>
      </c>
      <c r="AH133" s="18">
        <f>N133</f>
        <v>0.147150792774896</v>
      </c>
      <c r="AI133" s="18">
        <v>0.02</v>
      </c>
      <c r="AJ133" s="18">
        <f>M133</f>
        <v>0.02</v>
      </c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</row>
    <row r="134" spans="1:75">
      <c r="A134" s="200" t="s">
        <v>538</v>
      </c>
      <c r="B134" s="14">
        <v>9</v>
      </c>
      <c r="C134" s="20" t="s">
        <v>517</v>
      </c>
      <c r="D134" s="20" t="s">
        <v>300</v>
      </c>
      <c r="E134" s="20" t="s">
        <v>507</v>
      </c>
      <c r="F134" s="193">
        <f>IF(E134="有",(I134/B134+J134+Z134/B134)/(0.99999-K134-L134-M134-N134),(I134/B134+J134+Z134/B134)/(0.99999-K134-M134-N134))</f>
        <v>16.8281472841839</v>
      </c>
      <c r="G134" s="193">
        <f>IF(E134="有",(I134/B134+J134+Z134/B134)/(0.8-K134-L134-M134-N134-O134-P134),(I134/B134+J134+Z134/B134)/(0.8-K134-M134-N134-O134-P134))</f>
        <v>35.1416046957632</v>
      </c>
      <c r="H134" s="194">
        <f>H131*0.8</f>
        <v>12.792</v>
      </c>
      <c r="I134" s="193">
        <f>49/1.13</f>
        <v>43.3628318584071</v>
      </c>
      <c r="J134" s="20">
        <v>2.77</v>
      </c>
      <c r="K134" s="18">
        <v>0.15</v>
      </c>
      <c r="L134" s="18">
        <v>0.16</v>
      </c>
      <c r="M134" s="18">
        <v>0.02</v>
      </c>
      <c r="N134" s="18">
        <f>Q134/H134</f>
        <v>0.156347717323327</v>
      </c>
      <c r="O134" s="195">
        <f>0.61/H134</f>
        <v>0.0476860537836148</v>
      </c>
      <c r="P134" s="18">
        <v>0.02</v>
      </c>
      <c r="Q134" s="193">
        <v>2</v>
      </c>
      <c r="R134" s="14">
        <v>33.5</v>
      </c>
      <c r="S134" s="14">
        <v>26.5</v>
      </c>
      <c r="T134" s="14">
        <v>25</v>
      </c>
      <c r="U134" s="14">
        <v>2.3</v>
      </c>
      <c r="V134" s="193">
        <f>R134*S134*T134/6000</f>
        <v>3.69895833333333</v>
      </c>
      <c r="W134" s="193">
        <f>MAX(U134:V134)</f>
        <v>3.69895833333333</v>
      </c>
      <c r="X134" s="20" t="s">
        <v>21</v>
      </c>
      <c r="Y134" s="196">
        <v>6.084</v>
      </c>
      <c r="Z134" s="197">
        <v>9.5</v>
      </c>
      <c r="AA134" s="193">
        <f>H134-SUM(K134:P134)*H134-J134-I134/B134-Z134/B134</f>
        <v>-2.93884798426745</v>
      </c>
      <c r="AB134" s="195">
        <f>AA134/H134</f>
        <v>-0.229741086950239</v>
      </c>
      <c r="AC134" s="14"/>
      <c r="AD134" s="17">
        <f>J134/H134</f>
        <v>0.216541588492808</v>
      </c>
      <c r="AE134" s="18">
        <f>I134/7.4/H134</f>
        <v>0.458086471468729</v>
      </c>
      <c r="AF134" s="18">
        <f>Z134/7.4/H134</f>
        <v>0.100358332065649</v>
      </c>
      <c r="AG134" s="18">
        <v>0.15</v>
      </c>
      <c r="AH134" s="18">
        <f>N134</f>
        <v>0.156347717323327</v>
      </c>
      <c r="AI134" s="18">
        <v>0.02</v>
      </c>
      <c r="AJ134" s="18">
        <f>M134</f>
        <v>0.02</v>
      </c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</row>
    <row r="135" spans="1:75">
      <c r="A135" s="15"/>
      <c r="B135" s="14"/>
      <c r="C135" s="20"/>
      <c r="D135" s="20"/>
      <c r="E135" s="20"/>
      <c r="F135" s="193"/>
      <c r="G135" s="193"/>
      <c r="H135" s="14"/>
      <c r="I135" s="193"/>
      <c r="J135" s="20"/>
      <c r="K135" s="18"/>
      <c r="L135" s="18"/>
      <c r="M135" s="18"/>
      <c r="N135" s="18"/>
      <c r="O135" s="195"/>
      <c r="P135" s="18"/>
      <c r="Q135" s="18"/>
      <c r="R135" s="14"/>
      <c r="S135" s="14"/>
      <c r="T135" s="14"/>
      <c r="U135" s="14"/>
      <c r="V135" s="193"/>
      <c r="W135" s="193"/>
      <c r="X135" s="14"/>
      <c r="Y135" s="196"/>
      <c r="Z135" s="193"/>
      <c r="AA135" s="193"/>
      <c r="AB135" s="195"/>
      <c r="AC135" s="14"/>
      <c r="AD135" s="17"/>
      <c r="AE135" s="18"/>
      <c r="AF135" s="18"/>
      <c r="AG135" s="18"/>
      <c r="AH135" s="18"/>
      <c r="AI135" s="18"/>
      <c r="AJ135" s="18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</row>
    <row r="136" spans="1:75">
      <c r="A136" s="15" t="s">
        <v>539</v>
      </c>
      <c r="B136" s="14">
        <v>7.5</v>
      </c>
      <c r="C136" s="20" t="s">
        <v>506</v>
      </c>
      <c r="D136" s="20" t="s">
        <v>277</v>
      </c>
      <c r="E136" s="20" t="s">
        <v>507</v>
      </c>
      <c r="F136" s="193">
        <f>IF(E136="有",(I136/B136+J136+Z136/B136)/(0.99999-K136-L136-M136-N136),(I136/B136+J136+Z136/B136)/(0.99999-K136-M136-N136))</f>
        <v>119.785424993728</v>
      </c>
      <c r="G136" s="193">
        <f>IF(E136="有",(I136/B136+J136+Z136/B136)/(0.8-K136-L136-M136-N136-O136-P136),(I136/B136+J136+Z136/B136)/(0.8-K136-M136-N136-O136-P136))</f>
        <v>238.308041694678</v>
      </c>
      <c r="H136" s="144">
        <v>159.99</v>
      </c>
      <c r="I136" s="193">
        <f>380/1.13</f>
        <v>336.283185840708</v>
      </c>
      <c r="J136" s="20">
        <v>5.69</v>
      </c>
      <c r="K136" s="18">
        <v>0.15</v>
      </c>
      <c r="L136" s="18">
        <v>0.16</v>
      </c>
      <c r="M136" s="18">
        <v>0.09</v>
      </c>
      <c r="N136" s="18">
        <v>0.15</v>
      </c>
      <c r="O136" s="195">
        <f>0.61/H136</f>
        <v>0.00381273829614351</v>
      </c>
      <c r="P136" s="18">
        <v>0.02</v>
      </c>
      <c r="Q136" s="18"/>
      <c r="R136" s="14">
        <v>38.5</v>
      </c>
      <c r="S136" s="14">
        <v>32.5</v>
      </c>
      <c r="T136" s="14">
        <v>18.3</v>
      </c>
      <c r="U136" s="14">
        <v>2.3</v>
      </c>
      <c r="V136" s="193">
        <f>R136*S136*T136/6000</f>
        <v>3.8163125</v>
      </c>
      <c r="W136" s="193">
        <f>MAX(U136:V136)</f>
        <v>3.8163125</v>
      </c>
      <c r="X136" s="14" t="s">
        <v>21</v>
      </c>
      <c r="Y136" s="196">
        <v>6.6317</v>
      </c>
      <c r="Z136" s="193">
        <f>W136*Y136</f>
        <v>25.30863960625</v>
      </c>
      <c r="AA136" s="193">
        <f>H136-SUM(K136:P136)*H136-J136-I136/B136-Z136/B136</f>
        <v>14.2834566070723</v>
      </c>
      <c r="AB136" s="195">
        <f>AA136/H136</f>
        <v>0.0892771836181778</v>
      </c>
      <c r="AC136" s="14"/>
      <c r="AD136" s="17">
        <f>J136/H136</f>
        <v>0.0355647227951747</v>
      </c>
      <c r="AE136" s="18">
        <f>I136/7.4/H136</f>
        <v>0.284040713558709</v>
      </c>
      <c r="AF136" s="18">
        <f>Z136/7.4/H136</f>
        <v>0.0213768762627478</v>
      </c>
      <c r="AG136" s="18">
        <v>0.15</v>
      </c>
      <c r="AH136" s="18">
        <f>N136</f>
        <v>0.15</v>
      </c>
      <c r="AI136" s="18">
        <v>0.02</v>
      </c>
      <c r="AJ136" s="18">
        <f>M136</f>
        <v>0.09</v>
      </c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</row>
    <row r="137" spans="1:75">
      <c r="A137" s="15" t="s">
        <v>540</v>
      </c>
      <c r="B137" s="14">
        <v>9</v>
      </c>
      <c r="C137" s="20" t="s">
        <v>517</v>
      </c>
      <c r="D137" s="20" t="s">
        <v>300</v>
      </c>
      <c r="E137" s="20" t="s">
        <v>507</v>
      </c>
      <c r="F137" s="193">
        <f>IF(E137="有",(I137/B137+J137+Z137/B137)/(0.99999-K137-L137-M137-N137),(I137/B137+J137+Z137/B137)/(0.99999-K137-M137-N137))</f>
        <v>100.817505931479</v>
      </c>
      <c r="G137" s="193">
        <f>IF(E137="有",(I137/B137+J137+Z137/B137)/(0.8-K137-L137-M137-N137-O137-P137),(I137/B137+J137+Z137/B137)/(0.8-K137-M137-N137-O137-P137))</f>
        <v>200.797833887252</v>
      </c>
      <c r="H137" s="14">
        <v>149.99</v>
      </c>
      <c r="I137" s="193">
        <f>380/1.13</f>
        <v>336.283185840708</v>
      </c>
      <c r="J137" s="20">
        <v>5.19</v>
      </c>
      <c r="K137" s="18">
        <v>0.15</v>
      </c>
      <c r="L137" s="18">
        <v>0.16</v>
      </c>
      <c r="M137" s="18">
        <v>0.09</v>
      </c>
      <c r="N137" s="18">
        <v>0.15</v>
      </c>
      <c r="O137" s="195">
        <f>0.61/H137</f>
        <v>0.00406693779585306</v>
      </c>
      <c r="P137" s="18">
        <v>0.02</v>
      </c>
      <c r="Q137" s="18"/>
      <c r="R137" s="20">
        <v>38.5</v>
      </c>
      <c r="S137" s="20">
        <v>32.5</v>
      </c>
      <c r="T137" s="20">
        <v>18.3</v>
      </c>
      <c r="U137" s="14">
        <v>2.3</v>
      </c>
      <c r="V137" s="193">
        <f>R137*S137*T137/6000</f>
        <v>3.8163125</v>
      </c>
      <c r="W137" s="193">
        <f>MAX(U137:V137)</f>
        <v>3.8163125</v>
      </c>
      <c r="X137" s="20" t="s">
        <v>21</v>
      </c>
      <c r="Y137" s="196">
        <v>6.6317</v>
      </c>
      <c r="Z137" s="193">
        <f>W137*Y137</f>
        <v>25.30863960625</v>
      </c>
      <c r="AA137" s="193">
        <f>H137-SUM(K137:P137)*H137-J137-I137/B137-Z137/B137</f>
        <v>18.5188305058935</v>
      </c>
      <c r="AB137" s="195">
        <f>AA137/H137</f>
        <v>0.123467101179369</v>
      </c>
      <c r="AC137" s="14"/>
      <c r="AD137" s="17">
        <f>J137/H137</f>
        <v>0.0346023068204547</v>
      </c>
      <c r="AE137" s="18">
        <f>I137/7.4/H137</f>
        <v>0.302978023616627</v>
      </c>
      <c r="AF137" s="18">
        <f>Z137/7.4/H137</f>
        <v>0.0228020963616043</v>
      </c>
      <c r="AG137" s="18">
        <v>0.15</v>
      </c>
      <c r="AH137" s="18">
        <f>N137</f>
        <v>0.15</v>
      </c>
      <c r="AI137" s="18">
        <v>0.02</v>
      </c>
      <c r="AJ137" s="18">
        <f>M137</f>
        <v>0.09</v>
      </c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</row>
    <row r="138" spans="1:75">
      <c r="A138" s="15"/>
      <c r="B138" s="20"/>
      <c r="C138" s="20"/>
      <c r="D138" s="20"/>
      <c r="E138" s="20"/>
      <c r="F138" s="193"/>
      <c r="G138" s="193"/>
      <c r="H138" s="193"/>
      <c r="I138" s="193"/>
      <c r="J138" s="193"/>
      <c r="K138" s="18"/>
      <c r="L138" s="18"/>
      <c r="M138" s="18"/>
      <c r="N138" s="18"/>
      <c r="O138" s="195"/>
      <c r="P138" s="18"/>
      <c r="Q138" s="18"/>
      <c r="R138" s="14"/>
      <c r="S138" s="14"/>
      <c r="T138" s="14"/>
      <c r="U138" s="14"/>
      <c r="V138" s="193"/>
      <c r="W138" s="193"/>
      <c r="X138" s="14"/>
      <c r="Y138" s="196"/>
      <c r="Z138" s="193"/>
      <c r="AA138" s="193"/>
      <c r="AB138" s="195"/>
      <c r="AC138" s="14"/>
      <c r="AD138" s="17"/>
      <c r="AE138" s="18"/>
      <c r="AF138" s="18"/>
      <c r="AG138" s="18"/>
      <c r="AH138" s="18"/>
      <c r="AI138" s="18"/>
      <c r="AJ138" s="18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</row>
    <row r="139" spans="1:75">
      <c r="A139" s="15"/>
      <c r="B139" s="20"/>
      <c r="C139" s="20"/>
      <c r="D139" s="20"/>
      <c r="E139" s="20"/>
      <c r="F139" s="193"/>
      <c r="G139" s="193"/>
      <c r="H139" s="193"/>
      <c r="I139" s="193"/>
      <c r="J139" s="193"/>
      <c r="K139" s="18"/>
      <c r="L139" s="18"/>
      <c r="M139" s="18"/>
      <c r="N139" s="18"/>
      <c r="O139" s="195"/>
      <c r="P139" s="18"/>
      <c r="Q139" s="18"/>
      <c r="R139" s="14"/>
      <c r="S139" s="14"/>
      <c r="T139" s="14"/>
      <c r="U139" s="14"/>
      <c r="V139" s="193"/>
      <c r="W139" s="193"/>
      <c r="X139" s="14"/>
      <c r="Y139" s="196"/>
      <c r="Z139" s="193"/>
      <c r="AA139" s="193"/>
      <c r="AB139" s="195"/>
      <c r="AC139" s="14"/>
      <c r="AD139" s="17"/>
      <c r="AE139" s="18"/>
      <c r="AF139" s="18"/>
      <c r="AG139" s="18"/>
      <c r="AH139" s="18"/>
      <c r="AI139" s="18"/>
      <c r="AJ139" s="18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</row>
    <row r="140" spans="1:75">
      <c r="A140" s="15" t="s">
        <v>541</v>
      </c>
      <c r="B140" s="20">
        <v>7.4</v>
      </c>
      <c r="C140" s="20" t="s">
        <v>506</v>
      </c>
      <c r="D140" s="20" t="s">
        <v>277</v>
      </c>
      <c r="E140" s="20" t="s">
        <v>507</v>
      </c>
      <c r="F140" s="193">
        <f>IF(E140="有",(I140/B140+J140+Z140/B140)/(0.99999-K140-L140-M140-N140),(I140/B140+J140+Z140/B140)/(0.99999-K140-M140-N140))</f>
        <v>78.0059656983213</v>
      </c>
      <c r="G140" s="193">
        <f>IF(E140="有",(I140/B140+J140+Z140/B140)/(0.8-K140-L140-M140-N140-O140-P140),(I140/B140+J140+Z140/B140)/(0.8-K140-M140-N140-O140-P140))</f>
        <v>140.620192185669</v>
      </c>
      <c r="H140" s="144">
        <v>129.99</v>
      </c>
      <c r="I140" s="193">
        <f>240/1.13</f>
        <v>212.389380530973</v>
      </c>
      <c r="J140" s="14">
        <v>6.89</v>
      </c>
      <c r="K140" s="18">
        <v>0.15</v>
      </c>
      <c r="L140" s="18">
        <v>0.16</v>
      </c>
      <c r="M140" s="18">
        <v>0.07</v>
      </c>
      <c r="N140" s="18">
        <f>Q140/H140</f>
        <v>0.115393491807062</v>
      </c>
      <c r="O140" s="195">
        <f>0.61/H140</f>
        <v>0.00469266866682052</v>
      </c>
      <c r="P140" s="18">
        <v>0.02</v>
      </c>
      <c r="Q140" s="193">
        <v>15</v>
      </c>
      <c r="R140" s="14">
        <v>43.5</v>
      </c>
      <c r="S140" s="14">
        <v>34</v>
      </c>
      <c r="T140" s="14">
        <v>19</v>
      </c>
      <c r="U140" s="14">
        <v>4</v>
      </c>
      <c r="V140" s="193">
        <f>R140*S140*T140/5000</f>
        <v>5.6202</v>
      </c>
      <c r="W140" s="193">
        <f>MAX(U140:V140)</f>
        <v>5.6202</v>
      </c>
      <c r="X140" s="14" t="s">
        <v>21</v>
      </c>
      <c r="Y140" s="196">
        <v>6.6317</v>
      </c>
      <c r="Z140" s="193">
        <v>27.9</v>
      </c>
      <c r="AA140" s="193">
        <f>H140-SUM(K140:P140)*H140-J140-I140/B140-Z140/B140</f>
        <v>23.022462090409</v>
      </c>
      <c r="AB140" s="195">
        <f>AA140/H140</f>
        <v>0.177109486040534</v>
      </c>
      <c r="AC140" s="14"/>
      <c r="AD140" s="17">
        <f>J140/H140</f>
        <v>0.0530040772367105</v>
      </c>
      <c r="AE140" s="18">
        <f>I140/7.4/H140</f>
        <v>0.220795966146017</v>
      </c>
      <c r="AF140" s="18">
        <f>Z140/7.4/H140</f>
        <v>0.0290043101028561</v>
      </c>
      <c r="AG140" s="18">
        <v>0.15</v>
      </c>
      <c r="AH140" s="18">
        <f>N140</f>
        <v>0.115393491807062</v>
      </c>
      <c r="AI140" s="18">
        <v>0.02</v>
      </c>
      <c r="AJ140" s="18">
        <f>M140</f>
        <v>0.07</v>
      </c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</row>
    <row r="141" spans="1:75">
      <c r="A141" s="15" t="s">
        <v>542</v>
      </c>
      <c r="B141" s="14">
        <v>9</v>
      </c>
      <c r="C141" s="20" t="s">
        <v>517</v>
      </c>
      <c r="D141" s="20" t="s">
        <v>300</v>
      </c>
      <c r="E141" s="20" t="s">
        <v>507</v>
      </c>
      <c r="F141" s="193">
        <f>IF(E141="有",(I141/B141+J141+Z141/B141)/(0.99999-K141-L141-M141-N141),(I141/B141+J141+Z141/B141)/(0.99999-K141-M141-N141))</f>
        <v>65.2235956583123</v>
      </c>
      <c r="G141" s="193">
        <f>IF(E141="有",(I141/B141+J141+Z141/B141)/(0.8-K141-L141-M141-N141-O141-P141),(I141/B141+J141+Z141/B141)/(0.8-K141-M141-N141-O141-P141))</f>
        <v>115.86114215798</v>
      </c>
      <c r="H141" s="144">
        <v>119.99</v>
      </c>
      <c r="I141" s="193">
        <f>240/1.13</f>
        <v>212.389380530973</v>
      </c>
      <c r="J141" s="14">
        <v>6.89</v>
      </c>
      <c r="K141" s="18">
        <v>0.15</v>
      </c>
      <c r="L141" s="18">
        <v>0.16</v>
      </c>
      <c r="M141" s="18">
        <v>0.05</v>
      </c>
      <c r="N141" s="18">
        <f>Q141/H141</f>
        <v>0.125010417534795</v>
      </c>
      <c r="O141" s="195">
        <f>0.61/H141</f>
        <v>0.00508375697974831</v>
      </c>
      <c r="P141" s="18">
        <v>0.02</v>
      </c>
      <c r="Q141" s="193">
        <v>15</v>
      </c>
      <c r="R141" s="14">
        <v>43.5</v>
      </c>
      <c r="S141" s="14">
        <v>34</v>
      </c>
      <c r="T141" s="14">
        <v>19</v>
      </c>
      <c r="U141" s="14">
        <v>4</v>
      </c>
      <c r="V141" s="193">
        <f>R141*S141*T141/5000</f>
        <v>5.6202</v>
      </c>
      <c r="W141" s="193">
        <f>MAX(U141:V141)</f>
        <v>5.6202</v>
      </c>
      <c r="X141" s="14" t="s">
        <v>21</v>
      </c>
      <c r="Y141" s="196">
        <v>6.6317</v>
      </c>
      <c r="Z141" s="193">
        <v>27.9</v>
      </c>
      <c r="AA141" s="193">
        <f>H141-SUM(K141:P141)*H141-J141-I141/B141-Z141/B141</f>
        <v>25.1949799410029</v>
      </c>
      <c r="AB141" s="195">
        <f>AA141/H141</f>
        <v>0.209975664147037</v>
      </c>
      <c r="AC141" s="14"/>
      <c r="AD141" s="17">
        <f>J141/H141</f>
        <v>0.057421451787649</v>
      </c>
      <c r="AE141" s="18">
        <f>I141/7.4/H141</f>
        <v>0.239197163424625</v>
      </c>
      <c r="AF141" s="18">
        <f>Z141/7.4/H141</f>
        <v>0.0314215373803673</v>
      </c>
      <c r="AG141" s="18">
        <v>0.15</v>
      </c>
      <c r="AH141" s="18">
        <f>N141</f>
        <v>0.125010417534795</v>
      </c>
      <c r="AI141" s="18">
        <v>0.02</v>
      </c>
      <c r="AJ141" s="18">
        <f>M141</f>
        <v>0.05</v>
      </c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</row>
    <row r="142" spans="1:75">
      <c r="A142" s="15"/>
      <c r="B142" s="20"/>
      <c r="C142" s="20"/>
      <c r="D142" s="20"/>
      <c r="E142" s="20"/>
      <c r="F142" s="193"/>
      <c r="G142" s="193"/>
      <c r="H142" s="193"/>
      <c r="I142" s="193"/>
      <c r="J142" s="14"/>
      <c r="K142" s="18"/>
      <c r="L142" s="18"/>
      <c r="M142" s="18"/>
      <c r="N142" s="18"/>
      <c r="O142" s="195"/>
      <c r="P142" s="18"/>
      <c r="Q142" s="18"/>
      <c r="R142" s="20"/>
      <c r="S142" s="20"/>
      <c r="T142" s="20"/>
      <c r="U142" s="20"/>
      <c r="V142" s="193"/>
      <c r="W142" s="193"/>
      <c r="X142" s="20"/>
      <c r="Y142" s="196"/>
      <c r="Z142" s="193"/>
      <c r="AA142" s="193"/>
      <c r="AB142" s="195"/>
      <c r="AC142" s="14"/>
      <c r="AD142" s="17"/>
      <c r="AE142" s="18"/>
      <c r="AF142" s="18"/>
      <c r="AG142" s="18"/>
      <c r="AH142" s="18"/>
      <c r="AI142" s="18"/>
      <c r="AJ142" s="18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</row>
    <row r="143" spans="1:75">
      <c r="A143" s="15" t="s">
        <v>543</v>
      </c>
      <c r="B143" s="20">
        <v>7.4</v>
      </c>
      <c r="C143" s="20" t="s">
        <v>506</v>
      </c>
      <c r="D143" s="20" t="s">
        <v>277</v>
      </c>
      <c r="E143" s="20" t="s">
        <v>507</v>
      </c>
      <c r="F143" s="193">
        <f>IF(E143="有",(I143/B143+J143+Z143/B143)/(0.99999-K143-L143-M143-N143),(I143/B143+J143+Z143/B143)/(0.99999-K143-M143-N143))</f>
        <v>88.8299673705953</v>
      </c>
      <c r="G143" s="193">
        <f>IF(E143="有",(I143/B143+J143+Z143/B143)/(0.8-K143-L143-M143-N143-O143-P143),(I143/B143+J143+Z143/B143)/(0.8-K143-M143-N143-O143-P143))</f>
        <v>170.888074798777</v>
      </c>
      <c r="H143" s="144">
        <v>129.99</v>
      </c>
      <c r="I143" s="193">
        <f>270/1.13</f>
        <v>238.938053097345</v>
      </c>
      <c r="J143" s="14">
        <v>5.69</v>
      </c>
      <c r="K143" s="18">
        <v>0.15</v>
      </c>
      <c r="L143" s="18">
        <v>0.16</v>
      </c>
      <c r="M143" s="18">
        <v>0.07</v>
      </c>
      <c r="N143" s="18">
        <v>0.15</v>
      </c>
      <c r="O143" s="195">
        <f>0.74/H143</f>
        <v>0.00569274559581506</v>
      </c>
      <c r="P143" s="18">
        <v>0.02</v>
      </c>
      <c r="Q143" s="18"/>
      <c r="R143" s="14">
        <v>43.5</v>
      </c>
      <c r="S143" s="14">
        <v>32.3</v>
      </c>
      <c r="T143" s="14">
        <v>19</v>
      </c>
      <c r="U143" s="14">
        <v>3.05</v>
      </c>
      <c r="V143" s="193">
        <f>R143*S143*T143/5000</f>
        <v>5.33919</v>
      </c>
      <c r="W143" s="193">
        <f>MAX(U143:V143)</f>
        <v>5.33919</v>
      </c>
      <c r="X143" s="20" t="s">
        <v>21</v>
      </c>
      <c r="Y143" s="196">
        <v>6.6317</v>
      </c>
      <c r="Z143" s="193">
        <v>27.9</v>
      </c>
      <c r="AA143" s="193">
        <f>H143-SUM(K143:P143)*H143-J143-I143/B143-Z143/B143</f>
        <v>16.0063036354939</v>
      </c>
      <c r="AB143" s="195">
        <f>AA143/H143</f>
        <v>0.123134884494914</v>
      </c>
      <c r="AC143" s="14"/>
      <c r="AD143" s="17">
        <f>J143/H143</f>
        <v>0.0437725978921455</v>
      </c>
      <c r="AE143" s="18">
        <f>I143/7.4/H143</f>
        <v>0.248395461914269</v>
      </c>
      <c r="AF143" s="18">
        <f>Z143/7.4/H143</f>
        <v>0.0290043101028561</v>
      </c>
      <c r="AG143" s="18">
        <v>0.15</v>
      </c>
      <c r="AH143" s="18">
        <f>N143</f>
        <v>0.15</v>
      </c>
      <c r="AI143" s="18">
        <v>0.02</v>
      </c>
      <c r="AJ143" s="18">
        <f>M143</f>
        <v>0.07</v>
      </c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</row>
    <row r="144" spans="1:75">
      <c r="A144" s="15" t="s">
        <v>544</v>
      </c>
      <c r="B144" s="14">
        <v>9</v>
      </c>
      <c r="C144" s="20" t="s">
        <v>517</v>
      </c>
      <c r="D144" s="20" t="s">
        <v>300</v>
      </c>
      <c r="E144" s="20" t="s">
        <v>507</v>
      </c>
      <c r="F144" s="193">
        <f>IF(E144="有",(I144/B144+J144+Z144/B144)/(0.99999-K144-L144-M144-N144),(I144/B144+J144+Z144/B144)/(0.99999-K144-M144-N144))</f>
        <v>71.1007828044893</v>
      </c>
      <c r="G144" s="193">
        <f>IF(E144="有",(I144/B144+J144+Z144/B144)/(0.8-K144-L144-M144-N144-O144-P144),(I144/B144+J144+Z144/B144)/(0.8-K144-M144-N144-O144-P144))</f>
        <v>131.964918766402</v>
      </c>
      <c r="H144" s="144">
        <v>119.99</v>
      </c>
      <c r="I144" s="193">
        <f>270/1.13</f>
        <v>238.938053097345</v>
      </c>
      <c r="J144" s="14">
        <v>5.19</v>
      </c>
      <c r="K144" s="18">
        <v>0.15</v>
      </c>
      <c r="L144" s="18">
        <v>0.16</v>
      </c>
      <c r="M144" s="18">
        <v>0.05</v>
      </c>
      <c r="N144" s="18">
        <v>0.15</v>
      </c>
      <c r="O144" s="195">
        <f>0.72/H144</f>
        <v>0.00600050004167014</v>
      </c>
      <c r="P144" s="18">
        <v>0.02</v>
      </c>
      <c r="Q144" s="18"/>
      <c r="R144" s="14">
        <v>43.5</v>
      </c>
      <c r="S144" s="14">
        <v>32.3</v>
      </c>
      <c r="T144" s="14">
        <v>19</v>
      </c>
      <c r="U144" s="14">
        <v>3.05</v>
      </c>
      <c r="V144" s="193">
        <f>R144*S144*T144/5000</f>
        <v>5.33919</v>
      </c>
      <c r="W144" s="193">
        <f>MAX(U144:V144)</f>
        <v>5.33919</v>
      </c>
      <c r="X144" s="20" t="s">
        <v>21</v>
      </c>
      <c r="Y144" s="196">
        <v>6.6317</v>
      </c>
      <c r="Z144" s="193">
        <v>27.9</v>
      </c>
      <c r="AA144" s="193">
        <f>H144-SUM(K144:P144)*H144-J144-I144/B144-Z144/B144</f>
        <v>20.8366274336283</v>
      </c>
      <c r="AB144" s="195">
        <f>AA144/H144</f>
        <v>0.173653033032989</v>
      </c>
      <c r="AC144" s="14"/>
      <c r="AD144" s="17">
        <f>J144/H144</f>
        <v>0.0432536044670389</v>
      </c>
      <c r="AE144" s="18">
        <f>I144/7.4/H144</f>
        <v>0.269096808852703</v>
      </c>
      <c r="AF144" s="18">
        <f>Z144/7.4/H144</f>
        <v>0.0314215373803673</v>
      </c>
      <c r="AG144" s="18">
        <v>0.15</v>
      </c>
      <c r="AH144" s="18">
        <f>N144</f>
        <v>0.15</v>
      </c>
      <c r="AI144" s="18">
        <v>0.02</v>
      </c>
      <c r="AJ144" s="18">
        <f>M144</f>
        <v>0.05</v>
      </c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</row>
    <row r="145" spans="1:75">
      <c r="A145" s="21"/>
      <c r="B145" s="20"/>
      <c r="C145" s="20"/>
      <c r="D145" s="20"/>
      <c r="E145" s="20"/>
      <c r="F145" s="193"/>
      <c r="G145" s="193"/>
      <c r="H145" s="193"/>
      <c r="I145" s="193"/>
      <c r="J145" s="14"/>
      <c r="K145" s="18"/>
      <c r="L145" s="18"/>
      <c r="M145" s="18"/>
      <c r="N145" s="18"/>
      <c r="O145" s="195"/>
      <c r="P145" s="18"/>
      <c r="Q145" s="18"/>
      <c r="R145" s="20"/>
      <c r="S145" s="20"/>
      <c r="T145" s="20"/>
      <c r="U145" s="20"/>
      <c r="V145" s="193"/>
      <c r="W145" s="193"/>
      <c r="X145" s="20"/>
      <c r="Y145" s="196"/>
      <c r="Z145" s="193"/>
      <c r="AA145" s="193"/>
      <c r="AB145" s="195"/>
      <c r="AC145" s="14"/>
      <c r="AD145" s="17"/>
      <c r="AE145" s="18"/>
      <c r="AF145" s="18"/>
      <c r="AG145" s="18"/>
      <c r="AH145" s="18"/>
      <c r="AI145" s="18"/>
      <c r="AJ145" s="18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</row>
    <row r="146" spans="1:75">
      <c r="A146" s="22" t="s">
        <v>545</v>
      </c>
      <c r="B146" s="14">
        <v>7</v>
      </c>
      <c r="C146" s="20" t="s">
        <v>506</v>
      </c>
      <c r="D146" s="14" t="s">
        <v>407</v>
      </c>
      <c r="E146" s="14" t="s">
        <v>546</v>
      </c>
      <c r="F146" s="193">
        <f>IF(E146="有",(I146/B146+J146+Z146/B146)/(0.99999-K146-L146-M146-N146),(I146/B146+J146+Z146/B146)/(0.99999-K146-M146-N146))</f>
        <v>31.1727286030341</v>
      </c>
      <c r="G146" s="193">
        <f>IF(E146="有",(I146/B146+J146+Z146/B146)/(0.8-K146-L146-M146-N146-O146-P146),(I146/B146+J146+Z146/B146)/(0.8-K146-M146-N146-O146-P146))</f>
        <v>45.9601122491</v>
      </c>
      <c r="H146" s="198">
        <v>49.99</v>
      </c>
      <c r="I146" s="193">
        <f>94.4/1.13</f>
        <v>83.5398230088496</v>
      </c>
      <c r="J146" s="101">
        <v>7.6</v>
      </c>
      <c r="K146" s="18">
        <v>0.15</v>
      </c>
      <c r="L146" s="18">
        <v>0</v>
      </c>
      <c r="M146" s="18">
        <v>0.05</v>
      </c>
      <c r="N146" s="18">
        <f>Q146/H146</f>
        <v>0.1000200040008</v>
      </c>
      <c r="O146" s="195">
        <f>0.261/H146</f>
        <v>0.00522104420884177</v>
      </c>
      <c r="P146" s="18">
        <v>0.02</v>
      </c>
      <c r="Q146" s="193">
        <v>5</v>
      </c>
      <c r="R146" s="20">
        <v>32</v>
      </c>
      <c r="S146" s="20">
        <v>17.3</v>
      </c>
      <c r="T146" s="20">
        <v>17.3</v>
      </c>
      <c r="U146" s="20">
        <v>1.6</v>
      </c>
      <c r="V146" s="193">
        <f>R146*S146*T146/5000</f>
        <v>1.915456</v>
      </c>
      <c r="W146" s="193">
        <f>MAX(U146:V146)</f>
        <v>1.915456</v>
      </c>
      <c r="X146" s="20" t="s">
        <v>21</v>
      </c>
      <c r="Y146" s="196">
        <v>6.6317</v>
      </c>
      <c r="Z146" s="193">
        <v>16</v>
      </c>
      <c r="AA146" s="193">
        <f>H146-SUM(K146:P146)*H146-J146-I146/B146-Z146/B146</f>
        <v>11.9112252844501</v>
      </c>
      <c r="AB146" s="195">
        <f>AA146/H146</f>
        <v>0.238272160121025</v>
      </c>
      <c r="AC146" s="14"/>
      <c r="AD146" s="17">
        <f>J146/H146</f>
        <v>0.152030406081216</v>
      </c>
      <c r="AE146" s="18">
        <f>I146/7.4/H146</f>
        <v>0.225828471123548</v>
      </c>
      <c r="AF146" s="18">
        <f>Z146/7.4/H146</f>
        <v>0.0432518936219676</v>
      </c>
      <c r="AG146" s="18">
        <v>0.15</v>
      </c>
      <c r="AH146" s="18">
        <f>N146</f>
        <v>0.1000200040008</v>
      </c>
      <c r="AI146" s="18">
        <v>0.02</v>
      </c>
      <c r="AJ146" s="18">
        <f>M146</f>
        <v>0.05</v>
      </c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</row>
    <row r="147" spans="1:75">
      <c r="A147" s="22" t="s">
        <v>547</v>
      </c>
      <c r="B147" s="14">
        <v>7</v>
      </c>
      <c r="C147" s="20" t="s">
        <v>506</v>
      </c>
      <c r="D147" s="20" t="s">
        <v>407</v>
      </c>
      <c r="E147" s="20" t="s">
        <v>546</v>
      </c>
      <c r="F147" s="193">
        <f>IF(E147="有",(I147/B147+J147+Z147/B147)/(0.99999-K147-L147-M147-N147),(I147/B147+J147+Z147/B147)/(0.99999-K147-M147-N147))</f>
        <v>31.6756386520061</v>
      </c>
      <c r="G147" s="193">
        <f>IF(E147="有",(I147/B147+J147+Z147/B147)/(0.8-K147-L147-M147-N147-O147-P147),(I147/B147+J147+Z147/B147)/(0.8-K147-M147-N147-O147-P147))</f>
        <v>47.1207088885122</v>
      </c>
      <c r="H147" s="198">
        <f>H146*0.9</f>
        <v>44.991</v>
      </c>
      <c r="I147" s="193">
        <f>94.4/1.13</f>
        <v>83.5398230088496</v>
      </c>
      <c r="J147" s="101">
        <v>7.6</v>
      </c>
      <c r="K147" s="18">
        <v>0.15</v>
      </c>
      <c r="L147" s="18">
        <v>0</v>
      </c>
      <c r="M147" s="18">
        <v>0.05</v>
      </c>
      <c r="N147" s="18">
        <f>Q147/H147</f>
        <v>0.111133337778667</v>
      </c>
      <c r="O147" s="195">
        <f>0.261/H147</f>
        <v>0.00580116023204641</v>
      </c>
      <c r="P147" s="18">
        <v>0.02</v>
      </c>
      <c r="Q147" s="193">
        <v>5</v>
      </c>
      <c r="R147" s="20">
        <v>32</v>
      </c>
      <c r="S147" s="20">
        <v>17.3</v>
      </c>
      <c r="T147" s="20">
        <v>17.3</v>
      </c>
      <c r="U147" s="20">
        <v>1.6</v>
      </c>
      <c r="V147" s="193">
        <f>R147*S147*T147/5000</f>
        <v>1.915456</v>
      </c>
      <c r="W147" s="193">
        <f>MAX(U147:V147)</f>
        <v>1.915456</v>
      </c>
      <c r="X147" s="20" t="s">
        <v>21</v>
      </c>
      <c r="Y147" s="196">
        <v>6.6317</v>
      </c>
      <c r="Z147" s="193">
        <v>16</v>
      </c>
      <c r="AA147" s="193">
        <f>H147-SUM(K147:P147)*H147-J147-I147/B147-Z147/B147</f>
        <v>8.01200528445006</v>
      </c>
      <c r="AB147" s="195">
        <f>AA147/H147</f>
        <v>0.178080177912251</v>
      </c>
      <c r="AC147" s="14"/>
      <c r="AD147" s="17">
        <f>J147/H147</f>
        <v>0.168922673423574</v>
      </c>
      <c r="AE147" s="18">
        <f>I147/7.4/H147</f>
        <v>0.250920523470609</v>
      </c>
      <c r="AF147" s="18">
        <f>Z147/7.4/H147</f>
        <v>0.048057659579964</v>
      </c>
      <c r="AG147" s="18">
        <v>0.15</v>
      </c>
      <c r="AH147" s="18">
        <f>N147</f>
        <v>0.111133337778667</v>
      </c>
      <c r="AI147" s="18">
        <v>0.02</v>
      </c>
      <c r="AJ147" s="18">
        <f>M147</f>
        <v>0.05</v>
      </c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</row>
    <row r="148" spans="1:75">
      <c r="A148" s="22" t="s">
        <v>548</v>
      </c>
      <c r="B148" s="14">
        <v>7</v>
      </c>
      <c r="C148" s="20" t="s">
        <v>506</v>
      </c>
      <c r="D148" s="20" t="s">
        <v>407</v>
      </c>
      <c r="E148" s="20" t="s">
        <v>546</v>
      </c>
      <c r="F148" s="193">
        <f>IF(E148="有",(I148/B148+J148+Z148/B148)/(0.99999-K148-L148-M148-N148),(I148/B148+J148+Z148/B148)/(0.99999-K148-M148-N148))</f>
        <v>32.3275649511013</v>
      </c>
      <c r="G148" s="193">
        <f>IF(E148="有",(I148/B148+J148+Z148/B148)/(0.8-K148-L148-M148-N148-O148-P148),(I148/B148+J148+Z148/B148)/(0.8-K148-M148-N148-O148-P148))</f>
        <v>48.6565692237846</v>
      </c>
      <c r="H148" s="198">
        <f>H146*0.8</f>
        <v>39.992</v>
      </c>
      <c r="I148" s="193">
        <f>94.4/1.13</f>
        <v>83.5398230088496</v>
      </c>
      <c r="J148" s="101">
        <v>7.6</v>
      </c>
      <c r="K148" s="18">
        <v>0.15</v>
      </c>
      <c r="L148" s="18">
        <v>0</v>
      </c>
      <c r="M148" s="18">
        <v>0.05</v>
      </c>
      <c r="N148" s="18">
        <f>Q148/H148</f>
        <v>0.125025005001</v>
      </c>
      <c r="O148" s="195">
        <f>0.261/H148</f>
        <v>0.00652630526105221</v>
      </c>
      <c r="P148" s="18">
        <v>0.02</v>
      </c>
      <c r="Q148" s="193">
        <v>5</v>
      </c>
      <c r="R148" s="20">
        <v>32</v>
      </c>
      <c r="S148" s="20">
        <v>17.3</v>
      </c>
      <c r="T148" s="20">
        <v>17.3</v>
      </c>
      <c r="U148" s="20">
        <v>1.6</v>
      </c>
      <c r="V148" s="193">
        <f>R148*S148*T148/5000</f>
        <v>1.915456</v>
      </c>
      <c r="W148" s="193">
        <f>MAX(U148:V148)</f>
        <v>1.915456</v>
      </c>
      <c r="X148" s="20" t="s">
        <v>21</v>
      </c>
      <c r="Y148" s="196">
        <v>6.6317</v>
      </c>
      <c r="Z148" s="193">
        <v>16</v>
      </c>
      <c r="AA148" s="193">
        <f>H148-SUM(K148:P148)*H148-J148-I148/B148-Z148/B148</f>
        <v>4.11278528445006</v>
      </c>
      <c r="AB148" s="195">
        <f>AA148/H148</f>
        <v>0.102840200151282</v>
      </c>
      <c r="AC148" s="14"/>
      <c r="AD148" s="17">
        <f>J148/H148</f>
        <v>0.19003800760152</v>
      </c>
      <c r="AE148" s="18">
        <f>I148/7.4/H148</f>
        <v>0.282285588904435</v>
      </c>
      <c r="AF148" s="18">
        <f>Z148/7.4/H148</f>
        <v>0.0540648670274595</v>
      </c>
      <c r="AG148" s="18">
        <v>0.15</v>
      </c>
      <c r="AH148" s="18">
        <f>N148</f>
        <v>0.125025005001</v>
      </c>
      <c r="AI148" s="18">
        <v>0.02</v>
      </c>
      <c r="AJ148" s="18">
        <f>M148</f>
        <v>0.05</v>
      </c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</row>
    <row r="149" spans="1:75">
      <c r="A149" s="15"/>
      <c r="B149" s="14"/>
      <c r="C149" s="20"/>
      <c r="D149" s="20"/>
      <c r="E149" s="20"/>
      <c r="F149" s="193"/>
      <c r="G149" s="193"/>
      <c r="H149" s="198"/>
      <c r="I149" s="193"/>
      <c r="J149" s="101"/>
      <c r="K149" s="18"/>
      <c r="L149" s="18"/>
      <c r="M149" s="18"/>
      <c r="N149" s="18"/>
      <c r="O149" s="195"/>
      <c r="P149" s="18"/>
      <c r="Q149" s="193"/>
      <c r="R149" s="20"/>
      <c r="S149" s="20"/>
      <c r="T149" s="20"/>
      <c r="U149" s="20"/>
      <c r="V149" s="193"/>
      <c r="W149" s="193"/>
      <c r="X149" s="20"/>
      <c r="Y149" s="196"/>
      <c r="Z149" s="193"/>
      <c r="AA149" s="193"/>
      <c r="AB149" s="195"/>
      <c r="AC149" s="14"/>
      <c r="AD149" s="17"/>
      <c r="AE149" s="18"/>
      <c r="AF149" s="18"/>
      <c r="AG149" s="18"/>
      <c r="AH149" s="18"/>
      <c r="AI149" s="18"/>
      <c r="AJ149" s="18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</row>
    <row r="150" spans="1:75">
      <c r="A150" s="22" t="s">
        <v>549</v>
      </c>
      <c r="B150" s="14">
        <v>8</v>
      </c>
      <c r="C150" s="20" t="s">
        <v>506</v>
      </c>
      <c r="D150" s="20" t="s">
        <v>277</v>
      </c>
      <c r="E150" s="20" t="s">
        <v>507</v>
      </c>
      <c r="F150" s="193">
        <f>IF(E150="有",(I150/B150+J150+Z150/B150)/(0.99999-K150-L150-M150-N150),(I150/B150+J150+Z150/B150)/(0.99999-K150-M150-N150))</f>
        <v>33.4303474650317</v>
      </c>
      <c r="G150" s="193">
        <f>IF(E150="有",(I150/B150+J150+Z150/B150)/(0.8-K150-L150-M150-N150-O150-P150),(I150/B150+J150+Z150/B150)/(0.8-K150-M150-N150-O150-P150))</f>
        <v>57.9712148886283</v>
      </c>
      <c r="H150" s="198">
        <v>54.99</v>
      </c>
      <c r="I150" s="193">
        <f>94.4/1.13</f>
        <v>83.5398230088496</v>
      </c>
      <c r="J150" s="101">
        <v>5.18</v>
      </c>
      <c r="K150" s="18">
        <v>0.15</v>
      </c>
      <c r="L150" s="18">
        <v>0.16</v>
      </c>
      <c r="M150" s="18">
        <v>0.05</v>
      </c>
      <c r="N150" s="18">
        <f>Q150/H150</f>
        <v>0.10911074740862</v>
      </c>
      <c r="O150" s="195">
        <f>0.261/H150</f>
        <v>0.00474631751227496</v>
      </c>
      <c r="P150" s="18">
        <v>0.02</v>
      </c>
      <c r="Q150" s="193">
        <v>6</v>
      </c>
      <c r="R150" s="20">
        <v>32</v>
      </c>
      <c r="S150" s="20">
        <v>17.3</v>
      </c>
      <c r="T150" s="20">
        <v>17.3</v>
      </c>
      <c r="U150" s="20">
        <v>1.6</v>
      </c>
      <c r="V150" s="193">
        <f>R150*S150*T150/5000</f>
        <v>1.915456</v>
      </c>
      <c r="W150" s="193">
        <f>MAX(U150:V150)</f>
        <v>1.915456</v>
      </c>
      <c r="X150" s="20" t="s">
        <v>21</v>
      </c>
      <c r="Y150" s="196">
        <v>6.6317</v>
      </c>
      <c r="Z150" s="193">
        <v>17</v>
      </c>
      <c r="AA150" s="193">
        <f>H150-SUM(K150:P150)*H150-J150-I150/B150-Z150/B150</f>
        <v>10.0853221238938</v>
      </c>
      <c r="AB150" s="195">
        <f>AA150/H150</f>
        <v>0.183402839132457</v>
      </c>
      <c r="AC150" s="14"/>
      <c r="AD150" s="17">
        <f>J150/H150</f>
        <v>0.094198945262775</v>
      </c>
      <c r="AE150" s="18">
        <f>I150/7.4/H150</f>
        <v>0.205294876731518</v>
      </c>
      <c r="AF150" s="18">
        <f>Z150/7.4/H150</f>
        <v>0.0417766375213184</v>
      </c>
      <c r="AG150" s="18">
        <v>0.15</v>
      </c>
      <c r="AH150" s="18">
        <f>N150</f>
        <v>0.10911074740862</v>
      </c>
      <c r="AI150" s="18">
        <v>0.02</v>
      </c>
      <c r="AJ150" s="18">
        <f>M150</f>
        <v>0.05</v>
      </c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</row>
    <row r="151" spans="1:75">
      <c r="A151" s="22" t="s">
        <v>547</v>
      </c>
      <c r="B151" s="20">
        <v>8</v>
      </c>
      <c r="C151" s="20" t="s">
        <v>506</v>
      </c>
      <c r="D151" s="20" t="s">
        <v>277</v>
      </c>
      <c r="E151" s="20" t="s">
        <v>507</v>
      </c>
      <c r="F151" s="193">
        <f>IF(E151="有",(I151/B151+J151+Z151/B151)/(0.99999-K151-L151-M151-N151),(I151/B151+J151+Z151/B151)/(0.99999-K151-M151-N151))</f>
        <v>34.211620645423</v>
      </c>
      <c r="G151" s="193">
        <f>IF(E151="有",(I151/B151+J151+Z151/B151)/(0.8-K151-L151-M151-N151-O151-P151),(I151/B151+J151+Z151/B151)/(0.8-K151-M151-N151-O151-P151))</f>
        <v>60.4700257597731</v>
      </c>
      <c r="H151" s="198">
        <f>H150*0.9</f>
        <v>49.491</v>
      </c>
      <c r="I151" s="193">
        <f>94.4/1.13</f>
        <v>83.5398230088496</v>
      </c>
      <c r="J151" s="101">
        <v>5.18</v>
      </c>
      <c r="K151" s="18">
        <v>0.15</v>
      </c>
      <c r="L151" s="18">
        <v>0.16</v>
      </c>
      <c r="M151" s="18">
        <v>0.05</v>
      </c>
      <c r="N151" s="18">
        <f>Q151/H151</f>
        <v>0.121234163787355</v>
      </c>
      <c r="O151" s="195">
        <f>0.261/H151</f>
        <v>0.00527368612474995</v>
      </c>
      <c r="P151" s="18">
        <v>0.02</v>
      </c>
      <c r="Q151" s="193">
        <v>6</v>
      </c>
      <c r="R151" s="20">
        <v>32</v>
      </c>
      <c r="S151" s="20">
        <v>17.3</v>
      </c>
      <c r="T151" s="20">
        <v>17.3</v>
      </c>
      <c r="U151" s="20">
        <v>1.6</v>
      </c>
      <c r="V151" s="193">
        <f>R151*S151*T151/5000</f>
        <v>1.915456</v>
      </c>
      <c r="W151" s="193">
        <f>MAX(U151:V151)</f>
        <v>1.915456</v>
      </c>
      <c r="X151" s="20" t="s">
        <v>21</v>
      </c>
      <c r="Y151" s="196">
        <v>6.6317</v>
      </c>
      <c r="Z151" s="193">
        <v>17</v>
      </c>
      <c r="AA151" s="193">
        <f>H151-SUM(K151:P151)*H151-J151-I151/B151-Z151/B151</f>
        <v>6.67594212389381</v>
      </c>
      <c r="AB151" s="195">
        <f>AA151/H151</f>
        <v>0.134892043480508</v>
      </c>
      <c r="AC151" s="14"/>
      <c r="AD151" s="17">
        <f>J151/H151</f>
        <v>0.104665494736417</v>
      </c>
      <c r="AE151" s="18">
        <f>I151/7.4/H151</f>
        <v>0.228105418590575</v>
      </c>
      <c r="AF151" s="18">
        <f>Z151/7.4/H151</f>
        <v>0.0464184861347982</v>
      </c>
      <c r="AG151" s="18">
        <v>0.15</v>
      </c>
      <c r="AH151" s="18">
        <f>N151</f>
        <v>0.121234163787355</v>
      </c>
      <c r="AI151" s="18">
        <v>0.02</v>
      </c>
      <c r="AJ151" s="18">
        <f>M151</f>
        <v>0.05</v>
      </c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</row>
    <row r="152" spans="1:75">
      <c r="A152" s="22" t="s">
        <v>548</v>
      </c>
      <c r="B152" s="20">
        <v>8</v>
      </c>
      <c r="C152" s="20" t="s">
        <v>506</v>
      </c>
      <c r="D152" s="20" t="s">
        <v>277</v>
      </c>
      <c r="E152" s="20" t="s">
        <v>507</v>
      </c>
      <c r="F152" s="193">
        <f>IF(E152="有",(I152/B152+J152+Z152/B152)/(0.99999-K152-L152-M152-N152),(I152/B152+J152+Z152/B152)/(0.99999-K152-M152-N152))</f>
        <v>35.2411094077023</v>
      </c>
      <c r="G152" s="193">
        <f>IF(E152="有",(I152/B152+J152+Z152/B152)/(0.8-K152-L152-M152-N152-O152-P152),(I152/B152+J152+Z152/B152)/(0.8-K152-M152-N152-O152-P152))</f>
        <v>63.9137242686968</v>
      </c>
      <c r="H152" s="198">
        <f>H150*0.8</f>
        <v>43.992</v>
      </c>
      <c r="I152" s="193">
        <f>94.4/1.13</f>
        <v>83.5398230088496</v>
      </c>
      <c r="J152" s="101">
        <v>5.18</v>
      </c>
      <c r="K152" s="18">
        <v>0.15</v>
      </c>
      <c r="L152" s="18">
        <v>0.16</v>
      </c>
      <c r="M152" s="18">
        <v>0.05</v>
      </c>
      <c r="N152" s="18">
        <f>Q152/H152</f>
        <v>0.136388434260775</v>
      </c>
      <c r="O152" s="195">
        <f>0.261/H152</f>
        <v>0.0059328968903437</v>
      </c>
      <c r="P152" s="18">
        <v>0.02</v>
      </c>
      <c r="Q152" s="193">
        <v>6</v>
      </c>
      <c r="R152" s="20">
        <v>32</v>
      </c>
      <c r="S152" s="20">
        <v>17.3</v>
      </c>
      <c r="T152" s="20">
        <v>17.3</v>
      </c>
      <c r="U152" s="20">
        <v>1.6</v>
      </c>
      <c r="V152" s="193">
        <f>R152*S152*T152/5000</f>
        <v>1.915456</v>
      </c>
      <c r="W152" s="193">
        <f>MAX(U152:V152)</f>
        <v>1.915456</v>
      </c>
      <c r="X152" s="20" t="s">
        <v>21</v>
      </c>
      <c r="Y152" s="196">
        <v>6.6317</v>
      </c>
      <c r="Z152" s="193">
        <v>17</v>
      </c>
      <c r="AA152" s="193">
        <f>H152-SUM(K152:P152)*H152-J152-I152/B152-Z152/B152</f>
        <v>3.26656212389381</v>
      </c>
      <c r="AB152" s="195">
        <f>AA152/H152</f>
        <v>0.0742535489155712</v>
      </c>
      <c r="AC152" s="14"/>
      <c r="AD152" s="17">
        <f>J152/H152</f>
        <v>0.117748681578469</v>
      </c>
      <c r="AE152" s="18">
        <f>I152/7.4/H152</f>
        <v>0.256618595914397</v>
      </c>
      <c r="AF152" s="18">
        <f>Z152/7.4/H152</f>
        <v>0.052220796901648</v>
      </c>
      <c r="AG152" s="18">
        <v>0.15</v>
      </c>
      <c r="AH152" s="18">
        <f>N152</f>
        <v>0.136388434260775</v>
      </c>
      <c r="AI152" s="18">
        <v>0.02</v>
      </c>
      <c r="AJ152" s="18">
        <f>M152</f>
        <v>0.05</v>
      </c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</row>
    <row r="153" spans="1:75">
      <c r="B153" s="14"/>
      <c r="C153" s="20"/>
      <c r="D153" s="20"/>
      <c r="E153" s="20"/>
      <c r="F153" s="193"/>
      <c r="G153" s="193"/>
      <c r="H153" s="193"/>
      <c r="I153" s="193"/>
      <c r="J153" s="101"/>
      <c r="K153" s="18"/>
      <c r="L153" s="18"/>
      <c r="M153" s="18"/>
      <c r="N153" s="18"/>
      <c r="O153" s="195"/>
      <c r="P153" s="18"/>
      <c r="Q153" s="18"/>
      <c r="R153" s="20"/>
      <c r="S153" s="20"/>
      <c r="T153" s="20"/>
      <c r="U153" s="20"/>
      <c r="V153" s="193"/>
      <c r="W153" s="193"/>
      <c r="X153" s="20"/>
      <c r="Y153" s="196"/>
      <c r="Z153" s="193"/>
      <c r="AA153" s="193"/>
      <c r="AB153" s="195"/>
      <c r="AC153" s="14"/>
      <c r="AD153" s="17"/>
      <c r="AE153" s="18"/>
      <c r="AF153" s="18"/>
      <c r="AG153" s="18"/>
      <c r="AH153" s="18"/>
      <c r="AI153" s="18"/>
      <c r="AJ153" s="18"/>
    </row>
    <row r="154" spans="1:75">
      <c r="A154" s="22" t="s">
        <v>549</v>
      </c>
      <c r="B154" s="14">
        <v>8</v>
      </c>
      <c r="C154" s="20" t="s">
        <v>506</v>
      </c>
      <c r="D154" s="14" t="s">
        <v>511</v>
      </c>
      <c r="E154" s="20" t="s">
        <v>507</v>
      </c>
      <c r="F154" s="193">
        <f>IF(E154="有",(I154/B154+J154+Z154/B154)/(0.99999-K154-L154-M154-N154),(I154/B154+J154+Z154/B154)/(0.99999-K154-M154-N154))</f>
        <v>36.3860153165502</v>
      </c>
      <c r="G154" s="193">
        <f>IF(E154="有",(I154/B154+J154+Z154/B154)/(0.8-K154-L154-M154-N154-O154-P154),(I154/B154+J154+Z154/B154)/(0.8-K154-M154-N154-O154-P154))</f>
        <v>62.2479349022757</v>
      </c>
      <c r="H154" s="198">
        <v>59.99</v>
      </c>
      <c r="I154" s="193">
        <f>94.4/1.13</f>
        <v>83.5398230088496</v>
      </c>
      <c r="J154" s="101">
        <v>7.08</v>
      </c>
      <c r="K154" s="18">
        <v>0.15</v>
      </c>
      <c r="L154" s="18">
        <v>0.16</v>
      </c>
      <c r="M154" s="18">
        <v>0.05</v>
      </c>
      <c r="N154" s="18">
        <f>Q154/H154</f>
        <v>0.100016669444907</v>
      </c>
      <c r="O154" s="195">
        <f>0.261/H154</f>
        <v>0.00435072512085348</v>
      </c>
      <c r="P154" s="18">
        <v>0.02</v>
      </c>
      <c r="Q154" s="193">
        <v>6</v>
      </c>
      <c r="R154" s="20">
        <v>32</v>
      </c>
      <c r="S154" s="20">
        <v>17.3</v>
      </c>
      <c r="T154" s="20">
        <v>17.3</v>
      </c>
      <c r="U154" s="20">
        <v>1.6</v>
      </c>
      <c r="V154" s="193">
        <f>R154*S154*T154/5000</f>
        <v>1.915456</v>
      </c>
      <c r="W154" s="193">
        <f>MAX(U154:V154)</f>
        <v>1.915456</v>
      </c>
      <c r="X154" s="20" t="s">
        <v>21</v>
      </c>
      <c r="Y154" s="196">
        <v>6.6317</v>
      </c>
      <c r="Z154" s="193">
        <v>17</v>
      </c>
      <c r="AA154" s="193">
        <f>H154-SUM(K154:P154)*H154-J154-I154/B154-Z154/B154</f>
        <v>11.2853221238938</v>
      </c>
      <c r="AB154" s="195">
        <f>AA154/H154</f>
        <v>0.188120055407465</v>
      </c>
      <c r="AC154" s="14"/>
      <c r="AD154" s="17">
        <f>J154/H154</f>
        <v>0.118019669944991</v>
      </c>
      <c r="AE154" s="18">
        <f>I154/7.4/H154</f>
        <v>0.188184118544193</v>
      </c>
      <c r="AF154" s="18">
        <f>Z154/7.4/H154</f>
        <v>0.0382946707334105</v>
      </c>
      <c r="AG154" s="18">
        <v>0.15</v>
      </c>
      <c r="AH154" s="18">
        <f>N154</f>
        <v>0.100016669444907</v>
      </c>
      <c r="AI154" s="18">
        <v>0.02</v>
      </c>
      <c r="AJ154" s="18">
        <f>M154</f>
        <v>0.05</v>
      </c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</row>
    <row r="155" spans="1:75">
      <c r="A155" s="22" t="s">
        <v>547</v>
      </c>
      <c r="B155" s="20">
        <v>8</v>
      </c>
      <c r="C155" s="20" t="s">
        <v>506</v>
      </c>
      <c r="D155" s="20" t="s">
        <v>511</v>
      </c>
      <c r="E155" s="20" t="s">
        <v>507</v>
      </c>
      <c r="F155" s="193">
        <f>IF(E155="有",(I155/B155+J155+Z155/B155)/(0.99999-K155-L155-M155-N155),(I155/B155+J155+Z155/B155)/(0.99999-K155-M155-N155))</f>
        <v>37.1505960581394</v>
      </c>
      <c r="G155" s="193">
        <f>IF(E155="有",(I155/B155+J155+Z155/B155)/(0.8-K155-L155-M155-N155-O155-P155),(I155/B155+J155+Z155/B155)/(0.8-K155-M155-N155-O155-P155))</f>
        <v>64.6221602883696</v>
      </c>
      <c r="H155" s="198">
        <f>H154*0.9</f>
        <v>53.991</v>
      </c>
      <c r="I155" s="193">
        <f>94.4/1.13</f>
        <v>83.5398230088496</v>
      </c>
      <c r="J155" s="101">
        <v>7.08</v>
      </c>
      <c r="K155" s="18">
        <v>0.15</v>
      </c>
      <c r="L155" s="18">
        <v>0.16</v>
      </c>
      <c r="M155" s="18">
        <v>0.05</v>
      </c>
      <c r="N155" s="18">
        <f>Q155/H155</f>
        <v>0.111129632716564</v>
      </c>
      <c r="O155" s="195">
        <f>0.261/H155</f>
        <v>0.00483413902317053</v>
      </c>
      <c r="P155" s="18">
        <v>0.02</v>
      </c>
      <c r="Q155" s="193">
        <v>6</v>
      </c>
      <c r="R155" s="20">
        <v>32</v>
      </c>
      <c r="S155" s="20">
        <v>17.3</v>
      </c>
      <c r="T155" s="20">
        <v>17.3</v>
      </c>
      <c r="U155" s="20">
        <v>1.6</v>
      </c>
      <c r="V155" s="193">
        <f>R155*S155*T155/5000</f>
        <v>1.915456</v>
      </c>
      <c r="W155" s="193">
        <f>MAX(U155:V155)</f>
        <v>1.915456</v>
      </c>
      <c r="X155" s="20" t="s">
        <v>21</v>
      </c>
      <c r="Y155" s="196">
        <v>6.6317</v>
      </c>
      <c r="Z155" s="193">
        <v>17</v>
      </c>
      <c r="AA155" s="193">
        <f>H155-SUM(K155:P155)*H155-J155-I155/B155-Z155/B155</f>
        <v>7.56594212389381</v>
      </c>
      <c r="AB155" s="195">
        <f>AA155/H155</f>
        <v>0.140133394897183</v>
      </c>
      <c r="AC155" s="14"/>
      <c r="AD155" s="17">
        <f>J155/H155</f>
        <v>0.131132966605545</v>
      </c>
      <c r="AE155" s="18">
        <f>I155/7.4/H155</f>
        <v>0.209093465049104</v>
      </c>
      <c r="AF155" s="18">
        <f>Z155/7.4/H155</f>
        <v>0.0425496341482339</v>
      </c>
      <c r="AG155" s="18">
        <v>0.15</v>
      </c>
      <c r="AH155" s="18">
        <f>N155</f>
        <v>0.111129632716564</v>
      </c>
      <c r="AI155" s="18">
        <v>0.02</v>
      </c>
      <c r="AJ155" s="18">
        <f>M155</f>
        <v>0.05</v>
      </c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</row>
    <row r="156" spans="1:75">
      <c r="A156" s="22" t="s">
        <v>548</v>
      </c>
      <c r="B156" s="20">
        <v>8</v>
      </c>
      <c r="C156" s="20" t="s">
        <v>506</v>
      </c>
      <c r="D156" s="20" t="s">
        <v>511</v>
      </c>
      <c r="E156" s="20" t="s">
        <v>507</v>
      </c>
      <c r="F156" s="193">
        <f>IF(E156="有",(I156/B156+J156+Z156/B156)/(0.99999-K156-L156-M156-N156),(I156/B156+J156+Z156/B156)/(0.99999-K156-M156-N156))</f>
        <v>38.1527269599048</v>
      </c>
      <c r="G156" s="193">
        <f>IF(E156="有",(I156/B156+J156+Z156/B156)/(0.8-K156-L156-M156-N156-O156-P156),(I156/B156+J156+Z156/B156)/(0.8-K156-M156-N156-O156-P156))</f>
        <v>67.8573824760924</v>
      </c>
      <c r="H156" s="198">
        <f>H154*0.8</f>
        <v>47.992</v>
      </c>
      <c r="I156" s="193">
        <f>94.4/1.13</f>
        <v>83.5398230088496</v>
      </c>
      <c r="J156" s="101">
        <v>7.08</v>
      </c>
      <c r="K156" s="18">
        <v>0.15</v>
      </c>
      <c r="L156" s="18">
        <v>0.16</v>
      </c>
      <c r="M156" s="18">
        <v>0.05</v>
      </c>
      <c r="N156" s="18">
        <f>Q156/H156</f>
        <v>0.125020836806134</v>
      </c>
      <c r="O156" s="195">
        <f>0.261/H156</f>
        <v>0.00543840640106684</v>
      </c>
      <c r="P156" s="18">
        <v>0.02</v>
      </c>
      <c r="Q156" s="193">
        <v>6</v>
      </c>
      <c r="R156" s="20">
        <v>32</v>
      </c>
      <c r="S156" s="20">
        <v>17.3</v>
      </c>
      <c r="T156" s="20">
        <v>17.3</v>
      </c>
      <c r="U156" s="20">
        <v>1.6</v>
      </c>
      <c r="V156" s="193">
        <f>R156*S156*T156/5000</f>
        <v>1.915456</v>
      </c>
      <c r="W156" s="193">
        <f>MAX(U156:V156)</f>
        <v>1.915456</v>
      </c>
      <c r="X156" s="20" t="s">
        <v>21</v>
      </c>
      <c r="Y156" s="196">
        <v>6.6317</v>
      </c>
      <c r="Z156" s="193">
        <v>17</v>
      </c>
      <c r="AA156" s="193">
        <f>H156-SUM(K156:P156)*H156-J156-I156/B156-Z156/B156</f>
        <v>3.84656212389381</v>
      </c>
      <c r="AB156" s="195">
        <f>AA156/H156</f>
        <v>0.0801500692593309</v>
      </c>
      <c r="AC156" s="14"/>
      <c r="AD156" s="17">
        <f>J156/H156</f>
        <v>0.147524587431239</v>
      </c>
      <c r="AE156" s="18">
        <f>I156/7.4/H156</f>
        <v>0.235230148180242</v>
      </c>
      <c r="AF156" s="18">
        <f>Z156/7.4/H156</f>
        <v>0.0478683384167631</v>
      </c>
      <c r="AG156" s="18">
        <v>0.15</v>
      </c>
      <c r="AH156" s="18">
        <f>N156</f>
        <v>0.125020836806134</v>
      </c>
      <c r="AI156" s="18">
        <v>0.02</v>
      </c>
      <c r="AJ156" s="18">
        <f>M156</f>
        <v>0.05</v>
      </c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</row>
    <row r="157" spans="1:75">
      <c r="B157" s="14"/>
      <c r="C157" s="20"/>
      <c r="D157" s="20"/>
      <c r="E157" s="20"/>
      <c r="F157" s="193"/>
      <c r="G157" s="193"/>
      <c r="H157" s="193"/>
      <c r="I157" s="193"/>
      <c r="J157" s="101"/>
      <c r="K157" s="18"/>
      <c r="L157" s="18"/>
      <c r="M157" s="18"/>
      <c r="N157" s="18"/>
      <c r="O157" s="195"/>
      <c r="P157" s="18"/>
      <c r="Q157" s="18"/>
      <c r="R157" s="20"/>
      <c r="S157" s="20"/>
      <c r="T157" s="20"/>
      <c r="U157" s="20"/>
      <c r="V157" s="193"/>
      <c r="W157" s="193"/>
      <c r="X157" s="20"/>
      <c r="Y157" s="196"/>
      <c r="Z157" s="193"/>
      <c r="AA157" s="193"/>
      <c r="AB157" s="195"/>
      <c r="AC157" s="14"/>
      <c r="AD157" s="17"/>
      <c r="AE157" s="18"/>
      <c r="AF157" s="18"/>
      <c r="AG157" s="18"/>
      <c r="AH157" s="18"/>
      <c r="AI157" s="18"/>
      <c r="AJ157" s="18"/>
    </row>
    <row r="158" spans="1:75">
      <c r="A158" s="22" t="s">
        <v>549</v>
      </c>
      <c r="B158" s="14">
        <v>8</v>
      </c>
      <c r="C158" s="20" t="s">
        <v>506</v>
      </c>
      <c r="D158" s="14" t="s">
        <v>513</v>
      </c>
      <c r="E158" s="20" t="s">
        <v>507</v>
      </c>
      <c r="F158" s="193">
        <f>IF(E158="有",(I158/B158+J158+Z158/B158)/(0.99999-K158-L158-M158-N158),(I158/B158+J158+Z158/B158)/(0.99999-K158-M158-N158))</f>
        <v>33.656387566268</v>
      </c>
      <c r="G158" s="193">
        <f>IF(E158="有",(I158/B158+J158+Z158/B158)/(0.8-K158-L158-M158-N158-O158-P158),(I158/B158+J158+Z158/B158)/(0.8-K158-M158-N158-O158-P158))</f>
        <v>58.3631886572504</v>
      </c>
      <c r="H158" s="198">
        <v>54.99</v>
      </c>
      <c r="I158" s="193">
        <f>94.4/1.13</f>
        <v>83.5398230088496</v>
      </c>
      <c r="J158" s="101">
        <v>5.3</v>
      </c>
      <c r="K158" s="18">
        <v>0.15</v>
      </c>
      <c r="L158" s="18">
        <v>0.16</v>
      </c>
      <c r="M158" s="18">
        <v>0.05</v>
      </c>
      <c r="N158" s="18">
        <f>Q158/H158</f>
        <v>0.10911074740862</v>
      </c>
      <c r="O158" s="195">
        <f>0.261/H158</f>
        <v>0.00474631751227496</v>
      </c>
      <c r="P158" s="18">
        <v>0.02</v>
      </c>
      <c r="Q158" s="193">
        <v>6</v>
      </c>
      <c r="R158" s="20">
        <v>32</v>
      </c>
      <c r="S158" s="20">
        <v>17.3</v>
      </c>
      <c r="T158" s="20">
        <v>17.3</v>
      </c>
      <c r="U158" s="20">
        <v>1.6</v>
      </c>
      <c r="V158" s="193">
        <f>R158*S158*T158/5000</f>
        <v>1.915456</v>
      </c>
      <c r="W158" s="193">
        <f>MAX(U158:V158)</f>
        <v>1.915456</v>
      </c>
      <c r="X158" s="20" t="s">
        <v>21</v>
      </c>
      <c r="Y158" s="196">
        <v>6.6317</v>
      </c>
      <c r="Z158" s="193">
        <v>17</v>
      </c>
      <c r="AA158" s="193">
        <f>H158-SUM(K158:P158)*H158-J158-I158/B158-Z158/B158</f>
        <v>9.96532212389381</v>
      </c>
      <c r="AB158" s="195">
        <f>AA158/H158</f>
        <v>0.181220624184285</v>
      </c>
      <c r="AC158" s="14"/>
      <c r="AD158" s="17">
        <f>J158/H158</f>
        <v>0.0963811602109474</v>
      </c>
      <c r="AE158" s="18">
        <f>I158/7.4/H158</f>
        <v>0.205294876731518</v>
      </c>
      <c r="AF158" s="18">
        <f>Z158/7.4/H158</f>
        <v>0.0417766375213184</v>
      </c>
      <c r="AG158" s="18">
        <v>0.15</v>
      </c>
      <c r="AH158" s="18">
        <f>N158</f>
        <v>0.10911074740862</v>
      </c>
      <c r="AI158" s="18">
        <v>0.02</v>
      </c>
      <c r="AJ158" s="18">
        <f>M158</f>
        <v>0.05</v>
      </c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</row>
    <row r="159" spans="1:75">
      <c r="A159" s="22" t="s">
        <v>547</v>
      </c>
      <c r="B159" s="20">
        <v>8</v>
      </c>
      <c r="C159" s="20" t="s">
        <v>506</v>
      </c>
      <c r="D159" s="20" t="s">
        <v>513</v>
      </c>
      <c r="E159" s="20" t="s">
        <v>507</v>
      </c>
      <c r="F159" s="193">
        <f>IF(E159="有",(I159/B159+J159+Z159/B159)/(0.99999-K159-L159-M159-N159),(I159/B159+J159+Z159/B159)/(0.99999-K159-M159-N159))</f>
        <v>34.4429433441248</v>
      </c>
      <c r="G159" s="193">
        <f>IF(E159="有",(I159/B159+J159+Z159/B159)/(0.8-K159-L159-M159-N159-O159-P159),(I159/B159+J159+Z159/B159)/(0.8-K159-M159-N159-O159-P159))</f>
        <v>60.8788952984101</v>
      </c>
      <c r="H159" s="198">
        <f>H158*0.9</f>
        <v>49.491</v>
      </c>
      <c r="I159" s="193">
        <f>94.4/1.13</f>
        <v>83.5398230088496</v>
      </c>
      <c r="J159" s="101">
        <v>5.3</v>
      </c>
      <c r="K159" s="18">
        <v>0.15</v>
      </c>
      <c r="L159" s="18">
        <v>0.16</v>
      </c>
      <c r="M159" s="18">
        <v>0.05</v>
      </c>
      <c r="N159" s="18">
        <f>Q159/H159</f>
        <v>0.121234163787355</v>
      </c>
      <c r="O159" s="195">
        <f>0.261/H159</f>
        <v>0.00527368612474995</v>
      </c>
      <c r="P159" s="18">
        <v>0.02</v>
      </c>
      <c r="Q159" s="193">
        <v>6</v>
      </c>
      <c r="R159" s="20">
        <v>32</v>
      </c>
      <c r="S159" s="20">
        <v>17.3</v>
      </c>
      <c r="T159" s="20">
        <v>17.3</v>
      </c>
      <c r="U159" s="20">
        <v>1.6</v>
      </c>
      <c r="V159" s="193">
        <f>R159*S159*T159/5000</f>
        <v>1.915456</v>
      </c>
      <c r="W159" s="193">
        <f>MAX(U159:V159)</f>
        <v>1.915456</v>
      </c>
      <c r="X159" s="20" t="s">
        <v>21</v>
      </c>
      <c r="Y159" s="196">
        <v>6.6317</v>
      </c>
      <c r="Z159" s="193">
        <v>17</v>
      </c>
      <c r="AA159" s="193">
        <f>H159-SUM(K159:P159)*H159-J159-I159/B159-Z159/B159</f>
        <v>6.55594212389381</v>
      </c>
      <c r="AB159" s="195">
        <f>AA159/H159</f>
        <v>0.132467360204761</v>
      </c>
      <c r="AC159" s="14"/>
      <c r="AD159" s="17">
        <f>J159/H159</f>
        <v>0.107090178012164</v>
      </c>
      <c r="AE159" s="18">
        <f>I159/7.4/H159</f>
        <v>0.228105418590575</v>
      </c>
      <c r="AF159" s="18">
        <f>Z159/7.4/H159</f>
        <v>0.0464184861347982</v>
      </c>
      <c r="AG159" s="18">
        <v>0.15</v>
      </c>
      <c r="AH159" s="18">
        <f>N159</f>
        <v>0.121234163787355</v>
      </c>
      <c r="AI159" s="18">
        <v>0.02</v>
      </c>
      <c r="AJ159" s="18">
        <f>M159</f>
        <v>0.05</v>
      </c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</row>
    <row r="160" spans="1:75">
      <c r="A160" s="22" t="s">
        <v>548</v>
      </c>
      <c r="B160" s="20">
        <v>8</v>
      </c>
      <c r="C160" s="20" t="s">
        <v>506</v>
      </c>
      <c r="D160" s="20" t="s">
        <v>513</v>
      </c>
      <c r="E160" s="20" t="s">
        <v>507</v>
      </c>
      <c r="F160" s="193">
        <f>IF(E160="有",(I160/B160+J160+Z160/B160)/(0.99999-K160-L160-M160-N160),(I160/B160+J160+Z160/B160)/(0.99999-K160-M160-N160))</f>
        <v>35.4793930195172</v>
      </c>
      <c r="G160" s="193">
        <f>IF(E160="有",(I160/B160+J160+Z160/B160)/(0.8-K160-L160-M160-N160-O160-P160),(I160/B160+J160+Z160/B160)/(0.8-K160-M160-N160-O160-P160))</f>
        <v>64.3458784579166</v>
      </c>
      <c r="H160" s="198">
        <f>H158*0.8</f>
        <v>43.992</v>
      </c>
      <c r="I160" s="193">
        <f>94.4/1.13</f>
        <v>83.5398230088496</v>
      </c>
      <c r="J160" s="101">
        <v>5.3</v>
      </c>
      <c r="K160" s="18">
        <v>0.15</v>
      </c>
      <c r="L160" s="18">
        <v>0.16</v>
      </c>
      <c r="M160" s="18">
        <v>0.05</v>
      </c>
      <c r="N160" s="18">
        <f>Q160/H160</f>
        <v>0.136388434260775</v>
      </c>
      <c r="O160" s="195">
        <f>0.261/H160</f>
        <v>0.0059328968903437</v>
      </c>
      <c r="P160" s="18">
        <v>0.02</v>
      </c>
      <c r="Q160" s="193">
        <v>6</v>
      </c>
      <c r="R160" s="20">
        <v>32</v>
      </c>
      <c r="S160" s="20">
        <v>17.3</v>
      </c>
      <c r="T160" s="20">
        <v>17.3</v>
      </c>
      <c r="U160" s="20">
        <v>1.6</v>
      </c>
      <c r="V160" s="193">
        <f>R160*S160*T160/5000</f>
        <v>1.915456</v>
      </c>
      <c r="W160" s="193">
        <f>MAX(U160:V160)</f>
        <v>1.915456</v>
      </c>
      <c r="X160" s="20" t="s">
        <v>21</v>
      </c>
      <c r="Y160" s="196">
        <v>6.6317</v>
      </c>
      <c r="Z160" s="193">
        <v>17</v>
      </c>
      <c r="AA160" s="193">
        <f>H160-SUM(K160:P160)*H160-J160-I160/B160-Z160/B160</f>
        <v>3.14656212389381</v>
      </c>
      <c r="AB160" s="195">
        <f>AA160/H160</f>
        <v>0.0715257802303557</v>
      </c>
      <c r="AC160" s="14"/>
      <c r="AD160" s="17">
        <f>J160/H160</f>
        <v>0.120476450263684</v>
      </c>
      <c r="AE160" s="18">
        <f>I160/7.4/H160</f>
        <v>0.256618595914397</v>
      </c>
      <c r="AF160" s="18">
        <f>Z160/7.4/H160</f>
        <v>0.052220796901648</v>
      </c>
      <c r="AG160" s="18">
        <v>0.15</v>
      </c>
      <c r="AH160" s="18">
        <f>N160</f>
        <v>0.136388434260775</v>
      </c>
      <c r="AI160" s="18">
        <v>0.02</v>
      </c>
      <c r="AJ160" s="18">
        <f>M160</f>
        <v>0.05</v>
      </c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</row>
    <row r="161" spans="1:75">
      <c r="B161" s="14"/>
      <c r="C161" s="20"/>
      <c r="D161" s="20"/>
      <c r="E161" s="20"/>
      <c r="F161" s="193"/>
      <c r="G161" s="193"/>
      <c r="H161" s="193"/>
      <c r="I161" s="193"/>
      <c r="J161" s="101"/>
      <c r="K161" s="18"/>
      <c r="L161" s="18"/>
      <c r="M161" s="18"/>
      <c r="N161" s="18"/>
      <c r="O161" s="195"/>
      <c r="P161" s="18"/>
      <c r="Q161" s="18"/>
      <c r="R161" s="20"/>
      <c r="S161" s="20"/>
      <c r="T161" s="20"/>
      <c r="U161" s="20"/>
      <c r="V161" s="193"/>
      <c r="W161" s="193"/>
      <c r="X161" s="20"/>
      <c r="Y161" s="196"/>
      <c r="Z161" s="193"/>
      <c r="AA161" s="193"/>
      <c r="AB161" s="195"/>
      <c r="AC161" s="14"/>
      <c r="AD161" s="17"/>
      <c r="AE161" s="18"/>
      <c r="AF161" s="18"/>
      <c r="AG161" s="18"/>
      <c r="AH161" s="18"/>
      <c r="AI161" s="18"/>
      <c r="AJ161" s="18"/>
    </row>
    <row r="162" spans="1:75">
      <c r="A162" s="22" t="s">
        <v>549</v>
      </c>
      <c r="B162" s="14">
        <v>8</v>
      </c>
      <c r="C162" s="20" t="s">
        <v>506</v>
      </c>
      <c r="D162" s="14" t="s">
        <v>516</v>
      </c>
      <c r="E162" s="20" t="s">
        <v>507</v>
      </c>
      <c r="F162" s="193">
        <f>IF(E162="有",(I162/B162+J162+Z162/B162)/(0.99999-K162-L162-M162-N162),(I162/B162+J162+Z162/B162)/(0.99999-K162-M162-N162))</f>
        <v>33.0536139629713</v>
      </c>
      <c r="G162" s="193">
        <f>IF(E162="有",(I162/B162+J162+Z162/B162)/(0.8-K162-L162-M162-N162-O162-P162),(I162/B162+J162+Z162/B162)/(0.8-K162-M162-N162-O162-P162))</f>
        <v>57.3179252742581</v>
      </c>
      <c r="H162" s="198">
        <v>54.99</v>
      </c>
      <c r="I162" s="193">
        <f>94.4/1.13</f>
        <v>83.5398230088496</v>
      </c>
      <c r="J162" s="101">
        <v>4.98</v>
      </c>
      <c r="K162" s="18">
        <v>0.15</v>
      </c>
      <c r="L162" s="18">
        <v>0.16</v>
      </c>
      <c r="M162" s="18">
        <v>0.05</v>
      </c>
      <c r="N162" s="18">
        <f>Q162/H162</f>
        <v>0.10911074740862</v>
      </c>
      <c r="O162" s="195">
        <f>0.261/H162</f>
        <v>0.00474631751227496</v>
      </c>
      <c r="P162" s="18">
        <v>0.02</v>
      </c>
      <c r="Q162" s="193">
        <v>6</v>
      </c>
      <c r="R162" s="20">
        <v>32</v>
      </c>
      <c r="S162" s="20">
        <v>17.3</v>
      </c>
      <c r="T162" s="20">
        <v>17.3</v>
      </c>
      <c r="U162" s="20">
        <v>1.6</v>
      </c>
      <c r="V162" s="193">
        <f>R162*S162*T162/5000</f>
        <v>1.915456</v>
      </c>
      <c r="W162" s="193">
        <f>MAX(U162:V162)</f>
        <v>1.915456</v>
      </c>
      <c r="X162" s="20" t="s">
        <v>21</v>
      </c>
      <c r="Y162" s="196">
        <v>6.6317</v>
      </c>
      <c r="Z162" s="193">
        <v>17</v>
      </c>
      <c r="AA162" s="193">
        <f>H162-SUM(K162:P162)*H162-J162-I162/B162-Z162/B162</f>
        <v>10.2853221238938</v>
      </c>
      <c r="AB162" s="195">
        <f>AA162/H162</f>
        <v>0.187039864046078</v>
      </c>
      <c r="AC162" s="14"/>
      <c r="AD162" s="17">
        <f>J162/H162</f>
        <v>0.0905619203491544</v>
      </c>
      <c r="AE162" s="18">
        <f>I162/7.4/H162</f>
        <v>0.205294876731518</v>
      </c>
      <c r="AF162" s="18">
        <f>Z162/7.4/H162</f>
        <v>0.0417766375213184</v>
      </c>
      <c r="AG162" s="18">
        <v>0.15</v>
      </c>
      <c r="AH162" s="18">
        <f>N162</f>
        <v>0.10911074740862</v>
      </c>
      <c r="AI162" s="18">
        <v>0.02</v>
      </c>
      <c r="AJ162" s="18">
        <f>M162</f>
        <v>0.05</v>
      </c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</row>
    <row r="163" spans="1:75">
      <c r="A163" s="22" t="s">
        <v>547</v>
      </c>
      <c r="B163" s="20">
        <v>8</v>
      </c>
      <c r="C163" s="20" t="s">
        <v>506</v>
      </c>
      <c r="D163" s="20" t="s">
        <v>516</v>
      </c>
      <c r="E163" s="20" t="s">
        <v>507</v>
      </c>
      <c r="F163" s="193">
        <f>IF(E163="有",(I163/B163+J163+Z163/B163)/(0.99999-K163-L163-M163-N163),(I163/B163+J163+Z163/B163)/(0.99999-K163-M163-N163))</f>
        <v>33.8260828142534</v>
      </c>
      <c r="G163" s="193">
        <f>IF(E163="有",(I163/B163+J163+Z163/B163)/(0.8-K163-L163-M163-N163-O163-P163),(I163/B163+J163+Z163/B163)/(0.8-K163-M163-N163-O163-P163))</f>
        <v>59.7885765287116</v>
      </c>
      <c r="H163" s="198">
        <f>H162*0.9</f>
        <v>49.491</v>
      </c>
      <c r="I163" s="193">
        <f>94.4/1.13</f>
        <v>83.5398230088496</v>
      </c>
      <c r="J163" s="101">
        <v>4.98</v>
      </c>
      <c r="K163" s="18">
        <v>0.15</v>
      </c>
      <c r="L163" s="18">
        <v>0.16</v>
      </c>
      <c r="M163" s="18">
        <v>0.05</v>
      </c>
      <c r="N163" s="18">
        <f>Q163/H163</f>
        <v>0.121234163787355</v>
      </c>
      <c r="O163" s="195">
        <f>0.261/H163</f>
        <v>0.00527368612474995</v>
      </c>
      <c r="P163" s="18">
        <v>0.02</v>
      </c>
      <c r="Q163" s="193">
        <v>6</v>
      </c>
      <c r="R163" s="20">
        <v>32</v>
      </c>
      <c r="S163" s="20">
        <v>17.3</v>
      </c>
      <c r="T163" s="20">
        <v>17.3</v>
      </c>
      <c r="U163" s="20">
        <v>1.6</v>
      </c>
      <c r="V163" s="193">
        <f>R163*S163*T163/5000</f>
        <v>1.915456</v>
      </c>
      <c r="W163" s="193">
        <f>MAX(U163:V163)</f>
        <v>1.915456</v>
      </c>
      <c r="X163" s="20" t="s">
        <v>21</v>
      </c>
      <c r="Y163" s="196">
        <v>6.6317</v>
      </c>
      <c r="Z163" s="193">
        <v>17</v>
      </c>
      <c r="AA163" s="193">
        <f>H163-SUM(K163:P163)*H163-J163-I163/B163-Z163/B163</f>
        <v>6.87594212389381</v>
      </c>
      <c r="AB163" s="195">
        <f>AA163/H163</f>
        <v>0.13893318227342</v>
      </c>
      <c r="AC163" s="14"/>
      <c r="AD163" s="17">
        <f>J163/H163</f>
        <v>0.100624355943505</v>
      </c>
      <c r="AE163" s="18">
        <f>I163/7.4/H163</f>
        <v>0.228105418590575</v>
      </c>
      <c r="AF163" s="18">
        <f>Z163/7.4/H163</f>
        <v>0.0464184861347982</v>
      </c>
      <c r="AG163" s="18">
        <v>0.15</v>
      </c>
      <c r="AH163" s="18">
        <f>N163</f>
        <v>0.121234163787355</v>
      </c>
      <c r="AI163" s="18">
        <v>0.02</v>
      </c>
      <c r="AJ163" s="18">
        <f>M163</f>
        <v>0.05</v>
      </c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</row>
    <row r="164" spans="1:75">
      <c r="A164" s="22" t="s">
        <v>548</v>
      </c>
      <c r="B164" s="20">
        <v>8</v>
      </c>
      <c r="C164" s="20" t="s">
        <v>506</v>
      </c>
      <c r="D164" s="20" t="s">
        <v>516</v>
      </c>
      <c r="E164" s="20" t="s">
        <v>507</v>
      </c>
      <c r="F164" s="193">
        <f>IF(E164="有",(I164/B164+J164+Z164/B164)/(0.99999-K164-L164-M164-N164),(I164/B164+J164+Z164/B164)/(0.99999-K164-M164-N164))</f>
        <v>34.8439700546774</v>
      </c>
      <c r="G164" s="193">
        <f>IF(E164="有",(I164/B164+J164+Z164/B164)/(0.8-K164-L164-M164-N164-O164-P164),(I164/B164+J164+Z164/B164)/(0.8-K164-M164-N164-O164-P164))</f>
        <v>63.193467286664</v>
      </c>
      <c r="H164" s="198">
        <f>H162*0.8</f>
        <v>43.992</v>
      </c>
      <c r="I164" s="193">
        <f>94.4/1.13</f>
        <v>83.5398230088496</v>
      </c>
      <c r="J164" s="101">
        <v>4.98</v>
      </c>
      <c r="K164" s="18">
        <v>0.15</v>
      </c>
      <c r="L164" s="18">
        <v>0.16</v>
      </c>
      <c r="M164" s="18">
        <v>0.05</v>
      </c>
      <c r="N164" s="18">
        <f>Q164/H164</f>
        <v>0.136388434260775</v>
      </c>
      <c r="O164" s="195">
        <f>0.261/H164</f>
        <v>0.0059328968903437</v>
      </c>
      <c r="P164" s="18">
        <v>0.02</v>
      </c>
      <c r="Q164" s="193">
        <v>6</v>
      </c>
      <c r="R164" s="20">
        <v>32</v>
      </c>
      <c r="S164" s="20">
        <v>17.3</v>
      </c>
      <c r="T164" s="20">
        <v>17.3</v>
      </c>
      <c r="U164" s="20">
        <v>1.6</v>
      </c>
      <c r="V164" s="193">
        <f>R164*S164*T164/5000</f>
        <v>1.915456</v>
      </c>
      <c r="W164" s="193">
        <f>MAX(U164:V164)</f>
        <v>1.915456</v>
      </c>
      <c r="X164" s="20" t="s">
        <v>21</v>
      </c>
      <c r="Y164" s="196">
        <v>6.6317</v>
      </c>
      <c r="Z164" s="193">
        <v>17</v>
      </c>
      <c r="AA164" s="193">
        <f>H164-SUM(K164:P164)*H164-J164-I164/B164-Z164/B164</f>
        <v>3.46656212389381</v>
      </c>
      <c r="AB164" s="195">
        <f>AA164/H164</f>
        <v>0.078799830057597</v>
      </c>
      <c r="AC164" s="14"/>
      <c r="AD164" s="17">
        <f>J164/H164</f>
        <v>0.113202400436443</v>
      </c>
      <c r="AE164" s="18">
        <f>I164/7.4/H164</f>
        <v>0.256618595914397</v>
      </c>
      <c r="AF164" s="18">
        <f>Z164/7.4/H164</f>
        <v>0.052220796901648</v>
      </c>
      <c r="AG164" s="18">
        <v>0.15</v>
      </c>
      <c r="AH164" s="18">
        <f>N164</f>
        <v>0.136388434260775</v>
      </c>
      <c r="AI164" s="18">
        <v>0.02</v>
      </c>
      <c r="AJ164" s="18">
        <f>M164</f>
        <v>0.05</v>
      </c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</row>
    <row r="165" spans="1:75">
      <c r="B165" s="14"/>
      <c r="C165" s="20"/>
      <c r="D165" s="20"/>
      <c r="E165" s="20"/>
      <c r="F165" s="193"/>
      <c r="G165" s="193"/>
      <c r="H165" s="193"/>
      <c r="I165" s="193"/>
      <c r="J165" s="101"/>
      <c r="K165" s="18"/>
      <c r="L165" s="18"/>
      <c r="M165" s="18"/>
      <c r="N165" s="18"/>
      <c r="O165" s="195"/>
      <c r="P165" s="18"/>
      <c r="Q165" s="18"/>
      <c r="R165" s="20"/>
      <c r="S165" s="20"/>
      <c r="T165" s="20"/>
      <c r="U165" s="20"/>
      <c r="V165" s="193"/>
      <c r="W165" s="193"/>
      <c r="X165" s="20"/>
      <c r="Y165" s="196"/>
      <c r="Z165" s="193"/>
      <c r="AA165" s="193"/>
      <c r="AB165" s="195"/>
      <c r="AC165" s="14"/>
      <c r="AD165" s="17"/>
      <c r="AE165" s="18"/>
      <c r="AF165" s="18"/>
      <c r="AG165" s="18"/>
      <c r="AH165" s="18"/>
      <c r="AI165" s="18"/>
      <c r="AJ165" s="18"/>
    </row>
    <row r="166" spans="1:75">
      <c r="A166" s="22" t="s">
        <v>550</v>
      </c>
      <c r="B166" s="14">
        <v>9</v>
      </c>
      <c r="C166" s="20" t="s">
        <v>517</v>
      </c>
      <c r="D166" s="20" t="s">
        <v>300</v>
      </c>
      <c r="E166" s="20" t="s">
        <v>507</v>
      </c>
      <c r="F166" s="193">
        <f>IF(E166="有",(I166/B166+J166+Z166/B166)/(0.99999-K166-L166-M166-N166),(I166/B166+J166+Z166/B166)/(0.99999-K166-M166-N166))</f>
        <v>30.6365810099153</v>
      </c>
      <c r="G166" s="193">
        <f>IF(E166="有",(I166/B166+J166+Z166/B166)/(0.8-K166-L166-M166-N166-O166-P166),(I166/B166+J166+Z166/B166)/(0.8-K166-M166-N166-O166-P166))</f>
        <v>54.044827002232</v>
      </c>
      <c r="H166" s="14">
        <v>49.99</v>
      </c>
      <c r="I166" s="193">
        <f>94.4/1.13</f>
        <v>83.5398230088496</v>
      </c>
      <c r="J166" s="101">
        <v>4.87</v>
      </c>
      <c r="K166" s="18">
        <v>0.15</v>
      </c>
      <c r="L166" s="18">
        <v>0.16</v>
      </c>
      <c r="M166" s="18">
        <v>0.05</v>
      </c>
      <c r="N166" s="18">
        <f>Q166/H166</f>
        <v>0.12002400480096</v>
      </c>
      <c r="O166" s="195">
        <f>0.261/H166</f>
        <v>0.00522104420884177</v>
      </c>
      <c r="P166" s="18">
        <v>0.02</v>
      </c>
      <c r="Q166" s="193">
        <v>6</v>
      </c>
      <c r="R166" s="20">
        <v>32</v>
      </c>
      <c r="S166" s="20">
        <v>17.3</v>
      </c>
      <c r="T166" s="20">
        <v>17.3</v>
      </c>
      <c r="U166" s="20">
        <v>1.6</v>
      </c>
      <c r="V166" s="193">
        <f>R166*S166*T166/6000</f>
        <v>1.59621333333333</v>
      </c>
      <c r="W166" s="193">
        <f>MAX(U166:V166)</f>
        <v>1.6</v>
      </c>
      <c r="X166" s="20" t="s">
        <v>21</v>
      </c>
      <c r="Y166" s="196">
        <v>6.6317</v>
      </c>
      <c r="Z166" s="193">
        <v>16</v>
      </c>
      <c r="AA166" s="193">
        <f>H166-SUM(K166:P166)*H166-J166-I166/B166-Z166/B166</f>
        <v>8.80281966568338</v>
      </c>
      <c r="AB166" s="195">
        <f>AA166/H166</f>
        <v>0.176091611635995</v>
      </c>
      <c r="AC166" s="14"/>
      <c r="AD166" s="17">
        <f>J166/H166</f>
        <v>0.0974194838967794</v>
      </c>
      <c r="AE166" s="18">
        <f>I166/7.4/H166</f>
        <v>0.225828471123548</v>
      </c>
      <c r="AF166" s="18">
        <f>Z166/7.4/H166</f>
        <v>0.0432518936219676</v>
      </c>
      <c r="AG166" s="18">
        <v>0.15</v>
      </c>
      <c r="AH166" s="18">
        <f>N166</f>
        <v>0.12002400480096</v>
      </c>
      <c r="AI166" s="18">
        <v>0.02</v>
      </c>
      <c r="AJ166" s="18">
        <f>M166</f>
        <v>0.05</v>
      </c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</row>
    <row r="167" spans="1:75">
      <c r="A167" s="22" t="s">
        <v>547</v>
      </c>
      <c r="B167" s="14">
        <v>9</v>
      </c>
      <c r="C167" s="20" t="s">
        <v>517</v>
      </c>
      <c r="D167" s="20" t="s">
        <v>300</v>
      </c>
      <c r="E167" s="20" t="s">
        <v>507</v>
      </c>
      <c r="F167" s="193">
        <f>IF(E167="有",(I167/B167+J167+Z167/B167)/(0.99999-K167-L167-M167-N167),(I167/B167+J167+Z167/B167)/(0.99999-K167-M167-N167))</f>
        <v>31.4430264730598</v>
      </c>
      <c r="G167" s="193">
        <f>IF(E167="有",(I167/B167+J167+Z167/B167)/(0.8-K167-L167-M167-N167-O167-P167),(I167/B167+J167+Z167/B167)/(0.8-K167-M167-N167-O167-P167))</f>
        <v>56.7228544672146</v>
      </c>
      <c r="H167" s="198">
        <f>H166*0.9</f>
        <v>44.991</v>
      </c>
      <c r="I167" s="193">
        <f>94.4/1.13</f>
        <v>83.5398230088496</v>
      </c>
      <c r="J167" s="101">
        <v>4.87</v>
      </c>
      <c r="K167" s="18">
        <v>0.15</v>
      </c>
      <c r="L167" s="18">
        <v>0.16</v>
      </c>
      <c r="M167" s="18">
        <v>0.05</v>
      </c>
      <c r="N167" s="18">
        <f>Q167/H167</f>
        <v>0.1333600053344</v>
      </c>
      <c r="O167" s="195">
        <f>0.261/H167</f>
        <v>0.00580116023204641</v>
      </c>
      <c r="P167" s="18">
        <v>0.02</v>
      </c>
      <c r="Q167" s="193">
        <v>6</v>
      </c>
      <c r="R167" s="20">
        <v>32</v>
      </c>
      <c r="S167" s="20">
        <v>17.3</v>
      </c>
      <c r="T167" s="20">
        <v>17.3</v>
      </c>
      <c r="U167" s="20">
        <v>1.6</v>
      </c>
      <c r="V167" s="193">
        <f>R167*S167*T167/6000</f>
        <v>1.59621333333333</v>
      </c>
      <c r="W167" s="193">
        <f>MAX(U167:V167)</f>
        <v>1.6</v>
      </c>
      <c r="X167" s="20" t="s">
        <v>21</v>
      </c>
      <c r="Y167" s="196">
        <v>6.6317</v>
      </c>
      <c r="Z167" s="193">
        <v>16</v>
      </c>
      <c r="AA167" s="193">
        <f>H167-SUM(K167:P167)*H167-J167-I167/B167-Z167/B167</f>
        <v>5.70343966568338</v>
      </c>
      <c r="AB167" s="195">
        <f>AA167/H167</f>
        <v>0.126768457373328</v>
      </c>
      <c r="AC167" s="14"/>
      <c r="AD167" s="17">
        <f>J167/H167</f>
        <v>0.108243870996422</v>
      </c>
      <c r="AE167" s="18">
        <f>I167/7.4/H167</f>
        <v>0.250920523470609</v>
      </c>
      <c r="AF167" s="18">
        <f>Z167/7.4/H167</f>
        <v>0.048057659579964</v>
      </c>
      <c r="AG167" s="18">
        <v>0.15</v>
      </c>
      <c r="AH167" s="18">
        <f>N167</f>
        <v>0.1333600053344</v>
      </c>
      <c r="AI167" s="18">
        <v>0.02</v>
      </c>
      <c r="AJ167" s="18">
        <f>M167</f>
        <v>0.05</v>
      </c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</row>
    <row r="168" spans="1:75">
      <c r="A168" s="22" t="s">
        <v>548</v>
      </c>
      <c r="B168" s="14">
        <v>9</v>
      </c>
      <c r="C168" s="20" t="s">
        <v>517</v>
      </c>
      <c r="D168" s="20" t="s">
        <v>300</v>
      </c>
      <c r="E168" s="20" t="s">
        <v>507</v>
      </c>
      <c r="F168" s="193">
        <f>IF(E168="有",(I168/B168+J168+Z168/B168)/(0.99999-K168-L168-M168-N168),(I168/B168+J168+Z168/B168)/(0.99999-K168-M168-N168))</f>
        <v>32.5128184534096</v>
      </c>
      <c r="G168" s="193">
        <f>IF(E168="有",(I168/B168+J168+Z168/B168)/(0.8-K168-L168-M168-N168-O168-P168),(I168/B168+J168+Z168/B168)/(0.8-K168-M168-N168-O168-P168))</f>
        <v>60.4682557044461</v>
      </c>
      <c r="H168" s="198">
        <f>H166*0.8</f>
        <v>39.992</v>
      </c>
      <c r="I168" s="193">
        <f>94.4/1.13</f>
        <v>83.5398230088496</v>
      </c>
      <c r="J168" s="101">
        <v>4.87</v>
      </c>
      <c r="K168" s="18">
        <v>0.15</v>
      </c>
      <c r="L168" s="18">
        <v>0.16</v>
      </c>
      <c r="M168" s="18">
        <v>0.05</v>
      </c>
      <c r="N168" s="18">
        <f>Q168/H168</f>
        <v>0.1500300060012</v>
      </c>
      <c r="O168" s="195">
        <f>0.261/H168</f>
        <v>0.00652630526105221</v>
      </c>
      <c r="P168" s="18">
        <v>0.02</v>
      </c>
      <c r="Q168" s="193">
        <v>6</v>
      </c>
      <c r="R168" s="20">
        <v>32</v>
      </c>
      <c r="S168" s="20">
        <v>17.3</v>
      </c>
      <c r="T168" s="20">
        <v>17.3</v>
      </c>
      <c r="U168" s="20">
        <v>1.6</v>
      </c>
      <c r="V168" s="193">
        <f>R168*S168*T168/6000</f>
        <v>1.59621333333333</v>
      </c>
      <c r="W168" s="193">
        <f>MAX(U168:V168)</f>
        <v>1.6</v>
      </c>
      <c r="X168" s="20" t="s">
        <v>21</v>
      </c>
      <c r="Y168" s="196">
        <v>6.6317</v>
      </c>
      <c r="Z168" s="193">
        <v>16</v>
      </c>
      <c r="AA168" s="193">
        <f>H168-SUM(K168:P168)*H168-J168-I168/B168-Z168/B168</f>
        <v>2.60405966568338</v>
      </c>
      <c r="AB168" s="195">
        <f>AA168/H168</f>
        <v>0.0651145145449935</v>
      </c>
      <c r="AC168" s="14"/>
      <c r="AD168" s="17">
        <f>J168/H168</f>
        <v>0.121774354870974</v>
      </c>
      <c r="AE168" s="18">
        <f>I168/7.4/H168</f>
        <v>0.282285588904435</v>
      </c>
      <c r="AF168" s="18">
        <f>Z168/7.4/H168</f>
        <v>0.0540648670274595</v>
      </c>
      <c r="AG168" s="18">
        <v>0.15</v>
      </c>
      <c r="AH168" s="18">
        <f>N168</f>
        <v>0.1500300060012</v>
      </c>
      <c r="AI168" s="18">
        <v>0.02</v>
      </c>
      <c r="AJ168" s="18">
        <f>M168</f>
        <v>0.05</v>
      </c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</row>
    <row r="169" spans="1:75">
      <c r="B169" s="14"/>
      <c r="C169" s="20"/>
      <c r="D169" s="20"/>
      <c r="E169" s="20"/>
      <c r="F169" s="193"/>
      <c r="G169" s="193"/>
      <c r="H169" s="193"/>
      <c r="I169" s="193"/>
      <c r="J169" s="101"/>
      <c r="K169" s="18"/>
      <c r="L169" s="18"/>
      <c r="M169" s="18"/>
      <c r="N169" s="18"/>
      <c r="O169" s="195"/>
      <c r="P169" s="18"/>
      <c r="Q169" s="193"/>
      <c r="R169" s="20"/>
      <c r="S169" s="20"/>
      <c r="T169" s="20"/>
      <c r="U169" s="20"/>
      <c r="V169" s="193"/>
      <c r="W169" s="193"/>
      <c r="X169" s="20"/>
      <c r="Y169" s="196"/>
      <c r="Z169" s="193"/>
      <c r="AA169" s="193"/>
      <c r="AB169" s="195"/>
      <c r="AC169" s="14"/>
      <c r="AD169" s="17"/>
      <c r="AE169" s="18"/>
      <c r="AF169" s="18"/>
      <c r="AG169" s="18"/>
      <c r="AH169" s="18"/>
      <c r="AI169" s="18"/>
      <c r="AJ169" s="18"/>
    </row>
    <row r="170" spans="1:75">
      <c r="A170" s="199" t="s">
        <v>551</v>
      </c>
      <c r="B170" s="14">
        <v>7</v>
      </c>
      <c r="C170" s="14" t="s">
        <v>552</v>
      </c>
      <c r="D170" s="14" t="s">
        <v>407</v>
      </c>
      <c r="E170" s="20" t="s">
        <v>546</v>
      </c>
      <c r="F170" s="193">
        <f>IF(E170="有",(I170/B170+J170+Z170/B170)/(0.99999-K170-L170-M170-N170),(I170/B170+J170+Z170/B170)/(0.99999-K170-M170-N170))</f>
        <v>12.0815353428327</v>
      </c>
      <c r="G170" s="193">
        <f>IF(E170="有",(I170/B170+J170+Z170/B170)/(0.8-K170-L170-M170-N170-O170-P170),(I170/B170+J170+Z170/B170)/(0.8-K170-M170-N170-O170-P170))</f>
        <v>17.1797136091996</v>
      </c>
      <c r="H170" s="198">
        <v>14.99</v>
      </c>
      <c r="I170" s="193">
        <f>16.9/1.13</f>
        <v>14.9557522123894</v>
      </c>
      <c r="J170" s="101">
        <v>6.1</v>
      </c>
      <c r="K170" s="18">
        <v>0.15</v>
      </c>
      <c r="L170" s="18">
        <v>0</v>
      </c>
      <c r="M170" s="18">
        <v>0.05</v>
      </c>
      <c r="N170" s="18">
        <f>Q170/H170</f>
        <v>0</v>
      </c>
      <c r="O170" s="195">
        <f>0.261/H170</f>
        <v>0.0174116077384923</v>
      </c>
      <c r="P170" s="18">
        <v>0.02</v>
      </c>
      <c r="Q170" s="193">
        <v>0</v>
      </c>
      <c r="R170" s="20">
        <v>32</v>
      </c>
      <c r="S170" s="20">
        <v>17.3</v>
      </c>
      <c r="T170" s="20">
        <v>17.3</v>
      </c>
      <c r="U170" s="20">
        <v>1.6</v>
      </c>
      <c r="V170" s="193">
        <f>R170*S170*T170/5000</f>
        <v>1.915456</v>
      </c>
      <c r="W170" s="193">
        <f>MAX(U170:V170)</f>
        <v>1.915456</v>
      </c>
      <c r="X170" s="20" t="s">
        <v>21</v>
      </c>
      <c r="Y170" s="196">
        <v>6.6317</v>
      </c>
      <c r="Z170" s="193">
        <v>10</v>
      </c>
      <c r="AA170" s="193">
        <f>H170-SUM(K170:P170)*H170-J170-I170/B170-Z170/B170</f>
        <v>1.76609254108723</v>
      </c>
      <c r="AB170" s="195">
        <f>AA170/H170</f>
        <v>0.117818048104552</v>
      </c>
      <c r="AC170" s="14"/>
      <c r="AD170" s="17">
        <f>J170/H170</f>
        <v>0.406937958639093</v>
      </c>
      <c r="AE170" s="18">
        <f>I170/7.4/H170</f>
        <v>0.134826390678375</v>
      </c>
      <c r="AF170" s="18">
        <f>Z170/7.4/H170</f>
        <v>0.0901501902169013</v>
      </c>
      <c r="AG170" s="18">
        <v>0.15</v>
      </c>
      <c r="AH170" s="18">
        <f>N170</f>
        <v>0</v>
      </c>
      <c r="AI170" s="18">
        <v>0.02</v>
      </c>
      <c r="AJ170" s="18">
        <f>M170</f>
        <v>0.05</v>
      </c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</row>
    <row r="171" spans="1:75">
      <c r="A171" s="22" t="s">
        <v>553</v>
      </c>
      <c r="B171" s="14">
        <v>7</v>
      </c>
      <c r="C171" s="20" t="s">
        <v>552</v>
      </c>
      <c r="D171" s="20" t="s">
        <v>407</v>
      </c>
      <c r="E171" s="20" t="s">
        <v>546</v>
      </c>
      <c r="F171" s="193">
        <f>IF(E171="有",(I171/B171+J171+Z171/B171)/(0.99999-K171-L171-M171-N171),(I171/B171+J171+Z171/B171)/(0.99999-K171-M171-N171))</f>
        <v>12.0815353428327</v>
      </c>
      <c r="G171" s="193">
        <f>IF(E171="有",(I171/B171+J171+Z171/B171)/(0.8-K171-L171-M171-N171-O171-P171),(I171/B171+J171+Z171/B171)/(0.8-K171-M171-N171-O171-P171))</f>
        <v>17.2389948845937</v>
      </c>
      <c r="H171" s="198">
        <f>H170*0.9</f>
        <v>13.491</v>
      </c>
      <c r="I171" s="193">
        <f>16.9/1.13</f>
        <v>14.9557522123894</v>
      </c>
      <c r="J171" s="101">
        <v>6.1</v>
      </c>
      <c r="K171" s="18">
        <v>0.15</v>
      </c>
      <c r="L171" s="18">
        <v>0</v>
      </c>
      <c r="M171" s="18">
        <v>0.05</v>
      </c>
      <c r="N171" s="18">
        <f>Q171/H171</f>
        <v>0</v>
      </c>
      <c r="O171" s="195">
        <f>0.261/H171</f>
        <v>0.019346230820547</v>
      </c>
      <c r="P171" s="18">
        <v>0.02</v>
      </c>
      <c r="Q171" s="193">
        <v>0</v>
      </c>
      <c r="R171" s="20">
        <v>32</v>
      </c>
      <c r="S171" s="20">
        <v>17.3</v>
      </c>
      <c r="T171" s="20">
        <v>17.3</v>
      </c>
      <c r="U171" s="20">
        <v>1.6</v>
      </c>
      <c r="V171" s="193">
        <f>R171*S171*T171/5000</f>
        <v>1.915456</v>
      </c>
      <c r="W171" s="193">
        <f>MAX(U171:V171)</f>
        <v>1.915456</v>
      </c>
      <c r="X171" s="20" t="s">
        <v>21</v>
      </c>
      <c r="Y171" s="196">
        <v>6.6317</v>
      </c>
      <c r="Z171" s="193">
        <v>10</v>
      </c>
      <c r="AA171" s="193">
        <f>H171-SUM(K171:P171)*H171-J171-I171/B171-Z171/B171</f>
        <v>0.596872541087231</v>
      </c>
      <c r="AB171" s="195">
        <f>AA171/H171</f>
        <v>0.0442422756717242</v>
      </c>
      <c r="AC171" s="14"/>
      <c r="AD171" s="17">
        <f>J171/H171</f>
        <v>0.45215328737677</v>
      </c>
      <c r="AE171" s="18">
        <f>I171/7.4/H171</f>
        <v>0.14980710075375</v>
      </c>
      <c r="AF171" s="18">
        <f>Z171/7.4/H171</f>
        <v>0.100166878018779</v>
      </c>
      <c r="AG171" s="18">
        <v>0.15</v>
      </c>
      <c r="AH171" s="18">
        <f>N171</f>
        <v>0</v>
      </c>
      <c r="AI171" s="18">
        <v>0.02</v>
      </c>
      <c r="AJ171" s="18">
        <f>M171</f>
        <v>0.05</v>
      </c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</row>
    <row r="172" spans="1:75">
      <c r="A172" s="22" t="s">
        <v>554</v>
      </c>
      <c r="B172" s="14">
        <v>7</v>
      </c>
      <c r="C172" s="20" t="s">
        <v>552</v>
      </c>
      <c r="D172" s="20" t="s">
        <v>407</v>
      </c>
      <c r="E172" s="20" t="s">
        <v>546</v>
      </c>
      <c r="F172" s="193">
        <f>IF(E172="有",(I172/B172+J172+Z172/B172)/(0.99999-K172-L172-M172-N172),(I172/B172+J172+Z172/B172)/(0.99999-K172-M172-N172))</f>
        <v>12.0815353428327</v>
      </c>
      <c r="G172" s="193">
        <f>IF(E172="有",(I172/B172+J172+Z172/B172)/(0.8-K172-L172-M172-N172-O172-P172),(I172/B172+J172+Z172/B172)/(0.8-K172-M172-N172-O172-P172))</f>
        <v>17.3136742940747</v>
      </c>
      <c r="H172" s="198">
        <f>H170*0.8</f>
        <v>11.992</v>
      </c>
      <c r="I172" s="193">
        <f>16.9/1.13</f>
        <v>14.9557522123894</v>
      </c>
      <c r="J172" s="101">
        <v>6.1</v>
      </c>
      <c r="K172" s="18">
        <v>0.15</v>
      </c>
      <c r="L172" s="18">
        <v>0</v>
      </c>
      <c r="M172" s="18">
        <v>0.05</v>
      </c>
      <c r="N172" s="18">
        <f>Q172/H172</f>
        <v>0</v>
      </c>
      <c r="O172" s="195">
        <f>0.261/H172</f>
        <v>0.0217645096731154</v>
      </c>
      <c r="P172" s="18">
        <v>0.02</v>
      </c>
      <c r="Q172" s="193">
        <v>0</v>
      </c>
      <c r="R172" s="20">
        <v>32</v>
      </c>
      <c r="S172" s="20">
        <v>17.3</v>
      </c>
      <c r="T172" s="20">
        <v>17.3</v>
      </c>
      <c r="U172" s="20">
        <v>1.6</v>
      </c>
      <c r="V172" s="193">
        <f>R172*S172*T172/5000</f>
        <v>1.915456</v>
      </c>
      <c r="W172" s="193">
        <f>MAX(U172:V172)</f>
        <v>1.915456</v>
      </c>
      <c r="X172" s="20" t="s">
        <v>21</v>
      </c>
      <c r="Y172" s="196">
        <v>6.6317</v>
      </c>
      <c r="Z172" s="193">
        <v>10</v>
      </c>
      <c r="AA172" s="193">
        <f>H172-SUM(K172:P172)*H172-J172-I172/B172-Z172/B172</f>
        <v>-0.572347458912768</v>
      </c>
      <c r="AB172" s="195">
        <f>AA172/H172</f>
        <v>-0.0477274398693102</v>
      </c>
      <c r="AC172" s="14"/>
      <c r="AD172" s="17">
        <f>J172/H172</f>
        <v>0.508672448298866</v>
      </c>
      <c r="AE172" s="18">
        <f>I172/7.4/H172</f>
        <v>0.168532988347968</v>
      </c>
      <c r="AF172" s="18">
        <f>Z172/7.4/H172</f>
        <v>0.112687737771127</v>
      </c>
      <c r="AG172" s="18">
        <v>0.15</v>
      </c>
      <c r="AH172" s="18">
        <f>N172</f>
        <v>0</v>
      </c>
      <c r="AI172" s="18">
        <v>0.02</v>
      </c>
      <c r="AJ172" s="18">
        <f>M172</f>
        <v>0.05</v>
      </c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</row>
    <row r="173" spans="1:75">
      <c r="A173" s="21"/>
      <c r="B173" s="14"/>
      <c r="C173" s="20"/>
      <c r="D173" s="20"/>
      <c r="E173" s="20"/>
      <c r="F173" s="193"/>
      <c r="G173" s="193"/>
      <c r="H173" s="198"/>
      <c r="I173" s="193"/>
      <c r="J173" s="101"/>
      <c r="K173" s="18"/>
      <c r="L173" s="18"/>
      <c r="M173" s="18"/>
      <c r="N173" s="18"/>
      <c r="O173" s="195"/>
      <c r="P173" s="18"/>
      <c r="Q173" s="193"/>
      <c r="R173" s="20"/>
      <c r="S173" s="20"/>
      <c r="T173" s="20"/>
      <c r="U173" s="20"/>
      <c r="V173" s="193"/>
      <c r="W173" s="193"/>
      <c r="X173" s="20"/>
      <c r="Y173" s="196"/>
      <c r="Z173" s="193"/>
      <c r="AA173" s="193"/>
      <c r="AB173" s="195"/>
      <c r="AC173" s="14"/>
      <c r="AD173" s="17"/>
      <c r="AE173" s="18"/>
      <c r="AF173" s="18"/>
      <c r="AG173" s="18"/>
      <c r="AH173" s="18"/>
      <c r="AI173" s="18"/>
      <c r="AJ173" s="18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</row>
    <row r="174" spans="1:75">
      <c r="A174" s="199" t="s">
        <v>551</v>
      </c>
      <c r="B174" s="14">
        <v>8</v>
      </c>
      <c r="C174" s="20" t="s">
        <v>506</v>
      </c>
      <c r="D174" s="20" t="s">
        <v>277</v>
      </c>
      <c r="E174" s="20" t="s">
        <v>507</v>
      </c>
      <c r="F174" s="193">
        <f>IF(E174="有",(I174/B174+J174+Z174/B174)/(0.99999-K174-L174-M174-N174),(I174/B174+J174+Z174/B174)/(0.99999-K174-M174-N174))</f>
        <v>12.686868586304</v>
      </c>
      <c r="G174" s="193">
        <f>IF(E174="有",(I174/B174+J174+Z174/B174)/(0.8-K174-L174-M174-N174-O174-P174),(I174/B174+J174+Z174/B174)/(0.8-K174-M174-N174-O174-P174))</f>
        <v>20.1681647623723</v>
      </c>
      <c r="H174" s="198">
        <v>14.99</v>
      </c>
      <c r="I174" s="193">
        <f>16.9/1.13</f>
        <v>14.9557522123894</v>
      </c>
      <c r="J174" s="101">
        <v>5</v>
      </c>
      <c r="K174" s="18">
        <v>0.15</v>
      </c>
      <c r="L174" s="18">
        <v>0.16</v>
      </c>
      <c r="M174" s="18">
        <v>0.05</v>
      </c>
      <c r="N174" s="18">
        <f>Q174/H174</f>
        <v>0</v>
      </c>
      <c r="O174" s="195">
        <f>0.261/H174</f>
        <v>0.0174116077384923</v>
      </c>
      <c r="P174" s="18">
        <v>0.02</v>
      </c>
      <c r="Q174" s="193">
        <v>0</v>
      </c>
      <c r="R174" s="20">
        <v>32</v>
      </c>
      <c r="S174" s="20">
        <v>17.3</v>
      </c>
      <c r="T174" s="20">
        <v>17.3</v>
      </c>
      <c r="U174" s="20">
        <v>1.6</v>
      </c>
      <c r="V174" s="193">
        <f>R174*S174*T174/5000</f>
        <v>1.915456</v>
      </c>
      <c r="W174" s="193">
        <f>MAX(U174:V174)</f>
        <v>1.915456</v>
      </c>
      <c r="X174" s="20" t="s">
        <v>21</v>
      </c>
      <c r="Y174" s="196">
        <v>6.6317</v>
      </c>
      <c r="Z174" s="193">
        <v>10</v>
      </c>
      <c r="AA174" s="193">
        <f>H174-SUM(K174:P174)*H174-J174-I174/B174-Z174/B174</f>
        <v>0.913330973451327</v>
      </c>
      <c r="AB174" s="195">
        <f>AA174/H174</f>
        <v>0.0609293511308424</v>
      </c>
      <c r="AC174" s="14"/>
      <c r="AD174" s="17">
        <f>J174/H174</f>
        <v>0.333555703802535</v>
      </c>
      <c r="AE174" s="18">
        <f>I174/7.4/H174</f>
        <v>0.134826390678375</v>
      </c>
      <c r="AF174" s="18">
        <f>Z174/7.4/H174</f>
        <v>0.0901501902169013</v>
      </c>
      <c r="AG174" s="18">
        <v>0.15</v>
      </c>
      <c r="AH174" s="18">
        <f>N174</f>
        <v>0</v>
      </c>
      <c r="AI174" s="18">
        <v>0.02</v>
      </c>
      <c r="AJ174" s="18">
        <f>M174</f>
        <v>0.05</v>
      </c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</row>
    <row r="175" spans="1:75">
      <c r="A175" s="199" t="s">
        <v>553</v>
      </c>
      <c r="B175" s="20">
        <v>8</v>
      </c>
      <c r="C175" s="20" t="s">
        <v>506</v>
      </c>
      <c r="D175" s="20" t="s">
        <v>277</v>
      </c>
      <c r="E175" s="20" t="s">
        <v>507</v>
      </c>
      <c r="F175" s="193">
        <f>IF(E175="有",(I175/B175+J175+Z175/B175)/(0.99999-K175-L175-M175-N175),(I175/B175+J175+Z175/B175)/(0.99999-K175-M175-N175))</f>
        <v>12.686868586304</v>
      </c>
      <c r="G175" s="193">
        <f>IF(E175="有",(I175/B175+J175+Z175/B175)/(0.8-K175-L175-M175-N175-O175-P175),(I175/B175+J175+Z175/B175)/(0.8-K175-M175-N175-O175-P175))</f>
        <v>20.2655500862441</v>
      </c>
      <c r="H175" s="198">
        <f>H174*0.9</f>
        <v>13.491</v>
      </c>
      <c r="I175" s="193">
        <f>16.9/1.13</f>
        <v>14.9557522123894</v>
      </c>
      <c r="J175" s="101">
        <v>5</v>
      </c>
      <c r="K175" s="18">
        <v>0.15</v>
      </c>
      <c r="L175" s="18">
        <v>0.16</v>
      </c>
      <c r="M175" s="18">
        <v>0.05</v>
      </c>
      <c r="N175" s="18">
        <f>Q175/H175</f>
        <v>0</v>
      </c>
      <c r="O175" s="195">
        <f>0.261/H175</f>
        <v>0.019346230820547</v>
      </c>
      <c r="P175" s="18">
        <v>0.02</v>
      </c>
      <c r="Q175" s="193">
        <v>0</v>
      </c>
      <c r="R175" s="20">
        <v>32</v>
      </c>
      <c r="S175" s="20">
        <v>17.3</v>
      </c>
      <c r="T175" s="20">
        <v>17.3</v>
      </c>
      <c r="U175" s="20">
        <v>1.6</v>
      </c>
      <c r="V175" s="193">
        <f>R175*S175*T175/5000</f>
        <v>1.915456</v>
      </c>
      <c r="W175" s="193">
        <f>MAX(U175:V175)</f>
        <v>1.915456</v>
      </c>
      <c r="X175" s="20" t="s">
        <v>21</v>
      </c>
      <c r="Y175" s="196">
        <v>6.6317</v>
      </c>
      <c r="Z175" s="193">
        <v>10</v>
      </c>
      <c r="AA175" s="193">
        <f>H175-SUM(K175:P175)*H175-J175-I175/B175-Z175/B175</f>
        <v>-0.0160490265486728</v>
      </c>
      <c r="AB175" s="195">
        <f>AA175/H175</f>
        <v>-0.00118960985461958</v>
      </c>
      <c r="AC175" s="14"/>
      <c r="AD175" s="17">
        <f>J175/H175</f>
        <v>0.370617448669483</v>
      </c>
      <c r="AE175" s="18">
        <f>I175/7.4/H175</f>
        <v>0.14980710075375</v>
      </c>
      <c r="AF175" s="18">
        <f>Z175/7.4/H175</f>
        <v>0.100166878018779</v>
      </c>
      <c r="AG175" s="18">
        <v>0.15</v>
      </c>
      <c r="AH175" s="18">
        <f>N175</f>
        <v>0</v>
      </c>
      <c r="AI175" s="18">
        <v>0.02</v>
      </c>
      <c r="AJ175" s="18">
        <f>M175</f>
        <v>0.05</v>
      </c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</row>
    <row r="176" spans="1:75">
      <c r="A176" s="199" t="s">
        <v>554</v>
      </c>
      <c r="B176" s="20">
        <v>8</v>
      </c>
      <c r="C176" s="20" t="s">
        <v>506</v>
      </c>
      <c r="D176" s="20" t="s">
        <v>277</v>
      </c>
      <c r="E176" s="20" t="s">
        <v>507</v>
      </c>
      <c r="F176" s="193">
        <f>IF(E176="有",(I176/B176+J176+Z176/B176)/(0.99999-K176-L176-M176-N176),(I176/B176+J176+Z176/B176)/(0.99999-K176-M176-N176))</f>
        <v>12.686868586304</v>
      </c>
      <c r="G176" s="193">
        <f>IF(E176="有",(I176/B176+J176+Z176/B176)/(0.8-K176-L176-M176-N176-O176-P176),(I176/B176+J176+Z176/B176)/(0.8-K176-M176-N176-O176-P176))</f>
        <v>20.3886123255462</v>
      </c>
      <c r="H176" s="198">
        <f>H174*0.8</f>
        <v>11.992</v>
      </c>
      <c r="I176" s="193">
        <f>16.9/1.13</f>
        <v>14.9557522123894</v>
      </c>
      <c r="J176" s="101">
        <v>5</v>
      </c>
      <c r="K176" s="18">
        <v>0.15</v>
      </c>
      <c r="L176" s="18">
        <v>0.16</v>
      </c>
      <c r="M176" s="18">
        <v>0.05</v>
      </c>
      <c r="N176" s="18">
        <f>Q176/H176</f>
        <v>0</v>
      </c>
      <c r="O176" s="195">
        <f>0.261/H176</f>
        <v>0.0217645096731154</v>
      </c>
      <c r="P176" s="18">
        <v>0.02</v>
      </c>
      <c r="Q176" s="193">
        <v>0</v>
      </c>
      <c r="R176" s="20">
        <v>32</v>
      </c>
      <c r="S176" s="20">
        <v>17.3</v>
      </c>
      <c r="T176" s="20">
        <v>17.3</v>
      </c>
      <c r="U176" s="20">
        <v>1.6</v>
      </c>
      <c r="V176" s="193">
        <f>R176*S176*T176/5000</f>
        <v>1.915456</v>
      </c>
      <c r="W176" s="193">
        <f>MAX(U176:V176)</f>
        <v>1.915456</v>
      </c>
      <c r="X176" s="20" t="s">
        <v>21</v>
      </c>
      <c r="Y176" s="196">
        <v>6.6317</v>
      </c>
      <c r="Z176" s="193">
        <v>10</v>
      </c>
      <c r="AA176" s="193">
        <f>H176-SUM(K176:P176)*H176-J176-I176/B176-Z176/B176</f>
        <v>-0.945429026548672</v>
      </c>
      <c r="AB176" s="195">
        <f>AA176/H176</f>
        <v>-0.078838311086447</v>
      </c>
      <c r="AC176" s="14"/>
      <c r="AD176" s="17">
        <f>J176/H176</f>
        <v>0.416944629753169</v>
      </c>
      <c r="AE176" s="18">
        <f>I176/7.4/H176</f>
        <v>0.168532988347968</v>
      </c>
      <c r="AF176" s="18">
        <f>Z176/7.4/H176</f>
        <v>0.112687737771127</v>
      </c>
      <c r="AG176" s="18">
        <v>0.15</v>
      </c>
      <c r="AH176" s="18">
        <f>N176</f>
        <v>0</v>
      </c>
      <c r="AI176" s="18">
        <v>0.02</v>
      </c>
      <c r="AJ176" s="18">
        <f>M176</f>
        <v>0.05</v>
      </c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</row>
    <row r="177" spans="1:75">
      <c r="B177" s="14"/>
      <c r="C177" s="20"/>
      <c r="D177" s="20"/>
      <c r="E177" s="20"/>
      <c r="F177" s="193"/>
      <c r="G177" s="193"/>
      <c r="H177" s="193"/>
      <c r="I177" s="193"/>
      <c r="J177" s="101"/>
      <c r="K177" s="18"/>
      <c r="L177" s="18"/>
      <c r="M177" s="18"/>
      <c r="N177" s="18"/>
      <c r="O177" s="195"/>
      <c r="P177" s="18"/>
      <c r="Q177" s="193"/>
      <c r="R177" s="20"/>
      <c r="S177" s="20"/>
      <c r="T177" s="20"/>
      <c r="U177" s="20"/>
      <c r="V177" s="193"/>
      <c r="W177" s="193"/>
      <c r="X177" s="20"/>
      <c r="Y177" s="196"/>
      <c r="Z177" s="193"/>
      <c r="AA177" s="193"/>
      <c r="AB177" s="195"/>
      <c r="AC177" s="14"/>
      <c r="AD177" s="17"/>
      <c r="AE177" s="18"/>
      <c r="AF177" s="18"/>
      <c r="AG177" s="18"/>
      <c r="AH177" s="18"/>
      <c r="AI177" s="18"/>
      <c r="AJ177" s="18"/>
    </row>
    <row r="178" spans="1:75">
      <c r="A178" s="199" t="s">
        <v>551</v>
      </c>
      <c r="B178" s="14">
        <v>9</v>
      </c>
      <c r="C178" s="20" t="s">
        <v>517</v>
      </c>
      <c r="D178" s="20" t="s">
        <v>300</v>
      </c>
      <c r="E178" s="20" t="s">
        <v>507</v>
      </c>
      <c r="F178" s="193">
        <f>IF(E178="有",(I178/B178+J178+Z178/B178)/(0.99999-K178-L178-M178-N178),(I178/B178+J178+Z178/B178)/(0.99999-K178-M178-N178))</f>
        <v>9.25461547357326</v>
      </c>
      <c r="G178" s="193">
        <f>IF(E178="有",(I178/B178+J178+Z178/B178)/(0.8-K178-L178-M178-N178-O178-P178),(I178/B178+J178+Z178/B178)/(0.8-K178-M178-N178-O178-P178))</f>
        <v>14.7575746925057</v>
      </c>
      <c r="H178" s="198">
        <v>13.99</v>
      </c>
      <c r="I178" s="193">
        <f>16.9/1.13</f>
        <v>14.9557522123894</v>
      </c>
      <c r="J178" s="101">
        <v>3.15</v>
      </c>
      <c r="K178" s="18">
        <v>0.15</v>
      </c>
      <c r="L178" s="18">
        <v>0.16</v>
      </c>
      <c r="M178" s="18">
        <v>0.05</v>
      </c>
      <c r="N178" s="18">
        <f>Q178/H178</f>
        <v>0</v>
      </c>
      <c r="O178" s="195">
        <f>0.261/H178</f>
        <v>0.0186561829878485</v>
      </c>
      <c r="P178" s="18">
        <v>0.02</v>
      </c>
      <c r="Q178" s="193">
        <v>0</v>
      </c>
      <c r="R178" s="20">
        <v>32</v>
      </c>
      <c r="S178" s="20">
        <v>17.3</v>
      </c>
      <c r="T178" s="20">
        <v>17.3</v>
      </c>
      <c r="U178" s="20">
        <v>1.6</v>
      </c>
      <c r="V178" s="193">
        <f>R178*S178*T178/6000</f>
        <v>1.59621333333333</v>
      </c>
      <c r="W178" s="193">
        <f>MAX(U178:V178)</f>
        <v>1.6</v>
      </c>
      <c r="X178" s="20" t="s">
        <v>21</v>
      </c>
      <c r="Y178" s="196">
        <v>6.6317</v>
      </c>
      <c r="Z178" s="193">
        <v>10</v>
      </c>
      <c r="AA178" s="193">
        <f>H178-SUM(K178:P178)*H178-J178-I178/B178-Z178/B178</f>
        <v>2.48993864306785</v>
      </c>
      <c r="AB178" s="195">
        <f>AA178/H178</f>
        <v>0.177979888711068</v>
      </c>
      <c r="AC178" s="14"/>
      <c r="AD178" s="17">
        <f>J178/H178</f>
        <v>0.225160829163688</v>
      </c>
      <c r="AE178" s="18">
        <f>I178/7.4/H178</f>
        <v>0.144463730969895</v>
      </c>
      <c r="AF178" s="18">
        <f>Z178/7.4/H178</f>
        <v>0.0965940923053146</v>
      </c>
      <c r="AG178" s="18">
        <v>0.15</v>
      </c>
      <c r="AH178" s="18">
        <f>N178</f>
        <v>0</v>
      </c>
      <c r="AI178" s="18">
        <v>0.02</v>
      </c>
      <c r="AJ178" s="18">
        <f>M178</f>
        <v>0.05</v>
      </c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</row>
    <row r="179" spans="1:75">
      <c r="A179" s="199" t="s">
        <v>553</v>
      </c>
      <c r="B179" s="14">
        <v>9</v>
      </c>
      <c r="C179" s="20" t="s">
        <v>517</v>
      </c>
      <c r="D179" s="20" t="s">
        <v>300</v>
      </c>
      <c r="E179" s="20" t="s">
        <v>507</v>
      </c>
      <c r="F179" s="193">
        <f>IF(E179="有",(I179/B179+J179+Z179/B179)/(0.99999-K179-L179-M179-N179),(I179/B179+J179+Z179/B179)/(0.99999-K179-M179-N179))</f>
        <v>9.25461547357326</v>
      </c>
      <c r="G179" s="193">
        <f>IF(E179="有",(I179/B179+J179+Z179/B179)/(0.8-K179-L179-M179-N179-O179-P179),(I179/B179+J179+Z179/B179)/(0.8-K179-M179-N179-O179-P179))</f>
        <v>14.8341921270867</v>
      </c>
      <c r="H179" s="198">
        <f>H178*0.9</f>
        <v>12.591</v>
      </c>
      <c r="I179" s="193">
        <f>16.9/1.13</f>
        <v>14.9557522123894</v>
      </c>
      <c r="J179" s="101">
        <v>3.15</v>
      </c>
      <c r="K179" s="18">
        <v>0.15</v>
      </c>
      <c r="L179" s="18">
        <v>0.16</v>
      </c>
      <c r="M179" s="18">
        <v>0.05</v>
      </c>
      <c r="N179" s="18">
        <f>Q179/H179</f>
        <v>0</v>
      </c>
      <c r="O179" s="195">
        <f>0.261/H179</f>
        <v>0.0207290922087205</v>
      </c>
      <c r="P179" s="18">
        <v>0.02</v>
      </c>
      <c r="Q179" s="193">
        <v>0</v>
      </c>
      <c r="R179" s="20">
        <v>32</v>
      </c>
      <c r="S179" s="20">
        <v>17.3</v>
      </c>
      <c r="T179" s="20">
        <v>17.3</v>
      </c>
      <c r="U179" s="20">
        <v>1.6</v>
      </c>
      <c r="V179" s="193">
        <f>R179*S179*T179/6000</f>
        <v>1.59621333333333</v>
      </c>
      <c r="W179" s="193">
        <f>MAX(U179:V179)</f>
        <v>1.6</v>
      </c>
      <c r="X179" s="20" t="s">
        <v>21</v>
      </c>
      <c r="Y179" s="196">
        <v>6.6317</v>
      </c>
      <c r="Z179" s="193">
        <v>10</v>
      </c>
      <c r="AA179" s="193">
        <f>H179-SUM(K179:P179)*H179-J179-I179/B179-Z179/B179</f>
        <v>1.62255864306785</v>
      </c>
      <c r="AB179" s="195">
        <f>AA179/H179</f>
        <v>0.128866543012298</v>
      </c>
      <c r="AC179" s="14"/>
      <c r="AD179" s="17">
        <f>J179/H179</f>
        <v>0.250178699070765</v>
      </c>
      <c r="AE179" s="18">
        <f>I179/7.4/H179</f>
        <v>0.160515256633217</v>
      </c>
      <c r="AF179" s="18">
        <f>Z179/7.4/H179</f>
        <v>0.107326769228127</v>
      </c>
      <c r="AG179" s="18">
        <v>0.15</v>
      </c>
      <c r="AH179" s="18">
        <f>N179</f>
        <v>0</v>
      </c>
      <c r="AI179" s="18">
        <v>0.02</v>
      </c>
      <c r="AJ179" s="18">
        <f>M179</f>
        <v>0.05</v>
      </c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</row>
    <row r="180" spans="1:75">
      <c r="A180" s="199" t="s">
        <v>554</v>
      </c>
      <c r="B180" s="14">
        <v>9</v>
      </c>
      <c r="C180" s="20" t="s">
        <v>517</v>
      </c>
      <c r="D180" s="20" t="s">
        <v>300</v>
      </c>
      <c r="E180" s="20" t="s">
        <v>507</v>
      </c>
      <c r="F180" s="193">
        <f>IF(E180="有",(I180/B180+J180+Z180/B180)/(0.99999-K180-L180-M180-N180),(I180/B180+J180+Z180/B180)/(0.99999-K180-M180-N180))</f>
        <v>9.25461547357326</v>
      </c>
      <c r="G180" s="193">
        <f>IF(E180="有",(I180/B180+J180+Z180/B180)/(0.8-K180-L180-M180-N180-O180-P180),(I180/B180+J180+Z180/B180)/(0.8-K180-M180-N180-O180-P180))</f>
        <v>14.931089977292</v>
      </c>
      <c r="H180" s="198">
        <f>H178*0.8</f>
        <v>11.192</v>
      </c>
      <c r="I180" s="193">
        <f>16.9/1.13</f>
        <v>14.9557522123894</v>
      </c>
      <c r="J180" s="101">
        <v>3.15</v>
      </c>
      <c r="K180" s="18">
        <v>0.15</v>
      </c>
      <c r="L180" s="18">
        <v>0.16</v>
      </c>
      <c r="M180" s="18">
        <v>0.05</v>
      </c>
      <c r="N180" s="18">
        <f>Q180/H180</f>
        <v>0</v>
      </c>
      <c r="O180" s="195">
        <f>0.261/H180</f>
        <v>0.0233202287348106</v>
      </c>
      <c r="P180" s="18">
        <v>0.02</v>
      </c>
      <c r="Q180" s="193">
        <v>0</v>
      </c>
      <c r="R180" s="20">
        <v>32</v>
      </c>
      <c r="S180" s="20">
        <v>17.3</v>
      </c>
      <c r="T180" s="20">
        <v>17.3</v>
      </c>
      <c r="U180" s="20">
        <v>1.6</v>
      </c>
      <c r="V180" s="193">
        <f>R180*S180*T180/6000</f>
        <v>1.59621333333333</v>
      </c>
      <c r="W180" s="193">
        <f>MAX(U180:V180)</f>
        <v>1.6</v>
      </c>
      <c r="X180" s="20" t="s">
        <v>21</v>
      </c>
      <c r="Y180" s="196">
        <v>6.6317</v>
      </c>
      <c r="Z180" s="193">
        <v>10</v>
      </c>
      <c r="AA180" s="193">
        <f>H180-SUM(K180:P180)*H180-J180-I180/B180-Z180/B180</f>
        <v>0.755178643067847</v>
      </c>
      <c r="AB180" s="195">
        <f>AA180/H180</f>
        <v>0.0674748608888355</v>
      </c>
      <c r="AC180" s="14"/>
      <c r="AD180" s="17">
        <f>J180/H180</f>
        <v>0.28145103645461</v>
      </c>
      <c r="AE180" s="18">
        <f>I180/7.4/H180</f>
        <v>0.180579663712369</v>
      </c>
      <c r="AF180" s="18">
        <f>Z180/7.4/H180</f>
        <v>0.120742615381643</v>
      </c>
      <c r="AG180" s="18">
        <v>0.15</v>
      </c>
      <c r="AH180" s="18">
        <f>N180</f>
        <v>0</v>
      </c>
      <c r="AI180" s="18">
        <v>0.02</v>
      </c>
      <c r="AJ180" s="18">
        <f>M180</f>
        <v>0.05</v>
      </c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</row>
    <row r="181" spans="1:75">
      <c r="F181" s="204"/>
      <c r="G181" s="204"/>
      <c r="I181" s="204"/>
      <c r="O181" s="71"/>
      <c r="Q181" s="15"/>
      <c r="V181" s="204"/>
      <c r="W181" s="204"/>
      <c r="Y181" s="205"/>
      <c r="Z181" s="204"/>
      <c r="AA181" s="204"/>
      <c r="AB181" s="71"/>
      <c r="AD181" s="206"/>
      <c r="AE181" s="15"/>
      <c r="AF181" s="15"/>
      <c r="AH181" s="18"/>
    </row>
    <row r="182" spans="1:75">
      <c r="A182" s="15" t="s">
        <v>555</v>
      </c>
      <c r="B182" s="15">
        <v>7.3</v>
      </c>
      <c r="C182" s="15" t="s">
        <v>552</v>
      </c>
      <c r="D182" s="14" t="s">
        <v>407</v>
      </c>
      <c r="E182" s="14" t="s">
        <v>546</v>
      </c>
      <c r="F182" s="193">
        <f>IF(E182="有",(I182/B182+J182+Z182/B182)/(0.99999-K182-L182-M182-N182),(I182/B182+J182+Z182/B182)/(0.99999-K182-M182-N182))</f>
        <v>31.3893687879915</v>
      </c>
      <c r="G182" s="193">
        <f>IF(E182="有",(I182/B182+J182+Z182/B182)/(0.8-K182-L182-M182-N182-O182-P182),(I182/B182+J182+Z182/B182)/(0.8-K182-M182-N182-O182-P182))</f>
        <v>46.1969634620362</v>
      </c>
      <c r="H182" s="14">
        <v>39.99</v>
      </c>
      <c r="I182" s="193">
        <f>134/1.13</f>
        <v>118.58407079646</v>
      </c>
      <c r="J182" s="14">
        <v>4.55</v>
      </c>
      <c r="K182" s="18">
        <v>0.15</v>
      </c>
      <c r="L182" s="18">
        <v>0</v>
      </c>
      <c r="M182" s="195">
        <v>0.0043</v>
      </c>
      <c r="N182" s="18">
        <v>0.15</v>
      </c>
      <c r="O182" s="195">
        <f>0.12/H182</f>
        <v>0.00300075018754689</v>
      </c>
      <c r="P182" s="18">
        <v>0.02</v>
      </c>
      <c r="Q182" s="18"/>
      <c r="R182" s="14">
        <v>19.3</v>
      </c>
      <c r="S182" s="14">
        <v>13.21</v>
      </c>
      <c r="T182" s="14">
        <v>5.08</v>
      </c>
      <c r="U182" s="14">
        <v>0.331</v>
      </c>
      <c r="V182" s="193">
        <f>R182*S182*T182/6000</f>
        <v>0.215860206666667</v>
      </c>
      <c r="W182" s="193">
        <f>MAX(U182:V182)</f>
        <v>0.331</v>
      </c>
      <c r="X182" s="14" t="s">
        <v>21</v>
      </c>
      <c r="Y182" s="196">
        <v>23</v>
      </c>
      <c r="Z182" s="193">
        <f>W182*Y182</f>
        <v>7.613</v>
      </c>
      <c r="AA182" s="193">
        <f>H182-SUM(K182:P182)*H182-J182-I182/B182-Z182/B182</f>
        <v>5.06397302788217</v>
      </c>
      <c r="AB182" s="195">
        <f>AA182/H182</f>
        <v>0.126630983442915</v>
      </c>
      <c r="AC182" s="14"/>
      <c r="AD182" s="17">
        <f>J182/H182</f>
        <v>0.113778444611153</v>
      </c>
      <c r="AE182" s="18">
        <f>I182/7.4/H182</f>
        <v>0.400722041309179</v>
      </c>
      <c r="AF182" s="18">
        <f>Z182/7.4/H182</f>
        <v>0.0257260261011199</v>
      </c>
      <c r="AG182" s="18">
        <v>0.15</v>
      </c>
      <c r="AH182" s="18">
        <f>N182</f>
        <v>0.15</v>
      </c>
      <c r="AI182" s="18">
        <v>0.02</v>
      </c>
      <c r="AJ182" s="18">
        <f>M182</f>
        <v>0.0043</v>
      </c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</row>
    <row r="183" spans="1:75">
      <c r="A183" s="21" t="s">
        <v>555</v>
      </c>
      <c r="B183" s="15">
        <v>7.3</v>
      </c>
      <c r="C183" s="15" t="s">
        <v>552</v>
      </c>
      <c r="D183" s="14" t="s">
        <v>407</v>
      </c>
      <c r="E183" s="14" t="s">
        <v>546</v>
      </c>
      <c r="F183" s="193">
        <f>IF(E183="有",(I183/B183+J183+Z183/B183)/(0.99999-K183-L183-M183-N183),(I183/B183+J183+Z183/B183)/(0.99999-K183-M183-N183))</f>
        <v>31.3893687879915</v>
      </c>
      <c r="G183" s="193">
        <f>IF(E183="有",(I183/B183+J183+Z183/B183)/(0.8-K183-L183-M183-N183-O183-P183),(I183/B183+J183+Z183/B183)/(0.8-K183-M183-N183-O183-P183))</f>
        <v>46.2295803877888</v>
      </c>
      <c r="H183" s="14">
        <v>35.99</v>
      </c>
      <c r="I183" s="193">
        <f>134/1.13</f>
        <v>118.58407079646</v>
      </c>
      <c r="J183" s="20">
        <v>4.55</v>
      </c>
      <c r="K183" s="18">
        <v>0.15</v>
      </c>
      <c r="L183" s="18">
        <v>0</v>
      </c>
      <c r="M183" s="195">
        <v>0.0043</v>
      </c>
      <c r="N183" s="18">
        <v>0.15</v>
      </c>
      <c r="O183" s="195">
        <f>0.12/H183</f>
        <v>0.00333425951653237</v>
      </c>
      <c r="P183" s="18">
        <v>0.02</v>
      </c>
      <c r="Q183" s="18"/>
      <c r="R183" s="14">
        <v>19.3</v>
      </c>
      <c r="S183" s="14">
        <v>13.21</v>
      </c>
      <c r="T183" s="14">
        <v>5.08</v>
      </c>
      <c r="U183" s="14">
        <v>0.331</v>
      </c>
      <c r="V183" s="193">
        <f>R183*S183*T183/6000</f>
        <v>0.215860206666667</v>
      </c>
      <c r="W183" s="193">
        <f>MAX(U183:V183)</f>
        <v>0.331</v>
      </c>
      <c r="X183" s="14" t="s">
        <v>21</v>
      </c>
      <c r="Y183" s="196">
        <v>23</v>
      </c>
      <c r="Z183" s="193">
        <f>W183*Y183</f>
        <v>7.613</v>
      </c>
      <c r="AA183" s="193">
        <f>H183-SUM(K183:P183)*H183-J183-I183/B183-Z183/B183</f>
        <v>2.36117302788216</v>
      </c>
      <c r="AB183" s="195">
        <f>AA183/H183</f>
        <v>0.0656063636532971</v>
      </c>
      <c r="AC183" s="14"/>
      <c r="AD183" s="17">
        <f>J183/H183</f>
        <v>0.126424006668519</v>
      </c>
      <c r="AE183" s="18">
        <f>I183/7.4/H183</f>
        <v>0.445259083966493</v>
      </c>
      <c r="AF183" s="18">
        <f>Z183/7.4/H183</f>
        <v>0.0285852676794605</v>
      </c>
      <c r="AG183" s="18">
        <v>0.15</v>
      </c>
      <c r="AH183" s="18">
        <f>N183</f>
        <v>0.15</v>
      </c>
      <c r="AI183" s="18">
        <v>0.02</v>
      </c>
      <c r="AJ183" s="18">
        <f>M183</f>
        <v>0.0043</v>
      </c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</row>
    <row r="184" spans="1:75">
      <c r="A184" s="21" t="s">
        <v>555</v>
      </c>
      <c r="B184" s="15">
        <v>7.3</v>
      </c>
      <c r="C184" s="15" t="s">
        <v>552</v>
      </c>
      <c r="D184" s="14" t="s">
        <v>407</v>
      </c>
      <c r="E184" s="14" t="s">
        <v>546</v>
      </c>
      <c r="F184" s="193">
        <f>IF(E184="有",(I184/B184+J184+Z184/B184)/(0.99999-K184-L184-M184-N184),(I184/B184+J184+Z184/B184)/(0.99999-K184-M184-N184))</f>
        <v>31.3893687879915</v>
      </c>
      <c r="G184" s="193">
        <f>IF(E184="有",(I184/B184+J184+Z184/B184)/(0.8-K184-L184-M184-N184-O184-P184),(I184/B184+J184+Z184/B184)/(0.8-K184-M184-N184-O184-P184))</f>
        <v>46.2592737076533</v>
      </c>
      <c r="H184" s="14">
        <v>32.99</v>
      </c>
      <c r="I184" s="193">
        <f>134/1.13</f>
        <v>118.58407079646</v>
      </c>
      <c r="J184" s="20">
        <v>4.55</v>
      </c>
      <c r="K184" s="18">
        <v>0.15</v>
      </c>
      <c r="L184" s="18">
        <v>0</v>
      </c>
      <c r="M184" s="195">
        <v>0.0043</v>
      </c>
      <c r="N184" s="18">
        <v>0.15</v>
      </c>
      <c r="O184" s="195">
        <f>0.12/H184</f>
        <v>0.0036374658987572</v>
      </c>
      <c r="P184" s="18">
        <v>0.02</v>
      </c>
      <c r="Q184" s="18"/>
      <c r="R184" s="14">
        <v>19.3</v>
      </c>
      <c r="S184" s="14">
        <v>13.21</v>
      </c>
      <c r="T184" s="14">
        <v>5.08</v>
      </c>
      <c r="U184" s="14">
        <v>0.331</v>
      </c>
      <c r="V184" s="193">
        <f>R184*S184*T184/6000</f>
        <v>0.215860206666667</v>
      </c>
      <c r="W184" s="193">
        <f>MAX(U184:V184)</f>
        <v>0.331</v>
      </c>
      <c r="X184" s="14" t="s">
        <v>21</v>
      </c>
      <c r="Y184" s="196">
        <v>23</v>
      </c>
      <c r="Z184" s="193">
        <f>W184*Y184</f>
        <v>7.613</v>
      </c>
      <c r="AA184" s="193">
        <f>H184-SUM(K184:P184)*H184-J184-I184/B184-Z184/B184</f>
        <v>0.334073027882165</v>
      </c>
      <c r="AB184" s="195">
        <f>AA184/H184</f>
        <v>0.0101264937217995</v>
      </c>
      <c r="AC184" s="14"/>
      <c r="AD184" s="17">
        <f>J184/H184</f>
        <v>0.137920581994544</v>
      </c>
      <c r="AE184" s="18">
        <f>I184/7.4/H184</f>
        <v>0.485749452317493</v>
      </c>
      <c r="AF184" s="18">
        <f>Z184/7.4/H184</f>
        <v>0.0311847160892326</v>
      </c>
      <c r="AG184" s="18">
        <v>0.15</v>
      </c>
      <c r="AH184" s="18">
        <f>N184</f>
        <v>0.15</v>
      </c>
      <c r="AI184" s="18">
        <v>0.02</v>
      </c>
      <c r="AJ184" s="18">
        <f>M184</f>
        <v>0.0043</v>
      </c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</row>
    <row r="185" spans="1:75">
      <c r="A185" s="21" t="s">
        <v>555</v>
      </c>
      <c r="B185" s="15">
        <v>7.3</v>
      </c>
      <c r="C185" s="15" t="s">
        <v>552</v>
      </c>
      <c r="D185" s="14" t="s">
        <v>407</v>
      </c>
      <c r="E185" s="14" t="s">
        <v>546</v>
      </c>
      <c r="F185" s="193">
        <f>IF(E185="有",(I185/B185+J185+Z185/B185)/(0.99999-K185-L185-M185-N185),(I185/B185+J185+Z185/B185)/(0.99999-K185-M185-N185))</f>
        <v>31.3893687879915</v>
      </c>
      <c r="G185" s="193">
        <f>IF(E185="有",(I185/B185+J185+Z185/B185)/(0.8-K185-L185-M185-N185-O185-P185),(I185/B185+J185+Z185/B185)/(0.8-K185-M185-N185-O185-P185))</f>
        <v>46.294958065107</v>
      </c>
      <c r="H185" s="14">
        <v>29.99</v>
      </c>
      <c r="I185" s="193">
        <f>134/1.13</f>
        <v>118.58407079646</v>
      </c>
      <c r="J185" s="20">
        <v>4.55</v>
      </c>
      <c r="K185" s="18">
        <v>0.15</v>
      </c>
      <c r="L185" s="18">
        <v>0</v>
      </c>
      <c r="M185" s="195">
        <v>0.0043</v>
      </c>
      <c r="N185" s="18">
        <v>0.15</v>
      </c>
      <c r="O185" s="195">
        <f>0.12/H185</f>
        <v>0.00400133377792598</v>
      </c>
      <c r="P185" s="18">
        <v>0.02</v>
      </c>
      <c r="Q185" s="18"/>
      <c r="R185" s="14">
        <v>19.3</v>
      </c>
      <c r="S185" s="14">
        <v>13.21</v>
      </c>
      <c r="T185" s="14">
        <v>5.08</v>
      </c>
      <c r="U185" s="14">
        <v>0.331</v>
      </c>
      <c r="V185" s="193">
        <f>R185*S185*T185/6000</f>
        <v>0.215860206666667</v>
      </c>
      <c r="W185" s="193">
        <f>MAX(U185:V185)</f>
        <v>0.331</v>
      </c>
      <c r="X185" s="14" t="s">
        <v>21</v>
      </c>
      <c r="Y185" s="196">
        <v>23</v>
      </c>
      <c r="Z185" s="193">
        <f>W185*Y185</f>
        <v>7.613</v>
      </c>
      <c r="AA185" s="193">
        <f>H185-SUM(K185:P185)*H185-J185-I185/B185-Z185/B185</f>
        <v>-1.69302697211784</v>
      </c>
      <c r="AB185" s="195">
        <f>AA185/H185</f>
        <v>-0.0564530500872904</v>
      </c>
      <c r="AC185" s="14"/>
      <c r="AD185" s="17">
        <f>J185/H185</f>
        <v>0.151717239079693</v>
      </c>
      <c r="AE185" s="18">
        <f>I185/7.4/H185</f>
        <v>0.534340594596668</v>
      </c>
      <c r="AF185" s="18">
        <f>Z185/7.4/H185</f>
        <v>0.0343042275353046</v>
      </c>
      <c r="AG185" s="18">
        <v>0.15</v>
      </c>
      <c r="AH185" s="18">
        <f>N185</f>
        <v>0.15</v>
      </c>
      <c r="AI185" s="18">
        <v>0.02</v>
      </c>
      <c r="AJ185" s="18">
        <f>M185</f>
        <v>0.0043</v>
      </c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</row>
    <row r="186" spans="1:75">
      <c r="F186" s="204"/>
      <c r="G186" s="204"/>
      <c r="I186" s="204"/>
      <c r="O186" s="71"/>
      <c r="V186" s="204"/>
      <c r="W186" s="204"/>
      <c r="Y186" s="205"/>
      <c r="Z186" s="204"/>
      <c r="AA186" s="204"/>
      <c r="AB186" s="71"/>
      <c r="AD186" s="206"/>
      <c r="AE186" s="15"/>
      <c r="AF186" s="15"/>
      <c r="AH186" s="18"/>
    </row>
    <row r="187" spans="1:75">
      <c r="F187" s="204"/>
      <c r="G187" s="204"/>
      <c r="I187" s="204"/>
      <c r="O187" s="71"/>
      <c r="V187" s="204"/>
      <c r="W187" s="204"/>
      <c r="Y187" s="205"/>
      <c r="Z187" s="204"/>
      <c r="AA187" s="204"/>
      <c r="AB187" s="71"/>
      <c r="AD187" s="206"/>
      <c r="AE187" s="15"/>
      <c r="AF187" s="15"/>
      <c r="AH187" s="18"/>
    </row>
    <row r="188" spans="1:75">
      <c r="A188" s="21" t="s">
        <v>556</v>
      </c>
      <c r="B188" s="14">
        <v>7</v>
      </c>
      <c r="C188" s="20" t="s">
        <v>506</v>
      </c>
      <c r="D188" s="14" t="s">
        <v>407</v>
      </c>
      <c r="E188" s="20" t="s">
        <v>507</v>
      </c>
      <c r="F188" s="193">
        <f>IF(E188="有",(I188/B188+J188+Z188/B188)/(0.99999-K188-L188-M188-N188),(I188/B188+J188+Z188/B188)/(0.99999-K188-M188-N188))</f>
        <v>28.6916790615529</v>
      </c>
      <c r="G188" s="193">
        <f>IF(E188="有",(I188/B188+J188+Z188/B188)/(0.8-K188-L188-M188-N188-O188-P188),(I188/B188+J188+Z188/B188)/(0.8-K188-M188-N188-O188-P188))</f>
        <v>45.7243558577919</v>
      </c>
      <c r="H188" s="194">
        <v>69.99</v>
      </c>
      <c r="I188" s="193">
        <f>80/1.13</f>
        <v>70.7964601769912</v>
      </c>
      <c r="J188" s="14">
        <v>6.62</v>
      </c>
      <c r="K188" s="18">
        <v>0.15</v>
      </c>
      <c r="L188" s="18">
        <v>0</v>
      </c>
      <c r="M188" s="18">
        <v>0.05</v>
      </c>
      <c r="N188" s="18">
        <f>Q188/H188</f>
        <v>0.171453064723532</v>
      </c>
      <c r="O188" s="195">
        <f>0.99/H188</f>
        <v>0.0141448778396914</v>
      </c>
      <c r="P188" s="18">
        <v>0.02</v>
      </c>
      <c r="Q188" s="193">
        <v>12</v>
      </c>
      <c r="R188" s="14">
        <v>33.5</v>
      </c>
      <c r="S188" s="14">
        <v>26.5</v>
      </c>
      <c r="T188" s="14">
        <v>25</v>
      </c>
      <c r="U188" s="14">
        <v>2.3</v>
      </c>
      <c r="V188" s="193">
        <f>R188*S188*T188/6000</f>
        <v>3.69895833333333</v>
      </c>
      <c r="W188" s="193">
        <f>MAX(U188:V188)</f>
        <v>3.69895833333333</v>
      </c>
      <c r="X188" s="14" t="s">
        <v>21</v>
      </c>
      <c r="Y188" s="196">
        <v>5.55136</v>
      </c>
      <c r="Z188" s="197">
        <v>9.1</v>
      </c>
      <c r="AA188" s="193">
        <f>H188-SUM(K188:P188)*H188-J188-I188/B188-Z188/B188</f>
        <v>23.5684199747155</v>
      </c>
      <c r="AB188" s="195">
        <f>AA188/H188</f>
        <v>0.336739819613024</v>
      </c>
      <c r="AC188" s="14"/>
      <c r="AD188" s="17">
        <f>J188/H188</f>
        <v>0.0945849407058151</v>
      </c>
      <c r="AE188" s="18">
        <f>I188/7.4/H188</f>
        <v>0.136692230505885</v>
      </c>
      <c r="AF188" s="18">
        <f>Z188/7.4/H188</f>
        <v>0.0175700775786502</v>
      </c>
      <c r="AG188" s="18">
        <v>0.15</v>
      </c>
      <c r="AH188" s="18">
        <f>N188</f>
        <v>0.171453064723532</v>
      </c>
      <c r="AI188" s="18">
        <v>0.02</v>
      </c>
      <c r="AJ188" s="18">
        <f>M188</f>
        <v>0.05</v>
      </c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</row>
    <row r="189" spans="1:75">
      <c r="A189" s="21" t="s">
        <v>557</v>
      </c>
      <c r="B189" s="20">
        <v>7</v>
      </c>
      <c r="C189" s="20" t="s">
        <v>506</v>
      </c>
      <c r="D189" s="20" t="s">
        <v>407</v>
      </c>
      <c r="E189" s="20" t="s">
        <v>507</v>
      </c>
      <c r="F189" s="193">
        <f>IF(E189="有",(I189/B189+J189+Z189/B189)/(0.99999-K189-L189-M189-N189),(I189/B189+J189+Z189/B189)/(0.99999-K189-M189-N189))</f>
        <v>28.5390337261382</v>
      </c>
      <c r="G189" s="193">
        <f>IF(E189="有",(I189/B189+J189+Z189/B189)/(0.8-K189-L189-M189-N189-O189-P189),(I189/B189+J189+Z189/B189)/(0.8-K189-M189-N189-O189-P189))</f>
        <v>45.6242156359394</v>
      </c>
      <c r="H189" s="194">
        <f>H188*0.85</f>
        <v>59.4915</v>
      </c>
      <c r="I189" s="193">
        <f>80/1.13</f>
        <v>70.7964601769912</v>
      </c>
      <c r="J189" s="20">
        <v>6.62</v>
      </c>
      <c r="K189" s="18">
        <v>0.15</v>
      </c>
      <c r="L189" s="18">
        <v>0</v>
      </c>
      <c r="M189" s="18">
        <v>0.05</v>
      </c>
      <c r="N189" s="18">
        <f>Q189/H189</f>
        <v>0.168091239925031</v>
      </c>
      <c r="O189" s="195">
        <f>0.99/H189</f>
        <v>0.0166410327525781</v>
      </c>
      <c r="P189" s="18">
        <v>0.02</v>
      </c>
      <c r="Q189" s="193">
        <v>10</v>
      </c>
      <c r="R189" s="14">
        <v>33.5</v>
      </c>
      <c r="S189" s="14">
        <v>26.5</v>
      </c>
      <c r="T189" s="14">
        <v>25</v>
      </c>
      <c r="U189" s="14">
        <v>2.3</v>
      </c>
      <c r="V189" s="193">
        <f>R189*S189*T189/6000</f>
        <v>3.69895833333333</v>
      </c>
      <c r="W189" s="193">
        <f>MAX(U189:V189)</f>
        <v>3.69895833333333</v>
      </c>
      <c r="X189" s="20" t="s">
        <v>21</v>
      </c>
      <c r="Y189" s="196">
        <v>5.55136</v>
      </c>
      <c r="Z189" s="197">
        <v>9.1</v>
      </c>
      <c r="AA189" s="193">
        <f>H189-SUM(K189:P189)*H189-J189-I189/B189-Z189/B189</f>
        <v>17.3795899747155</v>
      </c>
      <c r="AB189" s="195">
        <f>AA189/H189</f>
        <v>0.292135682823858</v>
      </c>
      <c r="AC189" s="14"/>
      <c r="AD189" s="17">
        <f>J189/H189</f>
        <v>0.111276400830371</v>
      </c>
      <c r="AE189" s="18">
        <f>I189/B189/H189</f>
        <v>0.170003782477908</v>
      </c>
      <c r="AF189" s="18">
        <f>Z189/B189/H189</f>
        <v>0.0218518611902541</v>
      </c>
      <c r="AG189" s="18">
        <f>K189</f>
        <v>0.15</v>
      </c>
      <c r="AH189" s="18">
        <f>N189</f>
        <v>0.168091239925031</v>
      </c>
      <c r="AI189" s="18">
        <v>0.02</v>
      </c>
      <c r="AJ189" s="18">
        <f>M189</f>
        <v>0.05</v>
      </c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</row>
    <row r="190" spans="1:75">
      <c r="A190" s="21" t="s">
        <v>558</v>
      </c>
      <c r="B190" s="20">
        <v>7</v>
      </c>
      <c r="C190" s="20" t="s">
        <v>506</v>
      </c>
      <c r="D190" s="20" t="s">
        <v>407</v>
      </c>
      <c r="E190" s="20" t="s">
        <v>507</v>
      </c>
      <c r="F190" s="193">
        <f>IF(E190="有",(I190/B190+J190+Z190/B190)/(0.99999-K190-L190-M190-N190),(I190/B190+J190+Z190/B190)/(0.99999-K190-M190-N190))</f>
        <v>27.4439787791443</v>
      </c>
      <c r="G190" s="193">
        <f>IF(E190="有",(I190/B190+J190+Z190/B190)/(0.8-K190-L190-M190-N190-O190-P190),(I190/B190+J190+Z190/B190)/(0.8-K190-M190-N190-O190-P190))</f>
        <v>42.9947597641989</v>
      </c>
      <c r="H190" s="194">
        <f>H188*0.8</f>
        <v>55.992</v>
      </c>
      <c r="I190" s="193">
        <f>80/1.13</f>
        <v>70.7964601769912</v>
      </c>
      <c r="J190" s="20">
        <v>6.62</v>
      </c>
      <c r="K190" s="18">
        <v>0.15</v>
      </c>
      <c r="L190" s="18">
        <v>0</v>
      </c>
      <c r="M190" s="18">
        <v>0.05</v>
      </c>
      <c r="N190" s="18">
        <f>Q190/H190</f>
        <v>0.142877553936277</v>
      </c>
      <c r="O190" s="195">
        <f>0.99/H190</f>
        <v>0.0176810972996142</v>
      </c>
      <c r="P190" s="18">
        <v>0.02</v>
      </c>
      <c r="Q190" s="193">
        <v>8</v>
      </c>
      <c r="R190" s="14">
        <v>33.5</v>
      </c>
      <c r="S190" s="14">
        <v>26.5</v>
      </c>
      <c r="T190" s="14">
        <v>25</v>
      </c>
      <c r="U190" s="14">
        <v>2.3</v>
      </c>
      <c r="V190" s="193">
        <f>R190*S190*T190/6000</f>
        <v>3.69895833333333</v>
      </c>
      <c r="W190" s="193">
        <f>MAX(U190:V190)</f>
        <v>3.69895833333333</v>
      </c>
      <c r="X190" s="20" t="s">
        <v>21</v>
      </c>
      <c r="Y190" s="196">
        <v>5.55136</v>
      </c>
      <c r="Z190" s="197">
        <v>9.1</v>
      </c>
      <c r="AA190" s="193">
        <f>H190-SUM(K190:P190)*H190-J190-I190/B190-Z190/B190</f>
        <v>16.6499799747155</v>
      </c>
      <c r="AB190" s="195">
        <f>AA190/H190</f>
        <v>0.297363551484418</v>
      </c>
      <c r="AC190" s="14"/>
      <c r="AD190" s="17">
        <f>J190/H190</f>
        <v>0.118231175882269</v>
      </c>
      <c r="AE190" s="18">
        <f>I190/7.4/H190</f>
        <v>0.170865288132357</v>
      </c>
      <c r="AF190" s="18">
        <f>Z190/7.4/H190</f>
        <v>0.0219625969733128</v>
      </c>
      <c r="AG190" s="18">
        <v>0.15</v>
      </c>
      <c r="AH190" s="18">
        <f>N190</f>
        <v>0.142877553936277</v>
      </c>
      <c r="AI190" s="18">
        <v>0.02</v>
      </c>
      <c r="AJ190" s="18">
        <f>M190</f>
        <v>0.05</v>
      </c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</row>
    <row r="191" spans="1:75">
      <c r="A191" s="15"/>
      <c r="B191" s="14"/>
      <c r="C191" s="14"/>
      <c r="D191" s="14"/>
      <c r="E191" s="14"/>
      <c r="F191" s="193"/>
      <c r="G191" s="193"/>
      <c r="H191" s="198"/>
      <c r="I191" s="193"/>
      <c r="J191" s="20"/>
      <c r="K191" s="18"/>
      <c r="L191" s="18"/>
      <c r="M191" s="18"/>
      <c r="N191" s="18"/>
      <c r="O191" s="195"/>
      <c r="P191" s="18"/>
      <c r="Q191" s="193"/>
      <c r="R191" s="14"/>
      <c r="S191" s="14"/>
      <c r="T191" s="14"/>
      <c r="U191" s="14"/>
      <c r="V191" s="193"/>
      <c r="W191" s="193"/>
      <c r="X191" s="20"/>
      <c r="Y191" s="196"/>
      <c r="Z191" s="20"/>
      <c r="AA191" s="193"/>
      <c r="AB191" s="195"/>
      <c r="AC191" s="14"/>
      <c r="AD191" s="17"/>
      <c r="AE191" s="18"/>
      <c r="AF191" s="18"/>
      <c r="AG191" s="18"/>
      <c r="AH191" s="18"/>
      <c r="AI191" s="18"/>
      <c r="AJ191" s="18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</row>
    <row r="192" spans="1:75">
      <c r="A192" s="15" t="s">
        <v>556</v>
      </c>
      <c r="B192" s="20">
        <v>8</v>
      </c>
      <c r="C192" s="20" t="s">
        <v>506</v>
      </c>
      <c r="D192" s="20" t="s">
        <v>277</v>
      </c>
      <c r="E192" s="20" t="s">
        <v>507</v>
      </c>
      <c r="F192" s="193">
        <f>IF(E192="有",(I192/B192+J192+Z192/B192)/(0.99999-K192-L192-M192-N192),(I192/B192+J192+Z192/B192)/(0.99999-K192-M192-N192))</f>
        <v>29.4574024515364</v>
      </c>
      <c r="G192" s="193">
        <f>IF(E192="有",(I192/B192+J192+Z192/B192)/(0.8-K192-L192-M192-N192-O192-P192),(I192/B192+J192+Z192/B192)/(0.8-K192-M192-N192-O192-P192))</f>
        <v>57.3423487743019</v>
      </c>
      <c r="H192" s="194">
        <v>59.99</v>
      </c>
      <c r="I192" s="193">
        <f>80/1.13</f>
        <v>70.7964601769912</v>
      </c>
      <c r="J192" s="14">
        <v>4.28</v>
      </c>
      <c r="K192" s="18">
        <v>0.15</v>
      </c>
      <c r="L192" s="18">
        <v>0.16</v>
      </c>
      <c r="M192" s="18">
        <v>0.05</v>
      </c>
      <c r="N192" s="18">
        <f>Q192/H192</f>
        <v>0.166694449074846</v>
      </c>
      <c r="O192" s="195">
        <f>0.61/H192</f>
        <v>0.0101683613935656</v>
      </c>
      <c r="P192" s="18">
        <v>0.02</v>
      </c>
      <c r="Q192" s="193">
        <v>10</v>
      </c>
      <c r="R192" s="14">
        <v>33.5</v>
      </c>
      <c r="S192" s="14">
        <v>26.5</v>
      </c>
      <c r="T192" s="14">
        <v>25</v>
      </c>
      <c r="U192" s="14">
        <v>2.3</v>
      </c>
      <c r="V192" s="193">
        <f>R192*S192*T192/6000</f>
        <v>3.69895833333333</v>
      </c>
      <c r="W192" s="193">
        <f>MAX(U192:V192)</f>
        <v>3.69895833333333</v>
      </c>
      <c r="X192" s="14" t="s">
        <v>21</v>
      </c>
      <c r="Y192" s="196">
        <v>5.55136</v>
      </c>
      <c r="Z192" s="197">
        <v>6.5</v>
      </c>
      <c r="AA192" s="193">
        <f>H192-SUM(K192:P192)*H192-J192-I192/B192-Z192/B192</f>
        <v>12.6417424778761</v>
      </c>
      <c r="AB192" s="195">
        <f>AA192/H192</f>
        <v>0.210730829769563</v>
      </c>
      <c r="AC192" s="14"/>
      <c r="AD192" s="17">
        <f>J192/H192</f>
        <v>0.071345224204034</v>
      </c>
      <c r="AE192" s="18">
        <f>I192/7.4/H192</f>
        <v>0.159478066562876</v>
      </c>
      <c r="AF192" s="18">
        <f>Z192/7.4/H192</f>
        <v>0.014642079986304</v>
      </c>
      <c r="AG192" s="18">
        <v>0.15</v>
      </c>
      <c r="AH192" s="18">
        <f>N192</f>
        <v>0.166694449074846</v>
      </c>
      <c r="AI192" s="18">
        <v>0.02</v>
      </c>
      <c r="AJ192" s="18">
        <f>M192</f>
        <v>0.05</v>
      </c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</row>
    <row r="193" spans="1:75">
      <c r="A193" s="15" t="s">
        <v>557</v>
      </c>
      <c r="B193" s="20">
        <v>8</v>
      </c>
      <c r="C193" s="20" t="s">
        <v>506</v>
      </c>
      <c r="D193" s="20" t="s">
        <v>277</v>
      </c>
      <c r="E193" s="20" t="s">
        <v>507</v>
      </c>
      <c r="F193" s="193">
        <f>IF(E193="有",(I193/B193+J193+Z193/B193)/(0.99999-K193-L193-M193-N193),(I193/B193+J193+Z193/B193)/(0.99999-K193-M193-N193))</f>
        <v>30.0806008103787</v>
      </c>
      <c r="G193" s="193">
        <f>IF(E193="有",(I193/B193+J193+Z193/B193)/(0.8-K193-L193-M193-N193-O193-P193),(I193/B193+J193+Z193/B193)/(0.8-K193-M193-N193-O193-P193))</f>
        <v>60.2151900396124</v>
      </c>
      <c r="H193" s="194">
        <f>H192*0.85</f>
        <v>50.9915</v>
      </c>
      <c r="I193" s="193">
        <f>80/1.13</f>
        <v>70.7964601769912</v>
      </c>
      <c r="J193" s="20">
        <v>4.28</v>
      </c>
      <c r="K193" s="18">
        <v>0.15</v>
      </c>
      <c r="L193" s="18">
        <v>0.16</v>
      </c>
      <c r="M193" s="18">
        <v>0.05</v>
      </c>
      <c r="N193" s="18">
        <f>Q193/H193</f>
        <v>0.176500004902778</v>
      </c>
      <c r="O193" s="195">
        <f>0.61/H193</f>
        <v>0.0119627781100772</v>
      </c>
      <c r="P193" s="18">
        <v>0.02</v>
      </c>
      <c r="Q193" s="193">
        <v>9</v>
      </c>
      <c r="R193" s="14">
        <v>33.5</v>
      </c>
      <c r="S193" s="14">
        <v>26.5</v>
      </c>
      <c r="T193" s="14">
        <v>25</v>
      </c>
      <c r="U193" s="14">
        <v>2.3</v>
      </c>
      <c r="V193" s="193">
        <f>R193*S193*T193/6000</f>
        <v>3.69895833333333</v>
      </c>
      <c r="W193" s="193">
        <f>MAX(U193:V193)</f>
        <v>3.69895833333333</v>
      </c>
      <c r="X193" s="20" t="s">
        <v>21</v>
      </c>
      <c r="Y193" s="196">
        <v>5.55136</v>
      </c>
      <c r="Z193" s="197">
        <v>6.5</v>
      </c>
      <c r="AA193" s="193">
        <f>H193-SUM(K193:P193)*H193-J193-I193/B193-Z193/B193</f>
        <v>8.0626724778761</v>
      </c>
      <c r="AB193" s="195">
        <f>AA193/H193</f>
        <v>0.158117970208292</v>
      </c>
      <c r="AC193" s="14"/>
      <c r="AD193" s="17">
        <f>J193/H193</f>
        <v>0.0839355578870988</v>
      </c>
      <c r="AE193" s="18">
        <f>I193/B193/H193</f>
        <v>0.173549660671365</v>
      </c>
      <c r="AF193" s="18">
        <f>Z193/B193/H193</f>
        <v>0.0159340282203897</v>
      </c>
      <c r="AG193" s="18">
        <f>K193</f>
        <v>0.15</v>
      </c>
      <c r="AH193" s="18">
        <f>N193</f>
        <v>0.176500004902778</v>
      </c>
      <c r="AI193" s="18">
        <v>0.02</v>
      </c>
      <c r="AJ193" s="18">
        <f>M193</f>
        <v>0.05</v>
      </c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</row>
    <row r="194" spans="1:75">
      <c r="A194" s="15" t="s">
        <v>558</v>
      </c>
      <c r="B194" s="20">
        <v>8</v>
      </c>
      <c r="C194" s="20" t="s">
        <v>506</v>
      </c>
      <c r="D194" s="20" t="s">
        <v>277</v>
      </c>
      <c r="E194" s="20" t="s">
        <v>507</v>
      </c>
      <c r="F194" s="193">
        <f>IF(E194="有",(I194/B194+J194+Z194/B194)/(0.99999-K194-L194-M194-N194),(I194/B194+J194+Z194/B194)/(0.99999-K194-M194-N194))</f>
        <v>29.4574024515364</v>
      </c>
      <c r="G194" s="193">
        <f>IF(E194="有",(I194/B194+J194+Z194/B194)/(0.8-K194-L194-M194-N194-O194-P194),(I194/B194+J194+Z194/B194)/(0.8-K194-M194-N194-O194-P194))</f>
        <v>57.9482191011212</v>
      </c>
      <c r="H194" s="194">
        <f>H192*0.8</f>
        <v>47.992</v>
      </c>
      <c r="I194" s="193">
        <f>80/1.13</f>
        <v>70.7964601769912</v>
      </c>
      <c r="J194" s="20">
        <v>4.28</v>
      </c>
      <c r="K194" s="18">
        <v>0.15</v>
      </c>
      <c r="L194" s="18">
        <v>0.16</v>
      </c>
      <c r="M194" s="18">
        <v>0.05</v>
      </c>
      <c r="N194" s="18">
        <f>Q194/H194</f>
        <v>0.166694449074846</v>
      </c>
      <c r="O194" s="195">
        <f>0.61/H194</f>
        <v>0.012710451741957</v>
      </c>
      <c r="P194" s="18">
        <v>0.02</v>
      </c>
      <c r="Q194" s="193">
        <v>8</v>
      </c>
      <c r="R194" s="14">
        <v>33.5</v>
      </c>
      <c r="S194" s="14">
        <v>26.5</v>
      </c>
      <c r="T194" s="14">
        <v>25</v>
      </c>
      <c r="U194" s="14">
        <v>2.3</v>
      </c>
      <c r="V194" s="193">
        <f>R194*S194*T194/6000</f>
        <v>3.69895833333333</v>
      </c>
      <c r="W194" s="193">
        <f>MAX(U194:V194)</f>
        <v>3.69895833333333</v>
      </c>
      <c r="X194" s="20" t="s">
        <v>21</v>
      </c>
      <c r="Y194" s="196">
        <v>5.55136</v>
      </c>
      <c r="Z194" s="197">
        <v>6.5</v>
      </c>
      <c r="AA194" s="193">
        <f>H194-SUM(K194:P194)*H194-J194-I194/B194-Z194/B194</f>
        <v>7.20298247787611</v>
      </c>
      <c r="AB194" s="195">
        <f>AA194/H194</f>
        <v>0.150087149480666</v>
      </c>
      <c r="AC194" s="14"/>
      <c r="AD194" s="17">
        <f>J194/H194</f>
        <v>0.0891815302550425</v>
      </c>
      <c r="AE194" s="18">
        <f>I194/7.4/H194</f>
        <v>0.199347583203595</v>
      </c>
      <c r="AF194" s="18">
        <f>Z194/7.4/H194</f>
        <v>0.01830259998288</v>
      </c>
      <c r="AG194" s="18">
        <v>0.15</v>
      </c>
      <c r="AH194" s="18">
        <f>N194</f>
        <v>0.166694449074846</v>
      </c>
      <c r="AI194" s="18">
        <v>0.02</v>
      </c>
      <c r="AJ194" s="18">
        <f>M194</f>
        <v>0.05</v>
      </c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</row>
    <row r="195" spans="1:75">
      <c r="A195" s="15"/>
      <c r="B195" s="14"/>
      <c r="C195" s="14"/>
      <c r="D195" s="14"/>
      <c r="E195" s="14"/>
      <c r="F195" s="193"/>
      <c r="G195" s="193"/>
      <c r="H195" s="198"/>
      <c r="I195" s="193"/>
      <c r="J195" s="20"/>
      <c r="K195" s="18"/>
      <c r="L195" s="18"/>
      <c r="M195" s="18"/>
      <c r="N195" s="18"/>
      <c r="O195" s="195"/>
      <c r="P195" s="18"/>
      <c r="Q195" s="193"/>
      <c r="R195" s="14"/>
      <c r="S195" s="14"/>
      <c r="T195" s="14"/>
      <c r="U195" s="14"/>
      <c r="V195" s="193"/>
      <c r="W195" s="193"/>
      <c r="X195" s="20"/>
      <c r="Y195" s="196"/>
      <c r="Z195" s="20"/>
      <c r="AA195" s="193"/>
      <c r="AB195" s="195"/>
      <c r="AC195" s="14"/>
      <c r="AD195" s="17"/>
      <c r="AE195" s="18"/>
      <c r="AF195" s="18"/>
      <c r="AG195" s="18"/>
      <c r="AH195" s="18"/>
      <c r="AI195" s="18"/>
      <c r="AJ195" s="18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</row>
    <row r="196" spans="1:75">
      <c r="A196" s="15" t="s">
        <v>556</v>
      </c>
      <c r="B196" s="20">
        <v>8</v>
      </c>
      <c r="C196" s="14" t="s">
        <v>510</v>
      </c>
      <c r="D196" s="14" t="s">
        <v>511</v>
      </c>
      <c r="E196" s="20" t="s">
        <v>507</v>
      </c>
      <c r="F196" s="193">
        <f>IF(E196="有",(I196/B196+J196+Z196/B196)/(0.99999-K196-L196-M196-N196),(I196/B196+J196+Z196/B196)/(0.99999-K196-M196-N196))</f>
        <v>33.9577616791616</v>
      </c>
      <c r="G196" s="193">
        <f>IF(E196="有",(I196/B196+J196+Z196/B196)/(0.8-K196-L196-M196-N196-O196-P196),(I196/B196+J196+Z196/B196)/(0.8-K196-M196-N196-O196-P196))</f>
        <v>66.1028350006316</v>
      </c>
      <c r="H196" s="194">
        <v>59.99</v>
      </c>
      <c r="I196" s="193">
        <f>80/1.13</f>
        <v>70.7964601769912</v>
      </c>
      <c r="J196" s="14">
        <v>6.41</v>
      </c>
      <c r="K196" s="18">
        <v>0.15</v>
      </c>
      <c r="L196" s="18">
        <v>0.16</v>
      </c>
      <c r="M196" s="18">
        <v>0.05</v>
      </c>
      <c r="N196" s="18">
        <f>Q196/H196</f>
        <v>0.166694449074846</v>
      </c>
      <c r="O196" s="195">
        <f>0.61/H196</f>
        <v>0.0101683613935656</v>
      </c>
      <c r="P196" s="18">
        <v>0.02</v>
      </c>
      <c r="Q196" s="193">
        <v>10</v>
      </c>
      <c r="R196" s="14">
        <v>33.5</v>
      </c>
      <c r="S196" s="14">
        <v>26.5</v>
      </c>
      <c r="T196" s="14">
        <v>25</v>
      </c>
      <c r="U196" s="14">
        <v>2.3</v>
      </c>
      <c r="V196" s="193">
        <f>R196*S196*T196/6000</f>
        <v>3.69895833333333</v>
      </c>
      <c r="W196" s="193">
        <f>MAX(U196:V196)</f>
        <v>3.69895833333333</v>
      </c>
      <c r="X196" s="14" t="s">
        <v>21</v>
      </c>
      <c r="Y196" s="196">
        <v>5.55136</v>
      </c>
      <c r="Z196" s="197">
        <v>6.5</v>
      </c>
      <c r="AA196" s="193">
        <f>H196-SUM(K196:P196)*H196-J196-I196/B196-Z196/B196</f>
        <v>10.5117424778761</v>
      </c>
      <c r="AB196" s="195">
        <f>AA196/H196</f>
        <v>0.175224912116621</v>
      </c>
      <c r="AC196" s="14"/>
      <c r="AD196" s="17">
        <f>J196/H196</f>
        <v>0.106851141856976</v>
      </c>
      <c r="AE196" s="18">
        <f>I196/7.4/H196</f>
        <v>0.159478066562876</v>
      </c>
      <c r="AF196" s="18">
        <f>Z196/7.4/H196</f>
        <v>0.014642079986304</v>
      </c>
      <c r="AG196" s="18">
        <v>0.15</v>
      </c>
      <c r="AH196" s="18">
        <f>N196</f>
        <v>0.166694449074846</v>
      </c>
      <c r="AI196" s="18">
        <v>0.02</v>
      </c>
      <c r="AJ196" s="18">
        <f>M196</f>
        <v>0.05</v>
      </c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</row>
    <row r="197" spans="1:75">
      <c r="A197" s="15" t="s">
        <v>557</v>
      </c>
      <c r="B197" s="20">
        <v>8</v>
      </c>
      <c r="C197" s="20" t="s">
        <v>510</v>
      </c>
      <c r="D197" s="20" t="s">
        <v>511</v>
      </c>
      <c r="E197" s="20" t="s">
        <v>507</v>
      </c>
      <c r="F197" s="193">
        <f>IF(E197="有",(I197/B197+J197+Z197/B197)/(0.99999-K197-L197-M197-N197),(I197/B197+J197+Z197/B197)/(0.99999-K197-M197-N197))</f>
        <v>34.6761692639182</v>
      </c>
      <c r="G197" s="193">
        <f>IF(E197="有",(I197/B197+J197+Z197/B197)/(0.8-K197-L197-M197-N197-O197-P197),(I197/B197+J197+Z197/B197)/(0.8-K197-M197-N197-O197-P197))</f>
        <v>69.4145750357543</v>
      </c>
      <c r="H197" s="194">
        <f>H196*0.85</f>
        <v>50.9915</v>
      </c>
      <c r="I197" s="193">
        <f>80/1.13</f>
        <v>70.7964601769912</v>
      </c>
      <c r="J197" s="20">
        <v>6.41</v>
      </c>
      <c r="K197" s="18">
        <v>0.15</v>
      </c>
      <c r="L197" s="18">
        <v>0.16</v>
      </c>
      <c r="M197" s="18">
        <v>0.05</v>
      </c>
      <c r="N197" s="18">
        <f>Q197/H197</f>
        <v>0.176500004902778</v>
      </c>
      <c r="O197" s="195">
        <f>0.61/H197</f>
        <v>0.0119627781100772</v>
      </c>
      <c r="P197" s="18">
        <v>0.02</v>
      </c>
      <c r="Q197" s="193">
        <v>9</v>
      </c>
      <c r="R197" s="14">
        <v>33.5</v>
      </c>
      <c r="S197" s="14">
        <v>26.5</v>
      </c>
      <c r="T197" s="14">
        <v>25</v>
      </c>
      <c r="U197" s="14">
        <v>2.3</v>
      </c>
      <c r="V197" s="193">
        <f>R197*S197*T197/6000</f>
        <v>3.69895833333333</v>
      </c>
      <c r="W197" s="193">
        <f>MAX(U197:V197)</f>
        <v>3.69895833333333</v>
      </c>
      <c r="X197" s="20" t="s">
        <v>21</v>
      </c>
      <c r="Y197" s="196">
        <v>5.55136</v>
      </c>
      <c r="Z197" s="197">
        <v>6.5</v>
      </c>
      <c r="AA197" s="193">
        <f>H197-SUM(K197:P197)*H197-J197-I197/B197-Z197/B197</f>
        <v>5.9326724778761</v>
      </c>
      <c r="AB197" s="195">
        <f>AA197/H197</f>
        <v>0.116346302381301</v>
      </c>
      <c r="AC197" s="14"/>
      <c r="AD197" s="17">
        <f>J197/H197</f>
        <v>0.12570722571409</v>
      </c>
      <c r="AE197" s="18">
        <f>I197/7.4/H197</f>
        <v>0.187621254779854</v>
      </c>
      <c r="AF197" s="18">
        <f>Z197/7.4/H197</f>
        <v>0.0172259764544753</v>
      </c>
      <c r="AG197" s="18">
        <v>0.15</v>
      </c>
      <c r="AH197" s="18">
        <f>N197</f>
        <v>0.176500004902778</v>
      </c>
      <c r="AI197" s="18">
        <v>0.02</v>
      </c>
      <c r="AJ197" s="18">
        <f>M197</f>
        <v>0.05</v>
      </c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</row>
    <row r="198" spans="1:75">
      <c r="A198" s="15" t="s">
        <v>558</v>
      </c>
      <c r="B198" s="20">
        <v>8</v>
      </c>
      <c r="C198" s="20" t="s">
        <v>510</v>
      </c>
      <c r="D198" s="20" t="s">
        <v>511</v>
      </c>
      <c r="E198" s="20" t="s">
        <v>507</v>
      </c>
      <c r="F198" s="193">
        <f>IF(E198="有",(I198/B198+J198+Z198/B198)/(0.99999-K198-L198-M198-N198),(I198/B198+J198+Z198/B198)/(0.99999-K198-M198-N198))</f>
        <v>34.2672205875679</v>
      </c>
      <c r="G198" s="193">
        <f>IF(E198="有",(I198/B198+J198+Z198/B198)/(0.8-K198-L198-M198-N198-O198-P198),(I198/B198+J198+Z198/B198)/(0.8-K198-M198-N198-O198-P198))</f>
        <v>68.1033891625586</v>
      </c>
      <c r="H198" s="194">
        <f>H196*0.78</f>
        <v>46.7922</v>
      </c>
      <c r="I198" s="193">
        <f>80/1.13</f>
        <v>70.7964601769912</v>
      </c>
      <c r="J198" s="20">
        <v>6.41</v>
      </c>
      <c r="K198" s="18">
        <v>0.15</v>
      </c>
      <c r="L198" s="18">
        <v>0.16</v>
      </c>
      <c r="M198" s="18">
        <v>0.05</v>
      </c>
      <c r="N198" s="18">
        <f>Q198/H198</f>
        <v>0.170968665717791</v>
      </c>
      <c r="O198" s="195">
        <f>0.61/H198</f>
        <v>0.0130363607609815</v>
      </c>
      <c r="P198" s="18">
        <v>0.02</v>
      </c>
      <c r="Q198" s="193">
        <v>8</v>
      </c>
      <c r="R198" s="14">
        <v>33.5</v>
      </c>
      <c r="S198" s="14">
        <v>26.5</v>
      </c>
      <c r="T198" s="14">
        <v>25</v>
      </c>
      <c r="U198" s="14">
        <v>2.3</v>
      </c>
      <c r="V198" s="193">
        <f>R198*S198*T198/6000</f>
        <v>3.69895833333333</v>
      </c>
      <c r="W198" s="193">
        <f>MAX(U198:V198)</f>
        <v>3.69895833333333</v>
      </c>
      <c r="X198" s="20" t="s">
        <v>21</v>
      </c>
      <c r="Y198" s="196">
        <v>5.55136</v>
      </c>
      <c r="Z198" s="197">
        <v>6.5</v>
      </c>
      <c r="AA198" s="193">
        <f>H198-SUM(K198:P198)*H198-J198-I198/B198-Z198/B198</f>
        <v>4.3291064778761</v>
      </c>
      <c r="AB198" s="195">
        <f>AA198/H198</f>
        <v>0.0925176947840901</v>
      </c>
      <c r="AC198" s="14"/>
      <c r="AD198" s="17">
        <f>J198/H198</f>
        <v>0.13698864340638</v>
      </c>
      <c r="AE198" s="18">
        <f>I198/7.4/H198</f>
        <v>0.204459059695994</v>
      </c>
      <c r="AF198" s="18">
        <f>Z198/7.4/H198</f>
        <v>0.0187718974183385</v>
      </c>
      <c r="AG198" s="18">
        <v>0.15</v>
      </c>
      <c r="AH198" s="18">
        <f>N198</f>
        <v>0.170968665717791</v>
      </c>
      <c r="AI198" s="18">
        <v>0.02</v>
      </c>
      <c r="AJ198" s="18">
        <f>M198</f>
        <v>0.05</v>
      </c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</row>
    <row r="199" spans="1:75">
      <c r="A199" s="15"/>
      <c r="B199" s="14"/>
      <c r="C199" s="14"/>
      <c r="D199" s="14"/>
      <c r="E199" s="14"/>
      <c r="F199" s="193"/>
      <c r="G199" s="193"/>
      <c r="H199" s="198"/>
      <c r="I199" s="193"/>
      <c r="J199" s="20"/>
      <c r="K199" s="18"/>
      <c r="L199" s="18"/>
      <c r="M199" s="18"/>
      <c r="N199" s="18"/>
      <c r="O199" s="195"/>
      <c r="P199" s="18"/>
      <c r="Q199" s="18"/>
      <c r="R199" s="14"/>
      <c r="S199" s="14"/>
      <c r="T199" s="14"/>
      <c r="U199" s="14"/>
      <c r="V199" s="193"/>
      <c r="W199" s="193"/>
      <c r="X199" s="20"/>
      <c r="Y199" s="196"/>
      <c r="Z199" s="20"/>
      <c r="AA199" s="193"/>
      <c r="AB199" s="195"/>
      <c r="AC199" s="14"/>
      <c r="AD199" s="17"/>
      <c r="AE199" s="18"/>
      <c r="AF199" s="18"/>
      <c r="AG199" s="18"/>
      <c r="AH199" s="18"/>
      <c r="AI199" s="18"/>
      <c r="AJ199" s="18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</row>
    <row r="200" spans="1:75">
      <c r="A200" s="15" t="s">
        <v>556</v>
      </c>
      <c r="B200" s="20">
        <v>8</v>
      </c>
      <c r="C200" s="14" t="s">
        <v>512</v>
      </c>
      <c r="D200" s="14" t="s">
        <v>513</v>
      </c>
      <c r="E200" s="20" t="s">
        <v>507</v>
      </c>
      <c r="F200" s="193">
        <f>IF(E200="有",(I200/B200+J200+Z200/B200)/(0.99999-K200-L200-M200-N200),(I200/B200+J200+Z200/B200)/(0.99999-K200-M200-N200))</f>
        <v>32.6900548544785</v>
      </c>
      <c r="G200" s="193">
        <f>IF(E200="有",(I200/B200+J200+Z200/B200)/(0.8-K200-L200-M200-N200-O200-P200),(I200/B200+J200+Z200/B200)/(0.8-K200-M200-N200-O200-P200))</f>
        <v>63.6350924016655</v>
      </c>
      <c r="H200" s="194">
        <v>59.99</v>
      </c>
      <c r="I200" s="193">
        <f>80/1.13</f>
        <v>70.7964601769912</v>
      </c>
      <c r="J200" s="14">
        <v>5.81</v>
      </c>
      <c r="K200" s="18">
        <v>0.15</v>
      </c>
      <c r="L200" s="18">
        <v>0.16</v>
      </c>
      <c r="M200" s="18">
        <v>0.05</v>
      </c>
      <c r="N200" s="18">
        <f>Q200/H200</f>
        <v>0.166694449074846</v>
      </c>
      <c r="O200" s="195">
        <f>0.61/H200</f>
        <v>0.0101683613935656</v>
      </c>
      <c r="P200" s="18">
        <v>0.02</v>
      </c>
      <c r="Q200" s="193">
        <v>10</v>
      </c>
      <c r="R200" s="14">
        <v>33.5</v>
      </c>
      <c r="S200" s="14">
        <v>26.5</v>
      </c>
      <c r="T200" s="14">
        <v>25</v>
      </c>
      <c r="U200" s="14">
        <v>2.3</v>
      </c>
      <c r="V200" s="193">
        <f>R200*S200*T200/6000</f>
        <v>3.69895833333333</v>
      </c>
      <c r="W200" s="193">
        <f>MAX(U200:V200)</f>
        <v>3.69895833333333</v>
      </c>
      <c r="X200" s="14" t="s">
        <v>21</v>
      </c>
      <c r="Y200" s="196">
        <v>5.55136</v>
      </c>
      <c r="Z200" s="197">
        <v>6.5</v>
      </c>
      <c r="AA200" s="193">
        <f>H200-SUM(K200:P200)*H200-J200-I200/B200-Z200/B200</f>
        <v>11.1117424778761</v>
      </c>
      <c r="AB200" s="195">
        <f>AA200/H200</f>
        <v>0.185226579061112</v>
      </c>
      <c r="AC200" s="14"/>
      <c r="AD200" s="17">
        <f>J200/H200</f>
        <v>0.0968494749124854</v>
      </c>
      <c r="AE200" s="18">
        <f>I200/7.4/H200</f>
        <v>0.159478066562876</v>
      </c>
      <c r="AF200" s="18">
        <f>Z200/7.4/H200</f>
        <v>0.014642079986304</v>
      </c>
      <c r="AG200" s="18">
        <v>0.15</v>
      </c>
      <c r="AH200" s="18">
        <f>N200</f>
        <v>0.166694449074846</v>
      </c>
      <c r="AI200" s="18">
        <v>0.02</v>
      </c>
      <c r="AJ200" s="18">
        <f>M200</f>
        <v>0.05</v>
      </c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</row>
    <row r="201" spans="1:75">
      <c r="A201" s="15" t="s">
        <v>557</v>
      </c>
      <c r="B201" s="20">
        <v>8</v>
      </c>
      <c r="C201" s="20" t="s">
        <v>512</v>
      </c>
      <c r="D201" s="20" t="s">
        <v>513</v>
      </c>
      <c r="E201" s="20" t="s">
        <v>507</v>
      </c>
      <c r="F201" s="193">
        <f>IF(E201="有",(I201/B201+J201+Z201/B201)/(0.99999-K201-L201-M201-N201),(I201/B201+J201+Z201/B201)/(0.99999-K201-M201-N201))</f>
        <v>33.3816429389775</v>
      </c>
      <c r="G201" s="193">
        <f>IF(E201="有",(I201/B201+J201+Z201/B201)/(0.8-K201-L201-M201-N201-O201-P201),(I201/B201+J201+Z201/B201)/(0.8-K201-M201-N201-O201-P201))</f>
        <v>66.823198980503</v>
      </c>
      <c r="H201" s="194">
        <f>H200*0.85</f>
        <v>50.9915</v>
      </c>
      <c r="I201" s="193">
        <f>80/1.13</f>
        <v>70.7964601769912</v>
      </c>
      <c r="J201" s="20">
        <v>5.81</v>
      </c>
      <c r="K201" s="18">
        <v>0.15</v>
      </c>
      <c r="L201" s="18">
        <v>0.16</v>
      </c>
      <c r="M201" s="18">
        <v>0.05</v>
      </c>
      <c r="N201" s="18">
        <f>Q201/H201</f>
        <v>0.176500004902778</v>
      </c>
      <c r="O201" s="195">
        <f>0.61/H201</f>
        <v>0.0119627781100772</v>
      </c>
      <c r="P201" s="18">
        <v>0.02</v>
      </c>
      <c r="Q201" s="193">
        <v>9</v>
      </c>
      <c r="R201" s="14">
        <v>33.5</v>
      </c>
      <c r="S201" s="14">
        <v>26.5</v>
      </c>
      <c r="T201" s="14">
        <v>25</v>
      </c>
      <c r="U201" s="14">
        <v>2.3</v>
      </c>
      <c r="V201" s="193">
        <f>R201*S201*T201/6000</f>
        <v>3.69895833333333</v>
      </c>
      <c r="W201" s="193">
        <f>MAX(U201:V201)</f>
        <v>3.69895833333333</v>
      </c>
      <c r="X201" s="20" t="s">
        <v>21</v>
      </c>
      <c r="Y201" s="196">
        <v>5.55136</v>
      </c>
      <c r="Z201" s="197">
        <v>6.5</v>
      </c>
      <c r="AA201" s="193">
        <f>H201-SUM(K201:P201)*H201-J201-I201/B201-Z201/B201</f>
        <v>6.5326724778761</v>
      </c>
      <c r="AB201" s="195">
        <f>AA201/H201</f>
        <v>0.128112969374819</v>
      </c>
      <c r="AC201" s="14"/>
      <c r="AD201" s="17">
        <f>J201/H201</f>
        <v>0.113940558720571</v>
      </c>
      <c r="AE201" s="18">
        <f>I201/7.4/H201</f>
        <v>0.187621254779854</v>
      </c>
      <c r="AF201" s="18">
        <f>Z201/7.4/H201</f>
        <v>0.0172259764544753</v>
      </c>
      <c r="AG201" s="18">
        <v>0.15</v>
      </c>
      <c r="AH201" s="18">
        <f>N201</f>
        <v>0.176500004902778</v>
      </c>
      <c r="AI201" s="18">
        <v>0.02</v>
      </c>
      <c r="AJ201" s="18">
        <f>M201</f>
        <v>0.05</v>
      </c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</row>
    <row r="202" spans="1:75">
      <c r="A202" s="15" t="s">
        <v>558</v>
      </c>
      <c r="B202" s="20">
        <v>8</v>
      </c>
      <c r="C202" s="20" t="s">
        <v>512</v>
      </c>
      <c r="D202" s="20" t="s">
        <v>513</v>
      </c>
      <c r="E202" s="20" t="s">
        <v>507</v>
      </c>
      <c r="F202" s="193">
        <f>IF(E202="有",(I202/B202+J202+Z202/B202)/(0.99999-K202-L202-M202-N202),(I202/B202+J202+Z202/B202)/(0.99999-K202-M202-N202))</f>
        <v>32.6900548544785</v>
      </c>
      <c r="G202" s="193">
        <f>IF(E202="有",(I202/B202+J202+Z202/B202)/(0.8-K202-L202-M202-N202-O202-P202),(I202/B202+J202+Z202/B202)/(0.8-K202-M202-N202-O202-P202))</f>
        <v>64.307450877638</v>
      </c>
      <c r="H202" s="194">
        <f>H200*0.8</f>
        <v>47.992</v>
      </c>
      <c r="I202" s="193">
        <f>80/1.13</f>
        <v>70.7964601769912</v>
      </c>
      <c r="J202" s="20">
        <v>5.81</v>
      </c>
      <c r="K202" s="18">
        <v>0.15</v>
      </c>
      <c r="L202" s="18">
        <v>0.16</v>
      </c>
      <c r="M202" s="18">
        <v>0.05</v>
      </c>
      <c r="N202" s="18">
        <f>Q202/H202</f>
        <v>0.166694449074846</v>
      </c>
      <c r="O202" s="195">
        <f>0.61/H202</f>
        <v>0.012710451741957</v>
      </c>
      <c r="P202" s="18">
        <v>0.02</v>
      </c>
      <c r="Q202" s="193">
        <v>8</v>
      </c>
      <c r="R202" s="14">
        <v>33.5</v>
      </c>
      <c r="S202" s="14">
        <v>26.5</v>
      </c>
      <c r="T202" s="14">
        <v>25</v>
      </c>
      <c r="U202" s="14">
        <v>2.3</v>
      </c>
      <c r="V202" s="193">
        <f>R202*S202*T202/6000</f>
        <v>3.69895833333333</v>
      </c>
      <c r="W202" s="193">
        <f>MAX(U202:V202)</f>
        <v>3.69895833333333</v>
      </c>
      <c r="X202" s="20" t="s">
        <v>21</v>
      </c>
      <c r="Y202" s="196">
        <v>5.55136</v>
      </c>
      <c r="Z202" s="197">
        <v>6.5</v>
      </c>
      <c r="AA202" s="193">
        <f>H202-SUM(K202:P202)*H202-J202-I202/B202-Z202/B202</f>
        <v>5.67298247787611</v>
      </c>
      <c r="AB202" s="195">
        <f>AA202/H202</f>
        <v>0.118206836095101</v>
      </c>
      <c r="AC202" s="14"/>
      <c r="AD202" s="17">
        <f>J202/H202</f>
        <v>0.121061843640607</v>
      </c>
      <c r="AE202" s="18">
        <f>I202/7.4/H202</f>
        <v>0.199347583203595</v>
      </c>
      <c r="AF202" s="18">
        <f>Z202/7.4/H202</f>
        <v>0.01830259998288</v>
      </c>
      <c r="AG202" s="18">
        <v>0.15</v>
      </c>
      <c r="AH202" s="18">
        <f>N202</f>
        <v>0.166694449074846</v>
      </c>
      <c r="AI202" s="18">
        <v>0.02</v>
      </c>
      <c r="AJ202" s="18">
        <f>M202</f>
        <v>0.05</v>
      </c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</row>
    <row r="203" spans="1:75">
      <c r="A203" s="15" t="s">
        <v>559</v>
      </c>
      <c r="B203" s="20">
        <v>8</v>
      </c>
      <c r="C203" s="20" t="s">
        <v>512</v>
      </c>
      <c r="D203" s="20" t="s">
        <v>513</v>
      </c>
      <c r="E203" s="20" t="s">
        <v>507</v>
      </c>
      <c r="F203" s="193">
        <f>IF(E203="有",(I203/B203+J203+Z203/B203)/(0.99999-K203-L203-M203-N203),(I203/B203+J203+Z203/B203)/(0.99999-K203-M203-N203))</f>
        <v>35.1677640721043</v>
      </c>
      <c r="G203" s="193">
        <f>IF(E203="有",(I203/B203+J203+Z203/B203)/(0.8-K203-L203-M203-N203-O203-P203),(I203/B203+J203+Z203/B203)/(0.8-K203-M203-N203-O203-P203))</f>
        <v>74.4716974649015</v>
      </c>
      <c r="H203" s="194">
        <v>49.99</v>
      </c>
      <c r="I203" s="193">
        <f>80/1.13</f>
        <v>70.7964601769912</v>
      </c>
      <c r="J203" s="20">
        <v>5.81</v>
      </c>
      <c r="K203" s="18">
        <v>0.15</v>
      </c>
      <c r="L203" s="18">
        <v>0.16</v>
      </c>
      <c r="M203" s="18">
        <v>0.05</v>
      </c>
      <c r="N203" s="18">
        <f>Q203/H203</f>
        <v>0.2000400080016</v>
      </c>
      <c r="O203" s="195">
        <f>0.61/H203</f>
        <v>0.0122024404880976</v>
      </c>
      <c r="P203" s="18">
        <v>0.02</v>
      </c>
      <c r="Q203" s="193">
        <v>10</v>
      </c>
      <c r="R203" s="14">
        <v>33.5</v>
      </c>
      <c r="S203" s="14">
        <v>26.5</v>
      </c>
      <c r="T203" s="14">
        <v>25</v>
      </c>
      <c r="U203" s="14">
        <v>2.3</v>
      </c>
      <c r="V203" s="193">
        <f>R203*S203*T203/6000</f>
        <v>3.69895833333333</v>
      </c>
      <c r="W203" s="193">
        <f>MAX(U203:V203)</f>
        <v>3.69895833333333</v>
      </c>
      <c r="X203" s="20" t="s">
        <v>21</v>
      </c>
      <c r="Y203" s="196">
        <v>5.55136</v>
      </c>
      <c r="Z203" s="197">
        <v>6.5</v>
      </c>
      <c r="AA203" s="193">
        <f>H203-SUM(K203:P203)*H203-J203-I203/B203-Z203/B203</f>
        <v>4.9117424778761</v>
      </c>
      <c r="AB203" s="195">
        <f>AA203/H203</f>
        <v>0.0982545004576136</v>
      </c>
      <c r="AC203" s="14"/>
      <c r="AD203" s="17">
        <f>J203/H203</f>
        <v>0.11622324464893</v>
      </c>
      <c r="AE203" s="18">
        <f>I203/7.4/H203</f>
        <v>0.191380060274193</v>
      </c>
      <c r="AF203" s="18">
        <f>Z203/7.4/H203</f>
        <v>0.0175710817839244</v>
      </c>
      <c r="AG203" s="18">
        <v>0.15</v>
      </c>
      <c r="AH203" s="18">
        <f>N203</f>
        <v>0.2000400080016</v>
      </c>
      <c r="AI203" s="18">
        <v>0.02</v>
      </c>
      <c r="AJ203" s="18">
        <f>M203</f>
        <v>0.05</v>
      </c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</row>
    <row r="204" spans="1:75">
      <c r="A204" s="15"/>
      <c r="B204" s="14"/>
      <c r="C204" s="14"/>
      <c r="D204" s="14"/>
      <c r="E204" s="14"/>
      <c r="F204" s="193"/>
      <c r="G204" s="193"/>
      <c r="H204" s="198"/>
      <c r="I204" s="193"/>
      <c r="J204" s="20"/>
      <c r="K204" s="18"/>
      <c r="L204" s="18"/>
      <c r="M204" s="18"/>
      <c r="N204" s="18"/>
      <c r="O204" s="195"/>
      <c r="P204" s="18"/>
      <c r="Q204" s="18"/>
      <c r="R204" s="14"/>
      <c r="S204" s="14"/>
      <c r="T204" s="14"/>
      <c r="U204" s="14"/>
      <c r="V204" s="193"/>
      <c r="W204" s="193"/>
      <c r="X204" s="20"/>
      <c r="Y204" s="196"/>
      <c r="Z204" s="20"/>
      <c r="AA204" s="193"/>
      <c r="AB204" s="195"/>
      <c r="AC204" s="14"/>
      <c r="AD204" s="17"/>
      <c r="AE204" s="18"/>
      <c r="AF204" s="18"/>
      <c r="AG204" s="18"/>
      <c r="AH204" s="18"/>
      <c r="AI204" s="18"/>
      <c r="AJ204" s="18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</row>
    <row r="205" spans="1:75">
      <c r="A205" s="15" t="s">
        <v>556</v>
      </c>
      <c r="B205" s="20">
        <v>8</v>
      </c>
      <c r="C205" s="14" t="s">
        <v>515</v>
      </c>
      <c r="D205" s="14" t="s">
        <v>516</v>
      </c>
      <c r="E205" s="20" t="s">
        <v>507</v>
      </c>
      <c r="F205" s="193">
        <f>IF(E205="有",(I205/B205+J205+Z205/B205)/(0.99999-K205-L205-M205-N205),(I205/B205+J205+Z205/B205)/(0.99999-K205-M205-N205))</f>
        <v>30.6617239349854</v>
      </c>
      <c r="G205" s="193">
        <f>IF(E205="有",(I205/B205+J205+Z205/B205)/(0.8-K205-L205-M205-N205-O205-P205),(I205/B205+J205+Z205/B205)/(0.8-K205-M205-N205-O205-P205))</f>
        <v>59.6867042433197</v>
      </c>
      <c r="H205" s="194">
        <v>59.99</v>
      </c>
      <c r="I205" s="193">
        <f>80/1.13</f>
        <v>70.7964601769912</v>
      </c>
      <c r="J205" s="14">
        <v>4.85</v>
      </c>
      <c r="K205" s="18">
        <v>0.15</v>
      </c>
      <c r="L205" s="18">
        <v>0.16</v>
      </c>
      <c r="M205" s="18">
        <v>0.05</v>
      </c>
      <c r="N205" s="18">
        <f>Q205/H205</f>
        <v>0.166694449074846</v>
      </c>
      <c r="O205" s="195">
        <f>0.61/H205</f>
        <v>0.0101683613935656</v>
      </c>
      <c r="P205" s="18">
        <v>0.02</v>
      </c>
      <c r="Q205" s="193">
        <v>10</v>
      </c>
      <c r="R205" s="14">
        <v>33.5</v>
      </c>
      <c r="S205" s="14">
        <v>26.5</v>
      </c>
      <c r="T205" s="14">
        <v>25</v>
      </c>
      <c r="U205" s="14">
        <v>2.3</v>
      </c>
      <c r="V205" s="193">
        <f>R205*S205*T205/6000</f>
        <v>3.69895833333333</v>
      </c>
      <c r="W205" s="193">
        <f>MAX(U205:V205)</f>
        <v>3.69895833333333</v>
      </c>
      <c r="X205" s="14" t="s">
        <v>21</v>
      </c>
      <c r="Y205" s="196">
        <v>5.55136</v>
      </c>
      <c r="Z205" s="197">
        <v>6.5</v>
      </c>
      <c r="AA205" s="193">
        <f>H205-SUM(K205:P205)*H205-J205-I205/B205-Z205/B205</f>
        <v>12.0717424778761</v>
      </c>
      <c r="AB205" s="195">
        <f>AA205/H205</f>
        <v>0.201229246172297</v>
      </c>
      <c r="AC205" s="14"/>
      <c r="AD205" s="17">
        <f>J205/H205</f>
        <v>0.0808468078013002</v>
      </c>
      <c r="AE205" s="18">
        <f>I205/7.4/H205</f>
        <v>0.159478066562876</v>
      </c>
      <c r="AF205" s="18">
        <f>Z205/7.4/H205</f>
        <v>0.014642079986304</v>
      </c>
      <c r="AG205" s="18">
        <v>0.15</v>
      </c>
      <c r="AH205" s="18">
        <f>N205</f>
        <v>0.166694449074846</v>
      </c>
      <c r="AI205" s="18">
        <v>0.02</v>
      </c>
      <c r="AJ205" s="18">
        <f>M205</f>
        <v>0.05</v>
      </c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</row>
    <row r="206" spans="1:75">
      <c r="A206" s="15" t="s">
        <v>557</v>
      </c>
      <c r="B206" s="20">
        <v>8</v>
      </c>
      <c r="C206" s="20" t="s">
        <v>515</v>
      </c>
      <c r="D206" s="20" t="s">
        <v>516</v>
      </c>
      <c r="E206" s="20" t="s">
        <v>507</v>
      </c>
      <c r="F206" s="193">
        <f>IF(E206="有",(I206/B206+J206+Z206/B206)/(0.99999-K206-L206-M206-N206),(I206/B206+J206+Z206/B206)/(0.99999-K206-M206-N206))</f>
        <v>31.3104008190723</v>
      </c>
      <c r="G206" s="193">
        <f>IF(E206="有",(I206/B206+J206+Z206/B206)/(0.8-K206-L206-M206-N206-O206-P206),(I206/B206+J206+Z206/B206)/(0.8-K206-M206-N206-O206-P206))</f>
        <v>62.676997292101</v>
      </c>
      <c r="H206" s="194">
        <f>H205*0.85</f>
        <v>50.9915</v>
      </c>
      <c r="I206" s="193">
        <f>80/1.13</f>
        <v>70.7964601769912</v>
      </c>
      <c r="J206" s="20">
        <v>4.85</v>
      </c>
      <c r="K206" s="18">
        <v>0.15</v>
      </c>
      <c r="L206" s="18">
        <v>0.16</v>
      </c>
      <c r="M206" s="18">
        <v>0.05</v>
      </c>
      <c r="N206" s="18">
        <f>Q206/H206</f>
        <v>0.176500004902778</v>
      </c>
      <c r="O206" s="195">
        <f>0.61/H206</f>
        <v>0.0119627781100772</v>
      </c>
      <c r="P206" s="18">
        <v>0.02</v>
      </c>
      <c r="Q206" s="193">
        <v>9</v>
      </c>
      <c r="R206" s="14">
        <v>33.5</v>
      </c>
      <c r="S206" s="14">
        <v>26.5</v>
      </c>
      <c r="T206" s="14">
        <v>25</v>
      </c>
      <c r="U206" s="14">
        <v>2.3</v>
      </c>
      <c r="V206" s="193">
        <f>R206*S206*T206/6000</f>
        <v>3.69895833333333</v>
      </c>
      <c r="W206" s="193">
        <f>MAX(U206:V206)</f>
        <v>3.69895833333333</v>
      </c>
      <c r="X206" s="20" t="s">
        <v>21</v>
      </c>
      <c r="Y206" s="196">
        <v>5.55136</v>
      </c>
      <c r="Z206" s="197">
        <v>6.5</v>
      </c>
      <c r="AA206" s="193">
        <f>H206-SUM(K206:P206)*H206-J206-I206/B206-Z206/B206</f>
        <v>7.49267247787611</v>
      </c>
      <c r="AB206" s="195">
        <f>AA206/H206</f>
        <v>0.146939636564449</v>
      </c>
      <c r="AC206" s="14"/>
      <c r="AD206" s="17">
        <f>J206/H206</f>
        <v>0.0951138915309414</v>
      </c>
      <c r="AE206" s="18">
        <f>I206/7.4/H206</f>
        <v>0.187621254779854</v>
      </c>
      <c r="AF206" s="18">
        <f>Z206/7.4/H206</f>
        <v>0.0172259764544753</v>
      </c>
      <c r="AG206" s="18">
        <v>0.15</v>
      </c>
      <c r="AH206" s="18">
        <f>N206</f>
        <v>0.176500004902778</v>
      </c>
      <c r="AI206" s="18">
        <v>0.02</v>
      </c>
      <c r="AJ206" s="18">
        <f>M206</f>
        <v>0.05</v>
      </c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</row>
    <row r="207" spans="1:75">
      <c r="A207" s="15" t="s">
        <v>558</v>
      </c>
      <c r="B207" s="14">
        <v>8</v>
      </c>
      <c r="C207" s="20" t="s">
        <v>515</v>
      </c>
      <c r="D207" s="20" t="s">
        <v>516</v>
      </c>
      <c r="E207" s="20" t="s">
        <v>507</v>
      </c>
      <c r="F207" s="193">
        <f>IF(E207="有",(I207/B207+J207+Z207/B207)/(0.99999-K207-L207-M207-N207),(I207/B207+J207+Z207/B207)/(0.99999-K207-M207-N207))</f>
        <v>30.6617239349854</v>
      </c>
      <c r="G207" s="193">
        <f>IF(E207="有",(I207/B207+J207+Z207/B207)/(0.8-K207-L207-M207-N207-O207-P207),(I207/B207+J207+Z207/B207)/(0.8-K207-M207-N207-O207-P207))</f>
        <v>60.3173446649216</v>
      </c>
      <c r="H207" s="194">
        <f>H205*0.8</f>
        <v>47.992</v>
      </c>
      <c r="I207" s="193">
        <f>80/1.13</f>
        <v>70.7964601769912</v>
      </c>
      <c r="J207" s="20">
        <v>4.85</v>
      </c>
      <c r="K207" s="18">
        <v>0.15</v>
      </c>
      <c r="L207" s="18">
        <v>0.16</v>
      </c>
      <c r="M207" s="18">
        <v>0.05</v>
      </c>
      <c r="N207" s="18">
        <f>Q207/H207</f>
        <v>0.166694449074846</v>
      </c>
      <c r="O207" s="195">
        <f>0.61/H207</f>
        <v>0.012710451741957</v>
      </c>
      <c r="P207" s="18">
        <v>0.02</v>
      </c>
      <c r="Q207" s="193">
        <v>8</v>
      </c>
      <c r="R207" s="14">
        <v>33.5</v>
      </c>
      <c r="S207" s="14">
        <v>26.5</v>
      </c>
      <c r="T207" s="14">
        <v>25</v>
      </c>
      <c r="U207" s="14">
        <v>2.3</v>
      </c>
      <c r="V207" s="193">
        <f>R207*S207*T207/6000</f>
        <v>3.69895833333333</v>
      </c>
      <c r="W207" s="193">
        <f>MAX(U207:V207)</f>
        <v>3.69895833333333</v>
      </c>
      <c r="X207" s="20" t="s">
        <v>21</v>
      </c>
      <c r="Y207" s="196">
        <v>5.55136</v>
      </c>
      <c r="Z207" s="197">
        <v>6.5</v>
      </c>
      <c r="AA207" s="193">
        <f>H207-SUM(K207:P207)*H207-J207-I207/B207-Z207/B207</f>
        <v>6.63298247787611</v>
      </c>
      <c r="AB207" s="195">
        <f>AA207/H207</f>
        <v>0.138210169984083</v>
      </c>
      <c r="AC207" s="14"/>
      <c r="AD207" s="17">
        <f>J207/H207</f>
        <v>0.101058509751625</v>
      </c>
      <c r="AE207" s="18">
        <f>I207/7.4/H207</f>
        <v>0.199347583203595</v>
      </c>
      <c r="AF207" s="18">
        <f>Z207/7.4/H207</f>
        <v>0.01830259998288</v>
      </c>
      <c r="AG207" s="18">
        <v>0.15</v>
      </c>
      <c r="AH207" s="18">
        <f>N207</f>
        <v>0.166694449074846</v>
      </c>
      <c r="AI207" s="18">
        <v>0.02</v>
      </c>
      <c r="AJ207" s="18">
        <f>M207</f>
        <v>0.05</v>
      </c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</row>
    <row r="208" spans="1:75">
      <c r="A208" s="15"/>
      <c r="B208" s="20"/>
      <c r="C208" s="20"/>
      <c r="D208" s="20"/>
      <c r="E208" s="20"/>
      <c r="F208" s="193"/>
      <c r="G208" s="193"/>
      <c r="H208" s="198"/>
      <c r="I208" s="193"/>
      <c r="J208" s="20"/>
      <c r="K208" s="18"/>
      <c r="L208" s="18"/>
      <c r="M208" s="18"/>
      <c r="N208" s="18"/>
      <c r="O208" s="195"/>
      <c r="P208" s="18"/>
      <c r="Q208" s="18"/>
      <c r="R208" s="14"/>
      <c r="S208" s="14"/>
      <c r="T208" s="14"/>
      <c r="U208" s="14"/>
      <c r="V208" s="193"/>
      <c r="W208" s="193"/>
      <c r="X208" s="20"/>
      <c r="Y208" s="196"/>
      <c r="Z208" s="20"/>
      <c r="AA208" s="193"/>
      <c r="AB208" s="195"/>
      <c r="AC208" s="14"/>
      <c r="AD208" s="17"/>
      <c r="AE208" s="18"/>
      <c r="AF208" s="18"/>
      <c r="AG208" s="18"/>
      <c r="AH208" s="18"/>
      <c r="AI208" s="18"/>
      <c r="AJ208" s="18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</row>
    <row r="209" spans="1:75">
      <c r="A209" s="15" t="s">
        <v>556</v>
      </c>
      <c r="B209" s="14">
        <v>9</v>
      </c>
      <c r="C209" s="20" t="s">
        <v>517</v>
      </c>
      <c r="D209" s="20" t="s">
        <v>300</v>
      </c>
      <c r="E209" s="20" t="s">
        <v>507</v>
      </c>
      <c r="F209" s="193">
        <f>IF(E209="有",(I209/B209+J209+Z209/B209)/(0.99999-K209-L209-M209-N209),(I209/B209+J209+Z209/B209)/(0.99999-K209-M209-N209))</f>
        <v>25.0348621822618</v>
      </c>
      <c r="G209" s="193">
        <f>IF(E209="有",(I209/B209+J209+Z209/B209)/(0.8-K209-L209-M209-N209-O209-P209),(I209/B209+J209+Z209/B209)/(0.8-K209-M209-N209-O209-P209))</f>
        <v>48.733346435879</v>
      </c>
      <c r="H209" s="194">
        <v>59.99</v>
      </c>
      <c r="I209" s="193">
        <v>70.8</v>
      </c>
      <c r="J209" s="14">
        <v>3.26</v>
      </c>
      <c r="K209" s="18">
        <v>0.15</v>
      </c>
      <c r="L209" s="18">
        <v>0.16</v>
      </c>
      <c r="M209" s="18">
        <v>0.05</v>
      </c>
      <c r="N209" s="18">
        <f>Q209/H209</f>
        <v>0.166694449074846</v>
      </c>
      <c r="O209" s="195">
        <f>0.61/H209</f>
        <v>0.0101683613935656</v>
      </c>
      <c r="P209" s="18">
        <v>0.02</v>
      </c>
      <c r="Q209" s="193">
        <v>10</v>
      </c>
      <c r="R209" s="14">
        <v>33.5</v>
      </c>
      <c r="S209" s="14">
        <v>26.5</v>
      </c>
      <c r="T209" s="14">
        <v>25</v>
      </c>
      <c r="U209" s="14">
        <v>2.3</v>
      </c>
      <c r="V209" s="193">
        <f>R209*S209*T209/6000</f>
        <v>3.69895833333333</v>
      </c>
      <c r="W209" s="193">
        <f>MAX(U209:V209)</f>
        <v>3.69895833333333</v>
      </c>
      <c r="X209" s="20" t="s">
        <v>21</v>
      </c>
      <c r="Y209" s="196">
        <v>6.084</v>
      </c>
      <c r="Z209" s="197">
        <v>6.5</v>
      </c>
      <c r="AA209" s="193">
        <f>H209-SUM(K209:P209)*H209-J209-I209/B209-Z209/B209</f>
        <v>14.7349111111111</v>
      </c>
      <c r="AB209" s="195">
        <f>AA209/H209</f>
        <v>0.245622788983349</v>
      </c>
      <c r="AC209" s="14"/>
      <c r="AD209" s="17">
        <f>J209/H209</f>
        <v>0.0543423903983997</v>
      </c>
      <c r="AE209" s="18">
        <f>I209/7.4/H209</f>
        <v>0.159486040466204</v>
      </c>
      <c r="AF209" s="18">
        <f>Z209/7.4/H209</f>
        <v>0.014642079986304</v>
      </c>
      <c r="AG209" s="18">
        <v>0.15</v>
      </c>
      <c r="AH209" s="18">
        <f>N209</f>
        <v>0.166694449074846</v>
      </c>
      <c r="AI209" s="18">
        <v>0.02</v>
      </c>
      <c r="AJ209" s="18">
        <f>M209</f>
        <v>0.05</v>
      </c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</row>
    <row r="210" spans="1:75">
      <c r="A210" s="15" t="s">
        <v>557</v>
      </c>
      <c r="B210" s="14">
        <v>9</v>
      </c>
      <c r="C210" s="20" t="s">
        <v>517</v>
      </c>
      <c r="D210" s="20" t="s">
        <v>300</v>
      </c>
      <c r="E210" s="20" t="s">
        <v>507</v>
      </c>
      <c r="F210" s="193">
        <f>IF(E210="有",(I210/B210+J210+Z210/B210)/(0.99999-K210-L210-M210-N210),(I210/B210+J210+Z210/B210)/(0.99999-K210-M210-N210))</f>
        <v>25.5636490551126</v>
      </c>
      <c r="G210" s="193">
        <f>IF(E210="有",(I210/B210+J210+Z210/B210)/(0.8-K210-L210-M210-N210-O210-P210),(I210/B210+J210+Z210/B210)/(0.8-K210-M210-N210-O210-P210))</f>
        <v>51.1731795406311</v>
      </c>
      <c r="H210" s="194">
        <f>H209*0.85</f>
        <v>50.9915</v>
      </c>
      <c r="I210" s="193">
        <f>80/1.13</f>
        <v>70.7964601769912</v>
      </c>
      <c r="J210" s="20">
        <v>3.26</v>
      </c>
      <c r="K210" s="18">
        <v>0.15</v>
      </c>
      <c r="L210" s="18">
        <v>0.16</v>
      </c>
      <c r="M210" s="18">
        <v>0.05</v>
      </c>
      <c r="N210" s="18">
        <f>Q210/H210</f>
        <v>0.176500004902778</v>
      </c>
      <c r="O210" s="195">
        <f>0.61/H210</f>
        <v>0.0119627781100772</v>
      </c>
      <c r="P210" s="18">
        <v>0.02</v>
      </c>
      <c r="Q210" s="193">
        <v>9</v>
      </c>
      <c r="R210" s="14">
        <v>33.5</v>
      </c>
      <c r="S210" s="14">
        <v>26.5</v>
      </c>
      <c r="T210" s="14">
        <v>25</v>
      </c>
      <c r="U210" s="14">
        <v>2.3</v>
      </c>
      <c r="V210" s="193">
        <f>R210*S210*T210/6000</f>
        <v>3.69895833333333</v>
      </c>
      <c r="W210" s="193">
        <f>MAX(U210:V210)</f>
        <v>3.69895833333333</v>
      </c>
      <c r="X210" s="20" t="s">
        <v>21</v>
      </c>
      <c r="Y210" s="196">
        <v>6.084</v>
      </c>
      <c r="Z210" s="197">
        <v>6.5</v>
      </c>
      <c r="AA210" s="193">
        <f>H210-SUM(K210:P210)*H210-J210-I210/B210-Z210/B210</f>
        <v>10.1562344247788</v>
      </c>
      <c r="AB210" s="195">
        <f>AA210/H210</f>
        <v>0.199175047307468</v>
      </c>
      <c r="AC210" s="14"/>
      <c r="AD210" s="17">
        <f>J210/H210</f>
        <v>0.0639322239981173</v>
      </c>
      <c r="AE210" s="18">
        <f>I210/7.4/H210</f>
        <v>0.187621254779854</v>
      </c>
      <c r="AF210" s="18">
        <f>Z210/7.4/H210</f>
        <v>0.0172259764544753</v>
      </c>
      <c r="AG210" s="18">
        <v>0.15</v>
      </c>
      <c r="AH210" s="18">
        <f>N210</f>
        <v>0.176500004902778</v>
      </c>
      <c r="AI210" s="18">
        <v>0.02</v>
      </c>
      <c r="AJ210" s="18">
        <f>M210</f>
        <v>0.05</v>
      </c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</row>
    <row r="211" spans="1:75">
      <c r="A211" s="15" t="s">
        <v>558</v>
      </c>
      <c r="B211" s="14">
        <v>9</v>
      </c>
      <c r="C211" s="20" t="s">
        <v>517</v>
      </c>
      <c r="D211" s="20" t="s">
        <v>300</v>
      </c>
      <c r="E211" s="20" t="s">
        <v>507</v>
      </c>
      <c r="F211" s="193">
        <f>IF(E211="有",(I211/B211+J211+Z211/B211)/(0.99999-K211-L211-M211-N211),(I211/B211+J211+Z211/B211)/(0.99999-K211-M211-N211))</f>
        <v>25.0340311715606</v>
      </c>
      <c r="G211" s="193">
        <f>IF(E211="有",(I211/B211+J211+Z211/B211)/(0.8-K211-L211-M211-N211-O211-P211),(I211/B211+J211+Z211/B211)/(0.8-K211-M211-N211-O211-P211))</f>
        <v>49.2466206312847</v>
      </c>
      <c r="H211" s="194">
        <f>H209*0.8</f>
        <v>47.992</v>
      </c>
      <c r="I211" s="193">
        <f>80/1.13</f>
        <v>70.7964601769912</v>
      </c>
      <c r="J211" s="20">
        <v>3.26</v>
      </c>
      <c r="K211" s="18">
        <v>0.15</v>
      </c>
      <c r="L211" s="18">
        <v>0.16</v>
      </c>
      <c r="M211" s="18">
        <v>0.05</v>
      </c>
      <c r="N211" s="18">
        <f>Q211/H211</f>
        <v>0.166694449074846</v>
      </c>
      <c r="O211" s="195">
        <f>0.61/H211</f>
        <v>0.012710451741957</v>
      </c>
      <c r="P211" s="18">
        <v>0.02</v>
      </c>
      <c r="Q211" s="193">
        <v>8</v>
      </c>
      <c r="R211" s="14">
        <v>33.5</v>
      </c>
      <c r="S211" s="14">
        <v>26.5</v>
      </c>
      <c r="T211" s="14">
        <v>25</v>
      </c>
      <c r="U211" s="14">
        <v>2.3</v>
      </c>
      <c r="V211" s="193">
        <f>R211*S211*T211/6000</f>
        <v>3.69895833333333</v>
      </c>
      <c r="W211" s="193">
        <f>MAX(U211:V211)</f>
        <v>3.69895833333333</v>
      </c>
      <c r="X211" s="20" t="s">
        <v>21</v>
      </c>
      <c r="Y211" s="196">
        <v>6.084</v>
      </c>
      <c r="Z211" s="197">
        <v>6.5</v>
      </c>
      <c r="AA211" s="193">
        <f>H211-SUM(K211:P211)*H211-J211-I211/B211-Z211/B211</f>
        <v>9.29654442477876</v>
      </c>
      <c r="AB211" s="195">
        <f>AA211/H211</f>
        <v>0.193710293898541</v>
      </c>
      <c r="AC211" s="14"/>
      <c r="AD211" s="17">
        <f>J211/H211</f>
        <v>0.0679279879979997</v>
      </c>
      <c r="AE211" s="18">
        <f>I211/7.4/H211</f>
        <v>0.199347583203595</v>
      </c>
      <c r="AF211" s="18">
        <f>Z211/7.4/H211</f>
        <v>0.01830259998288</v>
      </c>
      <c r="AG211" s="18">
        <v>0.15</v>
      </c>
      <c r="AH211" s="18">
        <f>N211</f>
        <v>0.166694449074846</v>
      </c>
      <c r="AI211" s="18">
        <v>0.02</v>
      </c>
      <c r="AJ211" s="18">
        <f>M211</f>
        <v>0.05</v>
      </c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</row>
    <row r="212" spans="1:75">
      <c r="B212" s="20"/>
      <c r="C212" s="20"/>
      <c r="D212" s="20"/>
      <c r="E212" s="20"/>
      <c r="F212" s="193"/>
      <c r="G212" s="193"/>
      <c r="H212" s="198"/>
      <c r="I212" s="193"/>
      <c r="J212" s="20"/>
      <c r="K212" s="18"/>
      <c r="L212" s="18"/>
      <c r="M212" s="18"/>
      <c r="N212" s="18"/>
      <c r="O212" s="195"/>
      <c r="P212" s="18"/>
      <c r="Q212" s="18"/>
      <c r="R212" s="14"/>
      <c r="S212" s="14"/>
      <c r="T212" s="14"/>
      <c r="U212" s="14"/>
      <c r="V212" s="193"/>
      <c r="W212" s="193"/>
      <c r="X212" s="20"/>
      <c r="Y212" s="196"/>
      <c r="Z212" s="193"/>
      <c r="AA212" s="193"/>
      <c r="AB212" s="195"/>
      <c r="AC212" s="14"/>
      <c r="AD212" s="17"/>
      <c r="AE212" s="18"/>
      <c r="AF212" s="18"/>
      <c r="AG212" s="18"/>
      <c r="AH212" s="18"/>
      <c r="AI212" s="18"/>
      <c r="AJ212" s="18"/>
    </row>
    <row r="213" spans="1:75">
      <c r="A213" s="22" t="s">
        <v>90</v>
      </c>
      <c r="B213" s="20">
        <v>8</v>
      </c>
      <c r="C213" s="20" t="s">
        <v>506</v>
      </c>
      <c r="D213" s="14" t="s">
        <v>407</v>
      </c>
      <c r="E213" s="20" t="s">
        <v>507</v>
      </c>
      <c r="F213" s="193">
        <f>IF(E213="有",(I213/B213+J213+Z213/B213)/(0.99999-K213-L213-M213-N213),(I213/B213+J213+Z213/B213)/(0.99999-K213-M213-N213))</f>
        <v>78.1030875548497</v>
      </c>
      <c r="G213" s="193">
        <f>IF(E213="有",(I213/B213+J213+Z213/B213)/(0.8-K213-L213-M213-N213-O213-P213),(I213/B213+J213+Z213/B213)/(0.8-K213-M213-N213-O213-P213))</f>
        <v>131.119461541777</v>
      </c>
      <c r="H213" s="198">
        <v>119.99</v>
      </c>
      <c r="I213" s="193">
        <f>260/1.13</f>
        <v>230.088495575221</v>
      </c>
      <c r="J213" s="14">
        <v>10.34</v>
      </c>
      <c r="K213" s="18">
        <v>0.15</v>
      </c>
      <c r="L213" s="18">
        <v>0.16</v>
      </c>
      <c r="M213" s="18">
        <v>0.05</v>
      </c>
      <c r="N213" s="18">
        <f>Q213/H213</f>
        <v>0.0833402783565297</v>
      </c>
      <c r="O213" s="195">
        <f>0.61/H213</f>
        <v>0.00508375697974831</v>
      </c>
      <c r="P213" s="18">
        <v>0.02</v>
      </c>
      <c r="Q213" s="193">
        <v>10</v>
      </c>
      <c r="R213" s="14">
        <v>33.5</v>
      </c>
      <c r="S213" s="14">
        <v>26.5</v>
      </c>
      <c r="T213" s="14">
        <v>25</v>
      </c>
      <c r="U213" s="14">
        <v>2.3</v>
      </c>
      <c r="V213" s="193">
        <f>R213*S213*T213/6000</f>
        <v>3.69895833333333</v>
      </c>
      <c r="W213" s="193">
        <f>MAX(U213:V213)</f>
        <v>3.69895833333333</v>
      </c>
      <c r="X213" s="14" t="s">
        <v>21</v>
      </c>
      <c r="Y213" s="196">
        <v>5.55136</v>
      </c>
      <c r="Z213" s="193">
        <v>35</v>
      </c>
      <c r="AA213" s="193">
        <f>H213-SUM(K213:P213)*H213-J213-I213/B213-Z213/B213</f>
        <v>20.3077380530973</v>
      </c>
      <c r="AB213" s="195">
        <f>AA213/H213</f>
        <v>0.169245254213662</v>
      </c>
      <c r="AC213" s="14"/>
      <c r="AD213" s="17">
        <f>J213/H213</f>
        <v>0.0861738478206517</v>
      </c>
      <c r="AE213" s="18">
        <f>I213/7.4/H213</f>
        <v>0.259130260376677</v>
      </c>
      <c r="AF213" s="18">
        <f>Z213/7.4/H213</f>
        <v>0.039417699222683</v>
      </c>
      <c r="AG213" s="18">
        <v>0.15</v>
      </c>
      <c r="AH213" s="18">
        <f>N213</f>
        <v>0.0833402783565297</v>
      </c>
      <c r="AI213" s="18">
        <v>0.02</v>
      </c>
      <c r="AJ213" s="18">
        <f>M213</f>
        <v>0.05</v>
      </c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</row>
    <row r="214" spans="1:75">
      <c r="A214" s="22" t="s">
        <v>560</v>
      </c>
      <c r="B214" s="20">
        <v>8</v>
      </c>
      <c r="C214" s="20" t="s">
        <v>506</v>
      </c>
      <c r="D214" s="20" t="s">
        <v>407</v>
      </c>
      <c r="E214" s="20" t="s">
        <v>507</v>
      </c>
      <c r="F214" s="193">
        <f>IF(E214="有",(I214/B214+J214+Z214/B214)/(0.99999-K214-L214-M214-N214),(I214/B214+J214+Z214/B214)/(0.99999-K214-M214-N214))</f>
        <v>80.2226303080751</v>
      </c>
      <c r="G214" s="193">
        <f>IF(E214="有",(I214/B214+J214+Z214/B214)/(0.8-K214-L214-M214-N214-O214-P214),(I214/B214+J214+Z214/B214)/(0.8-K214-M214-N214-O214-P214))</f>
        <v>137.594787013564</v>
      </c>
      <c r="H214" s="198">
        <f>H213*0.85</f>
        <v>101.9915</v>
      </c>
      <c r="I214" s="193">
        <f>260/1.13</f>
        <v>230.088495575221</v>
      </c>
      <c r="J214" s="20">
        <v>10.34</v>
      </c>
      <c r="K214" s="18">
        <v>0.15</v>
      </c>
      <c r="L214" s="18">
        <v>0.16</v>
      </c>
      <c r="M214" s="18">
        <v>0.05</v>
      </c>
      <c r="N214" s="18">
        <f>Q214/H214</f>
        <v>0.0980473863017997</v>
      </c>
      <c r="O214" s="195">
        <f>0.61/H214</f>
        <v>0.00598089056440978</v>
      </c>
      <c r="P214" s="18">
        <v>0.02</v>
      </c>
      <c r="Q214" s="193">
        <v>10</v>
      </c>
      <c r="R214" s="14">
        <v>33.5</v>
      </c>
      <c r="S214" s="14">
        <v>26.5</v>
      </c>
      <c r="T214" s="14">
        <v>25</v>
      </c>
      <c r="U214" s="14">
        <v>2.3</v>
      </c>
      <c r="V214" s="193">
        <f>R214*S214*T214/6000</f>
        <v>3.69895833333333</v>
      </c>
      <c r="W214" s="193">
        <f>MAX(U214:V214)</f>
        <v>3.69895833333333</v>
      </c>
      <c r="X214" s="20" t="s">
        <v>21</v>
      </c>
      <c r="Y214" s="196">
        <v>5.55136</v>
      </c>
      <c r="Z214" s="193">
        <v>35</v>
      </c>
      <c r="AA214" s="193">
        <f>H214-SUM(K214:P214)*H214-J214-I214/B214-Z214/B214</f>
        <v>9.14866805309734</v>
      </c>
      <c r="AB214" s="195">
        <f>AA214/H214</f>
        <v>0.0897002990748968</v>
      </c>
      <c r="AC214" s="14"/>
      <c r="AD214" s="17">
        <f>J214/H214</f>
        <v>0.101380997436061</v>
      </c>
      <c r="AE214" s="18">
        <f>I214/B214/H214</f>
        <v>0.281994695115796</v>
      </c>
      <c r="AF214" s="18">
        <f>Z214/B214/H214</f>
        <v>0.0428957315070374</v>
      </c>
      <c r="AG214" s="18">
        <f>K214</f>
        <v>0.15</v>
      </c>
      <c r="AH214" s="18">
        <f>N214</f>
        <v>0.0980473863017997</v>
      </c>
      <c r="AI214" s="18">
        <v>0.02</v>
      </c>
      <c r="AJ214" s="18">
        <f>M214</f>
        <v>0.05</v>
      </c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</row>
    <row r="215" spans="1:75">
      <c r="B215" s="20"/>
      <c r="C215" s="20"/>
      <c r="D215" s="20"/>
      <c r="E215" s="20"/>
      <c r="F215" s="193"/>
      <c r="G215" s="193"/>
      <c r="H215" s="198"/>
      <c r="I215" s="193"/>
      <c r="J215" s="14"/>
      <c r="K215" s="18"/>
      <c r="L215" s="18"/>
      <c r="M215" s="18"/>
      <c r="N215" s="18"/>
      <c r="O215" s="195"/>
      <c r="P215" s="18"/>
      <c r="Q215" s="193"/>
      <c r="R215" s="14"/>
      <c r="S215" s="14"/>
      <c r="T215" s="14"/>
      <c r="U215" s="14"/>
      <c r="V215" s="193"/>
      <c r="W215" s="193"/>
      <c r="X215" s="14"/>
      <c r="Y215" s="196"/>
      <c r="Z215" s="193"/>
      <c r="AA215" s="193"/>
      <c r="AB215" s="195"/>
      <c r="AC215" s="14"/>
      <c r="AD215" s="17"/>
      <c r="AE215" s="18"/>
      <c r="AF215" s="18"/>
      <c r="AG215" s="18"/>
      <c r="AH215" s="18"/>
      <c r="AI215" s="18"/>
      <c r="AJ215" s="18"/>
    </row>
    <row r="216" spans="1:75">
      <c r="A216" s="22" t="s">
        <v>90</v>
      </c>
      <c r="B216" s="20">
        <v>8</v>
      </c>
      <c r="C216" s="20" t="s">
        <v>506</v>
      </c>
      <c r="D216" s="20" t="s">
        <v>277</v>
      </c>
      <c r="E216" s="20" t="s">
        <v>507</v>
      </c>
      <c r="F216" s="193">
        <f>IF(E216="有",(I216/B216+J216+Z216/B216)/(0.99999-K216-L216-M216-N216),(I216/B216+J216+Z216/B216)/(0.99999-K216-M216-N216))</f>
        <v>68.4143501331604</v>
      </c>
      <c r="G216" s="193">
        <f>IF(E216="有",(I216/B216+J216+Z216/B216)/(0.8-K216-L216-M216-N216-O216-P216),(I216/B216+J216+Z216/B216)/(0.8-K216-M216-N216-O216-P216))</f>
        <v>113.932912351399</v>
      </c>
      <c r="H216" s="198">
        <v>129</v>
      </c>
      <c r="I216" s="193">
        <f>260/1.13</f>
        <v>230.088495575221</v>
      </c>
      <c r="J216" s="20">
        <v>5.97</v>
      </c>
      <c r="K216" s="18">
        <v>0.15</v>
      </c>
      <c r="L216" s="18">
        <v>0.16</v>
      </c>
      <c r="M216" s="18">
        <v>0.05</v>
      </c>
      <c r="N216" s="18">
        <f>Q216/H216</f>
        <v>0.0775193798449612</v>
      </c>
      <c r="O216" s="195">
        <f>0.61/H216</f>
        <v>0.00472868217054264</v>
      </c>
      <c r="P216" s="18">
        <v>0.02</v>
      </c>
      <c r="Q216" s="193">
        <v>10</v>
      </c>
      <c r="R216" s="14">
        <v>33.5</v>
      </c>
      <c r="S216" s="14">
        <v>26.5</v>
      </c>
      <c r="T216" s="14">
        <v>25</v>
      </c>
      <c r="U216" s="14">
        <v>2.3</v>
      </c>
      <c r="V216" s="193">
        <f>R216*S216*T216/6000</f>
        <v>3.69895833333333</v>
      </c>
      <c r="W216" s="193">
        <f>MAX(U216:V216)</f>
        <v>3.69895833333333</v>
      </c>
      <c r="X216" s="14" t="s">
        <v>21</v>
      </c>
      <c r="Y216" s="196">
        <v>5.55136</v>
      </c>
      <c r="Z216" s="193">
        <v>30</v>
      </c>
      <c r="AA216" s="193">
        <f>H216-SUM(K216:P216)*H216-J216-I216/B216-Z216/B216</f>
        <v>30.8889380530973</v>
      </c>
      <c r="AB216" s="195">
        <f>AA216/H216</f>
        <v>0.239449132194553</v>
      </c>
      <c r="AC216" s="14"/>
      <c r="AD216" s="17">
        <f>J216/H216</f>
        <v>0.0462790697674419</v>
      </c>
      <c r="AE216" s="18">
        <f>I216/7.4/H216</f>
        <v>0.241031317384476</v>
      </c>
      <c r="AF216" s="18">
        <f>Z216/7.4/H216</f>
        <v>0.0314267756128221</v>
      </c>
      <c r="AG216" s="18">
        <v>0.15</v>
      </c>
      <c r="AH216" s="18">
        <f>N216</f>
        <v>0.0775193798449612</v>
      </c>
      <c r="AI216" s="18">
        <v>0.02</v>
      </c>
      <c r="AJ216" s="18">
        <f>M216</f>
        <v>0.05</v>
      </c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</row>
    <row r="217" spans="1:75">
      <c r="A217" s="22" t="s">
        <v>560</v>
      </c>
      <c r="B217" s="20">
        <v>8</v>
      </c>
      <c r="C217" s="20" t="s">
        <v>506</v>
      </c>
      <c r="D217" s="20" t="s">
        <v>277</v>
      </c>
      <c r="E217" s="20" t="s">
        <v>507</v>
      </c>
      <c r="F217" s="193">
        <f>IF(E217="有",(I217/B217+J217+Z217/B217)/(0.99999-K217-L217-M217-N217),(I217/B217+J217+Z217/B217)/(0.99999-K217-M217-N217))</f>
        <v>70.1197375825933</v>
      </c>
      <c r="G217" s="193">
        <f>IF(E217="有",(I217/B217+J217+Z217/B217)/(0.8-K217-L217-M217-N217-O217-P217),(I217/B217+J217+Z217/B217)/(0.8-K217-M217-N217-O217-P217))</f>
        <v>119.04885146511</v>
      </c>
      <c r="H217" s="198">
        <f>H216*0.85</f>
        <v>109.65</v>
      </c>
      <c r="I217" s="193">
        <f>260/1.13</f>
        <v>230.088495575221</v>
      </c>
      <c r="J217" s="20">
        <v>5.97</v>
      </c>
      <c r="K217" s="18">
        <v>0.15</v>
      </c>
      <c r="L217" s="18">
        <v>0.16</v>
      </c>
      <c r="M217" s="18">
        <v>0.05</v>
      </c>
      <c r="N217" s="18">
        <f>Q217/H217</f>
        <v>0.0911992704058368</v>
      </c>
      <c r="O217" s="195">
        <f>0.61/H217</f>
        <v>0.00556315549475604</v>
      </c>
      <c r="P217" s="18">
        <v>0.02</v>
      </c>
      <c r="Q217" s="193">
        <v>10</v>
      </c>
      <c r="R217" s="14">
        <v>33.5</v>
      </c>
      <c r="S217" s="14">
        <v>26.5</v>
      </c>
      <c r="T217" s="14">
        <v>25</v>
      </c>
      <c r="U217" s="14">
        <v>2.3</v>
      </c>
      <c r="V217" s="193">
        <f>R217*S217*T217/6000</f>
        <v>3.69895833333333</v>
      </c>
      <c r="W217" s="193">
        <f>MAX(U217:V217)</f>
        <v>3.69895833333333</v>
      </c>
      <c r="X217" s="20" t="s">
        <v>21</v>
      </c>
      <c r="Y217" s="196">
        <v>5.55136</v>
      </c>
      <c r="Z217" s="193">
        <v>30</v>
      </c>
      <c r="AA217" s="193">
        <f>H217-SUM(K217:P217)*H217-J217-I217/B217-Z217/B217</f>
        <v>18.8919380530973</v>
      </c>
      <c r="AB217" s="195">
        <f>AA217/H217</f>
        <v>0.172293096699474</v>
      </c>
      <c r="AC217" s="14"/>
      <c r="AD217" s="17">
        <f>J217/H217</f>
        <v>0.0544459644322845</v>
      </c>
      <c r="AE217" s="18">
        <f>I217/B217/H217</f>
        <v>0.26229878656546</v>
      </c>
      <c r="AF217" s="18">
        <f>Z217/B217/H217</f>
        <v>0.0341997264021888</v>
      </c>
      <c r="AG217" s="18">
        <f>K217</f>
        <v>0.15</v>
      </c>
      <c r="AH217" s="18">
        <f>N217</f>
        <v>0.0911992704058368</v>
      </c>
      <c r="AI217" s="18">
        <v>0.02</v>
      </c>
      <c r="AJ217" s="18">
        <f>M217</f>
        <v>0.05</v>
      </c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</row>
    <row r="218" spans="1:75">
      <c r="A218" s="15"/>
      <c r="B218" s="14"/>
      <c r="C218" s="14"/>
      <c r="D218" s="14"/>
      <c r="E218" s="14"/>
      <c r="F218" s="193"/>
      <c r="G218" s="193"/>
      <c r="H218" s="198"/>
      <c r="I218" s="193"/>
      <c r="J218" s="20"/>
      <c r="K218" s="18"/>
      <c r="L218" s="18"/>
      <c r="M218" s="18"/>
      <c r="N218" s="18"/>
      <c r="O218" s="195"/>
      <c r="P218" s="18"/>
      <c r="Q218" s="193"/>
      <c r="R218" s="14"/>
      <c r="S218" s="14"/>
      <c r="T218" s="14"/>
      <c r="U218" s="14"/>
      <c r="V218" s="193"/>
      <c r="W218" s="193"/>
      <c r="X218" s="20"/>
      <c r="Y218" s="196"/>
      <c r="Z218" s="20"/>
      <c r="AA218" s="193"/>
      <c r="AB218" s="195"/>
      <c r="AC218" s="14"/>
      <c r="AD218" s="17"/>
      <c r="AE218" s="18"/>
      <c r="AF218" s="18"/>
      <c r="AG218" s="18"/>
      <c r="AH218" s="18"/>
      <c r="AI218" s="18"/>
      <c r="AJ218" s="18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</row>
    <row r="219" spans="1:75">
      <c r="A219" s="22" t="s">
        <v>90</v>
      </c>
      <c r="B219" s="20">
        <v>8</v>
      </c>
      <c r="C219" s="14" t="s">
        <v>510</v>
      </c>
      <c r="D219" s="14" t="s">
        <v>511</v>
      </c>
      <c r="E219" s="20" t="s">
        <v>507</v>
      </c>
      <c r="F219" s="193">
        <f>IF(E219="有",(I219/B219+J219+Z219/B219)/(0.99999-K219-L219-M219-N219),(I219/B219+J219+Z219/B219)/(0.99999-K219-M219-N219))</f>
        <v>74.9924714917126</v>
      </c>
      <c r="G219" s="193">
        <f>IF(E219="有",(I219/B219+J219+Z219/B219)/(0.8-K219-L219-M219-N219-O219-P219),(I219/B219+J219+Z219/B219)/(0.8-K219-M219-N219-O219-P219))</f>
        <v>124.887697754199</v>
      </c>
      <c r="H219" s="198">
        <v>129</v>
      </c>
      <c r="I219" s="193">
        <f>260/1.13</f>
        <v>230.088495575221</v>
      </c>
      <c r="J219" s="20">
        <v>9.67</v>
      </c>
      <c r="K219" s="18">
        <v>0.15</v>
      </c>
      <c r="L219" s="18">
        <v>0.16</v>
      </c>
      <c r="M219" s="18">
        <v>0.05</v>
      </c>
      <c r="N219" s="18">
        <f>Q219/H219</f>
        <v>0.0775193798449612</v>
      </c>
      <c r="O219" s="195">
        <f>0.61/H219</f>
        <v>0.00472868217054264</v>
      </c>
      <c r="P219" s="18">
        <v>0.02</v>
      </c>
      <c r="Q219" s="193">
        <v>10</v>
      </c>
      <c r="R219" s="14">
        <v>33.5</v>
      </c>
      <c r="S219" s="14">
        <v>26.5</v>
      </c>
      <c r="T219" s="14">
        <v>25</v>
      </c>
      <c r="U219" s="14">
        <v>2.3</v>
      </c>
      <c r="V219" s="193">
        <f>R219*S219*T219/6000</f>
        <v>3.69895833333333</v>
      </c>
      <c r="W219" s="193">
        <f>MAX(U219:V219)</f>
        <v>3.69895833333333</v>
      </c>
      <c r="X219" s="14" t="s">
        <v>21</v>
      </c>
      <c r="Y219" s="196">
        <v>5.55136</v>
      </c>
      <c r="Z219" s="193">
        <v>30</v>
      </c>
      <c r="AA219" s="193">
        <f>H219-SUM(K219:P219)*H219-J219-I219/B219-Z219/B219</f>
        <v>27.1889380530973</v>
      </c>
      <c r="AB219" s="195">
        <f>AA219/H219</f>
        <v>0.210766961651917</v>
      </c>
      <c r="AC219" s="14"/>
      <c r="AD219" s="17">
        <f>J219/H219</f>
        <v>0.0749612403100775</v>
      </c>
      <c r="AE219" s="18">
        <f>I219/7.4/H219</f>
        <v>0.241031317384476</v>
      </c>
      <c r="AF219" s="18">
        <f>Z219/7.4/H219</f>
        <v>0.0314267756128221</v>
      </c>
      <c r="AG219" s="18">
        <v>0.15</v>
      </c>
      <c r="AH219" s="18">
        <f>N219</f>
        <v>0.0775193798449612</v>
      </c>
      <c r="AI219" s="18">
        <v>0.02</v>
      </c>
      <c r="AJ219" s="18">
        <f>M219</f>
        <v>0.05</v>
      </c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</row>
    <row r="220" spans="1:75">
      <c r="A220" s="22" t="s">
        <v>560</v>
      </c>
      <c r="B220" s="20">
        <v>8</v>
      </c>
      <c r="C220" s="20" t="s">
        <v>510</v>
      </c>
      <c r="D220" s="20" t="s">
        <v>511</v>
      </c>
      <c r="E220" s="20" t="s">
        <v>507</v>
      </c>
      <c r="F220" s="193">
        <f>IF(E220="有",(I220/B220+J220+Z220/B220)/(0.99999-K220-L220-M220-N220),(I220/B220+J220+Z220/B220)/(0.99999-K220-M220-N220))</f>
        <v>76.8618339783109</v>
      </c>
      <c r="G220" s="193">
        <f>IF(E220="有",(I220/B220+J220+Z220/B220)/(0.8-K220-L220-M220-N220-O220-P220),(I220/B220+J220+Z220/B220)/(0.8-K220-M220-N220-O220-P220))</f>
        <v>130.495540515134</v>
      </c>
      <c r="H220" s="198">
        <f>H219*0.85</f>
        <v>109.65</v>
      </c>
      <c r="I220" s="193">
        <f>260/1.13</f>
        <v>230.088495575221</v>
      </c>
      <c r="J220" s="20">
        <v>9.67</v>
      </c>
      <c r="K220" s="18">
        <v>0.15</v>
      </c>
      <c r="L220" s="18">
        <v>0.16</v>
      </c>
      <c r="M220" s="18">
        <v>0.05</v>
      </c>
      <c r="N220" s="18">
        <f>Q220/H220</f>
        <v>0.0911992704058368</v>
      </c>
      <c r="O220" s="195">
        <f>0.61/H220</f>
        <v>0.00556315549475604</v>
      </c>
      <c r="P220" s="18">
        <v>0.02</v>
      </c>
      <c r="Q220" s="193">
        <v>10</v>
      </c>
      <c r="R220" s="14">
        <v>33.5</v>
      </c>
      <c r="S220" s="14">
        <v>26.5</v>
      </c>
      <c r="T220" s="14">
        <v>25</v>
      </c>
      <c r="U220" s="14">
        <v>2.3</v>
      </c>
      <c r="V220" s="193">
        <f>R220*S220*T220/6000</f>
        <v>3.69895833333333</v>
      </c>
      <c r="W220" s="193">
        <f>MAX(U220:V220)</f>
        <v>3.69895833333333</v>
      </c>
      <c r="X220" s="20" t="s">
        <v>21</v>
      </c>
      <c r="Y220" s="196">
        <v>5.55136</v>
      </c>
      <c r="Z220" s="193">
        <v>30</v>
      </c>
      <c r="AA220" s="193">
        <f>H220-SUM(K220:P220)*H220-J220-I220/B220-Z220/B220</f>
        <v>15.1919380530973</v>
      </c>
      <c r="AB220" s="195">
        <f>AA220/H220</f>
        <v>0.138549366649314</v>
      </c>
      <c r="AC220" s="14"/>
      <c r="AD220" s="17">
        <f>J220/H220</f>
        <v>0.0881896944824442</v>
      </c>
      <c r="AE220" s="18">
        <f>I220/7.4/H220</f>
        <v>0.283566255746443</v>
      </c>
      <c r="AF220" s="18">
        <f>Z220/7.4/H220</f>
        <v>0.0369726771915554</v>
      </c>
      <c r="AG220" s="18">
        <v>0.15</v>
      </c>
      <c r="AH220" s="18">
        <f>N220</f>
        <v>0.0911992704058368</v>
      </c>
      <c r="AI220" s="18">
        <v>0.02</v>
      </c>
      <c r="AJ220" s="18">
        <f>M220</f>
        <v>0.05</v>
      </c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</row>
    <row r="221" spans="1:75">
      <c r="A221" s="15"/>
      <c r="B221" s="14"/>
      <c r="C221" s="14"/>
      <c r="D221" s="14"/>
      <c r="E221" s="14"/>
      <c r="F221" s="193"/>
      <c r="G221" s="193"/>
      <c r="H221" s="198"/>
      <c r="I221" s="193"/>
      <c r="J221" s="20"/>
      <c r="K221" s="18"/>
      <c r="L221" s="18"/>
      <c r="M221" s="18"/>
      <c r="N221" s="18"/>
      <c r="O221" s="195"/>
      <c r="P221" s="18"/>
      <c r="Q221" s="18"/>
      <c r="R221" s="14"/>
      <c r="S221" s="14"/>
      <c r="T221" s="14"/>
      <c r="U221" s="14"/>
      <c r="V221" s="193"/>
      <c r="W221" s="193"/>
      <c r="X221" s="20"/>
      <c r="Y221" s="196"/>
      <c r="Z221" s="20"/>
      <c r="AA221" s="193"/>
      <c r="AB221" s="195"/>
      <c r="AC221" s="14"/>
      <c r="AD221" s="17"/>
      <c r="AE221" s="18"/>
      <c r="AF221" s="18"/>
      <c r="AG221" s="18"/>
      <c r="AH221" s="18"/>
      <c r="AI221" s="18"/>
      <c r="AJ221" s="18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</row>
    <row r="222" spans="1:75">
      <c r="A222" s="22" t="s">
        <v>90</v>
      </c>
      <c r="B222" s="20">
        <v>8</v>
      </c>
      <c r="C222" s="14" t="s">
        <v>512</v>
      </c>
      <c r="D222" s="14" t="s">
        <v>513</v>
      </c>
      <c r="E222" s="20" t="s">
        <v>507</v>
      </c>
      <c r="F222" s="193">
        <f>IF(E222="有",(I222/B222+J222+Z222/B222)/(0.99999-K222-L222-M222-N222),(I222/B222+J222+Z222/B222)/(0.99999-K222-M222-N222))</f>
        <v>70.6900245490919</v>
      </c>
      <c r="G222" s="193">
        <f>IF(E222="有",(I222/B222+J222+Z222/B222)/(0.8-K222-L222-M222-N222-O222-P222),(I222/B222+J222+Z222/B222)/(0.8-K222-M222-N222-O222-P222))</f>
        <v>117.722675950205</v>
      </c>
      <c r="H222" s="198">
        <v>129</v>
      </c>
      <c r="I222" s="193">
        <f>260/1.13</f>
        <v>230.088495575221</v>
      </c>
      <c r="J222" s="14">
        <v>7.25</v>
      </c>
      <c r="K222" s="18">
        <v>0.15</v>
      </c>
      <c r="L222" s="18">
        <v>0.16</v>
      </c>
      <c r="M222" s="18">
        <v>0.05</v>
      </c>
      <c r="N222" s="18">
        <f>Q222/H222</f>
        <v>0.0775193798449612</v>
      </c>
      <c r="O222" s="195">
        <f>0.61/H222</f>
        <v>0.00472868217054264</v>
      </c>
      <c r="P222" s="18">
        <v>0.02</v>
      </c>
      <c r="Q222" s="193">
        <v>10</v>
      </c>
      <c r="R222" s="14">
        <v>33.5</v>
      </c>
      <c r="S222" s="14">
        <v>26.5</v>
      </c>
      <c r="T222" s="14">
        <v>25</v>
      </c>
      <c r="U222" s="14">
        <v>2.3</v>
      </c>
      <c r="V222" s="193">
        <f>R222*S222*T222/6000</f>
        <v>3.69895833333333</v>
      </c>
      <c r="W222" s="193">
        <f>MAX(U222:V222)</f>
        <v>3.69895833333333</v>
      </c>
      <c r="X222" s="14" t="s">
        <v>21</v>
      </c>
      <c r="Y222" s="196">
        <v>5.55136</v>
      </c>
      <c r="Z222" s="193">
        <v>30</v>
      </c>
      <c r="AA222" s="193">
        <f>H222-SUM(K222:P222)*H222-J222-I222/B222-Z222/B222</f>
        <v>29.6089380530973</v>
      </c>
      <c r="AB222" s="195">
        <f>AA222/H222</f>
        <v>0.229526651574398</v>
      </c>
      <c r="AC222" s="14"/>
      <c r="AD222" s="17">
        <f>J222/H222</f>
        <v>0.0562015503875969</v>
      </c>
      <c r="AE222" s="18">
        <f>I222/7.4/H222</f>
        <v>0.241031317384476</v>
      </c>
      <c r="AF222" s="18">
        <f>Z222/7.4/H222</f>
        <v>0.0314267756128221</v>
      </c>
      <c r="AG222" s="18">
        <v>0.15</v>
      </c>
      <c r="AH222" s="18">
        <f>N222</f>
        <v>0.0775193798449612</v>
      </c>
      <c r="AI222" s="18">
        <v>0.02</v>
      </c>
      <c r="AJ222" s="18">
        <f>M222</f>
        <v>0.05</v>
      </c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</row>
    <row r="223" spans="1:75">
      <c r="A223" s="22" t="s">
        <v>560</v>
      </c>
      <c r="B223" s="20">
        <v>8</v>
      </c>
      <c r="C223" s="20" t="s">
        <v>512</v>
      </c>
      <c r="D223" s="20" t="s">
        <v>513</v>
      </c>
      <c r="E223" s="20" t="s">
        <v>507</v>
      </c>
      <c r="F223" s="193">
        <f>IF(E223="有",(I223/B223+J223+Z223/B223)/(0.99999-K223-L223-M223-N223),(I223/B223+J223+Z223/B223)/(0.99999-K223-M223-N223))</f>
        <v>72.4521384978686</v>
      </c>
      <c r="G223" s="193">
        <f>IF(E223="有",(I223/B223+J223+Z223/B223)/(0.8-K223-L223-M223-N223-O223-P223),(I223/B223+J223+Z223/B223)/(0.8-K223-M223-N223-O223-P223))</f>
        <v>123.008787136469</v>
      </c>
      <c r="H223" s="198">
        <f>H222*0.85</f>
        <v>109.65</v>
      </c>
      <c r="I223" s="193">
        <f>260/1.13</f>
        <v>230.088495575221</v>
      </c>
      <c r="J223" s="20">
        <v>7.25</v>
      </c>
      <c r="K223" s="18">
        <v>0.15</v>
      </c>
      <c r="L223" s="18">
        <v>0.16</v>
      </c>
      <c r="M223" s="18">
        <v>0.05</v>
      </c>
      <c r="N223" s="18">
        <f>Q223/H223</f>
        <v>0.0911992704058368</v>
      </c>
      <c r="O223" s="195">
        <f>0.61/H223</f>
        <v>0.00556315549475604</v>
      </c>
      <c r="P223" s="18">
        <v>0.02</v>
      </c>
      <c r="Q223" s="193">
        <v>10</v>
      </c>
      <c r="R223" s="14">
        <v>33.5</v>
      </c>
      <c r="S223" s="14">
        <v>26.5</v>
      </c>
      <c r="T223" s="14">
        <v>25</v>
      </c>
      <c r="U223" s="14">
        <v>2.3</v>
      </c>
      <c r="V223" s="193">
        <f>R223*S223*T223/6000</f>
        <v>3.69895833333333</v>
      </c>
      <c r="W223" s="193">
        <f>MAX(U223:V223)</f>
        <v>3.69895833333333</v>
      </c>
      <c r="X223" s="20" t="s">
        <v>21</v>
      </c>
      <c r="Y223" s="196">
        <v>5.55136</v>
      </c>
      <c r="Z223" s="193">
        <v>30</v>
      </c>
      <c r="AA223" s="193">
        <f>H223-SUM(K223:P223)*H223-J223-I223/B223-Z223/B223</f>
        <v>17.6119380530973</v>
      </c>
      <c r="AB223" s="195">
        <f>AA223/H223</f>
        <v>0.160619590087527</v>
      </c>
      <c r="AC223" s="14"/>
      <c r="AD223" s="17">
        <f>J223/H223</f>
        <v>0.0661194710442316</v>
      </c>
      <c r="AE223" s="18">
        <f>I223/7.4/H223</f>
        <v>0.283566255746443</v>
      </c>
      <c r="AF223" s="18">
        <f>Z223/7.4/H223</f>
        <v>0.0369726771915554</v>
      </c>
      <c r="AG223" s="18">
        <v>0.15</v>
      </c>
      <c r="AH223" s="18">
        <f>N223</f>
        <v>0.0911992704058368</v>
      </c>
      <c r="AI223" s="18">
        <v>0.02</v>
      </c>
      <c r="AJ223" s="18">
        <f>M223</f>
        <v>0.05</v>
      </c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</row>
    <row r="224" spans="1:75">
      <c r="A224" s="15"/>
      <c r="B224" s="14"/>
      <c r="C224" s="14"/>
      <c r="D224" s="14"/>
      <c r="E224" s="14"/>
      <c r="F224" s="193"/>
      <c r="G224" s="193"/>
      <c r="H224" s="198"/>
      <c r="I224" s="193"/>
      <c r="J224" s="20"/>
      <c r="K224" s="18"/>
      <c r="L224" s="18"/>
      <c r="M224" s="18"/>
      <c r="N224" s="18"/>
      <c r="O224" s="195"/>
      <c r="P224" s="18"/>
      <c r="Q224" s="18"/>
      <c r="R224" s="14"/>
      <c r="S224" s="14"/>
      <c r="T224" s="14"/>
      <c r="U224" s="14"/>
      <c r="V224" s="193"/>
      <c r="W224" s="193"/>
      <c r="X224" s="20"/>
      <c r="Y224" s="196"/>
      <c r="Z224" s="20"/>
      <c r="AA224" s="193"/>
      <c r="AB224" s="195"/>
      <c r="AC224" s="14"/>
      <c r="AD224" s="17"/>
      <c r="AE224" s="18"/>
      <c r="AF224" s="18"/>
      <c r="AG224" s="18"/>
      <c r="AH224" s="18"/>
      <c r="AI224" s="18"/>
      <c r="AJ224" s="18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</row>
    <row r="225" spans="1:75">
      <c r="A225" s="22" t="s">
        <v>90</v>
      </c>
      <c r="B225" s="20">
        <v>8</v>
      </c>
      <c r="C225" s="14" t="s">
        <v>515</v>
      </c>
      <c r="D225" s="14" t="s">
        <v>516</v>
      </c>
      <c r="E225" s="20" t="s">
        <v>507</v>
      </c>
      <c r="F225" s="193">
        <f>IF(E225="有",(I225/B225+J225+Z225/B225)/(0.99999-K225-L225-M225-N225),(I225/B225+J225+Z225/B225)/(0.99999-K225-M225-N225))</f>
        <v>70.2811143024792</v>
      </c>
      <c r="G225" s="193">
        <f>IF(E225="有",(I225/B225+J225+Z225/B225)/(0.8-K225-L225-M225-N225-O225-P225),(I225/B225+J225+Z225/B225)/(0.8-K225-M225-N225-O225-P225))</f>
        <v>117.041702803545</v>
      </c>
      <c r="H225" s="198">
        <v>129</v>
      </c>
      <c r="I225" s="193">
        <f>260/1.13</f>
        <v>230.088495575221</v>
      </c>
      <c r="J225" s="14">
        <v>7.02</v>
      </c>
      <c r="K225" s="18">
        <v>0.15</v>
      </c>
      <c r="L225" s="18">
        <v>0.16</v>
      </c>
      <c r="M225" s="18">
        <v>0.05</v>
      </c>
      <c r="N225" s="18">
        <f>Q225/H225</f>
        <v>0.0775193798449612</v>
      </c>
      <c r="O225" s="195">
        <f>0.61/H225</f>
        <v>0.00472868217054264</v>
      </c>
      <c r="P225" s="18">
        <v>0.02</v>
      </c>
      <c r="Q225" s="193">
        <v>10</v>
      </c>
      <c r="R225" s="14">
        <v>33.5</v>
      </c>
      <c r="S225" s="14">
        <v>26.5</v>
      </c>
      <c r="T225" s="14">
        <v>25</v>
      </c>
      <c r="U225" s="14">
        <v>2.3</v>
      </c>
      <c r="V225" s="193">
        <f>R225*S225*T225/6000</f>
        <v>3.69895833333333</v>
      </c>
      <c r="W225" s="193">
        <f>MAX(U225:V225)</f>
        <v>3.69895833333333</v>
      </c>
      <c r="X225" s="14" t="s">
        <v>21</v>
      </c>
      <c r="Y225" s="196">
        <v>5.55136</v>
      </c>
      <c r="Z225" s="193">
        <v>30</v>
      </c>
      <c r="AA225" s="193">
        <f>H225-SUM(K225:P225)*H225-J225-I225/B225-Z225/B225</f>
        <v>29.8389380530974</v>
      </c>
      <c r="AB225" s="195">
        <f>AA225/H225</f>
        <v>0.231309597310832</v>
      </c>
      <c r="AC225" s="14"/>
      <c r="AD225" s="17">
        <f>J225/H225</f>
        <v>0.0544186046511628</v>
      </c>
      <c r="AE225" s="18">
        <f>I225/7.4/H225</f>
        <v>0.241031317384476</v>
      </c>
      <c r="AF225" s="18">
        <f>Z225/7.4/H225</f>
        <v>0.0314267756128221</v>
      </c>
      <c r="AG225" s="18">
        <v>0.15</v>
      </c>
      <c r="AH225" s="18">
        <f>N225</f>
        <v>0.0775193798449612</v>
      </c>
      <c r="AI225" s="18">
        <v>0.02</v>
      </c>
      <c r="AJ225" s="18">
        <f>M225</f>
        <v>0.05</v>
      </c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</row>
    <row r="226" spans="1:75">
      <c r="A226" s="22" t="s">
        <v>560</v>
      </c>
      <c r="B226" s="20">
        <v>8</v>
      </c>
      <c r="C226" s="20" t="s">
        <v>515</v>
      </c>
      <c r="D226" s="20" t="s">
        <v>516</v>
      </c>
      <c r="E226" s="20" t="s">
        <v>507</v>
      </c>
      <c r="F226" s="193">
        <f>IF(E226="有",(I226/B226+J226+Z226/B226)/(0.99999-K226-L226-M226-N226),(I226/B226+J226+Z226/B226)/(0.99999-K226-M226-N226))</f>
        <v>72.0330352084051</v>
      </c>
      <c r="G226" s="193">
        <f>IF(E226="有",(I226/B226+J226+Z226/B226)/(0.8-K226-L226-M226-N226-O226-P226),(I226/B226+J226+Z226/B226)/(0.8-K226-M226-N226-O226-P226))</f>
        <v>122.297236195522</v>
      </c>
      <c r="H226" s="198">
        <f>H225*0.85</f>
        <v>109.65</v>
      </c>
      <c r="I226" s="193">
        <f>260/1.13</f>
        <v>230.088495575221</v>
      </c>
      <c r="J226" s="20">
        <v>7.02</v>
      </c>
      <c r="K226" s="18">
        <v>0.15</v>
      </c>
      <c r="L226" s="18">
        <v>0.16</v>
      </c>
      <c r="M226" s="18">
        <v>0.05</v>
      </c>
      <c r="N226" s="18">
        <f>Q226/H226</f>
        <v>0.0911992704058368</v>
      </c>
      <c r="O226" s="195">
        <f>0.61/H226</f>
        <v>0.00556315549475604</v>
      </c>
      <c r="P226" s="18">
        <v>0.02</v>
      </c>
      <c r="Q226" s="193">
        <v>10</v>
      </c>
      <c r="R226" s="14">
        <v>33.5</v>
      </c>
      <c r="S226" s="14">
        <v>26.5</v>
      </c>
      <c r="T226" s="14">
        <v>25</v>
      </c>
      <c r="U226" s="14">
        <v>2.3</v>
      </c>
      <c r="V226" s="193">
        <f>R226*S226*T226/6000</f>
        <v>3.69895833333333</v>
      </c>
      <c r="W226" s="193">
        <f>MAX(U226:V226)</f>
        <v>3.69895833333333</v>
      </c>
      <c r="X226" s="20" t="s">
        <v>21</v>
      </c>
      <c r="Y226" s="196">
        <v>5.55136</v>
      </c>
      <c r="Z226" s="193">
        <v>30</v>
      </c>
      <c r="AA226" s="193">
        <f>H226-SUM(K226:P226)*H226-J226-I226/B226-Z226/B226</f>
        <v>17.8419380530973</v>
      </c>
      <c r="AB226" s="195">
        <f>AA226/H226</f>
        <v>0.162717173306861</v>
      </c>
      <c r="AC226" s="14"/>
      <c r="AD226" s="17">
        <f>J226/H226</f>
        <v>0.0640218878248974</v>
      </c>
      <c r="AE226" s="18">
        <f>I226/7.4/H226</f>
        <v>0.283566255746443</v>
      </c>
      <c r="AF226" s="18">
        <f>Z226/7.4/H226</f>
        <v>0.0369726771915554</v>
      </c>
      <c r="AG226" s="18">
        <v>0.15</v>
      </c>
      <c r="AH226" s="18">
        <f>N226</f>
        <v>0.0911992704058368</v>
      </c>
      <c r="AI226" s="18">
        <v>0.02</v>
      </c>
      <c r="AJ226" s="18">
        <f>M226</f>
        <v>0.05</v>
      </c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</row>
    <row r="227" spans="1:75">
      <c r="A227" s="15"/>
      <c r="B227" s="20"/>
      <c r="C227" s="20"/>
      <c r="D227" s="20"/>
      <c r="E227" s="20"/>
      <c r="F227" s="193"/>
      <c r="G227" s="193"/>
      <c r="H227" s="198"/>
      <c r="I227" s="193"/>
      <c r="J227" s="20"/>
      <c r="K227" s="18"/>
      <c r="L227" s="18"/>
      <c r="M227" s="18"/>
      <c r="N227" s="18"/>
      <c r="O227" s="195"/>
      <c r="P227" s="18"/>
      <c r="Q227" s="18"/>
      <c r="R227" s="14"/>
      <c r="S227" s="14"/>
      <c r="T227" s="14"/>
      <c r="U227" s="14"/>
      <c r="V227" s="193"/>
      <c r="W227" s="193"/>
      <c r="X227" s="20"/>
      <c r="Y227" s="196"/>
      <c r="Z227" s="20"/>
      <c r="AA227" s="193"/>
      <c r="AB227" s="195"/>
      <c r="AC227" s="14"/>
      <c r="AD227" s="17"/>
      <c r="AE227" s="18"/>
      <c r="AF227" s="18"/>
      <c r="AG227" s="18"/>
      <c r="AH227" s="18"/>
      <c r="AI227" s="18"/>
      <c r="AJ227" s="18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</row>
    <row r="228" spans="1:75">
      <c r="A228" s="22" t="s">
        <v>90</v>
      </c>
      <c r="B228" s="14">
        <v>9</v>
      </c>
      <c r="C228" s="20" t="s">
        <v>517</v>
      </c>
      <c r="D228" s="20" t="s">
        <v>300</v>
      </c>
      <c r="E228" s="20" t="s">
        <v>507</v>
      </c>
      <c r="F228" s="193">
        <f>IF(E228="有",(I228/B228+J228+Z228/B228)/(0.99999-K228-L228-M228-N228),(I228/B228+J228+Z228/B228)/(0.99999-K228-M228-N228))</f>
        <v>60.5105237016509</v>
      </c>
      <c r="G228" s="193">
        <f>IF(E228="有",(I228/B228+J228+Z228/B228)/(0.8-K228-L228-M228-N228-O228-P228),(I228/B228+J228+Z228/B228)/(0.8-K228-M228-N228-O228-P228))</f>
        <v>101.585065760678</v>
      </c>
      <c r="H228" s="198">
        <v>119.99</v>
      </c>
      <c r="I228" s="193">
        <f>260/1.13</f>
        <v>230.088495575221</v>
      </c>
      <c r="J228" s="14">
        <v>5.34</v>
      </c>
      <c r="K228" s="18">
        <v>0.15</v>
      </c>
      <c r="L228" s="18">
        <v>0.16</v>
      </c>
      <c r="M228" s="18">
        <v>0.05</v>
      </c>
      <c r="N228" s="18">
        <f>Q228/H228</f>
        <v>0.0833402783565297</v>
      </c>
      <c r="O228" s="195">
        <f>0.61/H228</f>
        <v>0.00508375697974831</v>
      </c>
      <c r="P228" s="18">
        <v>0.02</v>
      </c>
      <c r="Q228" s="193">
        <v>10</v>
      </c>
      <c r="R228" s="14">
        <v>33.5</v>
      </c>
      <c r="S228" s="14">
        <v>26.5</v>
      </c>
      <c r="T228" s="14">
        <v>25</v>
      </c>
      <c r="U228" s="14">
        <v>2.3</v>
      </c>
      <c r="V228" s="193">
        <f>R228*S228*T228/6000</f>
        <v>3.69895833333333</v>
      </c>
      <c r="W228" s="193">
        <f>MAX(U228:V228)</f>
        <v>3.69895833333333</v>
      </c>
      <c r="X228" s="20" t="s">
        <v>21</v>
      </c>
      <c r="Y228" s="196">
        <v>6.084</v>
      </c>
      <c r="Z228" s="193">
        <v>25</v>
      </c>
      <c r="AA228" s="193">
        <f>H228-SUM(K228:P228)*H228-J228-I228/B228-Z228/B228</f>
        <v>30.1006338249754</v>
      </c>
      <c r="AB228" s="195">
        <f>AA228/H228</f>
        <v>0.250859520168142</v>
      </c>
      <c r="AC228" s="14"/>
      <c r="AD228" s="17">
        <f>J228/H228</f>
        <v>0.0445037086423869</v>
      </c>
      <c r="AE228" s="18">
        <f>I228/7.4/H228</f>
        <v>0.259130260376677</v>
      </c>
      <c r="AF228" s="18">
        <f>Z228/7.4/H228</f>
        <v>0.0281554994447735</v>
      </c>
      <c r="AG228" s="18">
        <v>0.15</v>
      </c>
      <c r="AH228" s="18">
        <f>N228</f>
        <v>0.0833402783565297</v>
      </c>
      <c r="AI228" s="18">
        <v>0.02</v>
      </c>
      <c r="AJ228" s="18">
        <f>M228</f>
        <v>0.05</v>
      </c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</row>
    <row r="229" spans="1:75">
      <c r="A229" s="22" t="s">
        <v>560</v>
      </c>
      <c r="B229" s="14">
        <v>9</v>
      </c>
      <c r="C229" s="20" t="s">
        <v>517</v>
      </c>
      <c r="D229" s="20" t="s">
        <v>300</v>
      </c>
      <c r="E229" s="20" t="s">
        <v>507</v>
      </c>
      <c r="F229" s="193">
        <f>IF(E229="有",(I229/B229+J229+Z229/B229)/(0.99999-K229-L229-M229-N229),(I229/B229+J229+Z229/B229)/(0.99999-K229-M229-N229))</f>
        <v>62.1526436999882</v>
      </c>
      <c r="G229" s="193">
        <f>IF(E229="有",(I229/B229+J229+Z229/B229)/(0.8-K229-L229-M229-N229-O229-P229),(I229/B229+J229+Z229/B229)/(0.8-K229-M229-N229-O229-P229))</f>
        <v>106.601837154783</v>
      </c>
      <c r="H229" s="198">
        <f>H228*0.85</f>
        <v>101.9915</v>
      </c>
      <c r="I229" s="193">
        <f>260/1.13</f>
        <v>230.088495575221</v>
      </c>
      <c r="J229" s="20">
        <v>5.34</v>
      </c>
      <c r="K229" s="18">
        <v>0.15</v>
      </c>
      <c r="L229" s="18">
        <v>0.16</v>
      </c>
      <c r="M229" s="18">
        <v>0.05</v>
      </c>
      <c r="N229" s="18">
        <f>Q229/H229</f>
        <v>0.0980473863017997</v>
      </c>
      <c r="O229" s="195">
        <f>0.61/H229</f>
        <v>0.00598089056440978</v>
      </c>
      <c r="P229" s="18">
        <v>0.02</v>
      </c>
      <c r="Q229" s="193">
        <v>10</v>
      </c>
      <c r="R229" s="14">
        <v>33.5</v>
      </c>
      <c r="S229" s="14">
        <v>26.5</v>
      </c>
      <c r="T229" s="14">
        <v>25</v>
      </c>
      <c r="U229" s="14">
        <v>2.3</v>
      </c>
      <c r="V229" s="193">
        <f>R229*S229*T229/6000</f>
        <v>3.69895833333333</v>
      </c>
      <c r="W229" s="193">
        <f>MAX(U229:V229)</f>
        <v>3.69895833333333</v>
      </c>
      <c r="X229" s="20" t="s">
        <v>21</v>
      </c>
      <c r="Y229" s="196">
        <v>6.084</v>
      </c>
      <c r="Z229" s="193">
        <v>25</v>
      </c>
      <c r="AA229" s="193">
        <f>H229-SUM(K229:P229)*H229-J229-I229/B229-Z229/B229</f>
        <v>18.9415638249754</v>
      </c>
      <c r="AB229" s="195">
        <f>AA229/H229</f>
        <v>0.185717082550756</v>
      </c>
      <c r="AC229" s="14"/>
      <c r="AD229" s="17">
        <f>J229/H229</f>
        <v>0.052357304285161</v>
      </c>
      <c r="AE229" s="18">
        <f>I229/7.4/H229</f>
        <v>0.304859129854914</v>
      </c>
      <c r="AF229" s="18">
        <f>Z229/7.4/H229</f>
        <v>0.0331241169938512</v>
      </c>
      <c r="AG229" s="18">
        <v>0.15</v>
      </c>
      <c r="AH229" s="18">
        <f>N229</f>
        <v>0.0980473863017997</v>
      </c>
      <c r="AI229" s="18">
        <v>0.02</v>
      </c>
      <c r="AJ229" s="18">
        <f>M229</f>
        <v>0.05</v>
      </c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</row>
    <row r="230" spans="1:75">
      <c r="A230" s="15"/>
      <c r="B230" s="20"/>
      <c r="C230" s="20"/>
      <c r="D230" s="20"/>
      <c r="E230" s="20"/>
      <c r="F230" s="193"/>
      <c r="G230" s="193"/>
      <c r="H230" s="198"/>
      <c r="I230" s="193"/>
      <c r="J230" s="20"/>
      <c r="K230" s="18"/>
      <c r="L230" s="18"/>
      <c r="M230" s="18"/>
      <c r="N230" s="18"/>
      <c r="O230" s="195"/>
      <c r="P230" s="18"/>
      <c r="Q230" s="18"/>
      <c r="R230" s="14"/>
      <c r="S230" s="14"/>
      <c r="T230" s="14"/>
      <c r="U230" s="14"/>
      <c r="V230" s="193"/>
      <c r="W230" s="193"/>
      <c r="X230" s="20"/>
      <c r="Y230" s="196"/>
      <c r="Z230" s="193"/>
      <c r="AA230" s="193"/>
      <c r="AB230" s="195"/>
      <c r="AC230" s="14"/>
      <c r="AD230" s="17"/>
      <c r="AE230" s="18"/>
      <c r="AF230" s="18"/>
      <c r="AG230" s="18"/>
      <c r="AH230" s="18"/>
      <c r="AI230" s="18"/>
      <c r="AJ230" s="18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</row>
    <row r="231" spans="1:75">
      <c r="A231" s="207" t="s">
        <v>561</v>
      </c>
      <c r="B231" s="20">
        <v>8</v>
      </c>
      <c r="C231" s="20" t="s">
        <v>506</v>
      </c>
      <c r="D231" s="20" t="s">
        <v>277</v>
      </c>
      <c r="E231" s="20" t="s">
        <v>507</v>
      </c>
      <c r="F231" s="193">
        <f>IF(E231="有",(I231/B231+J231+Z231/B231)/(0.99999-K231-L231-M231-N231),(I231/B231+J231+Z231/B231)/(0.99999-K231-M231-N231))</f>
        <v>27.6282532800828</v>
      </c>
      <c r="G231" s="193">
        <f>IF(E231="有",(I231/B231+J231+Z231/B231)/(0.8-K231-L231-M231-N231-O231-P231),(I231/B231+J231+Z231/B231)/(0.8-K231-M231-N231-O231-P231))</f>
        <v>49.9203348508491</v>
      </c>
      <c r="H231" s="198">
        <v>49.99</v>
      </c>
      <c r="I231" s="193">
        <f>90/1.13</f>
        <v>79.646017699115</v>
      </c>
      <c r="J231" s="14">
        <v>3.16</v>
      </c>
      <c r="K231" s="18">
        <v>0.15</v>
      </c>
      <c r="L231" s="18">
        <v>0.16</v>
      </c>
      <c r="M231" s="18">
        <v>0.05</v>
      </c>
      <c r="N231" s="18">
        <f>Q231/H231</f>
        <v>0.12002400480096</v>
      </c>
      <c r="O231" s="195">
        <f>0.61/H231</f>
        <v>0.0122024404880976</v>
      </c>
      <c r="P231" s="18">
        <v>0.02</v>
      </c>
      <c r="Q231" s="193">
        <v>6</v>
      </c>
      <c r="R231" s="14">
        <v>33.5</v>
      </c>
      <c r="S231" s="14">
        <v>26.5</v>
      </c>
      <c r="T231" s="14">
        <v>25</v>
      </c>
      <c r="U231" s="14">
        <v>2.3</v>
      </c>
      <c r="V231" s="193">
        <f>R231*S231*T231/6000</f>
        <v>3.69895833333333</v>
      </c>
      <c r="W231" s="193">
        <f>MAX(U231:V231)</f>
        <v>3.69895833333333</v>
      </c>
      <c r="X231" s="14" t="s">
        <v>21</v>
      </c>
      <c r="Y231" s="196">
        <v>5.55136</v>
      </c>
      <c r="Z231" s="193">
        <v>10</v>
      </c>
      <c r="AA231" s="193">
        <f>H231-SUM(K231:P231)*H231-J231-I231/B231-Z231/B231</f>
        <v>10.0180477876106</v>
      </c>
      <c r="AB231" s="195">
        <f>AA231/H231</f>
        <v>0.200401035959404</v>
      </c>
      <c r="AC231" s="14"/>
      <c r="AD231" s="17">
        <f>J231/H231</f>
        <v>0.0632126425285057</v>
      </c>
      <c r="AE231" s="18">
        <f>I231/7.4/H231</f>
        <v>0.215302567808467</v>
      </c>
      <c r="AF231" s="18">
        <f>Z231/7.4/H231</f>
        <v>0.0270324335137298</v>
      </c>
      <c r="AG231" s="18">
        <v>0.15</v>
      </c>
      <c r="AH231" s="18">
        <f>N231</f>
        <v>0.12002400480096</v>
      </c>
      <c r="AI231" s="18">
        <v>0.02</v>
      </c>
      <c r="AJ231" s="18">
        <f>M231</f>
        <v>0.05</v>
      </c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</row>
    <row r="232" spans="1:75">
      <c r="A232" s="207" t="s">
        <v>562</v>
      </c>
      <c r="B232" s="20">
        <v>8</v>
      </c>
      <c r="C232" s="20" t="s">
        <v>506</v>
      </c>
      <c r="D232" s="20" t="s">
        <v>277</v>
      </c>
      <c r="E232" s="20" t="s">
        <v>507</v>
      </c>
      <c r="F232" s="193">
        <f>IF(E232="有",(I232/B232+J232+Z232/B232)/(0.99999-K232-L232-M232-N232),(I232/B232+J232+Z232/B232)/(0.99999-K232-M232-N232))</f>
        <v>28.8014753932924</v>
      </c>
      <c r="G232" s="193">
        <f>IF(E232="有",(I232/B232+J232+Z232/B232)/(0.8-K232-L232-M232-N232-O232-P232),(I232/B232+J232+Z232/B232)/(0.8-K232-M232-N232-O232-P232))</f>
        <v>54.3252937216486</v>
      </c>
      <c r="H232" s="198">
        <f>H231*0.85</f>
        <v>42.4915</v>
      </c>
      <c r="I232" s="193">
        <f>90/1.13</f>
        <v>79.646017699115</v>
      </c>
      <c r="J232" s="20">
        <v>3.16</v>
      </c>
      <c r="K232" s="18">
        <v>0.15</v>
      </c>
      <c r="L232" s="18">
        <v>0.16</v>
      </c>
      <c r="M232" s="18">
        <v>0.05</v>
      </c>
      <c r="N232" s="18">
        <f>Q232/H232</f>
        <v>0.141204711530541</v>
      </c>
      <c r="O232" s="195">
        <f>0.61/H232</f>
        <v>0.0143558123389384</v>
      </c>
      <c r="P232" s="18">
        <v>0.02</v>
      </c>
      <c r="Q232" s="193">
        <v>6</v>
      </c>
      <c r="R232" s="14">
        <v>33.5</v>
      </c>
      <c r="S232" s="14">
        <v>26.5</v>
      </c>
      <c r="T232" s="14">
        <v>25</v>
      </c>
      <c r="U232" s="14">
        <v>2.3</v>
      </c>
      <c r="V232" s="193">
        <f>R232*S232*T232/6000</f>
        <v>3.69895833333333</v>
      </c>
      <c r="W232" s="193">
        <f>MAX(U232:V232)</f>
        <v>3.69895833333333</v>
      </c>
      <c r="X232" s="20" t="s">
        <v>21</v>
      </c>
      <c r="Y232" s="196">
        <v>5.55136</v>
      </c>
      <c r="Z232" s="193">
        <v>10</v>
      </c>
      <c r="AA232" s="193">
        <f>H232-SUM(K232:P232)*H232-J232-I232/B232-Z232/B232</f>
        <v>5.36897778761062</v>
      </c>
      <c r="AB232" s="195">
        <f>AA232/H232</f>
        <v>0.12635415995224</v>
      </c>
      <c r="AC232" s="14"/>
      <c r="AD232" s="17">
        <f>J232/H232</f>
        <v>0.0743678147394185</v>
      </c>
      <c r="AE232" s="18">
        <f>I232/B232/H232</f>
        <v>0.234299853203332</v>
      </c>
      <c r="AF232" s="18">
        <f>Z232/B232/H232</f>
        <v>0.0294176482355295</v>
      </c>
      <c r="AG232" s="18">
        <f>K232</f>
        <v>0.15</v>
      </c>
      <c r="AH232" s="18">
        <f>N232</f>
        <v>0.141204711530541</v>
      </c>
      <c r="AI232" s="18">
        <v>0.02</v>
      </c>
      <c r="AJ232" s="18">
        <f>M232</f>
        <v>0.05</v>
      </c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</row>
    <row r="233" spans="1:75">
      <c r="A233" s="15"/>
      <c r="B233" s="14"/>
      <c r="C233" s="14"/>
      <c r="D233" s="14"/>
      <c r="E233" s="14"/>
      <c r="F233" s="193"/>
      <c r="G233" s="193"/>
      <c r="H233" s="198"/>
      <c r="I233" s="193"/>
      <c r="J233" s="20"/>
      <c r="K233" s="18"/>
      <c r="L233" s="18"/>
      <c r="M233" s="18"/>
      <c r="N233" s="18"/>
      <c r="O233" s="195"/>
      <c r="P233" s="18"/>
      <c r="Q233" s="193"/>
      <c r="R233" s="14"/>
      <c r="S233" s="14"/>
      <c r="T233" s="14"/>
      <c r="U233" s="14"/>
      <c r="V233" s="193"/>
      <c r="W233" s="193"/>
      <c r="X233" s="20"/>
      <c r="Y233" s="196"/>
      <c r="Z233" s="20"/>
      <c r="AA233" s="193"/>
      <c r="AB233" s="195"/>
      <c r="AC233" s="14"/>
      <c r="AD233" s="17"/>
      <c r="AE233" s="18"/>
      <c r="AF233" s="18"/>
      <c r="AG233" s="18"/>
      <c r="AH233" s="18"/>
      <c r="AI233" s="18"/>
      <c r="AJ233" s="18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</row>
    <row r="234" spans="1:75">
      <c r="A234" s="208" t="s">
        <v>561</v>
      </c>
      <c r="B234" s="20">
        <v>8</v>
      </c>
      <c r="C234" s="14" t="s">
        <v>510</v>
      </c>
      <c r="D234" s="14" t="s">
        <v>511</v>
      </c>
      <c r="E234" s="20" t="s">
        <v>507</v>
      </c>
      <c r="F234" s="193">
        <f>IF(E234="有",(I234/B234+J234+Z234/B234)/(0.99999-K234-L234-M234-N234),(I234/B234+J234+Z234/B234)/(0.99999-K234-M234-N234))</f>
        <v>30.6284494744567</v>
      </c>
      <c r="G234" s="193">
        <f>IF(E234="有",(I234/B234+J234+Z234/B234)/(0.8-K234-L234-M234-N234-O234-P234),(I234/B234+J234+Z234/B234)/(0.8-K234-M234-N234-O234-P234))</f>
        <v>55.3412638224739</v>
      </c>
      <c r="H234" s="198">
        <v>49.99</v>
      </c>
      <c r="I234" s="193">
        <f>90/1.13</f>
        <v>79.646017699115</v>
      </c>
      <c r="J234" s="14">
        <v>4.72</v>
      </c>
      <c r="K234" s="18">
        <v>0.15</v>
      </c>
      <c r="L234" s="18">
        <v>0.16</v>
      </c>
      <c r="M234" s="18">
        <v>0.05</v>
      </c>
      <c r="N234" s="18">
        <f>Q234/H234</f>
        <v>0.12002400480096</v>
      </c>
      <c r="O234" s="195">
        <f>0.61/H234</f>
        <v>0.0122024404880976</v>
      </c>
      <c r="P234" s="18">
        <v>0.02</v>
      </c>
      <c r="Q234" s="193">
        <v>6</v>
      </c>
      <c r="R234" s="14">
        <v>33.5</v>
      </c>
      <c r="S234" s="14">
        <v>26.5</v>
      </c>
      <c r="T234" s="14">
        <v>25</v>
      </c>
      <c r="U234" s="14">
        <v>2.3</v>
      </c>
      <c r="V234" s="193">
        <f>R234*S234*T234/6000</f>
        <v>3.69895833333333</v>
      </c>
      <c r="W234" s="193">
        <f>MAX(U234:V234)</f>
        <v>3.69895833333333</v>
      </c>
      <c r="X234" s="14" t="s">
        <v>21</v>
      </c>
      <c r="Y234" s="196">
        <v>5.55136</v>
      </c>
      <c r="Z234" s="193">
        <v>10</v>
      </c>
      <c r="AA234" s="193">
        <f>H234-SUM(K234:P234)*H234-J234-I234/B234-Z234/B234</f>
        <v>8.45804778761062</v>
      </c>
      <c r="AB234" s="195">
        <f>AA234/H234</f>
        <v>0.169194794711155</v>
      </c>
      <c r="AC234" s="14"/>
      <c r="AD234" s="17">
        <f>J234/H234</f>
        <v>0.0944188837767553</v>
      </c>
      <c r="AE234" s="18">
        <f>I234/7.4/H234</f>
        <v>0.215302567808467</v>
      </c>
      <c r="AF234" s="18">
        <f>Z234/7.4/H234</f>
        <v>0.0270324335137298</v>
      </c>
      <c r="AG234" s="18">
        <v>0.15</v>
      </c>
      <c r="AH234" s="18">
        <f>N234</f>
        <v>0.12002400480096</v>
      </c>
      <c r="AI234" s="18">
        <v>0.02</v>
      </c>
      <c r="AJ234" s="18">
        <f>M234</f>
        <v>0.05</v>
      </c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</row>
    <row r="235" spans="1:75">
      <c r="A235" s="208" t="s">
        <v>562</v>
      </c>
      <c r="B235" s="20">
        <v>8</v>
      </c>
      <c r="C235" s="20" t="s">
        <v>510</v>
      </c>
      <c r="D235" s="20" t="s">
        <v>511</v>
      </c>
      <c r="E235" s="20" t="s">
        <v>507</v>
      </c>
      <c r="F235" s="193">
        <f>IF(E235="有",(I235/B235+J235+Z235/B235)/(0.99999-K235-L235-M235-N235),(I235/B235+J235+Z235/B235)/(0.99999-K235-M235-N235))</f>
        <v>31.9290736526295</v>
      </c>
      <c r="G235" s="193">
        <f>IF(E235="有",(I235/B235+J235+Z235/B235)/(0.8-K235-L235-M235-N235-O235-P235),(I235/B235+J235+Z235/B235)/(0.8-K235-M235-N235-O235-P235))</f>
        <v>60.2245642194846</v>
      </c>
      <c r="H235" s="198">
        <f>H234*0.85</f>
        <v>42.4915</v>
      </c>
      <c r="I235" s="193">
        <f>90/1.13</f>
        <v>79.646017699115</v>
      </c>
      <c r="J235" s="20">
        <v>4.72</v>
      </c>
      <c r="K235" s="18">
        <v>0.15</v>
      </c>
      <c r="L235" s="18">
        <v>0.16</v>
      </c>
      <c r="M235" s="18">
        <v>0.05</v>
      </c>
      <c r="N235" s="18">
        <f>Q235/H235</f>
        <v>0.141204711530541</v>
      </c>
      <c r="O235" s="195">
        <f>0.61/H235</f>
        <v>0.0143558123389384</v>
      </c>
      <c r="P235" s="18">
        <v>0.02</v>
      </c>
      <c r="Q235" s="193">
        <v>6</v>
      </c>
      <c r="R235" s="14">
        <v>33.5</v>
      </c>
      <c r="S235" s="14">
        <v>26.5</v>
      </c>
      <c r="T235" s="14">
        <v>25</v>
      </c>
      <c r="U235" s="14">
        <v>2.3</v>
      </c>
      <c r="V235" s="193">
        <f>R235*S235*T235/6000</f>
        <v>3.69895833333333</v>
      </c>
      <c r="W235" s="193">
        <f>MAX(U235:V235)</f>
        <v>3.69895833333333</v>
      </c>
      <c r="X235" s="20" t="s">
        <v>21</v>
      </c>
      <c r="Y235" s="196">
        <v>5.55136</v>
      </c>
      <c r="Z235" s="193">
        <v>10</v>
      </c>
      <c r="AA235" s="193">
        <f>H235-SUM(K235:P235)*H235-J235-I235/B235-Z235/B235</f>
        <v>3.80897778761062</v>
      </c>
      <c r="AB235" s="195">
        <f>AA235/H235</f>
        <v>0.0896409349542996</v>
      </c>
      <c r="AC235" s="14"/>
      <c r="AD235" s="17">
        <f>J235/H235</f>
        <v>0.111081039737359</v>
      </c>
      <c r="AE235" s="18">
        <f>I235/7.4/H235</f>
        <v>0.253297138598197</v>
      </c>
      <c r="AF235" s="18">
        <f>Z235/7.4/H235</f>
        <v>0.0318028629573291</v>
      </c>
      <c r="AG235" s="18">
        <v>0.15</v>
      </c>
      <c r="AH235" s="18">
        <f>N235</f>
        <v>0.141204711530541</v>
      </c>
      <c r="AI235" s="18">
        <v>0.02</v>
      </c>
      <c r="AJ235" s="18">
        <f>M235</f>
        <v>0.05</v>
      </c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</row>
    <row r="236" spans="1:75">
      <c r="A236" s="15"/>
      <c r="B236" s="14"/>
      <c r="C236" s="14"/>
      <c r="D236" s="14"/>
      <c r="E236" s="14"/>
      <c r="F236" s="193"/>
      <c r="G236" s="193"/>
      <c r="H236" s="198"/>
      <c r="I236" s="193"/>
      <c r="J236" s="20"/>
      <c r="K236" s="18"/>
      <c r="L236" s="18"/>
      <c r="M236" s="18"/>
      <c r="N236" s="18"/>
      <c r="O236" s="195"/>
      <c r="P236" s="18"/>
      <c r="Q236" s="18"/>
      <c r="R236" s="14"/>
      <c r="S236" s="14"/>
      <c r="T236" s="14"/>
      <c r="U236" s="14"/>
      <c r="V236" s="193"/>
      <c r="W236" s="193"/>
      <c r="X236" s="20"/>
      <c r="Y236" s="196"/>
      <c r="Z236" s="20"/>
      <c r="AA236" s="193"/>
      <c r="AB236" s="195"/>
      <c r="AC236" s="14"/>
      <c r="AD236" s="17"/>
      <c r="AE236" s="18"/>
      <c r="AF236" s="18"/>
      <c r="AG236" s="18"/>
      <c r="AH236" s="18"/>
      <c r="AI236" s="18"/>
      <c r="AJ236" s="18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</row>
    <row r="237" spans="1:75">
      <c r="A237" s="208" t="s">
        <v>561</v>
      </c>
      <c r="B237" s="20">
        <v>8</v>
      </c>
      <c r="C237" s="14" t="s">
        <v>512</v>
      </c>
      <c r="D237" s="14" t="s">
        <v>513</v>
      </c>
      <c r="E237" s="20" t="s">
        <v>507</v>
      </c>
      <c r="F237" s="193">
        <f>IF(E237="有",(I237/B237+J237+Z237/B237)/(0.99999-K237-L237-M237-N237),(I237/B237+J237+Z237/B237)/(0.99999-K237-M237-N237))</f>
        <v>29.570687995671</v>
      </c>
      <c r="G237" s="193">
        <f>IF(E237="有",(I237/B237+J237+Z237/B237)/(0.8-K237-L237-M237-N237-O237-P237),(I237/B237+J237+Z237/B237)/(0.8-K237-M237-N237-O237-P237))</f>
        <v>53.4300388645293</v>
      </c>
      <c r="H237" s="198">
        <v>49.99</v>
      </c>
      <c r="I237" s="193">
        <f>90/1.13</f>
        <v>79.646017699115</v>
      </c>
      <c r="J237" s="14">
        <v>4.17</v>
      </c>
      <c r="K237" s="18">
        <v>0.15</v>
      </c>
      <c r="L237" s="18">
        <v>0.16</v>
      </c>
      <c r="M237" s="18">
        <v>0.05</v>
      </c>
      <c r="N237" s="18">
        <f>Q237/H237</f>
        <v>0.12002400480096</v>
      </c>
      <c r="O237" s="195">
        <f>0.61/H237</f>
        <v>0.0122024404880976</v>
      </c>
      <c r="P237" s="18">
        <v>0.02</v>
      </c>
      <c r="Q237" s="193">
        <v>6</v>
      </c>
      <c r="R237" s="14">
        <v>33.5</v>
      </c>
      <c r="S237" s="14">
        <v>26.5</v>
      </c>
      <c r="T237" s="14">
        <v>25</v>
      </c>
      <c r="U237" s="14">
        <v>2.3</v>
      </c>
      <c r="V237" s="193">
        <f>R237*S237*T237/6000</f>
        <v>3.69895833333333</v>
      </c>
      <c r="W237" s="193">
        <f>MAX(U237:V237)</f>
        <v>3.69895833333333</v>
      </c>
      <c r="X237" s="14" t="s">
        <v>21</v>
      </c>
      <c r="Y237" s="196">
        <v>5.55136</v>
      </c>
      <c r="Z237" s="193">
        <v>10</v>
      </c>
      <c r="AA237" s="193">
        <f>H237-SUM(K237:P237)*H237-J237-I237/B237-Z237/B237</f>
        <v>9.00804778761062</v>
      </c>
      <c r="AB237" s="195">
        <f>AA237/H237</f>
        <v>0.180196995151243</v>
      </c>
      <c r="AC237" s="14"/>
      <c r="AD237" s="17">
        <f>J237/H237</f>
        <v>0.0834166833366673</v>
      </c>
      <c r="AE237" s="18">
        <f>I237/7.4/H237</f>
        <v>0.215302567808467</v>
      </c>
      <c r="AF237" s="18">
        <f>Z237/7.4/H237</f>
        <v>0.0270324335137298</v>
      </c>
      <c r="AG237" s="18">
        <v>0.15</v>
      </c>
      <c r="AH237" s="18">
        <f>N237</f>
        <v>0.12002400480096</v>
      </c>
      <c r="AI237" s="18">
        <v>0.02</v>
      </c>
      <c r="AJ237" s="18">
        <f>M237</f>
        <v>0.05</v>
      </c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</row>
    <row r="238" spans="1:75">
      <c r="A238" s="208" t="s">
        <v>562</v>
      </c>
      <c r="B238" s="20">
        <v>8</v>
      </c>
      <c r="C238" s="20" t="s">
        <v>512</v>
      </c>
      <c r="D238" s="20" t="s">
        <v>513</v>
      </c>
      <c r="E238" s="20" t="s">
        <v>507</v>
      </c>
      <c r="F238" s="193">
        <f>IF(E238="有",(I238/B238+J238+Z238/B238)/(0.99999-K238-L238-M238-N238),(I238/B238+J238+Z238/B238)/(0.99999-K238-M238-N238))</f>
        <v>30.8263947791453</v>
      </c>
      <c r="G238" s="193">
        <f>IF(E238="有",(I238/B238+J238+Z238/B238)/(0.8-K238-L238-M238-N238-O238-P238),(I238/B238+J238+Z238/B238)/(0.8-K238-M238-N238-O238-P238))</f>
        <v>58.1446932106322</v>
      </c>
      <c r="H238" s="198">
        <f>H237*0.85</f>
        <v>42.4915</v>
      </c>
      <c r="I238" s="193">
        <f>90/1.13</f>
        <v>79.646017699115</v>
      </c>
      <c r="J238" s="20">
        <v>4.17</v>
      </c>
      <c r="K238" s="18">
        <v>0.15</v>
      </c>
      <c r="L238" s="18">
        <v>0.16</v>
      </c>
      <c r="M238" s="18">
        <v>0.05</v>
      </c>
      <c r="N238" s="18">
        <f>Q238/H238</f>
        <v>0.141204711530541</v>
      </c>
      <c r="O238" s="195">
        <f>0.61/H238</f>
        <v>0.0143558123389384</v>
      </c>
      <c r="P238" s="18">
        <v>0.02</v>
      </c>
      <c r="Q238" s="193">
        <v>6</v>
      </c>
      <c r="R238" s="14">
        <v>33.5</v>
      </c>
      <c r="S238" s="14">
        <v>26.5</v>
      </c>
      <c r="T238" s="14">
        <v>25</v>
      </c>
      <c r="U238" s="14">
        <v>2.3</v>
      </c>
      <c r="V238" s="193">
        <f>R238*S238*T238/6000</f>
        <v>3.69895833333333</v>
      </c>
      <c r="W238" s="193">
        <f>MAX(U238:V238)</f>
        <v>3.69895833333333</v>
      </c>
      <c r="X238" s="20" t="s">
        <v>21</v>
      </c>
      <c r="Y238" s="196">
        <v>5.55136</v>
      </c>
      <c r="Z238" s="193">
        <v>10</v>
      </c>
      <c r="AA238" s="193">
        <f>H238-SUM(K238:P238)*H238-J238-I238/B238-Z238/B238</f>
        <v>4.35897778761062</v>
      </c>
      <c r="AB238" s="195">
        <f>AA238/H238</f>
        <v>0.102584700177933</v>
      </c>
      <c r="AC238" s="14"/>
      <c r="AD238" s="17">
        <f>J238/H238</f>
        <v>0.0981372745137263</v>
      </c>
      <c r="AE238" s="18">
        <f>I238/7.4/H238</f>
        <v>0.253297138598197</v>
      </c>
      <c r="AF238" s="18">
        <f>Z238/7.4/H238</f>
        <v>0.0318028629573291</v>
      </c>
      <c r="AG238" s="18">
        <v>0.15</v>
      </c>
      <c r="AH238" s="18">
        <f>N238</f>
        <v>0.141204711530541</v>
      </c>
      <c r="AI238" s="18">
        <v>0.02</v>
      </c>
      <c r="AJ238" s="18">
        <f>M238</f>
        <v>0.05</v>
      </c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</row>
    <row r="239" spans="1:75">
      <c r="A239" s="15"/>
      <c r="B239" s="14"/>
      <c r="C239" s="14"/>
      <c r="D239" s="14"/>
      <c r="E239" s="14"/>
      <c r="F239" s="193"/>
      <c r="G239" s="193"/>
      <c r="H239" s="198"/>
      <c r="I239" s="193"/>
      <c r="J239" s="20"/>
      <c r="K239" s="18"/>
      <c r="L239" s="18"/>
      <c r="M239" s="18"/>
      <c r="N239" s="18"/>
      <c r="O239" s="195"/>
      <c r="P239" s="18"/>
      <c r="Q239" s="18"/>
      <c r="R239" s="14"/>
      <c r="S239" s="14"/>
      <c r="T239" s="14"/>
      <c r="U239" s="14"/>
      <c r="V239" s="193"/>
      <c r="W239" s="193"/>
      <c r="X239" s="20"/>
      <c r="Y239" s="196"/>
      <c r="Z239" s="20"/>
      <c r="AA239" s="193"/>
      <c r="AB239" s="195"/>
      <c r="AC239" s="14"/>
      <c r="AD239" s="17"/>
      <c r="AE239" s="18"/>
      <c r="AF239" s="18"/>
      <c r="AG239" s="18"/>
      <c r="AH239" s="18"/>
      <c r="AI239" s="18"/>
      <c r="AJ239" s="18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</row>
    <row r="240" spans="1:75">
      <c r="A240" s="208" t="s">
        <v>561</v>
      </c>
      <c r="B240" s="20">
        <v>8</v>
      </c>
      <c r="C240" s="14" t="s">
        <v>515</v>
      </c>
      <c r="D240" s="14" t="s">
        <v>516</v>
      </c>
      <c r="E240" s="20" t="s">
        <v>507</v>
      </c>
      <c r="F240" s="193">
        <f>IF(E240="有",(I240/B240+J240+Z240/B240)/(0.99999-K240-L240-M240-N240),(I240/B240+J240+Z240/B240)/(0.99999-K240-M240-N240))</f>
        <v>28.9552631352866</v>
      </c>
      <c r="G240" s="193">
        <f>IF(E240="有",(I240/B240+J240+Z240/B240)/(0.8-K240-L240-M240-N240-O240-P240),(I240/B240+J240+Z240/B240)/(0.8-K240-M240-N240-O240-P240))</f>
        <v>52.3180534344524</v>
      </c>
      <c r="H240" s="198">
        <v>49.99</v>
      </c>
      <c r="I240" s="193">
        <f>90/1.13</f>
        <v>79.646017699115</v>
      </c>
      <c r="J240" s="14">
        <v>3.85</v>
      </c>
      <c r="K240" s="18">
        <v>0.15</v>
      </c>
      <c r="L240" s="18">
        <v>0.16</v>
      </c>
      <c r="M240" s="18">
        <v>0.05</v>
      </c>
      <c r="N240" s="18">
        <f>Q240/H240</f>
        <v>0.12002400480096</v>
      </c>
      <c r="O240" s="195">
        <f>0.61/H240</f>
        <v>0.0122024404880976</v>
      </c>
      <c r="P240" s="18">
        <v>0.02</v>
      </c>
      <c r="Q240" s="193">
        <v>6</v>
      </c>
      <c r="R240" s="14">
        <v>33.5</v>
      </c>
      <c r="S240" s="14">
        <v>26.5</v>
      </c>
      <c r="T240" s="14">
        <v>25</v>
      </c>
      <c r="U240" s="14">
        <v>2.3</v>
      </c>
      <c r="V240" s="193">
        <f>R240*S240*T240/6000</f>
        <v>3.69895833333333</v>
      </c>
      <c r="W240" s="193">
        <f>MAX(U240:V240)</f>
        <v>3.69895833333333</v>
      </c>
      <c r="X240" s="14" t="s">
        <v>21</v>
      </c>
      <c r="Y240" s="196">
        <v>5.55136</v>
      </c>
      <c r="Z240" s="193">
        <v>10</v>
      </c>
      <c r="AA240" s="193">
        <f>H240-SUM(K240:P240)*H240-J240-I240/B240-Z240/B240</f>
        <v>9.32804778761062</v>
      </c>
      <c r="AB240" s="195">
        <f>AA240/H240</f>
        <v>0.186598275407294</v>
      </c>
      <c r="AC240" s="14"/>
      <c r="AD240" s="17">
        <f>J240/H240</f>
        <v>0.0770154030806161</v>
      </c>
      <c r="AE240" s="18">
        <f>I240/7.4/H240</f>
        <v>0.215302567808467</v>
      </c>
      <c r="AF240" s="18">
        <f>Z240/7.4/H240</f>
        <v>0.0270324335137298</v>
      </c>
      <c r="AG240" s="18">
        <v>0.15</v>
      </c>
      <c r="AH240" s="18">
        <f>N240</f>
        <v>0.12002400480096</v>
      </c>
      <c r="AI240" s="18">
        <v>0.02</v>
      </c>
      <c r="AJ240" s="18">
        <f>M240</f>
        <v>0.05</v>
      </c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</row>
    <row r="241" spans="1:75">
      <c r="A241" s="208" t="s">
        <v>562</v>
      </c>
      <c r="B241" s="20">
        <v>8</v>
      </c>
      <c r="C241" s="20" t="s">
        <v>515</v>
      </c>
      <c r="D241" s="20" t="s">
        <v>516</v>
      </c>
      <c r="E241" s="20" t="s">
        <v>507</v>
      </c>
      <c r="F241" s="193">
        <f>IF(E241="有",(I241/B241+J241+Z241/B241)/(0.99999-K241-L241-M241-N241),(I241/B241+J241+Z241/B241)/(0.99999-K241-M241-N241))</f>
        <v>30.1848361618454</v>
      </c>
      <c r="G241" s="193">
        <f>IF(E241="有",(I241/B241+J241+Z241/B241)/(0.8-K241-L241-M241-N241-O241-P241),(I241/B241+J241+Z241/B241)/(0.8-K241-M241-N241-O241-P241))</f>
        <v>56.9345864418453</v>
      </c>
      <c r="H241" s="198">
        <f>H240*0.85</f>
        <v>42.4915</v>
      </c>
      <c r="I241" s="193">
        <f>90/1.13</f>
        <v>79.646017699115</v>
      </c>
      <c r="J241" s="20">
        <v>3.85</v>
      </c>
      <c r="K241" s="18">
        <v>0.15</v>
      </c>
      <c r="L241" s="18">
        <v>0.16</v>
      </c>
      <c r="M241" s="18">
        <v>0.05</v>
      </c>
      <c r="N241" s="18">
        <f>Q241/H241</f>
        <v>0.141204711530541</v>
      </c>
      <c r="O241" s="195">
        <f>0.61/H241</f>
        <v>0.0143558123389384</v>
      </c>
      <c r="P241" s="18">
        <v>0.02</v>
      </c>
      <c r="Q241" s="193">
        <v>6</v>
      </c>
      <c r="R241" s="14">
        <v>33.5</v>
      </c>
      <c r="S241" s="14">
        <v>26.5</v>
      </c>
      <c r="T241" s="14">
        <v>25</v>
      </c>
      <c r="U241" s="14">
        <v>2.3</v>
      </c>
      <c r="V241" s="193">
        <f>R241*S241*T241/6000</f>
        <v>3.69895833333333</v>
      </c>
      <c r="W241" s="193">
        <f>MAX(U241:V241)</f>
        <v>3.69895833333333</v>
      </c>
      <c r="X241" s="20" t="s">
        <v>21</v>
      </c>
      <c r="Y241" s="196">
        <v>5.55136</v>
      </c>
      <c r="Z241" s="193">
        <v>10</v>
      </c>
      <c r="AA241" s="193">
        <f>H241-SUM(K241:P241)*H241-J241-I241/B241-Z241/B241</f>
        <v>4.67897778761062</v>
      </c>
      <c r="AB241" s="195">
        <f>AA241/H241</f>
        <v>0.110115618126228</v>
      </c>
      <c r="AC241" s="14"/>
      <c r="AD241" s="17">
        <f>J241/H241</f>
        <v>0.0906063565654307</v>
      </c>
      <c r="AE241" s="18">
        <f>I241/7.4/H241</f>
        <v>0.253297138598197</v>
      </c>
      <c r="AF241" s="18">
        <f>Z241/7.4/H241</f>
        <v>0.0318028629573291</v>
      </c>
      <c r="AG241" s="18">
        <v>0.15</v>
      </c>
      <c r="AH241" s="18">
        <f>N241</f>
        <v>0.141204711530541</v>
      </c>
      <c r="AI241" s="18">
        <v>0.02</v>
      </c>
      <c r="AJ241" s="18">
        <f>M241</f>
        <v>0.05</v>
      </c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</row>
    <row r="242" spans="1:75">
      <c r="A242" s="15"/>
      <c r="B242" s="20"/>
      <c r="C242" s="20"/>
      <c r="D242" s="20"/>
      <c r="E242" s="20"/>
      <c r="F242" s="193"/>
      <c r="G242" s="193"/>
      <c r="H242" s="198"/>
      <c r="I242" s="193"/>
      <c r="J242" s="20"/>
      <c r="K242" s="18"/>
      <c r="L242" s="18"/>
      <c r="M242" s="18"/>
      <c r="N242" s="18"/>
      <c r="O242" s="195"/>
      <c r="P242" s="18"/>
      <c r="Q242" s="18"/>
      <c r="R242" s="14"/>
      <c r="S242" s="14"/>
      <c r="T242" s="14"/>
      <c r="U242" s="14"/>
      <c r="V242" s="193"/>
      <c r="W242" s="193"/>
      <c r="X242" s="20"/>
      <c r="Y242" s="196"/>
      <c r="Z242" s="20"/>
      <c r="AA242" s="193"/>
      <c r="AB242" s="195"/>
      <c r="AC242" s="14"/>
      <c r="AD242" s="17"/>
      <c r="AE242" s="18"/>
      <c r="AF242" s="18"/>
      <c r="AG242" s="18"/>
      <c r="AH242" s="18"/>
      <c r="AI242" s="18"/>
      <c r="AJ242" s="18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</row>
    <row r="243" spans="1:75">
      <c r="A243" s="208" t="s">
        <v>561</v>
      </c>
      <c r="B243" s="14">
        <v>9</v>
      </c>
      <c r="C243" s="20" t="s">
        <v>517</v>
      </c>
      <c r="D243" s="20" t="s">
        <v>300</v>
      </c>
      <c r="E243" s="20" t="s">
        <v>507</v>
      </c>
      <c r="F243" s="193">
        <f>IF(E243="有",(I243/B243+J243+Z243/B243)/(0.99999-K243-L243-M243-N243),(I243/B243+J243+Z243/B243)/(0.99999-K243-M243-N243))</f>
        <v>25.4638380067195</v>
      </c>
      <c r="G243" s="193">
        <f>IF(E243="有",(I243/B243+J243+Z243/B243)/(0.8-K243-L243-M243-N243-O243-P243),(I243/B243+J243+Z243/B243)/(0.8-K243-M243-N243-O243-P243))</f>
        <v>47.2416189266668</v>
      </c>
      <c r="H243" s="198">
        <v>44.99</v>
      </c>
      <c r="I243" s="193">
        <f>90/1.13</f>
        <v>79.646017699115</v>
      </c>
      <c r="J243" s="14">
        <v>2.94</v>
      </c>
      <c r="K243" s="18">
        <v>0.15</v>
      </c>
      <c r="L243" s="18">
        <v>0.16</v>
      </c>
      <c r="M243" s="18">
        <v>0.05</v>
      </c>
      <c r="N243" s="18">
        <f>Q243/H243</f>
        <v>0.133362969548789</v>
      </c>
      <c r="O243" s="195">
        <f>0.61/H243</f>
        <v>0.0135585685707935</v>
      </c>
      <c r="P243" s="18">
        <v>0.02</v>
      </c>
      <c r="Q243" s="193">
        <v>6</v>
      </c>
      <c r="R243" s="14">
        <v>33.5</v>
      </c>
      <c r="S243" s="14">
        <v>26.5</v>
      </c>
      <c r="T243" s="14">
        <v>25</v>
      </c>
      <c r="U243" s="14">
        <v>2.3</v>
      </c>
      <c r="V243" s="193">
        <f>R243*S243*T243/6000</f>
        <v>3.69895833333333</v>
      </c>
      <c r="W243" s="193">
        <f>MAX(U243:V243)</f>
        <v>3.69895833333333</v>
      </c>
      <c r="X243" s="20" t="s">
        <v>21</v>
      </c>
      <c r="Y243" s="196">
        <v>6.084</v>
      </c>
      <c r="Z243" s="193">
        <v>10</v>
      </c>
      <c r="AA243" s="193">
        <f>H243-SUM(K243:P243)*H243-J243-I243/B243-Z243/B243</f>
        <v>8.383131366765</v>
      </c>
      <c r="AB243" s="195">
        <f>AA243/H243</f>
        <v>0.186333215531562</v>
      </c>
      <c r="AC243" s="14"/>
      <c r="AD243" s="17">
        <f>J243/H243</f>
        <v>0.0653478550789064</v>
      </c>
      <c r="AE243" s="18">
        <f>I243/7.4/H243</f>
        <v>0.239230392637148</v>
      </c>
      <c r="AF243" s="18">
        <f>Z243/7.4/H243</f>
        <v>0.0300367048533308</v>
      </c>
      <c r="AG243" s="18">
        <v>0.15</v>
      </c>
      <c r="AH243" s="18">
        <f>N243</f>
        <v>0.133362969548789</v>
      </c>
      <c r="AI243" s="18">
        <v>0.02</v>
      </c>
      <c r="AJ243" s="18">
        <f>M243</f>
        <v>0.05</v>
      </c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</row>
    <row r="244" spans="1:75">
      <c r="A244" s="208" t="s">
        <v>562</v>
      </c>
      <c r="B244" s="14">
        <v>9</v>
      </c>
      <c r="C244" s="20" t="s">
        <v>517</v>
      </c>
      <c r="D244" s="20" t="s">
        <v>300</v>
      </c>
      <c r="E244" s="20" t="s">
        <v>507</v>
      </c>
      <c r="F244" s="193">
        <f>IF(E244="有",(I244/B244+J244+Z244/B244)/(0.99999-K244-L244-M244-N244),(I244/B244+J244+Z244/B244)/(0.99999-K244-M244-N244))</f>
        <v>26.7043508306655</v>
      </c>
      <c r="G244" s="193">
        <f>IF(E244="有",(I244/B244+J244+Z244/B244)/(0.8-K244-L244-M244-N244-O244-P244),(I244/B244+J244+Z244/B244)/(0.8-K244-M244-N244-O244-P244))</f>
        <v>52.1974896431393</v>
      </c>
      <c r="H244" s="198">
        <f>H243*0.85</f>
        <v>38.2415</v>
      </c>
      <c r="I244" s="193">
        <f>90/1.13</f>
        <v>79.646017699115</v>
      </c>
      <c r="J244" s="20">
        <v>2.94</v>
      </c>
      <c r="K244" s="18">
        <v>0.15</v>
      </c>
      <c r="L244" s="18">
        <v>0.16</v>
      </c>
      <c r="M244" s="18">
        <v>0.05</v>
      </c>
      <c r="N244" s="18">
        <f>Q244/H244</f>
        <v>0.156897611233869</v>
      </c>
      <c r="O244" s="195">
        <f>0.61/H244</f>
        <v>0.01595125714211</v>
      </c>
      <c r="P244" s="18">
        <v>0.02</v>
      </c>
      <c r="Q244" s="193">
        <v>6</v>
      </c>
      <c r="R244" s="14">
        <v>33.5</v>
      </c>
      <c r="S244" s="14">
        <v>26.5</v>
      </c>
      <c r="T244" s="14">
        <v>25</v>
      </c>
      <c r="U244" s="14">
        <v>2.3</v>
      </c>
      <c r="V244" s="193">
        <f>R244*S244*T244/6000</f>
        <v>3.69895833333333</v>
      </c>
      <c r="W244" s="193">
        <f>MAX(U244:V244)</f>
        <v>3.69895833333333</v>
      </c>
      <c r="X244" s="20" t="s">
        <v>21</v>
      </c>
      <c r="Y244" s="196">
        <v>6.084</v>
      </c>
      <c r="Z244" s="193">
        <v>10</v>
      </c>
      <c r="AA244" s="193">
        <f>H244-SUM(K244:P244)*H244-J244-I244/B244-Z244/B244</f>
        <v>4.199061366765</v>
      </c>
      <c r="AB244" s="195">
        <f>AA244/H244</f>
        <v>0.109803782978309</v>
      </c>
      <c r="AC244" s="14"/>
      <c r="AD244" s="17">
        <f>J244/H244</f>
        <v>0.0768798295045958</v>
      </c>
      <c r="AE244" s="18">
        <f>I244/7.4/H244</f>
        <v>0.281447520749586</v>
      </c>
      <c r="AF244" s="18">
        <f>Z244/7.4/H244</f>
        <v>0.035337299827448</v>
      </c>
      <c r="AG244" s="18">
        <v>0.15</v>
      </c>
      <c r="AH244" s="18">
        <f>N244</f>
        <v>0.156897611233869</v>
      </c>
      <c r="AI244" s="18">
        <v>0.02</v>
      </c>
      <c r="AJ244" s="18">
        <f>M244</f>
        <v>0.05</v>
      </c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</row>
    <row r="245" spans="1:75">
      <c r="F245" s="204"/>
      <c r="G245" s="204"/>
      <c r="I245" s="204"/>
      <c r="O245" s="71"/>
      <c r="Q245" s="15"/>
      <c r="V245" s="204"/>
      <c r="W245" s="204"/>
      <c r="Y245" s="205"/>
      <c r="Z245" s="204"/>
      <c r="AA245" s="204"/>
      <c r="AB245" s="71"/>
      <c r="AD245" s="206"/>
      <c r="AE245" s="15"/>
      <c r="AF245" s="15"/>
    </row>
    <row r="246" spans="1:75">
      <c r="A246" s="207" t="s">
        <v>563</v>
      </c>
      <c r="B246" s="20">
        <v>8</v>
      </c>
      <c r="C246" s="20" t="s">
        <v>506</v>
      </c>
      <c r="D246" s="20" t="s">
        <v>277</v>
      </c>
      <c r="E246" s="20" t="s">
        <v>507</v>
      </c>
      <c r="F246" s="193">
        <f>IF(E246="有",(I246/B246+J246+Z246/B246)/(0.99999-K246-L246-M246-N246),(I246/B246+J246+Z246/B246)/(0.99999-K246-M246-N246))</f>
        <v>27.3700006769185</v>
      </c>
      <c r="G246" s="193">
        <f>IF(E246="有",(I246/B246+J246+Z246/B246)/(0.8-K246-L246-M246-N246-O246-P246),(I246/B246+J246+Z246/B246)/(0.8-K246-M246-N246-O246-P246))</f>
        <v>52.64838304306</v>
      </c>
      <c r="H246" s="198">
        <v>39.99</v>
      </c>
      <c r="I246" s="193">
        <v>67</v>
      </c>
      <c r="J246" s="20">
        <v>3.41</v>
      </c>
      <c r="K246" s="18">
        <v>0.15</v>
      </c>
      <c r="L246" s="18">
        <v>0.16</v>
      </c>
      <c r="M246" s="18">
        <v>0.05</v>
      </c>
      <c r="N246" s="18">
        <f>Q246/H246</f>
        <v>0.150037509377344</v>
      </c>
      <c r="O246" s="195">
        <f>0.61/H246</f>
        <v>0.0152538134533633</v>
      </c>
      <c r="P246" s="18">
        <v>0.02</v>
      </c>
      <c r="Q246" s="193">
        <v>6</v>
      </c>
      <c r="R246" s="14">
        <v>33.5</v>
      </c>
      <c r="S246" s="14">
        <v>26.5</v>
      </c>
      <c r="T246" s="14">
        <v>25</v>
      </c>
      <c r="U246" s="14">
        <v>2.3</v>
      </c>
      <c r="V246" s="193">
        <f>R246*S246*T246/6000</f>
        <v>3.69895833333333</v>
      </c>
      <c r="W246" s="193">
        <f>MAX(U246:V246)</f>
        <v>3.69895833333333</v>
      </c>
      <c r="X246" s="14" t="s">
        <v>21</v>
      </c>
      <c r="Y246" s="196">
        <v>5.55136</v>
      </c>
      <c r="Z246" s="193">
        <v>13</v>
      </c>
      <c r="AA246" s="193">
        <f>H246-SUM(K246:P246)*H246-J246-I246/B246-Z246/B246</f>
        <v>4.7738</v>
      </c>
      <c r="AB246" s="195">
        <f>AA246/H246</f>
        <v>0.119374843710928</v>
      </c>
      <c r="AC246" s="14"/>
      <c r="AD246" s="17">
        <f>J246/H246</f>
        <v>0.0852713178294574</v>
      </c>
      <c r="AE246" s="18">
        <f>I246/7.4/H246</f>
        <v>0.226407953339686</v>
      </c>
      <c r="AF246" s="18">
        <f>Z246/7.4/H246</f>
        <v>0.0439299013942675</v>
      </c>
      <c r="AG246" s="18">
        <v>0.15</v>
      </c>
      <c r="AH246" s="18">
        <f>N246</f>
        <v>0.150037509377344</v>
      </c>
      <c r="AI246" s="18">
        <v>0.02</v>
      </c>
      <c r="AJ246" s="18">
        <f>M246</f>
        <v>0.05</v>
      </c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</row>
    <row r="247" spans="1:75">
      <c r="A247" s="207" t="s">
        <v>564</v>
      </c>
      <c r="B247" s="20">
        <v>8</v>
      </c>
      <c r="C247" s="20" t="s">
        <v>506</v>
      </c>
      <c r="D247" s="20" t="s">
        <v>277</v>
      </c>
      <c r="E247" s="20" t="s">
        <v>507</v>
      </c>
      <c r="F247" s="193">
        <f>IF(E247="有",(I247/B247+J247+Z247/B247)/(0.99999-K247-L247-M247-N247),(I247/B247+J247+Z247/B247)/(0.99999-K247-M247-N247))</f>
        <v>28.9335817667041</v>
      </c>
      <c r="G247" s="193">
        <f>IF(E247="有",(I247/B247+J247+Z247/B247)/(0.8-K247-L247-M247-N247-O247-P247),(I247/B247+J247+Z247/B247)/(0.8-K247-M247-N247-O247-P247))</f>
        <v>59.4574025980802</v>
      </c>
      <c r="H247" s="198">
        <f>H246*0.85</f>
        <v>33.9915</v>
      </c>
      <c r="I247" s="193">
        <v>67</v>
      </c>
      <c r="J247" s="20">
        <v>3.41</v>
      </c>
      <c r="K247" s="18">
        <v>0.15</v>
      </c>
      <c r="L247" s="18">
        <v>0.16</v>
      </c>
      <c r="M247" s="18">
        <v>0.05</v>
      </c>
      <c r="N247" s="18">
        <f>Q247/H247</f>
        <v>0.176514716914523</v>
      </c>
      <c r="O247" s="195">
        <f>0.61/H247</f>
        <v>0.0179456628863098</v>
      </c>
      <c r="P247" s="18">
        <v>0.02</v>
      </c>
      <c r="Q247" s="193">
        <v>6</v>
      </c>
      <c r="R247" s="14">
        <v>33.5</v>
      </c>
      <c r="S247" s="14">
        <v>26.5</v>
      </c>
      <c r="T247" s="14">
        <v>25</v>
      </c>
      <c r="U247" s="14">
        <v>2.3</v>
      </c>
      <c r="V247" s="193">
        <f>R247*S247*T247/6000</f>
        <v>3.69895833333333</v>
      </c>
      <c r="W247" s="193">
        <f>MAX(U247:V247)</f>
        <v>3.69895833333333</v>
      </c>
      <c r="X247" s="20" t="s">
        <v>21</v>
      </c>
      <c r="Y247" s="196">
        <v>5.55136</v>
      </c>
      <c r="Z247" s="193">
        <v>13</v>
      </c>
      <c r="AA247" s="193">
        <f>H247-SUM(K247:P247)*H247-J247-I247/B247-Z247/B247</f>
        <v>1.05473</v>
      </c>
      <c r="AB247" s="195">
        <f>AA247/H247</f>
        <v>0.0310292278952091</v>
      </c>
      <c r="AC247" s="14"/>
      <c r="AD247" s="17">
        <f>J247/H247</f>
        <v>0.10031919744642</v>
      </c>
      <c r="AE247" s="18">
        <f>I247/B247/H247</f>
        <v>0.246385125693188</v>
      </c>
      <c r="AF247" s="18">
        <f>Z247/B247/H247</f>
        <v>0.0478060691643499</v>
      </c>
      <c r="AG247" s="18">
        <f>K247</f>
        <v>0.15</v>
      </c>
      <c r="AH247" s="18">
        <f>N247</f>
        <v>0.176514716914523</v>
      </c>
      <c r="AI247" s="18">
        <v>0.02</v>
      </c>
      <c r="AJ247" s="18">
        <f>M247</f>
        <v>0.05</v>
      </c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</row>
    <row r="248" spans="1:75">
      <c r="A248" s="207"/>
      <c r="B248" s="14"/>
      <c r="C248" s="14"/>
      <c r="D248" s="14"/>
      <c r="E248" s="14"/>
      <c r="F248" s="193"/>
      <c r="G248" s="193"/>
      <c r="H248" s="198"/>
      <c r="I248" s="193"/>
      <c r="J248" s="20"/>
      <c r="K248" s="18"/>
      <c r="L248" s="18"/>
      <c r="M248" s="18"/>
      <c r="N248" s="18"/>
      <c r="O248" s="195"/>
      <c r="P248" s="18"/>
      <c r="Q248" s="193"/>
      <c r="R248" s="14"/>
      <c r="S248" s="14"/>
      <c r="T248" s="14"/>
      <c r="U248" s="14"/>
      <c r="V248" s="193"/>
      <c r="W248" s="193"/>
      <c r="X248" s="20"/>
      <c r="Y248" s="196"/>
      <c r="Z248" s="20"/>
      <c r="AA248" s="193"/>
      <c r="AB248" s="195"/>
      <c r="AC248" s="14"/>
      <c r="AD248" s="17"/>
      <c r="AE248" s="18"/>
      <c r="AF248" s="18"/>
      <c r="AG248" s="18"/>
      <c r="AH248" s="18"/>
      <c r="AI248" s="18"/>
      <c r="AJ248" s="18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</row>
    <row r="249" spans="1:75">
      <c r="A249" s="207" t="s">
        <v>563</v>
      </c>
      <c r="B249" s="20">
        <v>8</v>
      </c>
      <c r="C249" s="14" t="s">
        <v>510</v>
      </c>
      <c r="D249" s="14" t="s">
        <v>511</v>
      </c>
      <c r="E249" s="20" t="s">
        <v>507</v>
      </c>
      <c r="F249" s="193">
        <f>IF(E249="有",(I249/B249+J249+Z249/B249)/(0.99999-K249-L249-M249-N249),(I249/B249+J249+Z249/B249)/(0.99999-K249-M249-N249))</f>
        <v>32.2276145181613</v>
      </c>
      <c r="G249" s="193">
        <f>IF(E249="有",(I249/B249+J249+Z249/B249)/(0.8-K249-L249-M249-N249-O249-P249),(I249/B249+J249+Z249/B249)/(0.8-K249-M249-N249-O249-P249))</f>
        <v>61.9923913683756</v>
      </c>
      <c r="H249" s="198">
        <v>39.99</v>
      </c>
      <c r="I249" s="193">
        <v>67</v>
      </c>
      <c r="J249" s="20">
        <v>5.79</v>
      </c>
      <c r="K249" s="18">
        <v>0.15</v>
      </c>
      <c r="L249" s="18">
        <v>0.16</v>
      </c>
      <c r="M249" s="18">
        <v>0.05</v>
      </c>
      <c r="N249" s="18">
        <f>Q249/H249</f>
        <v>0.150037509377344</v>
      </c>
      <c r="O249" s="195">
        <f>0.61/H249</f>
        <v>0.0152538134533633</v>
      </c>
      <c r="P249" s="18">
        <v>0.02</v>
      </c>
      <c r="Q249" s="193">
        <v>6</v>
      </c>
      <c r="R249" s="14">
        <v>33.5</v>
      </c>
      <c r="S249" s="14">
        <v>26.5</v>
      </c>
      <c r="T249" s="14">
        <v>25</v>
      </c>
      <c r="U249" s="14">
        <v>2.3</v>
      </c>
      <c r="V249" s="193">
        <f>R249*S249*T249/6000</f>
        <v>3.69895833333333</v>
      </c>
      <c r="W249" s="193">
        <f>MAX(U249:V249)</f>
        <v>3.69895833333333</v>
      </c>
      <c r="X249" s="14" t="s">
        <v>21</v>
      </c>
      <c r="Y249" s="196">
        <v>5.55136</v>
      </c>
      <c r="Z249" s="193">
        <v>13</v>
      </c>
      <c r="AA249" s="193">
        <f>H249-SUM(K249:P249)*H249-J249-I249/B249-Z249/B249</f>
        <v>2.3938</v>
      </c>
      <c r="AB249" s="195">
        <f>AA249/H249</f>
        <v>0.0598599649912479</v>
      </c>
      <c r="AC249" s="14"/>
      <c r="AD249" s="17">
        <f>J249/H249</f>
        <v>0.144786196549137</v>
      </c>
      <c r="AE249" s="18">
        <f>I249/7.4/H249</f>
        <v>0.226407953339686</v>
      </c>
      <c r="AF249" s="18">
        <f>Z249/7.4/H249</f>
        <v>0.0439299013942675</v>
      </c>
      <c r="AG249" s="18">
        <v>0.15</v>
      </c>
      <c r="AH249" s="18">
        <f>N249</f>
        <v>0.150037509377344</v>
      </c>
      <c r="AI249" s="18">
        <v>0.02</v>
      </c>
      <c r="AJ249" s="18">
        <f>M249</f>
        <v>0.05</v>
      </c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</row>
    <row r="250" spans="1:75">
      <c r="A250" s="207" t="s">
        <v>564</v>
      </c>
      <c r="B250" s="20">
        <v>8</v>
      </c>
      <c r="C250" s="20" t="s">
        <v>510</v>
      </c>
      <c r="D250" s="20" t="s">
        <v>511</v>
      </c>
      <c r="E250" s="20" t="s">
        <v>507</v>
      </c>
      <c r="F250" s="193">
        <f>IF(E250="有",(I250/B250+J250+Z250/B250)/(0.99999-K250-L250-M250-N250),(I250/B250+J250+Z250/B250)/(0.99999-K250-M250-N250))</f>
        <v>34.0686991868947</v>
      </c>
      <c r="G250" s="193">
        <f>IF(E250="有",(I250/B250+J250+Z250/B250)/(0.8-K250-L250-M250-N250-O250-P250),(I250/B250+J250+Z250/B250)/(0.8-K250-M250-N250-O250-P250))</f>
        <v>70.0098722612741</v>
      </c>
      <c r="H250" s="198">
        <f>H249*0.85</f>
        <v>33.9915</v>
      </c>
      <c r="I250" s="193">
        <v>67</v>
      </c>
      <c r="J250" s="20">
        <v>5.79</v>
      </c>
      <c r="K250" s="18">
        <v>0.15</v>
      </c>
      <c r="L250" s="18">
        <v>0.16</v>
      </c>
      <c r="M250" s="18">
        <v>0.05</v>
      </c>
      <c r="N250" s="18">
        <f>Q250/H250</f>
        <v>0.176514716914523</v>
      </c>
      <c r="O250" s="195">
        <f>0.61/H250</f>
        <v>0.0179456628863098</v>
      </c>
      <c r="P250" s="18">
        <v>0.02</v>
      </c>
      <c r="Q250" s="193">
        <v>6</v>
      </c>
      <c r="R250" s="14">
        <v>33.5</v>
      </c>
      <c r="S250" s="14">
        <v>26.5</v>
      </c>
      <c r="T250" s="14">
        <v>25</v>
      </c>
      <c r="U250" s="14">
        <v>2.3</v>
      </c>
      <c r="V250" s="193">
        <f>R250*S250*T250/6000</f>
        <v>3.69895833333333</v>
      </c>
      <c r="W250" s="193">
        <f>MAX(U250:V250)</f>
        <v>3.69895833333333</v>
      </c>
      <c r="X250" s="20" t="s">
        <v>21</v>
      </c>
      <c r="Y250" s="196">
        <v>5.55136</v>
      </c>
      <c r="Z250" s="193">
        <v>13</v>
      </c>
      <c r="AA250" s="193">
        <f>H250-SUM(K250:P250)*H250-J250-I250/B250-Z250/B250</f>
        <v>-1.32527</v>
      </c>
      <c r="AB250" s="195">
        <f>AA250/H250</f>
        <v>-0.0389882764808849</v>
      </c>
      <c r="AC250" s="14"/>
      <c r="AD250" s="17">
        <f>J250/H250</f>
        <v>0.170336701822514</v>
      </c>
      <c r="AE250" s="18">
        <f>I250/7.4/H250</f>
        <v>0.26636229804669</v>
      </c>
      <c r="AF250" s="18">
        <f>Z250/7.4/H250</f>
        <v>0.0516822369344323</v>
      </c>
      <c r="AG250" s="18">
        <v>0.15</v>
      </c>
      <c r="AH250" s="18">
        <f>N250</f>
        <v>0.176514716914523</v>
      </c>
      <c r="AI250" s="18">
        <v>0.02</v>
      </c>
      <c r="AJ250" s="18">
        <f>M250</f>
        <v>0.05</v>
      </c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</row>
    <row r="251" spans="1:75">
      <c r="A251" s="207"/>
      <c r="B251" s="14"/>
      <c r="C251" s="14"/>
      <c r="D251" s="14"/>
      <c r="E251" s="14"/>
      <c r="F251" s="193"/>
      <c r="G251" s="193"/>
      <c r="H251" s="198"/>
      <c r="I251" s="193"/>
      <c r="J251" s="20"/>
      <c r="K251" s="18"/>
      <c r="L251" s="18"/>
      <c r="M251" s="18"/>
      <c r="N251" s="18"/>
      <c r="O251" s="195"/>
      <c r="P251" s="18"/>
      <c r="Q251" s="18"/>
      <c r="R251" s="14"/>
      <c r="S251" s="14"/>
      <c r="T251" s="14"/>
      <c r="U251" s="14"/>
      <c r="V251" s="193"/>
      <c r="W251" s="193"/>
      <c r="X251" s="20"/>
      <c r="Y251" s="196"/>
      <c r="Z251" s="20"/>
      <c r="AA251" s="193"/>
      <c r="AB251" s="195"/>
      <c r="AC251" s="14"/>
      <c r="AD251" s="17"/>
      <c r="AE251" s="18"/>
      <c r="AF251" s="18"/>
      <c r="AG251" s="18"/>
      <c r="AH251" s="18"/>
      <c r="AI251" s="18"/>
      <c r="AJ251" s="18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</row>
    <row r="252" spans="1:75">
      <c r="A252" s="207" t="s">
        <v>563</v>
      </c>
      <c r="B252" s="20">
        <v>8</v>
      </c>
      <c r="C252" s="14" t="s">
        <v>512</v>
      </c>
      <c r="D252" s="14" t="s">
        <v>513</v>
      </c>
      <c r="E252" s="20" t="s">
        <v>507</v>
      </c>
      <c r="F252" s="193">
        <f>IF(E252="有",(I252/B252+J252+Z252/B252)/(0.99999-K252-L252-M252-N252),(I252/B252+J252+Z252/B252)/(0.99999-K252-M252-N252))</f>
        <v>30.5131625741933</v>
      </c>
      <c r="G252" s="193">
        <f>IF(E252="有",(I252/B252+J252+Z252/B252)/(0.8-K252-L252-M252-N252-O252-P252),(I252/B252+J252+Z252/B252)/(0.8-K252-M252-N252-O252-P252))</f>
        <v>58.6945060770877</v>
      </c>
      <c r="H252" s="198">
        <v>39.99</v>
      </c>
      <c r="I252" s="193">
        <v>67</v>
      </c>
      <c r="J252" s="20">
        <v>4.95</v>
      </c>
      <c r="K252" s="18">
        <v>0.15</v>
      </c>
      <c r="L252" s="18">
        <v>0.16</v>
      </c>
      <c r="M252" s="18">
        <v>0.05</v>
      </c>
      <c r="N252" s="18">
        <f>Q252/H252</f>
        <v>0.150037509377344</v>
      </c>
      <c r="O252" s="195">
        <f>0.61/H252</f>
        <v>0.0152538134533633</v>
      </c>
      <c r="P252" s="18">
        <v>0.02</v>
      </c>
      <c r="Q252" s="193">
        <v>6</v>
      </c>
      <c r="R252" s="14">
        <v>33.5</v>
      </c>
      <c r="S252" s="14">
        <v>26.5</v>
      </c>
      <c r="T252" s="14">
        <v>25</v>
      </c>
      <c r="U252" s="14">
        <v>2.3</v>
      </c>
      <c r="V252" s="193">
        <f>R252*S252*T252/6000</f>
        <v>3.69895833333333</v>
      </c>
      <c r="W252" s="193">
        <f>MAX(U252:V252)</f>
        <v>3.69895833333333</v>
      </c>
      <c r="X252" s="14" t="s">
        <v>21</v>
      </c>
      <c r="Y252" s="196">
        <v>5.55136</v>
      </c>
      <c r="Z252" s="193">
        <v>13</v>
      </c>
      <c r="AA252" s="193">
        <f>H252-SUM(K252:P252)*H252-J252-I252/B252-Z252/B252</f>
        <v>3.2338</v>
      </c>
      <c r="AB252" s="195">
        <f>AA252/H252</f>
        <v>0.0808652163040761</v>
      </c>
      <c r="AC252" s="14"/>
      <c r="AD252" s="17">
        <f>J252/H252</f>
        <v>0.123780945236309</v>
      </c>
      <c r="AE252" s="18">
        <f>I252/7.4/H252</f>
        <v>0.226407953339686</v>
      </c>
      <c r="AF252" s="18">
        <f>Z252/7.4/H252</f>
        <v>0.0439299013942675</v>
      </c>
      <c r="AG252" s="18">
        <v>0.15</v>
      </c>
      <c r="AH252" s="18">
        <f>N252</f>
        <v>0.150037509377344</v>
      </c>
      <c r="AI252" s="18">
        <v>0.02</v>
      </c>
      <c r="AJ252" s="18">
        <f>M252</f>
        <v>0.05</v>
      </c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</row>
    <row r="253" spans="1:75">
      <c r="A253" s="207" t="s">
        <v>564</v>
      </c>
      <c r="B253" s="20">
        <v>8</v>
      </c>
      <c r="C253" s="20" t="s">
        <v>512</v>
      </c>
      <c r="D253" s="20" t="s">
        <v>513</v>
      </c>
      <c r="E253" s="20" t="s">
        <v>507</v>
      </c>
      <c r="F253" s="193">
        <f>IF(E253="有",(I253/B253+J253+Z253/B253)/(0.99999-K253-L253-M253-N253),(I253/B253+J253+Z253/B253)/(0.99999-K253-M253-N253))</f>
        <v>32.256304803298</v>
      </c>
      <c r="G253" s="193">
        <f>IF(E253="有",(I253/B253+J253+Z253/B253)/(0.8-K253-L253-M253-N253-O253-P253),(I253/B253+J253+Z253/B253)/(0.8-K253-M253-N253-O253-P253))</f>
        <v>66.2854712036763</v>
      </c>
      <c r="H253" s="198">
        <f>H252*0.85</f>
        <v>33.9915</v>
      </c>
      <c r="I253" s="193">
        <v>67</v>
      </c>
      <c r="J253" s="20">
        <v>4.95</v>
      </c>
      <c r="K253" s="18">
        <v>0.15</v>
      </c>
      <c r="L253" s="18">
        <v>0.16</v>
      </c>
      <c r="M253" s="18">
        <v>0.05</v>
      </c>
      <c r="N253" s="18">
        <f>Q253/H253</f>
        <v>0.176514716914523</v>
      </c>
      <c r="O253" s="195">
        <f>0.61/H253</f>
        <v>0.0179456628863098</v>
      </c>
      <c r="P253" s="18">
        <v>0.02</v>
      </c>
      <c r="Q253" s="193">
        <v>6</v>
      </c>
      <c r="R253" s="14">
        <v>33.5</v>
      </c>
      <c r="S253" s="14">
        <v>26.5</v>
      </c>
      <c r="T253" s="14">
        <v>25</v>
      </c>
      <c r="U253" s="14">
        <v>2.3</v>
      </c>
      <c r="V253" s="193">
        <f>R253*S253*T253/6000</f>
        <v>3.69895833333333</v>
      </c>
      <c r="W253" s="193">
        <f>MAX(U253:V253)</f>
        <v>3.69895833333333</v>
      </c>
      <c r="X253" s="20" t="s">
        <v>21</v>
      </c>
      <c r="Y253" s="196">
        <v>5.55136</v>
      </c>
      <c r="Z253" s="193">
        <v>13</v>
      </c>
      <c r="AA253" s="193">
        <f>H253-SUM(K253:P253)*H253-J253-I253/B253-Z253/B253</f>
        <v>-0.48527</v>
      </c>
      <c r="AB253" s="195">
        <f>AA253/H253</f>
        <v>-0.0142762161128517</v>
      </c>
      <c r="AC253" s="14"/>
      <c r="AD253" s="17">
        <f>J253/H253</f>
        <v>0.145624641454481</v>
      </c>
      <c r="AE253" s="18">
        <f>I253/7.4/H253</f>
        <v>0.26636229804669</v>
      </c>
      <c r="AF253" s="18">
        <f>Z253/7.4/H253</f>
        <v>0.0516822369344323</v>
      </c>
      <c r="AG253" s="18">
        <v>0.15</v>
      </c>
      <c r="AH253" s="18">
        <f>N253</f>
        <v>0.176514716914523</v>
      </c>
      <c r="AI253" s="18">
        <v>0.02</v>
      </c>
      <c r="AJ253" s="18">
        <f>M253</f>
        <v>0.05</v>
      </c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</row>
    <row r="254" spans="1:75">
      <c r="A254" s="207"/>
      <c r="B254" s="14"/>
      <c r="C254" s="14"/>
      <c r="D254" s="14"/>
      <c r="E254" s="14"/>
      <c r="F254" s="193"/>
      <c r="G254" s="193"/>
      <c r="H254" s="198"/>
      <c r="I254" s="193"/>
      <c r="J254" s="20"/>
      <c r="K254" s="18"/>
      <c r="L254" s="18"/>
      <c r="M254" s="18"/>
      <c r="N254" s="18"/>
      <c r="O254" s="195"/>
      <c r="P254" s="18"/>
      <c r="Q254" s="18"/>
      <c r="R254" s="14"/>
      <c r="S254" s="14"/>
      <c r="T254" s="14"/>
      <c r="U254" s="14"/>
      <c r="V254" s="193"/>
      <c r="W254" s="193"/>
      <c r="X254" s="20"/>
      <c r="Y254" s="196"/>
      <c r="Z254" s="20"/>
      <c r="AA254" s="193"/>
      <c r="AB254" s="195"/>
      <c r="AC254" s="14"/>
      <c r="AD254" s="17"/>
      <c r="AE254" s="18"/>
      <c r="AF254" s="18"/>
      <c r="AG254" s="18"/>
      <c r="AH254" s="18"/>
      <c r="AI254" s="18"/>
      <c r="AJ254" s="18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</row>
    <row r="255" spans="1:75">
      <c r="A255" s="207" t="s">
        <v>563</v>
      </c>
      <c r="B255" s="20">
        <v>8</v>
      </c>
      <c r="C255" s="14" t="s">
        <v>515</v>
      </c>
      <c r="D255" s="14" t="s">
        <v>516</v>
      </c>
      <c r="E255" s="20" t="s">
        <v>507</v>
      </c>
      <c r="F255" s="193">
        <f>IF(E255="有",(I255/B255+J255+Z255/B255)/(0.99999-K255-L255-M255-N255),(I255/B255+J255+Z255/B255)/(0.99999-K255-M255-N255))</f>
        <v>28.4721483551837</v>
      </c>
      <c r="G255" s="193">
        <f>IF(E255="有",(I255/B255+J255+Z255/B255)/(0.8-K255-L255-M255-N255-O255-P255),(I255/B255+J255+Z255/B255)/(0.8-K255-M255-N255-O255-P255))</f>
        <v>54.7684521588879</v>
      </c>
      <c r="H255" s="198">
        <v>39.99</v>
      </c>
      <c r="I255" s="193">
        <v>67</v>
      </c>
      <c r="J255" s="20">
        <v>3.95</v>
      </c>
      <c r="K255" s="18">
        <v>0.15</v>
      </c>
      <c r="L255" s="18">
        <v>0.16</v>
      </c>
      <c r="M255" s="18">
        <v>0.05</v>
      </c>
      <c r="N255" s="18">
        <f>Q255/H255</f>
        <v>0.150037509377344</v>
      </c>
      <c r="O255" s="195">
        <f>0.61/H255</f>
        <v>0.0152538134533633</v>
      </c>
      <c r="P255" s="18">
        <v>0.02</v>
      </c>
      <c r="Q255" s="193">
        <v>6</v>
      </c>
      <c r="R255" s="14">
        <v>33.5</v>
      </c>
      <c r="S255" s="14">
        <v>26.5</v>
      </c>
      <c r="T255" s="14">
        <v>25</v>
      </c>
      <c r="U255" s="14">
        <v>2.3</v>
      </c>
      <c r="V255" s="193">
        <f>R255*S255*T255/6000</f>
        <v>3.69895833333333</v>
      </c>
      <c r="W255" s="193">
        <f>MAX(U255:V255)</f>
        <v>3.69895833333333</v>
      </c>
      <c r="X255" s="14" t="s">
        <v>21</v>
      </c>
      <c r="Y255" s="196">
        <v>5.55136</v>
      </c>
      <c r="Z255" s="193">
        <v>13</v>
      </c>
      <c r="AA255" s="193">
        <f>H255-SUM(K255:P255)*H255-J255-I255/B255-Z255/B255</f>
        <v>4.2338</v>
      </c>
      <c r="AB255" s="195">
        <f>AA255/H255</f>
        <v>0.105871467866967</v>
      </c>
      <c r="AC255" s="14"/>
      <c r="AD255" s="17">
        <f>J255/H255</f>
        <v>0.0987746936734184</v>
      </c>
      <c r="AE255" s="18">
        <f>I255/7.4/H255</f>
        <v>0.226407953339686</v>
      </c>
      <c r="AF255" s="18">
        <f>Z255/7.4/H255</f>
        <v>0.0439299013942675</v>
      </c>
      <c r="AG255" s="18">
        <v>0.15</v>
      </c>
      <c r="AH255" s="18">
        <f>N255</f>
        <v>0.150037509377344</v>
      </c>
      <c r="AI255" s="18">
        <v>0.02</v>
      </c>
      <c r="AJ255" s="18">
        <f>M255</f>
        <v>0.05</v>
      </c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</row>
    <row r="256" spans="1:75">
      <c r="A256" s="207" t="s">
        <v>564</v>
      </c>
      <c r="B256" s="20">
        <v>8</v>
      </c>
      <c r="C256" s="20" t="s">
        <v>515</v>
      </c>
      <c r="D256" s="20" t="s">
        <v>516</v>
      </c>
      <c r="E256" s="20" t="s">
        <v>507</v>
      </c>
      <c r="F256" s="193">
        <f>IF(E256="有",(I256/B256+J256+Z256/B256)/(0.99999-K256-L256-M256-N256),(I256/B256+J256+Z256/B256)/(0.99999-K256-M256-N256))</f>
        <v>30.0986924418734</v>
      </c>
      <c r="G256" s="193">
        <f>IF(E256="有",(I256/B256+J256+Z256/B256)/(0.8-K256-L256-M256-N256-O256-P256),(I256/B256+J256+Z256/B256)/(0.8-K256-M256-N256-O256-P256))</f>
        <v>61.8516604208217</v>
      </c>
      <c r="H256" s="198">
        <f>H255*0.85</f>
        <v>33.9915</v>
      </c>
      <c r="I256" s="193">
        <v>67</v>
      </c>
      <c r="J256" s="20">
        <v>3.95</v>
      </c>
      <c r="K256" s="18">
        <v>0.15</v>
      </c>
      <c r="L256" s="18">
        <v>0.16</v>
      </c>
      <c r="M256" s="18">
        <v>0.05</v>
      </c>
      <c r="N256" s="18">
        <f>Q256/H256</f>
        <v>0.176514716914523</v>
      </c>
      <c r="O256" s="195">
        <f>0.61/H256</f>
        <v>0.0179456628863098</v>
      </c>
      <c r="P256" s="18">
        <v>0.02</v>
      </c>
      <c r="Q256" s="193">
        <v>6</v>
      </c>
      <c r="R256" s="14">
        <v>33.5</v>
      </c>
      <c r="S256" s="14">
        <v>26.5</v>
      </c>
      <c r="T256" s="14">
        <v>25</v>
      </c>
      <c r="U256" s="14">
        <v>2.3</v>
      </c>
      <c r="V256" s="193">
        <f>R256*S256*T256/6000</f>
        <v>3.69895833333333</v>
      </c>
      <c r="W256" s="193">
        <f>MAX(U256:V256)</f>
        <v>3.69895833333333</v>
      </c>
      <c r="X256" s="20" t="s">
        <v>21</v>
      </c>
      <c r="Y256" s="196">
        <v>5.55136</v>
      </c>
      <c r="Z256" s="193">
        <v>13</v>
      </c>
      <c r="AA256" s="193">
        <f>H256-SUM(K256:P256)*H256-J256-I256/B256-Z256/B256</f>
        <v>0.51473</v>
      </c>
      <c r="AB256" s="195">
        <f>AA256/H256</f>
        <v>0.0151429033729021</v>
      </c>
      <c r="AC256" s="14"/>
      <c r="AD256" s="17">
        <f>J256/H256</f>
        <v>0.116205521968727</v>
      </c>
      <c r="AE256" s="18">
        <f>I256/7.4/H256</f>
        <v>0.26636229804669</v>
      </c>
      <c r="AF256" s="18">
        <f>Z256/7.4/H256</f>
        <v>0.0516822369344323</v>
      </c>
      <c r="AG256" s="18">
        <v>0.15</v>
      </c>
      <c r="AH256" s="18">
        <f>N256</f>
        <v>0.176514716914523</v>
      </c>
      <c r="AI256" s="18">
        <v>0.02</v>
      </c>
      <c r="AJ256" s="18">
        <f>M256</f>
        <v>0.05</v>
      </c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</row>
    <row r="257" spans="1:75">
      <c r="A257" s="207"/>
      <c r="B257" s="20"/>
      <c r="C257" s="20"/>
      <c r="D257" s="20"/>
      <c r="E257" s="20"/>
      <c r="F257" s="193"/>
      <c r="G257" s="193"/>
      <c r="H257" s="198"/>
      <c r="I257" s="193"/>
      <c r="J257" s="20"/>
      <c r="K257" s="18"/>
      <c r="L257" s="18"/>
      <c r="M257" s="18"/>
      <c r="N257" s="18"/>
      <c r="O257" s="195"/>
      <c r="P257" s="18"/>
      <c r="Q257" s="18"/>
      <c r="R257" s="14"/>
      <c r="S257" s="14"/>
      <c r="T257" s="14"/>
      <c r="U257" s="14"/>
      <c r="V257" s="193"/>
      <c r="W257" s="193"/>
      <c r="X257" s="20"/>
      <c r="Y257" s="196"/>
      <c r="Z257" s="20"/>
      <c r="AA257" s="193"/>
      <c r="AB257" s="195"/>
      <c r="AC257" s="14"/>
      <c r="AD257" s="17"/>
      <c r="AE257" s="18"/>
      <c r="AF257" s="18"/>
      <c r="AG257" s="18"/>
      <c r="AH257" s="18"/>
      <c r="AI257" s="18"/>
      <c r="AJ257" s="18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</row>
    <row r="258" spans="1:75">
      <c r="A258" s="207" t="s">
        <v>563</v>
      </c>
      <c r="B258" s="14">
        <v>9</v>
      </c>
      <c r="C258" s="20" t="s">
        <v>517</v>
      </c>
      <c r="D258" s="20" t="s">
        <v>300</v>
      </c>
      <c r="E258" s="20" t="s">
        <v>507</v>
      </c>
      <c r="F258" s="193">
        <f>IF(E258="有",(I258/B258+J258+Z258/B258)/(0.99999-K258-L258-M258-N258),(I258/B258+J258+Z258/B258)/(0.99999-K258-M258-N258))</f>
        <v>25.4612001693442</v>
      </c>
      <c r="G258" s="193">
        <f>IF(E258="有",(I258/B258+J258+Z258/B258)/(0.8-K258-L258-M258-N258-O258-P258),(I258/B258+J258+Z258/B258)/(0.8-K258-M258-N258-O258-P258))</f>
        <v>51.6203495290784</v>
      </c>
      <c r="H258" s="198">
        <v>34.99</v>
      </c>
      <c r="I258" s="193">
        <v>67</v>
      </c>
      <c r="J258" s="20">
        <v>3.04</v>
      </c>
      <c r="K258" s="18">
        <v>0.15</v>
      </c>
      <c r="L258" s="18">
        <v>0.16</v>
      </c>
      <c r="M258" s="18">
        <v>0.05</v>
      </c>
      <c r="N258" s="18">
        <f>Q258/H258</f>
        <v>0.171477565018577</v>
      </c>
      <c r="O258" s="195">
        <f>0.61/H258</f>
        <v>0.0174335524435553</v>
      </c>
      <c r="P258" s="18">
        <v>0.02</v>
      </c>
      <c r="Q258" s="193">
        <v>6</v>
      </c>
      <c r="R258" s="14">
        <v>33.5</v>
      </c>
      <c r="S258" s="14">
        <v>26.5</v>
      </c>
      <c r="T258" s="14">
        <v>25</v>
      </c>
      <c r="U258" s="14">
        <v>2.3</v>
      </c>
      <c r="V258" s="193">
        <f>R258*S258*T258/6000</f>
        <v>3.69895833333333</v>
      </c>
      <c r="W258" s="193">
        <f>MAX(U258:V258)</f>
        <v>3.69895833333333</v>
      </c>
      <c r="X258" s="20" t="s">
        <v>21</v>
      </c>
      <c r="Y258" s="196">
        <v>6.084</v>
      </c>
      <c r="Z258" s="193">
        <v>13</v>
      </c>
      <c r="AA258" s="193">
        <f>H258-SUM(K258:P258)*H258-J258-I258/B258-Z258/B258</f>
        <v>3.15491111111112</v>
      </c>
      <c r="AB258" s="195">
        <f>AA258/H258</f>
        <v>0.0901660791972311</v>
      </c>
      <c r="AC258" s="14"/>
      <c r="AD258" s="17">
        <f>J258/H258</f>
        <v>0.0868819662760789</v>
      </c>
      <c r="AE258" s="18">
        <f>I258/7.4/H258</f>
        <v>0.25876119045596</v>
      </c>
      <c r="AF258" s="18">
        <f>Z258/7.4/H258</f>
        <v>0.0502073951630968</v>
      </c>
      <c r="AG258" s="18">
        <v>0.15</v>
      </c>
      <c r="AH258" s="18">
        <f>N258</f>
        <v>0.171477565018577</v>
      </c>
      <c r="AI258" s="18">
        <v>0.02</v>
      </c>
      <c r="AJ258" s="18">
        <f>M258</f>
        <v>0.05</v>
      </c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</row>
    <row r="259" spans="1:75">
      <c r="A259" s="207" t="s">
        <v>564</v>
      </c>
      <c r="B259" s="14">
        <v>9</v>
      </c>
      <c r="C259" s="20" t="s">
        <v>517</v>
      </c>
      <c r="D259" s="20" t="s">
        <v>300</v>
      </c>
      <c r="E259" s="20" t="s">
        <v>507</v>
      </c>
      <c r="F259" s="193">
        <f>IF(E259="有",(I259/B259+J259+Z259/B259)/(0.99999-K259-L259-M259-N259),(I259/B259+J259+Z259/B259)/(0.99999-K259-M259-N259))</f>
        <v>27.2192651157096</v>
      </c>
      <c r="G259" s="193">
        <f>IF(E259="有",(I259/B259+J259+Z259/B259)/(0.8-K259-L259-M259-N259-O259-P259),(I259/B259+J259+Z259/B259)/(0.8-K259-M259-N259-O259-P259))</f>
        <v>60.3225829243719</v>
      </c>
      <c r="H259" s="198">
        <f>H258*0.85</f>
        <v>29.7415</v>
      </c>
      <c r="I259" s="193">
        <v>67</v>
      </c>
      <c r="J259" s="20">
        <v>3.04</v>
      </c>
      <c r="K259" s="18">
        <v>0.15</v>
      </c>
      <c r="L259" s="18">
        <v>0.16</v>
      </c>
      <c r="M259" s="18">
        <v>0.05</v>
      </c>
      <c r="N259" s="18">
        <f>Q259/H259</f>
        <v>0.201738311786561</v>
      </c>
      <c r="O259" s="195">
        <f>0.61/H259</f>
        <v>0.0205100616983004</v>
      </c>
      <c r="P259" s="18">
        <v>0.02</v>
      </c>
      <c r="Q259" s="193">
        <v>6</v>
      </c>
      <c r="R259" s="14">
        <v>33.5</v>
      </c>
      <c r="S259" s="14">
        <v>26.5</v>
      </c>
      <c r="T259" s="14">
        <v>25</v>
      </c>
      <c r="U259" s="14">
        <v>2.3</v>
      </c>
      <c r="V259" s="193">
        <f>R259*S259*T259/6000</f>
        <v>3.69895833333333</v>
      </c>
      <c r="W259" s="193">
        <f>MAX(U259:V259)</f>
        <v>3.69895833333333</v>
      </c>
      <c r="X259" s="20" t="s">
        <v>21</v>
      </c>
      <c r="Y259" s="196">
        <v>6.084</v>
      </c>
      <c r="Z259" s="193">
        <v>13</v>
      </c>
      <c r="AA259" s="193">
        <f>H259-SUM(K259:P259)*H259-J259-I259/B259-Z259/B259</f>
        <v>-0.0991588888888904</v>
      </c>
      <c r="AB259" s="195">
        <f>AA259/H259</f>
        <v>-0.00333402447384598</v>
      </c>
      <c r="AC259" s="14"/>
      <c r="AD259" s="17">
        <f>J259/H259</f>
        <v>0.102214077971857</v>
      </c>
      <c r="AE259" s="18">
        <f>I259/7.4/H259</f>
        <v>0.304424929948189</v>
      </c>
      <c r="AF259" s="18">
        <f>Z259/7.4/H259</f>
        <v>0.0590675237212903</v>
      </c>
      <c r="AG259" s="18">
        <v>0.15</v>
      </c>
      <c r="AH259" s="18">
        <f>N259</f>
        <v>0.201738311786561</v>
      </c>
      <c r="AI259" s="18">
        <v>0.02</v>
      </c>
      <c r="AJ259" s="18">
        <f>M259</f>
        <v>0.05</v>
      </c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</row>
    <row r="260" spans="1:75">
      <c r="F260" s="204"/>
      <c r="G260" s="204"/>
      <c r="I260" s="204"/>
      <c r="O260" s="71"/>
      <c r="Q260" s="15"/>
      <c r="V260" s="204"/>
      <c r="W260" s="204"/>
      <c r="Y260" s="205"/>
      <c r="Z260" s="204"/>
      <c r="AA260" s="204"/>
      <c r="AB260" s="71"/>
      <c r="AD260" s="206"/>
      <c r="AE260" s="15"/>
      <c r="AF260" s="15"/>
    </row>
    <row r="261" spans="1:75">
      <c r="A261" s="207" t="s">
        <v>565</v>
      </c>
      <c r="B261" s="20">
        <v>8</v>
      </c>
      <c r="C261" s="20" t="s">
        <v>506</v>
      </c>
      <c r="D261" s="20" t="s">
        <v>277</v>
      </c>
      <c r="E261" s="20" t="s">
        <v>507</v>
      </c>
      <c r="F261" s="193">
        <f>IF(E261="有",(I261/B261+J261+Z261/B261)/(0.99999-K261-L261-M261-N261),(I261/B261+J261+Z261/B261)/(0.99999-K261-M261-N261))</f>
        <v>39.6501063820884</v>
      </c>
      <c r="G261" s="193">
        <f>IF(E261="有",(I261/B261+J261+Z261/B261)/(0.8-K261-L261-M261-N261-O261-P261),(I261/B261+J261+Z261/B261)/(0.8-K261-M261-N261-O261-P261))</f>
        <v>69.1057635399068</v>
      </c>
      <c r="H261" s="198">
        <v>59.99</v>
      </c>
      <c r="I261" s="193">
        <v>130</v>
      </c>
      <c r="J261" s="20">
        <v>3.41</v>
      </c>
      <c r="K261" s="18">
        <v>0.15</v>
      </c>
      <c r="L261" s="18">
        <v>0.16</v>
      </c>
      <c r="M261" s="18">
        <v>0.05</v>
      </c>
      <c r="N261" s="18">
        <f>Q261/H261</f>
        <v>0.100016669444907</v>
      </c>
      <c r="O261" s="195">
        <f>0.61/H261</f>
        <v>0.0101683613935656</v>
      </c>
      <c r="P261" s="18">
        <v>0.02</v>
      </c>
      <c r="Q261" s="193">
        <v>6</v>
      </c>
      <c r="R261" s="14">
        <v>33.5</v>
      </c>
      <c r="S261" s="14">
        <v>26.5</v>
      </c>
      <c r="T261" s="14">
        <v>25</v>
      </c>
      <c r="U261" s="14">
        <v>2.3</v>
      </c>
      <c r="V261" s="193">
        <f>R261*S261*T261/6000</f>
        <v>3.69895833333333</v>
      </c>
      <c r="W261" s="193">
        <f>MAX(U261:V261)</f>
        <v>3.69895833333333</v>
      </c>
      <c r="X261" s="14" t="s">
        <v>21</v>
      </c>
      <c r="Y261" s="196">
        <v>5.55136</v>
      </c>
      <c r="Z261" s="193">
        <v>14</v>
      </c>
      <c r="AA261" s="193">
        <f>H261-SUM(K261:P261)*H261-J261-I261/B261-Z261/B261</f>
        <v>9.1738</v>
      </c>
      <c r="AB261" s="195">
        <f>AA261/H261</f>
        <v>0.152922153692282</v>
      </c>
      <c r="AC261" s="14"/>
      <c r="AD261" s="17">
        <f>J261/H261</f>
        <v>0.0568428071345224</v>
      </c>
      <c r="AE261" s="18">
        <f>I261/7.4/H261</f>
        <v>0.29284159972608</v>
      </c>
      <c r="AF261" s="18">
        <f>Z261/7.4/H261</f>
        <v>0.0315367876628087</v>
      </c>
      <c r="AG261" s="18">
        <v>0.15</v>
      </c>
      <c r="AH261" s="18">
        <f>N261</f>
        <v>0.100016669444907</v>
      </c>
      <c r="AI261" s="18">
        <v>0.02</v>
      </c>
      <c r="AJ261" s="18">
        <f>M261</f>
        <v>0.05</v>
      </c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</row>
    <row r="262" spans="1:75">
      <c r="A262" s="207" t="s">
        <v>566</v>
      </c>
      <c r="B262" s="20">
        <v>8</v>
      </c>
      <c r="C262" s="20" t="s">
        <v>506</v>
      </c>
      <c r="D262" s="20" t="s">
        <v>277</v>
      </c>
      <c r="E262" s="20" t="s">
        <v>507</v>
      </c>
      <c r="F262" s="193">
        <f>IF(E262="有",(I262/B262+J262+Z262/B262)/(0.99999-K262-L262-M262-N262),(I262/B262+J262+Z262/B262)/(0.99999-K262-M262-N262))</f>
        <v>40.9899362476175</v>
      </c>
      <c r="G262" s="193">
        <f>IF(E262="有",(I262/B262+J262+Z262/B262)/(0.8-K262-L262-M262-N262-O262-P262),(I262/B262+J262+Z262/B262)/(0.8-K262-M262-N262-O262-P262))</f>
        <v>73.7333722578636</v>
      </c>
      <c r="H262" s="198">
        <f>H261*0.85</f>
        <v>50.9915</v>
      </c>
      <c r="I262" s="193">
        <v>130</v>
      </c>
      <c r="J262" s="20">
        <v>3.41</v>
      </c>
      <c r="K262" s="18">
        <v>0.15</v>
      </c>
      <c r="L262" s="18">
        <v>0.16</v>
      </c>
      <c r="M262" s="18">
        <v>0.05</v>
      </c>
      <c r="N262" s="18">
        <f>Q262/H262</f>
        <v>0.117666669935185</v>
      </c>
      <c r="O262" s="195">
        <f>0.61/H262</f>
        <v>0.0119627781100772</v>
      </c>
      <c r="P262" s="18">
        <v>0.02</v>
      </c>
      <c r="Q262" s="193">
        <v>6</v>
      </c>
      <c r="R262" s="14">
        <v>33.5</v>
      </c>
      <c r="S262" s="14">
        <v>26.5</v>
      </c>
      <c r="T262" s="14">
        <v>25</v>
      </c>
      <c r="U262" s="14">
        <v>2.3</v>
      </c>
      <c r="V262" s="193">
        <f>R262*S262*T262/6000</f>
        <v>3.69895833333333</v>
      </c>
      <c r="W262" s="193">
        <f>MAX(U262:V262)</f>
        <v>3.69895833333333</v>
      </c>
      <c r="X262" s="20" t="s">
        <v>21</v>
      </c>
      <c r="Y262" s="196">
        <v>5.55136</v>
      </c>
      <c r="Z262" s="193">
        <v>14</v>
      </c>
      <c r="AA262" s="193">
        <f>H262-SUM(K262:P262)*H262-J262-I262/B262-Z262/B262</f>
        <v>3.59473</v>
      </c>
      <c r="AB262" s="195">
        <f>AA262/H262</f>
        <v>0.0704966514026848</v>
      </c>
      <c r="AC262" s="14"/>
      <c r="AD262" s="17">
        <f>J262/H262</f>
        <v>0.066873890746497</v>
      </c>
      <c r="AE262" s="18">
        <f>I262/B262/H262</f>
        <v>0.318680564407793</v>
      </c>
      <c r="AF262" s="18">
        <f>Z262/B262/H262</f>
        <v>0.0343194453977624</v>
      </c>
      <c r="AG262" s="18">
        <f>K262</f>
        <v>0.15</v>
      </c>
      <c r="AH262" s="18">
        <f>N262</f>
        <v>0.117666669935185</v>
      </c>
      <c r="AI262" s="18">
        <v>0.02</v>
      </c>
      <c r="AJ262" s="18">
        <f>M262</f>
        <v>0.05</v>
      </c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</row>
    <row r="263" spans="1:75">
      <c r="A263" s="207"/>
      <c r="B263" s="14"/>
      <c r="C263" s="14"/>
      <c r="D263" s="14"/>
      <c r="E263" s="14"/>
      <c r="F263" s="193"/>
      <c r="G263" s="193"/>
      <c r="H263" s="198"/>
      <c r="I263" s="193"/>
      <c r="J263" s="20"/>
      <c r="K263" s="18"/>
      <c r="L263" s="18"/>
      <c r="M263" s="18"/>
      <c r="N263" s="18"/>
      <c r="O263" s="195"/>
      <c r="P263" s="18"/>
      <c r="Q263" s="193"/>
      <c r="R263" s="14"/>
      <c r="S263" s="14"/>
      <c r="T263" s="14"/>
      <c r="U263" s="14"/>
      <c r="V263" s="193"/>
      <c r="W263" s="193"/>
      <c r="X263" s="20"/>
      <c r="Y263" s="196"/>
      <c r="Z263" s="20"/>
      <c r="AA263" s="193"/>
      <c r="AB263" s="195"/>
      <c r="AC263" s="14"/>
      <c r="AD263" s="17"/>
      <c r="AE263" s="18"/>
      <c r="AF263" s="18"/>
      <c r="AG263" s="18"/>
      <c r="AH263" s="18"/>
      <c r="AI263" s="18"/>
      <c r="AJ263" s="18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</row>
    <row r="264" spans="1:75">
      <c r="A264" s="207" t="s">
        <v>565</v>
      </c>
      <c r="B264" s="20">
        <v>8</v>
      </c>
      <c r="C264" s="14" t="s">
        <v>510</v>
      </c>
      <c r="D264" s="14" t="s">
        <v>511</v>
      </c>
      <c r="E264" s="20" t="s">
        <v>507</v>
      </c>
      <c r="F264" s="193">
        <f>IF(E264="有",(I264/B264+J264+Z264/B264)/(0.99999-K264-L264-M264-N264),(I264/B264+J264+Z264/B264)/(0.99999-K264-M264-N264))</f>
        <v>44.0577314726709</v>
      </c>
      <c r="G264" s="193">
        <f>IF(E264="有",(I264/B264+J264+Z264/B264)/(0.8-K264-L264-M264-N264-O264-P264),(I264/B264+J264+Z264/B264)/(0.8-K264-M264-N264-O264-P264))</f>
        <v>76.7877680810081</v>
      </c>
      <c r="H264" s="198">
        <v>59.99</v>
      </c>
      <c r="I264" s="193">
        <v>130</v>
      </c>
      <c r="J264" s="20">
        <v>5.79</v>
      </c>
      <c r="K264" s="18">
        <v>0.15</v>
      </c>
      <c r="L264" s="18">
        <v>0.16</v>
      </c>
      <c r="M264" s="18">
        <v>0.05</v>
      </c>
      <c r="N264" s="18">
        <f>Q264/H264</f>
        <v>0.100016669444907</v>
      </c>
      <c r="O264" s="195">
        <f>0.61/H264</f>
        <v>0.0101683613935656</v>
      </c>
      <c r="P264" s="18">
        <v>0.02</v>
      </c>
      <c r="Q264" s="193">
        <v>6</v>
      </c>
      <c r="R264" s="14">
        <v>33.5</v>
      </c>
      <c r="S264" s="14">
        <v>26.5</v>
      </c>
      <c r="T264" s="14">
        <v>25</v>
      </c>
      <c r="U264" s="14">
        <v>2.3</v>
      </c>
      <c r="V264" s="193">
        <f>R264*S264*T264/6000</f>
        <v>3.69895833333333</v>
      </c>
      <c r="W264" s="193">
        <f>MAX(U264:V264)</f>
        <v>3.69895833333333</v>
      </c>
      <c r="X264" s="14" t="s">
        <v>21</v>
      </c>
      <c r="Y264" s="196">
        <v>5.55136</v>
      </c>
      <c r="Z264" s="193">
        <v>14</v>
      </c>
      <c r="AA264" s="193">
        <f>H264-SUM(K264:P264)*H264-J264-I264/B264-Z264/B264</f>
        <v>6.7938</v>
      </c>
      <c r="AB264" s="195">
        <f>AA264/H264</f>
        <v>0.113248874812469</v>
      </c>
      <c r="AC264" s="14"/>
      <c r="AD264" s="17">
        <f>J264/H264</f>
        <v>0.0965160860143357</v>
      </c>
      <c r="AE264" s="18">
        <f>I264/7.4/H264</f>
        <v>0.29284159972608</v>
      </c>
      <c r="AF264" s="18">
        <f>Z264/7.4/H264</f>
        <v>0.0315367876628087</v>
      </c>
      <c r="AG264" s="18">
        <v>0.15</v>
      </c>
      <c r="AH264" s="18">
        <f>N264</f>
        <v>0.100016669444907</v>
      </c>
      <c r="AI264" s="18">
        <v>0.02</v>
      </c>
      <c r="AJ264" s="18">
        <f>M264</f>
        <v>0.05</v>
      </c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</row>
    <row r="265" spans="1:75">
      <c r="A265" s="207" t="s">
        <v>566</v>
      </c>
      <c r="B265" s="20">
        <v>8</v>
      </c>
      <c r="C265" s="20" t="s">
        <v>510</v>
      </c>
      <c r="D265" s="20" t="s">
        <v>511</v>
      </c>
      <c r="E265" s="20" t="s">
        <v>507</v>
      </c>
      <c r="F265" s="193">
        <f>IF(E265="有",(I265/B265+J265+Z265/B265)/(0.99999-K265-L265-M265-N265),(I265/B265+J265+Z265/B265)/(0.99999-K265-M265-N265))</f>
        <v>45.5465008561802</v>
      </c>
      <c r="G265" s="193">
        <f>IF(E265="有",(I265/B265+J265+Z265/B265)/(0.8-K265-L265-M265-N265-O265-P265),(I265/B265+J265+Z265/B265)/(0.8-K265-M265-N265-O265-P265))</f>
        <v>81.9297957036234</v>
      </c>
      <c r="H265" s="198">
        <f>H264*0.85</f>
        <v>50.9915</v>
      </c>
      <c r="I265" s="193">
        <v>130</v>
      </c>
      <c r="J265" s="20">
        <v>5.79</v>
      </c>
      <c r="K265" s="18">
        <v>0.15</v>
      </c>
      <c r="L265" s="18">
        <v>0.16</v>
      </c>
      <c r="M265" s="18">
        <v>0.05</v>
      </c>
      <c r="N265" s="18">
        <f>Q265/H265</f>
        <v>0.117666669935185</v>
      </c>
      <c r="O265" s="195">
        <f>0.61/H265</f>
        <v>0.0119627781100772</v>
      </c>
      <c r="P265" s="18">
        <v>0.02</v>
      </c>
      <c r="Q265" s="193">
        <v>6</v>
      </c>
      <c r="R265" s="14">
        <v>33.5</v>
      </c>
      <c r="S265" s="14">
        <v>26.5</v>
      </c>
      <c r="T265" s="14">
        <v>25</v>
      </c>
      <c r="U265" s="14">
        <v>2.3</v>
      </c>
      <c r="V265" s="193">
        <f>R265*S265*T265/6000</f>
        <v>3.69895833333333</v>
      </c>
      <c r="W265" s="193">
        <f>MAX(U265:V265)</f>
        <v>3.69895833333333</v>
      </c>
      <c r="X265" s="20" t="s">
        <v>21</v>
      </c>
      <c r="Y265" s="196">
        <v>5.55136</v>
      </c>
      <c r="Z265" s="193">
        <v>14</v>
      </c>
      <c r="AA265" s="193">
        <f>H265-SUM(K265:P265)*H265-J265-I265/B265-Z265/B265</f>
        <v>1.21473</v>
      </c>
      <c r="AB265" s="195">
        <f>AA265/H265</f>
        <v>0.023822205661728</v>
      </c>
      <c r="AC265" s="14"/>
      <c r="AD265" s="17">
        <f>J265/H265</f>
        <v>0.113548336487454</v>
      </c>
      <c r="AE265" s="18">
        <f>I265/7.4/H265</f>
        <v>0.344519529089506</v>
      </c>
      <c r="AF265" s="18">
        <f>Z265/7.4/H265</f>
        <v>0.0371021031327161</v>
      </c>
      <c r="AG265" s="18">
        <v>0.15</v>
      </c>
      <c r="AH265" s="18">
        <f>N265</f>
        <v>0.117666669935185</v>
      </c>
      <c r="AI265" s="18">
        <v>0.02</v>
      </c>
      <c r="AJ265" s="18">
        <f>M265</f>
        <v>0.05</v>
      </c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</row>
    <row r="266" spans="1:75">
      <c r="A266" s="207"/>
      <c r="B266" s="14"/>
      <c r="C266" s="14"/>
      <c r="D266" s="14"/>
      <c r="E266" s="14"/>
      <c r="F266" s="193"/>
      <c r="G266" s="193"/>
      <c r="H266" s="198"/>
      <c r="I266" s="193"/>
      <c r="J266" s="20"/>
      <c r="K266" s="18"/>
      <c r="L266" s="18"/>
      <c r="M266" s="18"/>
      <c r="N266" s="18"/>
      <c r="O266" s="195"/>
      <c r="P266" s="18"/>
      <c r="Q266" s="18"/>
      <c r="R266" s="14"/>
      <c r="S266" s="14"/>
      <c r="T266" s="14"/>
      <c r="U266" s="14"/>
      <c r="V266" s="193"/>
      <c r="W266" s="193"/>
      <c r="X266" s="20"/>
      <c r="Y266" s="196"/>
      <c r="Z266" s="20"/>
      <c r="AA266" s="193"/>
      <c r="AB266" s="195"/>
      <c r="AC266" s="14"/>
      <c r="AD266" s="17"/>
      <c r="AE266" s="18"/>
      <c r="AF266" s="18"/>
      <c r="AG266" s="18"/>
      <c r="AH266" s="18"/>
      <c r="AI266" s="18"/>
      <c r="AJ266" s="18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</row>
    <row r="267" spans="1:75">
      <c r="A267" s="207" t="s">
        <v>565</v>
      </c>
      <c r="B267" s="20">
        <v>8</v>
      </c>
      <c r="C267" s="14" t="s">
        <v>512</v>
      </c>
      <c r="D267" s="14" t="s">
        <v>513</v>
      </c>
      <c r="E267" s="20" t="s">
        <v>507</v>
      </c>
      <c r="F267" s="193">
        <f>IF(E267="有",(I267/B267+J267+Z267/B267)/(0.99999-K267-L267-M267-N267),(I267/B267+J267+Z267/B267)/(0.99999-K267-M267-N267))</f>
        <v>42.5020990877594</v>
      </c>
      <c r="G267" s="193">
        <f>IF(E267="有",(I267/B267+J267+Z267/B267)/(0.8-K267-L267-M267-N267-O267-P267),(I267/B267+J267+Z267/B267)/(0.8-K267-M267-N267-O267-P267))</f>
        <v>74.0764723606194</v>
      </c>
      <c r="H267" s="198">
        <v>59.99</v>
      </c>
      <c r="I267" s="193">
        <v>130</v>
      </c>
      <c r="J267" s="20">
        <v>4.95</v>
      </c>
      <c r="K267" s="18">
        <v>0.15</v>
      </c>
      <c r="L267" s="18">
        <v>0.16</v>
      </c>
      <c r="M267" s="18">
        <v>0.05</v>
      </c>
      <c r="N267" s="18">
        <f>Q267/H267</f>
        <v>0.100016669444907</v>
      </c>
      <c r="O267" s="195">
        <f>0.61/H267</f>
        <v>0.0101683613935656</v>
      </c>
      <c r="P267" s="18">
        <v>0.02</v>
      </c>
      <c r="Q267" s="193">
        <v>6</v>
      </c>
      <c r="R267" s="14">
        <v>33.5</v>
      </c>
      <c r="S267" s="14">
        <v>26.5</v>
      </c>
      <c r="T267" s="14">
        <v>25</v>
      </c>
      <c r="U267" s="14">
        <v>2.3</v>
      </c>
      <c r="V267" s="193">
        <f>R267*S267*T267/6000</f>
        <v>3.69895833333333</v>
      </c>
      <c r="W267" s="193">
        <f>MAX(U267:V267)</f>
        <v>3.69895833333333</v>
      </c>
      <c r="X267" s="14" t="s">
        <v>21</v>
      </c>
      <c r="Y267" s="196">
        <v>5.55136</v>
      </c>
      <c r="Z267" s="193">
        <v>14</v>
      </c>
      <c r="AA267" s="193">
        <f>H267-SUM(K267:P267)*H267-J267-I267/B267-Z267/B267</f>
        <v>7.6338</v>
      </c>
      <c r="AB267" s="195">
        <f>AA267/H267</f>
        <v>0.127251208534756</v>
      </c>
      <c r="AC267" s="14"/>
      <c r="AD267" s="17">
        <f>J267/H267</f>
        <v>0.0825137522920487</v>
      </c>
      <c r="AE267" s="18">
        <f>I267/7.4/H267</f>
        <v>0.29284159972608</v>
      </c>
      <c r="AF267" s="18">
        <f>Z267/7.4/H267</f>
        <v>0.0315367876628087</v>
      </c>
      <c r="AG267" s="18">
        <v>0.15</v>
      </c>
      <c r="AH267" s="18">
        <f>N267</f>
        <v>0.100016669444907</v>
      </c>
      <c r="AI267" s="18">
        <v>0.02</v>
      </c>
      <c r="AJ267" s="18">
        <f>M267</f>
        <v>0.05</v>
      </c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</row>
    <row r="268" spans="1:75">
      <c r="A268" s="207" t="s">
        <v>566</v>
      </c>
      <c r="B268" s="20">
        <v>8</v>
      </c>
      <c r="C268" s="20" t="s">
        <v>512</v>
      </c>
      <c r="D268" s="20" t="s">
        <v>513</v>
      </c>
      <c r="E268" s="20" t="s">
        <v>507</v>
      </c>
      <c r="F268" s="193">
        <f>IF(E268="有",(I268/B268+J268+Z268/B268)/(0.99999-K268-L268-M268-N268),(I268/B268+J268+Z268/B268)/(0.99999-K268-M268-N268))</f>
        <v>43.9383015825698</v>
      </c>
      <c r="G268" s="193">
        <f>IF(E268="有",(I268/B268+J268+Z268/B268)/(0.8-K268-L268-M268-N268-O268-P268),(I268/B268+J268+Z268/B268)/(0.8-K268-M268-N268-O268-P268))</f>
        <v>79.0369403698258</v>
      </c>
      <c r="H268" s="198">
        <f>H267*0.85</f>
        <v>50.9915</v>
      </c>
      <c r="I268" s="193">
        <v>130</v>
      </c>
      <c r="J268" s="20">
        <v>4.95</v>
      </c>
      <c r="K268" s="18">
        <v>0.15</v>
      </c>
      <c r="L268" s="18">
        <v>0.16</v>
      </c>
      <c r="M268" s="18">
        <v>0.05</v>
      </c>
      <c r="N268" s="18">
        <f>Q268/H268</f>
        <v>0.117666669935185</v>
      </c>
      <c r="O268" s="195">
        <f>0.61/H268</f>
        <v>0.0119627781100772</v>
      </c>
      <c r="P268" s="18">
        <v>0.02</v>
      </c>
      <c r="Q268" s="193">
        <v>6</v>
      </c>
      <c r="R268" s="14">
        <v>33.5</v>
      </c>
      <c r="S268" s="14">
        <v>26.5</v>
      </c>
      <c r="T268" s="14">
        <v>25</v>
      </c>
      <c r="U268" s="14">
        <v>2.3</v>
      </c>
      <c r="V268" s="193">
        <f>R268*S268*T268/6000</f>
        <v>3.69895833333333</v>
      </c>
      <c r="W268" s="193">
        <f>MAX(U268:V268)</f>
        <v>3.69895833333333</v>
      </c>
      <c r="X268" s="20" t="s">
        <v>21</v>
      </c>
      <c r="Y268" s="196">
        <v>5.55136</v>
      </c>
      <c r="Z268" s="193">
        <v>14</v>
      </c>
      <c r="AA268" s="193">
        <f>H268-SUM(K268:P268)*H268-J268-I268/B268-Z268/B268</f>
        <v>2.05473</v>
      </c>
      <c r="AB268" s="195">
        <f>AA268/H268</f>
        <v>0.0402955394526539</v>
      </c>
      <c r="AC268" s="14"/>
      <c r="AD268" s="17">
        <f>J268/H268</f>
        <v>0.0970750026965279</v>
      </c>
      <c r="AE268" s="18">
        <f>I268/7.4/H268</f>
        <v>0.344519529089506</v>
      </c>
      <c r="AF268" s="18">
        <f>Z268/7.4/H268</f>
        <v>0.0371021031327161</v>
      </c>
      <c r="AG268" s="18">
        <v>0.15</v>
      </c>
      <c r="AH268" s="18">
        <f>N268</f>
        <v>0.117666669935185</v>
      </c>
      <c r="AI268" s="18">
        <v>0.02</v>
      </c>
      <c r="AJ268" s="18">
        <f>M268</f>
        <v>0.05</v>
      </c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</row>
    <row r="269" spans="1:75">
      <c r="A269" s="207"/>
      <c r="B269" s="14"/>
      <c r="C269" s="14"/>
      <c r="D269" s="14"/>
      <c r="E269" s="14"/>
      <c r="F269" s="193"/>
      <c r="G269" s="193"/>
      <c r="H269" s="198"/>
      <c r="I269" s="193"/>
      <c r="J269" s="20"/>
      <c r="K269" s="18"/>
      <c r="L269" s="18"/>
      <c r="M269" s="18"/>
      <c r="N269" s="18"/>
      <c r="O269" s="195"/>
      <c r="P269" s="18"/>
      <c r="Q269" s="18"/>
      <c r="R269" s="14"/>
      <c r="S269" s="14"/>
      <c r="T269" s="14"/>
      <c r="U269" s="14"/>
      <c r="V269" s="193"/>
      <c r="W269" s="193"/>
      <c r="X269" s="20"/>
      <c r="Y269" s="196"/>
      <c r="Z269" s="20"/>
      <c r="AA269" s="193"/>
      <c r="AB269" s="195"/>
      <c r="AC269" s="14"/>
      <c r="AD269" s="17"/>
      <c r="AE269" s="18"/>
      <c r="AF269" s="18"/>
      <c r="AG269" s="18"/>
      <c r="AH269" s="18"/>
      <c r="AI269" s="18"/>
      <c r="AJ269" s="18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</row>
    <row r="270" spans="1:75">
      <c r="A270" s="207" t="s">
        <v>565</v>
      </c>
      <c r="B270" s="20">
        <v>8</v>
      </c>
      <c r="C270" s="14" t="s">
        <v>515</v>
      </c>
      <c r="D270" s="14" t="s">
        <v>516</v>
      </c>
      <c r="E270" s="20" t="s">
        <v>507</v>
      </c>
      <c r="F270" s="193">
        <f>IF(E270="有",(I270/B270+J270+Z270/B270)/(0.99999-K270-L270-M270-N270),(I270/B270+J270+Z270/B270)/(0.99999-K270-M270-N270))</f>
        <v>40.6501557723886</v>
      </c>
      <c r="G270" s="193">
        <f>IF(E270="有",(I270/B270+J270+Z270/B270)/(0.8-K270-L270-M270-N270-O270-P270),(I270/B270+J270+Z270/B270)/(0.8-K270-M270-N270-O270-P270))</f>
        <v>70.8487393601567</v>
      </c>
      <c r="H270" s="198">
        <v>59.99</v>
      </c>
      <c r="I270" s="193">
        <v>130</v>
      </c>
      <c r="J270" s="20">
        <v>3.95</v>
      </c>
      <c r="K270" s="18">
        <v>0.15</v>
      </c>
      <c r="L270" s="18">
        <v>0.16</v>
      </c>
      <c r="M270" s="18">
        <v>0.05</v>
      </c>
      <c r="N270" s="18">
        <f>Q270/H270</f>
        <v>0.100016669444907</v>
      </c>
      <c r="O270" s="195">
        <f>0.61/H270</f>
        <v>0.0101683613935656</v>
      </c>
      <c r="P270" s="18">
        <v>0.02</v>
      </c>
      <c r="Q270" s="193">
        <v>6</v>
      </c>
      <c r="R270" s="14">
        <v>33.5</v>
      </c>
      <c r="S270" s="14">
        <v>26.5</v>
      </c>
      <c r="T270" s="14">
        <v>25</v>
      </c>
      <c r="U270" s="14">
        <v>2.3</v>
      </c>
      <c r="V270" s="193">
        <f>R270*S270*T270/6000</f>
        <v>3.69895833333333</v>
      </c>
      <c r="W270" s="193">
        <f>MAX(U270:V270)</f>
        <v>3.69895833333333</v>
      </c>
      <c r="X270" s="14" t="s">
        <v>21</v>
      </c>
      <c r="Y270" s="196">
        <v>5.55136</v>
      </c>
      <c r="Z270" s="193">
        <v>14</v>
      </c>
      <c r="AA270" s="193">
        <f>H270-SUM(K270:P270)*H270-J270-I270/B270-Z270/B270</f>
        <v>8.6338</v>
      </c>
      <c r="AB270" s="195">
        <f>AA270/H270</f>
        <v>0.14392065344224</v>
      </c>
      <c r="AC270" s="14"/>
      <c r="AD270" s="17">
        <f>J270/H270</f>
        <v>0.0658443073845641</v>
      </c>
      <c r="AE270" s="18">
        <f>I270/7.4/H270</f>
        <v>0.29284159972608</v>
      </c>
      <c r="AF270" s="18">
        <f>Z270/7.4/H270</f>
        <v>0.0315367876628087</v>
      </c>
      <c r="AG270" s="18">
        <v>0.15</v>
      </c>
      <c r="AH270" s="18">
        <f>N270</f>
        <v>0.100016669444907</v>
      </c>
      <c r="AI270" s="18">
        <v>0.02</v>
      </c>
      <c r="AJ270" s="18">
        <f>M270</f>
        <v>0.05</v>
      </c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</row>
    <row r="271" spans="1:75">
      <c r="A271" s="207" t="s">
        <v>566</v>
      </c>
      <c r="B271" s="20">
        <v>8</v>
      </c>
      <c r="C271" s="20" t="s">
        <v>515</v>
      </c>
      <c r="D271" s="20" t="s">
        <v>516</v>
      </c>
      <c r="E271" s="20" t="s">
        <v>507</v>
      </c>
      <c r="F271" s="193">
        <f>IF(E271="有",(I271/B271+J271+Z271/B271)/(0.99999-K271-L271-M271-N271),(I271/B271+J271+Z271/B271)/(0.99999-K271-M271-N271))</f>
        <v>42.0237786377956</v>
      </c>
      <c r="G271" s="193">
        <f>IF(E271="有",(I271/B271+J271+Z271/B271)/(0.8-K271-L271-M271-N271-O271-P271),(I271/B271+J271+Z271/B271)/(0.8-K271-M271-N271-O271-P271))</f>
        <v>75.5930649724478</v>
      </c>
      <c r="H271" s="198">
        <f>H270*0.85</f>
        <v>50.9915</v>
      </c>
      <c r="I271" s="193">
        <v>130</v>
      </c>
      <c r="J271" s="20">
        <v>3.95</v>
      </c>
      <c r="K271" s="18">
        <v>0.15</v>
      </c>
      <c r="L271" s="18">
        <v>0.16</v>
      </c>
      <c r="M271" s="18">
        <v>0.05</v>
      </c>
      <c r="N271" s="18">
        <f>Q271/H271</f>
        <v>0.117666669935185</v>
      </c>
      <c r="O271" s="195">
        <f>0.61/H271</f>
        <v>0.0119627781100772</v>
      </c>
      <c r="P271" s="18">
        <v>0.02</v>
      </c>
      <c r="Q271" s="193">
        <v>6</v>
      </c>
      <c r="R271" s="14">
        <v>33.5</v>
      </c>
      <c r="S271" s="14">
        <v>26.5</v>
      </c>
      <c r="T271" s="14">
        <v>25</v>
      </c>
      <c r="U271" s="14">
        <v>2.3</v>
      </c>
      <c r="V271" s="193">
        <f>R271*S271*T271/6000</f>
        <v>3.69895833333333</v>
      </c>
      <c r="W271" s="193">
        <f>MAX(U271:V271)</f>
        <v>3.69895833333333</v>
      </c>
      <c r="X271" s="20" t="s">
        <v>21</v>
      </c>
      <c r="Y271" s="196">
        <v>5.55136</v>
      </c>
      <c r="Z271" s="193">
        <v>14</v>
      </c>
      <c r="AA271" s="193">
        <f>H271-SUM(K271:P271)*H271-J271-I271/B271-Z271/B271</f>
        <v>3.05473</v>
      </c>
      <c r="AB271" s="195">
        <f>AA271/H271</f>
        <v>0.0599066511085181</v>
      </c>
      <c r="AC271" s="14"/>
      <c r="AD271" s="17">
        <f>J271/H271</f>
        <v>0.0774638910406636</v>
      </c>
      <c r="AE271" s="18">
        <f>I271/7.4/H271</f>
        <v>0.344519529089506</v>
      </c>
      <c r="AF271" s="18">
        <f>Z271/7.4/H271</f>
        <v>0.0371021031327161</v>
      </c>
      <c r="AG271" s="18">
        <v>0.15</v>
      </c>
      <c r="AH271" s="18">
        <f>N271</f>
        <v>0.117666669935185</v>
      </c>
      <c r="AI271" s="18">
        <v>0.02</v>
      </c>
      <c r="AJ271" s="18">
        <f>M271</f>
        <v>0.05</v>
      </c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</row>
    <row r="272" spans="1:75">
      <c r="A272" s="207"/>
      <c r="B272" s="20"/>
      <c r="C272" s="20"/>
      <c r="D272" s="20"/>
      <c r="E272" s="20"/>
      <c r="F272" s="193"/>
      <c r="G272" s="193"/>
      <c r="H272" s="198"/>
      <c r="I272" s="193"/>
      <c r="J272" s="20"/>
      <c r="K272" s="18"/>
      <c r="L272" s="18"/>
      <c r="M272" s="18"/>
      <c r="N272" s="18"/>
      <c r="O272" s="195"/>
      <c r="P272" s="18"/>
      <c r="Q272" s="18"/>
      <c r="R272" s="14"/>
      <c r="S272" s="14"/>
      <c r="T272" s="14"/>
      <c r="U272" s="14"/>
      <c r="V272" s="193"/>
      <c r="W272" s="193"/>
      <c r="X272" s="20"/>
      <c r="Y272" s="196"/>
      <c r="Z272" s="20"/>
      <c r="AA272" s="193"/>
      <c r="AB272" s="195"/>
      <c r="AC272" s="14"/>
      <c r="AD272" s="17"/>
      <c r="AE272" s="18"/>
      <c r="AF272" s="18"/>
      <c r="AG272" s="18"/>
      <c r="AH272" s="18"/>
      <c r="AI272" s="18"/>
      <c r="AJ272" s="18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</row>
    <row r="273" spans="1:75">
      <c r="A273" s="207" t="s">
        <v>565</v>
      </c>
      <c r="B273" s="14">
        <v>9</v>
      </c>
      <c r="C273" s="20" t="s">
        <v>517</v>
      </c>
      <c r="D273" s="20" t="s">
        <v>300</v>
      </c>
      <c r="E273" s="20" t="s">
        <v>507</v>
      </c>
      <c r="F273" s="193">
        <f>IF(E273="有",(I273/B273+J273+Z273/B273)/(0.99999-K273-L273-M273-N273),(I273/B273+J273+Z273/B273)/(0.99999-K273-M273-N273))</f>
        <v>35.2610007246597</v>
      </c>
      <c r="G273" s="193">
        <f>IF(E273="有",(I273/B273+J273+Z273/B273)/(0.8-K273-L273-M273-N273-O273-P273),(I273/B273+J273+Z273/B273)/(0.8-K273-M273-N273-O273-P273))</f>
        <v>61.4560363288102</v>
      </c>
      <c r="H273" s="198">
        <v>59.99</v>
      </c>
      <c r="I273" s="193">
        <v>130</v>
      </c>
      <c r="J273" s="20">
        <v>3.04</v>
      </c>
      <c r="K273" s="18">
        <v>0.15</v>
      </c>
      <c r="L273" s="18">
        <v>0.16</v>
      </c>
      <c r="M273" s="18">
        <v>0.05</v>
      </c>
      <c r="N273" s="18">
        <f>Q273/H273</f>
        <v>0.100016669444907</v>
      </c>
      <c r="O273" s="195">
        <f>0.61/H273</f>
        <v>0.0101683613935656</v>
      </c>
      <c r="P273" s="18">
        <v>0.02</v>
      </c>
      <c r="Q273" s="193">
        <v>6</v>
      </c>
      <c r="R273" s="14">
        <v>33.5</v>
      </c>
      <c r="S273" s="14">
        <v>26.5</v>
      </c>
      <c r="T273" s="14">
        <v>25</v>
      </c>
      <c r="U273" s="14">
        <v>2.3</v>
      </c>
      <c r="V273" s="193">
        <f>R273*S273*T273/6000</f>
        <v>3.69895833333333</v>
      </c>
      <c r="W273" s="193">
        <f>MAX(U273:V273)</f>
        <v>3.69895833333333</v>
      </c>
      <c r="X273" s="20" t="s">
        <v>21</v>
      </c>
      <c r="Y273" s="196">
        <v>6.084</v>
      </c>
      <c r="Z273" s="193">
        <v>14</v>
      </c>
      <c r="AA273" s="193">
        <f>H273-SUM(K273:P273)*H273-J273-I273/B273-Z273/B273</f>
        <v>11.5438</v>
      </c>
      <c r="AB273" s="195">
        <f>AA273/H273</f>
        <v>0.192428738123021</v>
      </c>
      <c r="AC273" s="14"/>
      <c r="AD273" s="17">
        <f>J273/H273</f>
        <v>0.0506751125187531</v>
      </c>
      <c r="AE273" s="18">
        <f>I273/7.4/H273</f>
        <v>0.29284159972608</v>
      </c>
      <c r="AF273" s="18">
        <f>Z273/7.4/H273</f>
        <v>0.0315367876628087</v>
      </c>
      <c r="AG273" s="18">
        <v>0.15</v>
      </c>
      <c r="AH273" s="18">
        <f>N273</f>
        <v>0.100016669444907</v>
      </c>
      <c r="AI273" s="18">
        <v>0.02</v>
      </c>
      <c r="AJ273" s="18">
        <f>M273</f>
        <v>0.05</v>
      </c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</row>
    <row r="274" spans="1:75">
      <c r="A274" s="207" t="s">
        <v>566</v>
      </c>
      <c r="B274" s="14">
        <v>9</v>
      </c>
      <c r="C274" s="20" t="s">
        <v>517</v>
      </c>
      <c r="D274" s="20" t="s">
        <v>300</v>
      </c>
      <c r="E274" s="20" t="s">
        <v>507</v>
      </c>
      <c r="F274" s="193">
        <f>IF(E274="有",(I274/B274+J274+Z274/B274)/(0.99999-K274-L274-M274-N274),(I274/B274+J274+Z274/B274)/(0.99999-K274-M274-N274))</f>
        <v>36.4525168685024</v>
      </c>
      <c r="G274" s="193">
        <f>IF(E274="有",(I274/B274+J274+Z274/B274)/(0.8-K274-L274-M274-N274-O274-P274),(I274/B274+J274+Z274/B274)/(0.8-K274-M274-N274-O274-P274))</f>
        <v>65.5713875660777</v>
      </c>
      <c r="H274" s="198">
        <f>H273*0.85</f>
        <v>50.9915</v>
      </c>
      <c r="I274" s="193">
        <v>130</v>
      </c>
      <c r="J274" s="20">
        <v>3.04</v>
      </c>
      <c r="K274" s="18">
        <v>0.15</v>
      </c>
      <c r="L274" s="18">
        <v>0.16</v>
      </c>
      <c r="M274" s="18">
        <v>0.05</v>
      </c>
      <c r="N274" s="18">
        <f>Q274/H274</f>
        <v>0.117666669935185</v>
      </c>
      <c r="O274" s="195">
        <f>0.61/H274</f>
        <v>0.0119627781100772</v>
      </c>
      <c r="P274" s="18">
        <v>0.02</v>
      </c>
      <c r="Q274" s="193">
        <v>6</v>
      </c>
      <c r="R274" s="14">
        <v>33.5</v>
      </c>
      <c r="S274" s="14">
        <v>26.5</v>
      </c>
      <c r="T274" s="14">
        <v>25</v>
      </c>
      <c r="U274" s="14">
        <v>2.3</v>
      </c>
      <c r="V274" s="193">
        <f>R274*S274*T274/6000</f>
        <v>3.69895833333333</v>
      </c>
      <c r="W274" s="193">
        <f>MAX(U274:V274)</f>
        <v>3.69895833333333</v>
      </c>
      <c r="X274" s="20" t="s">
        <v>21</v>
      </c>
      <c r="Y274" s="196">
        <v>6.084</v>
      </c>
      <c r="Z274" s="193">
        <v>14</v>
      </c>
      <c r="AA274" s="193">
        <f>H274-SUM(K274:P274)*H274-J274-I274/B274-Z274/B274</f>
        <v>5.96473</v>
      </c>
      <c r="AB274" s="195">
        <f>AA274/H274</f>
        <v>0.116974986027083</v>
      </c>
      <c r="AC274" s="14"/>
      <c r="AD274" s="17">
        <f>J274/H274</f>
        <v>0.0596177794338272</v>
      </c>
      <c r="AE274" s="18">
        <f>I274/7.4/H274</f>
        <v>0.344519529089506</v>
      </c>
      <c r="AF274" s="18">
        <f>Z274/7.4/H274</f>
        <v>0.0371021031327161</v>
      </c>
      <c r="AG274" s="18">
        <v>0.15</v>
      </c>
      <c r="AH274" s="18">
        <f>N274</f>
        <v>0.117666669935185</v>
      </c>
      <c r="AI274" s="18">
        <v>0.02</v>
      </c>
      <c r="AJ274" s="18">
        <f>M274</f>
        <v>0.05</v>
      </c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</row>
    <row r="275" spans="1:75">
      <c r="F275" s="204"/>
      <c r="G275" s="204"/>
      <c r="I275" s="204"/>
      <c r="O275" s="71"/>
      <c r="Q275" s="15"/>
      <c r="V275" s="204"/>
      <c r="W275" s="204"/>
      <c r="Y275" s="205"/>
      <c r="Z275" s="204"/>
      <c r="AA275" s="204"/>
      <c r="AB275" s="71"/>
      <c r="AD275" s="206"/>
      <c r="AE275" s="15"/>
      <c r="AF275" s="15"/>
    </row>
    <row r="276" spans="1:75">
      <c r="A276" s="207" t="s">
        <v>567</v>
      </c>
      <c r="B276" s="20">
        <v>8</v>
      </c>
      <c r="C276" s="20" t="s">
        <v>506</v>
      </c>
      <c r="D276" s="20" t="s">
        <v>277</v>
      </c>
      <c r="E276" s="20" t="s">
        <v>507</v>
      </c>
      <c r="F276" s="193">
        <f>IF(E276="有",(I276/B276+J276+Z276/B276)/(0.99999-K276-L276-M276-N276),(I276/B276+J276+Z276/B276)/(0.99999-K276-M276-N276))</f>
        <v>33.5195353468268</v>
      </c>
      <c r="G276" s="193">
        <f>IF(E276="有",(I276/B276+J276+Z276/B276)/(0.8-K276-L276-M276-N276-O276-P276),(I276/B276+J276+Z276/B276)/(0.8-K276-M276-N276-O276-P276))</f>
        <v>62.186898732071</v>
      </c>
      <c r="H276" s="198">
        <v>44.99</v>
      </c>
      <c r="I276" s="193">
        <f>108/1.13</f>
        <v>95.5752212389381</v>
      </c>
      <c r="J276" s="14">
        <v>3.41</v>
      </c>
      <c r="K276" s="18">
        <v>0.15</v>
      </c>
      <c r="L276" s="18">
        <v>0.16</v>
      </c>
      <c r="M276" s="18">
        <v>0.05</v>
      </c>
      <c r="N276" s="18">
        <f>Q276/H276</f>
        <v>0.133362969548789</v>
      </c>
      <c r="O276" s="195">
        <f>0.61/H276</f>
        <v>0.0135585685707935</v>
      </c>
      <c r="P276" s="18">
        <v>0.02</v>
      </c>
      <c r="Q276" s="193">
        <v>6</v>
      </c>
      <c r="R276" s="14">
        <v>33.5</v>
      </c>
      <c r="S276" s="14">
        <v>26.5</v>
      </c>
      <c r="T276" s="14">
        <v>25</v>
      </c>
      <c r="U276" s="14">
        <v>2.3</v>
      </c>
      <c r="V276" s="193">
        <f>R276*S276*T276/6000</f>
        <v>3.69895833333333</v>
      </c>
      <c r="W276" s="193">
        <f>MAX(U276:V276)</f>
        <v>3.69895833333333</v>
      </c>
      <c r="X276" s="14" t="s">
        <v>21</v>
      </c>
      <c r="Y276" s="196">
        <v>5.55136</v>
      </c>
      <c r="Z276" s="193">
        <v>13</v>
      </c>
      <c r="AA276" s="193">
        <f>H276-SUM(K276:P276)*H276-J276-I276/B276-Z276/B276</f>
        <v>4.30189734513275</v>
      </c>
      <c r="AB276" s="195">
        <f>AA276/H276</f>
        <v>0.0956189674401588</v>
      </c>
      <c r="AC276" s="14"/>
      <c r="AD276" s="17">
        <f>J276/H276</f>
        <v>0.0757946210268949</v>
      </c>
      <c r="AE276" s="18">
        <f>I276/7.4/H276</f>
        <v>0.287076471164577</v>
      </c>
      <c r="AF276" s="18">
        <f>Z276/7.4/H276</f>
        <v>0.03904771630933</v>
      </c>
      <c r="AG276" s="18">
        <v>0.15</v>
      </c>
      <c r="AH276" s="18">
        <f>N276</f>
        <v>0.133362969548789</v>
      </c>
      <c r="AI276" s="18">
        <v>0.02</v>
      </c>
      <c r="AJ276" s="18">
        <f>M276</f>
        <v>0.05</v>
      </c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</row>
    <row r="277" spans="1:75">
      <c r="A277" s="207" t="s">
        <v>568</v>
      </c>
      <c r="B277" s="20">
        <v>8</v>
      </c>
      <c r="C277" s="20" t="s">
        <v>506</v>
      </c>
      <c r="D277" s="20" t="s">
        <v>277</v>
      </c>
      <c r="E277" s="20" t="s">
        <v>507</v>
      </c>
      <c r="F277" s="193">
        <f>IF(E277="有",(I277/B277+J277+Z277/B277)/(0.99999-K277-L277-M277-N277),(I277/B277+J277+Z277/B277)/(0.99999-K277-M277-N277))</f>
        <v>35.1524947396518</v>
      </c>
      <c r="G277" s="193">
        <f>IF(E277="有",(I277/B277+J277+Z277/B277)/(0.8-K277-L277-M277-N277-O277-P277),(I277/B277+J277+Z277/B277)/(0.8-K277-M277-N277-O277-P277))</f>
        <v>68.7106004462929</v>
      </c>
      <c r="H277" s="198">
        <f>H276*0.85</f>
        <v>38.2415</v>
      </c>
      <c r="I277" s="193">
        <f>108/1.13</f>
        <v>95.5752212389381</v>
      </c>
      <c r="J277" s="20">
        <v>3.41</v>
      </c>
      <c r="K277" s="18">
        <v>0.15</v>
      </c>
      <c r="L277" s="18">
        <v>0.16</v>
      </c>
      <c r="M277" s="18">
        <v>0.05</v>
      </c>
      <c r="N277" s="18">
        <f>Q277/H277</f>
        <v>0.156897611233869</v>
      </c>
      <c r="O277" s="195">
        <f>0.61/H277</f>
        <v>0.01595125714211</v>
      </c>
      <c r="P277" s="18">
        <v>0.02</v>
      </c>
      <c r="Q277" s="193">
        <v>6</v>
      </c>
      <c r="R277" s="14">
        <v>33.5</v>
      </c>
      <c r="S277" s="14">
        <v>26.5</v>
      </c>
      <c r="T277" s="14">
        <v>25</v>
      </c>
      <c r="U277" s="14">
        <v>2.3</v>
      </c>
      <c r="V277" s="193">
        <f>R277*S277*T277/6000</f>
        <v>3.69895833333333</v>
      </c>
      <c r="W277" s="193">
        <f>MAX(U277:V277)</f>
        <v>3.69895833333333</v>
      </c>
      <c r="X277" s="20" t="s">
        <v>21</v>
      </c>
      <c r="Y277" s="196">
        <v>5.55136</v>
      </c>
      <c r="Z277" s="193">
        <v>13</v>
      </c>
      <c r="AA277" s="193">
        <f>H277-SUM(K277:P277)*H277-J277-I277/B277-Z277/B277</f>
        <v>0.117827345132747</v>
      </c>
      <c r="AB277" s="195">
        <f>AA277/H277</f>
        <v>0.00308113816489278</v>
      </c>
      <c r="AC277" s="14"/>
      <c r="AD277" s="17">
        <f>J277/H277</f>
        <v>0.0891701423845822</v>
      </c>
      <c r="AE277" s="18">
        <f>I277/B277/H277</f>
        <v>0.31240674803204</v>
      </c>
      <c r="AF277" s="18">
        <f>Z277/B277/H277</f>
        <v>0.0424931030425062</v>
      </c>
      <c r="AG277" s="18">
        <f>K277</f>
        <v>0.15</v>
      </c>
      <c r="AH277" s="18">
        <f>N277</f>
        <v>0.156897611233869</v>
      </c>
      <c r="AI277" s="18">
        <v>0.02</v>
      </c>
      <c r="AJ277" s="18">
        <f>M277</f>
        <v>0.05</v>
      </c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</row>
    <row r="278" spans="1:75">
      <c r="A278" s="207"/>
      <c r="B278" s="14"/>
      <c r="C278" s="14"/>
      <c r="D278" s="14"/>
      <c r="E278" s="14"/>
      <c r="F278" s="193"/>
      <c r="G278" s="193"/>
      <c r="H278" s="198"/>
      <c r="I278" s="193"/>
      <c r="J278" s="20"/>
      <c r="K278" s="18"/>
      <c r="L278" s="18"/>
      <c r="M278" s="18"/>
      <c r="N278" s="18"/>
      <c r="O278" s="195"/>
      <c r="P278" s="18"/>
      <c r="Q278" s="193"/>
      <c r="R278" s="14"/>
      <c r="S278" s="14"/>
      <c r="T278" s="14"/>
      <c r="U278" s="14"/>
      <c r="V278" s="193"/>
      <c r="W278" s="193"/>
      <c r="X278" s="20"/>
      <c r="Y278" s="196"/>
      <c r="Z278" s="20"/>
      <c r="AA278" s="193"/>
      <c r="AB278" s="195"/>
      <c r="AC278" s="14"/>
      <c r="AD278" s="17"/>
      <c r="AE278" s="18"/>
      <c r="AF278" s="18"/>
      <c r="AG278" s="18"/>
      <c r="AH278" s="18"/>
      <c r="AI278" s="18"/>
      <c r="AJ278" s="18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</row>
    <row r="279" spans="1:75">
      <c r="A279" s="207" t="s">
        <v>567</v>
      </c>
      <c r="B279" s="20">
        <v>8</v>
      </c>
      <c r="C279" s="14" t="s">
        <v>510</v>
      </c>
      <c r="D279" s="14" t="s">
        <v>511</v>
      </c>
      <c r="E279" s="20" t="s">
        <v>507</v>
      </c>
      <c r="F279" s="193">
        <f>IF(E279="有",(I279/B279+J279+Z279/B279)/(0.99999-K279-L279-M279-N279),(I279/B279+J279+Z279/B279)/(0.99999-K279-M279-N279))</f>
        <v>38.2172712688133</v>
      </c>
      <c r="G279" s="193">
        <f>IF(E279="有",(I279/B279+J279+Z279/B279)/(0.8-K279-L279-M279-N279-O279-P279),(I279/B279+J279+Z279/B279)/(0.8-K279-M279-N279-O279-P279))</f>
        <v>70.9023425778116</v>
      </c>
      <c r="H279" s="198">
        <v>44.99</v>
      </c>
      <c r="I279" s="193">
        <f>108/1.13</f>
        <v>95.5752212389381</v>
      </c>
      <c r="J279" s="14">
        <v>5.79</v>
      </c>
      <c r="K279" s="18">
        <v>0.15</v>
      </c>
      <c r="L279" s="18">
        <v>0.16</v>
      </c>
      <c r="M279" s="18">
        <v>0.05</v>
      </c>
      <c r="N279" s="18">
        <f>Q279/H279</f>
        <v>0.133362969548789</v>
      </c>
      <c r="O279" s="195">
        <f>0.61/H279</f>
        <v>0.0135585685707935</v>
      </c>
      <c r="P279" s="18">
        <v>0.02</v>
      </c>
      <c r="Q279" s="193">
        <v>6</v>
      </c>
      <c r="R279" s="14">
        <v>33.5</v>
      </c>
      <c r="S279" s="14">
        <v>26.5</v>
      </c>
      <c r="T279" s="14">
        <v>25</v>
      </c>
      <c r="U279" s="14">
        <v>2.3</v>
      </c>
      <c r="V279" s="193">
        <f>R279*S279*T279/6000</f>
        <v>3.69895833333333</v>
      </c>
      <c r="W279" s="193">
        <f>MAX(U279:V279)</f>
        <v>3.69895833333333</v>
      </c>
      <c r="X279" s="14" t="s">
        <v>21</v>
      </c>
      <c r="Y279" s="196">
        <v>5.55136</v>
      </c>
      <c r="Z279" s="193">
        <v>13</v>
      </c>
      <c r="AA279" s="193">
        <f>H279-SUM(K279:P279)*H279-J279-I279/B279-Z279/B279</f>
        <v>1.92189734513275</v>
      </c>
      <c r="AB279" s="195">
        <f>AA279/H279</f>
        <v>0.0427183228524727</v>
      </c>
      <c r="AC279" s="14"/>
      <c r="AD279" s="17">
        <f>J279/H279</f>
        <v>0.128695265614581</v>
      </c>
      <c r="AE279" s="18">
        <f>I279/7.4/H279</f>
        <v>0.287076471164577</v>
      </c>
      <c r="AF279" s="18">
        <f>Z279/7.4/H279</f>
        <v>0.03904771630933</v>
      </c>
      <c r="AG279" s="18">
        <v>0.15</v>
      </c>
      <c r="AH279" s="18">
        <f>N279</f>
        <v>0.133362969548789</v>
      </c>
      <c r="AI279" s="18">
        <v>0.02</v>
      </c>
      <c r="AJ279" s="18">
        <f>M279</f>
        <v>0.05</v>
      </c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</row>
    <row r="280" spans="1:75">
      <c r="A280" s="207" t="s">
        <v>568</v>
      </c>
      <c r="B280" s="20">
        <v>8</v>
      </c>
      <c r="C280" s="20" t="s">
        <v>510</v>
      </c>
      <c r="D280" s="20" t="s">
        <v>511</v>
      </c>
      <c r="E280" s="20" t="s">
        <v>507</v>
      </c>
      <c r="F280" s="193">
        <f>IF(E280="有",(I280/B280+J280+Z280/B280)/(0.99999-K280-L280-M280-N280),(I280/B280+J280+Z280/B280)/(0.99999-K280-M280-N280))</f>
        <v>40.0790886072944</v>
      </c>
      <c r="G280" s="193">
        <f>IF(E280="有",(I280/B280+J280+Z280/B280)/(0.8-K280-L280-M280-N280-O280-P280),(I280/B280+J280+Z280/B280)/(0.8-K280-M280-N280-O280-P280))</f>
        <v>78.3403358408311</v>
      </c>
      <c r="H280" s="198">
        <f>H279*0.85</f>
        <v>38.2415</v>
      </c>
      <c r="I280" s="193">
        <f>108/1.13</f>
        <v>95.5752212389381</v>
      </c>
      <c r="J280" s="20">
        <v>5.79</v>
      </c>
      <c r="K280" s="18">
        <v>0.15</v>
      </c>
      <c r="L280" s="18">
        <v>0.16</v>
      </c>
      <c r="M280" s="18">
        <v>0.05</v>
      </c>
      <c r="N280" s="18">
        <f>Q280/H280</f>
        <v>0.156897611233869</v>
      </c>
      <c r="O280" s="195">
        <f>0.61/H280</f>
        <v>0.01595125714211</v>
      </c>
      <c r="P280" s="18">
        <v>0.02</v>
      </c>
      <c r="Q280" s="193">
        <v>6</v>
      </c>
      <c r="R280" s="14">
        <v>33.5</v>
      </c>
      <c r="S280" s="14">
        <v>26.5</v>
      </c>
      <c r="T280" s="14">
        <v>25</v>
      </c>
      <c r="U280" s="14">
        <v>2.3</v>
      </c>
      <c r="V280" s="193">
        <f>R280*S280*T280/6000</f>
        <v>3.69895833333333</v>
      </c>
      <c r="W280" s="193">
        <f>MAX(U280:V280)</f>
        <v>3.69895833333333</v>
      </c>
      <c r="X280" s="20" t="s">
        <v>21</v>
      </c>
      <c r="Y280" s="196">
        <v>5.55136</v>
      </c>
      <c r="Z280" s="193">
        <v>13</v>
      </c>
      <c r="AA280" s="193">
        <f>H280-SUM(K280:P280)*H280-J280-I280/B280-Z280/B280</f>
        <v>-2.26217265486725</v>
      </c>
      <c r="AB280" s="195">
        <f>AA280/H280</f>
        <v>-0.0591549142912085</v>
      </c>
      <c r="AC280" s="14"/>
      <c r="AD280" s="17">
        <f>J280/H280</f>
        <v>0.151406194840684</v>
      </c>
      <c r="AE280" s="18">
        <f>I280/7.4/H280</f>
        <v>0.337737024899503</v>
      </c>
      <c r="AF280" s="18">
        <f>Z280/7.4/H280</f>
        <v>0.0459384897756824</v>
      </c>
      <c r="AG280" s="18">
        <v>0.15</v>
      </c>
      <c r="AH280" s="18">
        <f>N280</f>
        <v>0.156897611233869</v>
      </c>
      <c r="AI280" s="18">
        <v>0.02</v>
      </c>
      <c r="AJ280" s="18">
        <f>M280</f>
        <v>0.05</v>
      </c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</row>
    <row r="281" spans="1:75">
      <c r="A281" s="207"/>
      <c r="B281" s="14"/>
      <c r="C281" s="14"/>
      <c r="D281" s="14"/>
      <c r="E281" s="14"/>
      <c r="F281" s="193"/>
      <c r="G281" s="193"/>
      <c r="H281" s="198"/>
      <c r="I281" s="193"/>
      <c r="J281" s="20"/>
      <c r="K281" s="18"/>
      <c r="L281" s="18"/>
      <c r="M281" s="18"/>
      <c r="N281" s="18"/>
      <c r="O281" s="195"/>
      <c r="P281" s="18"/>
      <c r="Q281" s="18"/>
      <c r="R281" s="14"/>
      <c r="S281" s="14"/>
      <c r="T281" s="14"/>
      <c r="U281" s="14"/>
      <c r="V281" s="193"/>
      <c r="W281" s="193"/>
      <c r="X281" s="20"/>
      <c r="Y281" s="196"/>
      <c r="Z281" s="20"/>
      <c r="AA281" s="193"/>
      <c r="AB281" s="195"/>
      <c r="AC281" s="14"/>
      <c r="AD281" s="17"/>
      <c r="AE281" s="18"/>
      <c r="AF281" s="18"/>
      <c r="AG281" s="18"/>
      <c r="AH281" s="18"/>
      <c r="AI281" s="18"/>
      <c r="AJ281" s="18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</row>
    <row r="282" spans="1:75">
      <c r="A282" s="208" t="s">
        <v>567</v>
      </c>
      <c r="B282" s="20">
        <v>8</v>
      </c>
      <c r="C282" s="14" t="s">
        <v>512</v>
      </c>
      <c r="D282" s="14" t="s">
        <v>513</v>
      </c>
      <c r="E282" s="20" t="s">
        <v>507</v>
      </c>
      <c r="F282" s="193">
        <f>IF(E282="有",(I282/B282+J282+Z282/B282)/(0.99999-K282-L282-M282-N282),(I282/B282+J282+Z282/B282)/(0.99999-K282-M282-N282))</f>
        <v>36.5592468257592</v>
      </c>
      <c r="G282" s="193">
        <f>IF(E282="有",(I282/B282+J282+Z282/B282)/(0.8-K282-L282-M282-N282-O282-P282),(I282/B282+J282+Z282/B282)/(0.8-K282-M282-N282-O282-P282))</f>
        <v>67.8263035734326</v>
      </c>
      <c r="H282" s="198">
        <v>44.99</v>
      </c>
      <c r="I282" s="193">
        <f>108/1.13</f>
        <v>95.5752212389381</v>
      </c>
      <c r="J282" s="14">
        <v>4.95</v>
      </c>
      <c r="K282" s="18">
        <v>0.15</v>
      </c>
      <c r="L282" s="18">
        <v>0.16</v>
      </c>
      <c r="M282" s="18">
        <v>0.05</v>
      </c>
      <c r="N282" s="18">
        <f>Q282/H282</f>
        <v>0.133362969548789</v>
      </c>
      <c r="O282" s="195">
        <f>0.61/H282</f>
        <v>0.0135585685707935</v>
      </c>
      <c r="P282" s="18">
        <v>0.02</v>
      </c>
      <c r="Q282" s="193">
        <v>6</v>
      </c>
      <c r="R282" s="14">
        <v>33.5</v>
      </c>
      <c r="S282" s="14">
        <v>26.5</v>
      </c>
      <c r="T282" s="14">
        <v>25</v>
      </c>
      <c r="U282" s="14">
        <v>2.3</v>
      </c>
      <c r="V282" s="193">
        <f>R282*S282*T282/6000</f>
        <v>3.69895833333333</v>
      </c>
      <c r="W282" s="193">
        <f>MAX(U282:V282)</f>
        <v>3.69895833333333</v>
      </c>
      <c r="X282" s="14" t="s">
        <v>21</v>
      </c>
      <c r="Y282" s="196">
        <v>5.55136</v>
      </c>
      <c r="Z282" s="193">
        <v>13</v>
      </c>
      <c r="AA282" s="193">
        <f>H282-SUM(K282:P282)*H282-J282-I282/B282-Z282/B282</f>
        <v>2.76189734513275</v>
      </c>
      <c r="AB282" s="195">
        <f>AA282/H282</f>
        <v>0.0613891385893031</v>
      </c>
      <c r="AC282" s="14"/>
      <c r="AD282" s="17">
        <f>J282/H282</f>
        <v>0.110024449877751</v>
      </c>
      <c r="AE282" s="18">
        <f>I282/7.4/H282</f>
        <v>0.287076471164577</v>
      </c>
      <c r="AF282" s="18">
        <f>Z282/7.4/H282</f>
        <v>0.03904771630933</v>
      </c>
      <c r="AG282" s="18">
        <v>0.15</v>
      </c>
      <c r="AH282" s="18">
        <f>N282</f>
        <v>0.133362969548789</v>
      </c>
      <c r="AI282" s="18">
        <v>0.02</v>
      </c>
      <c r="AJ282" s="18">
        <f>M282</f>
        <v>0.05</v>
      </c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</row>
    <row r="283" spans="1:75">
      <c r="A283" s="208" t="s">
        <v>568</v>
      </c>
      <c r="B283" s="20">
        <v>8</v>
      </c>
      <c r="C283" s="20" t="s">
        <v>512</v>
      </c>
      <c r="D283" s="20" t="s">
        <v>513</v>
      </c>
      <c r="E283" s="20" t="s">
        <v>507</v>
      </c>
      <c r="F283" s="193">
        <f>IF(E283="有",(I283/B283+J283+Z283/B283)/(0.99999-K283-L283-M283-N283),(I283/B283+J283+Z283/B283)/(0.99999-K283-M283-N283))</f>
        <v>38.3402907716558</v>
      </c>
      <c r="G283" s="193">
        <f>IF(E283="有",(I283/B283+J283+Z283/B283)/(0.8-K283-L283-M283-N283-O283-P283),(I283/B283+J283+Z283/B283)/(0.8-K283-M283-N283-O283-P283))</f>
        <v>74.9416057015823</v>
      </c>
      <c r="H283" s="198">
        <f>H282*0.85</f>
        <v>38.2415</v>
      </c>
      <c r="I283" s="193">
        <f>108/1.13</f>
        <v>95.5752212389381</v>
      </c>
      <c r="J283" s="20">
        <v>4.95</v>
      </c>
      <c r="K283" s="18">
        <v>0.15</v>
      </c>
      <c r="L283" s="18">
        <v>0.16</v>
      </c>
      <c r="M283" s="18">
        <v>0.05</v>
      </c>
      <c r="N283" s="18">
        <f>Q283/H283</f>
        <v>0.156897611233869</v>
      </c>
      <c r="O283" s="195">
        <f>0.61/H283</f>
        <v>0.01595125714211</v>
      </c>
      <c r="P283" s="18">
        <v>0.02</v>
      </c>
      <c r="Q283" s="193">
        <v>6</v>
      </c>
      <c r="R283" s="14">
        <v>33.5</v>
      </c>
      <c r="S283" s="14">
        <v>26.5</v>
      </c>
      <c r="T283" s="14">
        <v>25</v>
      </c>
      <c r="U283" s="14">
        <v>2.3</v>
      </c>
      <c r="V283" s="193">
        <f>R283*S283*T283/6000</f>
        <v>3.69895833333333</v>
      </c>
      <c r="W283" s="193">
        <f>MAX(U283:V283)</f>
        <v>3.69895833333333</v>
      </c>
      <c r="X283" s="20" t="s">
        <v>21</v>
      </c>
      <c r="Y283" s="196">
        <v>5.55136</v>
      </c>
      <c r="Z283" s="193">
        <v>13</v>
      </c>
      <c r="AA283" s="193">
        <f>H283-SUM(K283:P283)*H283-J283-I283/B283-Z283/B283</f>
        <v>-1.42217265486725</v>
      </c>
      <c r="AB283" s="195">
        <f>AA283/H283</f>
        <v>-0.0371892487184669</v>
      </c>
      <c r="AC283" s="14"/>
      <c r="AD283" s="17">
        <f>J283/H283</f>
        <v>0.129440529267942</v>
      </c>
      <c r="AE283" s="18">
        <f>I283/7.4/H283</f>
        <v>0.337737024899503</v>
      </c>
      <c r="AF283" s="18">
        <f>Z283/7.4/H283</f>
        <v>0.0459384897756824</v>
      </c>
      <c r="AG283" s="18">
        <v>0.15</v>
      </c>
      <c r="AH283" s="18">
        <f>N283</f>
        <v>0.156897611233869</v>
      </c>
      <c r="AI283" s="18">
        <v>0.02</v>
      </c>
      <c r="AJ283" s="18">
        <f>M283</f>
        <v>0.05</v>
      </c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</row>
    <row r="284" spans="1:75">
      <c r="A284" s="207"/>
      <c r="B284" s="14"/>
      <c r="C284" s="14"/>
      <c r="D284" s="14"/>
      <c r="E284" s="14"/>
      <c r="F284" s="193"/>
      <c r="G284" s="193"/>
      <c r="H284" s="198"/>
      <c r="I284" s="193"/>
      <c r="J284" s="20"/>
      <c r="K284" s="18"/>
      <c r="L284" s="18"/>
      <c r="M284" s="18"/>
      <c r="N284" s="18"/>
      <c r="O284" s="195"/>
      <c r="P284" s="18"/>
      <c r="Q284" s="18"/>
      <c r="R284" s="14"/>
      <c r="S284" s="14"/>
      <c r="T284" s="14"/>
      <c r="U284" s="14"/>
      <c r="V284" s="193"/>
      <c r="W284" s="193"/>
      <c r="X284" s="20"/>
      <c r="Y284" s="196"/>
      <c r="Z284" s="20"/>
      <c r="AA284" s="193"/>
      <c r="AB284" s="195"/>
      <c r="AC284" s="14"/>
      <c r="AD284" s="17"/>
      <c r="AE284" s="18"/>
      <c r="AF284" s="18"/>
      <c r="AG284" s="18"/>
      <c r="AH284" s="18"/>
      <c r="AI284" s="18"/>
      <c r="AJ284" s="18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</row>
    <row r="285" spans="1:75">
      <c r="A285" s="208" t="s">
        <v>567</v>
      </c>
      <c r="B285" s="20">
        <v>8</v>
      </c>
      <c r="C285" s="14" t="s">
        <v>515</v>
      </c>
      <c r="D285" s="14" t="s">
        <v>516</v>
      </c>
      <c r="E285" s="20" t="s">
        <v>507</v>
      </c>
      <c r="F285" s="193">
        <f>IF(E285="有",(I285/B285+J285+Z285/B285)/(0.99999-K285-L285-M285-N285),(I285/B285+J285+Z285/B285)/(0.99999-K285-M285-N285))</f>
        <v>34.5854082030758</v>
      </c>
      <c r="G285" s="193">
        <f>IF(E285="有",(I285/B285+J285+Z285/B285)/(0.8-K285-L285-M285-N285-O285-P285),(I285/B285+J285+Z285/B285)/(0.8-K285-M285-N285-O285-P285))</f>
        <v>64.1643523777433</v>
      </c>
      <c r="H285" s="198">
        <v>44.99</v>
      </c>
      <c r="I285" s="193">
        <f>108/1.13</f>
        <v>95.5752212389381</v>
      </c>
      <c r="J285" s="14">
        <v>3.95</v>
      </c>
      <c r="K285" s="18">
        <v>0.15</v>
      </c>
      <c r="L285" s="18">
        <v>0.16</v>
      </c>
      <c r="M285" s="18">
        <v>0.05</v>
      </c>
      <c r="N285" s="18">
        <f>Q285/H285</f>
        <v>0.133362969548789</v>
      </c>
      <c r="O285" s="195">
        <f>0.61/H285</f>
        <v>0.0135585685707935</v>
      </c>
      <c r="P285" s="18">
        <v>0.02</v>
      </c>
      <c r="Q285" s="193">
        <v>6</v>
      </c>
      <c r="R285" s="14">
        <v>33.5</v>
      </c>
      <c r="S285" s="14">
        <v>26.5</v>
      </c>
      <c r="T285" s="14">
        <v>25</v>
      </c>
      <c r="U285" s="14">
        <v>2.3</v>
      </c>
      <c r="V285" s="193">
        <f>R285*S285*T285/6000</f>
        <v>3.69895833333333</v>
      </c>
      <c r="W285" s="193">
        <f>MAX(U285:V285)</f>
        <v>3.69895833333333</v>
      </c>
      <c r="X285" s="14" t="s">
        <v>21</v>
      </c>
      <c r="Y285" s="196">
        <v>5.55136</v>
      </c>
      <c r="Z285" s="193">
        <v>13</v>
      </c>
      <c r="AA285" s="193">
        <f>H285-SUM(K285:P285)*H285-J285-I285/B285-Z285/B285</f>
        <v>3.76189734513275</v>
      </c>
      <c r="AB285" s="195">
        <f>AA285/H285</f>
        <v>0.0836163001807679</v>
      </c>
      <c r="AC285" s="14"/>
      <c r="AD285" s="17">
        <f>J285/H285</f>
        <v>0.0877972882862858</v>
      </c>
      <c r="AE285" s="18">
        <f>I285/7.4/H285</f>
        <v>0.287076471164577</v>
      </c>
      <c r="AF285" s="18">
        <f>Z285/7.4/H285</f>
        <v>0.03904771630933</v>
      </c>
      <c r="AG285" s="18">
        <v>0.15</v>
      </c>
      <c r="AH285" s="18">
        <f>N285</f>
        <v>0.133362969548789</v>
      </c>
      <c r="AI285" s="18">
        <v>0.02</v>
      </c>
      <c r="AJ285" s="18">
        <f>M285</f>
        <v>0.05</v>
      </c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</row>
    <row r="286" spans="1:75">
      <c r="A286" s="208" t="s">
        <v>568</v>
      </c>
      <c r="B286" s="20">
        <v>8</v>
      </c>
      <c r="C286" s="20" t="s">
        <v>515</v>
      </c>
      <c r="D286" s="20" t="s">
        <v>516</v>
      </c>
      <c r="E286" s="20" t="s">
        <v>507</v>
      </c>
      <c r="F286" s="193">
        <f>IF(E286="有",(I286/B286+J286+Z286/B286)/(0.99999-K286-L286-M286-N286),(I286/B286+J286+Z286/B286)/(0.99999-K286-M286-N286))</f>
        <v>36.2702933482766</v>
      </c>
      <c r="G286" s="193">
        <f>IF(E286="有",(I286/B286+J286+Z286/B286)/(0.8-K286-L286-M286-N286-O286-P286),(I286/B286+J286+Z286/B286)/(0.8-K286-M286-N286-O286-P286))</f>
        <v>70.8954983929528</v>
      </c>
      <c r="H286" s="198">
        <f>H285*0.85</f>
        <v>38.2415</v>
      </c>
      <c r="I286" s="193">
        <f>108/1.13</f>
        <v>95.5752212389381</v>
      </c>
      <c r="J286" s="20">
        <v>3.95</v>
      </c>
      <c r="K286" s="18">
        <v>0.15</v>
      </c>
      <c r="L286" s="18">
        <v>0.16</v>
      </c>
      <c r="M286" s="18">
        <v>0.05</v>
      </c>
      <c r="N286" s="18">
        <f>Q286/H286</f>
        <v>0.156897611233869</v>
      </c>
      <c r="O286" s="195">
        <f>0.61/H286</f>
        <v>0.01595125714211</v>
      </c>
      <c r="P286" s="18">
        <v>0.02</v>
      </c>
      <c r="Q286" s="193">
        <v>6</v>
      </c>
      <c r="R286" s="14">
        <v>33.5</v>
      </c>
      <c r="S286" s="14">
        <v>26.5</v>
      </c>
      <c r="T286" s="14">
        <v>25</v>
      </c>
      <c r="U286" s="14">
        <v>2.3</v>
      </c>
      <c r="V286" s="193">
        <f>R286*S286*T286/6000</f>
        <v>3.69895833333333</v>
      </c>
      <c r="W286" s="193">
        <f>MAX(U286:V286)</f>
        <v>3.69895833333333</v>
      </c>
      <c r="X286" s="20" t="s">
        <v>21</v>
      </c>
      <c r="Y286" s="196">
        <v>5.55136</v>
      </c>
      <c r="Z286" s="193">
        <v>13</v>
      </c>
      <c r="AA286" s="193">
        <f>H286-SUM(K286:P286)*H286-J286-I286/B286-Z286/B286</f>
        <v>-0.422172654867252</v>
      </c>
      <c r="AB286" s="195">
        <f>AA286/H286</f>
        <v>-0.0110396468461554</v>
      </c>
      <c r="AC286" s="14"/>
      <c r="AD286" s="17">
        <f>J286/H286</f>
        <v>0.10329092739563</v>
      </c>
      <c r="AE286" s="18">
        <f>I286/7.4/H286</f>
        <v>0.337737024899503</v>
      </c>
      <c r="AF286" s="18">
        <f>Z286/7.4/H286</f>
        <v>0.0459384897756824</v>
      </c>
      <c r="AG286" s="18">
        <v>0.15</v>
      </c>
      <c r="AH286" s="18">
        <f>N286</f>
        <v>0.156897611233869</v>
      </c>
      <c r="AI286" s="18">
        <v>0.02</v>
      </c>
      <c r="AJ286" s="18">
        <f>M286</f>
        <v>0.05</v>
      </c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</row>
    <row r="287" spans="1:75">
      <c r="A287" s="207"/>
      <c r="B287" s="20"/>
      <c r="C287" s="20"/>
      <c r="D287" s="20"/>
      <c r="E287" s="20"/>
      <c r="F287" s="193"/>
      <c r="G287" s="193"/>
      <c r="H287" s="198"/>
      <c r="I287" s="193"/>
      <c r="J287" s="20"/>
      <c r="K287" s="18"/>
      <c r="L287" s="18"/>
      <c r="M287" s="18"/>
      <c r="N287" s="18"/>
      <c r="O287" s="195"/>
      <c r="P287" s="18"/>
      <c r="Q287" s="18"/>
      <c r="R287" s="14"/>
      <c r="S287" s="14"/>
      <c r="T287" s="14"/>
      <c r="U287" s="14"/>
      <c r="V287" s="193"/>
      <c r="W287" s="193"/>
      <c r="X287" s="20"/>
      <c r="Y287" s="196"/>
      <c r="Z287" s="20"/>
      <c r="AA287" s="193"/>
      <c r="AB287" s="195"/>
      <c r="AC287" s="14"/>
      <c r="AD287" s="17"/>
      <c r="AE287" s="18"/>
      <c r="AF287" s="18"/>
      <c r="AG287" s="18"/>
      <c r="AH287" s="18"/>
      <c r="AI287" s="18"/>
      <c r="AJ287" s="18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</row>
    <row r="288" spans="1:75">
      <c r="A288" s="208" t="s">
        <v>567</v>
      </c>
      <c r="B288" s="14">
        <v>9</v>
      </c>
      <c r="C288" s="20" t="s">
        <v>517</v>
      </c>
      <c r="D288" s="20" t="s">
        <v>300</v>
      </c>
      <c r="E288" s="20" t="s">
        <v>507</v>
      </c>
      <c r="F288" s="193">
        <f>IF(E288="有",(I288/B288+J288+Z288/B288)/(0.99999-K288-L288-M288-N288),(I288/B288+J288+Z288/B288)/(0.99999-K288-M288-N288))</f>
        <v>30.8273021569874</v>
      </c>
      <c r="G288" s="193">
        <f>IF(E288="有",(I288/B288+J288+Z288/B288)/(0.8-K288-L288-M288-N288-O288-P288),(I288/B288+J288+Z288/B288)/(0.8-K288-M288-N288-O288-P288))</f>
        <v>59.298778662944</v>
      </c>
      <c r="H288" s="198">
        <v>39.99</v>
      </c>
      <c r="I288" s="193">
        <f>108/1.13</f>
        <v>95.5752212389381</v>
      </c>
      <c r="J288" s="14">
        <v>3.04</v>
      </c>
      <c r="K288" s="18">
        <v>0.15</v>
      </c>
      <c r="L288" s="18">
        <v>0.16</v>
      </c>
      <c r="M288" s="18">
        <v>0.05</v>
      </c>
      <c r="N288" s="18">
        <f>Q288/H288</f>
        <v>0.150037509377344</v>
      </c>
      <c r="O288" s="195">
        <f>0.61/H288</f>
        <v>0.0152538134533633</v>
      </c>
      <c r="P288" s="18">
        <v>0.02</v>
      </c>
      <c r="Q288" s="193">
        <v>6</v>
      </c>
      <c r="R288" s="14">
        <v>33.5</v>
      </c>
      <c r="S288" s="14">
        <v>26.5</v>
      </c>
      <c r="T288" s="14">
        <v>25</v>
      </c>
      <c r="U288" s="14">
        <v>2.3</v>
      </c>
      <c r="V288" s="193">
        <f>R288*S288*T288/6000</f>
        <v>3.69895833333333</v>
      </c>
      <c r="W288" s="193">
        <f>MAX(U288:V288)</f>
        <v>3.69895833333333</v>
      </c>
      <c r="X288" s="20" t="s">
        <v>21</v>
      </c>
      <c r="Y288" s="196">
        <v>6.084</v>
      </c>
      <c r="Z288" s="193">
        <v>13</v>
      </c>
      <c r="AA288" s="193">
        <f>H288-SUM(K288:P288)*H288-J288-I288/B288-Z288/B288</f>
        <v>3.07988652900688</v>
      </c>
      <c r="AB288" s="195">
        <f>AA288/H288</f>
        <v>0.0770164173295045</v>
      </c>
      <c r="AC288" s="14"/>
      <c r="AD288" s="17">
        <f>J288/H288</f>
        <v>0.0760190047511878</v>
      </c>
      <c r="AE288" s="18">
        <f>I288/7.4/H288</f>
        <v>0.322970003443219</v>
      </c>
      <c r="AF288" s="18">
        <f>Z288/7.4/H288</f>
        <v>0.0439299013942675</v>
      </c>
      <c r="AG288" s="18">
        <v>0.15</v>
      </c>
      <c r="AH288" s="18">
        <f>N288</f>
        <v>0.150037509377344</v>
      </c>
      <c r="AI288" s="18">
        <v>0.02</v>
      </c>
      <c r="AJ288" s="18">
        <f>M288</f>
        <v>0.05</v>
      </c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</row>
    <row r="289" spans="1:75">
      <c r="A289" s="208" t="s">
        <v>568</v>
      </c>
      <c r="B289" s="14">
        <v>9</v>
      </c>
      <c r="C289" s="20" t="s">
        <v>517</v>
      </c>
      <c r="D289" s="20" t="s">
        <v>300</v>
      </c>
      <c r="E289" s="20" t="s">
        <v>507</v>
      </c>
      <c r="F289" s="193">
        <f>IF(E289="有",(I289/B289+J289+Z289/B289)/(0.99999-K289-L289-M289-N289),(I289/B289+J289+Z289/B289)/(0.99999-K289-M289-N289))</f>
        <v>32.5883904109026</v>
      </c>
      <c r="G289" s="193">
        <f>IF(E289="有",(I289/B289+J289+Z289/B289)/(0.8-K289-L289-M289-N289-O289-P289),(I289/B289+J289+Z289/B289)/(0.8-K289-M289-N289-O289-P289))</f>
        <v>66.9678944109921</v>
      </c>
      <c r="H289" s="198">
        <f>H288*0.85</f>
        <v>33.9915</v>
      </c>
      <c r="I289" s="193">
        <f>108/1.13</f>
        <v>95.5752212389381</v>
      </c>
      <c r="J289" s="20">
        <v>3.04</v>
      </c>
      <c r="K289" s="18">
        <v>0.15</v>
      </c>
      <c r="L289" s="18">
        <v>0.16</v>
      </c>
      <c r="M289" s="18">
        <v>0.05</v>
      </c>
      <c r="N289" s="18">
        <f>Q289/H289</f>
        <v>0.176514716914523</v>
      </c>
      <c r="O289" s="195">
        <f>0.61/H289</f>
        <v>0.0179456628863098</v>
      </c>
      <c r="P289" s="18">
        <v>0.02</v>
      </c>
      <c r="Q289" s="193">
        <v>6</v>
      </c>
      <c r="R289" s="14">
        <v>33.5</v>
      </c>
      <c r="S289" s="14">
        <v>26.5</v>
      </c>
      <c r="T289" s="14">
        <v>25</v>
      </c>
      <c r="U289" s="14">
        <v>2.3</v>
      </c>
      <c r="V289" s="193">
        <f>R289*S289*T289/6000</f>
        <v>3.69895833333333</v>
      </c>
      <c r="W289" s="193">
        <f>MAX(U289:V289)</f>
        <v>3.69895833333333</v>
      </c>
      <c r="X289" s="20" t="s">
        <v>21</v>
      </c>
      <c r="Y289" s="196">
        <v>6.084</v>
      </c>
      <c r="Z289" s="193">
        <v>13</v>
      </c>
      <c r="AA289" s="193">
        <f>H289-SUM(K289:P289)*H289-J289-I289/B289-Z289/B289</f>
        <v>-0.639183470993117</v>
      </c>
      <c r="AB289" s="195">
        <f>AA289/H289</f>
        <v>-0.0188042149064654</v>
      </c>
      <c r="AC289" s="14"/>
      <c r="AD289" s="17">
        <f>J289/H289</f>
        <v>0.0894341232366915</v>
      </c>
      <c r="AE289" s="18">
        <f>I289/7.4/H289</f>
        <v>0.379964709933199</v>
      </c>
      <c r="AF289" s="18">
        <f>Z289/7.4/H289</f>
        <v>0.0516822369344323</v>
      </c>
      <c r="AG289" s="18">
        <v>0.15</v>
      </c>
      <c r="AH289" s="18">
        <f>N289</f>
        <v>0.176514716914523</v>
      </c>
      <c r="AI289" s="18">
        <v>0.02</v>
      </c>
      <c r="AJ289" s="18">
        <f>M289</f>
        <v>0.05</v>
      </c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</row>
    <row r="290" spans="1:75">
      <c r="F290" s="204"/>
      <c r="G290" s="204"/>
      <c r="I290" s="204"/>
      <c r="O290" s="71"/>
      <c r="Q290" s="15"/>
      <c r="V290" s="204"/>
      <c r="W290" s="204"/>
      <c r="Y290" s="205"/>
      <c r="Z290" s="204"/>
      <c r="AA290" s="204"/>
      <c r="AB290" s="71"/>
      <c r="AD290" s="206"/>
      <c r="AE290" s="15"/>
      <c r="AF290" s="15"/>
    </row>
    <row r="291" spans="1:75">
      <c r="A291" s="207" t="s">
        <v>569</v>
      </c>
      <c r="B291" s="20">
        <v>8</v>
      </c>
      <c r="C291" s="20" t="s">
        <v>506</v>
      </c>
      <c r="D291" s="20" t="s">
        <v>277</v>
      </c>
      <c r="E291" s="20" t="s">
        <v>507</v>
      </c>
      <c r="F291" s="193">
        <f>IF(E291="有",(I291/B291+J291+Z291/B291)/(0.99999-K291-L291-M291-N291),(I291/B291+J291+Z291/B291)/(0.99999-K291-M291-N291))</f>
        <v>21.5737904917678</v>
      </c>
      <c r="G291" s="193">
        <f>IF(E291="有",(I291/B291+J291+Z291/B291)/(0.8-K291-L291-M291-N291-O291-P291),(I291/B291+J291+Z291/B291)/(0.8-K291-M291-N291-O291-P291))</f>
        <v>41.2994269770762</v>
      </c>
      <c r="H291" s="198">
        <v>34.99</v>
      </c>
      <c r="I291" s="193">
        <f>61.6/1.13</f>
        <v>54.5132743362832</v>
      </c>
      <c r="J291" s="20">
        <v>3.16</v>
      </c>
      <c r="K291" s="18">
        <v>0.15</v>
      </c>
      <c r="L291" s="18">
        <v>0.16</v>
      </c>
      <c r="M291" s="18">
        <v>0.05</v>
      </c>
      <c r="N291" s="18">
        <f>Q291/H291</f>
        <v>0.142897970848814</v>
      </c>
      <c r="O291" s="195">
        <f>0.61/H291</f>
        <v>0.0174335524435553</v>
      </c>
      <c r="P291" s="18">
        <v>0.02</v>
      </c>
      <c r="Q291" s="193">
        <v>5</v>
      </c>
      <c r="R291" s="14">
        <v>33.5</v>
      </c>
      <c r="S291" s="14">
        <v>26.5</v>
      </c>
      <c r="T291" s="14">
        <v>25</v>
      </c>
      <c r="U291" s="14">
        <v>2.3</v>
      </c>
      <c r="V291" s="193">
        <f>R291*S291*T291/6000</f>
        <v>3.69895833333333</v>
      </c>
      <c r="W291" s="193">
        <f>MAX(U291:V291)</f>
        <v>3.69895833333333</v>
      </c>
      <c r="X291" s="14" t="s">
        <v>21</v>
      </c>
      <c r="Y291" s="196">
        <v>5.55136</v>
      </c>
      <c r="Z291" s="193">
        <v>6</v>
      </c>
      <c r="AA291" s="193">
        <f>H291-SUM(K291:P291)*H291-J291-I291/B291-Z291/B291</f>
        <v>5.3596407079646</v>
      </c>
      <c r="AB291" s="195">
        <f>AA291/H291</f>
        <v>0.153176356329369</v>
      </c>
      <c r="AC291" s="14"/>
      <c r="AD291" s="17">
        <f>J291/H291</f>
        <v>0.0903115175764504</v>
      </c>
      <c r="AE291" s="18">
        <f>I291/7.4/H291</f>
        <v>0.210536115864313</v>
      </c>
      <c r="AF291" s="18">
        <f>Z291/7.4/H291</f>
        <v>0.0231726439214293</v>
      </c>
      <c r="AG291" s="18">
        <v>0.15</v>
      </c>
      <c r="AH291" s="18">
        <f>N291</f>
        <v>0.142897970848814</v>
      </c>
      <c r="AI291" s="18">
        <v>0.02</v>
      </c>
      <c r="AJ291" s="18">
        <f>M291</f>
        <v>0.05</v>
      </c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</row>
    <row r="292" spans="1:75">
      <c r="A292" s="207" t="s">
        <v>570</v>
      </c>
      <c r="B292" s="20">
        <v>8</v>
      </c>
      <c r="C292" s="20" t="s">
        <v>506</v>
      </c>
      <c r="D292" s="20" t="s">
        <v>277</v>
      </c>
      <c r="E292" s="20" t="s">
        <v>507</v>
      </c>
      <c r="F292" s="193">
        <f>IF(E292="有",(I292/B292+J292+Z292/B292)/(0.99999-K292-L292-M292-N292),(I292/B292+J292+Z292/B292)/(0.99999-K292-M292-N292))</f>
        <v>22.7267077021183</v>
      </c>
      <c r="G292" s="193">
        <f>IF(E292="有",(I292/B292+J292+Z292/B292)/(0.8-K292-L292-M292-N292-O292-P292),(I292/B292+J292+Z292/B292)/(0.8-K292-M292-N292-O292-P292))</f>
        <v>46.349753406497</v>
      </c>
      <c r="H292" s="198">
        <f>H291*0.85</f>
        <v>29.7415</v>
      </c>
      <c r="I292" s="193">
        <f>61.6/1.13</f>
        <v>54.5132743362832</v>
      </c>
      <c r="J292" s="20">
        <v>3.16</v>
      </c>
      <c r="K292" s="18">
        <v>0.15</v>
      </c>
      <c r="L292" s="18">
        <v>0.16</v>
      </c>
      <c r="M292" s="18">
        <v>0.05</v>
      </c>
      <c r="N292" s="18">
        <f>Q292/H292</f>
        <v>0.168115259822134</v>
      </c>
      <c r="O292" s="195">
        <f>0.61/H292</f>
        <v>0.0205100616983004</v>
      </c>
      <c r="P292" s="18">
        <v>0.02</v>
      </c>
      <c r="Q292" s="193">
        <v>5</v>
      </c>
      <c r="R292" s="14">
        <v>33.5</v>
      </c>
      <c r="S292" s="14">
        <v>26.5</v>
      </c>
      <c r="T292" s="14">
        <v>25</v>
      </c>
      <c r="U292" s="14">
        <v>2.3</v>
      </c>
      <c r="V292" s="193">
        <f>R292*S292*T292/6000</f>
        <v>3.69895833333333</v>
      </c>
      <c r="W292" s="193">
        <f>MAX(U292:V292)</f>
        <v>3.69895833333333</v>
      </c>
      <c r="X292" s="20" t="s">
        <v>21</v>
      </c>
      <c r="Y292" s="196">
        <v>5.55136</v>
      </c>
      <c r="Z292" s="193">
        <v>6</v>
      </c>
      <c r="AA292" s="193">
        <f>H292-SUM(K292:P292)*H292-J292-I292/B292-Z292/B292</f>
        <v>2.1055707079646</v>
      </c>
      <c r="AB292" s="195">
        <f>AA292/H292</f>
        <v>0.0707957133286688</v>
      </c>
      <c r="AC292" s="14"/>
      <c r="AD292" s="17">
        <f>J292/H292</f>
        <v>0.106248844207589</v>
      </c>
      <c r="AE292" s="18">
        <f>I292/B292/H292</f>
        <v>0.229112831969988</v>
      </c>
      <c r="AF292" s="18">
        <f>Z292/B292/H292</f>
        <v>0.0252172889733201</v>
      </c>
      <c r="AG292" s="18">
        <f>K292</f>
        <v>0.15</v>
      </c>
      <c r="AH292" s="18">
        <f>N292</f>
        <v>0.168115259822134</v>
      </c>
      <c r="AI292" s="18">
        <v>0.02</v>
      </c>
      <c r="AJ292" s="18">
        <f>M292</f>
        <v>0.05</v>
      </c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</row>
    <row r="293" spans="1:75">
      <c r="A293" s="207"/>
      <c r="B293" s="14"/>
      <c r="C293" s="14"/>
      <c r="D293" s="14"/>
      <c r="E293" s="14"/>
      <c r="F293" s="193"/>
      <c r="G293" s="193"/>
      <c r="H293" s="198"/>
      <c r="I293" s="193"/>
      <c r="J293" s="20"/>
      <c r="K293" s="18"/>
      <c r="L293" s="18"/>
      <c r="M293" s="18"/>
      <c r="N293" s="18"/>
      <c r="O293" s="195"/>
      <c r="P293" s="18"/>
      <c r="Q293" s="193"/>
      <c r="R293" s="14"/>
      <c r="S293" s="14"/>
      <c r="T293" s="14"/>
      <c r="U293" s="14"/>
      <c r="V293" s="193"/>
      <c r="W293" s="193"/>
      <c r="X293" s="20"/>
      <c r="Y293" s="196"/>
      <c r="Z293" s="20"/>
      <c r="AA293" s="193"/>
      <c r="AB293" s="195"/>
      <c r="AC293" s="14"/>
      <c r="AD293" s="17"/>
      <c r="AE293" s="18"/>
      <c r="AF293" s="18"/>
      <c r="AG293" s="18"/>
      <c r="AH293" s="18"/>
      <c r="AI293" s="18"/>
      <c r="AJ293" s="18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</row>
    <row r="294" spans="1:75">
      <c r="A294" s="208" t="s">
        <v>569</v>
      </c>
      <c r="B294" s="20">
        <v>8</v>
      </c>
      <c r="C294" s="14" t="s">
        <v>510</v>
      </c>
      <c r="D294" s="14" t="s">
        <v>511</v>
      </c>
      <c r="E294" s="20" t="s">
        <v>507</v>
      </c>
      <c r="F294" s="193">
        <f>IF(E294="有",(I294/B294+J294+Z294/B294)/(0.99999-K294-L294-M294-N294),(I294/B294+J294+Z294/B294)/(0.99999-K294-M294-N294))</f>
        <v>24.7120423817926</v>
      </c>
      <c r="G294" s="193">
        <f>IF(E294="有",(I294/B294+J294+Z294/B294)/(0.8-K294-L294-M294-N294-O294-P294),(I294/B294+J294+Z294/B294)/(0.8-K294-M294-N294-O294-P294))</f>
        <v>47.3070872821676</v>
      </c>
      <c r="H294" s="198">
        <v>34.99</v>
      </c>
      <c r="I294" s="193">
        <f>61.6/1.13</f>
        <v>54.5132743362832</v>
      </c>
      <c r="J294" s="20">
        <v>4.72</v>
      </c>
      <c r="K294" s="18">
        <v>0.15</v>
      </c>
      <c r="L294" s="18">
        <v>0.16</v>
      </c>
      <c r="M294" s="18">
        <v>0.05</v>
      </c>
      <c r="N294" s="18">
        <f>Q294/H294</f>
        <v>0.142897970848814</v>
      </c>
      <c r="O294" s="195">
        <f>0.61/H294</f>
        <v>0.0174335524435553</v>
      </c>
      <c r="P294" s="18">
        <v>0.02</v>
      </c>
      <c r="Q294" s="193">
        <v>5</v>
      </c>
      <c r="R294" s="14">
        <v>33.5</v>
      </c>
      <c r="S294" s="14">
        <v>26.5</v>
      </c>
      <c r="T294" s="14">
        <v>25</v>
      </c>
      <c r="U294" s="14">
        <v>2.3</v>
      </c>
      <c r="V294" s="193">
        <f>R294*S294*T294/6000</f>
        <v>3.69895833333333</v>
      </c>
      <c r="W294" s="193">
        <f>MAX(U294:V294)</f>
        <v>3.69895833333333</v>
      </c>
      <c r="X294" s="14" t="s">
        <v>21</v>
      </c>
      <c r="Y294" s="196">
        <v>5.55136</v>
      </c>
      <c r="Z294" s="193">
        <v>6</v>
      </c>
      <c r="AA294" s="193">
        <f>H294-SUM(K294:P294)*H294-J294-I294/B294-Z294/B294</f>
        <v>3.79964070796461</v>
      </c>
      <c r="AB294" s="195">
        <f>AA294/H294</f>
        <v>0.108592189424539</v>
      </c>
      <c r="AC294" s="14"/>
      <c r="AD294" s="17">
        <f>J294/H294</f>
        <v>0.13489568448128</v>
      </c>
      <c r="AE294" s="18">
        <f>I294/7.4/H294</f>
        <v>0.210536115864313</v>
      </c>
      <c r="AF294" s="18">
        <f>Z294/7.4/H294</f>
        <v>0.0231726439214293</v>
      </c>
      <c r="AG294" s="18">
        <v>0.15</v>
      </c>
      <c r="AH294" s="18">
        <f>N294</f>
        <v>0.142897970848814</v>
      </c>
      <c r="AI294" s="18">
        <v>0.02</v>
      </c>
      <c r="AJ294" s="18">
        <f>M294</f>
        <v>0.05</v>
      </c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</row>
    <row r="295" spans="1:75">
      <c r="A295" s="208" t="s">
        <v>570</v>
      </c>
      <c r="B295" s="20">
        <v>8</v>
      </c>
      <c r="C295" s="20" t="s">
        <v>510</v>
      </c>
      <c r="D295" s="20" t="s">
        <v>511</v>
      </c>
      <c r="E295" s="20" t="s">
        <v>507</v>
      </c>
      <c r="F295" s="193">
        <f>IF(E295="有",(I295/B295+J295+Z295/B295)/(0.99999-K295-L295-M295-N295),(I295/B295+J295+Z295/B295)/(0.99999-K295-M295-N295))</f>
        <v>26.0326697873361</v>
      </c>
      <c r="G295" s="193">
        <f>IF(E295="有",(I295/B295+J295+Z295/B295)/(0.8-K295-L295-M295-N295-O295-P295),(I295/B295+J295+Z295/B295)/(0.8-K295-M295-N295-O295-P295))</f>
        <v>53.0920642343337</v>
      </c>
      <c r="H295" s="198">
        <f>H294*0.85</f>
        <v>29.7415</v>
      </c>
      <c r="I295" s="193">
        <f>61.6/1.13</f>
        <v>54.5132743362832</v>
      </c>
      <c r="J295" s="20">
        <v>4.72</v>
      </c>
      <c r="K295" s="18">
        <v>0.15</v>
      </c>
      <c r="L295" s="18">
        <v>0.16</v>
      </c>
      <c r="M295" s="18">
        <v>0.05</v>
      </c>
      <c r="N295" s="18">
        <f>Q295/H295</f>
        <v>0.168115259822134</v>
      </c>
      <c r="O295" s="195">
        <f>0.61/H295</f>
        <v>0.0205100616983004</v>
      </c>
      <c r="P295" s="18">
        <v>0.02</v>
      </c>
      <c r="Q295" s="193">
        <v>5</v>
      </c>
      <c r="R295" s="14">
        <v>33.5</v>
      </c>
      <c r="S295" s="14">
        <v>26.5</v>
      </c>
      <c r="T295" s="14">
        <v>25</v>
      </c>
      <c r="U295" s="14">
        <v>2.3</v>
      </c>
      <c r="V295" s="193">
        <f>R295*S295*T295/6000</f>
        <v>3.69895833333333</v>
      </c>
      <c r="W295" s="193">
        <f>MAX(U295:V295)</f>
        <v>3.69895833333333</v>
      </c>
      <c r="X295" s="20" t="s">
        <v>21</v>
      </c>
      <c r="Y295" s="196">
        <v>5.55136</v>
      </c>
      <c r="Z295" s="193">
        <v>6</v>
      </c>
      <c r="AA295" s="193">
        <f>H295-SUM(K295:P295)*H295-J295-I295/B295-Z295/B295</f>
        <v>0.545570707964604</v>
      </c>
      <c r="AB295" s="195">
        <f>AA295/H295</f>
        <v>0.018343752264163</v>
      </c>
      <c r="AC295" s="14"/>
      <c r="AD295" s="17">
        <f>J295/H295</f>
        <v>0.158700805272095</v>
      </c>
      <c r="AE295" s="18">
        <f>I295/7.4/H295</f>
        <v>0.247689548075663</v>
      </c>
      <c r="AF295" s="18">
        <f>Z295/7.4/H295</f>
        <v>0.0272619340252109</v>
      </c>
      <c r="AG295" s="18">
        <v>0.15</v>
      </c>
      <c r="AH295" s="18">
        <f>N295</f>
        <v>0.168115259822134</v>
      </c>
      <c r="AI295" s="18">
        <v>0.02</v>
      </c>
      <c r="AJ295" s="18">
        <f>M295</f>
        <v>0.05</v>
      </c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</row>
    <row r="296" spans="1:75">
      <c r="A296" s="207"/>
      <c r="B296" s="14"/>
      <c r="C296" s="14"/>
      <c r="D296" s="14"/>
      <c r="E296" s="14"/>
      <c r="F296" s="193"/>
      <c r="G296" s="193"/>
      <c r="H296" s="198"/>
      <c r="I296" s="193"/>
      <c r="J296" s="20"/>
      <c r="K296" s="18"/>
      <c r="L296" s="18"/>
      <c r="M296" s="18"/>
      <c r="N296" s="18"/>
      <c r="O296" s="195"/>
      <c r="P296" s="18"/>
      <c r="Q296" s="18"/>
      <c r="R296" s="14"/>
      <c r="S296" s="14"/>
      <c r="T296" s="14"/>
      <c r="U296" s="14"/>
      <c r="V296" s="193"/>
      <c r="W296" s="193"/>
      <c r="X296" s="20"/>
      <c r="Y296" s="196"/>
      <c r="Z296" s="20"/>
      <c r="AA296" s="193"/>
      <c r="AB296" s="195"/>
      <c r="AC296" s="14"/>
      <c r="AD296" s="17"/>
      <c r="AE296" s="18"/>
      <c r="AF296" s="18"/>
      <c r="AG296" s="18"/>
      <c r="AH296" s="18"/>
      <c r="AI296" s="18"/>
      <c r="AJ296" s="18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</row>
    <row r="297" spans="1:75">
      <c r="A297" s="208" t="s">
        <v>569</v>
      </c>
      <c r="B297" s="20">
        <v>8</v>
      </c>
      <c r="C297" s="14" t="s">
        <v>512</v>
      </c>
      <c r="D297" s="14" t="s">
        <v>513</v>
      </c>
      <c r="E297" s="20" t="s">
        <v>507</v>
      </c>
      <c r="F297" s="193">
        <f>IF(E297="有",(I297/B297+J297+Z297/B297)/(0.99999-K297-L297-M297-N297),(I297/B297+J297+Z297/B297)/(0.99999-K297-M297-N297))</f>
        <v>23.6056074205659</v>
      </c>
      <c r="G297" s="193">
        <f>IF(E297="有",(I297/B297+J297+Z297/B297)/(0.8-K297-L297-M297-N297-O297-P297),(I297/B297+J297+Z297/B297)/(0.8-K297-M297-N297-O297-P297))</f>
        <v>45.1890019181931</v>
      </c>
      <c r="H297" s="198">
        <v>34.99</v>
      </c>
      <c r="I297" s="193">
        <f>61.6/1.13</f>
        <v>54.5132743362832</v>
      </c>
      <c r="J297" s="20">
        <v>4.17</v>
      </c>
      <c r="K297" s="18">
        <v>0.15</v>
      </c>
      <c r="L297" s="18">
        <v>0.16</v>
      </c>
      <c r="M297" s="18">
        <v>0.05</v>
      </c>
      <c r="N297" s="18">
        <f>Q297/H297</f>
        <v>0.142897970848814</v>
      </c>
      <c r="O297" s="195">
        <f>0.61/H297</f>
        <v>0.0174335524435553</v>
      </c>
      <c r="P297" s="18">
        <v>0.02</v>
      </c>
      <c r="Q297" s="193">
        <v>5</v>
      </c>
      <c r="R297" s="14">
        <v>33.5</v>
      </c>
      <c r="S297" s="14">
        <v>26.5</v>
      </c>
      <c r="T297" s="14">
        <v>25</v>
      </c>
      <c r="U297" s="14">
        <v>2.3</v>
      </c>
      <c r="V297" s="193">
        <f>R297*S297*T297/6000</f>
        <v>3.69895833333333</v>
      </c>
      <c r="W297" s="193">
        <f>MAX(U297:V297)</f>
        <v>3.69895833333333</v>
      </c>
      <c r="X297" s="14" t="s">
        <v>21</v>
      </c>
      <c r="Y297" s="196">
        <v>5.55136</v>
      </c>
      <c r="Z297" s="193">
        <v>6</v>
      </c>
      <c r="AA297" s="193">
        <f>H297-SUM(K297:P297)*H297-J297-I297/B297-Z297/B297</f>
        <v>4.34964070796461</v>
      </c>
      <c r="AB297" s="195">
        <f>AA297/H297</f>
        <v>0.124310966217908</v>
      </c>
      <c r="AC297" s="14"/>
      <c r="AD297" s="17">
        <f>J297/H297</f>
        <v>0.119176907687911</v>
      </c>
      <c r="AE297" s="18">
        <f>I297/7.4/H297</f>
        <v>0.210536115864313</v>
      </c>
      <c r="AF297" s="18">
        <f>Z297/7.4/H297</f>
        <v>0.0231726439214293</v>
      </c>
      <c r="AG297" s="18">
        <v>0.15</v>
      </c>
      <c r="AH297" s="18">
        <f>N297</f>
        <v>0.142897970848814</v>
      </c>
      <c r="AI297" s="18">
        <v>0.02</v>
      </c>
      <c r="AJ297" s="18">
        <f>M297</f>
        <v>0.05</v>
      </c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</row>
    <row r="298" spans="1:75">
      <c r="A298" s="208" t="s">
        <v>570</v>
      </c>
      <c r="B298" s="20">
        <v>8</v>
      </c>
      <c r="C298" s="20" t="s">
        <v>512</v>
      </c>
      <c r="D298" s="20" t="s">
        <v>513</v>
      </c>
      <c r="E298" s="20" t="s">
        <v>507</v>
      </c>
      <c r="F298" s="193">
        <f>IF(E298="有",(I298/B298+J298+Z298/B298)/(0.99999-K298-L298-M298-N298),(I298/B298+J298+Z298/B298)/(0.99999-K298-M298-N298))</f>
        <v>24.8671062316504</v>
      </c>
      <c r="G298" s="193">
        <f>IF(E298="有",(I298/B298+J298+Z298/B298)/(0.8-K298-L298-M298-N298-O298-P298),(I298/B298+J298+Z298/B298)/(0.8-K298-M298-N298-O298-P298))</f>
        <v>50.7149674681092</v>
      </c>
      <c r="H298" s="198">
        <f>H297*0.85</f>
        <v>29.7415</v>
      </c>
      <c r="I298" s="193">
        <f>61.6/1.13</f>
        <v>54.5132743362832</v>
      </c>
      <c r="J298" s="20">
        <v>4.17</v>
      </c>
      <c r="K298" s="18">
        <v>0.15</v>
      </c>
      <c r="L298" s="18">
        <v>0.16</v>
      </c>
      <c r="M298" s="18">
        <v>0.05</v>
      </c>
      <c r="N298" s="18">
        <f>Q298/H298</f>
        <v>0.168115259822134</v>
      </c>
      <c r="O298" s="195">
        <f>0.61/H298</f>
        <v>0.0205100616983004</v>
      </c>
      <c r="P298" s="18">
        <v>0.02</v>
      </c>
      <c r="Q298" s="193">
        <v>5</v>
      </c>
      <c r="R298" s="14">
        <v>33.5</v>
      </c>
      <c r="S298" s="14">
        <v>26.5</v>
      </c>
      <c r="T298" s="14">
        <v>25</v>
      </c>
      <c r="U298" s="14">
        <v>2.3</v>
      </c>
      <c r="V298" s="193">
        <f>R298*S298*T298/6000</f>
        <v>3.69895833333333</v>
      </c>
      <c r="W298" s="193">
        <f>MAX(U298:V298)</f>
        <v>3.69895833333333</v>
      </c>
      <c r="X298" s="20" t="s">
        <v>21</v>
      </c>
      <c r="Y298" s="196">
        <v>5.55136</v>
      </c>
      <c r="Z298" s="193">
        <v>6</v>
      </c>
      <c r="AA298" s="193">
        <f>H298-SUM(K298:P298)*H298-J298-I298/B298-Z298/B298</f>
        <v>1.0955707079646</v>
      </c>
      <c r="AB298" s="195">
        <f>AA298/H298</f>
        <v>0.0368364308445977</v>
      </c>
      <c r="AC298" s="14"/>
      <c r="AD298" s="17">
        <f>J298/H298</f>
        <v>0.14020812669166</v>
      </c>
      <c r="AE298" s="18">
        <f>I298/7.4/H298</f>
        <v>0.247689548075663</v>
      </c>
      <c r="AF298" s="18">
        <f>Z298/7.4/H298</f>
        <v>0.0272619340252109</v>
      </c>
      <c r="AG298" s="18">
        <v>0.15</v>
      </c>
      <c r="AH298" s="18">
        <f>N298</f>
        <v>0.168115259822134</v>
      </c>
      <c r="AI298" s="18">
        <v>0.02</v>
      </c>
      <c r="AJ298" s="18">
        <f>M298</f>
        <v>0.05</v>
      </c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</row>
    <row r="299" spans="1:75">
      <c r="A299" s="207"/>
      <c r="B299" s="14"/>
      <c r="C299" s="14"/>
      <c r="D299" s="14"/>
      <c r="E299" s="14"/>
      <c r="F299" s="193"/>
      <c r="G299" s="193"/>
      <c r="H299" s="198"/>
      <c r="I299" s="193"/>
      <c r="J299" s="20"/>
      <c r="K299" s="18"/>
      <c r="L299" s="18"/>
      <c r="M299" s="18"/>
      <c r="N299" s="18"/>
      <c r="O299" s="195"/>
      <c r="P299" s="18"/>
      <c r="Q299" s="18"/>
      <c r="R299" s="14"/>
      <c r="S299" s="14"/>
      <c r="T299" s="14"/>
      <c r="U299" s="14"/>
      <c r="V299" s="193"/>
      <c r="W299" s="193"/>
      <c r="X299" s="20"/>
      <c r="Y299" s="196"/>
      <c r="Z299" s="20"/>
      <c r="AA299" s="193"/>
      <c r="AB299" s="195"/>
      <c r="AC299" s="14"/>
      <c r="AD299" s="17"/>
      <c r="AE299" s="18"/>
      <c r="AF299" s="18"/>
      <c r="AG299" s="18"/>
      <c r="AH299" s="18"/>
      <c r="AI299" s="18"/>
      <c r="AJ299" s="18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</row>
    <row r="300" spans="1:75">
      <c r="A300" s="208" t="s">
        <v>569</v>
      </c>
      <c r="B300" s="20">
        <v>8</v>
      </c>
      <c r="C300" s="14" t="s">
        <v>515</v>
      </c>
      <c r="D300" s="14" t="s">
        <v>516</v>
      </c>
      <c r="E300" s="20" t="s">
        <v>507</v>
      </c>
      <c r="F300" s="193">
        <f>IF(E300="有",(I300/B300+J300+Z300/B300)/(0.99999-K300-L300-M300-N300),(I300/B300+J300+Z300/B300)/(0.99999-K300-M300-N300))</f>
        <v>22.9618634431249</v>
      </c>
      <c r="G300" s="193">
        <f>IF(E300="有",(I300/B300+J300+Z300/B300)/(0.8-K300-L300-M300-N300-O300-P300),(I300/B300+J300+Z300/B300)/(0.8-K300-M300-N300-O300-P300))</f>
        <v>43.9566613427897</v>
      </c>
      <c r="H300" s="198">
        <v>34.99</v>
      </c>
      <c r="I300" s="193">
        <f>61.6/1.13</f>
        <v>54.5132743362832</v>
      </c>
      <c r="J300" s="20">
        <v>3.85</v>
      </c>
      <c r="K300" s="18">
        <v>0.15</v>
      </c>
      <c r="L300" s="18">
        <v>0.16</v>
      </c>
      <c r="M300" s="18">
        <v>0.05</v>
      </c>
      <c r="N300" s="18">
        <f>Q300/H300</f>
        <v>0.142897970848814</v>
      </c>
      <c r="O300" s="195">
        <f>0.61/H300</f>
        <v>0.0174335524435553</v>
      </c>
      <c r="P300" s="18">
        <v>0.02</v>
      </c>
      <c r="Q300" s="193">
        <v>5</v>
      </c>
      <c r="R300" s="14">
        <v>33.5</v>
      </c>
      <c r="S300" s="14">
        <v>26.5</v>
      </c>
      <c r="T300" s="14">
        <v>25</v>
      </c>
      <c r="U300" s="14">
        <v>2.3</v>
      </c>
      <c r="V300" s="193">
        <f>R300*S300*T300/6000</f>
        <v>3.69895833333333</v>
      </c>
      <c r="W300" s="193">
        <f>MAX(U300:V300)</f>
        <v>3.69895833333333</v>
      </c>
      <c r="X300" s="14" t="s">
        <v>21</v>
      </c>
      <c r="Y300" s="196">
        <v>5.55136</v>
      </c>
      <c r="Z300" s="193">
        <v>6</v>
      </c>
      <c r="AA300" s="193">
        <f>H300-SUM(K300:P300)*H300-J300-I300/B300-Z300/B300</f>
        <v>4.66964070796461</v>
      </c>
      <c r="AB300" s="195">
        <f>AA300/H300</f>
        <v>0.133456436352232</v>
      </c>
      <c r="AC300" s="14"/>
      <c r="AD300" s="17">
        <f>J300/H300</f>
        <v>0.110031437553587</v>
      </c>
      <c r="AE300" s="18">
        <f>I300/7.4/H300</f>
        <v>0.210536115864313</v>
      </c>
      <c r="AF300" s="18">
        <f>Z300/7.4/H300</f>
        <v>0.0231726439214293</v>
      </c>
      <c r="AG300" s="18">
        <v>0.15</v>
      </c>
      <c r="AH300" s="18">
        <f>N300</f>
        <v>0.142897970848814</v>
      </c>
      <c r="AI300" s="18">
        <v>0.02</v>
      </c>
      <c r="AJ300" s="18">
        <f>M300</f>
        <v>0.05</v>
      </c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</row>
    <row r="301" spans="1:75">
      <c r="A301" s="208" t="s">
        <v>570</v>
      </c>
      <c r="B301" s="20">
        <v>8</v>
      </c>
      <c r="C301" s="20" t="s">
        <v>515</v>
      </c>
      <c r="D301" s="20" t="s">
        <v>516</v>
      </c>
      <c r="E301" s="20" t="s">
        <v>507</v>
      </c>
      <c r="F301" s="193">
        <f>IF(E301="有",(I301/B301+J301+Z301/B301)/(0.99999-K301-L301-M301-N301),(I301/B301+J301+Z301/B301)/(0.99999-K301-M301-N301))</f>
        <v>24.1889601628877</v>
      </c>
      <c r="G301" s="193">
        <f>IF(E301="有",(I301/B301+J301+Z301/B301)/(0.8-K301-L301-M301-N301-O301-P301),(I301/B301+J301+Z301/B301)/(0.8-K301-M301-N301-O301-P301))</f>
        <v>49.3319293495786</v>
      </c>
      <c r="H301" s="198">
        <f>H300*0.85</f>
        <v>29.7415</v>
      </c>
      <c r="I301" s="193">
        <f>61.6/1.13</f>
        <v>54.5132743362832</v>
      </c>
      <c r="J301" s="20">
        <v>3.85</v>
      </c>
      <c r="K301" s="18">
        <v>0.15</v>
      </c>
      <c r="L301" s="18">
        <v>0.16</v>
      </c>
      <c r="M301" s="18">
        <v>0.05</v>
      </c>
      <c r="N301" s="18">
        <f>Q301/H301</f>
        <v>0.168115259822134</v>
      </c>
      <c r="O301" s="195">
        <f>0.61/H301</f>
        <v>0.0205100616983004</v>
      </c>
      <c r="P301" s="18">
        <v>0.02</v>
      </c>
      <c r="Q301" s="193">
        <v>5</v>
      </c>
      <c r="R301" s="14">
        <v>33.5</v>
      </c>
      <c r="S301" s="14">
        <v>26.5</v>
      </c>
      <c r="T301" s="14">
        <v>25</v>
      </c>
      <c r="U301" s="14">
        <v>2.3</v>
      </c>
      <c r="V301" s="193">
        <f>R301*S301*T301/6000</f>
        <v>3.69895833333333</v>
      </c>
      <c r="W301" s="193">
        <f>MAX(U301:V301)</f>
        <v>3.69895833333333</v>
      </c>
      <c r="X301" s="20" t="s">
        <v>21</v>
      </c>
      <c r="Y301" s="196">
        <v>5.55136</v>
      </c>
      <c r="Z301" s="193">
        <v>6</v>
      </c>
      <c r="AA301" s="193">
        <f>H301-SUM(K301:P301)*H301-J301-I301/B301-Z301/B301</f>
        <v>1.4155707079646</v>
      </c>
      <c r="AB301" s="195">
        <f>AA301/H301</f>
        <v>0.0475958074732143</v>
      </c>
      <c r="AC301" s="14"/>
      <c r="AD301" s="17">
        <f>J301/H301</f>
        <v>0.129448750063043</v>
      </c>
      <c r="AE301" s="18">
        <f>I301/7.4/H301</f>
        <v>0.247689548075663</v>
      </c>
      <c r="AF301" s="18">
        <f>Z301/7.4/H301</f>
        <v>0.0272619340252109</v>
      </c>
      <c r="AG301" s="18">
        <v>0.15</v>
      </c>
      <c r="AH301" s="18">
        <f>N301</f>
        <v>0.168115259822134</v>
      </c>
      <c r="AI301" s="18">
        <v>0.02</v>
      </c>
      <c r="AJ301" s="18">
        <f>M301</f>
        <v>0.05</v>
      </c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</row>
    <row r="302" spans="1:75">
      <c r="A302" s="207"/>
      <c r="B302" s="20"/>
      <c r="C302" s="20"/>
      <c r="D302" s="20"/>
      <c r="E302" s="20"/>
      <c r="F302" s="193"/>
      <c r="G302" s="193"/>
      <c r="H302" s="198"/>
      <c r="I302" s="193"/>
      <c r="J302" s="20"/>
      <c r="K302" s="18"/>
      <c r="L302" s="18"/>
      <c r="M302" s="18"/>
      <c r="N302" s="18"/>
      <c r="O302" s="195"/>
      <c r="P302" s="18"/>
      <c r="Q302" s="18"/>
      <c r="R302" s="14"/>
      <c r="S302" s="14"/>
      <c r="T302" s="14"/>
      <c r="U302" s="14"/>
      <c r="V302" s="193"/>
      <c r="W302" s="193"/>
      <c r="X302" s="20"/>
      <c r="Y302" s="196"/>
      <c r="Z302" s="20"/>
      <c r="AA302" s="193"/>
      <c r="AB302" s="195"/>
      <c r="AC302" s="14"/>
      <c r="AD302" s="17"/>
      <c r="AE302" s="18"/>
      <c r="AF302" s="18"/>
      <c r="AG302" s="18"/>
      <c r="AH302" s="18"/>
      <c r="AI302" s="18"/>
      <c r="AJ302" s="18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</row>
    <row r="303" spans="1:75">
      <c r="A303" s="208" t="s">
        <v>569</v>
      </c>
      <c r="B303" s="14">
        <v>9</v>
      </c>
      <c r="C303" s="20" t="s">
        <v>517</v>
      </c>
      <c r="D303" s="20" t="s">
        <v>300</v>
      </c>
      <c r="E303" s="20" t="s">
        <v>507</v>
      </c>
      <c r="F303" s="193">
        <f>IF(E303="有",(I303/B303+J303+Z303/B303)/(0.99999-K303-L303-M303-N303),(I303/B303+J303+Z303/B303)/(0.99999-K303-M303-N303))</f>
        <v>20.4190903765075</v>
      </c>
      <c r="G303" s="193">
        <f>IF(E303="有",(I303/B303+J303+Z303/B303)/(0.8-K303-L303-M303-N303-O303-P303),(I303/B303+J303+Z303/B303)/(0.8-K303-M303-N303-O303-P303))</f>
        <v>41.4861973550334</v>
      </c>
      <c r="H303" s="198">
        <v>29.99</v>
      </c>
      <c r="I303" s="193">
        <f>61.6/1.13</f>
        <v>54.5132743362832</v>
      </c>
      <c r="J303" s="20">
        <v>2.94</v>
      </c>
      <c r="K303" s="18">
        <v>0.15</v>
      </c>
      <c r="L303" s="18">
        <v>0.16</v>
      </c>
      <c r="M303" s="18">
        <v>0.05</v>
      </c>
      <c r="N303" s="18">
        <f>Q303/H303</f>
        <v>0.166722240746916</v>
      </c>
      <c r="O303" s="195">
        <f>0.61/H303</f>
        <v>0.0203401133711237</v>
      </c>
      <c r="P303" s="18">
        <v>0.02</v>
      </c>
      <c r="Q303" s="193">
        <v>5</v>
      </c>
      <c r="R303" s="14">
        <v>33.5</v>
      </c>
      <c r="S303" s="14">
        <v>26.5</v>
      </c>
      <c r="T303" s="14">
        <v>25</v>
      </c>
      <c r="U303" s="14">
        <v>2.3</v>
      </c>
      <c r="V303" s="193">
        <f>R303*S303*T303/6000</f>
        <v>3.69895833333333</v>
      </c>
      <c r="W303" s="193">
        <f>MAX(U303:V303)</f>
        <v>3.69895833333333</v>
      </c>
      <c r="X303" s="20" t="s">
        <v>21</v>
      </c>
      <c r="Y303" s="196">
        <v>6.084</v>
      </c>
      <c r="Z303" s="193">
        <v>6</v>
      </c>
      <c r="AA303" s="193">
        <f>H303-SUM(K303:P303)*H303-J303-I303/B303-Z303/B303</f>
        <v>3.32010285152409</v>
      </c>
      <c r="AB303" s="195">
        <f>AA303/H303</f>
        <v>0.110706997383264</v>
      </c>
      <c r="AC303" s="14"/>
      <c r="AD303" s="17">
        <f>J303/H303</f>
        <v>0.0980326775591864</v>
      </c>
      <c r="AE303" s="18">
        <f>I303/7.4/H303</f>
        <v>0.245637168859364</v>
      </c>
      <c r="AF303" s="18">
        <f>Z303/7.4/H303</f>
        <v>0.0270360390400404</v>
      </c>
      <c r="AG303" s="18">
        <v>0.15</v>
      </c>
      <c r="AH303" s="18">
        <f>N303</f>
        <v>0.166722240746916</v>
      </c>
      <c r="AI303" s="18">
        <v>0.02</v>
      </c>
      <c r="AJ303" s="18">
        <f>M303</f>
        <v>0.05</v>
      </c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</row>
    <row r="304" spans="1:75">
      <c r="A304" s="208" t="s">
        <v>570</v>
      </c>
      <c r="B304" s="14">
        <v>9</v>
      </c>
      <c r="C304" s="20" t="s">
        <v>517</v>
      </c>
      <c r="D304" s="20" t="s">
        <v>300</v>
      </c>
      <c r="E304" s="20" t="s">
        <v>507</v>
      </c>
      <c r="F304" s="193">
        <f>IF(E304="有",(I304/B304+J304+Z304/B304)/(0.99999-K304-L304-M304-N304),(I304/B304+J304+Z304/B304)/(0.99999-K304-M304-N304))</f>
        <v>21.7726262470121</v>
      </c>
      <c r="G304" s="193">
        <f>IF(E304="有",(I304/B304+J304+Z304/B304)/(0.8-K304-L304-M304-N304-O304-P304),(I304/B304+J304+Z304/B304)/(0.8-K304-M304-N304-O304-P304))</f>
        <v>48.3362149309171</v>
      </c>
      <c r="H304" s="198">
        <f>H303*0.85</f>
        <v>25.4915</v>
      </c>
      <c r="I304" s="193">
        <f>61.6/1.13</f>
        <v>54.5132743362832</v>
      </c>
      <c r="J304" s="20">
        <v>2.94</v>
      </c>
      <c r="K304" s="18">
        <v>0.15</v>
      </c>
      <c r="L304" s="18">
        <v>0.16</v>
      </c>
      <c r="M304" s="18">
        <v>0.05</v>
      </c>
      <c r="N304" s="18">
        <f>Q304/H304</f>
        <v>0.19614381264343</v>
      </c>
      <c r="O304" s="195">
        <f>0.61/H304</f>
        <v>0.0239295451424985</v>
      </c>
      <c r="P304" s="18">
        <v>0.02</v>
      </c>
      <c r="Q304" s="193">
        <v>5</v>
      </c>
      <c r="R304" s="14">
        <v>33.5</v>
      </c>
      <c r="S304" s="14">
        <v>26.5</v>
      </c>
      <c r="T304" s="14">
        <v>25</v>
      </c>
      <c r="U304" s="14">
        <v>2.3</v>
      </c>
      <c r="V304" s="193">
        <f>R304*S304*T304/6000</f>
        <v>3.69895833333333</v>
      </c>
      <c r="W304" s="193">
        <f>MAX(U304:V304)</f>
        <v>3.69895833333333</v>
      </c>
      <c r="X304" s="20" t="s">
        <v>21</v>
      </c>
      <c r="Y304" s="196">
        <v>6.084</v>
      </c>
      <c r="Z304" s="193">
        <v>6</v>
      </c>
      <c r="AA304" s="193">
        <f>H304-SUM(K304:P304)*H304-J304-I304/B304-Z304/B304</f>
        <v>0.53103285152409</v>
      </c>
      <c r="AB304" s="195">
        <f>AA304/H304</f>
        <v>0.0208317616273695</v>
      </c>
      <c r="AC304" s="14"/>
      <c r="AD304" s="17">
        <f>J304/H304</f>
        <v>0.115332561834337</v>
      </c>
      <c r="AE304" s="18">
        <f>I304/7.4/H304</f>
        <v>0.288984904540428</v>
      </c>
      <c r="AF304" s="18">
        <f>Z304/7.4/H304</f>
        <v>0.0318071047529887</v>
      </c>
      <c r="AG304" s="18">
        <v>0.15</v>
      </c>
      <c r="AH304" s="18">
        <f>N304</f>
        <v>0.19614381264343</v>
      </c>
      <c r="AI304" s="18">
        <v>0.02</v>
      </c>
      <c r="AJ304" s="18">
        <f>M304</f>
        <v>0.05</v>
      </c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437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A1" sqref="A1"/>
    </sheetView>
  </sheetViews>
  <sheetFormatPr defaultColWidth="17" defaultRowHeight="11.4"/>
  <cols>
    <col min="1" max="1" width="9.42708333333333" customWidth="1"/>
    <col min="2" max="2" width="11.875" customWidth="1"/>
    <col min="3" max="3" width="16.59375" customWidth="1"/>
    <col min="4" max="4" width="36.6666666666667" customWidth="1"/>
    <col min="5" max="5" width="11.3541666666667" customWidth="1"/>
    <col min="6" max="6" width="16.2395833333333" customWidth="1"/>
    <col min="7" max="8" width="13.625" customWidth="1"/>
    <col min="9" max="10" width="11.6979166666667" customWidth="1"/>
    <col min="11" max="11" width="15.1875" customWidth="1"/>
    <col min="12" max="12" width="12.3958333333333" customWidth="1"/>
    <col min="13" max="13" width="13.96875" customWidth="1"/>
    <col min="14" max="14" width="10.3020833333333" customWidth="1"/>
    <col min="15" max="15" width="10.6458333333333" customWidth="1"/>
    <col min="16" max="16" width="8.89583333333333" customWidth="1"/>
    <col min="17" max="17" width="9.08333333333333" customWidth="1"/>
    <col min="18" max="18" width="9.25" customWidth="1"/>
    <col min="19" max="19" width="10.125" customWidth="1"/>
    <col min="20" max="20" width="9.42708333333333" customWidth="1"/>
    <col min="21" max="21" width="7.67708333333333" customWidth="1"/>
    <col min="22" max="22" width="8.72916666666667" customWidth="1"/>
    <col min="23" max="23" width="8.5625" customWidth="1"/>
    <col min="24" max="24" width="10.6458333333333" customWidth="1"/>
    <col min="25" max="25" width="9.25" customWidth="1"/>
    <col min="26" max="26" width="9.78125" customWidth="1"/>
    <col min="27" max="27" width="10.6458333333333" customWidth="1"/>
    <col min="28" max="28" width="10.8333333333333" customWidth="1"/>
    <col min="29" max="29" width="10.125" customWidth="1"/>
    <col min="30" max="30" width="12.3958333333333" customWidth="1"/>
    <col min="31" max="31" width="9.25" customWidth="1"/>
    <col min="32" max="32" width="11.6979166666667" customWidth="1"/>
    <col min="33" max="33" width="10.4791666666667" customWidth="1"/>
    <col min="34" max="34" width="9.94791666666667" customWidth="1"/>
    <col min="35" max="35" width="11.3541666666667" customWidth="1"/>
    <col min="36" max="71" width="16.59375" customWidth="1"/>
  </cols>
  <sheetData>
    <row r="1" ht="46.8" spans="1:71">
      <c r="A1" s="146" t="s">
        <v>202</v>
      </c>
      <c r="B1" s="147" t="s">
        <v>0</v>
      </c>
      <c r="C1" s="147" t="s">
        <v>1</v>
      </c>
      <c r="D1" s="146" t="s">
        <v>3</v>
      </c>
      <c r="E1" s="148" t="s">
        <v>571</v>
      </c>
      <c r="F1" s="149" t="s">
        <v>572</v>
      </c>
      <c r="G1" s="150" t="s">
        <v>573</v>
      </c>
      <c r="H1" s="150" t="s">
        <v>574</v>
      </c>
      <c r="I1" s="150" t="s">
        <v>456</v>
      </c>
      <c r="J1" s="151" t="s">
        <v>423</v>
      </c>
      <c r="K1" s="152" t="s">
        <v>575</v>
      </c>
      <c r="L1" s="153" t="s">
        <v>457</v>
      </c>
      <c r="M1" s="146" t="s">
        <v>459</v>
      </c>
      <c r="N1" s="154" t="s">
        <v>460</v>
      </c>
      <c r="O1" s="155" t="s">
        <v>576</v>
      </c>
      <c r="P1" s="149" t="s">
        <v>9</v>
      </c>
      <c r="Q1" s="156" t="s">
        <v>135</v>
      </c>
      <c r="R1" s="157" t="s">
        <v>577</v>
      </c>
      <c r="S1" s="157" t="s">
        <v>578</v>
      </c>
      <c r="T1" s="157" t="s">
        <v>579</v>
      </c>
      <c r="U1" s="158" t="s">
        <v>580</v>
      </c>
      <c r="V1" s="50" t="s">
        <v>581</v>
      </c>
      <c r="W1" s="50" t="s">
        <v>582</v>
      </c>
      <c r="X1" s="158" t="s">
        <v>583</v>
      </c>
      <c r="Y1" s="158" t="s">
        <v>465</v>
      </c>
      <c r="Z1" s="158" t="s">
        <v>466</v>
      </c>
      <c r="AA1" s="158" t="s">
        <v>467</v>
      </c>
      <c r="AB1" s="158" t="s">
        <v>468</v>
      </c>
      <c r="AC1" s="159" t="s">
        <v>469</v>
      </c>
      <c r="AD1" s="160" t="s">
        <v>470</v>
      </c>
      <c r="AE1" s="159" t="s">
        <v>584</v>
      </c>
      <c r="AF1" s="50" t="s">
        <v>472</v>
      </c>
      <c r="AG1" s="50" t="s">
        <v>430</v>
      </c>
      <c r="AH1" s="152" t="s">
        <v>471</v>
      </c>
      <c r="AI1" s="50" t="s">
        <v>458</v>
      </c>
      <c r="AJ1" s="50" t="s">
        <v>585</v>
      </c>
      <c r="AK1" s="50" t="s">
        <v>586</v>
      </c>
      <c r="AL1" s="50" t="s">
        <v>123</v>
      </c>
      <c r="AM1" s="50" t="s">
        <v>587</v>
      </c>
      <c r="AN1" s="50" t="s">
        <v>588</v>
      </c>
      <c r="AO1" s="50" t="s">
        <v>589</v>
      </c>
      <c r="AP1" s="50" t="s">
        <v>590</v>
      </c>
      <c r="AQ1" s="50" t="s">
        <v>591</v>
      </c>
      <c r="AR1" s="50" t="s">
        <v>592</v>
      </c>
      <c r="AS1" s="50" t="s">
        <v>593</v>
      </c>
      <c r="AT1" s="49" t="s">
        <v>594</v>
      </c>
      <c r="AU1" s="49" t="s">
        <v>595</v>
      </c>
      <c r="AV1" s="49" t="s">
        <v>110</v>
      </c>
      <c r="AW1" s="49" t="s">
        <v>586</v>
      </c>
      <c r="AX1" s="49" t="s">
        <v>123</v>
      </c>
      <c r="AY1" s="49" t="s">
        <v>587</v>
      </c>
      <c r="AZ1" s="50" t="s">
        <v>588</v>
      </c>
      <c r="BA1" s="50" t="s">
        <v>589</v>
      </c>
      <c r="BB1" s="50" t="s">
        <v>590</v>
      </c>
      <c r="BC1" s="50" t="s">
        <v>591</v>
      </c>
      <c r="BD1" s="50" t="s">
        <v>592</v>
      </c>
      <c r="BE1" s="50" t="s">
        <v>593</v>
      </c>
      <c r="BF1" s="49" t="s">
        <v>596</v>
      </c>
      <c r="BG1" s="49" t="s">
        <v>595</v>
      </c>
      <c r="BH1" s="49" t="s">
        <v>110</v>
      </c>
      <c r="BI1" s="49" t="s">
        <v>586</v>
      </c>
      <c r="BJ1" s="49" t="s">
        <v>123</v>
      </c>
      <c r="BK1" s="49" t="s">
        <v>587</v>
      </c>
      <c r="BL1" s="50" t="s">
        <v>588</v>
      </c>
      <c r="BM1" s="50" t="s">
        <v>589</v>
      </c>
      <c r="BN1" s="50" t="s">
        <v>590</v>
      </c>
      <c r="BO1" s="50" t="s">
        <v>591</v>
      </c>
      <c r="BP1" s="50" t="s">
        <v>592</v>
      </c>
      <c r="BQ1" s="50" t="s">
        <v>593</v>
      </c>
      <c r="BR1" s="49" t="s">
        <v>597</v>
      </c>
      <c r="BS1" s="161" t="s">
        <v>598</v>
      </c>
    </row>
    <row r="2" ht="15.6" spans="1:71">
      <c r="A2" s="68" t="s">
        <v>300</v>
      </c>
      <c r="B2" s="53" t="s">
        <v>30</v>
      </c>
      <c r="C2" s="53" t="s">
        <v>31</v>
      </c>
      <c r="D2" s="162" t="s">
        <v>599</v>
      </c>
      <c r="E2" s="58">
        <v>48.3</v>
      </c>
      <c r="F2" s="56">
        <v>69.99</v>
      </c>
      <c r="G2" s="59">
        <f t="shared" ref="G2:G25" si="0">(F2-Z2)</f>
        <v>69.99</v>
      </c>
      <c r="H2" s="59">
        <f t="shared" ref="H2:H25" si="1">(F2-Z2)/1.2</f>
        <v>58.325</v>
      </c>
      <c r="I2" s="59">
        <f t="shared" ref="I2:I25" si="2">E2-N2/Q2-AB2-Y2-O2-Z2-AA2</f>
        <v>13.1413920353982</v>
      </c>
      <c r="J2" s="60">
        <f t="shared" ref="J2:J25" si="3">I2/E2</f>
        <v>0.272078510049653</v>
      </c>
      <c r="K2" s="57">
        <f t="shared" ref="K2:K25" si="4">F2/1.2</f>
        <v>58.325</v>
      </c>
      <c r="L2" s="163">
        <f t="shared" ref="L2:L25" si="5">(K2-E2)/K2</f>
        <v>0.171881697385341</v>
      </c>
      <c r="M2" s="59">
        <f t="shared" ref="M2:M25" si="6">F2/1.2-E2</f>
        <v>10.025</v>
      </c>
      <c r="N2" s="57">
        <f t="shared" ref="N2:N25" si="7">AD2+AH2</f>
        <v>142.566371681416</v>
      </c>
      <c r="O2" s="57">
        <f t="shared" ref="O2:O25" si="8">IFERROR(IF(A2="UK",8.95/P2,IF(A2="DE",7.75/P2,IF(A2="FR",14.25/P2,IF(A2="IT",15.25/P2,IF(A2="ES",19.25/P2,IF(A2="NL",16.75/P2,IF(A2="PL",14.05/P2,IF(A2="SE",18.25/P2,IF(A2="BE",14.25/P2))))))))),0)</f>
        <v>2.2375</v>
      </c>
      <c r="P2" s="68">
        <v>4</v>
      </c>
      <c r="Q2" s="62">
        <v>9</v>
      </c>
      <c r="R2" s="63">
        <f t="shared" ref="R2:R25" si="9">Y2/E2</f>
        <v>0.165631469979296</v>
      </c>
      <c r="S2" s="60">
        <f>Y2/H2</f>
        <v>0.137162451778826</v>
      </c>
      <c r="T2" s="63">
        <f t="shared" ref="T2:T25" si="10">Z2/E2</f>
        <v>0</v>
      </c>
      <c r="U2" s="63">
        <v>0.01</v>
      </c>
      <c r="V2" s="63">
        <f t="shared" ref="V2:V25" si="11">N2/(E2*Q2)</f>
        <v>0.327964968211217</v>
      </c>
      <c r="W2" s="63">
        <f t="shared" ref="W2:W25" si="12">O2/E2</f>
        <v>0.0463250517598344</v>
      </c>
      <c r="X2" s="61">
        <v>0.178</v>
      </c>
      <c r="Y2" s="64">
        <v>8</v>
      </c>
      <c r="Z2" s="64">
        <f>F2*0</f>
        <v>0</v>
      </c>
      <c r="AA2" s="64">
        <f t="shared" ref="AA2:AA25" si="13">E2*U2</f>
        <v>0.483</v>
      </c>
      <c r="AB2" s="57">
        <f t="shared" ref="AB2:AB25" si="14">E2*X2</f>
        <v>8.5974</v>
      </c>
      <c r="AC2" s="57">
        <v>138.5</v>
      </c>
      <c r="AD2" s="65">
        <f t="shared" ref="AD2:AD25" si="15">AC2/1.13</f>
        <v>122.566371681416</v>
      </c>
      <c r="AE2" s="62">
        <f t="shared" ref="AE2:AE25" si="16">AH2/Q2</f>
        <v>2.22222222222222</v>
      </c>
      <c r="AF2" s="63">
        <f t="shared" ref="AF2:AF25" si="17">AD2/(E2*Q2)</f>
        <v>0.281956226550301</v>
      </c>
      <c r="AG2" s="63">
        <f t="shared" ref="AG2:AG25" si="18">AE2/E2</f>
        <v>0.0460087416609156</v>
      </c>
      <c r="AH2" s="62">
        <v>20</v>
      </c>
      <c r="AI2" s="60">
        <f t="shared" ref="AI2:AI25" si="19">(K2-E2+AB2)/(K2-Z2)</f>
        <v>0.31928675525075</v>
      </c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6" t="s">
        <v>600</v>
      </c>
      <c r="AU2" s="66" t="s">
        <v>600</v>
      </c>
      <c r="AV2" s="66" t="s">
        <v>600</v>
      </c>
      <c r="AW2" s="66" t="s">
        <v>600</v>
      </c>
      <c r="AX2" s="66" t="s">
        <v>600</v>
      </c>
      <c r="AY2" s="66" t="s">
        <v>600</v>
      </c>
      <c r="AZ2" s="66" t="s">
        <v>600</v>
      </c>
      <c r="BA2" s="66" t="s">
        <v>600</v>
      </c>
      <c r="BB2" s="66" t="s">
        <v>600</v>
      </c>
      <c r="BC2" s="66" t="s">
        <v>600</v>
      </c>
      <c r="BD2" s="66" t="s">
        <v>600</v>
      </c>
      <c r="BE2" s="66" t="s">
        <v>600</v>
      </c>
      <c r="BF2" s="66" t="s">
        <v>600</v>
      </c>
      <c r="BG2" s="66" t="s">
        <v>600</v>
      </c>
      <c r="BH2" s="66" t="s">
        <v>600</v>
      </c>
      <c r="BI2" s="66" t="s">
        <v>600</v>
      </c>
      <c r="BJ2" s="66" t="s">
        <v>600</v>
      </c>
      <c r="BK2" s="66" t="s">
        <v>600</v>
      </c>
      <c r="BL2" s="66" t="s">
        <v>600</v>
      </c>
      <c r="BM2" s="66" t="s">
        <v>600</v>
      </c>
      <c r="BN2" s="66" t="s">
        <v>600</v>
      </c>
      <c r="BO2" s="66" t="s">
        <v>600</v>
      </c>
      <c r="BP2" s="66" t="s">
        <v>600</v>
      </c>
      <c r="BQ2" s="66" t="s">
        <v>600</v>
      </c>
      <c r="BR2" s="164"/>
      <c r="BS2" s="68" t="s">
        <v>601</v>
      </c>
    </row>
    <row r="3" ht="15.6" spans="1:71">
      <c r="A3" s="68" t="s">
        <v>300</v>
      </c>
      <c r="B3" s="53" t="s">
        <v>30</v>
      </c>
      <c r="C3" s="53" t="s">
        <v>31</v>
      </c>
      <c r="D3" s="162" t="s">
        <v>602</v>
      </c>
      <c r="E3" s="58">
        <v>48.3</v>
      </c>
      <c r="F3" s="56">
        <v>69.99</v>
      </c>
      <c r="G3" s="59">
        <f t="shared" si="0"/>
        <v>66.4905</v>
      </c>
      <c r="H3" s="59">
        <f t="shared" si="1"/>
        <v>55.40875</v>
      </c>
      <c r="I3" s="165">
        <f t="shared" si="2"/>
        <v>9.64189203539823</v>
      </c>
      <c r="J3" s="60">
        <f t="shared" si="3"/>
        <v>0.199625093900584</v>
      </c>
      <c r="K3" s="57">
        <f t="shared" si="4"/>
        <v>58.325</v>
      </c>
      <c r="L3" s="163">
        <f t="shared" si="5"/>
        <v>0.171881697385341</v>
      </c>
      <c r="M3" s="59">
        <f t="shared" si="6"/>
        <v>10.025</v>
      </c>
      <c r="N3" s="57">
        <f t="shared" si="7"/>
        <v>142.566371681416</v>
      </c>
      <c r="O3" s="57">
        <f t="shared" si="8"/>
        <v>2.2375</v>
      </c>
      <c r="P3" s="68">
        <v>4</v>
      </c>
      <c r="Q3" s="62">
        <v>9</v>
      </c>
      <c r="R3" s="63">
        <f t="shared" si="9"/>
        <v>0.165631469979296</v>
      </c>
      <c r="S3" s="60">
        <f>Y3/H3</f>
        <v>0.144381528188237</v>
      </c>
      <c r="T3" s="63">
        <f t="shared" si="10"/>
        <v>0.0724534161490683</v>
      </c>
      <c r="U3" s="63">
        <v>0.01</v>
      </c>
      <c r="V3" s="63">
        <f t="shared" si="11"/>
        <v>0.327964968211217</v>
      </c>
      <c r="W3" s="63">
        <f t="shared" si="12"/>
        <v>0.0463250517598344</v>
      </c>
      <c r="X3" s="61">
        <v>0.178</v>
      </c>
      <c r="Y3" s="64">
        <v>8</v>
      </c>
      <c r="Z3" s="64">
        <f>F3*0.05</f>
        <v>3.4995</v>
      </c>
      <c r="AA3" s="64">
        <f t="shared" si="13"/>
        <v>0.483</v>
      </c>
      <c r="AB3" s="57">
        <f t="shared" si="14"/>
        <v>8.5974</v>
      </c>
      <c r="AC3" s="57">
        <v>138.5</v>
      </c>
      <c r="AD3" s="65">
        <f t="shared" si="15"/>
        <v>122.566371681416</v>
      </c>
      <c r="AE3" s="62">
        <f t="shared" si="16"/>
        <v>2.22222222222222</v>
      </c>
      <c r="AF3" s="63">
        <f t="shared" si="17"/>
        <v>0.281956226550301</v>
      </c>
      <c r="AG3" s="63">
        <f t="shared" si="18"/>
        <v>0.0460087416609156</v>
      </c>
      <c r="AH3" s="62">
        <v>20</v>
      </c>
      <c r="AI3" s="60">
        <f t="shared" si="19"/>
        <v>0.339666760905053</v>
      </c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6" t="s">
        <v>600</v>
      </c>
      <c r="AU3" s="66" t="s">
        <v>600</v>
      </c>
      <c r="AV3" s="66" t="s">
        <v>600</v>
      </c>
      <c r="AW3" s="66" t="s">
        <v>600</v>
      </c>
      <c r="AX3" s="66" t="s">
        <v>600</v>
      </c>
      <c r="AY3" s="66" t="s">
        <v>600</v>
      </c>
      <c r="AZ3" s="66" t="s">
        <v>600</v>
      </c>
      <c r="BA3" s="66" t="s">
        <v>600</v>
      </c>
      <c r="BB3" s="66" t="s">
        <v>600</v>
      </c>
      <c r="BC3" s="66" t="s">
        <v>600</v>
      </c>
      <c r="BD3" s="66" t="s">
        <v>600</v>
      </c>
      <c r="BE3" s="66" t="s">
        <v>600</v>
      </c>
      <c r="BF3" s="66" t="s">
        <v>600</v>
      </c>
      <c r="BG3" s="66" t="s">
        <v>600</v>
      </c>
      <c r="BH3" s="66" t="s">
        <v>600</v>
      </c>
      <c r="BI3" s="66" t="s">
        <v>600</v>
      </c>
      <c r="BJ3" s="66" t="s">
        <v>600</v>
      </c>
      <c r="BK3" s="66" t="s">
        <v>600</v>
      </c>
      <c r="BL3" s="66" t="s">
        <v>600</v>
      </c>
      <c r="BM3" s="66" t="s">
        <v>600</v>
      </c>
      <c r="BN3" s="66" t="s">
        <v>600</v>
      </c>
      <c r="BO3" s="66" t="s">
        <v>600</v>
      </c>
      <c r="BP3" s="66" t="s">
        <v>600</v>
      </c>
      <c r="BQ3" s="66" t="s">
        <v>600</v>
      </c>
      <c r="BR3" s="164"/>
      <c r="BS3" s="68" t="s">
        <v>601</v>
      </c>
    </row>
    <row r="4" ht="15.6" spans="1:71">
      <c r="A4" s="68" t="s">
        <v>300</v>
      </c>
      <c r="B4" s="53" t="s">
        <v>30</v>
      </c>
      <c r="C4" s="53" t="s">
        <v>31</v>
      </c>
      <c r="D4" s="162" t="s">
        <v>603</v>
      </c>
      <c r="E4" s="58">
        <v>48.3</v>
      </c>
      <c r="F4" s="56">
        <v>69.99</v>
      </c>
      <c r="G4" s="59">
        <f t="shared" si="0"/>
        <v>61.24</v>
      </c>
      <c r="H4" s="59">
        <f t="shared" si="1"/>
        <v>51.0333333333333</v>
      </c>
      <c r="I4" s="59">
        <f t="shared" si="2"/>
        <v>4.39139203539823</v>
      </c>
      <c r="J4" s="60">
        <f t="shared" si="3"/>
        <v>0.0909190897597977</v>
      </c>
      <c r="K4" s="57">
        <f t="shared" si="4"/>
        <v>58.325</v>
      </c>
      <c r="L4" s="163">
        <f t="shared" si="5"/>
        <v>0.171881697385341</v>
      </c>
      <c r="M4" s="59">
        <f t="shared" si="6"/>
        <v>10.025</v>
      </c>
      <c r="N4" s="57">
        <f t="shared" si="7"/>
        <v>142.566371681416</v>
      </c>
      <c r="O4" s="57">
        <f t="shared" si="8"/>
        <v>2.2375</v>
      </c>
      <c r="P4" s="68">
        <v>4</v>
      </c>
      <c r="Q4" s="62">
        <v>9</v>
      </c>
      <c r="R4" s="63">
        <f t="shared" si="9"/>
        <v>0.165631469979296</v>
      </c>
      <c r="S4" s="60">
        <f>Y4/H4</f>
        <v>0.15676028739386</v>
      </c>
      <c r="T4" s="63">
        <f t="shared" si="10"/>
        <v>0.181159420289855</v>
      </c>
      <c r="U4" s="63">
        <v>0.01</v>
      </c>
      <c r="V4" s="63">
        <f t="shared" si="11"/>
        <v>0.327964968211217</v>
      </c>
      <c r="W4" s="63">
        <f t="shared" si="12"/>
        <v>0.0463250517598344</v>
      </c>
      <c r="X4" s="61">
        <v>0.178</v>
      </c>
      <c r="Y4" s="64">
        <v>8</v>
      </c>
      <c r="Z4" s="64">
        <v>8.75</v>
      </c>
      <c r="AA4" s="64">
        <f t="shared" si="13"/>
        <v>0.483</v>
      </c>
      <c r="AB4" s="57">
        <f t="shared" si="14"/>
        <v>8.5974</v>
      </c>
      <c r="AC4" s="57">
        <v>138.5</v>
      </c>
      <c r="AD4" s="65">
        <f t="shared" si="15"/>
        <v>122.566371681416</v>
      </c>
      <c r="AE4" s="62">
        <f t="shared" si="16"/>
        <v>2.22222222222222</v>
      </c>
      <c r="AF4" s="63">
        <f t="shared" si="17"/>
        <v>0.281956226550301</v>
      </c>
      <c r="AG4" s="63">
        <f t="shared" si="18"/>
        <v>0.0460087416609156</v>
      </c>
      <c r="AH4" s="62">
        <v>20</v>
      </c>
      <c r="AI4" s="60">
        <f t="shared" si="19"/>
        <v>0.375640948058497</v>
      </c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6" t="s">
        <v>600</v>
      </c>
      <c r="AU4" s="66" t="s">
        <v>600</v>
      </c>
      <c r="AV4" s="66" t="s">
        <v>600</v>
      </c>
      <c r="AW4" s="66" t="s">
        <v>600</v>
      </c>
      <c r="AX4" s="66" t="s">
        <v>600</v>
      </c>
      <c r="AY4" s="66" t="s">
        <v>600</v>
      </c>
      <c r="AZ4" s="66" t="s">
        <v>600</v>
      </c>
      <c r="BA4" s="66" t="s">
        <v>600</v>
      </c>
      <c r="BB4" s="66" t="s">
        <v>600</v>
      </c>
      <c r="BC4" s="66" t="s">
        <v>600</v>
      </c>
      <c r="BD4" s="66" t="s">
        <v>600</v>
      </c>
      <c r="BE4" s="66" t="s">
        <v>600</v>
      </c>
      <c r="BF4" s="66" t="s">
        <v>600</v>
      </c>
      <c r="BG4" s="66" t="s">
        <v>600</v>
      </c>
      <c r="BH4" s="66" t="s">
        <v>600</v>
      </c>
      <c r="BI4" s="66" t="s">
        <v>600</v>
      </c>
      <c r="BJ4" s="66" t="s">
        <v>600</v>
      </c>
      <c r="BK4" s="66" t="s">
        <v>600</v>
      </c>
      <c r="BL4" s="66" t="s">
        <v>600</v>
      </c>
      <c r="BM4" s="66" t="s">
        <v>600</v>
      </c>
      <c r="BN4" s="66" t="s">
        <v>600</v>
      </c>
      <c r="BO4" s="66" t="s">
        <v>600</v>
      </c>
      <c r="BP4" s="66" t="s">
        <v>600</v>
      </c>
      <c r="BQ4" s="66" t="s">
        <v>600</v>
      </c>
      <c r="BR4" s="164"/>
      <c r="BS4" s="68" t="s">
        <v>601</v>
      </c>
    </row>
    <row r="5" ht="15.6" spans="1:71">
      <c r="A5" s="68" t="s">
        <v>300</v>
      </c>
      <c r="B5" s="53" t="s">
        <v>30</v>
      </c>
      <c r="C5" s="53" t="s">
        <v>31</v>
      </c>
      <c r="D5" s="162" t="s">
        <v>604</v>
      </c>
      <c r="E5" s="58">
        <v>48.3</v>
      </c>
      <c r="F5" s="56">
        <v>69.99</v>
      </c>
      <c r="G5" s="59">
        <f t="shared" si="0"/>
        <v>59.4915</v>
      </c>
      <c r="H5" s="59">
        <f t="shared" si="1"/>
        <v>49.57625</v>
      </c>
      <c r="I5" s="59">
        <f t="shared" si="2"/>
        <v>2.64289203539823</v>
      </c>
      <c r="J5" s="60">
        <f t="shared" si="3"/>
        <v>0.0547182616024478</v>
      </c>
      <c r="K5" s="57">
        <f t="shared" si="4"/>
        <v>58.325</v>
      </c>
      <c r="L5" s="163">
        <f t="shared" si="5"/>
        <v>0.171881697385341</v>
      </c>
      <c r="M5" s="59">
        <f t="shared" si="6"/>
        <v>10.025</v>
      </c>
      <c r="N5" s="57">
        <f t="shared" si="7"/>
        <v>142.566371681416</v>
      </c>
      <c r="O5" s="57">
        <f t="shared" si="8"/>
        <v>2.2375</v>
      </c>
      <c r="P5" s="68">
        <v>4</v>
      </c>
      <c r="Q5" s="62">
        <v>9</v>
      </c>
      <c r="R5" s="63">
        <f t="shared" si="9"/>
        <v>0.165631469979296</v>
      </c>
      <c r="S5" s="60">
        <f>Y5/H5</f>
        <v>0.16136759032803</v>
      </c>
      <c r="T5" s="63">
        <f t="shared" si="10"/>
        <v>0.217360248447205</v>
      </c>
      <c r="U5" s="63">
        <v>0.01</v>
      </c>
      <c r="V5" s="63">
        <f t="shared" si="11"/>
        <v>0.327964968211217</v>
      </c>
      <c r="W5" s="63">
        <f t="shared" si="12"/>
        <v>0.0463250517598344</v>
      </c>
      <c r="X5" s="61">
        <v>0.178</v>
      </c>
      <c r="Y5" s="64">
        <v>8</v>
      </c>
      <c r="Z5" s="64">
        <f>F5*0.15</f>
        <v>10.4985</v>
      </c>
      <c r="AA5" s="64">
        <f t="shared" si="13"/>
        <v>0.483</v>
      </c>
      <c r="AB5" s="57">
        <f t="shared" si="14"/>
        <v>8.5974</v>
      </c>
      <c r="AC5" s="57">
        <v>138.5</v>
      </c>
      <c r="AD5" s="65">
        <f t="shared" si="15"/>
        <v>122.566371681416</v>
      </c>
      <c r="AE5" s="62">
        <f t="shared" si="16"/>
        <v>2.22222222222222</v>
      </c>
      <c r="AF5" s="63">
        <f t="shared" si="17"/>
        <v>0.281956226550301</v>
      </c>
      <c r="AG5" s="63">
        <f t="shared" si="18"/>
        <v>0.0460087416609156</v>
      </c>
      <c r="AH5" s="62">
        <v>20</v>
      </c>
      <c r="AI5" s="60">
        <f t="shared" si="19"/>
        <v>0.389374091769207</v>
      </c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6" t="s">
        <v>600</v>
      </c>
      <c r="AU5" s="66" t="s">
        <v>600</v>
      </c>
      <c r="AV5" s="66" t="s">
        <v>600</v>
      </c>
      <c r="AW5" s="66" t="s">
        <v>600</v>
      </c>
      <c r="AX5" s="66" t="s">
        <v>600</v>
      </c>
      <c r="AY5" s="66" t="s">
        <v>600</v>
      </c>
      <c r="AZ5" s="66" t="s">
        <v>600</v>
      </c>
      <c r="BA5" s="66" t="s">
        <v>600</v>
      </c>
      <c r="BB5" s="66" t="s">
        <v>600</v>
      </c>
      <c r="BC5" s="66" t="s">
        <v>600</v>
      </c>
      <c r="BD5" s="66" t="s">
        <v>600</v>
      </c>
      <c r="BE5" s="66" t="s">
        <v>600</v>
      </c>
      <c r="BF5" s="66" t="s">
        <v>600</v>
      </c>
      <c r="BG5" s="66" t="s">
        <v>600</v>
      </c>
      <c r="BH5" s="66" t="s">
        <v>600</v>
      </c>
      <c r="BI5" s="66" t="s">
        <v>600</v>
      </c>
      <c r="BJ5" s="66" t="s">
        <v>600</v>
      </c>
      <c r="BK5" s="66" t="s">
        <v>600</v>
      </c>
      <c r="BL5" s="66" t="s">
        <v>600</v>
      </c>
      <c r="BM5" s="66" t="s">
        <v>600</v>
      </c>
      <c r="BN5" s="66" t="s">
        <v>600</v>
      </c>
      <c r="BO5" s="66" t="s">
        <v>600</v>
      </c>
      <c r="BP5" s="66" t="s">
        <v>600</v>
      </c>
      <c r="BQ5" s="66" t="s">
        <v>600</v>
      </c>
      <c r="BR5" s="164"/>
      <c r="BS5" s="68" t="s">
        <v>601</v>
      </c>
    </row>
    <row r="6" ht="15.6" spans="1:71">
      <c r="A6" s="53" t="s">
        <v>277</v>
      </c>
      <c r="B6" s="53" t="s">
        <v>27</v>
      </c>
      <c r="C6" s="53" t="s">
        <v>28</v>
      </c>
      <c r="D6" s="166" t="s">
        <v>599</v>
      </c>
      <c r="E6" s="58">
        <v>55.85</v>
      </c>
      <c r="F6" s="167">
        <v>79.99</v>
      </c>
      <c r="G6" s="59">
        <f t="shared" si="0"/>
        <v>79.99</v>
      </c>
      <c r="H6" s="59">
        <f t="shared" si="1"/>
        <v>66.6583333333333</v>
      </c>
      <c r="I6" s="59">
        <f t="shared" si="2"/>
        <v>17.033403539823</v>
      </c>
      <c r="J6" s="60">
        <f t="shared" si="3"/>
        <v>0.304984844043384</v>
      </c>
      <c r="K6" s="57">
        <f t="shared" si="4"/>
        <v>66.6583333333333</v>
      </c>
      <c r="L6" s="163">
        <f t="shared" si="5"/>
        <v>0.16214526815852</v>
      </c>
      <c r="M6" s="59">
        <f t="shared" si="6"/>
        <v>10.8083333333333</v>
      </c>
      <c r="N6" s="57">
        <f t="shared" si="7"/>
        <v>142.566371681416</v>
      </c>
      <c r="O6" s="57">
        <f t="shared" si="8"/>
        <v>1.9375</v>
      </c>
      <c r="P6" s="53">
        <v>4</v>
      </c>
      <c r="Q6" s="62">
        <v>8</v>
      </c>
      <c r="R6" s="63">
        <f t="shared" si="9"/>
        <v>0.143240823634736</v>
      </c>
      <c r="S6" s="60">
        <f t="shared" ref="S6:S25" si="20">Y6/F6</f>
        <v>0.100012501562695</v>
      </c>
      <c r="T6" s="63">
        <f t="shared" si="10"/>
        <v>0</v>
      </c>
      <c r="U6" s="63">
        <v>0.01</v>
      </c>
      <c r="V6" s="63">
        <f t="shared" si="11"/>
        <v>0.319083195347842</v>
      </c>
      <c r="W6" s="63">
        <f t="shared" si="12"/>
        <v>0.0346911369740376</v>
      </c>
      <c r="X6" s="61">
        <v>0.188</v>
      </c>
      <c r="Y6" s="64">
        <v>8</v>
      </c>
      <c r="Z6" s="64">
        <v>0</v>
      </c>
      <c r="AA6" s="64">
        <f t="shared" si="13"/>
        <v>0.5585</v>
      </c>
      <c r="AB6" s="57">
        <f t="shared" si="14"/>
        <v>10.4998</v>
      </c>
      <c r="AC6" s="57">
        <v>138.5</v>
      </c>
      <c r="AD6" s="65">
        <f t="shared" si="15"/>
        <v>122.566371681416</v>
      </c>
      <c r="AE6" s="62">
        <f t="shared" si="16"/>
        <v>2.5</v>
      </c>
      <c r="AF6" s="63">
        <f t="shared" si="17"/>
        <v>0.274320437961987</v>
      </c>
      <c r="AG6" s="63">
        <f t="shared" si="18"/>
        <v>0.044762757385855</v>
      </c>
      <c r="AH6" s="62">
        <v>20</v>
      </c>
      <c r="AI6" s="60">
        <f t="shared" si="19"/>
        <v>0.319661957744718</v>
      </c>
      <c r="AJ6" s="63"/>
      <c r="AK6" s="63"/>
      <c r="AL6" s="63"/>
      <c r="AM6" s="63"/>
      <c r="AN6" s="66"/>
      <c r="AO6" s="66"/>
      <c r="AP6" s="66"/>
      <c r="AQ6" s="66"/>
      <c r="AR6" s="66"/>
      <c r="AS6" s="66"/>
      <c r="AT6" s="66" t="s">
        <v>600</v>
      </c>
      <c r="AU6" s="66" t="s">
        <v>600</v>
      </c>
      <c r="AV6" s="66" t="s">
        <v>600</v>
      </c>
      <c r="AW6" s="66" t="s">
        <v>600</v>
      </c>
      <c r="AX6" s="66" t="s">
        <v>600</v>
      </c>
      <c r="AY6" s="66" t="s">
        <v>600</v>
      </c>
      <c r="AZ6" s="66" t="s">
        <v>600</v>
      </c>
      <c r="BA6" s="66" t="s">
        <v>600</v>
      </c>
      <c r="BB6" s="66" t="s">
        <v>600</v>
      </c>
      <c r="BC6" s="66" t="s">
        <v>600</v>
      </c>
      <c r="BD6" s="66" t="s">
        <v>600</v>
      </c>
      <c r="BE6" s="66" t="s">
        <v>600</v>
      </c>
      <c r="BF6" s="66" t="s">
        <v>600</v>
      </c>
      <c r="BG6" s="66" t="s">
        <v>600</v>
      </c>
      <c r="BH6" s="66" t="s">
        <v>600</v>
      </c>
      <c r="BI6" s="66" t="s">
        <v>600</v>
      </c>
      <c r="BJ6" s="66" t="s">
        <v>600</v>
      </c>
      <c r="BK6" s="66" t="s">
        <v>600</v>
      </c>
      <c r="BL6" s="66" t="s">
        <v>600</v>
      </c>
      <c r="BM6" s="66" t="s">
        <v>600</v>
      </c>
      <c r="BN6" s="66" t="s">
        <v>600</v>
      </c>
      <c r="BO6" s="66" t="s">
        <v>600</v>
      </c>
      <c r="BP6" s="66" t="s">
        <v>600</v>
      </c>
      <c r="BQ6" s="66" t="s">
        <v>600</v>
      </c>
      <c r="BR6" s="164"/>
      <c r="BS6" s="68" t="s">
        <v>601</v>
      </c>
    </row>
    <row r="7" ht="15.6" spans="1:71">
      <c r="A7" s="53" t="s">
        <v>277</v>
      </c>
      <c r="B7" s="53" t="s">
        <v>27</v>
      </c>
      <c r="C7" s="53" t="s">
        <v>28</v>
      </c>
      <c r="D7" s="168" t="s">
        <v>602</v>
      </c>
      <c r="E7" s="58">
        <v>55.85</v>
      </c>
      <c r="F7" s="167">
        <v>79.99</v>
      </c>
      <c r="G7" s="59">
        <f t="shared" si="0"/>
        <v>75.9905</v>
      </c>
      <c r="H7" s="59">
        <f t="shared" si="1"/>
        <v>63.3254166666667</v>
      </c>
      <c r="I7" s="165">
        <f t="shared" si="2"/>
        <v>13.033903539823</v>
      </c>
      <c r="J7" s="60">
        <f t="shared" si="3"/>
        <v>0.233373384777493</v>
      </c>
      <c r="K7" s="57">
        <f t="shared" si="4"/>
        <v>66.6583333333333</v>
      </c>
      <c r="L7" s="163">
        <f t="shared" si="5"/>
        <v>0.16214526815852</v>
      </c>
      <c r="M7" s="59">
        <f t="shared" si="6"/>
        <v>10.8083333333333</v>
      </c>
      <c r="N7" s="57">
        <f t="shared" si="7"/>
        <v>142.566371681416</v>
      </c>
      <c r="O7" s="57">
        <f t="shared" si="8"/>
        <v>1.9375</v>
      </c>
      <c r="P7" s="53">
        <v>4</v>
      </c>
      <c r="Q7" s="62">
        <v>8</v>
      </c>
      <c r="R7" s="63">
        <f t="shared" si="9"/>
        <v>0.143240823634736</v>
      </c>
      <c r="S7" s="60">
        <f t="shared" si="20"/>
        <v>0.100012501562695</v>
      </c>
      <c r="T7" s="63">
        <f t="shared" si="10"/>
        <v>0.0716114592658908</v>
      </c>
      <c r="U7" s="63">
        <v>0.01</v>
      </c>
      <c r="V7" s="63">
        <f t="shared" si="11"/>
        <v>0.319083195347842</v>
      </c>
      <c r="W7" s="63">
        <f t="shared" si="12"/>
        <v>0.0346911369740376</v>
      </c>
      <c r="X7" s="61">
        <v>0.188</v>
      </c>
      <c r="Y7" s="64">
        <v>8</v>
      </c>
      <c r="Z7" s="64">
        <f>F7*0.05</f>
        <v>3.9995</v>
      </c>
      <c r="AA7" s="64">
        <f t="shared" si="13"/>
        <v>0.5585</v>
      </c>
      <c r="AB7" s="57">
        <f t="shared" si="14"/>
        <v>10.4998</v>
      </c>
      <c r="AC7" s="57">
        <v>138.5</v>
      </c>
      <c r="AD7" s="65">
        <f t="shared" si="15"/>
        <v>122.566371681416</v>
      </c>
      <c r="AE7" s="62">
        <f t="shared" si="16"/>
        <v>2.5</v>
      </c>
      <c r="AF7" s="63">
        <f t="shared" si="17"/>
        <v>0.274320437961987</v>
      </c>
      <c r="AG7" s="63">
        <f t="shared" si="18"/>
        <v>0.044762757385855</v>
      </c>
      <c r="AH7" s="62">
        <v>20</v>
      </c>
      <c r="AI7" s="60">
        <f t="shared" si="19"/>
        <v>0.340065912494381</v>
      </c>
      <c r="AJ7" s="63"/>
      <c r="AK7" s="63"/>
      <c r="AL7" s="63"/>
      <c r="AM7" s="63"/>
      <c r="AN7" s="66"/>
      <c r="AO7" s="66"/>
      <c r="AP7" s="66"/>
      <c r="AQ7" s="66"/>
      <c r="AR7" s="66"/>
      <c r="AS7" s="66"/>
      <c r="AT7" s="66" t="s">
        <v>600</v>
      </c>
      <c r="AU7" s="66" t="s">
        <v>600</v>
      </c>
      <c r="AV7" s="66" t="s">
        <v>600</v>
      </c>
      <c r="AW7" s="66" t="s">
        <v>600</v>
      </c>
      <c r="AX7" s="66" t="s">
        <v>600</v>
      </c>
      <c r="AY7" s="66" t="s">
        <v>600</v>
      </c>
      <c r="AZ7" s="66" t="s">
        <v>600</v>
      </c>
      <c r="BA7" s="66" t="s">
        <v>600</v>
      </c>
      <c r="BB7" s="66" t="s">
        <v>600</v>
      </c>
      <c r="BC7" s="66" t="s">
        <v>600</v>
      </c>
      <c r="BD7" s="66" t="s">
        <v>600</v>
      </c>
      <c r="BE7" s="66" t="s">
        <v>600</v>
      </c>
      <c r="BF7" s="66" t="s">
        <v>600</v>
      </c>
      <c r="BG7" s="66" t="s">
        <v>600</v>
      </c>
      <c r="BH7" s="66" t="s">
        <v>600</v>
      </c>
      <c r="BI7" s="66" t="s">
        <v>600</v>
      </c>
      <c r="BJ7" s="66" t="s">
        <v>600</v>
      </c>
      <c r="BK7" s="66" t="s">
        <v>600</v>
      </c>
      <c r="BL7" s="66" t="s">
        <v>600</v>
      </c>
      <c r="BM7" s="66" t="s">
        <v>600</v>
      </c>
      <c r="BN7" s="66" t="s">
        <v>600</v>
      </c>
      <c r="BO7" s="66" t="s">
        <v>600</v>
      </c>
      <c r="BP7" s="66" t="s">
        <v>600</v>
      </c>
      <c r="BQ7" s="66" t="s">
        <v>600</v>
      </c>
      <c r="BR7" s="164"/>
      <c r="BS7" s="68" t="s">
        <v>601</v>
      </c>
    </row>
    <row r="8" ht="15.6" spans="1:71">
      <c r="A8" s="53" t="s">
        <v>277</v>
      </c>
      <c r="B8" s="53" t="s">
        <v>27</v>
      </c>
      <c r="C8" s="53" t="s">
        <v>28</v>
      </c>
      <c r="D8" s="168" t="s">
        <v>603</v>
      </c>
      <c r="E8" s="58">
        <v>55.85</v>
      </c>
      <c r="F8" s="167">
        <v>79.99</v>
      </c>
      <c r="G8" s="59">
        <f t="shared" si="0"/>
        <v>71.991</v>
      </c>
      <c r="H8" s="59">
        <f t="shared" si="1"/>
        <v>59.9925</v>
      </c>
      <c r="I8" s="59">
        <f t="shared" si="2"/>
        <v>9.03440353982301</v>
      </c>
      <c r="J8" s="60">
        <f t="shared" si="3"/>
        <v>0.161761925511603</v>
      </c>
      <c r="K8" s="57">
        <f t="shared" si="4"/>
        <v>66.6583333333333</v>
      </c>
      <c r="L8" s="163">
        <f t="shared" si="5"/>
        <v>0.16214526815852</v>
      </c>
      <c r="M8" s="59">
        <f t="shared" si="6"/>
        <v>10.8083333333333</v>
      </c>
      <c r="N8" s="57">
        <f t="shared" si="7"/>
        <v>142.566371681416</v>
      </c>
      <c r="O8" s="57">
        <f t="shared" si="8"/>
        <v>1.9375</v>
      </c>
      <c r="P8" s="53">
        <v>4</v>
      </c>
      <c r="Q8" s="62">
        <v>8</v>
      </c>
      <c r="R8" s="63">
        <f t="shared" si="9"/>
        <v>0.143240823634736</v>
      </c>
      <c r="S8" s="60">
        <f t="shared" si="20"/>
        <v>0.100012501562695</v>
      </c>
      <c r="T8" s="63">
        <f t="shared" si="10"/>
        <v>0.143222918531782</v>
      </c>
      <c r="U8" s="63">
        <v>0.01</v>
      </c>
      <c r="V8" s="63">
        <f t="shared" si="11"/>
        <v>0.319083195347842</v>
      </c>
      <c r="W8" s="63">
        <f t="shared" si="12"/>
        <v>0.0346911369740376</v>
      </c>
      <c r="X8" s="61">
        <v>0.188</v>
      </c>
      <c r="Y8" s="64">
        <v>8</v>
      </c>
      <c r="Z8" s="64">
        <f>F8*0.1</f>
        <v>7.999</v>
      </c>
      <c r="AA8" s="64">
        <f t="shared" si="13"/>
        <v>0.5585</v>
      </c>
      <c r="AB8" s="57">
        <f t="shared" si="14"/>
        <v>10.4998</v>
      </c>
      <c r="AC8" s="57">
        <v>138.5</v>
      </c>
      <c r="AD8" s="65">
        <f t="shared" si="15"/>
        <v>122.566371681416</v>
      </c>
      <c r="AE8" s="62">
        <f t="shared" si="16"/>
        <v>2.5</v>
      </c>
      <c r="AF8" s="63">
        <f t="shared" si="17"/>
        <v>0.274320437961987</v>
      </c>
      <c r="AG8" s="63">
        <f t="shared" si="18"/>
        <v>0.044762757385855</v>
      </c>
      <c r="AH8" s="62">
        <v>20</v>
      </c>
      <c r="AI8" s="60">
        <f t="shared" si="19"/>
        <v>0.363252224709907</v>
      </c>
      <c r="AJ8" s="63"/>
      <c r="AK8" s="63"/>
      <c r="AL8" s="63"/>
      <c r="AM8" s="63"/>
      <c r="AN8" s="66"/>
      <c r="AO8" s="66"/>
      <c r="AP8" s="66"/>
      <c r="AQ8" s="66"/>
      <c r="AR8" s="66"/>
      <c r="AS8" s="66"/>
      <c r="AT8" s="66" t="s">
        <v>600</v>
      </c>
      <c r="AU8" s="66" t="s">
        <v>600</v>
      </c>
      <c r="AV8" s="66" t="s">
        <v>600</v>
      </c>
      <c r="AW8" s="66" t="s">
        <v>600</v>
      </c>
      <c r="AX8" s="66" t="s">
        <v>600</v>
      </c>
      <c r="AY8" s="66" t="s">
        <v>600</v>
      </c>
      <c r="AZ8" s="66" t="s">
        <v>600</v>
      </c>
      <c r="BA8" s="66" t="s">
        <v>600</v>
      </c>
      <c r="BB8" s="66" t="s">
        <v>600</v>
      </c>
      <c r="BC8" s="66" t="s">
        <v>600</v>
      </c>
      <c r="BD8" s="66" t="s">
        <v>600</v>
      </c>
      <c r="BE8" s="66" t="s">
        <v>600</v>
      </c>
      <c r="BF8" s="66" t="s">
        <v>600</v>
      </c>
      <c r="BG8" s="66" t="s">
        <v>600</v>
      </c>
      <c r="BH8" s="66" t="s">
        <v>600</v>
      </c>
      <c r="BI8" s="66" t="s">
        <v>600</v>
      </c>
      <c r="BJ8" s="66" t="s">
        <v>600</v>
      </c>
      <c r="BK8" s="66" t="s">
        <v>600</v>
      </c>
      <c r="BL8" s="66" t="s">
        <v>600</v>
      </c>
      <c r="BM8" s="66" t="s">
        <v>600</v>
      </c>
      <c r="BN8" s="66" t="s">
        <v>600</v>
      </c>
      <c r="BO8" s="66" t="s">
        <v>600</v>
      </c>
      <c r="BP8" s="66" t="s">
        <v>600</v>
      </c>
      <c r="BQ8" s="66" t="s">
        <v>600</v>
      </c>
      <c r="BR8" s="67"/>
      <c r="BS8" s="68" t="s">
        <v>601</v>
      </c>
    </row>
    <row r="9" ht="15.6" spans="1:71">
      <c r="A9" s="53" t="s">
        <v>277</v>
      </c>
      <c r="B9" s="53" t="s">
        <v>27</v>
      </c>
      <c r="C9" s="53" t="s">
        <v>28</v>
      </c>
      <c r="D9" s="166" t="s">
        <v>604</v>
      </c>
      <c r="E9" s="58">
        <v>55.85</v>
      </c>
      <c r="F9" s="56">
        <v>79.99</v>
      </c>
      <c r="G9" s="59">
        <f t="shared" si="0"/>
        <v>67.9915</v>
      </c>
      <c r="H9" s="59">
        <f t="shared" si="1"/>
        <v>56.6595833333333</v>
      </c>
      <c r="I9" s="59">
        <f t="shared" si="2"/>
        <v>5.03490353982301</v>
      </c>
      <c r="J9" s="60">
        <f t="shared" si="3"/>
        <v>0.0901504662457119</v>
      </c>
      <c r="K9" s="57">
        <f t="shared" si="4"/>
        <v>66.6583333333333</v>
      </c>
      <c r="L9" s="163">
        <f t="shared" si="5"/>
        <v>0.16214526815852</v>
      </c>
      <c r="M9" s="59">
        <f t="shared" si="6"/>
        <v>10.8083333333333</v>
      </c>
      <c r="N9" s="57">
        <f t="shared" si="7"/>
        <v>142.566371681416</v>
      </c>
      <c r="O9" s="57">
        <f t="shared" si="8"/>
        <v>1.9375</v>
      </c>
      <c r="P9" s="53">
        <v>4</v>
      </c>
      <c r="Q9" s="62">
        <v>8</v>
      </c>
      <c r="R9" s="63">
        <f t="shared" si="9"/>
        <v>0.143240823634736</v>
      </c>
      <c r="S9" s="60">
        <f t="shared" si="20"/>
        <v>0.100012501562695</v>
      </c>
      <c r="T9" s="63">
        <f t="shared" si="10"/>
        <v>0.214834377797672</v>
      </c>
      <c r="U9" s="63">
        <v>0.01</v>
      </c>
      <c r="V9" s="63">
        <f t="shared" si="11"/>
        <v>0.319083195347842</v>
      </c>
      <c r="W9" s="63">
        <f t="shared" si="12"/>
        <v>0.0346911369740376</v>
      </c>
      <c r="X9" s="61">
        <v>0.188</v>
      </c>
      <c r="Y9" s="64">
        <v>8</v>
      </c>
      <c r="Z9" s="64">
        <f>F9*0.15</f>
        <v>11.9985</v>
      </c>
      <c r="AA9" s="64">
        <f t="shared" si="13"/>
        <v>0.5585</v>
      </c>
      <c r="AB9" s="57">
        <f t="shared" si="14"/>
        <v>10.4998</v>
      </c>
      <c r="AC9" s="57">
        <v>138.5</v>
      </c>
      <c r="AD9" s="65">
        <f t="shared" si="15"/>
        <v>122.566371681416</v>
      </c>
      <c r="AE9" s="62">
        <f t="shared" si="16"/>
        <v>2.5</v>
      </c>
      <c r="AF9" s="63">
        <f t="shared" si="17"/>
        <v>0.274320437961987</v>
      </c>
      <c r="AG9" s="63">
        <f t="shared" si="18"/>
        <v>0.044762757385855</v>
      </c>
      <c r="AH9" s="62">
        <v>20</v>
      </c>
      <c r="AI9" s="60">
        <f t="shared" si="19"/>
        <v>0.389831655786242</v>
      </c>
      <c r="AJ9" s="63"/>
      <c r="AK9" s="63"/>
      <c r="AL9" s="63"/>
      <c r="AM9" s="63"/>
      <c r="AN9" s="66"/>
      <c r="AO9" s="66"/>
      <c r="AP9" s="66"/>
      <c r="AQ9" s="66"/>
      <c r="AR9" s="66"/>
      <c r="AS9" s="66"/>
      <c r="AT9" s="66" t="s">
        <v>600</v>
      </c>
      <c r="AU9" s="66" t="s">
        <v>600</v>
      </c>
      <c r="AV9" s="66" t="s">
        <v>600</v>
      </c>
      <c r="AW9" s="66" t="s">
        <v>600</v>
      </c>
      <c r="AX9" s="66" t="s">
        <v>600</v>
      </c>
      <c r="AY9" s="66" t="s">
        <v>600</v>
      </c>
      <c r="AZ9" s="66" t="s">
        <v>600</v>
      </c>
      <c r="BA9" s="66" t="s">
        <v>600</v>
      </c>
      <c r="BB9" s="66" t="s">
        <v>600</v>
      </c>
      <c r="BC9" s="66" t="s">
        <v>600</v>
      </c>
      <c r="BD9" s="66" t="s">
        <v>600</v>
      </c>
      <c r="BE9" s="66" t="s">
        <v>600</v>
      </c>
      <c r="BF9" s="66" t="s">
        <v>600</v>
      </c>
      <c r="BG9" s="66" t="s">
        <v>600</v>
      </c>
      <c r="BH9" s="66" t="s">
        <v>600</v>
      </c>
      <c r="BI9" s="66" t="s">
        <v>600</v>
      </c>
      <c r="BJ9" s="66" t="s">
        <v>600</v>
      </c>
      <c r="BK9" s="66" t="s">
        <v>600</v>
      </c>
      <c r="BL9" s="66" t="s">
        <v>600</v>
      </c>
      <c r="BM9" s="66" t="s">
        <v>600</v>
      </c>
      <c r="BN9" s="66" t="s">
        <v>600</v>
      </c>
      <c r="BO9" s="66" t="s">
        <v>600</v>
      </c>
      <c r="BP9" s="66" t="s">
        <v>600</v>
      </c>
      <c r="BQ9" s="66" t="s">
        <v>600</v>
      </c>
      <c r="BR9" s="164"/>
      <c r="BS9" s="68" t="s">
        <v>601</v>
      </c>
    </row>
    <row r="10" ht="15.6" spans="1:71">
      <c r="A10" s="53" t="s">
        <v>511</v>
      </c>
      <c r="B10" s="53" t="s">
        <v>27</v>
      </c>
      <c r="C10" s="53" t="s">
        <v>28</v>
      </c>
      <c r="D10" s="169" t="s">
        <v>599</v>
      </c>
      <c r="E10" s="58">
        <v>55.35</v>
      </c>
      <c r="F10" s="56">
        <v>79.99</v>
      </c>
      <c r="G10" s="59">
        <f t="shared" si="0"/>
        <v>79.99</v>
      </c>
      <c r="H10" s="59">
        <f t="shared" si="1"/>
        <v>66.6583333333333</v>
      </c>
      <c r="I10" s="59">
        <f t="shared" si="2"/>
        <v>15.007403539823</v>
      </c>
      <c r="J10" s="60">
        <f t="shared" si="3"/>
        <v>0.271136468650822</v>
      </c>
      <c r="K10" s="57">
        <f t="shared" si="4"/>
        <v>66.6583333333333</v>
      </c>
      <c r="L10" s="163">
        <f t="shared" si="5"/>
        <v>0.169646205775722</v>
      </c>
      <c r="M10" s="59">
        <f t="shared" si="6"/>
        <v>11.3083333333333</v>
      </c>
      <c r="N10" s="57">
        <f t="shared" si="7"/>
        <v>142.566371681416</v>
      </c>
      <c r="O10" s="57">
        <f t="shared" si="8"/>
        <v>3.5625</v>
      </c>
      <c r="P10" s="53">
        <v>4</v>
      </c>
      <c r="Q10" s="62">
        <v>8</v>
      </c>
      <c r="R10" s="63">
        <f t="shared" si="9"/>
        <v>0.14453477868112</v>
      </c>
      <c r="S10" s="60">
        <f t="shared" si="20"/>
        <v>0.100012501562695</v>
      </c>
      <c r="T10" s="63">
        <f t="shared" si="10"/>
        <v>0</v>
      </c>
      <c r="U10" s="63">
        <v>0.01</v>
      </c>
      <c r="V10" s="63">
        <f t="shared" si="11"/>
        <v>0.321965609036621</v>
      </c>
      <c r="W10" s="63">
        <f t="shared" si="12"/>
        <v>0.0643631436314363</v>
      </c>
      <c r="X10" s="61">
        <v>0.188</v>
      </c>
      <c r="Y10" s="64">
        <v>8</v>
      </c>
      <c r="Z10" s="64">
        <v>0</v>
      </c>
      <c r="AA10" s="64">
        <f t="shared" si="13"/>
        <v>0.5535</v>
      </c>
      <c r="AB10" s="57">
        <f t="shared" si="14"/>
        <v>10.4058</v>
      </c>
      <c r="AC10" s="57">
        <v>138.5</v>
      </c>
      <c r="AD10" s="65">
        <f t="shared" si="15"/>
        <v>122.566371681416</v>
      </c>
      <c r="AE10" s="62">
        <f t="shared" si="16"/>
        <v>2.5</v>
      </c>
      <c r="AF10" s="63">
        <f t="shared" si="17"/>
        <v>0.276798490698771</v>
      </c>
      <c r="AG10" s="63">
        <f t="shared" si="18"/>
        <v>0.04516711833785</v>
      </c>
      <c r="AH10" s="62">
        <v>20</v>
      </c>
      <c r="AI10" s="60">
        <f t="shared" si="19"/>
        <v>0.325752719089886</v>
      </c>
      <c r="AJ10" s="63"/>
      <c r="AK10" s="63"/>
      <c r="AL10" s="63"/>
      <c r="AM10" s="63"/>
      <c r="AN10" s="66"/>
      <c r="AO10" s="66"/>
      <c r="AP10" s="66"/>
      <c r="AQ10" s="66"/>
      <c r="AR10" s="66"/>
      <c r="AS10" s="66"/>
      <c r="AT10" s="66" t="s">
        <v>600</v>
      </c>
      <c r="AU10" s="66" t="s">
        <v>600</v>
      </c>
      <c r="AV10" s="66" t="s">
        <v>600</v>
      </c>
      <c r="AW10" s="66" t="s">
        <v>600</v>
      </c>
      <c r="AX10" s="66" t="s">
        <v>600</v>
      </c>
      <c r="AY10" s="66" t="s">
        <v>600</v>
      </c>
      <c r="AZ10" s="66" t="s">
        <v>600</v>
      </c>
      <c r="BA10" s="66" t="s">
        <v>600</v>
      </c>
      <c r="BB10" s="66" t="s">
        <v>600</v>
      </c>
      <c r="BC10" s="66" t="s">
        <v>600</v>
      </c>
      <c r="BD10" s="66" t="s">
        <v>600</v>
      </c>
      <c r="BE10" s="66" t="s">
        <v>600</v>
      </c>
      <c r="BF10" s="66" t="s">
        <v>600</v>
      </c>
      <c r="BG10" s="66" t="s">
        <v>600</v>
      </c>
      <c r="BH10" s="66" t="s">
        <v>600</v>
      </c>
      <c r="BI10" s="66" t="s">
        <v>600</v>
      </c>
      <c r="BJ10" s="66" t="s">
        <v>600</v>
      </c>
      <c r="BK10" s="66" t="s">
        <v>600</v>
      </c>
      <c r="BL10" s="66" t="s">
        <v>600</v>
      </c>
      <c r="BM10" s="66" t="s">
        <v>600</v>
      </c>
      <c r="BN10" s="66" t="s">
        <v>600</v>
      </c>
      <c r="BO10" s="66" t="s">
        <v>600</v>
      </c>
      <c r="BP10" s="66" t="s">
        <v>600</v>
      </c>
      <c r="BQ10" s="66" t="s">
        <v>600</v>
      </c>
      <c r="BR10" s="164"/>
      <c r="BS10" s="68" t="s">
        <v>601</v>
      </c>
    </row>
    <row r="11" ht="15.6" spans="1:71">
      <c r="A11" s="53" t="s">
        <v>511</v>
      </c>
      <c r="B11" s="53" t="s">
        <v>27</v>
      </c>
      <c r="C11" s="53" t="s">
        <v>28</v>
      </c>
      <c r="D11" s="162" t="s">
        <v>602</v>
      </c>
      <c r="E11" s="58">
        <v>55.35</v>
      </c>
      <c r="F11" s="56">
        <v>79.99</v>
      </c>
      <c r="G11" s="59">
        <f t="shared" si="0"/>
        <v>75.9905</v>
      </c>
      <c r="H11" s="59">
        <f t="shared" si="1"/>
        <v>63.3254166666667</v>
      </c>
      <c r="I11" s="165">
        <f t="shared" si="2"/>
        <v>11.007903539823</v>
      </c>
      <c r="J11" s="60">
        <f t="shared" si="3"/>
        <v>0.19887811273393</v>
      </c>
      <c r="K11" s="57">
        <f t="shared" si="4"/>
        <v>66.6583333333333</v>
      </c>
      <c r="L11" s="163">
        <f t="shared" si="5"/>
        <v>0.169646205775722</v>
      </c>
      <c r="M11" s="59">
        <f t="shared" si="6"/>
        <v>11.3083333333333</v>
      </c>
      <c r="N11" s="57">
        <f t="shared" si="7"/>
        <v>142.566371681416</v>
      </c>
      <c r="O11" s="57">
        <f t="shared" si="8"/>
        <v>3.5625</v>
      </c>
      <c r="P11" s="53">
        <v>4</v>
      </c>
      <c r="Q11" s="62">
        <v>8</v>
      </c>
      <c r="R11" s="63">
        <f t="shared" si="9"/>
        <v>0.14453477868112</v>
      </c>
      <c r="S11" s="60">
        <f t="shared" si="20"/>
        <v>0.100012501562695</v>
      </c>
      <c r="T11" s="63">
        <f t="shared" si="10"/>
        <v>0.0722583559168925</v>
      </c>
      <c r="U11" s="63">
        <v>0.01</v>
      </c>
      <c r="V11" s="63">
        <f t="shared" si="11"/>
        <v>0.321965609036621</v>
      </c>
      <c r="W11" s="63">
        <f t="shared" si="12"/>
        <v>0.0643631436314363</v>
      </c>
      <c r="X11" s="61">
        <v>0.188</v>
      </c>
      <c r="Y11" s="64">
        <v>8</v>
      </c>
      <c r="Z11" s="64">
        <f>F11*0.05</f>
        <v>3.9995</v>
      </c>
      <c r="AA11" s="64">
        <f t="shared" si="13"/>
        <v>0.5535</v>
      </c>
      <c r="AB11" s="57">
        <f t="shared" si="14"/>
        <v>10.4058</v>
      </c>
      <c r="AC11" s="57">
        <v>138.5</v>
      </c>
      <c r="AD11" s="65">
        <f t="shared" si="15"/>
        <v>122.566371681416</v>
      </c>
      <c r="AE11" s="62">
        <f t="shared" si="16"/>
        <v>2.5</v>
      </c>
      <c r="AF11" s="63">
        <f t="shared" si="17"/>
        <v>0.276798490698771</v>
      </c>
      <c r="AG11" s="63">
        <f t="shared" si="18"/>
        <v>0.04516711833785</v>
      </c>
      <c r="AH11" s="62">
        <v>20</v>
      </c>
      <c r="AI11" s="60">
        <f t="shared" si="19"/>
        <v>0.346545445840304</v>
      </c>
      <c r="AJ11" s="63"/>
      <c r="AK11" s="63"/>
      <c r="AL11" s="63"/>
      <c r="AM11" s="63"/>
      <c r="AN11" s="66"/>
      <c r="AO11" s="66"/>
      <c r="AP11" s="66"/>
      <c r="AQ11" s="66"/>
      <c r="AR11" s="66"/>
      <c r="AS11" s="66"/>
      <c r="AT11" s="66" t="s">
        <v>600</v>
      </c>
      <c r="AU11" s="66" t="s">
        <v>600</v>
      </c>
      <c r="AV11" s="66" t="s">
        <v>600</v>
      </c>
      <c r="AW11" s="66" t="s">
        <v>600</v>
      </c>
      <c r="AX11" s="66" t="s">
        <v>600</v>
      </c>
      <c r="AY11" s="66" t="s">
        <v>600</v>
      </c>
      <c r="AZ11" s="66" t="s">
        <v>600</v>
      </c>
      <c r="BA11" s="66" t="s">
        <v>600</v>
      </c>
      <c r="BB11" s="66" t="s">
        <v>600</v>
      </c>
      <c r="BC11" s="66" t="s">
        <v>600</v>
      </c>
      <c r="BD11" s="66" t="s">
        <v>600</v>
      </c>
      <c r="BE11" s="66" t="s">
        <v>600</v>
      </c>
      <c r="BF11" s="66" t="s">
        <v>600</v>
      </c>
      <c r="BG11" s="66" t="s">
        <v>600</v>
      </c>
      <c r="BH11" s="66" t="s">
        <v>600</v>
      </c>
      <c r="BI11" s="66" t="s">
        <v>600</v>
      </c>
      <c r="BJ11" s="66" t="s">
        <v>600</v>
      </c>
      <c r="BK11" s="66" t="s">
        <v>600</v>
      </c>
      <c r="BL11" s="66" t="s">
        <v>600</v>
      </c>
      <c r="BM11" s="66" t="s">
        <v>600</v>
      </c>
      <c r="BN11" s="66" t="s">
        <v>600</v>
      </c>
      <c r="BO11" s="66" t="s">
        <v>600</v>
      </c>
      <c r="BP11" s="66" t="s">
        <v>600</v>
      </c>
      <c r="BQ11" s="66" t="s">
        <v>600</v>
      </c>
      <c r="BR11" s="164"/>
      <c r="BS11" s="68" t="s">
        <v>601</v>
      </c>
    </row>
    <row r="12" ht="15.6" spans="1:71">
      <c r="A12" s="53" t="s">
        <v>511</v>
      </c>
      <c r="B12" s="53" t="s">
        <v>27</v>
      </c>
      <c r="C12" s="53" t="s">
        <v>28</v>
      </c>
      <c r="D12" s="162" t="s">
        <v>603</v>
      </c>
      <c r="E12" s="58">
        <v>55.35</v>
      </c>
      <c r="F12" s="56">
        <v>79.99</v>
      </c>
      <c r="G12" s="59">
        <f t="shared" si="0"/>
        <v>71.991</v>
      </c>
      <c r="H12" s="59">
        <f t="shared" si="1"/>
        <v>59.9925</v>
      </c>
      <c r="I12" s="59">
        <f t="shared" si="2"/>
        <v>7.00840353982301</v>
      </c>
      <c r="J12" s="60">
        <f t="shared" si="3"/>
        <v>0.126619756817037</v>
      </c>
      <c r="K12" s="57">
        <f t="shared" si="4"/>
        <v>66.6583333333333</v>
      </c>
      <c r="L12" s="163">
        <f t="shared" si="5"/>
        <v>0.169646205775722</v>
      </c>
      <c r="M12" s="59">
        <f t="shared" si="6"/>
        <v>11.3083333333333</v>
      </c>
      <c r="N12" s="57">
        <f t="shared" si="7"/>
        <v>142.566371681416</v>
      </c>
      <c r="O12" s="57">
        <f t="shared" si="8"/>
        <v>3.5625</v>
      </c>
      <c r="P12" s="53">
        <v>4</v>
      </c>
      <c r="Q12" s="62">
        <v>8</v>
      </c>
      <c r="R12" s="63">
        <f t="shared" si="9"/>
        <v>0.14453477868112</v>
      </c>
      <c r="S12" s="60">
        <f t="shared" si="20"/>
        <v>0.100012501562695</v>
      </c>
      <c r="T12" s="63">
        <f t="shared" si="10"/>
        <v>0.144516711833785</v>
      </c>
      <c r="U12" s="63">
        <v>0.01</v>
      </c>
      <c r="V12" s="63">
        <f t="shared" si="11"/>
        <v>0.321965609036621</v>
      </c>
      <c r="W12" s="63">
        <f t="shared" si="12"/>
        <v>0.0643631436314363</v>
      </c>
      <c r="X12" s="61">
        <v>0.188</v>
      </c>
      <c r="Y12" s="64">
        <v>8</v>
      </c>
      <c r="Z12" s="64">
        <f>F12*0.1</f>
        <v>7.999</v>
      </c>
      <c r="AA12" s="64">
        <f t="shared" si="13"/>
        <v>0.5535</v>
      </c>
      <c r="AB12" s="57">
        <f t="shared" si="14"/>
        <v>10.4058</v>
      </c>
      <c r="AC12" s="57">
        <v>138.5</v>
      </c>
      <c r="AD12" s="65">
        <f t="shared" si="15"/>
        <v>122.566371681416</v>
      </c>
      <c r="AE12" s="62">
        <f t="shared" si="16"/>
        <v>2.5</v>
      </c>
      <c r="AF12" s="63">
        <f t="shared" si="17"/>
        <v>0.276798490698771</v>
      </c>
      <c r="AG12" s="63">
        <f t="shared" si="18"/>
        <v>0.04516711833785</v>
      </c>
      <c r="AH12" s="62">
        <v>20</v>
      </c>
      <c r="AI12" s="60">
        <f t="shared" si="19"/>
        <v>0.370173544420325</v>
      </c>
      <c r="AJ12" s="63"/>
      <c r="AK12" s="63"/>
      <c r="AL12" s="63"/>
      <c r="AM12" s="63"/>
      <c r="AN12" s="66"/>
      <c r="AO12" s="66"/>
      <c r="AP12" s="66"/>
      <c r="AQ12" s="66"/>
      <c r="AR12" s="66"/>
      <c r="AS12" s="66"/>
      <c r="AT12" s="66" t="s">
        <v>600</v>
      </c>
      <c r="AU12" s="66" t="s">
        <v>600</v>
      </c>
      <c r="AV12" s="66" t="s">
        <v>600</v>
      </c>
      <c r="AW12" s="66" t="s">
        <v>600</v>
      </c>
      <c r="AX12" s="66" t="s">
        <v>600</v>
      </c>
      <c r="AY12" s="66" t="s">
        <v>600</v>
      </c>
      <c r="AZ12" s="66" t="s">
        <v>600</v>
      </c>
      <c r="BA12" s="66" t="s">
        <v>600</v>
      </c>
      <c r="BB12" s="66" t="s">
        <v>600</v>
      </c>
      <c r="BC12" s="66" t="s">
        <v>600</v>
      </c>
      <c r="BD12" s="66" t="s">
        <v>600</v>
      </c>
      <c r="BE12" s="66" t="s">
        <v>600</v>
      </c>
      <c r="BF12" s="66" t="s">
        <v>600</v>
      </c>
      <c r="BG12" s="66" t="s">
        <v>600</v>
      </c>
      <c r="BH12" s="66" t="s">
        <v>600</v>
      </c>
      <c r="BI12" s="66" t="s">
        <v>600</v>
      </c>
      <c r="BJ12" s="66" t="s">
        <v>600</v>
      </c>
      <c r="BK12" s="66" t="s">
        <v>600</v>
      </c>
      <c r="BL12" s="66" t="s">
        <v>600</v>
      </c>
      <c r="BM12" s="66" t="s">
        <v>600</v>
      </c>
      <c r="BN12" s="66" t="s">
        <v>600</v>
      </c>
      <c r="BO12" s="66" t="s">
        <v>600</v>
      </c>
      <c r="BP12" s="66" t="s">
        <v>600</v>
      </c>
      <c r="BQ12" s="66" t="s">
        <v>600</v>
      </c>
      <c r="BR12" s="164"/>
      <c r="BS12" s="68" t="s">
        <v>601</v>
      </c>
    </row>
    <row r="13" ht="15.6" spans="1:71">
      <c r="A13" s="53" t="s">
        <v>511</v>
      </c>
      <c r="B13" s="53" t="s">
        <v>27</v>
      </c>
      <c r="C13" s="53" t="s">
        <v>28</v>
      </c>
      <c r="D13" s="169" t="s">
        <v>604</v>
      </c>
      <c r="E13" s="58">
        <v>55.35</v>
      </c>
      <c r="F13" s="56">
        <v>79.99</v>
      </c>
      <c r="G13" s="59">
        <f t="shared" si="0"/>
        <v>67.9915</v>
      </c>
      <c r="H13" s="59">
        <f t="shared" si="1"/>
        <v>56.6595833333333</v>
      </c>
      <c r="I13" s="59">
        <f t="shared" si="2"/>
        <v>3.00890353982301</v>
      </c>
      <c r="J13" s="60">
        <f t="shared" si="3"/>
        <v>0.0543614009001447</v>
      </c>
      <c r="K13" s="57">
        <f t="shared" si="4"/>
        <v>66.6583333333333</v>
      </c>
      <c r="L13" s="163">
        <f t="shared" si="5"/>
        <v>0.169646205775722</v>
      </c>
      <c r="M13" s="59">
        <f t="shared" si="6"/>
        <v>11.3083333333333</v>
      </c>
      <c r="N13" s="57">
        <f t="shared" si="7"/>
        <v>142.566371681416</v>
      </c>
      <c r="O13" s="57">
        <f t="shared" si="8"/>
        <v>3.5625</v>
      </c>
      <c r="P13" s="53">
        <v>4</v>
      </c>
      <c r="Q13" s="62">
        <v>8</v>
      </c>
      <c r="R13" s="63">
        <f t="shared" si="9"/>
        <v>0.14453477868112</v>
      </c>
      <c r="S13" s="60">
        <f t="shared" si="20"/>
        <v>0.100012501562695</v>
      </c>
      <c r="T13" s="63">
        <f t="shared" si="10"/>
        <v>0.216775067750677</v>
      </c>
      <c r="U13" s="63">
        <v>0.01</v>
      </c>
      <c r="V13" s="63">
        <f t="shared" si="11"/>
        <v>0.321965609036621</v>
      </c>
      <c r="W13" s="63">
        <f t="shared" si="12"/>
        <v>0.0643631436314363</v>
      </c>
      <c r="X13" s="61">
        <v>0.188</v>
      </c>
      <c r="Y13" s="64">
        <v>8</v>
      </c>
      <c r="Z13" s="64">
        <f>F13*0.15</f>
        <v>11.9985</v>
      </c>
      <c r="AA13" s="64">
        <f t="shared" si="13"/>
        <v>0.5535</v>
      </c>
      <c r="AB13" s="57">
        <f t="shared" si="14"/>
        <v>10.4058</v>
      </c>
      <c r="AC13" s="57">
        <v>138.5</v>
      </c>
      <c r="AD13" s="65">
        <f t="shared" si="15"/>
        <v>122.566371681416</v>
      </c>
      <c r="AE13" s="62">
        <f t="shared" si="16"/>
        <v>2.5</v>
      </c>
      <c r="AF13" s="63">
        <f t="shared" si="17"/>
        <v>0.276798490698771</v>
      </c>
      <c r="AG13" s="63">
        <f t="shared" si="18"/>
        <v>0.04516711833785</v>
      </c>
      <c r="AH13" s="62">
        <v>20</v>
      </c>
      <c r="AI13" s="60">
        <f t="shared" si="19"/>
        <v>0.397259413524251</v>
      </c>
      <c r="AJ13" s="63"/>
      <c r="AK13" s="63"/>
      <c r="AL13" s="63"/>
      <c r="AM13" s="63"/>
      <c r="AN13" s="66"/>
      <c r="AO13" s="66"/>
      <c r="AP13" s="66"/>
      <c r="AQ13" s="66"/>
      <c r="AR13" s="66"/>
      <c r="AS13" s="66"/>
      <c r="AT13" s="66" t="s">
        <v>600</v>
      </c>
      <c r="AU13" s="66" t="s">
        <v>600</v>
      </c>
      <c r="AV13" s="66" t="s">
        <v>600</v>
      </c>
      <c r="AW13" s="66" t="s">
        <v>600</v>
      </c>
      <c r="AX13" s="66" t="s">
        <v>600</v>
      </c>
      <c r="AY13" s="66" t="s">
        <v>600</v>
      </c>
      <c r="AZ13" s="66" t="s">
        <v>600</v>
      </c>
      <c r="BA13" s="66" t="s">
        <v>600</v>
      </c>
      <c r="BB13" s="66" t="s">
        <v>600</v>
      </c>
      <c r="BC13" s="66" t="s">
        <v>600</v>
      </c>
      <c r="BD13" s="66" t="s">
        <v>600</v>
      </c>
      <c r="BE13" s="66" t="s">
        <v>600</v>
      </c>
      <c r="BF13" s="66" t="s">
        <v>600</v>
      </c>
      <c r="BG13" s="66" t="s">
        <v>600</v>
      </c>
      <c r="BH13" s="66" t="s">
        <v>600</v>
      </c>
      <c r="BI13" s="66" t="s">
        <v>600</v>
      </c>
      <c r="BJ13" s="66" t="s">
        <v>600</v>
      </c>
      <c r="BK13" s="66" t="s">
        <v>600</v>
      </c>
      <c r="BL13" s="66" t="s">
        <v>600</v>
      </c>
      <c r="BM13" s="66" t="s">
        <v>600</v>
      </c>
      <c r="BN13" s="66" t="s">
        <v>600</v>
      </c>
      <c r="BO13" s="66" t="s">
        <v>600</v>
      </c>
      <c r="BP13" s="66" t="s">
        <v>600</v>
      </c>
      <c r="BQ13" s="66" t="s">
        <v>600</v>
      </c>
      <c r="BR13" s="67"/>
      <c r="BS13" s="68" t="s">
        <v>601</v>
      </c>
    </row>
    <row r="14" ht="15.6" spans="1:71">
      <c r="A14" s="53" t="s">
        <v>513</v>
      </c>
      <c r="B14" s="53" t="s">
        <v>27</v>
      </c>
      <c r="C14" s="53" t="s">
        <v>28</v>
      </c>
      <c r="D14" s="169" t="s">
        <v>599</v>
      </c>
      <c r="E14" s="58">
        <v>55.35</v>
      </c>
      <c r="F14" s="56">
        <v>79.99</v>
      </c>
      <c r="G14" s="59">
        <f t="shared" si="0"/>
        <v>79.99</v>
      </c>
      <c r="H14" s="59">
        <f t="shared" si="1"/>
        <v>66.6583333333333</v>
      </c>
      <c r="I14" s="59">
        <f t="shared" si="2"/>
        <v>14.757403539823</v>
      </c>
      <c r="J14" s="60">
        <f t="shared" si="3"/>
        <v>0.266619756817037</v>
      </c>
      <c r="K14" s="57">
        <f t="shared" si="4"/>
        <v>66.6583333333333</v>
      </c>
      <c r="L14" s="163">
        <f t="shared" si="5"/>
        <v>0.169646205775722</v>
      </c>
      <c r="M14" s="59">
        <f t="shared" si="6"/>
        <v>11.3083333333333</v>
      </c>
      <c r="N14" s="57">
        <f t="shared" si="7"/>
        <v>142.566371681416</v>
      </c>
      <c r="O14" s="57">
        <f t="shared" si="8"/>
        <v>3.8125</v>
      </c>
      <c r="P14" s="53">
        <v>4</v>
      </c>
      <c r="Q14" s="62">
        <v>8</v>
      </c>
      <c r="R14" s="63">
        <f t="shared" si="9"/>
        <v>0.14453477868112</v>
      </c>
      <c r="S14" s="60">
        <f t="shared" si="20"/>
        <v>0.100012501562695</v>
      </c>
      <c r="T14" s="63">
        <f t="shared" si="10"/>
        <v>0</v>
      </c>
      <c r="U14" s="63">
        <v>0.01</v>
      </c>
      <c r="V14" s="63">
        <f t="shared" si="11"/>
        <v>0.321965609036621</v>
      </c>
      <c r="W14" s="63">
        <f t="shared" si="12"/>
        <v>0.0688798554652213</v>
      </c>
      <c r="X14" s="61">
        <v>0.188</v>
      </c>
      <c r="Y14" s="64">
        <v>8</v>
      </c>
      <c r="Z14" s="64">
        <v>0</v>
      </c>
      <c r="AA14" s="64">
        <f t="shared" si="13"/>
        <v>0.5535</v>
      </c>
      <c r="AB14" s="57">
        <f t="shared" si="14"/>
        <v>10.4058</v>
      </c>
      <c r="AC14" s="57">
        <v>138.5</v>
      </c>
      <c r="AD14" s="65">
        <f t="shared" si="15"/>
        <v>122.566371681416</v>
      </c>
      <c r="AE14" s="62">
        <f t="shared" si="16"/>
        <v>2.5</v>
      </c>
      <c r="AF14" s="63">
        <f t="shared" si="17"/>
        <v>0.276798490698771</v>
      </c>
      <c r="AG14" s="63">
        <f t="shared" si="18"/>
        <v>0.04516711833785</v>
      </c>
      <c r="AH14" s="62">
        <v>20</v>
      </c>
      <c r="AI14" s="60">
        <f t="shared" si="19"/>
        <v>0.325752719089886</v>
      </c>
      <c r="AJ14" s="60"/>
      <c r="AK14" s="60"/>
      <c r="AL14" s="60"/>
      <c r="AM14" s="60"/>
      <c r="AN14" s="66"/>
      <c r="AO14" s="66"/>
      <c r="AP14" s="66"/>
      <c r="AQ14" s="66"/>
      <c r="AR14" s="66"/>
      <c r="AS14" s="66"/>
      <c r="AT14" s="66" t="s">
        <v>600</v>
      </c>
      <c r="AU14" s="66" t="s">
        <v>600</v>
      </c>
      <c r="AV14" s="66" t="s">
        <v>600</v>
      </c>
      <c r="AW14" s="66" t="s">
        <v>600</v>
      </c>
      <c r="AX14" s="66" t="s">
        <v>600</v>
      </c>
      <c r="AY14" s="66" t="s">
        <v>600</v>
      </c>
      <c r="AZ14" s="66" t="s">
        <v>600</v>
      </c>
      <c r="BA14" s="66" t="s">
        <v>600</v>
      </c>
      <c r="BB14" s="66" t="s">
        <v>600</v>
      </c>
      <c r="BC14" s="66" t="s">
        <v>600</v>
      </c>
      <c r="BD14" s="66" t="s">
        <v>600</v>
      </c>
      <c r="BE14" s="66" t="s">
        <v>600</v>
      </c>
      <c r="BF14" s="66" t="s">
        <v>600</v>
      </c>
      <c r="BG14" s="66" t="s">
        <v>600</v>
      </c>
      <c r="BH14" s="66" t="s">
        <v>600</v>
      </c>
      <c r="BI14" s="66" t="s">
        <v>600</v>
      </c>
      <c r="BJ14" s="66" t="s">
        <v>600</v>
      </c>
      <c r="BK14" s="66" t="s">
        <v>600</v>
      </c>
      <c r="BL14" s="66" t="s">
        <v>600</v>
      </c>
      <c r="BM14" s="66" t="s">
        <v>600</v>
      </c>
      <c r="BN14" s="66" t="s">
        <v>600</v>
      </c>
      <c r="BO14" s="66" t="s">
        <v>600</v>
      </c>
      <c r="BP14" s="66" t="s">
        <v>600</v>
      </c>
      <c r="BQ14" s="66" t="s">
        <v>600</v>
      </c>
      <c r="BR14" s="164"/>
      <c r="BS14" s="68" t="s">
        <v>601</v>
      </c>
    </row>
    <row r="15" ht="15.6" spans="1:71">
      <c r="A15" s="53" t="s">
        <v>513</v>
      </c>
      <c r="B15" s="53" t="s">
        <v>27</v>
      </c>
      <c r="C15" s="53" t="s">
        <v>28</v>
      </c>
      <c r="D15" s="162" t="s">
        <v>602</v>
      </c>
      <c r="E15" s="58">
        <v>55.35</v>
      </c>
      <c r="F15" s="56">
        <v>79.99</v>
      </c>
      <c r="G15" s="59">
        <f t="shared" si="0"/>
        <v>75.9905</v>
      </c>
      <c r="H15" s="59">
        <f t="shared" si="1"/>
        <v>63.3254166666667</v>
      </c>
      <c r="I15" s="165">
        <f t="shared" si="2"/>
        <v>10.757903539823</v>
      </c>
      <c r="J15" s="60">
        <f t="shared" si="3"/>
        <v>0.194361400900145</v>
      </c>
      <c r="K15" s="57">
        <f t="shared" si="4"/>
        <v>66.6583333333333</v>
      </c>
      <c r="L15" s="163">
        <f t="shared" si="5"/>
        <v>0.169646205775722</v>
      </c>
      <c r="M15" s="59">
        <f t="shared" si="6"/>
        <v>11.3083333333333</v>
      </c>
      <c r="N15" s="57">
        <f t="shared" si="7"/>
        <v>142.566371681416</v>
      </c>
      <c r="O15" s="57">
        <f t="shared" si="8"/>
        <v>3.8125</v>
      </c>
      <c r="P15" s="53">
        <v>4</v>
      </c>
      <c r="Q15" s="62">
        <v>8</v>
      </c>
      <c r="R15" s="63">
        <f t="shared" si="9"/>
        <v>0.14453477868112</v>
      </c>
      <c r="S15" s="60">
        <f t="shared" si="20"/>
        <v>0.100012501562695</v>
      </c>
      <c r="T15" s="63">
        <f t="shared" si="10"/>
        <v>0.0722583559168925</v>
      </c>
      <c r="U15" s="63">
        <v>0.01</v>
      </c>
      <c r="V15" s="63">
        <f t="shared" si="11"/>
        <v>0.321965609036621</v>
      </c>
      <c r="W15" s="63">
        <f t="shared" si="12"/>
        <v>0.0688798554652213</v>
      </c>
      <c r="X15" s="61">
        <v>0.188</v>
      </c>
      <c r="Y15" s="64">
        <v>8</v>
      </c>
      <c r="Z15" s="64">
        <f>F15*0.05</f>
        <v>3.9995</v>
      </c>
      <c r="AA15" s="64">
        <f t="shared" si="13"/>
        <v>0.5535</v>
      </c>
      <c r="AB15" s="57">
        <f t="shared" si="14"/>
        <v>10.4058</v>
      </c>
      <c r="AC15" s="57">
        <v>138.5</v>
      </c>
      <c r="AD15" s="65">
        <f t="shared" si="15"/>
        <v>122.566371681416</v>
      </c>
      <c r="AE15" s="62">
        <f t="shared" si="16"/>
        <v>2.5</v>
      </c>
      <c r="AF15" s="63">
        <f t="shared" si="17"/>
        <v>0.276798490698771</v>
      </c>
      <c r="AG15" s="63">
        <f t="shared" si="18"/>
        <v>0.04516711833785</v>
      </c>
      <c r="AH15" s="62">
        <v>20</v>
      </c>
      <c r="AI15" s="60">
        <f t="shared" si="19"/>
        <v>0.346545445840304</v>
      </c>
      <c r="AJ15" s="60"/>
      <c r="AK15" s="60"/>
      <c r="AL15" s="60"/>
      <c r="AM15" s="60"/>
      <c r="AN15" s="66"/>
      <c r="AO15" s="66"/>
      <c r="AP15" s="66"/>
      <c r="AQ15" s="66"/>
      <c r="AR15" s="66"/>
      <c r="AS15" s="66"/>
      <c r="AT15" s="66" t="s">
        <v>600</v>
      </c>
      <c r="AU15" s="66" t="s">
        <v>600</v>
      </c>
      <c r="AV15" s="66" t="s">
        <v>600</v>
      </c>
      <c r="AW15" s="66" t="s">
        <v>600</v>
      </c>
      <c r="AX15" s="66" t="s">
        <v>600</v>
      </c>
      <c r="AY15" s="66" t="s">
        <v>600</v>
      </c>
      <c r="AZ15" s="66" t="s">
        <v>600</v>
      </c>
      <c r="BA15" s="66" t="s">
        <v>600</v>
      </c>
      <c r="BB15" s="66" t="s">
        <v>600</v>
      </c>
      <c r="BC15" s="66" t="s">
        <v>600</v>
      </c>
      <c r="BD15" s="66" t="s">
        <v>600</v>
      </c>
      <c r="BE15" s="66" t="s">
        <v>600</v>
      </c>
      <c r="BF15" s="66" t="s">
        <v>600</v>
      </c>
      <c r="BG15" s="66" t="s">
        <v>600</v>
      </c>
      <c r="BH15" s="66" t="s">
        <v>600</v>
      </c>
      <c r="BI15" s="66" t="s">
        <v>600</v>
      </c>
      <c r="BJ15" s="66" t="s">
        <v>600</v>
      </c>
      <c r="BK15" s="66" t="s">
        <v>600</v>
      </c>
      <c r="BL15" s="66" t="s">
        <v>600</v>
      </c>
      <c r="BM15" s="66" t="s">
        <v>600</v>
      </c>
      <c r="BN15" s="66" t="s">
        <v>600</v>
      </c>
      <c r="BO15" s="66" t="s">
        <v>600</v>
      </c>
      <c r="BP15" s="66" t="s">
        <v>600</v>
      </c>
      <c r="BQ15" s="66" t="s">
        <v>600</v>
      </c>
      <c r="BR15" s="164"/>
      <c r="BS15" s="68" t="s">
        <v>601</v>
      </c>
    </row>
    <row r="16" ht="15.6" spans="1:71">
      <c r="A16" s="53" t="s">
        <v>513</v>
      </c>
      <c r="B16" s="53" t="s">
        <v>27</v>
      </c>
      <c r="C16" s="53" t="s">
        <v>28</v>
      </c>
      <c r="D16" s="162" t="s">
        <v>603</v>
      </c>
      <c r="E16" s="58">
        <v>55.35</v>
      </c>
      <c r="F16" s="56">
        <v>79.99</v>
      </c>
      <c r="G16" s="59">
        <f t="shared" si="0"/>
        <v>71.991</v>
      </c>
      <c r="H16" s="59">
        <f t="shared" si="1"/>
        <v>59.9925</v>
      </c>
      <c r="I16" s="59">
        <f t="shared" si="2"/>
        <v>6.75840353982301</v>
      </c>
      <c r="J16" s="60">
        <f t="shared" si="3"/>
        <v>0.122103044983252</v>
      </c>
      <c r="K16" s="57">
        <f t="shared" si="4"/>
        <v>66.6583333333333</v>
      </c>
      <c r="L16" s="163">
        <f t="shared" si="5"/>
        <v>0.169646205775722</v>
      </c>
      <c r="M16" s="59">
        <f t="shared" si="6"/>
        <v>11.3083333333333</v>
      </c>
      <c r="N16" s="57">
        <f t="shared" si="7"/>
        <v>142.566371681416</v>
      </c>
      <c r="O16" s="57">
        <f t="shared" si="8"/>
        <v>3.8125</v>
      </c>
      <c r="P16" s="53">
        <v>4</v>
      </c>
      <c r="Q16" s="62">
        <v>8</v>
      </c>
      <c r="R16" s="63">
        <f t="shared" si="9"/>
        <v>0.14453477868112</v>
      </c>
      <c r="S16" s="60">
        <f t="shared" si="20"/>
        <v>0.100012501562695</v>
      </c>
      <c r="T16" s="63">
        <f t="shared" si="10"/>
        <v>0.144516711833785</v>
      </c>
      <c r="U16" s="63">
        <v>0.01</v>
      </c>
      <c r="V16" s="63">
        <f t="shared" si="11"/>
        <v>0.321965609036621</v>
      </c>
      <c r="W16" s="63">
        <f t="shared" si="12"/>
        <v>0.0688798554652213</v>
      </c>
      <c r="X16" s="61">
        <v>0.188</v>
      </c>
      <c r="Y16" s="64">
        <v>8</v>
      </c>
      <c r="Z16" s="64">
        <f>F16*0.1</f>
        <v>7.999</v>
      </c>
      <c r="AA16" s="64">
        <f t="shared" si="13"/>
        <v>0.5535</v>
      </c>
      <c r="AB16" s="57">
        <f t="shared" si="14"/>
        <v>10.4058</v>
      </c>
      <c r="AC16" s="57">
        <v>138.5</v>
      </c>
      <c r="AD16" s="65">
        <f t="shared" si="15"/>
        <v>122.566371681416</v>
      </c>
      <c r="AE16" s="62">
        <f t="shared" si="16"/>
        <v>2.5</v>
      </c>
      <c r="AF16" s="63">
        <f t="shared" si="17"/>
        <v>0.276798490698771</v>
      </c>
      <c r="AG16" s="63">
        <f t="shared" si="18"/>
        <v>0.04516711833785</v>
      </c>
      <c r="AH16" s="62">
        <v>20</v>
      </c>
      <c r="AI16" s="60">
        <f t="shared" si="19"/>
        <v>0.370173544420325</v>
      </c>
      <c r="AJ16" s="60"/>
      <c r="AK16" s="60"/>
      <c r="AL16" s="60"/>
      <c r="AM16" s="60"/>
      <c r="AN16" s="66"/>
      <c r="AO16" s="66"/>
      <c r="AP16" s="66"/>
      <c r="AQ16" s="66"/>
      <c r="AR16" s="66"/>
      <c r="AS16" s="66"/>
      <c r="AT16" s="66" t="s">
        <v>600</v>
      </c>
      <c r="AU16" s="66" t="s">
        <v>600</v>
      </c>
      <c r="AV16" s="66" t="s">
        <v>600</v>
      </c>
      <c r="AW16" s="66" t="s">
        <v>600</v>
      </c>
      <c r="AX16" s="66" t="s">
        <v>600</v>
      </c>
      <c r="AY16" s="66" t="s">
        <v>600</v>
      </c>
      <c r="AZ16" s="66" t="s">
        <v>600</v>
      </c>
      <c r="BA16" s="66" t="s">
        <v>600</v>
      </c>
      <c r="BB16" s="66" t="s">
        <v>600</v>
      </c>
      <c r="BC16" s="66" t="s">
        <v>600</v>
      </c>
      <c r="BD16" s="66" t="s">
        <v>600</v>
      </c>
      <c r="BE16" s="66" t="s">
        <v>600</v>
      </c>
      <c r="BF16" s="66" t="s">
        <v>600</v>
      </c>
      <c r="BG16" s="66" t="s">
        <v>600</v>
      </c>
      <c r="BH16" s="66" t="s">
        <v>600</v>
      </c>
      <c r="BI16" s="66" t="s">
        <v>600</v>
      </c>
      <c r="BJ16" s="66" t="s">
        <v>600</v>
      </c>
      <c r="BK16" s="66" t="s">
        <v>600</v>
      </c>
      <c r="BL16" s="66" t="s">
        <v>600</v>
      </c>
      <c r="BM16" s="66" t="s">
        <v>600</v>
      </c>
      <c r="BN16" s="66" t="s">
        <v>600</v>
      </c>
      <c r="BO16" s="66" t="s">
        <v>600</v>
      </c>
      <c r="BP16" s="66" t="s">
        <v>600</v>
      </c>
      <c r="BQ16" s="66" t="s">
        <v>600</v>
      </c>
      <c r="BR16" s="164"/>
      <c r="BS16" s="68" t="s">
        <v>601</v>
      </c>
    </row>
    <row r="17" ht="15.6" spans="1:71">
      <c r="A17" s="53" t="s">
        <v>513</v>
      </c>
      <c r="B17" s="53" t="s">
        <v>27</v>
      </c>
      <c r="C17" s="53" t="s">
        <v>28</v>
      </c>
      <c r="D17" s="169" t="s">
        <v>604</v>
      </c>
      <c r="E17" s="58">
        <v>55.35</v>
      </c>
      <c r="F17" s="56">
        <v>79.99</v>
      </c>
      <c r="G17" s="59">
        <f t="shared" si="0"/>
        <v>67.9915</v>
      </c>
      <c r="H17" s="59">
        <f t="shared" si="1"/>
        <v>56.6595833333333</v>
      </c>
      <c r="I17" s="59">
        <f t="shared" si="2"/>
        <v>2.75890353982301</v>
      </c>
      <c r="J17" s="60">
        <f t="shared" si="3"/>
        <v>0.0498446890663597</v>
      </c>
      <c r="K17" s="57">
        <f t="shared" si="4"/>
        <v>66.6583333333333</v>
      </c>
      <c r="L17" s="163">
        <f t="shared" si="5"/>
        <v>0.169646205775722</v>
      </c>
      <c r="M17" s="59">
        <f t="shared" si="6"/>
        <v>11.3083333333333</v>
      </c>
      <c r="N17" s="57">
        <f t="shared" si="7"/>
        <v>142.566371681416</v>
      </c>
      <c r="O17" s="57">
        <f t="shared" si="8"/>
        <v>3.8125</v>
      </c>
      <c r="P17" s="53">
        <v>4</v>
      </c>
      <c r="Q17" s="62">
        <v>8</v>
      </c>
      <c r="R17" s="63">
        <f t="shared" si="9"/>
        <v>0.14453477868112</v>
      </c>
      <c r="S17" s="60">
        <f t="shared" si="20"/>
        <v>0.100012501562695</v>
      </c>
      <c r="T17" s="63">
        <f t="shared" si="10"/>
        <v>0.216775067750677</v>
      </c>
      <c r="U17" s="63">
        <v>0.01</v>
      </c>
      <c r="V17" s="63">
        <f t="shared" si="11"/>
        <v>0.321965609036621</v>
      </c>
      <c r="W17" s="63">
        <f t="shared" si="12"/>
        <v>0.0688798554652213</v>
      </c>
      <c r="X17" s="61">
        <v>0.188</v>
      </c>
      <c r="Y17" s="64">
        <v>8</v>
      </c>
      <c r="Z17" s="64">
        <f>F17*0.15</f>
        <v>11.9985</v>
      </c>
      <c r="AA17" s="64">
        <f t="shared" si="13"/>
        <v>0.5535</v>
      </c>
      <c r="AB17" s="57">
        <f t="shared" si="14"/>
        <v>10.4058</v>
      </c>
      <c r="AC17" s="57">
        <v>138.5</v>
      </c>
      <c r="AD17" s="65">
        <f t="shared" si="15"/>
        <v>122.566371681416</v>
      </c>
      <c r="AE17" s="62">
        <f t="shared" si="16"/>
        <v>2.5</v>
      </c>
      <c r="AF17" s="63">
        <f t="shared" si="17"/>
        <v>0.276798490698771</v>
      </c>
      <c r="AG17" s="63">
        <f t="shared" si="18"/>
        <v>0.04516711833785</v>
      </c>
      <c r="AH17" s="62">
        <v>20</v>
      </c>
      <c r="AI17" s="60">
        <f t="shared" si="19"/>
        <v>0.397259413524251</v>
      </c>
      <c r="AJ17" s="60"/>
      <c r="AK17" s="60"/>
      <c r="AL17" s="60"/>
      <c r="AM17" s="60"/>
      <c r="AN17" s="66"/>
      <c r="AO17" s="66"/>
      <c r="AP17" s="66"/>
      <c r="AQ17" s="66"/>
      <c r="AR17" s="66"/>
      <c r="AS17" s="66"/>
      <c r="AT17" s="66" t="s">
        <v>600</v>
      </c>
      <c r="AU17" s="66" t="s">
        <v>600</v>
      </c>
      <c r="AV17" s="66" t="s">
        <v>600</v>
      </c>
      <c r="AW17" s="66" t="s">
        <v>600</v>
      </c>
      <c r="AX17" s="66" t="s">
        <v>600</v>
      </c>
      <c r="AY17" s="66" t="s">
        <v>600</v>
      </c>
      <c r="AZ17" s="66" t="s">
        <v>600</v>
      </c>
      <c r="BA17" s="66" t="s">
        <v>600</v>
      </c>
      <c r="BB17" s="66" t="s">
        <v>600</v>
      </c>
      <c r="BC17" s="66" t="s">
        <v>600</v>
      </c>
      <c r="BD17" s="66" t="s">
        <v>600</v>
      </c>
      <c r="BE17" s="66" t="s">
        <v>600</v>
      </c>
      <c r="BF17" s="66" t="s">
        <v>600</v>
      </c>
      <c r="BG17" s="66" t="s">
        <v>600</v>
      </c>
      <c r="BH17" s="66" t="s">
        <v>600</v>
      </c>
      <c r="BI17" s="66" t="s">
        <v>600</v>
      </c>
      <c r="BJ17" s="66" t="s">
        <v>600</v>
      </c>
      <c r="BK17" s="66" t="s">
        <v>600</v>
      </c>
      <c r="BL17" s="66" t="s">
        <v>600</v>
      </c>
      <c r="BM17" s="66" t="s">
        <v>600</v>
      </c>
      <c r="BN17" s="66" t="s">
        <v>600</v>
      </c>
      <c r="BO17" s="66" t="s">
        <v>600</v>
      </c>
      <c r="BP17" s="66" t="s">
        <v>600</v>
      </c>
      <c r="BQ17" s="66" t="s">
        <v>600</v>
      </c>
      <c r="BR17" s="67"/>
      <c r="BS17" s="68" t="s">
        <v>601</v>
      </c>
    </row>
    <row r="18" ht="15.6" spans="1:71">
      <c r="A18" s="53" t="s">
        <v>516</v>
      </c>
      <c r="B18" s="53" t="s">
        <v>27</v>
      </c>
      <c r="C18" s="53" t="s">
        <v>28</v>
      </c>
      <c r="D18" s="169" t="s">
        <v>599</v>
      </c>
      <c r="E18" s="58">
        <v>55.35</v>
      </c>
      <c r="F18" s="56">
        <v>79.99</v>
      </c>
      <c r="G18" s="59">
        <f t="shared" si="0"/>
        <v>79.99</v>
      </c>
      <c r="H18" s="59">
        <f t="shared" si="1"/>
        <v>66.6583333333333</v>
      </c>
      <c r="I18" s="59">
        <f t="shared" si="2"/>
        <v>13.757403539823</v>
      </c>
      <c r="J18" s="60">
        <f t="shared" si="3"/>
        <v>0.248552909481897</v>
      </c>
      <c r="K18" s="57">
        <f t="shared" si="4"/>
        <v>66.6583333333333</v>
      </c>
      <c r="L18" s="163">
        <f t="shared" si="5"/>
        <v>0.169646205775722</v>
      </c>
      <c r="M18" s="59">
        <f t="shared" si="6"/>
        <v>11.3083333333333</v>
      </c>
      <c r="N18" s="57">
        <f t="shared" si="7"/>
        <v>142.566371681416</v>
      </c>
      <c r="O18" s="57">
        <f t="shared" si="8"/>
        <v>4.8125</v>
      </c>
      <c r="P18" s="53">
        <v>4</v>
      </c>
      <c r="Q18" s="62">
        <v>8</v>
      </c>
      <c r="R18" s="63">
        <f t="shared" si="9"/>
        <v>0.14453477868112</v>
      </c>
      <c r="S18" s="60">
        <f t="shared" si="20"/>
        <v>0.100012501562695</v>
      </c>
      <c r="T18" s="63">
        <f t="shared" si="10"/>
        <v>0</v>
      </c>
      <c r="U18" s="63">
        <v>0.01</v>
      </c>
      <c r="V18" s="63">
        <f t="shared" si="11"/>
        <v>0.321965609036621</v>
      </c>
      <c r="W18" s="63">
        <f t="shared" si="12"/>
        <v>0.0869467028003613</v>
      </c>
      <c r="X18" s="61">
        <v>0.188</v>
      </c>
      <c r="Y18" s="64">
        <v>8</v>
      </c>
      <c r="Z18" s="64">
        <v>0</v>
      </c>
      <c r="AA18" s="64">
        <f t="shared" si="13"/>
        <v>0.5535</v>
      </c>
      <c r="AB18" s="57">
        <f t="shared" si="14"/>
        <v>10.4058</v>
      </c>
      <c r="AC18" s="57">
        <v>138.5</v>
      </c>
      <c r="AD18" s="65">
        <f t="shared" si="15"/>
        <v>122.566371681416</v>
      </c>
      <c r="AE18" s="62">
        <f t="shared" si="16"/>
        <v>2.5</v>
      </c>
      <c r="AF18" s="63">
        <f t="shared" si="17"/>
        <v>0.276798490698771</v>
      </c>
      <c r="AG18" s="63">
        <f t="shared" si="18"/>
        <v>0.04516711833785</v>
      </c>
      <c r="AH18" s="62">
        <v>20</v>
      </c>
      <c r="AI18" s="60">
        <f t="shared" si="19"/>
        <v>0.325752719089886</v>
      </c>
      <c r="AJ18" s="63"/>
      <c r="AK18" s="63"/>
      <c r="AL18" s="63"/>
      <c r="AM18" s="63"/>
      <c r="AN18" s="66"/>
      <c r="AO18" s="66"/>
      <c r="AP18" s="66"/>
      <c r="AQ18" s="66"/>
      <c r="AR18" s="66"/>
      <c r="AS18" s="66"/>
      <c r="AT18" s="66" t="s">
        <v>600</v>
      </c>
      <c r="AU18" s="66" t="s">
        <v>600</v>
      </c>
      <c r="AV18" s="66" t="s">
        <v>600</v>
      </c>
      <c r="AW18" s="66" t="s">
        <v>600</v>
      </c>
      <c r="AX18" s="66" t="s">
        <v>600</v>
      </c>
      <c r="AY18" s="66" t="s">
        <v>600</v>
      </c>
      <c r="AZ18" s="66" t="s">
        <v>600</v>
      </c>
      <c r="BA18" s="66" t="s">
        <v>600</v>
      </c>
      <c r="BB18" s="66" t="s">
        <v>600</v>
      </c>
      <c r="BC18" s="66" t="s">
        <v>600</v>
      </c>
      <c r="BD18" s="66" t="s">
        <v>600</v>
      </c>
      <c r="BE18" s="66" t="s">
        <v>600</v>
      </c>
      <c r="BF18" s="66" t="s">
        <v>600</v>
      </c>
      <c r="BG18" s="66" t="s">
        <v>600</v>
      </c>
      <c r="BH18" s="66" t="s">
        <v>600</v>
      </c>
      <c r="BI18" s="66" t="s">
        <v>600</v>
      </c>
      <c r="BJ18" s="66" t="s">
        <v>600</v>
      </c>
      <c r="BK18" s="66" t="s">
        <v>600</v>
      </c>
      <c r="BL18" s="66" t="s">
        <v>600</v>
      </c>
      <c r="BM18" s="66" t="s">
        <v>600</v>
      </c>
      <c r="BN18" s="66" t="s">
        <v>600</v>
      </c>
      <c r="BO18" s="66" t="s">
        <v>600</v>
      </c>
      <c r="BP18" s="66" t="s">
        <v>600</v>
      </c>
      <c r="BQ18" s="66" t="s">
        <v>600</v>
      </c>
      <c r="BR18" s="164"/>
      <c r="BS18" s="68" t="s">
        <v>601</v>
      </c>
    </row>
    <row r="19" ht="15.6" spans="1:71">
      <c r="A19" s="53" t="s">
        <v>516</v>
      </c>
      <c r="B19" s="53" t="s">
        <v>27</v>
      </c>
      <c r="C19" s="53" t="s">
        <v>28</v>
      </c>
      <c r="D19" s="162" t="s">
        <v>602</v>
      </c>
      <c r="E19" s="58">
        <v>55.35</v>
      </c>
      <c r="F19" s="56">
        <v>79.99</v>
      </c>
      <c r="G19" s="59">
        <f t="shared" si="0"/>
        <v>75.9905</v>
      </c>
      <c r="H19" s="59">
        <f t="shared" si="1"/>
        <v>63.3254166666667</v>
      </c>
      <c r="I19" s="165">
        <f t="shared" si="2"/>
        <v>9.75790353982301</v>
      </c>
      <c r="J19" s="60">
        <f t="shared" si="3"/>
        <v>0.176294553565005</v>
      </c>
      <c r="K19" s="57">
        <f t="shared" si="4"/>
        <v>66.6583333333333</v>
      </c>
      <c r="L19" s="163">
        <f t="shared" si="5"/>
        <v>0.169646205775722</v>
      </c>
      <c r="M19" s="59">
        <f t="shared" si="6"/>
        <v>11.3083333333333</v>
      </c>
      <c r="N19" s="57">
        <f t="shared" si="7"/>
        <v>142.566371681416</v>
      </c>
      <c r="O19" s="57">
        <f t="shared" si="8"/>
        <v>4.8125</v>
      </c>
      <c r="P19" s="53">
        <v>4</v>
      </c>
      <c r="Q19" s="62">
        <v>8</v>
      </c>
      <c r="R19" s="63">
        <f t="shared" si="9"/>
        <v>0.14453477868112</v>
      </c>
      <c r="S19" s="60">
        <f t="shared" si="20"/>
        <v>0.100012501562695</v>
      </c>
      <c r="T19" s="63">
        <f t="shared" si="10"/>
        <v>0.0722583559168925</v>
      </c>
      <c r="U19" s="63">
        <v>0.01</v>
      </c>
      <c r="V19" s="63">
        <f t="shared" si="11"/>
        <v>0.321965609036621</v>
      </c>
      <c r="W19" s="63">
        <f t="shared" si="12"/>
        <v>0.0869467028003613</v>
      </c>
      <c r="X19" s="61">
        <v>0.188</v>
      </c>
      <c r="Y19" s="64">
        <v>8</v>
      </c>
      <c r="Z19" s="64">
        <f>F19*0.05</f>
        <v>3.9995</v>
      </c>
      <c r="AA19" s="64">
        <f t="shared" si="13"/>
        <v>0.5535</v>
      </c>
      <c r="AB19" s="57">
        <f t="shared" si="14"/>
        <v>10.4058</v>
      </c>
      <c r="AC19" s="57">
        <v>138.5</v>
      </c>
      <c r="AD19" s="65">
        <f t="shared" si="15"/>
        <v>122.566371681416</v>
      </c>
      <c r="AE19" s="62">
        <f t="shared" si="16"/>
        <v>2.5</v>
      </c>
      <c r="AF19" s="63">
        <f t="shared" si="17"/>
        <v>0.276798490698771</v>
      </c>
      <c r="AG19" s="63">
        <f t="shared" si="18"/>
        <v>0.04516711833785</v>
      </c>
      <c r="AH19" s="62">
        <v>20</v>
      </c>
      <c r="AI19" s="60">
        <f t="shared" si="19"/>
        <v>0.346545445840304</v>
      </c>
      <c r="AJ19" s="63"/>
      <c r="AK19" s="63"/>
      <c r="AL19" s="63"/>
      <c r="AM19" s="63"/>
      <c r="AN19" s="66"/>
      <c r="AO19" s="66"/>
      <c r="AP19" s="66"/>
      <c r="AQ19" s="66"/>
      <c r="AR19" s="66"/>
      <c r="AS19" s="66"/>
      <c r="AT19" s="66" t="s">
        <v>600</v>
      </c>
      <c r="AU19" s="66" t="s">
        <v>600</v>
      </c>
      <c r="AV19" s="66" t="s">
        <v>600</v>
      </c>
      <c r="AW19" s="66" t="s">
        <v>600</v>
      </c>
      <c r="AX19" s="66" t="s">
        <v>600</v>
      </c>
      <c r="AY19" s="66" t="s">
        <v>600</v>
      </c>
      <c r="AZ19" s="66" t="s">
        <v>600</v>
      </c>
      <c r="BA19" s="66" t="s">
        <v>600</v>
      </c>
      <c r="BB19" s="66" t="s">
        <v>600</v>
      </c>
      <c r="BC19" s="66" t="s">
        <v>600</v>
      </c>
      <c r="BD19" s="66" t="s">
        <v>600</v>
      </c>
      <c r="BE19" s="66" t="s">
        <v>600</v>
      </c>
      <c r="BF19" s="66" t="s">
        <v>600</v>
      </c>
      <c r="BG19" s="66" t="s">
        <v>600</v>
      </c>
      <c r="BH19" s="66" t="s">
        <v>600</v>
      </c>
      <c r="BI19" s="66" t="s">
        <v>600</v>
      </c>
      <c r="BJ19" s="66" t="s">
        <v>600</v>
      </c>
      <c r="BK19" s="66" t="s">
        <v>600</v>
      </c>
      <c r="BL19" s="66" t="s">
        <v>600</v>
      </c>
      <c r="BM19" s="66" t="s">
        <v>600</v>
      </c>
      <c r="BN19" s="66" t="s">
        <v>600</v>
      </c>
      <c r="BO19" s="66" t="s">
        <v>600</v>
      </c>
      <c r="BP19" s="66" t="s">
        <v>600</v>
      </c>
      <c r="BQ19" s="66" t="s">
        <v>600</v>
      </c>
      <c r="BR19" s="164"/>
      <c r="BS19" s="68" t="s">
        <v>601</v>
      </c>
    </row>
    <row r="20" ht="15.6" spans="1:71">
      <c r="A20" s="53" t="s">
        <v>516</v>
      </c>
      <c r="B20" s="53" t="s">
        <v>27</v>
      </c>
      <c r="C20" s="53" t="s">
        <v>28</v>
      </c>
      <c r="D20" s="162" t="s">
        <v>603</v>
      </c>
      <c r="E20" s="58">
        <v>55.35</v>
      </c>
      <c r="F20" s="56">
        <v>79.99</v>
      </c>
      <c r="G20" s="59">
        <f t="shared" si="0"/>
        <v>71.991</v>
      </c>
      <c r="H20" s="59">
        <f t="shared" si="1"/>
        <v>59.9925</v>
      </c>
      <c r="I20" s="59">
        <f t="shared" si="2"/>
        <v>5.75840353982301</v>
      </c>
      <c r="J20" s="60">
        <f t="shared" si="3"/>
        <v>0.104036197648112</v>
      </c>
      <c r="K20" s="57">
        <f t="shared" si="4"/>
        <v>66.6583333333333</v>
      </c>
      <c r="L20" s="163">
        <f t="shared" si="5"/>
        <v>0.169646205775722</v>
      </c>
      <c r="M20" s="59">
        <f t="shared" si="6"/>
        <v>11.3083333333333</v>
      </c>
      <c r="N20" s="57">
        <f t="shared" si="7"/>
        <v>142.566371681416</v>
      </c>
      <c r="O20" s="57">
        <f t="shared" si="8"/>
        <v>4.8125</v>
      </c>
      <c r="P20" s="53">
        <v>4</v>
      </c>
      <c r="Q20" s="62">
        <v>8</v>
      </c>
      <c r="R20" s="63">
        <f t="shared" si="9"/>
        <v>0.14453477868112</v>
      </c>
      <c r="S20" s="60">
        <f t="shared" si="20"/>
        <v>0.100012501562695</v>
      </c>
      <c r="T20" s="63">
        <f t="shared" si="10"/>
        <v>0.144516711833785</v>
      </c>
      <c r="U20" s="63">
        <v>0.01</v>
      </c>
      <c r="V20" s="63">
        <f t="shared" si="11"/>
        <v>0.321965609036621</v>
      </c>
      <c r="W20" s="63">
        <f t="shared" si="12"/>
        <v>0.0869467028003613</v>
      </c>
      <c r="X20" s="61">
        <v>0.188</v>
      </c>
      <c r="Y20" s="64">
        <v>8</v>
      </c>
      <c r="Z20" s="64">
        <f>F20*0.1</f>
        <v>7.999</v>
      </c>
      <c r="AA20" s="64">
        <f t="shared" si="13"/>
        <v>0.5535</v>
      </c>
      <c r="AB20" s="57">
        <f t="shared" si="14"/>
        <v>10.4058</v>
      </c>
      <c r="AC20" s="57">
        <v>138.5</v>
      </c>
      <c r="AD20" s="65">
        <f t="shared" si="15"/>
        <v>122.566371681416</v>
      </c>
      <c r="AE20" s="62">
        <f t="shared" si="16"/>
        <v>2.5</v>
      </c>
      <c r="AF20" s="63">
        <f t="shared" si="17"/>
        <v>0.276798490698771</v>
      </c>
      <c r="AG20" s="63">
        <f t="shared" si="18"/>
        <v>0.04516711833785</v>
      </c>
      <c r="AH20" s="62">
        <v>20</v>
      </c>
      <c r="AI20" s="60">
        <f t="shared" si="19"/>
        <v>0.370173544420325</v>
      </c>
      <c r="AJ20" s="63"/>
      <c r="AK20" s="63"/>
      <c r="AL20" s="63"/>
      <c r="AM20" s="63"/>
      <c r="AN20" s="66"/>
      <c r="AO20" s="66"/>
      <c r="AP20" s="66"/>
      <c r="AQ20" s="66"/>
      <c r="AR20" s="66"/>
      <c r="AS20" s="66"/>
      <c r="AT20" s="66" t="s">
        <v>600</v>
      </c>
      <c r="AU20" s="66" t="s">
        <v>600</v>
      </c>
      <c r="AV20" s="66" t="s">
        <v>600</v>
      </c>
      <c r="AW20" s="66" t="s">
        <v>600</v>
      </c>
      <c r="AX20" s="66" t="s">
        <v>600</v>
      </c>
      <c r="AY20" s="66" t="s">
        <v>600</v>
      </c>
      <c r="AZ20" s="66" t="s">
        <v>600</v>
      </c>
      <c r="BA20" s="66" t="s">
        <v>600</v>
      </c>
      <c r="BB20" s="66" t="s">
        <v>600</v>
      </c>
      <c r="BC20" s="66" t="s">
        <v>600</v>
      </c>
      <c r="BD20" s="66" t="s">
        <v>600</v>
      </c>
      <c r="BE20" s="66" t="s">
        <v>600</v>
      </c>
      <c r="BF20" s="66" t="s">
        <v>600</v>
      </c>
      <c r="BG20" s="66" t="s">
        <v>600</v>
      </c>
      <c r="BH20" s="66" t="s">
        <v>600</v>
      </c>
      <c r="BI20" s="66" t="s">
        <v>600</v>
      </c>
      <c r="BJ20" s="66" t="s">
        <v>600</v>
      </c>
      <c r="BK20" s="66" t="s">
        <v>600</v>
      </c>
      <c r="BL20" s="66" t="s">
        <v>600</v>
      </c>
      <c r="BM20" s="66" t="s">
        <v>600</v>
      </c>
      <c r="BN20" s="66" t="s">
        <v>600</v>
      </c>
      <c r="BO20" s="66" t="s">
        <v>600</v>
      </c>
      <c r="BP20" s="66" t="s">
        <v>600</v>
      </c>
      <c r="BQ20" s="66" t="s">
        <v>600</v>
      </c>
      <c r="BR20" s="164"/>
      <c r="BS20" s="68" t="s">
        <v>601</v>
      </c>
    </row>
    <row r="21" ht="15.6" spans="1:71">
      <c r="A21" s="53" t="s">
        <v>516</v>
      </c>
      <c r="B21" s="53" t="s">
        <v>27</v>
      </c>
      <c r="C21" s="53" t="s">
        <v>28</v>
      </c>
      <c r="D21" s="169" t="s">
        <v>604</v>
      </c>
      <c r="E21" s="58">
        <v>55.35</v>
      </c>
      <c r="F21" s="56">
        <v>79.99</v>
      </c>
      <c r="G21" s="59">
        <f t="shared" si="0"/>
        <v>67.9915</v>
      </c>
      <c r="H21" s="59">
        <f t="shared" si="1"/>
        <v>56.6595833333333</v>
      </c>
      <c r="I21" s="59">
        <f t="shared" si="2"/>
        <v>1.75890353982301</v>
      </c>
      <c r="J21" s="60">
        <f t="shared" si="3"/>
        <v>0.0317778417312197</v>
      </c>
      <c r="K21" s="57">
        <f t="shared" si="4"/>
        <v>66.6583333333333</v>
      </c>
      <c r="L21" s="163">
        <f t="shared" si="5"/>
        <v>0.169646205775722</v>
      </c>
      <c r="M21" s="59">
        <f t="shared" si="6"/>
        <v>11.3083333333333</v>
      </c>
      <c r="N21" s="57">
        <f t="shared" si="7"/>
        <v>142.566371681416</v>
      </c>
      <c r="O21" s="57">
        <f t="shared" si="8"/>
        <v>4.8125</v>
      </c>
      <c r="P21" s="53">
        <v>4</v>
      </c>
      <c r="Q21" s="62">
        <v>8</v>
      </c>
      <c r="R21" s="63">
        <f t="shared" si="9"/>
        <v>0.14453477868112</v>
      </c>
      <c r="S21" s="60">
        <f t="shared" si="20"/>
        <v>0.100012501562695</v>
      </c>
      <c r="T21" s="63">
        <f t="shared" si="10"/>
        <v>0.216775067750677</v>
      </c>
      <c r="U21" s="63">
        <v>0.01</v>
      </c>
      <c r="V21" s="63">
        <f t="shared" si="11"/>
        <v>0.321965609036621</v>
      </c>
      <c r="W21" s="63">
        <f t="shared" si="12"/>
        <v>0.0869467028003613</v>
      </c>
      <c r="X21" s="61">
        <v>0.188</v>
      </c>
      <c r="Y21" s="64">
        <v>8</v>
      </c>
      <c r="Z21" s="64">
        <f>F21*0.15</f>
        <v>11.9985</v>
      </c>
      <c r="AA21" s="64">
        <f t="shared" si="13"/>
        <v>0.5535</v>
      </c>
      <c r="AB21" s="57">
        <f t="shared" si="14"/>
        <v>10.4058</v>
      </c>
      <c r="AC21" s="57">
        <v>138.5</v>
      </c>
      <c r="AD21" s="65">
        <f t="shared" si="15"/>
        <v>122.566371681416</v>
      </c>
      <c r="AE21" s="62">
        <f t="shared" si="16"/>
        <v>2.5</v>
      </c>
      <c r="AF21" s="63">
        <f t="shared" si="17"/>
        <v>0.276798490698771</v>
      </c>
      <c r="AG21" s="63">
        <f t="shared" si="18"/>
        <v>0.04516711833785</v>
      </c>
      <c r="AH21" s="62">
        <v>20</v>
      </c>
      <c r="AI21" s="60">
        <f t="shared" si="19"/>
        <v>0.397259413524251</v>
      </c>
      <c r="AJ21" s="63"/>
      <c r="AK21" s="63"/>
      <c r="AL21" s="63"/>
      <c r="AM21" s="63"/>
      <c r="AN21" s="66"/>
      <c r="AO21" s="66"/>
      <c r="AP21" s="66"/>
      <c r="AQ21" s="66"/>
      <c r="AR21" s="66"/>
      <c r="AS21" s="66"/>
      <c r="AT21" s="66" t="s">
        <v>600</v>
      </c>
      <c r="AU21" s="66" t="s">
        <v>600</v>
      </c>
      <c r="AV21" s="66" t="s">
        <v>600</v>
      </c>
      <c r="AW21" s="66" t="s">
        <v>600</v>
      </c>
      <c r="AX21" s="66" t="s">
        <v>600</v>
      </c>
      <c r="AY21" s="66" t="s">
        <v>600</v>
      </c>
      <c r="AZ21" s="66" t="s">
        <v>600</v>
      </c>
      <c r="BA21" s="66" t="s">
        <v>600</v>
      </c>
      <c r="BB21" s="66" t="s">
        <v>600</v>
      </c>
      <c r="BC21" s="66" t="s">
        <v>600</v>
      </c>
      <c r="BD21" s="66" t="s">
        <v>600</v>
      </c>
      <c r="BE21" s="66" t="s">
        <v>600</v>
      </c>
      <c r="BF21" s="66" t="s">
        <v>600</v>
      </c>
      <c r="BG21" s="66" t="s">
        <v>600</v>
      </c>
      <c r="BH21" s="66" t="s">
        <v>600</v>
      </c>
      <c r="BI21" s="66" t="s">
        <v>600</v>
      </c>
      <c r="BJ21" s="66" t="s">
        <v>600</v>
      </c>
      <c r="BK21" s="66" t="s">
        <v>600</v>
      </c>
      <c r="BL21" s="66" t="s">
        <v>600</v>
      </c>
      <c r="BM21" s="66" t="s">
        <v>600</v>
      </c>
      <c r="BN21" s="66" t="s">
        <v>600</v>
      </c>
      <c r="BO21" s="66" t="s">
        <v>600</v>
      </c>
      <c r="BP21" s="66" t="s">
        <v>600</v>
      </c>
      <c r="BQ21" s="66" t="s">
        <v>600</v>
      </c>
      <c r="BR21" s="67"/>
      <c r="BS21" s="68" t="s">
        <v>601</v>
      </c>
    </row>
    <row r="22" ht="15.6" spans="1:71">
      <c r="A22" s="53" t="s">
        <v>605</v>
      </c>
      <c r="B22" s="53" t="s">
        <v>27</v>
      </c>
      <c r="C22" s="53" t="s">
        <v>28</v>
      </c>
      <c r="D22" s="170" t="s">
        <v>606</v>
      </c>
      <c r="E22" s="57">
        <v>60</v>
      </c>
      <c r="F22" s="69">
        <v>89.99</v>
      </c>
      <c r="G22" s="59">
        <f t="shared" si="0"/>
        <v>89.99</v>
      </c>
      <c r="H22" s="59">
        <f t="shared" si="1"/>
        <v>74.9916666666667</v>
      </c>
      <c r="I22" s="59">
        <f t="shared" si="2"/>
        <v>18.111703539823</v>
      </c>
      <c r="J22" s="60">
        <f t="shared" si="3"/>
        <v>0.301861725663717</v>
      </c>
      <c r="K22" s="57">
        <f t="shared" si="4"/>
        <v>74.9916666666667</v>
      </c>
      <c r="L22" s="163">
        <f t="shared" si="5"/>
        <v>0.19991110123347</v>
      </c>
      <c r="M22" s="59">
        <f t="shared" si="6"/>
        <v>14.9916666666667</v>
      </c>
      <c r="N22" s="57">
        <f t="shared" si="7"/>
        <v>142.566371681416</v>
      </c>
      <c r="O22" s="57">
        <f t="shared" si="8"/>
        <v>4.1875</v>
      </c>
      <c r="P22" s="53">
        <v>4</v>
      </c>
      <c r="Q22" s="62">
        <v>8</v>
      </c>
      <c r="R22" s="63">
        <f t="shared" si="9"/>
        <v>0.133333333333333</v>
      </c>
      <c r="S22" s="60">
        <f t="shared" si="20"/>
        <v>0.0888987665296144</v>
      </c>
      <c r="T22" s="63">
        <f t="shared" si="10"/>
        <v>0</v>
      </c>
      <c r="U22" s="63">
        <v>0.01</v>
      </c>
      <c r="V22" s="63">
        <f t="shared" si="11"/>
        <v>0.297013274336283</v>
      </c>
      <c r="W22" s="63">
        <f t="shared" si="12"/>
        <v>0.0697916666666667</v>
      </c>
      <c r="X22" s="61">
        <v>0.188</v>
      </c>
      <c r="Y22" s="64">
        <v>8</v>
      </c>
      <c r="Z22" s="64">
        <f>F22*0</f>
        <v>0</v>
      </c>
      <c r="AA22" s="64">
        <f t="shared" si="13"/>
        <v>0.6</v>
      </c>
      <c r="AB22" s="57">
        <f t="shared" si="14"/>
        <v>11.28</v>
      </c>
      <c r="AC22" s="57">
        <v>138.5</v>
      </c>
      <c r="AD22" s="65">
        <f t="shared" si="15"/>
        <v>122.566371681416</v>
      </c>
      <c r="AE22" s="62">
        <f t="shared" si="16"/>
        <v>2.5</v>
      </c>
      <c r="AF22" s="63">
        <f t="shared" si="17"/>
        <v>0.255346607669617</v>
      </c>
      <c r="AG22" s="63">
        <f t="shared" si="18"/>
        <v>0.0416666666666667</v>
      </c>
      <c r="AH22" s="62">
        <v>20</v>
      </c>
      <c r="AI22" s="60">
        <f t="shared" si="19"/>
        <v>0.350327814201578</v>
      </c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 t="s">
        <v>600</v>
      </c>
      <c r="AU22" s="66" t="s">
        <v>600</v>
      </c>
      <c r="AV22" s="66" t="s">
        <v>600</v>
      </c>
      <c r="AW22" s="66" t="s">
        <v>600</v>
      </c>
      <c r="AX22" s="66" t="s">
        <v>600</v>
      </c>
      <c r="AY22" s="66" t="s">
        <v>600</v>
      </c>
      <c r="AZ22" s="66" t="s">
        <v>600</v>
      </c>
      <c r="BA22" s="66" t="s">
        <v>600</v>
      </c>
      <c r="BB22" s="66" t="s">
        <v>600</v>
      </c>
      <c r="BC22" s="66" t="s">
        <v>600</v>
      </c>
      <c r="BD22" s="66" t="s">
        <v>600</v>
      </c>
      <c r="BE22" s="66" t="s">
        <v>600</v>
      </c>
      <c r="BF22" s="66" t="s">
        <v>600</v>
      </c>
      <c r="BG22" s="66" t="s">
        <v>600</v>
      </c>
      <c r="BH22" s="66" t="s">
        <v>600</v>
      </c>
      <c r="BI22" s="66" t="s">
        <v>600</v>
      </c>
      <c r="BJ22" s="66" t="s">
        <v>600</v>
      </c>
      <c r="BK22" s="66" t="s">
        <v>600</v>
      </c>
      <c r="BL22" s="66" t="s">
        <v>600</v>
      </c>
      <c r="BM22" s="66" t="s">
        <v>600</v>
      </c>
      <c r="BN22" s="66" t="s">
        <v>600</v>
      </c>
      <c r="BO22" s="66" t="s">
        <v>600</v>
      </c>
      <c r="BP22" s="66" t="s">
        <v>600</v>
      </c>
      <c r="BQ22" s="66" t="s">
        <v>600</v>
      </c>
      <c r="BR22" s="70" t="e">
        <f>IF(#REF!&lt;E22,1,0)</f>
        <v>#REF!</v>
      </c>
      <c r="BS22" s="68" t="s">
        <v>601</v>
      </c>
    </row>
    <row r="23" ht="15.6" spans="1:71">
      <c r="A23" s="53" t="s">
        <v>607</v>
      </c>
      <c r="B23" s="53" t="s">
        <v>27</v>
      </c>
      <c r="C23" s="53" t="s">
        <v>28</v>
      </c>
      <c r="D23" s="170" t="s">
        <v>608</v>
      </c>
      <c r="E23" s="57">
        <v>60</v>
      </c>
      <c r="F23" s="69">
        <v>89.99</v>
      </c>
      <c r="G23" s="59">
        <f t="shared" si="0"/>
        <v>89.99</v>
      </c>
      <c r="H23" s="59">
        <f t="shared" si="1"/>
        <v>74.9916666666667</v>
      </c>
      <c r="I23" s="59">
        <f t="shared" si="2"/>
        <v>18.786703539823</v>
      </c>
      <c r="J23" s="60">
        <f t="shared" si="3"/>
        <v>0.313111725663717</v>
      </c>
      <c r="K23" s="57">
        <f t="shared" si="4"/>
        <v>74.9916666666667</v>
      </c>
      <c r="L23" s="163">
        <f t="shared" si="5"/>
        <v>0.19991110123347</v>
      </c>
      <c r="M23" s="59">
        <f t="shared" si="6"/>
        <v>14.9916666666667</v>
      </c>
      <c r="N23" s="57">
        <f t="shared" si="7"/>
        <v>142.566371681416</v>
      </c>
      <c r="O23" s="57">
        <f t="shared" si="8"/>
        <v>3.5125</v>
      </c>
      <c r="P23" s="53">
        <v>4</v>
      </c>
      <c r="Q23" s="62">
        <v>8</v>
      </c>
      <c r="R23" s="63">
        <f t="shared" si="9"/>
        <v>0.133333333333333</v>
      </c>
      <c r="S23" s="60">
        <f t="shared" si="20"/>
        <v>0.0888987665296144</v>
      </c>
      <c r="T23" s="63">
        <f t="shared" si="10"/>
        <v>0</v>
      </c>
      <c r="U23" s="63">
        <v>0.01</v>
      </c>
      <c r="V23" s="63">
        <f t="shared" si="11"/>
        <v>0.297013274336283</v>
      </c>
      <c r="W23" s="63">
        <f t="shared" si="12"/>
        <v>0.0585416666666667</v>
      </c>
      <c r="X23" s="61">
        <v>0.188</v>
      </c>
      <c r="Y23" s="64">
        <v>8</v>
      </c>
      <c r="Z23" s="64">
        <f>F23*0</f>
        <v>0</v>
      </c>
      <c r="AA23" s="64">
        <f t="shared" si="13"/>
        <v>0.6</v>
      </c>
      <c r="AB23" s="57">
        <f t="shared" si="14"/>
        <v>11.28</v>
      </c>
      <c r="AC23" s="57">
        <v>138.5</v>
      </c>
      <c r="AD23" s="65">
        <f t="shared" si="15"/>
        <v>122.566371681416</v>
      </c>
      <c r="AE23" s="62">
        <f t="shared" si="16"/>
        <v>2.5</v>
      </c>
      <c r="AF23" s="63">
        <f t="shared" si="17"/>
        <v>0.255346607669617</v>
      </c>
      <c r="AG23" s="63">
        <f t="shared" si="18"/>
        <v>0.0416666666666667</v>
      </c>
      <c r="AH23" s="62">
        <v>20</v>
      </c>
      <c r="AI23" s="60">
        <f t="shared" si="19"/>
        <v>0.350327814201578</v>
      </c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 t="s">
        <v>600</v>
      </c>
      <c r="AU23" s="66" t="s">
        <v>600</v>
      </c>
      <c r="AV23" s="66" t="s">
        <v>600</v>
      </c>
      <c r="AW23" s="66" t="s">
        <v>600</v>
      </c>
      <c r="AX23" s="66" t="s">
        <v>600</v>
      </c>
      <c r="AY23" s="66" t="s">
        <v>600</v>
      </c>
      <c r="AZ23" s="66" t="s">
        <v>600</v>
      </c>
      <c r="BA23" s="66" t="s">
        <v>600</v>
      </c>
      <c r="BB23" s="66" t="s">
        <v>600</v>
      </c>
      <c r="BC23" s="66" t="s">
        <v>600</v>
      </c>
      <c r="BD23" s="66" t="s">
        <v>600</v>
      </c>
      <c r="BE23" s="66" t="s">
        <v>600</v>
      </c>
      <c r="BF23" s="66" t="s">
        <v>600</v>
      </c>
      <c r="BG23" s="66" t="s">
        <v>600</v>
      </c>
      <c r="BH23" s="66" t="s">
        <v>600</v>
      </c>
      <c r="BI23" s="66" t="s">
        <v>600</v>
      </c>
      <c r="BJ23" s="66" t="s">
        <v>600</v>
      </c>
      <c r="BK23" s="66" t="s">
        <v>600</v>
      </c>
      <c r="BL23" s="66" t="s">
        <v>600</v>
      </c>
      <c r="BM23" s="66" t="s">
        <v>600</v>
      </c>
      <c r="BN23" s="66" t="s">
        <v>600</v>
      </c>
      <c r="BO23" s="66" t="s">
        <v>600</v>
      </c>
      <c r="BP23" s="66" t="s">
        <v>600</v>
      </c>
      <c r="BQ23" s="66" t="s">
        <v>600</v>
      </c>
      <c r="BR23" s="70" t="e">
        <f>IF(#REF!&lt;E23,1,0)</f>
        <v>#REF!</v>
      </c>
      <c r="BS23" s="68" t="s">
        <v>601</v>
      </c>
    </row>
    <row r="24" ht="15.6" spans="1:71">
      <c r="A24" s="53" t="s">
        <v>609</v>
      </c>
      <c r="B24" s="53" t="s">
        <v>27</v>
      </c>
      <c r="C24" s="53" t="s">
        <v>28</v>
      </c>
      <c r="D24" s="170" t="s">
        <v>610</v>
      </c>
      <c r="E24" s="57">
        <v>60</v>
      </c>
      <c r="F24" s="69">
        <v>89.99</v>
      </c>
      <c r="G24" s="59">
        <f t="shared" si="0"/>
        <v>89.99</v>
      </c>
      <c r="H24" s="59">
        <f t="shared" si="1"/>
        <v>74.9916666666667</v>
      </c>
      <c r="I24" s="59">
        <f t="shared" si="2"/>
        <v>17.736703539823</v>
      </c>
      <c r="J24" s="60">
        <f t="shared" si="3"/>
        <v>0.295611725663717</v>
      </c>
      <c r="K24" s="57">
        <f t="shared" si="4"/>
        <v>74.9916666666667</v>
      </c>
      <c r="L24" s="163">
        <f t="shared" si="5"/>
        <v>0.19991110123347</v>
      </c>
      <c r="M24" s="59">
        <f t="shared" si="6"/>
        <v>14.9916666666667</v>
      </c>
      <c r="N24" s="57">
        <f t="shared" si="7"/>
        <v>142.566371681416</v>
      </c>
      <c r="O24" s="57">
        <f t="shared" si="8"/>
        <v>4.5625</v>
      </c>
      <c r="P24" s="53">
        <v>4</v>
      </c>
      <c r="Q24" s="62">
        <v>8</v>
      </c>
      <c r="R24" s="63">
        <f t="shared" si="9"/>
        <v>0.133333333333333</v>
      </c>
      <c r="S24" s="60">
        <f t="shared" si="20"/>
        <v>0.0888987665296144</v>
      </c>
      <c r="T24" s="63">
        <f t="shared" si="10"/>
        <v>0</v>
      </c>
      <c r="U24" s="63">
        <v>0.01</v>
      </c>
      <c r="V24" s="63">
        <f t="shared" si="11"/>
        <v>0.297013274336283</v>
      </c>
      <c r="W24" s="63">
        <f t="shared" si="12"/>
        <v>0.0760416666666667</v>
      </c>
      <c r="X24" s="61">
        <v>0.188</v>
      </c>
      <c r="Y24" s="64">
        <v>8</v>
      </c>
      <c r="Z24" s="64">
        <f>F24*0</f>
        <v>0</v>
      </c>
      <c r="AA24" s="64">
        <f t="shared" si="13"/>
        <v>0.6</v>
      </c>
      <c r="AB24" s="57">
        <f t="shared" si="14"/>
        <v>11.28</v>
      </c>
      <c r="AC24" s="57">
        <v>138.5</v>
      </c>
      <c r="AD24" s="65">
        <f t="shared" si="15"/>
        <v>122.566371681416</v>
      </c>
      <c r="AE24" s="62">
        <f t="shared" si="16"/>
        <v>2.5</v>
      </c>
      <c r="AF24" s="63">
        <f t="shared" si="17"/>
        <v>0.255346607669617</v>
      </c>
      <c r="AG24" s="63">
        <f t="shared" si="18"/>
        <v>0.0416666666666667</v>
      </c>
      <c r="AH24" s="62">
        <v>20</v>
      </c>
      <c r="AI24" s="60">
        <f t="shared" si="19"/>
        <v>0.350327814201578</v>
      </c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 t="s">
        <v>600</v>
      </c>
      <c r="AU24" s="66" t="s">
        <v>600</v>
      </c>
      <c r="AV24" s="66" t="s">
        <v>600</v>
      </c>
      <c r="AW24" s="66" t="s">
        <v>600</v>
      </c>
      <c r="AX24" s="66" t="s">
        <v>600</v>
      </c>
      <c r="AY24" s="66" t="s">
        <v>600</v>
      </c>
      <c r="AZ24" s="66" t="s">
        <v>600</v>
      </c>
      <c r="BA24" s="66" t="s">
        <v>600</v>
      </c>
      <c r="BB24" s="66" t="s">
        <v>600</v>
      </c>
      <c r="BC24" s="66" t="s">
        <v>600</v>
      </c>
      <c r="BD24" s="66" t="s">
        <v>600</v>
      </c>
      <c r="BE24" s="66" t="s">
        <v>600</v>
      </c>
      <c r="BF24" s="66" t="s">
        <v>600</v>
      </c>
      <c r="BG24" s="66" t="s">
        <v>600</v>
      </c>
      <c r="BH24" s="66" t="s">
        <v>600</v>
      </c>
      <c r="BI24" s="66" t="s">
        <v>600</v>
      </c>
      <c r="BJ24" s="66" t="s">
        <v>600</v>
      </c>
      <c r="BK24" s="66" t="s">
        <v>600</v>
      </c>
      <c r="BL24" s="66" t="s">
        <v>600</v>
      </c>
      <c r="BM24" s="66" t="s">
        <v>600</v>
      </c>
      <c r="BN24" s="66" t="s">
        <v>600</v>
      </c>
      <c r="BO24" s="66" t="s">
        <v>600</v>
      </c>
      <c r="BP24" s="66" t="s">
        <v>600</v>
      </c>
      <c r="BQ24" s="66" t="s">
        <v>600</v>
      </c>
      <c r="BR24" s="70" t="e">
        <f>IF(#REF!&lt;E24,1,0)</f>
        <v>#REF!</v>
      </c>
      <c r="BS24" s="68" t="s">
        <v>601</v>
      </c>
    </row>
    <row r="25" ht="15.6" spans="1:71">
      <c r="A25" s="53" t="s">
        <v>611</v>
      </c>
      <c r="B25" s="53" t="s">
        <v>27</v>
      </c>
      <c r="C25" s="53" t="s">
        <v>28</v>
      </c>
      <c r="D25" s="170" t="s">
        <v>612</v>
      </c>
      <c r="E25" s="57">
        <v>60</v>
      </c>
      <c r="F25" s="69">
        <v>89.99</v>
      </c>
      <c r="G25" s="59">
        <f t="shared" si="0"/>
        <v>89.99</v>
      </c>
      <c r="H25" s="59">
        <f t="shared" si="1"/>
        <v>74.9916666666667</v>
      </c>
      <c r="I25" s="59">
        <f t="shared" si="2"/>
        <v>18.736703539823</v>
      </c>
      <c r="J25" s="60">
        <f t="shared" si="3"/>
        <v>0.312278392330383</v>
      </c>
      <c r="K25" s="57">
        <f t="shared" si="4"/>
        <v>74.9916666666667</v>
      </c>
      <c r="L25" s="163">
        <f t="shared" si="5"/>
        <v>0.19991110123347</v>
      </c>
      <c r="M25" s="59">
        <f t="shared" si="6"/>
        <v>14.9916666666667</v>
      </c>
      <c r="N25" s="57">
        <f t="shared" si="7"/>
        <v>142.566371681416</v>
      </c>
      <c r="O25" s="57">
        <f t="shared" si="8"/>
        <v>3.5625</v>
      </c>
      <c r="P25" s="53">
        <v>4</v>
      </c>
      <c r="Q25" s="62">
        <v>8</v>
      </c>
      <c r="R25" s="63">
        <f t="shared" si="9"/>
        <v>0.133333333333333</v>
      </c>
      <c r="S25" s="60">
        <f t="shared" si="20"/>
        <v>0.0888987665296144</v>
      </c>
      <c r="T25" s="63">
        <f t="shared" si="10"/>
        <v>0</v>
      </c>
      <c r="U25" s="63">
        <v>0.01</v>
      </c>
      <c r="V25" s="63">
        <f t="shared" si="11"/>
        <v>0.297013274336283</v>
      </c>
      <c r="W25" s="63">
        <f t="shared" si="12"/>
        <v>0.059375</v>
      </c>
      <c r="X25" s="61">
        <v>0.188</v>
      </c>
      <c r="Y25" s="64">
        <v>8</v>
      </c>
      <c r="Z25" s="64">
        <f>F25*0</f>
        <v>0</v>
      </c>
      <c r="AA25" s="64">
        <f t="shared" si="13"/>
        <v>0.6</v>
      </c>
      <c r="AB25" s="57">
        <f t="shared" si="14"/>
        <v>11.28</v>
      </c>
      <c r="AC25" s="57">
        <v>138.5</v>
      </c>
      <c r="AD25" s="65">
        <f t="shared" si="15"/>
        <v>122.566371681416</v>
      </c>
      <c r="AE25" s="62">
        <f t="shared" si="16"/>
        <v>2.5</v>
      </c>
      <c r="AF25" s="63">
        <f t="shared" si="17"/>
        <v>0.255346607669617</v>
      </c>
      <c r="AG25" s="63">
        <f t="shared" si="18"/>
        <v>0.0416666666666667</v>
      </c>
      <c r="AH25" s="62">
        <v>20</v>
      </c>
      <c r="AI25" s="60">
        <f t="shared" si="19"/>
        <v>0.350327814201578</v>
      </c>
      <c r="AJ25" s="63"/>
      <c r="AK25" s="63"/>
      <c r="AL25" s="63"/>
      <c r="AM25" s="63"/>
      <c r="AN25" s="66"/>
      <c r="AO25" s="66"/>
      <c r="AP25" s="66"/>
      <c r="AQ25" s="66"/>
      <c r="AR25" s="66"/>
      <c r="AS25" s="66"/>
      <c r="AT25" s="66" t="s">
        <v>600</v>
      </c>
      <c r="AU25" s="66" t="s">
        <v>600</v>
      </c>
      <c r="AV25" s="66" t="s">
        <v>600</v>
      </c>
      <c r="AW25" s="66" t="s">
        <v>600</v>
      </c>
      <c r="AX25" s="66" t="s">
        <v>600</v>
      </c>
      <c r="AY25" s="66" t="s">
        <v>600</v>
      </c>
      <c r="AZ25" s="66" t="s">
        <v>600</v>
      </c>
      <c r="BA25" s="66" t="s">
        <v>600</v>
      </c>
      <c r="BB25" s="66" t="s">
        <v>600</v>
      </c>
      <c r="BC25" s="66" t="s">
        <v>600</v>
      </c>
      <c r="BD25" s="66" t="s">
        <v>600</v>
      </c>
      <c r="BE25" s="66" t="s">
        <v>600</v>
      </c>
      <c r="BF25" s="66" t="s">
        <v>600</v>
      </c>
      <c r="BG25" s="66" t="s">
        <v>600</v>
      </c>
      <c r="BH25" s="66" t="s">
        <v>600</v>
      </c>
      <c r="BI25" s="66" t="s">
        <v>600</v>
      </c>
      <c r="BJ25" s="66" t="s">
        <v>600</v>
      </c>
      <c r="BK25" s="66" t="s">
        <v>600</v>
      </c>
      <c r="BL25" s="66" t="s">
        <v>600</v>
      </c>
      <c r="BM25" s="66" t="s">
        <v>600</v>
      </c>
      <c r="BN25" s="66" t="s">
        <v>600</v>
      </c>
      <c r="BO25" s="66" t="s">
        <v>600</v>
      </c>
      <c r="BP25" s="66" t="s">
        <v>600</v>
      </c>
      <c r="BQ25" s="66" t="s">
        <v>600</v>
      </c>
      <c r="BR25" s="70" t="e">
        <f>IF(#REF!&lt;E25,1,0)</f>
        <v>#REF!</v>
      </c>
      <c r="BS25" s="68" t="s">
        <v>601</v>
      </c>
    </row>
    <row r="26" ht="15.6" spans="1:71">
      <c r="E26" s="57"/>
      <c r="F26" s="69"/>
      <c r="G26" s="59"/>
      <c r="H26" s="59"/>
      <c r="I26" s="59"/>
      <c r="J26" s="60"/>
      <c r="K26" s="57"/>
      <c r="L26" s="57"/>
      <c r="M26" s="57"/>
      <c r="N26" s="57"/>
      <c r="O26" s="57"/>
      <c r="P26" s="53"/>
      <c r="Q26" s="62"/>
      <c r="R26" s="63"/>
      <c r="S26" s="60"/>
      <c r="T26" s="63"/>
      <c r="U26" s="63"/>
      <c r="V26" s="63"/>
      <c r="W26" s="63"/>
      <c r="X26" s="61"/>
      <c r="Y26" s="64"/>
      <c r="Z26" s="64"/>
      <c r="AA26" s="64"/>
      <c r="AB26" s="57"/>
      <c r="AC26" s="57"/>
      <c r="AD26" s="65"/>
      <c r="AE26" s="62"/>
      <c r="AF26" s="63"/>
      <c r="AG26" s="63"/>
      <c r="AH26" s="62"/>
      <c r="AI26" s="63"/>
      <c r="AJ26" s="63"/>
      <c r="AK26" s="63"/>
      <c r="AL26" s="63"/>
      <c r="AM26" s="63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70"/>
      <c r="BS26" s="68"/>
    </row>
    <row r="27" ht="15.6" spans="1:71">
      <c r="A27" s="68" t="s">
        <v>300</v>
      </c>
      <c r="B27" s="53" t="s">
        <v>30</v>
      </c>
      <c r="C27" s="53" t="s">
        <v>95</v>
      </c>
      <c r="D27" s="168" t="s">
        <v>613</v>
      </c>
      <c r="E27" s="58">
        <v>76</v>
      </c>
      <c r="F27" s="167">
        <v>109.99</v>
      </c>
      <c r="G27" s="59">
        <f t="shared" ref="G27:G50" si="21">(F27-Z27)</f>
        <v>109.99</v>
      </c>
      <c r="H27" s="59">
        <f t="shared" ref="H27:H50" si="22">(F27-Z27)/1.2</f>
        <v>91.6583333333333</v>
      </c>
      <c r="I27" s="59">
        <f t="shared" ref="I27:I50" si="23">E27-N27/Q27-AB27-Y27-O27-Z27-AA27</f>
        <v>19.4671130776794</v>
      </c>
      <c r="J27" s="60">
        <f t="shared" ref="J27:J50" si="24">I27/E27</f>
        <v>0.256146224706308</v>
      </c>
      <c r="K27" s="57">
        <f t="shared" ref="K27:K50" si="25">F27/1.2</f>
        <v>91.6583333333333</v>
      </c>
      <c r="L27" s="163">
        <f t="shared" ref="L27:L50" si="26">(K27-E27)/K27</f>
        <v>0.17083371215565</v>
      </c>
      <c r="M27" s="59">
        <f t="shared" ref="M27:M50" si="27">F27/1.2-E27</f>
        <v>15.6583333333333</v>
      </c>
      <c r="N27" s="57">
        <f t="shared" ref="N27:N50" si="28">AD27+AH27</f>
        <v>245.353982300885</v>
      </c>
      <c r="O27" s="57">
        <f t="shared" ref="O27:O50" si="29">IFERROR(IF(A27="UK",8.95/P27,IF(A27="DE",7.75/P27,IF(A27="FR",14.25/P27,IF(A27="IT",15.25/P27,IF(A27="ES",19.25/P27,IF(A27="NL",16.75/P27,IF(A27="PL",14.05/P27,IF(A27="SE",18.25/P27,IF(A27="BE",14.25/P27))))))))),0)</f>
        <v>2.98333333333333</v>
      </c>
      <c r="P27" s="68">
        <v>3</v>
      </c>
      <c r="Q27" s="62">
        <v>9</v>
      </c>
      <c r="R27" s="63">
        <f t="shared" ref="R27:R50" si="30">Y27/E27</f>
        <v>0.157894736842105</v>
      </c>
      <c r="S27" s="60">
        <f>Y27/H27</f>
        <v>0.130920992817529</v>
      </c>
      <c r="T27" s="63">
        <f t="shared" ref="T27:T50" si="31">Z27/E27</f>
        <v>0</v>
      </c>
      <c r="U27" s="63">
        <v>0.01</v>
      </c>
      <c r="V27" s="63">
        <f t="shared" ref="V27:V50" si="32">N27/(E27*Q27)</f>
        <v>0.358704652486674</v>
      </c>
      <c r="W27" s="63">
        <f t="shared" ref="W27:W50" si="33">O27/E27</f>
        <v>0.0392543859649123</v>
      </c>
      <c r="X27" s="61">
        <v>0.178</v>
      </c>
      <c r="Y27" s="64">
        <v>12</v>
      </c>
      <c r="Z27" s="64">
        <f>F27*0</f>
        <v>0</v>
      </c>
      <c r="AA27" s="64">
        <f t="shared" ref="AA27:AA50" si="34">E27*U27</f>
        <v>0.76</v>
      </c>
      <c r="AB27" s="57">
        <f t="shared" ref="AB27:AB50" si="35">E27*X27</f>
        <v>13.528</v>
      </c>
      <c r="AC27" s="57">
        <v>249</v>
      </c>
      <c r="AD27" s="65">
        <f t="shared" ref="AD27:AD50" si="36">AC27/1.13</f>
        <v>220.353982300885</v>
      </c>
      <c r="AE27" s="62">
        <f t="shared" ref="AE27:AE50" si="37">AH27/Q27</f>
        <v>2.77777777777778</v>
      </c>
      <c r="AF27" s="63">
        <f t="shared" ref="AF27:AF50" si="38">AD27/(E27*Q27)</f>
        <v>0.322154944884335</v>
      </c>
      <c r="AG27" s="63">
        <f t="shared" ref="AG27:AG50" si="39">AE27/E27</f>
        <v>0.0365497076023392</v>
      </c>
      <c r="AH27" s="62">
        <v>25</v>
      </c>
      <c r="AI27" s="63">
        <f t="shared" ref="AI27:AI37" si="40">(H27-E27+AB27)/H27</f>
        <v>0.318425311391945</v>
      </c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6" t="s">
        <v>600</v>
      </c>
      <c r="AU27" s="66" t="s">
        <v>600</v>
      </c>
      <c r="AV27" s="66" t="s">
        <v>600</v>
      </c>
      <c r="AW27" s="66" t="s">
        <v>600</v>
      </c>
      <c r="AX27" s="66" t="s">
        <v>600</v>
      </c>
      <c r="AY27" s="66" t="s">
        <v>600</v>
      </c>
      <c r="AZ27" s="66" t="s">
        <v>600</v>
      </c>
      <c r="BA27" s="66" t="s">
        <v>600</v>
      </c>
      <c r="BB27" s="66" t="s">
        <v>600</v>
      </c>
      <c r="BC27" s="66" t="s">
        <v>600</v>
      </c>
      <c r="BD27" s="66" t="s">
        <v>600</v>
      </c>
      <c r="BE27" s="66" t="s">
        <v>600</v>
      </c>
      <c r="BF27" s="66" t="s">
        <v>600</v>
      </c>
      <c r="BG27" s="66" t="s">
        <v>600</v>
      </c>
      <c r="BH27" s="66" t="s">
        <v>600</v>
      </c>
      <c r="BI27" s="66" t="s">
        <v>600</v>
      </c>
      <c r="BJ27" s="66" t="s">
        <v>600</v>
      </c>
      <c r="BK27" s="66" t="s">
        <v>600</v>
      </c>
      <c r="BL27" s="66" t="s">
        <v>600</v>
      </c>
      <c r="BM27" s="66" t="s">
        <v>600</v>
      </c>
      <c r="BN27" s="66" t="s">
        <v>600</v>
      </c>
      <c r="BO27" s="66" t="s">
        <v>600</v>
      </c>
      <c r="BP27" s="66" t="s">
        <v>600</v>
      </c>
      <c r="BQ27" s="66" t="s">
        <v>600</v>
      </c>
      <c r="BR27" s="164"/>
      <c r="BS27" s="68" t="s">
        <v>601</v>
      </c>
    </row>
    <row r="28" ht="15.6" spans="1:71">
      <c r="A28" s="68" t="s">
        <v>300</v>
      </c>
      <c r="B28" s="53" t="s">
        <v>30</v>
      </c>
      <c r="C28" s="53" t="s">
        <v>95</v>
      </c>
      <c r="D28" s="168" t="s">
        <v>614</v>
      </c>
      <c r="E28" s="58">
        <v>76</v>
      </c>
      <c r="F28" s="56">
        <v>109.99</v>
      </c>
      <c r="G28" s="59">
        <f t="shared" si="21"/>
        <v>104.4905</v>
      </c>
      <c r="H28" s="59">
        <f t="shared" si="22"/>
        <v>87.0754166666667</v>
      </c>
      <c r="I28" s="59">
        <f t="shared" si="23"/>
        <v>13.9676130776794</v>
      </c>
      <c r="J28" s="60">
        <f t="shared" si="24"/>
        <v>0.183784382601045</v>
      </c>
      <c r="K28" s="57">
        <f t="shared" si="25"/>
        <v>91.6583333333333</v>
      </c>
      <c r="L28" s="163">
        <f t="shared" si="26"/>
        <v>0.17083371215565</v>
      </c>
      <c r="M28" s="59">
        <f t="shared" si="27"/>
        <v>15.6583333333333</v>
      </c>
      <c r="N28" s="57">
        <f t="shared" si="28"/>
        <v>245.353982300885</v>
      </c>
      <c r="O28" s="57">
        <f t="shared" si="29"/>
        <v>2.98333333333333</v>
      </c>
      <c r="P28" s="53">
        <v>3</v>
      </c>
      <c r="Q28" s="62">
        <v>9</v>
      </c>
      <c r="R28" s="63">
        <f t="shared" si="30"/>
        <v>0.157894736842105</v>
      </c>
      <c r="S28" s="60">
        <f>Y28/H28</f>
        <v>0.137811571386873</v>
      </c>
      <c r="T28" s="63">
        <f t="shared" si="31"/>
        <v>0.0723618421052632</v>
      </c>
      <c r="U28" s="63">
        <v>0.01</v>
      </c>
      <c r="V28" s="63">
        <f t="shared" si="32"/>
        <v>0.358704652486674</v>
      </c>
      <c r="W28" s="63">
        <f t="shared" si="33"/>
        <v>0.0392543859649123</v>
      </c>
      <c r="X28" s="61">
        <v>0.178</v>
      </c>
      <c r="Y28" s="64">
        <v>12</v>
      </c>
      <c r="Z28" s="64">
        <f>F28*0.05</f>
        <v>5.4995</v>
      </c>
      <c r="AA28" s="64">
        <f t="shared" si="34"/>
        <v>0.76</v>
      </c>
      <c r="AB28" s="57">
        <f t="shared" si="35"/>
        <v>13.528</v>
      </c>
      <c r="AC28" s="57">
        <v>249</v>
      </c>
      <c r="AD28" s="65">
        <f t="shared" si="36"/>
        <v>220.353982300885</v>
      </c>
      <c r="AE28" s="62">
        <f t="shared" si="37"/>
        <v>2.77777777777778</v>
      </c>
      <c r="AF28" s="63">
        <f t="shared" si="38"/>
        <v>0.322154944884335</v>
      </c>
      <c r="AG28" s="63">
        <f t="shared" si="39"/>
        <v>0.0365497076023392</v>
      </c>
      <c r="AH28" s="62">
        <v>25</v>
      </c>
      <c r="AI28" s="63">
        <f t="shared" si="40"/>
        <v>0.282552959359942</v>
      </c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6" t="s">
        <v>600</v>
      </c>
      <c r="AU28" s="66" t="s">
        <v>600</v>
      </c>
      <c r="AV28" s="66" t="s">
        <v>600</v>
      </c>
      <c r="AW28" s="66" t="s">
        <v>600</v>
      </c>
      <c r="AX28" s="66" t="s">
        <v>600</v>
      </c>
      <c r="AY28" s="66" t="s">
        <v>600</v>
      </c>
      <c r="AZ28" s="66" t="s">
        <v>600</v>
      </c>
      <c r="BA28" s="66" t="s">
        <v>600</v>
      </c>
      <c r="BB28" s="66" t="s">
        <v>600</v>
      </c>
      <c r="BC28" s="66" t="s">
        <v>600</v>
      </c>
      <c r="BD28" s="66" t="s">
        <v>600</v>
      </c>
      <c r="BE28" s="66" t="s">
        <v>600</v>
      </c>
      <c r="BF28" s="66" t="s">
        <v>600</v>
      </c>
      <c r="BG28" s="66" t="s">
        <v>600</v>
      </c>
      <c r="BH28" s="66" t="s">
        <v>600</v>
      </c>
      <c r="BI28" s="66" t="s">
        <v>600</v>
      </c>
      <c r="BJ28" s="66" t="s">
        <v>600</v>
      </c>
      <c r="BK28" s="66" t="s">
        <v>600</v>
      </c>
      <c r="BL28" s="66" t="s">
        <v>600</v>
      </c>
      <c r="BM28" s="66" t="s">
        <v>600</v>
      </c>
      <c r="BN28" s="66" t="s">
        <v>600</v>
      </c>
      <c r="BO28" s="66" t="s">
        <v>600</v>
      </c>
      <c r="BP28" s="66" t="s">
        <v>600</v>
      </c>
      <c r="BQ28" s="66" t="s">
        <v>600</v>
      </c>
      <c r="BR28" s="164"/>
      <c r="BS28" s="68" t="s">
        <v>601</v>
      </c>
    </row>
    <row r="29" ht="15.6" spans="1:71">
      <c r="A29" s="68" t="s">
        <v>300</v>
      </c>
      <c r="B29" s="53" t="s">
        <v>30</v>
      </c>
      <c r="C29" s="53" t="s">
        <v>95</v>
      </c>
      <c r="D29" s="168" t="s">
        <v>615</v>
      </c>
      <c r="E29" s="58">
        <v>76</v>
      </c>
      <c r="F29" s="56">
        <v>109.99</v>
      </c>
      <c r="G29" s="59">
        <f t="shared" si="21"/>
        <v>98.991</v>
      </c>
      <c r="H29" s="59">
        <f t="shared" si="22"/>
        <v>82.4925</v>
      </c>
      <c r="I29" s="59">
        <f t="shared" si="23"/>
        <v>8.46811307767945</v>
      </c>
      <c r="J29" s="60">
        <f t="shared" si="24"/>
        <v>0.111422540495782</v>
      </c>
      <c r="K29" s="57">
        <f t="shared" si="25"/>
        <v>91.6583333333333</v>
      </c>
      <c r="L29" s="163">
        <f t="shared" si="26"/>
        <v>0.17083371215565</v>
      </c>
      <c r="M29" s="59">
        <f t="shared" si="27"/>
        <v>15.6583333333333</v>
      </c>
      <c r="N29" s="57">
        <f t="shared" si="28"/>
        <v>245.353982300885</v>
      </c>
      <c r="O29" s="57">
        <f t="shared" si="29"/>
        <v>2.98333333333333</v>
      </c>
      <c r="P29" s="53">
        <v>3</v>
      </c>
      <c r="Q29" s="62">
        <v>9</v>
      </c>
      <c r="R29" s="63">
        <f t="shared" si="30"/>
        <v>0.157894736842105</v>
      </c>
      <c r="S29" s="60">
        <f>Y29/H29</f>
        <v>0.145467769797254</v>
      </c>
      <c r="T29" s="63">
        <f t="shared" si="31"/>
        <v>0.144723684210526</v>
      </c>
      <c r="U29" s="63">
        <v>0.01</v>
      </c>
      <c r="V29" s="63">
        <f t="shared" si="32"/>
        <v>0.358704652486674</v>
      </c>
      <c r="W29" s="63">
        <f t="shared" si="33"/>
        <v>0.0392543859649123</v>
      </c>
      <c r="X29" s="61">
        <v>0.178</v>
      </c>
      <c r="Y29" s="64">
        <v>12</v>
      </c>
      <c r="Z29" s="64">
        <f>F29*0.1</f>
        <v>10.999</v>
      </c>
      <c r="AA29" s="64">
        <f t="shared" si="34"/>
        <v>0.76</v>
      </c>
      <c r="AB29" s="57">
        <f t="shared" si="35"/>
        <v>13.528</v>
      </c>
      <c r="AC29" s="57">
        <v>249</v>
      </c>
      <c r="AD29" s="65">
        <f t="shared" si="36"/>
        <v>220.353982300885</v>
      </c>
      <c r="AE29" s="62">
        <f t="shared" si="37"/>
        <v>2.77777777777778</v>
      </c>
      <c r="AF29" s="63">
        <f t="shared" si="38"/>
        <v>0.322154944884335</v>
      </c>
      <c r="AG29" s="63">
        <f t="shared" si="39"/>
        <v>0.0365497076023392</v>
      </c>
      <c r="AH29" s="62">
        <v>25</v>
      </c>
      <c r="AI29" s="63">
        <f t="shared" si="40"/>
        <v>0.242694790435494</v>
      </c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6" t="s">
        <v>600</v>
      </c>
      <c r="AU29" s="66" t="s">
        <v>600</v>
      </c>
      <c r="AV29" s="66" t="s">
        <v>600</v>
      </c>
      <c r="AW29" s="66" t="s">
        <v>600</v>
      </c>
      <c r="AX29" s="66" t="s">
        <v>600</v>
      </c>
      <c r="AY29" s="66" t="s">
        <v>600</v>
      </c>
      <c r="AZ29" s="66" t="s">
        <v>600</v>
      </c>
      <c r="BA29" s="66" t="s">
        <v>600</v>
      </c>
      <c r="BB29" s="66" t="s">
        <v>600</v>
      </c>
      <c r="BC29" s="66" t="s">
        <v>600</v>
      </c>
      <c r="BD29" s="66" t="s">
        <v>600</v>
      </c>
      <c r="BE29" s="66" t="s">
        <v>600</v>
      </c>
      <c r="BF29" s="66" t="s">
        <v>600</v>
      </c>
      <c r="BG29" s="66" t="s">
        <v>600</v>
      </c>
      <c r="BH29" s="66" t="s">
        <v>600</v>
      </c>
      <c r="BI29" s="66" t="s">
        <v>600</v>
      </c>
      <c r="BJ29" s="66" t="s">
        <v>600</v>
      </c>
      <c r="BK29" s="66" t="s">
        <v>600</v>
      </c>
      <c r="BL29" s="66" t="s">
        <v>600</v>
      </c>
      <c r="BM29" s="66" t="s">
        <v>600</v>
      </c>
      <c r="BN29" s="66" t="s">
        <v>600</v>
      </c>
      <c r="BO29" s="66" t="s">
        <v>600</v>
      </c>
      <c r="BP29" s="66" t="s">
        <v>600</v>
      </c>
      <c r="BQ29" s="66" t="s">
        <v>600</v>
      </c>
      <c r="BR29" s="164"/>
      <c r="BS29" s="68" t="s">
        <v>601</v>
      </c>
    </row>
    <row r="30" ht="15.6" spans="1:71">
      <c r="A30" s="68" t="s">
        <v>300</v>
      </c>
      <c r="B30" s="53" t="s">
        <v>30</v>
      </c>
      <c r="C30" s="53" t="s">
        <v>95</v>
      </c>
      <c r="D30" s="168" t="s">
        <v>616</v>
      </c>
      <c r="E30" s="58">
        <v>76</v>
      </c>
      <c r="F30" s="56">
        <v>109.99</v>
      </c>
      <c r="G30" s="59">
        <f t="shared" si="21"/>
        <v>93.4915</v>
      </c>
      <c r="H30" s="59">
        <f t="shared" si="22"/>
        <v>77.9095833333333</v>
      </c>
      <c r="I30" s="59">
        <f t="shared" si="23"/>
        <v>2.96861307767945</v>
      </c>
      <c r="J30" s="60">
        <f t="shared" si="24"/>
        <v>0.0390606983905191</v>
      </c>
      <c r="K30" s="57">
        <f t="shared" si="25"/>
        <v>91.6583333333333</v>
      </c>
      <c r="L30" s="163">
        <f t="shared" si="26"/>
        <v>0.17083371215565</v>
      </c>
      <c r="M30" s="59">
        <f t="shared" si="27"/>
        <v>15.6583333333333</v>
      </c>
      <c r="N30" s="57">
        <f t="shared" si="28"/>
        <v>245.353982300885</v>
      </c>
      <c r="O30" s="57">
        <f t="shared" si="29"/>
        <v>2.98333333333333</v>
      </c>
      <c r="P30" s="53">
        <v>3</v>
      </c>
      <c r="Q30" s="62">
        <v>9</v>
      </c>
      <c r="R30" s="63">
        <f t="shared" si="30"/>
        <v>0.157894736842105</v>
      </c>
      <c r="S30" s="60">
        <f>Y30/H30</f>
        <v>0.154024697432387</v>
      </c>
      <c r="T30" s="63">
        <f t="shared" si="31"/>
        <v>0.217085526315789</v>
      </c>
      <c r="U30" s="63">
        <v>0.01</v>
      </c>
      <c r="V30" s="63">
        <f t="shared" si="32"/>
        <v>0.358704652486674</v>
      </c>
      <c r="W30" s="63">
        <f t="shared" si="33"/>
        <v>0.0392543859649123</v>
      </c>
      <c r="X30" s="61">
        <v>0.178</v>
      </c>
      <c r="Y30" s="64">
        <v>12</v>
      </c>
      <c r="Z30" s="64">
        <f>F30*0.15</f>
        <v>16.4985</v>
      </c>
      <c r="AA30" s="64">
        <f t="shared" si="34"/>
        <v>0.76</v>
      </c>
      <c r="AB30" s="57">
        <f t="shared" si="35"/>
        <v>13.528</v>
      </c>
      <c r="AC30" s="57">
        <v>249</v>
      </c>
      <c r="AD30" s="65">
        <f t="shared" si="36"/>
        <v>220.353982300885</v>
      </c>
      <c r="AE30" s="62">
        <f t="shared" si="37"/>
        <v>2.77777777777778</v>
      </c>
      <c r="AF30" s="63">
        <f t="shared" si="38"/>
        <v>0.322154944884335</v>
      </c>
      <c r="AG30" s="63">
        <f t="shared" si="39"/>
        <v>0.0365497076023392</v>
      </c>
      <c r="AH30" s="62">
        <v>25</v>
      </c>
      <c r="AI30" s="63">
        <f t="shared" si="40"/>
        <v>0.198147425166994</v>
      </c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6" t="s">
        <v>600</v>
      </c>
      <c r="AU30" s="66" t="s">
        <v>600</v>
      </c>
      <c r="AV30" s="66" t="s">
        <v>600</v>
      </c>
      <c r="AW30" s="66" t="s">
        <v>600</v>
      </c>
      <c r="AX30" s="66" t="s">
        <v>600</v>
      </c>
      <c r="AY30" s="66" t="s">
        <v>600</v>
      </c>
      <c r="AZ30" s="66" t="s">
        <v>600</v>
      </c>
      <c r="BA30" s="66" t="s">
        <v>600</v>
      </c>
      <c r="BB30" s="66" t="s">
        <v>600</v>
      </c>
      <c r="BC30" s="66" t="s">
        <v>600</v>
      </c>
      <c r="BD30" s="66" t="s">
        <v>600</v>
      </c>
      <c r="BE30" s="66" t="s">
        <v>600</v>
      </c>
      <c r="BF30" s="66" t="s">
        <v>600</v>
      </c>
      <c r="BG30" s="66" t="s">
        <v>600</v>
      </c>
      <c r="BH30" s="66" t="s">
        <v>600</v>
      </c>
      <c r="BI30" s="66" t="s">
        <v>600</v>
      </c>
      <c r="BJ30" s="66" t="s">
        <v>600</v>
      </c>
      <c r="BK30" s="66" t="s">
        <v>600</v>
      </c>
      <c r="BL30" s="66" t="s">
        <v>600</v>
      </c>
      <c r="BM30" s="66" t="s">
        <v>600</v>
      </c>
      <c r="BN30" s="66" t="s">
        <v>600</v>
      </c>
      <c r="BO30" s="66" t="s">
        <v>600</v>
      </c>
      <c r="BP30" s="66" t="s">
        <v>600</v>
      </c>
      <c r="BQ30" s="66" t="s">
        <v>600</v>
      </c>
      <c r="BR30" s="164"/>
      <c r="BS30" s="68" t="s">
        <v>601</v>
      </c>
    </row>
    <row r="31" ht="15.6" spans="1:71">
      <c r="A31" s="53" t="s">
        <v>277</v>
      </c>
      <c r="B31" s="53" t="s">
        <v>91</v>
      </c>
      <c r="C31" s="53" t="s">
        <v>92</v>
      </c>
      <c r="D31" s="168" t="s">
        <v>613</v>
      </c>
      <c r="E31" s="58">
        <v>86</v>
      </c>
      <c r="F31" s="167">
        <v>124.99</v>
      </c>
      <c r="G31" s="59">
        <f t="shared" si="21"/>
        <v>124.99</v>
      </c>
      <c r="H31" s="59">
        <f t="shared" si="22"/>
        <v>104.158333333333</v>
      </c>
      <c r="I31" s="59">
        <f t="shared" si="23"/>
        <v>23.094418879056</v>
      </c>
      <c r="J31" s="60">
        <f t="shared" si="24"/>
        <v>0.268539754407628</v>
      </c>
      <c r="K31" s="57">
        <f t="shared" si="25"/>
        <v>104.158333333333</v>
      </c>
      <c r="L31" s="163">
        <f t="shared" si="26"/>
        <v>0.174333946715737</v>
      </c>
      <c r="M31" s="59">
        <f t="shared" si="27"/>
        <v>18.1583333333333</v>
      </c>
      <c r="N31" s="57">
        <f t="shared" si="28"/>
        <v>250.353982300885</v>
      </c>
      <c r="O31" s="57">
        <f t="shared" si="29"/>
        <v>2.58333333333333</v>
      </c>
      <c r="P31" s="53">
        <v>3</v>
      </c>
      <c r="Q31" s="62">
        <v>8</v>
      </c>
      <c r="R31" s="63">
        <f t="shared" si="30"/>
        <v>0.13953488372093</v>
      </c>
      <c r="S31" s="60">
        <f t="shared" ref="S31:S50" si="41">Y31/F31</f>
        <v>0.0960076806144492</v>
      </c>
      <c r="T31" s="63">
        <f t="shared" si="31"/>
        <v>0</v>
      </c>
      <c r="U31" s="63">
        <v>0.01</v>
      </c>
      <c r="V31" s="63">
        <f t="shared" si="32"/>
        <v>0.363886602181519</v>
      </c>
      <c r="W31" s="63">
        <f t="shared" si="33"/>
        <v>0.0300387596899225</v>
      </c>
      <c r="X31" s="61">
        <v>0.188</v>
      </c>
      <c r="Y31" s="64">
        <v>12</v>
      </c>
      <c r="Z31" s="64">
        <v>0</v>
      </c>
      <c r="AA31" s="64">
        <f t="shared" si="34"/>
        <v>0.86</v>
      </c>
      <c r="AB31" s="57">
        <f t="shared" si="35"/>
        <v>16.168</v>
      </c>
      <c r="AC31" s="57">
        <v>249</v>
      </c>
      <c r="AD31" s="65">
        <f t="shared" si="36"/>
        <v>220.353982300885</v>
      </c>
      <c r="AE31" s="62">
        <f t="shared" si="37"/>
        <v>3.75</v>
      </c>
      <c r="AF31" s="63">
        <f t="shared" si="38"/>
        <v>0.320281951018728</v>
      </c>
      <c r="AG31" s="63">
        <f t="shared" si="39"/>
        <v>0.0436046511627907</v>
      </c>
      <c r="AH31" s="62">
        <v>30</v>
      </c>
      <c r="AI31" s="63">
        <f t="shared" si="40"/>
        <v>0.329559164733179</v>
      </c>
      <c r="AJ31" s="63"/>
      <c r="AK31" s="63"/>
      <c r="AL31" s="63"/>
      <c r="AM31" s="63"/>
      <c r="AN31" s="66"/>
      <c r="AO31" s="66"/>
      <c r="AP31" s="66"/>
      <c r="AQ31" s="66"/>
      <c r="AR31" s="66"/>
      <c r="AS31" s="66"/>
      <c r="AT31" s="66" t="s">
        <v>600</v>
      </c>
      <c r="AU31" s="66" t="s">
        <v>600</v>
      </c>
      <c r="AV31" s="66" t="s">
        <v>600</v>
      </c>
      <c r="AW31" s="66" t="s">
        <v>600</v>
      </c>
      <c r="AX31" s="66" t="s">
        <v>600</v>
      </c>
      <c r="AY31" s="66" t="s">
        <v>600</v>
      </c>
      <c r="AZ31" s="66" t="s">
        <v>600</v>
      </c>
      <c r="BA31" s="66" t="s">
        <v>600</v>
      </c>
      <c r="BB31" s="66" t="s">
        <v>600</v>
      </c>
      <c r="BC31" s="66" t="s">
        <v>600</v>
      </c>
      <c r="BD31" s="66" t="s">
        <v>600</v>
      </c>
      <c r="BE31" s="66" t="s">
        <v>600</v>
      </c>
      <c r="BF31" s="66" t="s">
        <v>600</v>
      </c>
      <c r="BG31" s="66" t="s">
        <v>600</v>
      </c>
      <c r="BH31" s="66" t="s">
        <v>600</v>
      </c>
      <c r="BI31" s="66" t="s">
        <v>600</v>
      </c>
      <c r="BJ31" s="66" t="s">
        <v>600</v>
      </c>
      <c r="BK31" s="66" t="s">
        <v>600</v>
      </c>
      <c r="BL31" s="66" t="s">
        <v>600</v>
      </c>
      <c r="BM31" s="66" t="s">
        <v>600</v>
      </c>
      <c r="BN31" s="66" t="s">
        <v>600</v>
      </c>
      <c r="BO31" s="66" t="s">
        <v>600</v>
      </c>
      <c r="BP31" s="66" t="s">
        <v>600</v>
      </c>
      <c r="BQ31" s="66" t="s">
        <v>600</v>
      </c>
      <c r="BR31" s="164"/>
      <c r="BS31" s="68" t="s">
        <v>601</v>
      </c>
    </row>
    <row r="32" ht="15.6" spans="1:71">
      <c r="A32" s="53" t="s">
        <v>277</v>
      </c>
      <c r="B32" s="53" t="s">
        <v>91</v>
      </c>
      <c r="C32" s="53" t="s">
        <v>92</v>
      </c>
      <c r="D32" s="168" t="s">
        <v>614</v>
      </c>
      <c r="E32" s="58">
        <v>86</v>
      </c>
      <c r="F32" s="56">
        <v>124.99</v>
      </c>
      <c r="G32" s="59">
        <f t="shared" si="21"/>
        <v>118.7405</v>
      </c>
      <c r="H32" s="59">
        <f t="shared" si="22"/>
        <v>98.9504166666667</v>
      </c>
      <c r="I32" s="59">
        <f t="shared" si="23"/>
        <v>16.844918879056</v>
      </c>
      <c r="J32" s="60">
        <f t="shared" si="24"/>
        <v>0.195871149756466</v>
      </c>
      <c r="K32" s="57">
        <f t="shared" si="25"/>
        <v>104.158333333333</v>
      </c>
      <c r="L32" s="163">
        <f t="shared" si="26"/>
        <v>0.174333946715737</v>
      </c>
      <c r="M32" s="59">
        <f t="shared" si="27"/>
        <v>18.1583333333333</v>
      </c>
      <c r="N32" s="57">
        <f t="shared" si="28"/>
        <v>250.353982300885</v>
      </c>
      <c r="O32" s="57">
        <f t="shared" si="29"/>
        <v>2.58333333333333</v>
      </c>
      <c r="P32" s="53">
        <v>3</v>
      </c>
      <c r="Q32" s="62">
        <v>8</v>
      </c>
      <c r="R32" s="63">
        <f t="shared" si="30"/>
        <v>0.13953488372093</v>
      </c>
      <c r="S32" s="60">
        <f t="shared" si="41"/>
        <v>0.0960076806144492</v>
      </c>
      <c r="T32" s="63">
        <f t="shared" si="31"/>
        <v>0.0726686046511628</v>
      </c>
      <c r="U32" s="63">
        <v>0.01</v>
      </c>
      <c r="V32" s="63">
        <f t="shared" si="32"/>
        <v>0.363886602181519</v>
      </c>
      <c r="W32" s="63">
        <f t="shared" si="33"/>
        <v>0.0300387596899225</v>
      </c>
      <c r="X32" s="61">
        <v>0.188</v>
      </c>
      <c r="Y32" s="64">
        <v>12</v>
      </c>
      <c r="Z32" s="64">
        <f>F32*0.05</f>
        <v>6.2495</v>
      </c>
      <c r="AA32" s="64">
        <f t="shared" si="34"/>
        <v>0.86</v>
      </c>
      <c r="AB32" s="57">
        <f t="shared" si="35"/>
        <v>16.168</v>
      </c>
      <c r="AC32" s="57">
        <v>249</v>
      </c>
      <c r="AD32" s="65">
        <f t="shared" si="36"/>
        <v>220.353982300885</v>
      </c>
      <c r="AE32" s="62">
        <f t="shared" si="37"/>
        <v>3.75</v>
      </c>
      <c r="AF32" s="63">
        <f t="shared" si="38"/>
        <v>0.320281951018728</v>
      </c>
      <c r="AG32" s="63">
        <f t="shared" si="39"/>
        <v>0.0436046511627907</v>
      </c>
      <c r="AH32" s="62">
        <v>30</v>
      </c>
      <c r="AI32" s="63">
        <f t="shared" si="40"/>
        <v>0.294272804982293</v>
      </c>
      <c r="AJ32" s="63"/>
      <c r="AK32" s="63"/>
      <c r="AL32" s="63"/>
      <c r="AM32" s="63"/>
      <c r="AN32" s="66"/>
      <c r="AO32" s="66"/>
      <c r="AP32" s="66"/>
      <c r="AQ32" s="66"/>
      <c r="AR32" s="66"/>
      <c r="AS32" s="66"/>
      <c r="AT32" s="66" t="s">
        <v>600</v>
      </c>
      <c r="AU32" s="66" t="s">
        <v>600</v>
      </c>
      <c r="AV32" s="66" t="s">
        <v>600</v>
      </c>
      <c r="AW32" s="66" t="s">
        <v>600</v>
      </c>
      <c r="AX32" s="66" t="s">
        <v>600</v>
      </c>
      <c r="AY32" s="66" t="s">
        <v>600</v>
      </c>
      <c r="AZ32" s="66" t="s">
        <v>600</v>
      </c>
      <c r="BA32" s="66" t="s">
        <v>600</v>
      </c>
      <c r="BB32" s="66" t="s">
        <v>600</v>
      </c>
      <c r="BC32" s="66" t="s">
        <v>600</v>
      </c>
      <c r="BD32" s="66" t="s">
        <v>600</v>
      </c>
      <c r="BE32" s="66" t="s">
        <v>600</v>
      </c>
      <c r="BF32" s="66" t="s">
        <v>600</v>
      </c>
      <c r="BG32" s="66" t="s">
        <v>600</v>
      </c>
      <c r="BH32" s="66" t="s">
        <v>600</v>
      </c>
      <c r="BI32" s="66" t="s">
        <v>600</v>
      </c>
      <c r="BJ32" s="66" t="s">
        <v>600</v>
      </c>
      <c r="BK32" s="66" t="s">
        <v>600</v>
      </c>
      <c r="BL32" s="66" t="s">
        <v>600</v>
      </c>
      <c r="BM32" s="66" t="s">
        <v>600</v>
      </c>
      <c r="BN32" s="66" t="s">
        <v>600</v>
      </c>
      <c r="BO32" s="66" t="s">
        <v>600</v>
      </c>
      <c r="BP32" s="66" t="s">
        <v>600</v>
      </c>
      <c r="BQ32" s="66" t="s">
        <v>600</v>
      </c>
      <c r="BR32" s="164"/>
      <c r="BS32" s="68" t="s">
        <v>601</v>
      </c>
    </row>
    <row r="33" ht="15.6" spans="1:71">
      <c r="A33" s="53" t="s">
        <v>277</v>
      </c>
      <c r="B33" s="53" t="s">
        <v>91</v>
      </c>
      <c r="C33" s="53" t="s">
        <v>92</v>
      </c>
      <c r="D33" s="168" t="s">
        <v>615</v>
      </c>
      <c r="E33" s="58">
        <v>86</v>
      </c>
      <c r="F33" s="56">
        <v>124.99</v>
      </c>
      <c r="G33" s="59">
        <f t="shared" si="21"/>
        <v>112.491</v>
      </c>
      <c r="H33" s="59">
        <f t="shared" si="22"/>
        <v>93.7425</v>
      </c>
      <c r="I33" s="59">
        <f t="shared" si="23"/>
        <v>10.595418879056</v>
      </c>
      <c r="J33" s="60">
        <f t="shared" si="24"/>
        <v>0.123202545105303</v>
      </c>
      <c r="K33" s="57">
        <f t="shared" si="25"/>
        <v>104.158333333333</v>
      </c>
      <c r="L33" s="163">
        <f t="shared" si="26"/>
        <v>0.174333946715737</v>
      </c>
      <c r="M33" s="59">
        <f t="shared" si="27"/>
        <v>18.1583333333333</v>
      </c>
      <c r="N33" s="57">
        <f t="shared" si="28"/>
        <v>250.353982300885</v>
      </c>
      <c r="O33" s="57">
        <f t="shared" si="29"/>
        <v>2.58333333333333</v>
      </c>
      <c r="P33" s="53">
        <v>3</v>
      </c>
      <c r="Q33" s="62">
        <v>8</v>
      </c>
      <c r="R33" s="63">
        <f t="shared" si="30"/>
        <v>0.13953488372093</v>
      </c>
      <c r="S33" s="60">
        <f t="shared" si="41"/>
        <v>0.0960076806144492</v>
      </c>
      <c r="T33" s="63">
        <f t="shared" si="31"/>
        <v>0.145337209302326</v>
      </c>
      <c r="U33" s="63">
        <v>0.01</v>
      </c>
      <c r="V33" s="63">
        <f t="shared" si="32"/>
        <v>0.363886602181519</v>
      </c>
      <c r="W33" s="63">
        <f t="shared" si="33"/>
        <v>0.0300387596899225</v>
      </c>
      <c r="X33" s="61">
        <v>0.188</v>
      </c>
      <c r="Y33" s="64">
        <v>12</v>
      </c>
      <c r="Z33" s="64">
        <f>F33*0.1</f>
        <v>12.499</v>
      </c>
      <c r="AA33" s="64">
        <f t="shared" si="34"/>
        <v>0.86</v>
      </c>
      <c r="AB33" s="57">
        <f t="shared" si="35"/>
        <v>16.168</v>
      </c>
      <c r="AC33" s="57">
        <v>249</v>
      </c>
      <c r="AD33" s="65">
        <f t="shared" si="36"/>
        <v>220.353982300885</v>
      </c>
      <c r="AE33" s="62">
        <f t="shared" si="37"/>
        <v>3.75</v>
      </c>
      <c r="AF33" s="63">
        <f t="shared" si="38"/>
        <v>0.320281951018728</v>
      </c>
      <c r="AG33" s="63">
        <f t="shared" si="39"/>
        <v>0.0436046511627907</v>
      </c>
      <c r="AH33" s="62">
        <v>30</v>
      </c>
      <c r="AI33" s="63">
        <f t="shared" si="40"/>
        <v>0.255065738592421</v>
      </c>
      <c r="AJ33" s="63"/>
      <c r="AK33" s="63"/>
      <c r="AL33" s="63"/>
      <c r="AM33" s="63"/>
      <c r="AN33" s="66"/>
      <c r="AO33" s="66"/>
      <c r="AP33" s="66"/>
      <c r="AQ33" s="66"/>
      <c r="AR33" s="66"/>
      <c r="AS33" s="66"/>
      <c r="AT33" s="66" t="s">
        <v>600</v>
      </c>
      <c r="AU33" s="66" t="s">
        <v>600</v>
      </c>
      <c r="AV33" s="66" t="s">
        <v>600</v>
      </c>
      <c r="AW33" s="66" t="s">
        <v>600</v>
      </c>
      <c r="AX33" s="66" t="s">
        <v>600</v>
      </c>
      <c r="AY33" s="66" t="s">
        <v>600</v>
      </c>
      <c r="AZ33" s="66" t="s">
        <v>600</v>
      </c>
      <c r="BA33" s="66" t="s">
        <v>600</v>
      </c>
      <c r="BB33" s="66" t="s">
        <v>600</v>
      </c>
      <c r="BC33" s="66" t="s">
        <v>600</v>
      </c>
      <c r="BD33" s="66" t="s">
        <v>600</v>
      </c>
      <c r="BE33" s="66" t="s">
        <v>600</v>
      </c>
      <c r="BF33" s="66" t="s">
        <v>600</v>
      </c>
      <c r="BG33" s="66" t="s">
        <v>600</v>
      </c>
      <c r="BH33" s="66" t="s">
        <v>600</v>
      </c>
      <c r="BI33" s="66" t="s">
        <v>600</v>
      </c>
      <c r="BJ33" s="66" t="s">
        <v>600</v>
      </c>
      <c r="BK33" s="66" t="s">
        <v>600</v>
      </c>
      <c r="BL33" s="66" t="s">
        <v>600</v>
      </c>
      <c r="BM33" s="66" t="s">
        <v>600</v>
      </c>
      <c r="BN33" s="66" t="s">
        <v>600</v>
      </c>
      <c r="BO33" s="66" t="s">
        <v>600</v>
      </c>
      <c r="BP33" s="66" t="s">
        <v>600</v>
      </c>
      <c r="BQ33" s="66" t="s">
        <v>600</v>
      </c>
      <c r="BR33" s="164"/>
      <c r="BS33" s="68" t="s">
        <v>601</v>
      </c>
    </row>
    <row r="34" ht="15.6" spans="1:71">
      <c r="A34" s="53" t="s">
        <v>277</v>
      </c>
      <c r="B34" s="53" t="s">
        <v>91</v>
      </c>
      <c r="C34" s="53" t="s">
        <v>92</v>
      </c>
      <c r="D34" s="168" t="s">
        <v>616</v>
      </c>
      <c r="E34" s="58">
        <v>86</v>
      </c>
      <c r="F34" s="56">
        <v>124.99</v>
      </c>
      <c r="G34" s="59">
        <f t="shared" si="21"/>
        <v>106.2415</v>
      </c>
      <c r="H34" s="59">
        <f t="shared" si="22"/>
        <v>88.5345833333333</v>
      </c>
      <c r="I34" s="59">
        <f t="shared" si="23"/>
        <v>4.34591887905605</v>
      </c>
      <c r="J34" s="60">
        <f t="shared" si="24"/>
        <v>0.0505339404541401</v>
      </c>
      <c r="K34" s="57">
        <f t="shared" si="25"/>
        <v>104.158333333333</v>
      </c>
      <c r="L34" s="163">
        <f t="shared" si="26"/>
        <v>0.174333946715737</v>
      </c>
      <c r="M34" s="59">
        <f t="shared" si="27"/>
        <v>18.1583333333333</v>
      </c>
      <c r="N34" s="57">
        <f t="shared" si="28"/>
        <v>250.353982300885</v>
      </c>
      <c r="O34" s="57">
        <f t="shared" si="29"/>
        <v>2.58333333333333</v>
      </c>
      <c r="P34" s="53">
        <v>3</v>
      </c>
      <c r="Q34" s="62">
        <v>8</v>
      </c>
      <c r="R34" s="63">
        <f t="shared" si="30"/>
        <v>0.13953488372093</v>
      </c>
      <c r="S34" s="60">
        <f t="shared" si="41"/>
        <v>0.0960076806144492</v>
      </c>
      <c r="T34" s="63">
        <f t="shared" si="31"/>
        <v>0.218005813953488</v>
      </c>
      <c r="U34" s="63">
        <v>0.01</v>
      </c>
      <c r="V34" s="63">
        <f t="shared" si="32"/>
        <v>0.363886602181519</v>
      </c>
      <c r="W34" s="63">
        <f t="shared" si="33"/>
        <v>0.0300387596899225</v>
      </c>
      <c r="X34" s="61">
        <v>0.188</v>
      </c>
      <c r="Y34" s="64">
        <v>12</v>
      </c>
      <c r="Z34" s="64">
        <f>F34*0.15</f>
        <v>18.7485</v>
      </c>
      <c r="AA34" s="64">
        <f t="shared" si="34"/>
        <v>0.86</v>
      </c>
      <c r="AB34" s="57">
        <f t="shared" si="35"/>
        <v>16.168</v>
      </c>
      <c r="AC34" s="57">
        <v>249</v>
      </c>
      <c r="AD34" s="65">
        <f t="shared" si="36"/>
        <v>220.353982300885</v>
      </c>
      <c r="AE34" s="62">
        <f t="shared" si="37"/>
        <v>3.75</v>
      </c>
      <c r="AF34" s="63">
        <f t="shared" si="38"/>
        <v>0.320281951018728</v>
      </c>
      <c r="AG34" s="63">
        <f t="shared" si="39"/>
        <v>0.0436046511627907</v>
      </c>
      <c r="AH34" s="62">
        <v>30</v>
      </c>
      <c r="AI34" s="63">
        <f t="shared" si="40"/>
        <v>0.211246076156681</v>
      </c>
      <c r="AJ34" s="63"/>
      <c r="AK34" s="63"/>
      <c r="AL34" s="63"/>
      <c r="AM34" s="63"/>
      <c r="AN34" s="66"/>
      <c r="AO34" s="66"/>
      <c r="AP34" s="66"/>
      <c r="AQ34" s="66"/>
      <c r="AR34" s="66"/>
      <c r="AS34" s="66"/>
      <c r="AT34" s="66" t="s">
        <v>600</v>
      </c>
      <c r="AU34" s="66" t="s">
        <v>600</v>
      </c>
      <c r="AV34" s="66" t="s">
        <v>600</v>
      </c>
      <c r="AW34" s="66" t="s">
        <v>600</v>
      </c>
      <c r="AX34" s="66" t="s">
        <v>600</v>
      </c>
      <c r="AY34" s="66" t="s">
        <v>600</v>
      </c>
      <c r="AZ34" s="66" t="s">
        <v>600</v>
      </c>
      <c r="BA34" s="66" t="s">
        <v>600</v>
      </c>
      <c r="BB34" s="66" t="s">
        <v>600</v>
      </c>
      <c r="BC34" s="66" t="s">
        <v>600</v>
      </c>
      <c r="BD34" s="66" t="s">
        <v>600</v>
      </c>
      <c r="BE34" s="66" t="s">
        <v>600</v>
      </c>
      <c r="BF34" s="66" t="s">
        <v>600</v>
      </c>
      <c r="BG34" s="66" t="s">
        <v>600</v>
      </c>
      <c r="BH34" s="66" t="s">
        <v>600</v>
      </c>
      <c r="BI34" s="66" t="s">
        <v>600</v>
      </c>
      <c r="BJ34" s="66" t="s">
        <v>600</v>
      </c>
      <c r="BK34" s="66" t="s">
        <v>600</v>
      </c>
      <c r="BL34" s="66" t="s">
        <v>600</v>
      </c>
      <c r="BM34" s="66" t="s">
        <v>600</v>
      </c>
      <c r="BN34" s="66" t="s">
        <v>600</v>
      </c>
      <c r="BO34" s="66" t="s">
        <v>600</v>
      </c>
      <c r="BP34" s="66" t="s">
        <v>600</v>
      </c>
      <c r="BQ34" s="66" t="s">
        <v>600</v>
      </c>
      <c r="BR34" s="164"/>
      <c r="BS34" s="68" t="s">
        <v>601</v>
      </c>
    </row>
    <row r="35" ht="15.6" spans="1:71">
      <c r="A35" s="53" t="s">
        <v>511</v>
      </c>
      <c r="B35" s="53" t="s">
        <v>91</v>
      </c>
      <c r="C35" s="53" t="s">
        <v>92</v>
      </c>
      <c r="D35" s="168" t="s">
        <v>613</v>
      </c>
      <c r="E35" s="58">
        <v>90</v>
      </c>
      <c r="F35" s="167">
        <v>129.99</v>
      </c>
      <c r="G35" s="59">
        <f t="shared" si="21"/>
        <v>129.99</v>
      </c>
      <c r="H35" s="59">
        <f t="shared" si="22"/>
        <v>108.325</v>
      </c>
      <c r="I35" s="59">
        <f t="shared" si="23"/>
        <v>24.1357522123894</v>
      </c>
      <c r="J35" s="60">
        <f t="shared" si="24"/>
        <v>0.268175024582104</v>
      </c>
      <c r="K35" s="57">
        <f t="shared" si="25"/>
        <v>108.325</v>
      </c>
      <c r="L35" s="163">
        <f t="shared" si="26"/>
        <v>0.169166858989153</v>
      </c>
      <c r="M35" s="59">
        <f t="shared" si="27"/>
        <v>18.325</v>
      </c>
      <c r="N35" s="57">
        <f t="shared" si="28"/>
        <v>250.353982300885</v>
      </c>
      <c r="O35" s="57">
        <f t="shared" si="29"/>
        <v>4.75</v>
      </c>
      <c r="P35" s="53">
        <v>3</v>
      </c>
      <c r="Q35" s="62">
        <v>8</v>
      </c>
      <c r="R35" s="63">
        <f t="shared" si="30"/>
        <v>0.133333333333333</v>
      </c>
      <c r="S35" s="60">
        <f t="shared" si="41"/>
        <v>0.0923147934456497</v>
      </c>
      <c r="T35" s="63">
        <f t="shared" si="31"/>
        <v>0</v>
      </c>
      <c r="U35" s="63">
        <v>0.01</v>
      </c>
      <c r="V35" s="63">
        <f t="shared" si="32"/>
        <v>0.347713864306785</v>
      </c>
      <c r="W35" s="63">
        <f t="shared" si="33"/>
        <v>0.0527777777777778</v>
      </c>
      <c r="X35" s="61">
        <v>0.188</v>
      </c>
      <c r="Y35" s="64">
        <v>12</v>
      </c>
      <c r="Z35" s="64">
        <v>0</v>
      </c>
      <c r="AA35" s="64">
        <f t="shared" si="34"/>
        <v>0.9</v>
      </c>
      <c r="AB35" s="57">
        <f t="shared" si="35"/>
        <v>16.92</v>
      </c>
      <c r="AC35" s="57">
        <v>249</v>
      </c>
      <c r="AD35" s="65">
        <f t="shared" si="36"/>
        <v>220.353982300885</v>
      </c>
      <c r="AE35" s="62">
        <f t="shared" si="37"/>
        <v>3.75</v>
      </c>
      <c r="AF35" s="63">
        <f t="shared" si="38"/>
        <v>0.306047197640118</v>
      </c>
      <c r="AG35" s="63">
        <f t="shared" si="39"/>
        <v>0.0416666666666667</v>
      </c>
      <c r="AH35" s="62">
        <v>30</v>
      </c>
      <c r="AI35" s="63">
        <f t="shared" si="40"/>
        <v>0.325363489499192</v>
      </c>
      <c r="AJ35" s="63"/>
      <c r="AK35" s="63"/>
      <c r="AL35" s="63"/>
      <c r="AM35" s="63"/>
      <c r="AN35" s="66"/>
      <c r="AO35" s="66"/>
      <c r="AP35" s="66"/>
      <c r="AQ35" s="66"/>
      <c r="AR35" s="66"/>
      <c r="AS35" s="66"/>
      <c r="AT35" s="66" t="s">
        <v>600</v>
      </c>
      <c r="AU35" s="66" t="s">
        <v>600</v>
      </c>
      <c r="AV35" s="66" t="s">
        <v>600</v>
      </c>
      <c r="AW35" s="66" t="s">
        <v>600</v>
      </c>
      <c r="AX35" s="66" t="s">
        <v>600</v>
      </c>
      <c r="AY35" s="66" t="s">
        <v>600</v>
      </c>
      <c r="AZ35" s="66" t="s">
        <v>600</v>
      </c>
      <c r="BA35" s="66" t="s">
        <v>600</v>
      </c>
      <c r="BB35" s="66" t="s">
        <v>600</v>
      </c>
      <c r="BC35" s="66" t="s">
        <v>600</v>
      </c>
      <c r="BD35" s="66" t="s">
        <v>600</v>
      </c>
      <c r="BE35" s="66" t="s">
        <v>600</v>
      </c>
      <c r="BF35" s="66" t="s">
        <v>600</v>
      </c>
      <c r="BG35" s="66" t="s">
        <v>600</v>
      </c>
      <c r="BH35" s="66" t="s">
        <v>600</v>
      </c>
      <c r="BI35" s="66" t="s">
        <v>600</v>
      </c>
      <c r="BJ35" s="66" t="s">
        <v>600</v>
      </c>
      <c r="BK35" s="66" t="s">
        <v>600</v>
      </c>
      <c r="BL35" s="66" t="s">
        <v>600</v>
      </c>
      <c r="BM35" s="66" t="s">
        <v>600</v>
      </c>
      <c r="BN35" s="66" t="s">
        <v>600</v>
      </c>
      <c r="BO35" s="66" t="s">
        <v>600</v>
      </c>
      <c r="BP35" s="66" t="s">
        <v>600</v>
      </c>
      <c r="BQ35" s="66" t="s">
        <v>600</v>
      </c>
      <c r="BR35" s="164"/>
      <c r="BS35" s="68" t="s">
        <v>601</v>
      </c>
    </row>
    <row r="36" ht="15.6" spans="1:71">
      <c r="A36" s="53" t="s">
        <v>511</v>
      </c>
      <c r="B36" s="53" t="s">
        <v>91</v>
      </c>
      <c r="C36" s="53" t="s">
        <v>92</v>
      </c>
      <c r="D36" s="168" t="s">
        <v>614</v>
      </c>
      <c r="E36" s="58">
        <v>90</v>
      </c>
      <c r="F36" s="56">
        <v>129.99</v>
      </c>
      <c r="G36" s="59">
        <f t="shared" si="21"/>
        <v>123.4905</v>
      </c>
      <c r="H36" s="59">
        <f t="shared" si="22"/>
        <v>102.90875</v>
      </c>
      <c r="I36" s="59">
        <f t="shared" si="23"/>
        <v>17.6362522123894</v>
      </c>
      <c r="J36" s="60">
        <f t="shared" si="24"/>
        <v>0.195958357915438</v>
      </c>
      <c r="K36" s="57">
        <f t="shared" si="25"/>
        <v>108.325</v>
      </c>
      <c r="L36" s="163">
        <f t="shared" si="26"/>
        <v>0.169166858989153</v>
      </c>
      <c r="M36" s="59">
        <f t="shared" si="27"/>
        <v>18.325</v>
      </c>
      <c r="N36" s="57">
        <f t="shared" si="28"/>
        <v>250.353982300885</v>
      </c>
      <c r="O36" s="57">
        <f t="shared" si="29"/>
        <v>4.75</v>
      </c>
      <c r="P36" s="53">
        <v>3</v>
      </c>
      <c r="Q36" s="62">
        <v>8</v>
      </c>
      <c r="R36" s="63">
        <f t="shared" si="30"/>
        <v>0.133333333333333</v>
      </c>
      <c r="S36" s="60">
        <f t="shared" si="41"/>
        <v>0.0923147934456497</v>
      </c>
      <c r="T36" s="63">
        <f t="shared" si="31"/>
        <v>0.0722166666666667</v>
      </c>
      <c r="U36" s="63">
        <v>0.01</v>
      </c>
      <c r="V36" s="63">
        <f t="shared" si="32"/>
        <v>0.347713864306785</v>
      </c>
      <c r="W36" s="63">
        <f t="shared" si="33"/>
        <v>0.0527777777777778</v>
      </c>
      <c r="X36" s="61">
        <v>0.188</v>
      </c>
      <c r="Y36" s="64">
        <v>12</v>
      </c>
      <c r="Z36" s="64">
        <f>F36*0.05</f>
        <v>6.4995</v>
      </c>
      <c r="AA36" s="64">
        <f t="shared" si="34"/>
        <v>0.9</v>
      </c>
      <c r="AB36" s="57">
        <f t="shared" si="35"/>
        <v>16.92</v>
      </c>
      <c r="AC36" s="57">
        <v>249</v>
      </c>
      <c r="AD36" s="65">
        <f t="shared" si="36"/>
        <v>220.353982300885</v>
      </c>
      <c r="AE36" s="62">
        <f t="shared" si="37"/>
        <v>3.75</v>
      </c>
      <c r="AF36" s="63">
        <f t="shared" si="38"/>
        <v>0.306047197640118</v>
      </c>
      <c r="AG36" s="63">
        <f t="shared" si="39"/>
        <v>0.0416666666666667</v>
      </c>
      <c r="AH36" s="62">
        <v>30</v>
      </c>
      <c r="AI36" s="63">
        <f t="shared" si="40"/>
        <v>0.289856304735992</v>
      </c>
      <c r="AJ36" s="63"/>
      <c r="AK36" s="63"/>
      <c r="AL36" s="63"/>
      <c r="AM36" s="63"/>
      <c r="AN36" s="66"/>
      <c r="AO36" s="66"/>
      <c r="AP36" s="66"/>
      <c r="AQ36" s="66"/>
      <c r="AR36" s="66"/>
      <c r="AS36" s="66"/>
      <c r="AT36" s="66" t="s">
        <v>600</v>
      </c>
      <c r="AU36" s="66" t="s">
        <v>600</v>
      </c>
      <c r="AV36" s="66" t="s">
        <v>600</v>
      </c>
      <c r="AW36" s="66" t="s">
        <v>600</v>
      </c>
      <c r="AX36" s="66" t="s">
        <v>600</v>
      </c>
      <c r="AY36" s="66" t="s">
        <v>600</v>
      </c>
      <c r="AZ36" s="66" t="s">
        <v>600</v>
      </c>
      <c r="BA36" s="66" t="s">
        <v>600</v>
      </c>
      <c r="BB36" s="66" t="s">
        <v>600</v>
      </c>
      <c r="BC36" s="66" t="s">
        <v>600</v>
      </c>
      <c r="BD36" s="66" t="s">
        <v>600</v>
      </c>
      <c r="BE36" s="66" t="s">
        <v>600</v>
      </c>
      <c r="BF36" s="66" t="s">
        <v>600</v>
      </c>
      <c r="BG36" s="66" t="s">
        <v>600</v>
      </c>
      <c r="BH36" s="66" t="s">
        <v>600</v>
      </c>
      <c r="BI36" s="66" t="s">
        <v>600</v>
      </c>
      <c r="BJ36" s="66" t="s">
        <v>600</v>
      </c>
      <c r="BK36" s="66" t="s">
        <v>600</v>
      </c>
      <c r="BL36" s="66" t="s">
        <v>600</v>
      </c>
      <c r="BM36" s="66" t="s">
        <v>600</v>
      </c>
      <c r="BN36" s="66" t="s">
        <v>600</v>
      </c>
      <c r="BO36" s="66" t="s">
        <v>600</v>
      </c>
      <c r="BP36" s="66" t="s">
        <v>600</v>
      </c>
      <c r="BQ36" s="66" t="s">
        <v>600</v>
      </c>
      <c r="BR36" s="164"/>
      <c r="BS36" s="68" t="s">
        <v>601</v>
      </c>
    </row>
    <row r="37" ht="15.6" spans="1:71">
      <c r="A37" s="53" t="s">
        <v>511</v>
      </c>
      <c r="B37" s="53" t="s">
        <v>91</v>
      </c>
      <c r="C37" s="53" t="s">
        <v>92</v>
      </c>
      <c r="D37" s="168" t="s">
        <v>615</v>
      </c>
      <c r="E37" s="58">
        <v>90</v>
      </c>
      <c r="F37" s="56">
        <v>129.99</v>
      </c>
      <c r="G37" s="59">
        <f t="shared" si="21"/>
        <v>116.991</v>
      </c>
      <c r="H37" s="59">
        <f t="shared" si="22"/>
        <v>97.4925</v>
      </c>
      <c r="I37" s="59">
        <f t="shared" si="23"/>
        <v>11.1367522123894</v>
      </c>
      <c r="J37" s="60">
        <f t="shared" si="24"/>
        <v>0.123741691248771</v>
      </c>
      <c r="K37" s="57">
        <f t="shared" si="25"/>
        <v>108.325</v>
      </c>
      <c r="L37" s="163">
        <f t="shared" si="26"/>
        <v>0.169166858989153</v>
      </c>
      <c r="M37" s="59">
        <f t="shared" si="27"/>
        <v>18.325</v>
      </c>
      <c r="N37" s="57">
        <f t="shared" si="28"/>
        <v>250.353982300885</v>
      </c>
      <c r="O37" s="57">
        <f t="shared" si="29"/>
        <v>4.75</v>
      </c>
      <c r="P37" s="53">
        <v>3</v>
      </c>
      <c r="Q37" s="62">
        <v>8</v>
      </c>
      <c r="R37" s="63">
        <f t="shared" si="30"/>
        <v>0.133333333333333</v>
      </c>
      <c r="S37" s="60">
        <f t="shared" si="41"/>
        <v>0.0923147934456497</v>
      </c>
      <c r="T37" s="63">
        <f t="shared" si="31"/>
        <v>0.144433333333333</v>
      </c>
      <c r="U37" s="63">
        <v>0.01</v>
      </c>
      <c r="V37" s="63">
        <f t="shared" si="32"/>
        <v>0.347713864306785</v>
      </c>
      <c r="W37" s="63">
        <f t="shared" si="33"/>
        <v>0.0527777777777778</v>
      </c>
      <c r="X37" s="61">
        <v>0.188</v>
      </c>
      <c r="Y37" s="64">
        <v>12</v>
      </c>
      <c r="Z37" s="64">
        <f>F37*0.1</f>
        <v>12.999</v>
      </c>
      <c r="AA37" s="64">
        <f t="shared" si="34"/>
        <v>0.9</v>
      </c>
      <c r="AB37" s="57">
        <f t="shared" si="35"/>
        <v>16.92</v>
      </c>
      <c r="AC37" s="57">
        <v>249</v>
      </c>
      <c r="AD37" s="65">
        <f t="shared" si="36"/>
        <v>220.353982300885</v>
      </c>
      <c r="AE37" s="62">
        <f t="shared" si="37"/>
        <v>3.75</v>
      </c>
      <c r="AF37" s="63">
        <f t="shared" si="38"/>
        <v>0.306047197640118</v>
      </c>
      <c r="AG37" s="63">
        <f t="shared" si="39"/>
        <v>0.0416666666666667</v>
      </c>
      <c r="AH37" s="62">
        <v>30</v>
      </c>
      <c r="AI37" s="63">
        <f t="shared" si="40"/>
        <v>0.250403877221325</v>
      </c>
      <c r="AJ37" s="63"/>
      <c r="AK37" s="63"/>
      <c r="AL37" s="63"/>
      <c r="AM37" s="63"/>
      <c r="AN37" s="66"/>
      <c r="AO37" s="66"/>
      <c r="AP37" s="66"/>
      <c r="AQ37" s="66"/>
      <c r="AR37" s="66"/>
      <c r="AS37" s="66"/>
      <c r="AT37" s="66" t="s">
        <v>600</v>
      </c>
      <c r="AU37" s="66" t="s">
        <v>600</v>
      </c>
      <c r="AV37" s="66" t="s">
        <v>600</v>
      </c>
      <c r="AW37" s="66" t="s">
        <v>600</v>
      </c>
      <c r="AX37" s="66" t="s">
        <v>600</v>
      </c>
      <c r="AY37" s="66" t="s">
        <v>600</v>
      </c>
      <c r="AZ37" s="66" t="s">
        <v>600</v>
      </c>
      <c r="BA37" s="66" t="s">
        <v>600</v>
      </c>
      <c r="BB37" s="66" t="s">
        <v>600</v>
      </c>
      <c r="BC37" s="66" t="s">
        <v>600</v>
      </c>
      <c r="BD37" s="66" t="s">
        <v>600</v>
      </c>
      <c r="BE37" s="66" t="s">
        <v>600</v>
      </c>
      <c r="BF37" s="66" t="s">
        <v>600</v>
      </c>
      <c r="BG37" s="66" t="s">
        <v>600</v>
      </c>
      <c r="BH37" s="66" t="s">
        <v>600</v>
      </c>
      <c r="BI37" s="66" t="s">
        <v>600</v>
      </c>
      <c r="BJ37" s="66" t="s">
        <v>600</v>
      </c>
      <c r="BK37" s="66" t="s">
        <v>600</v>
      </c>
      <c r="BL37" s="66" t="s">
        <v>600</v>
      </c>
      <c r="BM37" s="66" t="s">
        <v>600</v>
      </c>
      <c r="BN37" s="66" t="s">
        <v>600</v>
      </c>
      <c r="BO37" s="66" t="s">
        <v>600</v>
      </c>
      <c r="BP37" s="66" t="s">
        <v>600</v>
      </c>
      <c r="BQ37" s="66" t="s">
        <v>600</v>
      </c>
      <c r="BR37" s="164"/>
      <c r="BS37" s="68" t="s">
        <v>601</v>
      </c>
    </row>
    <row r="38" ht="15.6" spans="1:71">
      <c r="A38" s="53" t="s">
        <v>511</v>
      </c>
      <c r="B38" s="53" t="s">
        <v>91</v>
      </c>
      <c r="C38" s="53" t="s">
        <v>92</v>
      </c>
      <c r="D38" s="168" t="s">
        <v>616</v>
      </c>
      <c r="E38" s="58">
        <v>90</v>
      </c>
      <c r="F38" s="56">
        <v>129.99</v>
      </c>
      <c r="G38" s="59">
        <f t="shared" si="21"/>
        <v>110.4915</v>
      </c>
      <c r="H38" s="59">
        <f t="shared" si="22"/>
        <v>92.07625</v>
      </c>
      <c r="I38" s="59">
        <f t="shared" si="23"/>
        <v>4.63725221238938</v>
      </c>
      <c r="J38" s="60">
        <f t="shared" si="24"/>
        <v>0.0515250245821042</v>
      </c>
      <c r="K38" s="57">
        <f t="shared" si="25"/>
        <v>108.325</v>
      </c>
      <c r="L38" s="163">
        <f t="shared" si="26"/>
        <v>0.169166858989153</v>
      </c>
      <c r="M38" s="59">
        <f t="shared" si="27"/>
        <v>18.325</v>
      </c>
      <c r="N38" s="57">
        <f t="shared" si="28"/>
        <v>250.353982300885</v>
      </c>
      <c r="O38" s="57">
        <f t="shared" si="29"/>
        <v>4.75</v>
      </c>
      <c r="P38" s="53">
        <v>3</v>
      </c>
      <c r="Q38" s="62">
        <v>8</v>
      </c>
      <c r="R38" s="63">
        <f t="shared" si="30"/>
        <v>0.133333333333333</v>
      </c>
      <c r="S38" s="60">
        <f t="shared" si="41"/>
        <v>0.0923147934456497</v>
      </c>
      <c r="T38" s="63">
        <f t="shared" si="31"/>
        <v>0.21665</v>
      </c>
      <c r="U38" s="63">
        <v>0.01</v>
      </c>
      <c r="V38" s="63">
        <f t="shared" si="32"/>
        <v>0.347713864306785</v>
      </c>
      <c r="W38" s="63">
        <f t="shared" si="33"/>
        <v>0.0527777777777778</v>
      </c>
      <c r="X38" s="61">
        <v>0.188</v>
      </c>
      <c r="Y38" s="64">
        <v>12</v>
      </c>
      <c r="Z38" s="64">
        <f>F38*0.15</f>
        <v>19.4985</v>
      </c>
      <c r="AA38" s="64">
        <f t="shared" si="34"/>
        <v>0.9</v>
      </c>
      <c r="AB38" s="57">
        <f t="shared" si="35"/>
        <v>16.92</v>
      </c>
      <c r="AC38" s="57">
        <v>249</v>
      </c>
      <c r="AD38" s="65">
        <f t="shared" si="36"/>
        <v>220.353982300885</v>
      </c>
      <c r="AE38" s="62">
        <f t="shared" si="37"/>
        <v>3.75</v>
      </c>
      <c r="AF38" s="63">
        <f t="shared" si="38"/>
        <v>0.306047197640118</v>
      </c>
      <c r="AG38" s="63">
        <f t="shared" si="39"/>
        <v>0.0416666666666667</v>
      </c>
      <c r="AH38" s="62">
        <v>30</v>
      </c>
      <c r="AI38" s="63">
        <f t="shared" ref="AI38:AI50" si="42">(K38-E38+AB38)/(K38-Z38)</f>
        <v>0.396784743291698</v>
      </c>
      <c r="AJ38" s="63"/>
      <c r="AK38" s="63"/>
      <c r="AL38" s="63"/>
      <c r="AM38" s="63"/>
      <c r="AN38" s="66"/>
      <c r="AO38" s="66"/>
      <c r="AP38" s="66"/>
      <c r="AQ38" s="66"/>
      <c r="AR38" s="66"/>
      <c r="AS38" s="66"/>
      <c r="AT38" s="66" t="s">
        <v>600</v>
      </c>
      <c r="AU38" s="66" t="s">
        <v>600</v>
      </c>
      <c r="AV38" s="66" t="s">
        <v>600</v>
      </c>
      <c r="AW38" s="66" t="s">
        <v>600</v>
      </c>
      <c r="AX38" s="66" t="s">
        <v>600</v>
      </c>
      <c r="AY38" s="66" t="s">
        <v>600</v>
      </c>
      <c r="AZ38" s="66" t="s">
        <v>600</v>
      </c>
      <c r="BA38" s="66" t="s">
        <v>600</v>
      </c>
      <c r="BB38" s="66" t="s">
        <v>600</v>
      </c>
      <c r="BC38" s="66" t="s">
        <v>600</v>
      </c>
      <c r="BD38" s="66" t="s">
        <v>600</v>
      </c>
      <c r="BE38" s="66" t="s">
        <v>600</v>
      </c>
      <c r="BF38" s="66" t="s">
        <v>600</v>
      </c>
      <c r="BG38" s="66" t="s">
        <v>600</v>
      </c>
      <c r="BH38" s="66" t="s">
        <v>600</v>
      </c>
      <c r="BI38" s="66" t="s">
        <v>600</v>
      </c>
      <c r="BJ38" s="66" t="s">
        <v>600</v>
      </c>
      <c r="BK38" s="66" t="s">
        <v>600</v>
      </c>
      <c r="BL38" s="66" t="s">
        <v>600</v>
      </c>
      <c r="BM38" s="66" t="s">
        <v>600</v>
      </c>
      <c r="BN38" s="66" t="s">
        <v>600</v>
      </c>
      <c r="BO38" s="66" t="s">
        <v>600</v>
      </c>
      <c r="BP38" s="66" t="s">
        <v>600</v>
      </c>
      <c r="BQ38" s="66" t="s">
        <v>600</v>
      </c>
      <c r="BR38" s="164"/>
      <c r="BS38" s="68" t="s">
        <v>601</v>
      </c>
    </row>
    <row r="39" ht="15.6" spans="1:71">
      <c r="A39" s="53" t="s">
        <v>513</v>
      </c>
      <c r="B39" s="53" t="s">
        <v>91</v>
      </c>
      <c r="C39" s="53" t="s">
        <v>92</v>
      </c>
      <c r="D39" s="168" t="s">
        <v>613</v>
      </c>
      <c r="E39" s="58">
        <v>90</v>
      </c>
      <c r="F39" s="56">
        <v>129.99</v>
      </c>
      <c r="G39" s="59">
        <f t="shared" si="21"/>
        <v>129.99</v>
      </c>
      <c r="H39" s="59">
        <f t="shared" si="22"/>
        <v>108.325</v>
      </c>
      <c r="I39" s="59">
        <f t="shared" si="23"/>
        <v>23.802418879056</v>
      </c>
      <c r="J39" s="60">
        <f t="shared" si="24"/>
        <v>0.264471320878401</v>
      </c>
      <c r="K39" s="57">
        <f t="shared" si="25"/>
        <v>108.325</v>
      </c>
      <c r="L39" s="163">
        <f t="shared" si="26"/>
        <v>0.169166858989153</v>
      </c>
      <c r="M39" s="59">
        <f t="shared" si="27"/>
        <v>18.325</v>
      </c>
      <c r="N39" s="57">
        <f t="shared" si="28"/>
        <v>250.353982300885</v>
      </c>
      <c r="O39" s="57">
        <f t="shared" si="29"/>
        <v>5.08333333333333</v>
      </c>
      <c r="P39" s="53">
        <v>3</v>
      </c>
      <c r="Q39" s="62">
        <v>8</v>
      </c>
      <c r="R39" s="63">
        <f t="shared" si="30"/>
        <v>0.133333333333333</v>
      </c>
      <c r="S39" s="60">
        <f t="shared" si="41"/>
        <v>0.0923147934456497</v>
      </c>
      <c r="T39" s="63">
        <f t="shared" si="31"/>
        <v>0</v>
      </c>
      <c r="U39" s="63">
        <v>0.01</v>
      </c>
      <c r="V39" s="63">
        <f t="shared" si="32"/>
        <v>0.347713864306785</v>
      </c>
      <c r="W39" s="63">
        <f t="shared" si="33"/>
        <v>0.0564814814814815</v>
      </c>
      <c r="X39" s="61">
        <v>0.188</v>
      </c>
      <c r="Y39" s="64">
        <v>12</v>
      </c>
      <c r="Z39" s="64">
        <v>0</v>
      </c>
      <c r="AA39" s="64">
        <f t="shared" si="34"/>
        <v>0.9</v>
      </c>
      <c r="AB39" s="57">
        <f t="shared" si="35"/>
        <v>16.92</v>
      </c>
      <c r="AC39" s="57">
        <v>249</v>
      </c>
      <c r="AD39" s="65">
        <f t="shared" si="36"/>
        <v>220.353982300885</v>
      </c>
      <c r="AE39" s="62">
        <f t="shared" si="37"/>
        <v>3.75</v>
      </c>
      <c r="AF39" s="63">
        <f t="shared" si="38"/>
        <v>0.306047197640118</v>
      </c>
      <c r="AG39" s="63">
        <f t="shared" si="39"/>
        <v>0.0416666666666667</v>
      </c>
      <c r="AH39" s="62">
        <v>30</v>
      </c>
      <c r="AI39" s="60">
        <f t="shared" si="42"/>
        <v>0.325363489499192</v>
      </c>
      <c r="AJ39" s="60"/>
      <c r="AK39" s="60"/>
      <c r="AL39" s="60"/>
      <c r="AM39" s="60"/>
      <c r="AN39" s="66"/>
      <c r="AO39" s="66"/>
      <c r="AP39" s="66"/>
      <c r="AQ39" s="66"/>
      <c r="AR39" s="66"/>
      <c r="AS39" s="66"/>
      <c r="AT39" s="66" t="s">
        <v>600</v>
      </c>
      <c r="AU39" s="66" t="s">
        <v>600</v>
      </c>
      <c r="AV39" s="66" t="s">
        <v>600</v>
      </c>
      <c r="AW39" s="66" t="s">
        <v>600</v>
      </c>
      <c r="AX39" s="66" t="s">
        <v>600</v>
      </c>
      <c r="AY39" s="66" t="s">
        <v>600</v>
      </c>
      <c r="AZ39" s="66" t="s">
        <v>600</v>
      </c>
      <c r="BA39" s="66" t="s">
        <v>600</v>
      </c>
      <c r="BB39" s="66" t="s">
        <v>600</v>
      </c>
      <c r="BC39" s="66" t="s">
        <v>600</v>
      </c>
      <c r="BD39" s="66" t="s">
        <v>600</v>
      </c>
      <c r="BE39" s="66" t="s">
        <v>600</v>
      </c>
      <c r="BF39" s="66" t="s">
        <v>600</v>
      </c>
      <c r="BG39" s="66" t="s">
        <v>600</v>
      </c>
      <c r="BH39" s="66" t="s">
        <v>600</v>
      </c>
      <c r="BI39" s="66" t="s">
        <v>600</v>
      </c>
      <c r="BJ39" s="66" t="s">
        <v>600</v>
      </c>
      <c r="BK39" s="66" t="s">
        <v>600</v>
      </c>
      <c r="BL39" s="66" t="s">
        <v>600</v>
      </c>
      <c r="BM39" s="66" t="s">
        <v>600</v>
      </c>
      <c r="BN39" s="66" t="s">
        <v>600</v>
      </c>
      <c r="BO39" s="66" t="s">
        <v>600</v>
      </c>
      <c r="BP39" s="66" t="s">
        <v>600</v>
      </c>
      <c r="BQ39" s="66" t="s">
        <v>600</v>
      </c>
      <c r="BR39" s="164"/>
      <c r="BS39" s="68" t="s">
        <v>601</v>
      </c>
    </row>
    <row r="40" ht="15.6" spans="1:71">
      <c r="A40" s="53" t="s">
        <v>513</v>
      </c>
      <c r="B40" s="53" t="s">
        <v>91</v>
      </c>
      <c r="C40" s="53" t="s">
        <v>92</v>
      </c>
      <c r="D40" s="168" t="s">
        <v>614</v>
      </c>
      <c r="E40" s="58">
        <v>90</v>
      </c>
      <c r="F40" s="56">
        <v>129.99</v>
      </c>
      <c r="G40" s="59">
        <f t="shared" si="21"/>
        <v>123.4905</v>
      </c>
      <c r="H40" s="59">
        <f t="shared" si="22"/>
        <v>102.90875</v>
      </c>
      <c r="I40" s="59">
        <f t="shared" si="23"/>
        <v>17.302918879056</v>
      </c>
      <c r="J40" s="60">
        <f t="shared" si="24"/>
        <v>0.192254654211734</v>
      </c>
      <c r="K40" s="57">
        <f t="shared" si="25"/>
        <v>108.325</v>
      </c>
      <c r="L40" s="163">
        <f t="shared" si="26"/>
        <v>0.169166858989153</v>
      </c>
      <c r="M40" s="59">
        <f t="shared" si="27"/>
        <v>18.325</v>
      </c>
      <c r="N40" s="57">
        <f t="shared" si="28"/>
        <v>250.353982300885</v>
      </c>
      <c r="O40" s="57">
        <f t="shared" si="29"/>
        <v>5.08333333333333</v>
      </c>
      <c r="P40" s="53">
        <v>3</v>
      </c>
      <c r="Q40" s="62">
        <v>8</v>
      </c>
      <c r="R40" s="63">
        <f t="shared" si="30"/>
        <v>0.133333333333333</v>
      </c>
      <c r="S40" s="60">
        <f t="shared" si="41"/>
        <v>0.0923147934456497</v>
      </c>
      <c r="T40" s="63">
        <f t="shared" si="31"/>
        <v>0.0722166666666667</v>
      </c>
      <c r="U40" s="63">
        <v>0.01</v>
      </c>
      <c r="V40" s="63">
        <f t="shared" si="32"/>
        <v>0.347713864306785</v>
      </c>
      <c r="W40" s="63">
        <f t="shared" si="33"/>
        <v>0.0564814814814815</v>
      </c>
      <c r="X40" s="61">
        <v>0.188</v>
      </c>
      <c r="Y40" s="64">
        <v>12</v>
      </c>
      <c r="Z40" s="64">
        <f>F40*0.05</f>
        <v>6.4995</v>
      </c>
      <c r="AA40" s="64">
        <f t="shared" si="34"/>
        <v>0.9</v>
      </c>
      <c r="AB40" s="57">
        <f t="shared" si="35"/>
        <v>16.92</v>
      </c>
      <c r="AC40" s="57">
        <v>249</v>
      </c>
      <c r="AD40" s="65">
        <f t="shared" si="36"/>
        <v>220.353982300885</v>
      </c>
      <c r="AE40" s="62">
        <f t="shared" si="37"/>
        <v>3.75</v>
      </c>
      <c r="AF40" s="63">
        <f t="shared" si="38"/>
        <v>0.306047197640118</v>
      </c>
      <c r="AG40" s="63">
        <f t="shared" si="39"/>
        <v>0.0416666666666667</v>
      </c>
      <c r="AH40" s="62">
        <v>30</v>
      </c>
      <c r="AI40" s="60">
        <f t="shared" si="42"/>
        <v>0.346131371807651</v>
      </c>
      <c r="AJ40" s="60"/>
      <c r="AK40" s="60"/>
      <c r="AL40" s="60"/>
      <c r="AM40" s="60"/>
      <c r="AN40" s="66"/>
      <c r="AO40" s="66"/>
      <c r="AP40" s="66"/>
      <c r="AQ40" s="66"/>
      <c r="AR40" s="66"/>
      <c r="AS40" s="66"/>
      <c r="AT40" s="66" t="s">
        <v>600</v>
      </c>
      <c r="AU40" s="66" t="s">
        <v>600</v>
      </c>
      <c r="AV40" s="66" t="s">
        <v>600</v>
      </c>
      <c r="AW40" s="66" t="s">
        <v>600</v>
      </c>
      <c r="AX40" s="66" t="s">
        <v>600</v>
      </c>
      <c r="AY40" s="66" t="s">
        <v>600</v>
      </c>
      <c r="AZ40" s="66" t="s">
        <v>600</v>
      </c>
      <c r="BA40" s="66" t="s">
        <v>600</v>
      </c>
      <c r="BB40" s="66" t="s">
        <v>600</v>
      </c>
      <c r="BC40" s="66" t="s">
        <v>600</v>
      </c>
      <c r="BD40" s="66" t="s">
        <v>600</v>
      </c>
      <c r="BE40" s="66" t="s">
        <v>600</v>
      </c>
      <c r="BF40" s="66" t="s">
        <v>600</v>
      </c>
      <c r="BG40" s="66" t="s">
        <v>600</v>
      </c>
      <c r="BH40" s="66" t="s">
        <v>600</v>
      </c>
      <c r="BI40" s="66" t="s">
        <v>600</v>
      </c>
      <c r="BJ40" s="66" t="s">
        <v>600</v>
      </c>
      <c r="BK40" s="66" t="s">
        <v>600</v>
      </c>
      <c r="BL40" s="66" t="s">
        <v>600</v>
      </c>
      <c r="BM40" s="66" t="s">
        <v>600</v>
      </c>
      <c r="BN40" s="66" t="s">
        <v>600</v>
      </c>
      <c r="BO40" s="66" t="s">
        <v>600</v>
      </c>
      <c r="BP40" s="66" t="s">
        <v>600</v>
      </c>
      <c r="BQ40" s="66" t="s">
        <v>600</v>
      </c>
      <c r="BR40" s="164"/>
      <c r="BS40" s="68" t="s">
        <v>601</v>
      </c>
    </row>
    <row r="41" ht="15.6" spans="1:71">
      <c r="A41" s="53" t="s">
        <v>513</v>
      </c>
      <c r="B41" s="53" t="s">
        <v>91</v>
      </c>
      <c r="C41" s="53" t="s">
        <v>92</v>
      </c>
      <c r="D41" s="168" t="s">
        <v>615</v>
      </c>
      <c r="E41" s="58">
        <v>90</v>
      </c>
      <c r="F41" s="56">
        <v>129.99</v>
      </c>
      <c r="G41" s="59">
        <f t="shared" si="21"/>
        <v>116.991</v>
      </c>
      <c r="H41" s="59">
        <f t="shared" si="22"/>
        <v>97.4925</v>
      </c>
      <c r="I41" s="59">
        <f t="shared" si="23"/>
        <v>10.803418879056</v>
      </c>
      <c r="J41" s="60">
        <f t="shared" si="24"/>
        <v>0.120037987545067</v>
      </c>
      <c r="K41" s="57">
        <f t="shared" si="25"/>
        <v>108.325</v>
      </c>
      <c r="L41" s="163">
        <f t="shared" si="26"/>
        <v>0.169166858989153</v>
      </c>
      <c r="M41" s="59">
        <f t="shared" si="27"/>
        <v>18.325</v>
      </c>
      <c r="N41" s="57">
        <f t="shared" si="28"/>
        <v>250.353982300885</v>
      </c>
      <c r="O41" s="57">
        <f t="shared" si="29"/>
        <v>5.08333333333333</v>
      </c>
      <c r="P41" s="53">
        <v>3</v>
      </c>
      <c r="Q41" s="62">
        <v>8</v>
      </c>
      <c r="R41" s="63">
        <f t="shared" si="30"/>
        <v>0.133333333333333</v>
      </c>
      <c r="S41" s="60">
        <f t="shared" si="41"/>
        <v>0.0923147934456497</v>
      </c>
      <c r="T41" s="63">
        <f t="shared" si="31"/>
        <v>0.144433333333333</v>
      </c>
      <c r="U41" s="63">
        <v>0.01</v>
      </c>
      <c r="V41" s="63">
        <f t="shared" si="32"/>
        <v>0.347713864306785</v>
      </c>
      <c r="W41" s="63">
        <f t="shared" si="33"/>
        <v>0.0564814814814815</v>
      </c>
      <c r="X41" s="61">
        <v>0.188</v>
      </c>
      <c r="Y41" s="64">
        <v>12</v>
      </c>
      <c r="Z41" s="64">
        <f>F41*0.1</f>
        <v>12.999</v>
      </c>
      <c r="AA41" s="64">
        <f t="shared" si="34"/>
        <v>0.9</v>
      </c>
      <c r="AB41" s="57">
        <f t="shared" si="35"/>
        <v>16.92</v>
      </c>
      <c r="AC41" s="57">
        <v>249</v>
      </c>
      <c r="AD41" s="65">
        <f t="shared" si="36"/>
        <v>220.353982300885</v>
      </c>
      <c r="AE41" s="62">
        <f t="shared" si="37"/>
        <v>3.75</v>
      </c>
      <c r="AF41" s="63">
        <f t="shared" si="38"/>
        <v>0.306047197640118</v>
      </c>
      <c r="AG41" s="63">
        <f t="shared" si="39"/>
        <v>0.0416666666666667</v>
      </c>
      <c r="AH41" s="62">
        <v>30</v>
      </c>
      <c r="AI41" s="60">
        <f t="shared" si="42"/>
        <v>0.369731238067264</v>
      </c>
      <c r="AJ41" s="60"/>
      <c r="AK41" s="60"/>
      <c r="AL41" s="60"/>
      <c r="AM41" s="60"/>
      <c r="AN41" s="66"/>
      <c r="AO41" s="66"/>
      <c r="AP41" s="66"/>
      <c r="AQ41" s="66"/>
      <c r="AR41" s="66"/>
      <c r="AS41" s="66"/>
      <c r="AT41" s="66" t="s">
        <v>600</v>
      </c>
      <c r="AU41" s="66" t="s">
        <v>600</v>
      </c>
      <c r="AV41" s="66" t="s">
        <v>600</v>
      </c>
      <c r="AW41" s="66" t="s">
        <v>600</v>
      </c>
      <c r="AX41" s="66" t="s">
        <v>600</v>
      </c>
      <c r="AY41" s="66" t="s">
        <v>600</v>
      </c>
      <c r="AZ41" s="66" t="s">
        <v>600</v>
      </c>
      <c r="BA41" s="66" t="s">
        <v>600</v>
      </c>
      <c r="BB41" s="66" t="s">
        <v>600</v>
      </c>
      <c r="BC41" s="66" t="s">
        <v>600</v>
      </c>
      <c r="BD41" s="66" t="s">
        <v>600</v>
      </c>
      <c r="BE41" s="66" t="s">
        <v>600</v>
      </c>
      <c r="BF41" s="66" t="s">
        <v>600</v>
      </c>
      <c r="BG41" s="66" t="s">
        <v>600</v>
      </c>
      <c r="BH41" s="66" t="s">
        <v>600</v>
      </c>
      <c r="BI41" s="66" t="s">
        <v>600</v>
      </c>
      <c r="BJ41" s="66" t="s">
        <v>600</v>
      </c>
      <c r="BK41" s="66" t="s">
        <v>600</v>
      </c>
      <c r="BL41" s="66" t="s">
        <v>600</v>
      </c>
      <c r="BM41" s="66" t="s">
        <v>600</v>
      </c>
      <c r="BN41" s="66" t="s">
        <v>600</v>
      </c>
      <c r="BO41" s="66" t="s">
        <v>600</v>
      </c>
      <c r="BP41" s="66" t="s">
        <v>600</v>
      </c>
      <c r="BQ41" s="66" t="s">
        <v>600</v>
      </c>
      <c r="BR41" s="164"/>
      <c r="BS41" s="68" t="s">
        <v>601</v>
      </c>
    </row>
    <row r="42" ht="15.6" spans="1:71">
      <c r="A42" s="53" t="s">
        <v>513</v>
      </c>
      <c r="B42" s="53" t="s">
        <v>91</v>
      </c>
      <c r="C42" s="53" t="s">
        <v>92</v>
      </c>
      <c r="D42" s="168" t="s">
        <v>616</v>
      </c>
      <c r="E42" s="58">
        <v>90</v>
      </c>
      <c r="F42" s="56">
        <v>129.99</v>
      </c>
      <c r="G42" s="59">
        <f t="shared" si="21"/>
        <v>110.4915</v>
      </c>
      <c r="H42" s="59">
        <f t="shared" si="22"/>
        <v>92.07625</v>
      </c>
      <c r="I42" s="59">
        <f t="shared" si="23"/>
        <v>4.30391887905604</v>
      </c>
      <c r="J42" s="60">
        <f t="shared" si="24"/>
        <v>0.0478213208784005</v>
      </c>
      <c r="K42" s="57">
        <f t="shared" si="25"/>
        <v>108.325</v>
      </c>
      <c r="L42" s="163">
        <f t="shared" si="26"/>
        <v>0.169166858989153</v>
      </c>
      <c r="M42" s="59">
        <f t="shared" si="27"/>
        <v>18.325</v>
      </c>
      <c r="N42" s="57">
        <f t="shared" si="28"/>
        <v>250.353982300885</v>
      </c>
      <c r="O42" s="57">
        <f t="shared" si="29"/>
        <v>5.08333333333333</v>
      </c>
      <c r="P42" s="53">
        <v>3</v>
      </c>
      <c r="Q42" s="62">
        <v>8</v>
      </c>
      <c r="R42" s="63">
        <f t="shared" si="30"/>
        <v>0.133333333333333</v>
      </c>
      <c r="S42" s="60">
        <f t="shared" si="41"/>
        <v>0.0923147934456497</v>
      </c>
      <c r="T42" s="63">
        <f t="shared" si="31"/>
        <v>0.21665</v>
      </c>
      <c r="U42" s="63">
        <v>0.01</v>
      </c>
      <c r="V42" s="63">
        <f t="shared" si="32"/>
        <v>0.347713864306785</v>
      </c>
      <c r="W42" s="63">
        <f t="shared" si="33"/>
        <v>0.0564814814814815</v>
      </c>
      <c r="X42" s="61">
        <v>0.188</v>
      </c>
      <c r="Y42" s="64">
        <v>12</v>
      </c>
      <c r="Z42" s="64">
        <f>F42*0.15</f>
        <v>19.4985</v>
      </c>
      <c r="AA42" s="64">
        <f t="shared" si="34"/>
        <v>0.9</v>
      </c>
      <c r="AB42" s="57">
        <f t="shared" si="35"/>
        <v>16.92</v>
      </c>
      <c r="AC42" s="57">
        <v>249</v>
      </c>
      <c r="AD42" s="65">
        <f t="shared" si="36"/>
        <v>220.353982300885</v>
      </c>
      <c r="AE42" s="62">
        <f t="shared" si="37"/>
        <v>3.75</v>
      </c>
      <c r="AF42" s="63">
        <f t="shared" si="38"/>
        <v>0.306047197640118</v>
      </c>
      <c r="AG42" s="63">
        <f t="shared" si="39"/>
        <v>0.0416666666666667</v>
      </c>
      <c r="AH42" s="62">
        <v>30</v>
      </c>
      <c r="AI42" s="60">
        <f t="shared" si="42"/>
        <v>0.396784743291698</v>
      </c>
      <c r="AJ42" s="60"/>
      <c r="AK42" s="60"/>
      <c r="AL42" s="60"/>
      <c r="AM42" s="60"/>
      <c r="AN42" s="66"/>
      <c r="AO42" s="66"/>
      <c r="AP42" s="66"/>
      <c r="AQ42" s="66"/>
      <c r="AR42" s="66"/>
      <c r="AS42" s="66"/>
      <c r="AT42" s="66" t="s">
        <v>600</v>
      </c>
      <c r="AU42" s="66" t="s">
        <v>600</v>
      </c>
      <c r="AV42" s="66" t="s">
        <v>600</v>
      </c>
      <c r="AW42" s="66" t="s">
        <v>600</v>
      </c>
      <c r="AX42" s="66" t="s">
        <v>600</v>
      </c>
      <c r="AY42" s="66" t="s">
        <v>600</v>
      </c>
      <c r="AZ42" s="66" t="s">
        <v>600</v>
      </c>
      <c r="BA42" s="66" t="s">
        <v>600</v>
      </c>
      <c r="BB42" s="66" t="s">
        <v>600</v>
      </c>
      <c r="BC42" s="66" t="s">
        <v>600</v>
      </c>
      <c r="BD42" s="66" t="s">
        <v>600</v>
      </c>
      <c r="BE42" s="66" t="s">
        <v>600</v>
      </c>
      <c r="BF42" s="66" t="s">
        <v>600</v>
      </c>
      <c r="BG42" s="66" t="s">
        <v>600</v>
      </c>
      <c r="BH42" s="66" t="s">
        <v>600</v>
      </c>
      <c r="BI42" s="66" t="s">
        <v>600</v>
      </c>
      <c r="BJ42" s="66" t="s">
        <v>600</v>
      </c>
      <c r="BK42" s="66" t="s">
        <v>600</v>
      </c>
      <c r="BL42" s="66" t="s">
        <v>600</v>
      </c>
      <c r="BM42" s="66" t="s">
        <v>600</v>
      </c>
      <c r="BN42" s="66" t="s">
        <v>600</v>
      </c>
      <c r="BO42" s="66" t="s">
        <v>600</v>
      </c>
      <c r="BP42" s="66" t="s">
        <v>600</v>
      </c>
      <c r="BQ42" s="66" t="s">
        <v>600</v>
      </c>
      <c r="BR42" s="164"/>
      <c r="BS42" s="68" t="s">
        <v>601</v>
      </c>
    </row>
    <row r="43" ht="15.6" spans="1:71">
      <c r="A43" s="53" t="s">
        <v>516</v>
      </c>
      <c r="B43" s="53" t="s">
        <v>91</v>
      </c>
      <c r="C43" s="53" t="s">
        <v>92</v>
      </c>
      <c r="D43" s="168" t="s">
        <v>613</v>
      </c>
      <c r="E43" s="58">
        <v>90</v>
      </c>
      <c r="F43" s="56">
        <v>129.99</v>
      </c>
      <c r="G43" s="59">
        <f t="shared" si="21"/>
        <v>129.99</v>
      </c>
      <c r="H43" s="59">
        <f t="shared" si="22"/>
        <v>108.325</v>
      </c>
      <c r="I43" s="59">
        <f t="shared" si="23"/>
        <v>22.4690855457227</v>
      </c>
      <c r="J43" s="60">
        <f t="shared" si="24"/>
        <v>0.249656506063586</v>
      </c>
      <c r="K43" s="57">
        <f t="shared" si="25"/>
        <v>108.325</v>
      </c>
      <c r="L43" s="163">
        <f t="shared" si="26"/>
        <v>0.169166858989153</v>
      </c>
      <c r="M43" s="59">
        <f t="shared" si="27"/>
        <v>18.325</v>
      </c>
      <c r="N43" s="57">
        <f t="shared" si="28"/>
        <v>250.353982300885</v>
      </c>
      <c r="O43" s="57">
        <f t="shared" si="29"/>
        <v>6.41666666666667</v>
      </c>
      <c r="P43" s="53">
        <v>3</v>
      </c>
      <c r="Q43" s="62">
        <v>8</v>
      </c>
      <c r="R43" s="63">
        <f t="shared" si="30"/>
        <v>0.133333333333333</v>
      </c>
      <c r="S43" s="60">
        <f t="shared" si="41"/>
        <v>0.0923147934456497</v>
      </c>
      <c r="T43" s="63">
        <f t="shared" si="31"/>
        <v>0</v>
      </c>
      <c r="U43" s="63">
        <v>0.01</v>
      </c>
      <c r="V43" s="63">
        <f t="shared" si="32"/>
        <v>0.347713864306785</v>
      </c>
      <c r="W43" s="63">
        <f t="shared" si="33"/>
        <v>0.0712962962962963</v>
      </c>
      <c r="X43" s="61">
        <v>0.188</v>
      </c>
      <c r="Y43" s="64">
        <v>12</v>
      </c>
      <c r="Z43" s="64">
        <v>0</v>
      </c>
      <c r="AA43" s="64">
        <f t="shared" si="34"/>
        <v>0.9</v>
      </c>
      <c r="AB43" s="57">
        <f t="shared" si="35"/>
        <v>16.92</v>
      </c>
      <c r="AC43" s="57">
        <v>249</v>
      </c>
      <c r="AD43" s="65">
        <f t="shared" si="36"/>
        <v>220.353982300885</v>
      </c>
      <c r="AE43" s="62">
        <f t="shared" si="37"/>
        <v>3.75</v>
      </c>
      <c r="AF43" s="63">
        <f t="shared" si="38"/>
        <v>0.306047197640118</v>
      </c>
      <c r="AG43" s="63">
        <f t="shared" si="39"/>
        <v>0.0416666666666667</v>
      </c>
      <c r="AH43" s="62">
        <v>30</v>
      </c>
      <c r="AI43" s="63">
        <f t="shared" si="42"/>
        <v>0.325363489499192</v>
      </c>
      <c r="AJ43" s="63"/>
      <c r="AK43" s="63"/>
      <c r="AL43" s="63"/>
      <c r="AM43" s="63"/>
      <c r="AN43" s="66"/>
      <c r="AO43" s="66"/>
      <c r="AP43" s="66"/>
      <c r="AQ43" s="66"/>
      <c r="AR43" s="66"/>
      <c r="AS43" s="66"/>
      <c r="AT43" s="66" t="s">
        <v>600</v>
      </c>
      <c r="AU43" s="66" t="s">
        <v>600</v>
      </c>
      <c r="AV43" s="66" t="s">
        <v>600</v>
      </c>
      <c r="AW43" s="66" t="s">
        <v>600</v>
      </c>
      <c r="AX43" s="66" t="s">
        <v>600</v>
      </c>
      <c r="AY43" s="66" t="s">
        <v>600</v>
      </c>
      <c r="AZ43" s="66" t="s">
        <v>600</v>
      </c>
      <c r="BA43" s="66" t="s">
        <v>600</v>
      </c>
      <c r="BB43" s="66" t="s">
        <v>600</v>
      </c>
      <c r="BC43" s="66" t="s">
        <v>600</v>
      </c>
      <c r="BD43" s="66" t="s">
        <v>600</v>
      </c>
      <c r="BE43" s="66" t="s">
        <v>600</v>
      </c>
      <c r="BF43" s="66" t="s">
        <v>600</v>
      </c>
      <c r="BG43" s="66" t="s">
        <v>600</v>
      </c>
      <c r="BH43" s="66" t="s">
        <v>600</v>
      </c>
      <c r="BI43" s="66" t="s">
        <v>600</v>
      </c>
      <c r="BJ43" s="66" t="s">
        <v>600</v>
      </c>
      <c r="BK43" s="66" t="s">
        <v>600</v>
      </c>
      <c r="BL43" s="66" t="s">
        <v>600</v>
      </c>
      <c r="BM43" s="66" t="s">
        <v>600</v>
      </c>
      <c r="BN43" s="66" t="s">
        <v>600</v>
      </c>
      <c r="BO43" s="66" t="s">
        <v>600</v>
      </c>
      <c r="BP43" s="66" t="s">
        <v>600</v>
      </c>
      <c r="BQ43" s="66" t="s">
        <v>600</v>
      </c>
      <c r="BR43" s="164"/>
      <c r="BS43" s="68" t="s">
        <v>601</v>
      </c>
    </row>
    <row r="44" ht="15.6" spans="1:71">
      <c r="A44" s="53" t="s">
        <v>516</v>
      </c>
      <c r="B44" s="53" t="s">
        <v>91</v>
      </c>
      <c r="C44" s="53" t="s">
        <v>92</v>
      </c>
      <c r="D44" s="168" t="s">
        <v>614</v>
      </c>
      <c r="E44" s="58">
        <v>90</v>
      </c>
      <c r="F44" s="56">
        <v>129.99</v>
      </c>
      <c r="G44" s="59">
        <f t="shared" si="21"/>
        <v>123.4905</v>
      </c>
      <c r="H44" s="59">
        <f t="shared" si="22"/>
        <v>102.90875</v>
      </c>
      <c r="I44" s="59">
        <f t="shared" si="23"/>
        <v>15.9695855457227</v>
      </c>
      <c r="J44" s="60">
        <f t="shared" si="24"/>
        <v>0.177439839396919</v>
      </c>
      <c r="K44" s="57">
        <f t="shared" si="25"/>
        <v>108.325</v>
      </c>
      <c r="L44" s="163">
        <f t="shared" si="26"/>
        <v>0.169166858989153</v>
      </c>
      <c r="M44" s="59">
        <f t="shared" si="27"/>
        <v>18.325</v>
      </c>
      <c r="N44" s="57">
        <f t="shared" si="28"/>
        <v>250.353982300885</v>
      </c>
      <c r="O44" s="57">
        <f t="shared" si="29"/>
        <v>6.41666666666667</v>
      </c>
      <c r="P44" s="53">
        <v>3</v>
      </c>
      <c r="Q44" s="62">
        <v>8</v>
      </c>
      <c r="R44" s="63">
        <f t="shared" si="30"/>
        <v>0.133333333333333</v>
      </c>
      <c r="S44" s="60">
        <f t="shared" si="41"/>
        <v>0.0923147934456497</v>
      </c>
      <c r="T44" s="63">
        <f t="shared" si="31"/>
        <v>0.0722166666666667</v>
      </c>
      <c r="U44" s="63">
        <v>0.01</v>
      </c>
      <c r="V44" s="63">
        <f t="shared" si="32"/>
        <v>0.347713864306785</v>
      </c>
      <c r="W44" s="63">
        <f t="shared" si="33"/>
        <v>0.0712962962962963</v>
      </c>
      <c r="X44" s="61">
        <v>0.188</v>
      </c>
      <c r="Y44" s="64">
        <v>12</v>
      </c>
      <c r="Z44" s="64">
        <f>F44*0.05</f>
        <v>6.4995</v>
      </c>
      <c r="AA44" s="64">
        <f t="shared" si="34"/>
        <v>0.9</v>
      </c>
      <c r="AB44" s="57">
        <f t="shared" si="35"/>
        <v>16.92</v>
      </c>
      <c r="AC44" s="57">
        <v>249</v>
      </c>
      <c r="AD44" s="65">
        <f t="shared" si="36"/>
        <v>220.353982300885</v>
      </c>
      <c r="AE44" s="62">
        <f t="shared" si="37"/>
        <v>3.75</v>
      </c>
      <c r="AF44" s="63">
        <f t="shared" si="38"/>
        <v>0.306047197640118</v>
      </c>
      <c r="AG44" s="63">
        <f t="shared" si="39"/>
        <v>0.0416666666666667</v>
      </c>
      <c r="AH44" s="62">
        <v>30</v>
      </c>
      <c r="AI44" s="63">
        <f t="shared" si="42"/>
        <v>0.346131371807651</v>
      </c>
      <c r="AJ44" s="63"/>
      <c r="AK44" s="63"/>
      <c r="AL44" s="63"/>
      <c r="AM44" s="63"/>
      <c r="AN44" s="66"/>
      <c r="AO44" s="66"/>
      <c r="AP44" s="66"/>
      <c r="AQ44" s="66"/>
      <c r="AR44" s="66"/>
      <c r="AS44" s="66"/>
      <c r="AT44" s="66" t="s">
        <v>600</v>
      </c>
      <c r="AU44" s="66" t="s">
        <v>600</v>
      </c>
      <c r="AV44" s="66" t="s">
        <v>600</v>
      </c>
      <c r="AW44" s="66" t="s">
        <v>600</v>
      </c>
      <c r="AX44" s="66" t="s">
        <v>600</v>
      </c>
      <c r="AY44" s="66" t="s">
        <v>600</v>
      </c>
      <c r="AZ44" s="66" t="s">
        <v>600</v>
      </c>
      <c r="BA44" s="66" t="s">
        <v>600</v>
      </c>
      <c r="BB44" s="66" t="s">
        <v>600</v>
      </c>
      <c r="BC44" s="66" t="s">
        <v>600</v>
      </c>
      <c r="BD44" s="66" t="s">
        <v>600</v>
      </c>
      <c r="BE44" s="66" t="s">
        <v>600</v>
      </c>
      <c r="BF44" s="66" t="s">
        <v>600</v>
      </c>
      <c r="BG44" s="66" t="s">
        <v>600</v>
      </c>
      <c r="BH44" s="66" t="s">
        <v>600</v>
      </c>
      <c r="BI44" s="66" t="s">
        <v>600</v>
      </c>
      <c r="BJ44" s="66" t="s">
        <v>600</v>
      </c>
      <c r="BK44" s="66" t="s">
        <v>600</v>
      </c>
      <c r="BL44" s="66" t="s">
        <v>600</v>
      </c>
      <c r="BM44" s="66" t="s">
        <v>600</v>
      </c>
      <c r="BN44" s="66" t="s">
        <v>600</v>
      </c>
      <c r="BO44" s="66" t="s">
        <v>600</v>
      </c>
      <c r="BP44" s="66" t="s">
        <v>600</v>
      </c>
      <c r="BQ44" s="66" t="s">
        <v>600</v>
      </c>
      <c r="BR44" s="164"/>
      <c r="BS44" s="68" t="s">
        <v>601</v>
      </c>
    </row>
    <row r="45" ht="15.6" spans="1:71">
      <c r="A45" s="53" t="s">
        <v>516</v>
      </c>
      <c r="B45" s="53" t="s">
        <v>91</v>
      </c>
      <c r="C45" s="53" t="s">
        <v>92</v>
      </c>
      <c r="D45" s="168" t="s">
        <v>615</v>
      </c>
      <c r="E45" s="58">
        <v>90</v>
      </c>
      <c r="F45" s="56">
        <v>129.99</v>
      </c>
      <c r="G45" s="59">
        <f t="shared" si="21"/>
        <v>116.991</v>
      </c>
      <c r="H45" s="59">
        <f t="shared" si="22"/>
        <v>97.4925</v>
      </c>
      <c r="I45" s="59">
        <f t="shared" si="23"/>
        <v>9.47008554572271</v>
      </c>
      <c r="J45" s="60">
        <f t="shared" si="24"/>
        <v>0.105223172730252</v>
      </c>
      <c r="K45" s="57">
        <f t="shared" si="25"/>
        <v>108.325</v>
      </c>
      <c r="L45" s="163">
        <f t="shared" si="26"/>
        <v>0.169166858989153</v>
      </c>
      <c r="M45" s="59">
        <f t="shared" si="27"/>
        <v>18.325</v>
      </c>
      <c r="N45" s="57">
        <f t="shared" si="28"/>
        <v>250.353982300885</v>
      </c>
      <c r="O45" s="57">
        <f t="shared" si="29"/>
        <v>6.41666666666667</v>
      </c>
      <c r="P45" s="53">
        <v>3</v>
      </c>
      <c r="Q45" s="62">
        <v>8</v>
      </c>
      <c r="R45" s="63">
        <f t="shared" si="30"/>
        <v>0.133333333333333</v>
      </c>
      <c r="S45" s="60">
        <f t="shared" si="41"/>
        <v>0.0923147934456497</v>
      </c>
      <c r="T45" s="63">
        <f t="shared" si="31"/>
        <v>0.144433333333333</v>
      </c>
      <c r="U45" s="63">
        <v>0.01</v>
      </c>
      <c r="V45" s="63">
        <f t="shared" si="32"/>
        <v>0.347713864306785</v>
      </c>
      <c r="W45" s="63">
        <f t="shared" si="33"/>
        <v>0.0712962962962963</v>
      </c>
      <c r="X45" s="61">
        <v>0.188</v>
      </c>
      <c r="Y45" s="64">
        <v>12</v>
      </c>
      <c r="Z45" s="64">
        <f>F45*0.1</f>
        <v>12.999</v>
      </c>
      <c r="AA45" s="64">
        <f t="shared" si="34"/>
        <v>0.9</v>
      </c>
      <c r="AB45" s="57">
        <f t="shared" si="35"/>
        <v>16.92</v>
      </c>
      <c r="AC45" s="57">
        <v>249</v>
      </c>
      <c r="AD45" s="65">
        <f t="shared" si="36"/>
        <v>220.353982300885</v>
      </c>
      <c r="AE45" s="62">
        <f t="shared" si="37"/>
        <v>3.75</v>
      </c>
      <c r="AF45" s="63">
        <f t="shared" si="38"/>
        <v>0.306047197640118</v>
      </c>
      <c r="AG45" s="63">
        <f t="shared" si="39"/>
        <v>0.0416666666666667</v>
      </c>
      <c r="AH45" s="62">
        <v>30</v>
      </c>
      <c r="AI45" s="63">
        <f t="shared" si="42"/>
        <v>0.369731238067264</v>
      </c>
      <c r="AJ45" s="63"/>
      <c r="AK45" s="63"/>
      <c r="AL45" s="63"/>
      <c r="AM45" s="63"/>
      <c r="AN45" s="66"/>
      <c r="AO45" s="66"/>
      <c r="AP45" s="66"/>
      <c r="AQ45" s="66"/>
      <c r="AR45" s="66"/>
      <c r="AS45" s="66"/>
      <c r="AT45" s="66" t="s">
        <v>600</v>
      </c>
      <c r="AU45" s="66" t="s">
        <v>600</v>
      </c>
      <c r="AV45" s="66" t="s">
        <v>600</v>
      </c>
      <c r="AW45" s="66" t="s">
        <v>600</v>
      </c>
      <c r="AX45" s="66" t="s">
        <v>600</v>
      </c>
      <c r="AY45" s="66" t="s">
        <v>600</v>
      </c>
      <c r="AZ45" s="66" t="s">
        <v>600</v>
      </c>
      <c r="BA45" s="66" t="s">
        <v>600</v>
      </c>
      <c r="BB45" s="66" t="s">
        <v>600</v>
      </c>
      <c r="BC45" s="66" t="s">
        <v>600</v>
      </c>
      <c r="BD45" s="66" t="s">
        <v>600</v>
      </c>
      <c r="BE45" s="66" t="s">
        <v>600</v>
      </c>
      <c r="BF45" s="66" t="s">
        <v>600</v>
      </c>
      <c r="BG45" s="66" t="s">
        <v>600</v>
      </c>
      <c r="BH45" s="66" t="s">
        <v>600</v>
      </c>
      <c r="BI45" s="66" t="s">
        <v>600</v>
      </c>
      <c r="BJ45" s="66" t="s">
        <v>600</v>
      </c>
      <c r="BK45" s="66" t="s">
        <v>600</v>
      </c>
      <c r="BL45" s="66" t="s">
        <v>600</v>
      </c>
      <c r="BM45" s="66" t="s">
        <v>600</v>
      </c>
      <c r="BN45" s="66" t="s">
        <v>600</v>
      </c>
      <c r="BO45" s="66" t="s">
        <v>600</v>
      </c>
      <c r="BP45" s="66" t="s">
        <v>600</v>
      </c>
      <c r="BQ45" s="66" t="s">
        <v>600</v>
      </c>
      <c r="BR45" s="164"/>
      <c r="BS45" s="68" t="s">
        <v>601</v>
      </c>
    </row>
    <row r="46" ht="15.6" spans="1:71">
      <c r="A46" s="53" t="s">
        <v>516</v>
      </c>
      <c r="B46" s="53" t="s">
        <v>91</v>
      </c>
      <c r="C46" s="53" t="s">
        <v>92</v>
      </c>
      <c r="D46" s="168" t="s">
        <v>616</v>
      </c>
      <c r="E46" s="58">
        <v>90</v>
      </c>
      <c r="F46" s="56">
        <v>129.99</v>
      </c>
      <c r="G46" s="59">
        <f t="shared" si="21"/>
        <v>110.4915</v>
      </c>
      <c r="H46" s="59">
        <f t="shared" si="22"/>
        <v>92.07625</v>
      </c>
      <c r="I46" s="59">
        <f t="shared" si="23"/>
        <v>2.97058554572271</v>
      </c>
      <c r="J46" s="60">
        <f t="shared" si="24"/>
        <v>0.0330065060635856</v>
      </c>
      <c r="K46" s="57">
        <f t="shared" si="25"/>
        <v>108.325</v>
      </c>
      <c r="L46" s="163">
        <f t="shared" si="26"/>
        <v>0.169166858989153</v>
      </c>
      <c r="M46" s="59">
        <f t="shared" si="27"/>
        <v>18.325</v>
      </c>
      <c r="N46" s="57">
        <f t="shared" si="28"/>
        <v>250.353982300885</v>
      </c>
      <c r="O46" s="57">
        <f t="shared" si="29"/>
        <v>6.41666666666667</v>
      </c>
      <c r="P46" s="53">
        <v>3</v>
      </c>
      <c r="Q46" s="62">
        <v>8</v>
      </c>
      <c r="R46" s="63">
        <f t="shared" si="30"/>
        <v>0.133333333333333</v>
      </c>
      <c r="S46" s="60">
        <f t="shared" si="41"/>
        <v>0.0923147934456497</v>
      </c>
      <c r="T46" s="63">
        <f t="shared" si="31"/>
        <v>0.21665</v>
      </c>
      <c r="U46" s="63">
        <v>0.01</v>
      </c>
      <c r="V46" s="63">
        <f t="shared" si="32"/>
        <v>0.347713864306785</v>
      </c>
      <c r="W46" s="63">
        <f t="shared" si="33"/>
        <v>0.0712962962962963</v>
      </c>
      <c r="X46" s="61">
        <v>0.188</v>
      </c>
      <c r="Y46" s="64">
        <v>12</v>
      </c>
      <c r="Z46" s="64">
        <f>F46*0.15</f>
        <v>19.4985</v>
      </c>
      <c r="AA46" s="64">
        <f t="shared" si="34"/>
        <v>0.9</v>
      </c>
      <c r="AB46" s="57">
        <f t="shared" si="35"/>
        <v>16.92</v>
      </c>
      <c r="AC46" s="57">
        <v>249</v>
      </c>
      <c r="AD46" s="65">
        <f t="shared" si="36"/>
        <v>220.353982300885</v>
      </c>
      <c r="AE46" s="62">
        <f t="shared" si="37"/>
        <v>3.75</v>
      </c>
      <c r="AF46" s="63">
        <f t="shared" si="38"/>
        <v>0.306047197640118</v>
      </c>
      <c r="AG46" s="63">
        <f t="shared" si="39"/>
        <v>0.0416666666666667</v>
      </c>
      <c r="AH46" s="62">
        <v>30</v>
      </c>
      <c r="AI46" s="63">
        <f t="shared" si="42"/>
        <v>0.396784743291698</v>
      </c>
      <c r="AJ46" s="63"/>
      <c r="AK46" s="63"/>
      <c r="AL46" s="63"/>
      <c r="AM46" s="63"/>
      <c r="AN46" s="66"/>
      <c r="AO46" s="66"/>
      <c r="AP46" s="66"/>
      <c r="AQ46" s="66"/>
      <c r="AR46" s="66"/>
      <c r="AS46" s="66"/>
      <c r="AT46" s="66" t="s">
        <v>600</v>
      </c>
      <c r="AU46" s="66" t="s">
        <v>600</v>
      </c>
      <c r="AV46" s="66" t="s">
        <v>600</v>
      </c>
      <c r="AW46" s="66" t="s">
        <v>600</v>
      </c>
      <c r="AX46" s="66" t="s">
        <v>600</v>
      </c>
      <c r="AY46" s="66" t="s">
        <v>600</v>
      </c>
      <c r="AZ46" s="66" t="s">
        <v>600</v>
      </c>
      <c r="BA46" s="66" t="s">
        <v>600</v>
      </c>
      <c r="BB46" s="66" t="s">
        <v>600</v>
      </c>
      <c r="BC46" s="66" t="s">
        <v>600</v>
      </c>
      <c r="BD46" s="66" t="s">
        <v>600</v>
      </c>
      <c r="BE46" s="66" t="s">
        <v>600</v>
      </c>
      <c r="BF46" s="66" t="s">
        <v>600</v>
      </c>
      <c r="BG46" s="66" t="s">
        <v>600</v>
      </c>
      <c r="BH46" s="66" t="s">
        <v>600</v>
      </c>
      <c r="BI46" s="66" t="s">
        <v>600</v>
      </c>
      <c r="BJ46" s="66" t="s">
        <v>600</v>
      </c>
      <c r="BK46" s="66" t="s">
        <v>600</v>
      </c>
      <c r="BL46" s="66" t="s">
        <v>600</v>
      </c>
      <c r="BM46" s="66" t="s">
        <v>600</v>
      </c>
      <c r="BN46" s="66" t="s">
        <v>600</v>
      </c>
      <c r="BO46" s="66" t="s">
        <v>600</v>
      </c>
      <c r="BP46" s="66" t="s">
        <v>600</v>
      </c>
      <c r="BQ46" s="66" t="s">
        <v>600</v>
      </c>
      <c r="BR46" s="164"/>
      <c r="BS46" s="68" t="s">
        <v>601</v>
      </c>
    </row>
    <row r="47" ht="15.6" spans="1:71">
      <c r="A47" s="53" t="s">
        <v>605</v>
      </c>
      <c r="B47" s="53" t="s">
        <v>91</v>
      </c>
      <c r="C47" s="53" t="s">
        <v>92</v>
      </c>
      <c r="D47" s="170" t="s">
        <v>617</v>
      </c>
      <c r="E47" s="58">
        <v>90</v>
      </c>
      <c r="F47" s="56">
        <v>129.99</v>
      </c>
      <c r="G47" s="59">
        <f t="shared" si="21"/>
        <v>129.99</v>
      </c>
      <c r="H47" s="59">
        <f t="shared" si="22"/>
        <v>108.325</v>
      </c>
      <c r="I47" s="59">
        <f t="shared" si="23"/>
        <v>35.302418879056</v>
      </c>
      <c r="J47" s="60">
        <f t="shared" si="24"/>
        <v>0.392249098656178</v>
      </c>
      <c r="K47" s="57">
        <f t="shared" si="25"/>
        <v>108.325</v>
      </c>
      <c r="L47" s="163">
        <f t="shared" si="26"/>
        <v>0.169166858989153</v>
      </c>
      <c r="M47" s="59">
        <f t="shared" si="27"/>
        <v>18.325</v>
      </c>
      <c r="N47" s="57">
        <f t="shared" si="28"/>
        <v>250.353982300885</v>
      </c>
      <c r="O47" s="57">
        <f t="shared" si="29"/>
        <v>5.58333333333333</v>
      </c>
      <c r="P47" s="53">
        <v>3</v>
      </c>
      <c r="Q47" s="62">
        <v>8</v>
      </c>
      <c r="R47" s="63">
        <f t="shared" si="30"/>
        <v>0</v>
      </c>
      <c r="S47" s="60">
        <f t="shared" si="41"/>
        <v>0</v>
      </c>
      <c r="T47" s="63">
        <f t="shared" si="31"/>
        <v>0</v>
      </c>
      <c r="U47" s="63">
        <v>0.01</v>
      </c>
      <c r="V47" s="63">
        <f t="shared" si="32"/>
        <v>0.347713864306785</v>
      </c>
      <c r="W47" s="63">
        <f t="shared" si="33"/>
        <v>0.062037037037037</v>
      </c>
      <c r="X47" s="61">
        <v>0.188</v>
      </c>
      <c r="Y47" s="64">
        <v>0</v>
      </c>
      <c r="Z47" s="64">
        <f>F47*0</f>
        <v>0</v>
      </c>
      <c r="AA47" s="64">
        <f t="shared" si="34"/>
        <v>0.9</v>
      </c>
      <c r="AB47" s="57">
        <f t="shared" si="35"/>
        <v>16.92</v>
      </c>
      <c r="AC47" s="57">
        <v>249</v>
      </c>
      <c r="AD47" s="65">
        <f t="shared" si="36"/>
        <v>220.353982300885</v>
      </c>
      <c r="AE47" s="62">
        <f t="shared" si="37"/>
        <v>3.75</v>
      </c>
      <c r="AF47" s="63">
        <f t="shared" si="38"/>
        <v>0.306047197640118</v>
      </c>
      <c r="AG47" s="63">
        <f t="shared" si="39"/>
        <v>0.0416666666666667</v>
      </c>
      <c r="AH47" s="62">
        <v>30</v>
      </c>
      <c r="AI47" s="63">
        <f t="shared" si="42"/>
        <v>0.325363489499192</v>
      </c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 t="s">
        <v>600</v>
      </c>
      <c r="AU47" s="66" t="s">
        <v>600</v>
      </c>
      <c r="AV47" s="66" t="s">
        <v>600</v>
      </c>
      <c r="AW47" s="66" t="s">
        <v>600</v>
      </c>
      <c r="AX47" s="66" t="s">
        <v>600</v>
      </c>
      <c r="AY47" s="66" t="s">
        <v>600</v>
      </c>
      <c r="AZ47" s="66" t="s">
        <v>600</v>
      </c>
      <c r="BA47" s="66" t="s">
        <v>600</v>
      </c>
      <c r="BB47" s="66" t="s">
        <v>600</v>
      </c>
      <c r="BC47" s="66" t="s">
        <v>600</v>
      </c>
      <c r="BD47" s="66" t="s">
        <v>600</v>
      </c>
      <c r="BE47" s="66" t="s">
        <v>600</v>
      </c>
      <c r="BF47" s="66" t="s">
        <v>600</v>
      </c>
      <c r="BG47" s="66" t="s">
        <v>600</v>
      </c>
      <c r="BH47" s="66" t="s">
        <v>600</v>
      </c>
      <c r="BI47" s="66" t="s">
        <v>600</v>
      </c>
      <c r="BJ47" s="66" t="s">
        <v>600</v>
      </c>
      <c r="BK47" s="66" t="s">
        <v>600</v>
      </c>
      <c r="BL47" s="66" t="s">
        <v>600</v>
      </c>
      <c r="BM47" s="66" t="s">
        <v>600</v>
      </c>
      <c r="BN47" s="66" t="s">
        <v>600</v>
      </c>
      <c r="BO47" s="66" t="s">
        <v>600</v>
      </c>
      <c r="BP47" s="66" t="s">
        <v>600</v>
      </c>
      <c r="BQ47" s="66" t="s">
        <v>600</v>
      </c>
      <c r="BR47" s="70" t="e">
        <f>IF(E47&lt;#REF!,1,0)</f>
        <v>#REF!</v>
      </c>
      <c r="BS47" s="68" t="s">
        <v>601</v>
      </c>
    </row>
    <row r="48" ht="15.6" spans="1:71">
      <c r="A48" s="53" t="s">
        <v>607</v>
      </c>
      <c r="B48" s="53" t="s">
        <v>91</v>
      </c>
      <c r="C48" s="53" t="s">
        <v>92</v>
      </c>
      <c r="D48" s="170" t="s">
        <v>618</v>
      </c>
      <c r="E48" s="58">
        <v>90</v>
      </c>
      <c r="F48" s="56">
        <v>129.99</v>
      </c>
      <c r="G48" s="59">
        <f t="shared" si="21"/>
        <v>129.99</v>
      </c>
      <c r="H48" s="59">
        <f t="shared" si="22"/>
        <v>108.325</v>
      </c>
      <c r="I48" s="59">
        <f t="shared" si="23"/>
        <v>36.202418879056</v>
      </c>
      <c r="J48" s="60">
        <f t="shared" si="24"/>
        <v>0.402249098656178</v>
      </c>
      <c r="K48" s="57">
        <f t="shared" si="25"/>
        <v>108.325</v>
      </c>
      <c r="L48" s="163">
        <f t="shared" si="26"/>
        <v>0.169166858989153</v>
      </c>
      <c r="M48" s="59">
        <f t="shared" si="27"/>
        <v>18.325</v>
      </c>
      <c r="N48" s="57">
        <f t="shared" si="28"/>
        <v>250.353982300885</v>
      </c>
      <c r="O48" s="57">
        <f t="shared" si="29"/>
        <v>4.68333333333333</v>
      </c>
      <c r="P48" s="53">
        <v>3</v>
      </c>
      <c r="Q48" s="62">
        <v>8</v>
      </c>
      <c r="R48" s="63">
        <f t="shared" si="30"/>
        <v>0</v>
      </c>
      <c r="S48" s="60">
        <f t="shared" si="41"/>
        <v>0</v>
      </c>
      <c r="T48" s="63">
        <f t="shared" si="31"/>
        <v>0</v>
      </c>
      <c r="U48" s="63">
        <v>0.01</v>
      </c>
      <c r="V48" s="63">
        <f t="shared" si="32"/>
        <v>0.347713864306785</v>
      </c>
      <c r="W48" s="63">
        <f t="shared" si="33"/>
        <v>0.052037037037037</v>
      </c>
      <c r="X48" s="61">
        <v>0.188</v>
      </c>
      <c r="Y48" s="64">
        <v>0</v>
      </c>
      <c r="Z48" s="64">
        <f>F48*0</f>
        <v>0</v>
      </c>
      <c r="AA48" s="64">
        <f t="shared" si="34"/>
        <v>0.9</v>
      </c>
      <c r="AB48" s="57">
        <f t="shared" si="35"/>
        <v>16.92</v>
      </c>
      <c r="AC48" s="57">
        <v>249</v>
      </c>
      <c r="AD48" s="65">
        <f t="shared" si="36"/>
        <v>220.353982300885</v>
      </c>
      <c r="AE48" s="62">
        <f t="shared" si="37"/>
        <v>3.75</v>
      </c>
      <c r="AF48" s="63">
        <f t="shared" si="38"/>
        <v>0.306047197640118</v>
      </c>
      <c r="AG48" s="63">
        <f t="shared" si="39"/>
        <v>0.0416666666666667</v>
      </c>
      <c r="AH48" s="62">
        <v>30</v>
      </c>
      <c r="AI48" s="63">
        <f t="shared" si="42"/>
        <v>0.325363489499192</v>
      </c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 t="s">
        <v>600</v>
      </c>
      <c r="AU48" s="66" t="s">
        <v>600</v>
      </c>
      <c r="AV48" s="66" t="s">
        <v>600</v>
      </c>
      <c r="AW48" s="66" t="s">
        <v>600</v>
      </c>
      <c r="AX48" s="66" t="s">
        <v>600</v>
      </c>
      <c r="AY48" s="66" t="s">
        <v>600</v>
      </c>
      <c r="AZ48" s="66" t="s">
        <v>600</v>
      </c>
      <c r="BA48" s="66" t="s">
        <v>600</v>
      </c>
      <c r="BB48" s="66" t="s">
        <v>600</v>
      </c>
      <c r="BC48" s="66" t="s">
        <v>600</v>
      </c>
      <c r="BD48" s="66" t="s">
        <v>600</v>
      </c>
      <c r="BE48" s="66" t="s">
        <v>600</v>
      </c>
      <c r="BF48" s="66" t="s">
        <v>600</v>
      </c>
      <c r="BG48" s="66" t="s">
        <v>600</v>
      </c>
      <c r="BH48" s="66" t="s">
        <v>600</v>
      </c>
      <c r="BI48" s="66" t="s">
        <v>600</v>
      </c>
      <c r="BJ48" s="66" t="s">
        <v>600</v>
      </c>
      <c r="BK48" s="66" t="s">
        <v>600</v>
      </c>
      <c r="BL48" s="66" t="s">
        <v>600</v>
      </c>
      <c r="BM48" s="66" t="s">
        <v>600</v>
      </c>
      <c r="BN48" s="66" t="s">
        <v>600</v>
      </c>
      <c r="BO48" s="66" t="s">
        <v>600</v>
      </c>
      <c r="BP48" s="66" t="s">
        <v>600</v>
      </c>
      <c r="BQ48" s="66" t="s">
        <v>600</v>
      </c>
      <c r="BR48" s="70" t="e">
        <f>IF(E48&lt;#REF!,1,0)</f>
        <v>#REF!</v>
      </c>
      <c r="BS48" s="68" t="s">
        <v>601</v>
      </c>
    </row>
    <row r="49" ht="15.6" spans="1:71">
      <c r="A49" s="53" t="s">
        <v>609</v>
      </c>
      <c r="B49" s="53" t="s">
        <v>91</v>
      </c>
      <c r="C49" s="53" t="s">
        <v>92</v>
      </c>
      <c r="D49" s="170" t="s">
        <v>619</v>
      </c>
      <c r="E49" s="58">
        <v>90</v>
      </c>
      <c r="F49" s="56">
        <v>129.99</v>
      </c>
      <c r="G49" s="59">
        <f t="shared" si="21"/>
        <v>129.99</v>
      </c>
      <c r="H49" s="59">
        <f t="shared" si="22"/>
        <v>108.325</v>
      </c>
      <c r="I49" s="59">
        <f t="shared" si="23"/>
        <v>34.802418879056</v>
      </c>
      <c r="J49" s="60">
        <f t="shared" si="24"/>
        <v>0.386693543100623</v>
      </c>
      <c r="K49" s="57">
        <f t="shared" si="25"/>
        <v>108.325</v>
      </c>
      <c r="L49" s="163">
        <f t="shared" si="26"/>
        <v>0.169166858989153</v>
      </c>
      <c r="M49" s="59">
        <f t="shared" si="27"/>
        <v>18.325</v>
      </c>
      <c r="N49" s="57">
        <f t="shared" si="28"/>
        <v>250.353982300885</v>
      </c>
      <c r="O49" s="57">
        <f t="shared" si="29"/>
        <v>6.08333333333333</v>
      </c>
      <c r="P49" s="53">
        <v>3</v>
      </c>
      <c r="Q49" s="62">
        <v>8</v>
      </c>
      <c r="R49" s="63">
        <f t="shared" si="30"/>
        <v>0</v>
      </c>
      <c r="S49" s="60">
        <f t="shared" si="41"/>
        <v>0</v>
      </c>
      <c r="T49" s="63">
        <f t="shared" si="31"/>
        <v>0</v>
      </c>
      <c r="U49" s="63">
        <v>0.01</v>
      </c>
      <c r="V49" s="63">
        <f t="shared" si="32"/>
        <v>0.347713864306785</v>
      </c>
      <c r="W49" s="63">
        <f t="shared" si="33"/>
        <v>0.0675925925925926</v>
      </c>
      <c r="X49" s="61">
        <v>0.188</v>
      </c>
      <c r="Y49" s="64">
        <v>0</v>
      </c>
      <c r="Z49" s="64">
        <f>F49*0</f>
        <v>0</v>
      </c>
      <c r="AA49" s="64">
        <f t="shared" si="34"/>
        <v>0.9</v>
      </c>
      <c r="AB49" s="57">
        <f t="shared" si="35"/>
        <v>16.92</v>
      </c>
      <c r="AC49" s="57">
        <v>249</v>
      </c>
      <c r="AD49" s="65">
        <f t="shared" si="36"/>
        <v>220.353982300885</v>
      </c>
      <c r="AE49" s="62">
        <f t="shared" si="37"/>
        <v>3.75</v>
      </c>
      <c r="AF49" s="63">
        <f t="shared" si="38"/>
        <v>0.306047197640118</v>
      </c>
      <c r="AG49" s="63">
        <f t="shared" si="39"/>
        <v>0.0416666666666667</v>
      </c>
      <c r="AH49" s="62">
        <v>30</v>
      </c>
      <c r="AI49" s="63">
        <f t="shared" si="42"/>
        <v>0.325363489499192</v>
      </c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 t="s">
        <v>600</v>
      </c>
      <c r="AU49" s="66" t="s">
        <v>600</v>
      </c>
      <c r="AV49" s="66" t="s">
        <v>600</v>
      </c>
      <c r="AW49" s="66" t="s">
        <v>600</v>
      </c>
      <c r="AX49" s="66" t="s">
        <v>600</v>
      </c>
      <c r="AY49" s="66" t="s">
        <v>600</v>
      </c>
      <c r="AZ49" s="66" t="s">
        <v>600</v>
      </c>
      <c r="BA49" s="66" t="s">
        <v>600</v>
      </c>
      <c r="BB49" s="66" t="s">
        <v>600</v>
      </c>
      <c r="BC49" s="66" t="s">
        <v>600</v>
      </c>
      <c r="BD49" s="66" t="s">
        <v>600</v>
      </c>
      <c r="BE49" s="66" t="s">
        <v>600</v>
      </c>
      <c r="BF49" s="66" t="s">
        <v>600</v>
      </c>
      <c r="BG49" s="66" t="s">
        <v>600</v>
      </c>
      <c r="BH49" s="66" t="s">
        <v>600</v>
      </c>
      <c r="BI49" s="66" t="s">
        <v>600</v>
      </c>
      <c r="BJ49" s="66" t="s">
        <v>600</v>
      </c>
      <c r="BK49" s="66" t="s">
        <v>600</v>
      </c>
      <c r="BL49" s="66" t="s">
        <v>600</v>
      </c>
      <c r="BM49" s="66" t="s">
        <v>600</v>
      </c>
      <c r="BN49" s="66" t="s">
        <v>600</v>
      </c>
      <c r="BO49" s="66" t="s">
        <v>600</v>
      </c>
      <c r="BP49" s="66" t="s">
        <v>600</v>
      </c>
      <c r="BQ49" s="66" t="s">
        <v>600</v>
      </c>
      <c r="BR49" s="70" t="e">
        <f>IF(E49&lt;#REF!,1,0)</f>
        <v>#REF!</v>
      </c>
      <c r="BS49" s="68" t="s">
        <v>601</v>
      </c>
    </row>
    <row r="50" ht="15.6" spans="1:71">
      <c r="A50" s="53" t="s">
        <v>611</v>
      </c>
      <c r="B50" s="53" t="s">
        <v>91</v>
      </c>
      <c r="C50" s="53" t="s">
        <v>92</v>
      </c>
      <c r="D50" s="170" t="s">
        <v>620</v>
      </c>
      <c r="E50" s="58">
        <v>90</v>
      </c>
      <c r="F50" s="56">
        <v>129.99</v>
      </c>
      <c r="G50" s="59">
        <f t="shared" si="21"/>
        <v>129.99</v>
      </c>
      <c r="H50" s="59">
        <f t="shared" si="22"/>
        <v>108.325</v>
      </c>
      <c r="I50" s="59">
        <f t="shared" si="23"/>
        <v>36.1357522123894</v>
      </c>
      <c r="J50" s="60">
        <f t="shared" si="24"/>
        <v>0.401508357915438</v>
      </c>
      <c r="K50" s="57">
        <f t="shared" si="25"/>
        <v>108.325</v>
      </c>
      <c r="L50" s="163">
        <f t="shared" si="26"/>
        <v>0.169166858989153</v>
      </c>
      <c r="M50" s="59">
        <f t="shared" si="27"/>
        <v>18.325</v>
      </c>
      <c r="N50" s="57">
        <f t="shared" si="28"/>
        <v>250.353982300885</v>
      </c>
      <c r="O50" s="57">
        <f t="shared" si="29"/>
        <v>4.75</v>
      </c>
      <c r="P50" s="53">
        <v>3</v>
      </c>
      <c r="Q50" s="62">
        <v>8</v>
      </c>
      <c r="R50" s="63">
        <f t="shared" si="30"/>
        <v>0</v>
      </c>
      <c r="S50" s="60">
        <f t="shared" si="41"/>
        <v>0</v>
      </c>
      <c r="T50" s="63">
        <f t="shared" si="31"/>
        <v>0</v>
      </c>
      <c r="U50" s="63">
        <v>0.01</v>
      </c>
      <c r="V50" s="63">
        <f t="shared" si="32"/>
        <v>0.347713864306785</v>
      </c>
      <c r="W50" s="63">
        <f t="shared" si="33"/>
        <v>0.0527777777777778</v>
      </c>
      <c r="X50" s="61">
        <v>0.188</v>
      </c>
      <c r="Y50" s="64">
        <v>0</v>
      </c>
      <c r="Z50" s="64">
        <f>F50*0</f>
        <v>0</v>
      </c>
      <c r="AA50" s="64">
        <f t="shared" si="34"/>
        <v>0.9</v>
      </c>
      <c r="AB50" s="57">
        <f t="shared" si="35"/>
        <v>16.92</v>
      </c>
      <c r="AC50" s="57">
        <v>249</v>
      </c>
      <c r="AD50" s="65">
        <f t="shared" si="36"/>
        <v>220.353982300885</v>
      </c>
      <c r="AE50" s="62">
        <f t="shared" si="37"/>
        <v>3.75</v>
      </c>
      <c r="AF50" s="63">
        <f t="shared" si="38"/>
        <v>0.306047197640118</v>
      </c>
      <c r="AG50" s="63">
        <f t="shared" si="39"/>
        <v>0.0416666666666667</v>
      </c>
      <c r="AH50" s="62">
        <v>30</v>
      </c>
      <c r="AI50" s="63">
        <f t="shared" si="42"/>
        <v>0.325363489499192</v>
      </c>
      <c r="AJ50" s="63"/>
      <c r="AK50" s="63"/>
      <c r="AL50" s="63"/>
      <c r="AM50" s="63"/>
      <c r="AN50" s="66"/>
      <c r="AO50" s="66"/>
      <c r="AP50" s="66"/>
      <c r="AQ50" s="66"/>
      <c r="AR50" s="66"/>
      <c r="AS50" s="66"/>
      <c r="AT50" s="66" t="s">
        <v>600</v>
      </c>
      <c r="AU50" s="66" t="s">
        <v>600</v>
      </c>
      <c r="AV50" s="66" t="s">
        <v>600</v>
      </c>
      <c r="AW50" s="66" t="s">
        <v>600</v>
      </c>
      <c r="AX50" s="66" t="s">
        <v>600</v>
      </c>
      <c r="AY50" s="66" t="s">
        <v>600</v>
      </c>
      <c r="AZ50" s="66" t="s">
        <v>600</v>
      </c>
      <c r="BA50" s="66" t="s">
        <v>600</v>
      </c>
      <c r="BB50" s="66" t="s">
        <v>600</v>
      </c>
      <c r="BC50" s="66" t="s">
        <v>600</v>
      </c>
      <c r="BD50" s="66" t="s">
        <v>600</v>
      </c>
      <c r="BE50" s="66" t="s">
        <v>600</v>
      </c>
      <c r="BF50" s="66" t="s">
        <v>600</v>
      </c>
      <c r="BG50" s="66" t="s">
        <v>600</v>
      </c>
      <c r="BH50" s="66" t="s">
        <v>600</v>
      </c>
      <c r="BI50" s="66" t="s">
        <v>600</v>
      </c>
      <c r="BJ50" s="66" t="s">
        <v>600</v>
      </c>
      <c r="BK50" s="66" t="s">
        <v>600</v>
      </c>
      <c r="BL50" s="66" t="s">
        <v>600</v>
      </c>
      <c r="BM50" s="66" t="s">
        <v>600</v>
      </c>
      <c r="BN50" s="66" t="s">
        <v>600</v>
      </c>
      <c r="BO50" s="66" t="s">
        <v>600</v>
      </c>
      <c r="BP50" s="66" t="s">
        <v>600</v>
      </c>
      <c r="BQ50" s="66" t="s">
        <v>600</v>
      </c>
      <c r="BR50" s="70" t="e">
        <f>IF(E50&lt;#REF!,1,0)</f>
        <v>#REF!</v>
      </c>
      <c r="BS50" s="68" t="s">
        <v>601</v>
      </c>
    </row>
    <row r="51" ht="15.6" spans="1:71">
      <c r="E51" s="57"/>
      <c r="F51" s="69"/>
      <c r="G51" s="59"/>
      <c r="H51" s="59"/>
      <c r="I51" s="59"/>
      <c r="J51" s="60"/>
      <c r="K51" s="57"/>
      <c r="L51" s="57"/>
      <c r="M51" s="57"/>
      <c r="N51" s="57"/>
      <c r="O51" s="57"/>
      <c r="P51" s="53"/>
      <c r="Q51" s="62"/>
      <c r="R51" s="63"/>
      <c r="S51" s="60"/>
      <c r="T51" s="63"/>
      <c r="U51" s="63"/>
      <c r="V51" s="63"/>
      <c r="W51" s="63"/>
      <c r="X51" s="61"/>
      <c r="Y51" s="64"/>
      <c r="Z51" s="64"/>
      <c r="AA51" s="64"/>
      <c r="AB51" s="57"/>
      <c r="AC51" s="57"/>
      <c r="AD51" s="65"/>
      <c r="AE51" s="62"/>
      <c r="AF51" s="63"/>
      <c r="AG51" s="63"/>
      <c r="AH51" s="62"/>
      <c r="AI51" s="63"/>
      <c r="AJ51" s="63"/>
      <c r="AK51" s="63"/>
      <c r="AL51" s="63"/>
      <c r="AM51" s="63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70"/>
      <c r="BS51" s="68"/>
    </row>
    <row r="52" ht="15.6" spans="1:71">
      <c r="A52" s="53" t="s">
        <v>300</v>
      </c>
      <c r="B52" s="53" t="s">
        <v>66</v>
      </c>
      <c r="C52" s="171" t="s">
        <v>67</v>
      </c>
      <c r="D52" s="162" t="s">
        <v>621</v>
      </c>
      <c r="E52" s="172">
        <v>24.5</v>
      </c>
      <c r="F52" s="173">
        <v>34.99</v>
      </c>
      <c r="G52" s="59">
        <f t="shared" ref="G52:G75" si="43">(F52-Z52)</f>
        <v>34.99</v>
      </c>
      <c r="H52" s="59">
        <f t="shared" ref="H52:H75" si="44">(F52-Z52)/1.2</f>
        <v>29.1583333333333</v>
      </c>
      <c r="I52" s="59">
        <f t="shared" ref="I52:I75" si="45">E52-N52/Q52-AB52-Y52-O52-Z52-AA52</f>
        <v>3.5062418879056</v>
      </c>
      <c r="J52" s="60">
        <f t="shared" ref="J52:J75" si="46">I52/E52</f>
        <v>0.143111913792065</v>
      </c>
      <c r="K52" s="57">
        <f t="shared" ref="K52:K75" si="47">F52/1.2</f>
        <v>29.1583333333333</v>
      </c>
      <c r="L52" s="163">
        <f t="shared" ref="L52:L75" si="48">(K52-E52)/K52</f>
        <v>0.159759931408974</v>
      </c>
      <c r="M52" s="59">
        <f t="shared" ref="M52:M75" si="49">F52/1.2-E52</f>
        <v>4.65833333333333</v>
      </c>
      <c r="N52" s="57">
        <f t="shared" ref="N52:N75" si="50">AD52+AH52</f>
        <v>93.5398230088496</v>
      </c>
      <c r="O52" s="57">
        <f t="shared" ref="O52:O75" si="51">IFERROR(IF(A52="UK",8.95/P52,IF(A52="DE",7.75/P52,IF(A52="FR",14.25/P52,IF(A52="IT",15.25/P52,IF(A52="ES",19.25/P52,IF(A52="NL",16.75/P52,IF(A52="PL",14.05/P52,IF(A52="SE",18.25/P52,IF(A52="BE",14.25/P52))))))))),0)</f>
        <v>0.994444444444444</v>
      </c>
      <c r="P52" s="68">
        <v>9</v>
      </c>
      <c r="Q52" s="62">
        <v>9</v>
      </c>
      <c r="R52" s="63">
        <f t="shared" ref="R52:R75" si="52">Y52/E52</f>
        <v>0.204081632653061</v>
      </c>
      <c r="S52" s="60">
        <f t="shared" ref="S52:S75" si="53">Y52/F52</f>
        <v>0.142897970848814</v>
      </c>
      <c r="T52" s="63">
        <v>0.05</v>
      </c>
      <c r="U52" s="63">
        <v>0.01</v>
      </c>
      <c r="V52" s="63">
        <f t="shared" ref="V52:V75" si="54">N52/(E52*Q52)</f>
        <v>0.424216884393876</v>
      </c>
      <c r="W52" s="63">
        <f t="shared" ref="W52:W75" si="55">O52/E52</f>
        <v>0.0405895691609977</v>
      </c>
      <c r="X52" s="61">
        <v>0.178</v>
      </c>
      <c r="Y52" s="64">
        <v>5</v>
      </c>
      <c r="Z52" s="64">
        <v>0</v>
      </c>
      <c r="AA52" s="64">
        <f t="shared" ref="AA52:AA75" si="56">E52*U52</f>
        <v>0.245</v>
      </c>
      <c r="AB52" s="57">
        <f t="shared" ref="AB52:AB75" si="57">E52*X52</f>
        <v>4.361</v>
      </c>
      <c r="AC52" s="57">
        <v>94.4</v>
      </c>
      <c r="AD52" s="65">
        <f t="shared" ref="AD52:AD75" si="58">AC52/1.13</f>
        <v>83.5398230088496</v>
      </c>
      <c r="AE52" s="62">
        <f>11.1/8.5</f>
        <v>1.30588235294118</v>
      </c>
      <c r="AF52" s="63">
        <f t="shared" ref="AF52:AF75" si="59">AD52/(E52*Q52)</f>
        <v>0.378865410470973</v>
      </c>
      <c r="AG52" s="63">
        <f t="shared" ref="AG52:AG75" si="60">AE52/Q52/E52</f>
        <v>0.00592236894757903</v>
      </c>
      <c r="AH52" s="62">
        <v>10</v>
      </c>
      <c r="AI52" s="60">
        <f t="shared" ref="AI52:AI75" si="61">(K52-E52+AB52)/(K52-Z52)</f>
        <v>0.309322663618177</v>
      </c>
      <c r="AJ52" s="63"/>
      <c r="AK52" s="63"/>
      <c r="AL52" s="63"/>
      <c r="AM52" s="63"/>
      <c r="AN52" s="66"/>
      <c r="AO52" s="66"/>
      <c r="AP52" s="66"/>
      <c r="AQ52" s="66"/>
      <c r="AR52" s="66"/>
      <c r="AS52" s="66"/>
      <c r="AT52" s="66" t="s">
        <v>600</v>
      </c>
      <c r="AU52" s="66" t="s">
        <v>600</v>
      </c>
      <c r="AV52" s="66" t="s">
        <v>600</v>
      </c>
      <c r="AW52" s="66" t="s">
        <v>600</v>
      </c>
      <c r="AX52" s="66" t="s">
        <v>600</v>
      </c>
      <c r="AY52" s="66" t="s">
        <v>600</v>
      </c>
      <c r="AZ52" s="66" t="s">
        <v>600</v>
      </c>
      <c r="BA52" s="66" t="s">
        <v>600</v>
      </c>
      <c r="BB52" s="66" t="s">
        <v>600</v>
      </c>
      <c r="BC52" s="66" t="s">
        <v>600</v>
      </c>
      <c r="BD52" s="66" t="s">
        <v>600</v>
      </c>
      <c r="BE52" s="66" t="s">
        <v>600</v>
      </c>
      <c r="BF52" s="66" t="s">
        <v>600</v>
      </c>
      <c r="BG52" s="66" t="s">
        <v>600</v>
      </c>
      <c r="BH52" s="66" t="s">
        <v>600</v>
      </c>
      <c r="BI52" s="66" t="s">
        <v>600</v>
      </c>
      <c r="BJ52" s="66" t="s">
        <v>600</v>
      </c>
      <c r="BK52" s="66" t="s">
        <v>600</v>
      </c>
      <c r="BL52" s="66" t="s">
        <v>600</v>
      </c>
      <c r="BM52" s="66" t="s">
        <v>600</v>
      </c>
      <c r="BN52" s="66" t="s">
        <v>600</v>
      </c>
      <c r="BO52" s="66" t="s">
        <v>600</v>
      </c>
      <c r="BP52" s="66" t="s">
        <v>600</v>
      </c>
      <c r="BQ52" s="66" t="s">
        <v>600</v>
      </c>
      <c r="BR52" s="70" t="e">
        <f>IF(E52&lt;#REF!,1,0)</f>
        <v>#REF!</v>
      </c>
      <c r="BS52" s="68" t="s">
        <v>601</v>
      </c>
    </row>
    <row r="53" ht="15.6" spans="1:71">
      <c r="A53" s="53" t="s">
        <v>300</v>
      </c>
      <c r="B53" s="53" t="s">
        <v>66</v>
      </c>
      <c r="C53" s="171" t="s">
        <v>67</v>
      </c>
      <c r="D53" s="162" t="s">
        <v>622</v>
      </c>
      <c r="E53" s="172">
        <v>24.5</v>
      </c>
      <c r="F53" s="173">
        <v>34.99</v>
      </c>
      <c r="G53" s="59">
        <f t="shared" si="43"/>
        <v>33.2405</v>
      </c>
      <c r="H53" s="59">
        <f t="shared" si="44"/>
        <v>27.7004166666667</v>
      </c>
      <c r="I53" s="59">
        <f t="shared" si="45"/>
        <v>1.7567418879056</v>
      </c>
      <c r="J53" s="60">
        <f t="shared" si="46"/>
        <v>0.0717037505267593</v>
      </c>
      <c r="K53" s="57">
        <f t="shared" si="47"/>
        <v>29.1583333333333</v>
      </c>
      <c r="L53" s="163">
        <f t="shared" si="48"/>
        <v>0.159759931408974</v>
      </c>
      <c r="M53" s="59">
        <f t="shared" si="49"/>
        <v>4.65833333333333</v>
      </c>
      <c r="N53" s="57">
        <f t="shared" si="50"/>
        <v>93.5398230088496</v>
      </c>
      <c r="O53" s="57">
        <f t="shared" si="51"/>
        <v>0.994444444444444</v>
      </c>
      <c r="P53" s="53">
        <v>9</v>
      </c>
      <c r="Q53" s="62">
        <v>9</v>
      </c>
      <c r="R53" s="63">
        <f t="shared" si="52"/>
        <v>0.204081632653061</v>
      </c>
      <c r="S53" s="60">
        <f t="shared" si="53"/>
        <v>0.142897970848814</v>
      </c>
      <c r="T53" s="63">
        <v>0.05</v>
      </c>
      <c r="U53" s="63">
        <v>0.01</v>
      </c>
      <c r="V53" s="63">
        <f t="shared" si="54"/>
        <v>0.424216884393876</v>
      </c>
      <c r="W53" s="63">
        <f t="shared" si="55"/>
        <v>0.0405895691609977</v>
      </c>
      <c r="X53" s="61">
        <v>0.178</v>
      </c>
      <c r="Y53" s="64">
        <v>5</v>
      </c>
      <c r="Z53" s="64">
        <f>F53*0.05</f>
        <v>1.7495</v>
      </c>
      <c r="AA53" s="64">
        <f t="shared" si="56"/>
        <v>0.245</v>
      </c>
      <c r="AB53" s="57">
        <f t="shared" si="57"/>
        <v>4.361</v>
      </c>
      <c r="AC53" s="57">
        <v>94.4</v>
      </c>
      <c r="AD53" s="65">
        <f t="shared" si="58"/>
        <v>83.5398230088496</v>
      </c>
      <c r="AE53" s="62">
        <f>11.1/8.5</f>
        <v>1.30588235294118</v>
      </c>
      <c r="AF53" s="63">
        <f t="shared" si="59"/>
        <v>0.378865410470973</v>
      </c>
      <c r="AG53" s="63">
        <f t="shared" si="60"/>
        <v>0.00592236894757903</v>
      </c>
      <c r="AH53" s="62">
        <v>10</v>
      </c>
      <c r="AI53" s="60">
        <f t="shared" si="61"/>
        <v>0.329066663423592</v>
      </c>
      <c r="AJ53" s="63"/>
      <c r="AK53" s="63"/>
      <c r="AL53" s="63"/>
      <c r="AM53" s="63"/>
      <c r="AN53" s="66"/>
      <c r="AO53" s="66"/>
      <c r="AP53" s="66"/>
      <c r="AQ53" s="66"/>
      <c r="AR53" s="66"/>
      <c r="AS53" s="66"/>
      <c r="AT53" s="66" t="s">
        <v>600</v>
      </c>
      <c r="AU53" s="66" t="s">
        <v>600</v>
      </c>
      <c r="AV53" s="66" t="s">
        <v>600</v>
      </c>
      <c r="AW53" s="66" t="s">
        <v>600</v>
      </c>
      <c r="AX53" s="66" t="s">
        <v>600</v>
      </c>
      <c r="AY53" s="66" t="s">
        <v>600</v>
      </c>
      <c r="AZ53" s="66" t="s">
        <v>600</v>
      </c>
      <c r="BA53" s="66" t="s">
        <v>600</v>
      </c>
      <c r="BB53" s="66" t="s">
        <v>600</v>
      </c>
      <c r="BC53" s="66" t="s">
        <v>600</v>
      </c>
      <c r="BD53" s="66" t="s">
        <v>600</v>
      </c>
      <c r="BE53" s="66" t="s">
        <v>600</v>
      </c>
      <c r="BF53" s="66" t="s">
        <v>600</v>
      </c>
      <c r="BG53" s="66" t="s">
        <v>600</v>
      </c>
      <c r="BH53" s="66" t="s">
        <v>600</v>
      </c>
      <c r="BI53" s="66" t="s">
        <v>600</v>
      </c>
      <c r="BJ53" s="66" t="s">
        <v>600</v>
      </c>
      <c r="BK53" s="66" t="s">
        <v>600</v>
      </c>
      <c r="BL53" s="66" t="s">
        <v>600</v>
      </c>
      <c r="BM53" s="66" t="s">
        <v>600</v>
      </c>
      <c r="BN53" s="66" t="s">
        <v>600</v>
      </c>
      <c r="BO53" s="66" t="s">
        <v>600</v>
      </c>
      <c r="BP53" s="66" t="s">
        <v>600</v>
      </c>
      <c r="BQ53" s="66" t="s">
        <v>600</v>
      </c>
      <c r="BR53" s="70" t="e">
        <f>IF(E53&lt;#REF!,1,0)</f>
        <v>#REF!</v>
      </c>
      <c r="BS53" s="68" t="s">
        <v>601</v>
      </c>
    </row>
    <row r="54" ht="15.6" spans="1:71">
      <c r="A54" s="53" t="s">
        <v>300</v>
      </c>
      <c r="B54" s="53" t="s">
        <v>66</v>
      </c>
      <c r="C54" s="171" t="s">
        <v>67</v>
      </c>
      <c r="D54" s="162" t="s">
        <v>623</v>
      </c>
      <c r="E54" s="172">
        <v>24.5</v>
      </c>
      <c r="F54" s="173">
        <v>34.99</v>
      </c>
      <c r="G54" s="59">
        <f t="shared" si="43"/>
        <v>31.491</v>
      </c>
      <c r="H54" s="59">
        <f t="shared" si="44"/>
        <v>26.2425</v>
      </c>
      <c r="I54" s="59">
        <f t="shared" si="45"/>
        <v>0.0072418879056021</v>
      </c>
      <c r="J54" s="60">
        <f t="shared" si="46"/>
        <v>0.000295587261453147</v>
      </c>
      <c r="K54" s="57">
        <f t="shared" si="47"/>
        <v>29.1583333333333</v>
      </c>
      <c r="L54" s="163">
        <f t="shared" si="48"/>
        <v>0.159759931408974</v>
      </c>
      <c r="M54" s="59">
        <f t="shared" si="49"/>
        <v>4.65833333333333</v>
      </c>
      <c r="N54" s="57">
        <f t="shared" si="50"/>
        <v>93.5398230088496</v>
      </c>
      <c r="O54" s="57">
        <f t="shared" si="51"/>
        <v>0.994444444444444</v>
      </c>
      <c r="P54" s="53">
        <v>9</v>
      </c>
      <c r="Q54" s="62">
        <v>9</v>
      </c>
      <c r="R54" s="63">
        <f t="shared" si="52"/>
        <v>0.204081632653061</v>
      </c>
      <c r="S54" s="60">
        <f t="shared" si="53"/>
        <v>0.142897970848814</v>
      </c>
      <c r="T54" s="63">
        <v>0.05</v>
      </c>
      <c r="U54" s="63">
        <v>0.01</v>
      </c>
      <c r="V54" s="63">
        <f t="shared" si="54"/>
        <v>0.424216884393876</v>
      </c>
      <c r="W54" s="63">
        <f t="shared" si="55"/>
        <v>0.0405895691609977</v>
      </c>
      <c r="X54" s="61">
        <v>0.178</v>
      </c>
      <c r="Y54" s="64">
        <v>5</v>
      </c>
      <c r="Z54" s="64">
        <f>F54*0.1</f>
        <v>3.499</v>
      </c>
      <c r="AA54" s="64">
        <f t="shared" si="56"/>
        <v>0.245</v>
      </c>
      <c r="AB54" s="57">
        <f t="shared" si="57"/>
        <v>4.361</v>
      </c>
      <c r="AC54" s="57">
        <v>94.4</v>
      </c>
      <c r="AD54" s="65">
        <f t="shared" si="58"/>
        <v>83.5398230088496</v>
      </c>
      <c r="AE54" s="62">
        <f>11.1/8.5</f>
        <v>1.30588235294118</v>
      </c>
      <c r="AF54" s="63">
        <f t="shared" si="59"/>
        <v>0.378865410470973</v>
      </c>
      <c r="AG54" s="63">
        <f t="shared" si="60"/>
        <v>0.00592236894757903</v>
      </c>
      <c r="AH54" s="62">
        <v>10</v>
      </c>
      <c r="AI54" s="60">
        <f t="shared" si="61"/>
        <v>0.351503026838837</v>
      </c>
      <c r="AJ54" s="63"/>
      <c r="AK54" s="63"/>
      <c r="AL54" s="63"/>
      <c r="AM54" s="63"/>
      <c r="AN54" s="66"/>
      <c r="AO54" s="66"/>
      <c r="AP54" s="66"/>
      <c r="AQ54" s="66"/>
      <c r="AR54" s="66"/>
      <c r="AS54" s="66"/>
      <c r="AT54" s="66" t="s">
        <v>600</v>
      </c>
      <c r="AU54" s="66" t="s">
        <v>600</v>
      </c>
      <c r="AV54" s="66" t="s">
        <v>600</v>
      </c>
      <c r="AW54" s="66" t="s">
        <v>600</v>
      </c>
      <c r="AX54" s="66" t="s">
        <v>600</v>
      </c>
      <c r="AY54" s="66" t="s">
        <v>600</v>
      </c>
      <c r="AZ54" s="66" t="s">
        <v>600</v>
      </c>
      <c r="BA54" s="66" t="s">
        <v>600</v>
      </c>
      <c r="BB54" s="66" t="s">
        <v>600</v>
      </c>
      <c r="BC54" s="66" t="s">
        <v>600</v>
      </c>
      <c r="BD54" s="66" t="s">
        <v>600</v>
      </c>
      <c r="BE54" s="66" t="s">
        <v>600</v>
      </c>
      <c r="BF54" s="66" t="s">
        <v>600</v>
      </c>
      <c r="BG54" s="66" t="s">
        <v>600</v>
      </c>
      <c r="BH54" s="66" t="s">
        <v>600</v>
      </c>
      <c r="BI54" s="66" t="s">
        <v>600</v>
      </c>
      <c r="BJ54" s="66" t="s">
        <v>600</v>
      </c>
      <c r="BK54" s="66" t="s">
        <v>600</v>
      </c>
      <c r="BL54" s="66" t="s">
        <v>600</v>
      </c>
      <c r="BM54" s="66" t="s">
        <v>600</v>
      </c>
      <c r="BN54" s="66" t="s">
        <v>600</v>
      </c>
      <c r="BO54" s="66" t="s">
        <v>600</v>
      </c>
      <c r="BP54" s="66" t="s">
        <v>600</v>
      </c>
      <c r="BQ54" s="66" t="s">
        <v>600</v>
      </c>
      <c r="BR54" s="70" t="e">
        <f>IF(E54&lt;#REF!,1,0)</f>
        <v>#REF!</v>
      </c>
      <c r="BS54" s="68" t="s">
        <v>601</v>
      </c>
    </row>
    <row r="55" ht="15.6" spans="1:71">
      <c r="A55" s="53" t="s">
        <v>300</v>
      </c>
      <c r="B55" s="53" t="s">
        <v>66</v>
      </c>
      <c r="C55" s="171" t="s">
        <v>67</v>
      </c>
      <c r="D55" s="162" t="s">
        <v>624</v>
      </c>
      <c r="E55" s="172">
        <v>24.5</v>
      </c>
      <c r="F55" s="173">
        <v>34.99</v>
      </c>
      <c r="G55" s="59">
        <f t="shared" si="43"/>
        <v>29.7415</v>
      </c>
      <c r="H55" s="59">
        <f t="shared" si="44"/>
        <v>24.7845833333333</v>
      </c>
      <c r="I55" s="59">
        <f t="shared" si="45"/>
        <v>-1.7422581120944</v>
      </c>
      <c r="J55" s="60">
        <f t="shared" si="46"/>
        <v>-0.071112576003853</v>
      </c>
      <c r="K55" s="57">
        <f t="shared" si="47"/>
        <v>29.1583333333333</v>
      </c>
      <c r="L55" s="163">
        <f t="shared" si="48"/>
        <v>0.159759931408974</v>
      </c>
      <c r="M55" s="59">
        <f t="shared" si="49"/>
        <v>4.65833333333333</v>
      </c>
      <c r="N55" s="57">
        <f t="shared" si="50"/>
        <v>93.5398230088496</v>
      </c>
      <c r="O55" s="57">
        <f t="shared" si="51"/>
        <v>0.994444444444444</v>
      </c>
      <c r="P55" s="53">
        <v>9</v>
      </c>
      <c r="Q55" s="62">
        <v>9</v>
      </c>
      <c r="R55" s="63">
        <f t="shared" si="52"/>
        <v>0.204081632653061</v>
      </c>
      <c r="S55" s="60">
        <f t="shared" si="53"/>
        <v>0.142897970848814</v>
      </c>
      <c r="T55" s="63">
        <v>0.05</v>
      </c>
      <c r="U55" s="63">
        <v>0.01</v>
      </c>
      <c r="V55" s="63">
        <f t="shared" si="54"/>
        <v>0.424216884393876</v>
      </c>
      <c r="W55" s="63">
        <f t="shared" si="55"/>
        <v>0.0405895691609977</v>
      </c>
      <c r="X55" s="61">
        <v>0.178</v>
      </c>
      <c r="Y55" s="64">
        <v>5</v>
      </c>
      <c r="Z55" s="64">
        <f>F55*0.15</f>
        <v>5.2485</v>
      </c>
      <c r="AA55" s="64">
        <f t="shared" si="56"/>
        <v>0.245</v>
      </c>
      <c r="AB55" s="57">
        <f t="shared" si="57"/>
        <v>4.361</v>
      </c>
      <c r="AC55" s="57">
        <v>94.4</v>
      </c>
      <c r="AD55" s="65">
        <f t="shared" si="58"/>
        <v>83.5398230088496</v>
      </c>
      <c r="AE55" s="62">
        <f>11.1/8.5</f>
        <v>1.30588235294118</v>
      </c>
      <c r="AF55" s="63">
        <f t="shared" si="59"/>
        <v>0.378865410470973</v>
      </c>
      <c r="AG55" s="63">
        <f t="shared" si="60"/>
        <v>0.00592236894757903</v>
      </c>
      <c r="AH55" s="62">
        <v>10</v>
      </c>
      <c r="AI55" s="60">
        <f t="shared" si="61"/>
        <v>0.377222760509972</v>
      </c>
      <c r="AJ55" s="63"/>
      <c r="AK55" s="63"/>
      <c r="AL55" s="63"/>
      <c r="AM55" s="63"/>
      <c r="AN55" s="66"/>
      <c r="AO55" s="66"/>
      <c r="AP55" s="66"/>
      <c r="AQ55" s="66"/>
      <c r="AR55" s="66"/>
      <c r="AS55" s="66"/>
      <c r="AT55" s="66" t="s">
        <v>600</v>
      </c>
      <c r="AU55" s="66" t="s">
        <v>600</v>
      </c>
      <c r="AV55" s="66" t="s">
        <v>600</v>
      </c>
      <c r="AW55" s="66" t="s">
        <v>600</v>
      </c>
      <c r="AX55" s="66" t="s">
        <v>600</v>
      </c>
      <c r="AY55" s="66" t="s">
        <v>600</v>
      </c>
      <c r="AZ55" s="66" t="s">
        <v>600</v>
      </c>
      <c r="BA55" s="66" t="s">
        <v>600</v>
      </c>
      <c r="BB55" s="66" t="s">
        <v>600</v>
      </c>
      <c r="BC55" s="66" t="s">
        <v>600</v>
      </c>
      <c r="BD55" s="66" t="s">
        <v>600</v>
      </c>
      <c r="BE55" s="66" t="s">
        <v>600</v>
      </c>
      <c r="BF55" s="66" t="s">
        <v>600</v>
      </c>
      <c r="BG55" s="66" t="s">
        <v>600</v>
      </c>
      <c r="BH55" s="66" t="s">
        <v>600</v>
      </c>
      <c r="BI55" s="66" t="s">
        <v>600</v>
      </c>
      <c r="BJ55" s="66" t="s">
        <v>600</v>
      </c>
      <c r="BK55" s="66" t="s">
        <v>600</v>
      </c>
      <c r="BL55" s="66" t="s">
        <v>600</v>
      </c>
      <c r="BM55" s="66" t="s">
        <v>600</v>
      </c>
      <c r="BN55" s="66" t="s">
        <v>600</v>
      </c>
      <c r="BO55" s="66" t="s">
        <v>600</v>
      </c>
      <c r="BP55" s="66" t="s">
        <v>600</v>
      </c>
      <c r="BQ55" s="66" t="s">
        <v>600</v>
      </c>
      <c r="BR55" s="70" t="e">
        <f>IF(E55&lt;#REF!,1,0)</f>
        <v>#REF!</v>
      </c>
      <c r="BS55" s="68" t="s">
        <v>601</v>
      </c>
    </row>
    <row r="56" ht="15.6" spans="1:71">
      <c r="A56" s="53" t="s">
        <v>277</v>
      </c>
      <c r="B56" s="53" t="s">
        <v>63</v>
      </c>
      <c r="C56" s="171" t="s">
        <v>64</v>
      </c>
      <c r="D56" s="169" t="s">
        <v>621</v>
      </c>
      <c r="E56" s="172">
        <v>28</v>
      </c>
      <c r="F56" s="173">
        <v>39.99</v>
      </c>
      <c r="G56" s="59">
        <f t="shared" si="43"/>
        <v>39.99</v>
      </c>
      <c r="H56" s="59">
        <f t="shared" si="44"/>
        <v>33.325</v>
      </c>
      <c r="I56" s="59">
        <f t="shared" si="45"/>
        <v>4.27741101278269</v>
      </c>
      <c r="J56" s="60">
        <f t="shared" si="46"/>
        <v>0.152764679027953</v>
      </c>
      <c r="K56" s="57">
        <f t="shared" si="47"/>
        <v>33.325</v>
      </c>
      <c r="L56" s="163">
        <f t="shared" si="48"/>
        <v>0.159789947486872</v>
      </c>
      <c r="M56" s="59">
        <f t="shared" si="49"/>
        <v>5.325</v>
      </c>
      <c r="N56" s="57">
        <f t="shared" si="50"/>
        <v>98.5398230088496</v>
      </c>
      <c r="O56" s="57">
        <f t="shared" si="51"/>
        <v>0.861111111111111</v>
      </c>
      <c r="P56" s="53">
        <v>9</v>
      </c>
      <c r="Q56" s="62">
        <v>8</v>
      </c>
      <c r="R56" s="63">
        <f t="shared" si="52"/>
        <v>0.178571428571429</v>
      </c>
      <c r="S56" s="60">
        <f t="shared" si="53"/>
        <v>0.125031257814454</v>
      </c>
      <c r="T56" s="63">
        <v>0.05</v>
      </c>
      <c r="U56" s="63">
        <v>0.01</v>
      </c>
      <c r="V56" s="63">
        <f t="shared" si="54"/>
        <v>0.43990992414665</v>
      </c>
      <c r="W56" s="63">
        <f t="shared" si="55"/>
        <v>0.0307539682539683</v>
      </c>
      <c r="X56" s="61">
        <v>0.188</v>
      </c>
      <c r="Y56" s="64">
        <v>5</v>
      </c>
      <c r="Z56" s="64">
        <v>0</v>
      </c>
      <c r="AA56" s="64">
        <f t="shared" si="56"/>
        <v>0.28</v>
      </c>
      <c r="AB56" s="57">
        <f t="shared" si="57"/>
        <v>5.264</v>
      </c>
      <c r="AC56" s="57">
        <v>94.4</v>
      </c>
      <c r="AD56" s="65">
        <f t="shared" si="58"/>
        <v>83.5398230088496</v>
      </c>
      <c r="AE56" s="62">
        <f t="shared" ref="AE56:AE75" si="62">11.1/7.4</f>
        <v>1.5</v>
      </c>
      <c r="AF56" s="63">
        <f t="shared" si="59"/>
        <v>0.372945638432364</v>
      </c>
      <c r="AG56" s="63">
        <f t="shared" si="60"/>
        <v>0.00669642857142857</v>
      </c>
      <c r="AH56" s="62">
        <v>15</v>
      </c>
      <c r="AI56" s="60">
        <f t="shared" si="61"/>
        <v>0.31774943735934</v>
      </c>
      <c r="AJ56" s="63"/>
      <c r="AK56" s="63"/>
      <c r="AL56" s="63"/>
      <c r="AM56" s="63"/>
      <c r="AN56" s="66"/>
      <c r="AO56" s="66"/>
      <c r="AP56" s="66"/>
      <c r="AQ56" s="66"/>
      <c r="AR56" s="66"/>
      <c r="AS56" s="66"/>
      <c r="AT56" s="66" t="s">
        <v>600</v>
      </c>
      <c r="AU56" s="66" t="s">
        <v>600</v>
      </c>
      <c r="AV56" s="66" t="s">
        <v>600</v>
      </c>
      <c r="AW56" s="66" t="s">
        <v>600</v>
      </c>
      <c r="AX56" s="66" t="s">
        <v>600</v>
      </c>
      <c r="AY56" s="66" t="s">
        <v>600</v>
      </c>
      <c r="AZ56" s="66" t="s">
        <v>600</v>
      </c>
      <c r="BA56" s="66" t="s">
        <v>600</v>
      </c>
      <c r="BB56" s="66" t="s">
        <v>600</v>
      </c>
      <c r="BC56" s="66" t="s">
        <v>600</v>
      </c>
      <c r="BD56" s="66" t="s">
        <v>600</v>
      </c>
      <c r="BE56" s="66" t="s">
        <v>600</v>
      </c>
      <c r="BF56" s="66" t="s">
        <v>600</v>
      </c>
      <c r="BG56" s="66" t="s">
        <v>600</v>
      </c>
      <c r="BH56" s="66" t="s">
        <v>600</v>
      </c>
      <c r="BI56" s="66" t="s">
        <v>600</v>
      </c>
      <c r="BJ56" s="66" t="s">
        <v>600</v>
      </c>
      <c r="BK56" s="66" t="s">
        <v>600</v>
      </c>
      <c r="BL56" s="66" t="s">
        <v>600</v>
      </c>
      <c r="BM56" s="66" t="s">
        <v>600</v>
      </c>
      <c r="BN56" s="66" t="s">
        <v>600</v>
      </c>
      <c r="BO56" s="66" t="s">
        <v>600</v>
      </c>
      <c r="BP56" s="66" t="s">
        <v>600</v>
      </c>
      <c r="BQ56" s="66" t="s">
        <v>600</v>
      </c>
      <c r="BR56" s="70" t="e">
        <f>IF(#REF!&lt;E56,1,0)</f>
        <v>#REF!</v>
      </c>
      <c r="BS56" s="68" t="s">
        <v>601</v>
      </c>
    </row>
    <row r="57" ht="15.6" spans="1:71">
      <c r="A57" s="53" t="s">
        <v>277</v>
      </c>
      <c r="B57" s="53" t="s">
        <v>63</v>
      </c>
      <c r="C57" s="171" t="s">
        <v>64</v>
      </c>
      <c r="D57" s="162" t="s">
        <v>622</v>
      </c>
      <c r="E57" s="172">
        <v>28</v>
      </c>
      <c r="F57" s="173">
        <v>39.99</v>
      </c>
      <c r="G57" s="59">
        <f t="shared" si="43"/>
        <v>37.9905</v>
      </c>
      <c r="H57" s="59">
        <f t="shared" si="44"/>
        <v>31.65875</v>
      </c>
      <c r="I57" s="59">
        <f t="shared" si="45"/>
        <v>2.27791101278269</v>
      </c>
      <c r="J57" s="60">
        <f t="shared" si="46"/>
        <v>0.0813539647422391</v>
      </c>
      <c r="K57" s="57">
        <f t="shared" si="47"/>
        <v>33.325</v>
      </c>
      <c r="L57" s="163">
        <f t="shared" si="48"/>
        <v>0.159789947486872</v>
      </c>
      <c r="M57" s="59">
        <f t="shared" si="49"/>
        <v>5.325</v>
      </c>
      <c r="N57" s="57">
        <f t="shared" si="50"/>
        <v>98.5398230088496</v>
      </c>
      <c r="O57" s="57">
        <f t="shared" si="51"/>
        <v>0.861111111111111</v>
      </c>
      <c r="P57" s="53">
        <v>9</v>
      </c>
      <c r="Q57" s="62">
        <v>8</v>
      </c>
      <c r="R57" s="63">
        <f t="shared" si="52"/>
        <v>0.178571428571429</v>
      </c>
      <c r="S57" s="60">
        <f t="shared" si="53"/>
        <v>0.125031257814454</v>
      </c>
      <c r="T57" s="63">
        <v>0.05</v>
      </c>
      <c r="U57" s="63">
        <v>0.01</v>
      </c>
      <c r="V57" s="63">
        <f t="shared" si="54"/>
        <v>0.43990992414665</v>
      </c>
      <c r="W57" s="63">
        <f t="shared" si="55"/>
        <v>0.0307539682539683</v>
      </c>
      <c r="X57" s="61">
        <v>0.188</v>
      </c>
      <c r="Y57" s="64">
        <v>5</v>
      </c>
      <c r="Z57" s="64">
        <f>F57*0.05</f>
        <v>1.9995</v>
      </c>
      <c r="AA57" s="64">
        <f t="shared" si="56"/>
        <v>0.28</v>
      </c>
      <c r="AB57" s="57">
        <f t="shared" si="57"/>
        <v>5.264</v>
      </c>
      <c r="AC57" s="57">
        <v>94.4</v>
      </c>
      <c r="AD57" s="65">
        <f t="shared" si="58"/>
        <v>83.5398230088496</v>
      </c>
      <c r="AE57" s="62">
        <f t="shared" si="62"/>
        <v>1.5</v>
      </c>
      <c r="AF57" s="63">
        <f t="shared" si="59"/>
        <v>0.372945638432364</v>
      </c>
      <c r="AG57" s="63">
        <f t="shared" si="60"/>
        <v>0.00669642857142857</v>
      </c>
      <c r="AH57" s="62">
        <v>15</v>
      </c>
      <c r="AI57" s="60">
        <f t="shared" si="61"/>
        <v>0.338031316339723</v>
      </c>
      <c r="AJ57" s="63"/>
      <c r="AK57" s="63"/>
      <c r="AL57" s="63"/>
      <c r="AM57" s="63"/>
      <c r="AN57" s="66"/>
      <c r="AO57" s="66"/>
      <c r="AP57" s="66"/>
      <c r="AQ57" s="66"/>
      <c r="AR57" s="66"/>
      <c r="AS57" s="66"/>
      <c r="AT57" s="66" t="s">
        <v>600</v>
      </c>
      <c r="AU57" s="66" t="s">
        <v>600</v>
      </c>
      <c r="AV57" s="66" t="s">
        <v>600</v>
      </c>
      <c r="AW57" s="66" t="s">
        <v>600</v>
      </c>
      <c r="AX57" s="66" t="s">
        <v>600</v>
      </c>
      <c r="AY57" s="66" t="s">
        <v>600</v>
      </c>
      <c r="AZ57" s="66" t="s">
        <v>600</v>
      </c>
      <c r="BA57" s="66" t="s">
        <v>600</v>
      </c>
      <c r="BB57" s="66" t="s">
        <v>600</v>
      </c>
      <c r="BC57" s="66" t="s">
        <v>600</v>
      </c>
      <c r="BD57" s="66" t="s">
        <v>600</v>
      </c>
      <c r="BE57" s="66" t="s">
        <v>600</v>
      </c>
      <c r="BF57" s="66" t="s">
        <v>600</v>
      </c>
      <c r="BG57" s="66" t="s">
        <v>600</v>
      </c>
      <c r="BH57" s="66" t="s">
        <v>600</v>
      </c>
      <c r="BI57" s="66" t="s">
        <v>600</v>
      </c>
      <c r="BJ57" s="66" t="s">
        <v>600</v>
      </c>
      <c r="BK57" s="66" t="s">
        <v>600</v>
      </c>
      <c r="BL57" s="66" t="s">
        <v>600</v>
      </c>
      <c r="BM57" s="66" t="s">
        <v>600</v>
      </c>
      <c r="BN57" s="66" t="s">
        <v>600</v>
      </c>
      <c r="BO57" s="66" t="s">
        <v>600</v>
      </c>
      <c r="BP57" s="66" t="s">
        <v>600</v>
      </c>
      <c r="BQ57" s="66" t="s">
        <v>600</v>
      </c>
      <c r="BR57" s="70" t="e">
        <f>IF(E57&lt;#REF!,1,0)</f>
        <v>#REF!</v>
      </c>
      <c r="BS57" s="68" t="s">
        <v>601</v>
      </c>
    </row>
    <row r="58" ht="15.6" spans="1:71">
      <c r="A58" s="53" t="s">
        <v>277</v>
      </c>
      <c r="B58" s="53" t="s">
        <v>63</v>
      </c>
      <c r="C58" s="171" t="s">
        <v>64</v>
      </c>
      <c r="D58" s="169" t="s">
        <v>623</v>
      </c>
      <c r="E58" s="172">
        <v>28</v>
      </c>
      <c r="F58" s="173">
        <v>39.99</v>
      </c>
      <c r="G58" s="59">
        <f t="shared" si="43"/>
        <v>35.991</v>
      </c>
      <c r="H58" s="59">
        <f t="shared" si="44"/>
        <v>29.9925</v>
      </c>
      <c r="I58" s="59">
        <f t="shared" si="45"/>
        <v>0.278411012782694</v>
      </c>
      <c r="J58" s="60">
        <f t="shared" si="46"/>
        <v>0.00994325045652477</v>
      </c>
      <c r="K58" s="57">
        <f t="shared" si="47"/>
        <v>33.325</v>
      </c>
      <c r="L58" s="163">
        <f t="shared" si="48"/>
        <v>0.159789947486872</v>
      </c>
      <c r="M58" s="59">
        <f t="shared" si="49"/>
        <v>5.325</v>
      </c>
      <c r="N58" s="57">
        <f t="shared" si="50"/>
        <v>98.5398230088496</v>
      </c>
      <c r="O58" s="57">
        <f t="shared" si="51"/>
        <v>0.861111111111111</v>
      </c>
      <c r="P58" s="53">
        <v>9</v>
      </c>
      <c r="Q58" s="62">
        <v>8</v>
      </c>
      <c r="R58" s="63">
        <f t="shared" si="52"/>
        <v>0.178571428571429</v>
      </c>
      <c r="S58" s="60">
        <f t="shared" si="53"/>
        <v>0.125031257814454</v>
      </c>
      <c r="T58" s="63">
        <v>0.05</v>
      </c>
      <c r="U58" s="63">
        <v>0.01</v>
      </c>
      <c r="V58" s="63">
        <f t="shared" si="54"/>
        <v>0.43990992414665</v>
      </c>
      <c r="W58" s="63">
        <f t="shared" si="55"/>
        <v>0.0307539682539683</v>
      </c>
      <c r="X58" s="61">
        <v>0.188</v>
      </c>
      <c r="Y58" s="64">
        <v>5</v>
      </c>
      <c r="Z58" s="64">
        <f>F58*0.1</f>
        <v>3.999</v>
      </c>
      <c r="AA58" s="64">
        <f t="shared" si="56"/>
        <v>0.28</v>
      </c>
      <c r="AB58" s="57">
        <f t="shared" si="57"/>
        <v>5.264</v>
      </c>
      <c r="AC58" s="57">
        <v>94.4</v>
      </c>
      <c r="AD58" s="65">
        <f t="shared" si="58"/>
        <v>83.5398230088496</v>
      </c>
      <c r="AE58" s="62">
        <f t="shared" si="62"/>
        <v>1.5</v>
      </c>
      <c r="AF58" s="63">
        <f t="shared" si="59"/>
        <v>0.372945638432364</v>
      </c>
      <c r="AG58" s="63">
        <f t="shared" si="60"/>
        <v>0.00669642857142857</v>
      </c>
      <c r="AH58" s="62">
        <v>15</v>
      </c>
      <c r="AI58" s="60">
        <f t="shared" si="61"/>
        <v>0.361078906090159</v>
      </c>
      <c r="AJ58" s="63"/>
      <c r="AK58" s="63"/>
      <c r="AL58" s="63"/>
      <c r="AM58" s="63"/>
      <c r="AN58" s="66"/>
      <c r="AO58" s="66"/>
      <c r="AP58" s="66"/>
      <c r="AQ58" s="66"/>
      <c r="AR58" s="66"/>
      <c r="AS58" s="66"/>
      <c r="AT58" s="66" t="s">
        <v>600</v>
      </c>
      <c r="AU58" s="66" t="s">
        <v>600</v>
      </c>
      <c r="AV58" s="66" t="s">
        <v>600</v>
      </c>
      <c r="AW58" s="66" t="s">
        <v>600</v>
      </c>
      <c r="AX58" s="66" t="s">
        <v>600</v>
      </c>
      <c r="AY58" s="66" t="s">
        <v>600</v>
      </c>
      <c r="AZ58" s="66" t="s">
        <v>600</v>
      </c>
      <c r="BA58" s="66" t="s">
        <v>600</v>
      </c>
      <c r="BB58" s="66" t="s">
        <v>600</v>
      </c>
      <c r="BC58" s="66" t="s">
        <v>600</v>
      </c>
      <c r="BD58" s="66" t="s">
        <v>600</v>
      </c>
      <c r="BE58" s="66" t="s">
        <v>600</v>
      </c>
      <c r="BF58" s="66" t="s">
        <v>600</v>
      </c>
      <c r="BG58" s="66" t="s">
        <v>600</v>
      </c>
      <c r="BH58" s="66" t="s">
        <v>600</v>
      </c>
      <c r="BI58" s="66" t="s">
        <v>600</v>
      </c>
      <c r="BJ58" s="66" t="s">
        <v>600</v>
      </c>
      <c r="BK58" s="66" t="s">
        <v>600</v>
      </c>
      <c r="BL58" s="66" t="s">
        <v>600</v>
      </c>
      <c r="BM58" s="66" t="s">
        <v>600</v>
      </c>
      <c r="BN58" s="66" t="s">
        <v>600</v>
      </c>
      <c r="BO58" s="66" t="s">
        <v>600</v>
      </c>
      <c r="BP58" s="66" t="s">
        <v>600</v>
      </c>
      <c r="BQ58" s="66" t="s">
        <v>600</v>
      </c>
      <c r="BR58" s="70" t="e">
        <f>IF(E58&lt;#REF!,1,0)</f>
        <v>#REF!</v>
      </c>
      <c r="BS58" s="68" t="s">
        <v>601</v>
      </c>
    </row>
    <row r="59" ht="15.6" spans="1:71">
      <c r="A59" s="53" t="s">
        <v>277</v>
      </c>
      <c r="B59" s="53" t="s">
        <v>63</v>
      </c>
      <c r="C59" s="171" t="s">
        <v>64</v>
      </c>
      <c r="D59" s="169" t="s">
        <v>624</v>
      </c>
      <c r="E59" s="172">
        <v>28</v>
      </c>
      <c r="F59" s="173">
        <v>39.99</v>
      </c>
      <c r="G59" s="59">
        <f t="shared" si="43"/>
        <v>33.9915</v>
      </c>
      <c r="H59" s="59">
        <f t="shared" si="44"/>
        <v>28.32625</v>
      </c>
      <c r="I59" s="59">
        <f t="shared" si="45"/>
        <v>-1.72108898721731</v>
      </c>
      <c r="J59" s="60">
        <f t="shared" si="46"/>
        <v>-0.0614674638291895</v>
      </c>
      <c r="K59" s="57">
        <f t="shared" si="47"/>
        <v>33.325</v>
      </c>
      <c r="L59" s="163">
        <f t="shared" si="48"/>
        <v>0.159789947486872</v>
      </c>
      <c r="M59" s="59">
        <f t="shared" si="49"/>
        <v>5.325</v>
      </c>
      <c r="N59" s="57">
        <f t="shared" si="50"/>
        <v>98.5398230088496</v>
      </c>
      <c r="O59" s="57">
        <f t="shared" si="51"/>
        <v>0.861111111111111</v>
      </c>
      <c r="P59" s="53">
        <v>9</v>
      </c>
      <c r="Q59" s="62">
        <v>8</v>
      </c>
      <c r="R59" s="63">
        <f t="shared" si="52"/>
        <v>0.178571428571429</v>
      </c>
      <c r="S59" s="60">
        <f t="shared" si="53"/>
        <v>0.125031257814454</v>
      </c>
      <c r="T59" s="63">
        <v>0.05</v>
      </c>
      <c r="U59" s="63">
        <v>0.01</v>
      </c>
      <c r="V59" s="63">
        <f t="shared" si="54"/>
        <v>0.43990992414665</v>
      </c>
      <c r="W59" s="63">
        <f t="shared" si="55"/>
        <v>0.0307539682539683</v>
      </c>
      <c r="X59" s="61">
        <v>0.188</v>
      </c>
      <c r="Y59" s="64">
        <v>5</v>
      </c>
      <c r="Z59" s="64">
        <f>F59*0.15</f>
        <v>5.9985</v>
      </c>
      <c r="AA59" s="64">
        <f t="shared" si="56"/>
        <v>0.28</v>
      </c>
      <c r="AB59" s="57">
        <f t="shared" si="57"/>
        <v>5.264</v>
      </c>
      <c r="AC59" s="57">
        <v>94.4</v>
      </c>
      <c r="AD59" s="65">
        <f t="shared" si="58"/>
        <v>83.5398230088496</v>
      </c>
      <c r="AE59" s="62">
        <f t="shared" si="62"/>
        <v>1.5</v>
      </c>
      <c r="AF59" s="63">
        <f t="shared" si="59"/>
        <v>0.372945638432364</v>
      </c>
      <c r="AG59" s="63">
        <f t="shared" si="60"/>
        <v>0.00669642857142857</v>
      </c>
      <c r="AH59" s="62">
        <v>15</v>
      </c>
      <c r="AI59" s="60">
        <f t="shared" si="61"/>
        <v>0.387499313852854</v>
      </c>
      <c r="AJ59" s="63"/>
      <c r="AK59" s="63"/>
      <c r="AL59" s="63"/>
      <c r="AM59" s="63"/>
      <c r="AN59" s="66"/>
      <c r="AO59" s="66"/>
      <c r="AP59" s="66"/>
      <c r="AQ59" s="66"/>
      <c r="AR59" s="66"/>
      <c r="AS59" s="66"/>
      <c r="AT59" s="66" t="s">
        <v>600</v>
      </c>
      <c r="AU59" s="66" t="s">
        <v>600</v>
      </c>
      <c r="AV59" s="66" t="s">
        <v>600</v>
      </c>
      <c r="AW59" s="66" t="s">
        <v>600</v>
      </c>
      <c r="AX59" s="66" t="s">
        <v>600</v>
      </c>
      <c r="AY59" s="66" t="s">
        <v>600</v>
      </c>
      <c r="AZ59" s="66" t="s">
        <v>600</v>
      </c>
      <c r="BA59" s="66" t="s">
        <v>600</v>
      </c>
      <c r="BB59" s="66" t="s">
        <v>600</v>
      </c>
      <c r="BC59" s="66" t="s">
        <v>600</v>
      </c>
      <c r="BD59" s="66" t="s">
        <v>600</v>
      </c>
      <c r="BE59" s="66" t="s">
        <v>600</v>
      </c>
      <c r="BF59" s="66" t="s">
        <v>600</v>
      </c>
      <c r="BG59" s="66" t="s">
        <v>600</v>
      </c>
      <c r="BH59" s="66" t="s">
        <v>600</v>
      </c>
      <c r="BI59" s="66" t="s">
        <v>600</v>
      </c>
      <c r="BJ59" s="66" t="s">
        <v>600</v>
      </c>
      <c r="BK59" s="66" t="s">
        <v>600</v>
      </c>
      <c r="BL59" s="66" t="s">
        <v>600</v>
      </c>
      <c r="BM59" s="66" t="s">
        <v>600</v>
      </c>
      <c r="BN59" s="66" t="s">
        <v>600</v>
      </c>
      <c r="BO59" s="66" t="s">
        <v>600</v>
      </c>
      <c r="BP59" s="66" t="s">
        <v>600</v>
      </c>
      <c r="BQ59" s="66" t="s">
        <v>600</v>
      </c>
      <c r="BR59" s="70" t="e">
        <f>IF(E59&lt;#REF!,1,0)</f>
        <v>#REF!</v>
      </c>
      <c r="BS59" s="68" t="s">
        <v>601</v>
      </c>
    </row>
    <row r="60" ht="15.6" spans="1:71">
      <c r="A60" s="53" t="s">
        <v>511</v>
      </c>
      <c r="B60" s="53" t="s">
        <v>63</v>
      </c>
      <c r="C60" s="171" t="s">
        <v>64</v>
      </c>
      <c r="D60" s="169" t="s">
        <v>621</v>
      </c>
      <c r="E60" s="172">
        <v>28</v>
      </c>
      <c r="F60" s="173">
        <v>39.99</v>
      </c>
      <c r="G60" s="59">
        <f t="shared" si="43"/>
        <v>39.99</v>
      </c>
      <c r="H60" s="59">
        <f t="shared" si="44"/>
        <v>33.325</v>
      </c>
      <c r="I60" s="59">
        <f t="shared" si="45"/>
        <v>3.55518879056047</v>
      </c>
      <c r="J60" s="60">
        <f t="shared" si="46"/>
        <v>0.126971028234303</v>
      </c>
      <c r="K60" s="57">
        <f t="shared" si="47"/>
        <v>33.325</v>
      </c>
      <c r="L60" s="163">
        <f t="shared" si="48"/>
        <v>0.159789947486872</v>
      </c>
      <c r="M60" s="59">
        <f t="shared" si="49"/>
        <v>5.325</v>
      </c>
      <c r="N60" s="57">
        <f t="shared" si="50"/>
        <v>98.5398230088496</v>
      </c>
      <c r="O60" s="57">
        <f t="shared" si="51"/>
        <v>1.58333333333333</v>
      </c>
      <c r="P60" s="53">
        <v>9</v>
      </c>
      <c r="Q60" s="62">
        <v>8</v>
      </c>
      <c r="R60" s="63">
        <f t="shared" si="52"/>
        <v>0.178571428571429</v>
      </c>
      <c r="S60" s="60">
        <f t="shared" si="53"/>
        <v>0.125031257814454</v>
      </c>
      <c r="T60" s="63">
        <v>0.05</v>
      </c>
      <c r="U60" s="63">
        <v>0.01</v>
      </c>
      <c r="V60" s="63">
        <f t="shared" si="54"/>
        <v>0.43990992414665</v>
      </c>
      <c r="W60" s="63">
        <f t="shared" si="55"/>
        <v>0.056547619047619</v>
      </c>
      <c r="X60" s="61">
        <v>0.188</v>
      </c>
      <c r="Y60" s="64">
        <v>5</v>
      </c>
      <c r="Z60" s="64">
        <v>0</v>
      </c>
      <c r="AA60" s="64">
        <f t="shared" si="56"/>
        <v>0.28</v>
      </c>
      <c r="AB60" s="57">
        <f t="shared" si="57"/>
        <v>5.264</v>
      </c>
      <c r="AC60" s="57">
        <v>94.4</v>
      </c>
      <c r="AD60" s="65">
        <f t="shared" si="58"/>
        <v>83.5398230088496</v>
      </c>
      <c r="AE60" s="62">
        <f t="shared" si="62"/>
        <v>1.5</v>
      </c>
      <c r="AF60" s="63">
        <f t="shared" si="59"/>
        <v>0.372945638432364</v>
      </c>
      <c r="AG60" s="63">
        <f t="shared" si="60"/>
        <v>0.00669642857142857</v>
      </c>
      <c r="AH60" s="62">
        <v>15</v>
      </c>
      <c r="AI60" s="60">
        <f t="shared" si="61"/>
        <v>0.31774943735934</v>
      </c>
      <c r="AJ60" s="63"/>
      <c r="AK60" s="63"/>
      <c r="AL60" s="63"/>
      <c r="AM60" s="63"/>
      <c r="AN60" s="66"/>
      <c r="AO60" s="66"/>
      <c r="AP60" s="66"/>
      <c r="AQ60" s="66"/>
      <c r="AR60" s="66"/>
      <c r="AS60" s="66"/>
      <c r="AT60" s="66" t="s">
        <v>600</v>
      </c>
      <c r="AU60" s="66" t="s">
        <v>600</v>
      </c>
      <c r="AV60" s="66" t="s">
        <v>600</v>
      </c>
      <c r="AW60" s="66" t="s">
        <v>600</v>
      </c>
      <c r="AX60" s="66" t="s">
        <v>600</v>
      </c>
      <c r="AY60" s="66" t="s">
        <v>600</v>
      </c>
      <c r="AZ60" s="66" t="s">
        <v>600</v>
      </c>
      <c r="BA60" s="66" t="s">
        <v>600</v>
      </c>
      <c r="BB60" s="66" t="s">
        <v>600</v>
      </c>
      <c r="BC60" s="66" t="s">
        <v>600</v>
      </c>
      <c r="BD60" s="66" t="s">
        <v>600</v>
      </c>
      <c r="BE60" s="66" t="s">
        <v>600</v>
      </c>
      <c r="BF60" s="66" t="s">
        <v>600</v>
      </c>
      <c r="BG60" s="66" t="s">
        <v>600</v>
      </c>
      <c r="BH60" s="66" t="s">
        <v>600</v>
      </c>
      <c r="BI60" s="66" t="s">
        <v>600</v>
      </c>
      <c r="BJ60" s="66" t="s">
        <v>600</v>
      </c>
      <c r="BK60" s="66" t="s">
        <v>600</v>
      </c>
      <c r="BL60" s="66" t="s">
        <v>600</v>
      </c>
      <c r="BM60" s="66" t="s">
        <v>600</v>
      </c>
      <c r="BN60" s="66" t="s">
        <v>600</v>
      </c>
      <c r="BO60" s="66" t="s">
        <v>600</v>
      </c>
      <c r="BP60" s="66" t="s">
        <v>600</v>
      </c>
      <c r="BQ60" s="66" t="s">
        <v>600</v>
      </c>
      <c r="BR60" s="70" t="e">
        <f>IF(#REF!&lt;E60,1,0)</f>
        <v>#REF!</v>
      </c>
      <c r="BS60" s="68" t="s">
        <v>601</v>
      </c>
    </row>
    <row r="61" ht="15.6" spans="1:71">
      <c r="A61" s="53" t="s">
        <v>511</v>
      </c>
      <c r="B61" s="53" t="s">
        <v>63</v>
      </c>
      <c r="C61" s="171" t="s">
        <v>64</v>
      </c>
      <c r="D61" s="162" t="s">
        <v>622</v>
      </c>
      <c r="E61" s="172">
        <v>28</v>
      </c>
      <c r="F61" s="173">
        <v>39.99</v>
      </c>
      <c r="G61" s="59">
        <f t="shared" si="43"/>
        <v>37.9905</v>
      </c>
      <c r="H61" s="59">
        <f t="shared" si="44"/>
        <v>31.65875</v>
      </c>
      <c r="I61" s="59">
        <f t="shared" si="45"/>
        <v>1.55568879056047</v>
      </c>
      <c r="J61" s="60">
        <f t="shared" si="46"/>
        <v>0.0555603139485883</v>
      </c>
      <c r="K61" s="57">
        <f t="shared" si="47"/>
        <v>33.325</v>
      </c>
      <c r="L61" s="163">
        <f t="shared" si="48"/>
        <v>0.159789947486872</v>
      </c>
      <c r="M61" s="59">
        <f t="shared" si="49"/>
        <v>5.325</v>
      </c>
      <c r="N61" s="57">
        <f t="shared" si="50"/>
        <v>98.5398230088496</v>
      </c>
      <c r="O61" s="57">
        <f t="shared" si="51"/>
        <v>1.58333333333333</v>
      </c>
      <c r="P61" s="53">
        <v>9</v>
      </c>
      <c r="Q61" s="62">
        <v>8</v>
      </c>
      <c r="R61" s="63">
        <f t="shared" si="52"/>
        <v>0.178571428571429</v>
      </c>
      <c r="S61" s="60">
        <f t="shared" si="53"/>
        <v>0.125031257814454</v>
      </c>
      <c r="T61" s="63">
        <v>0.05</v>
      </c>
      <c r="U61" s="63">
        <v>0.01</v>
      </c>
      <c r="V61" s="63">
        <f t="shared" si="54"/>
        <v>0.43990992414665</v>
      </c>
      <c r="W61" s="63">
        <f t="shared" si="55"/>
        <v>0.056547619047619</v>
      </c>
      <c r="X61" s="61">
        <v>0.188</v>
      </c>
      <c r="Y61" s="64">
        <v>5</v>
      </c>
      <c r="Z61" s="64">
        <f>F61*0.05</f>
        <v>1.9995</v>
      </c>
      <c r="AA61" s="64">
        <f t="shared" si="56"/>
        <v>0.28</v>
      </c>
      <c r="AB61" s="57">
        <f t="shared" si="57"/>
        <v>5.264</v>
      </c>
      <c r="AC61" s="57">
        <v>94.4</v>
      </c>
      <c r="AD61" s="65">
        <f t="shared" si="58"/>
        <v>83.5398230088496</v>
      </c>
      <c r="AE61" s="62">
        <f t="shared" si="62"/>
        <v>1.5</v>
      </c>
      <c r="AF61" s="63">
        <f t="shared" si="59"/>
        <v>0.372945638432364</v>
      </c>
      <c r="AG61" s="63">
        <f t="shared" si="60"/>
        <v>0.00669642857142857</v>
      </c>
      <c r="AH61" s="62">
        <v>15</v>
      </c>
      <c r="AI61" s="60">
        <f t="shared" si="61"/>
        <v>0.338031316339723</v>
      </c>
      <c r="AJ61" s="63"/>
      <c r="AK61" s="63"/>
      <c r="AL61" s="63"/>
      <c r="AM61" s="63"/>
      <c r="AN61" s="66"/>
      <c r="AO61" s="66"/>
      <c r="AP61" s="66"/>
      <c r="AQ61" s="66"/>
      <c r="AR61" s="66"/>
      <c r="AS61" s="66"/>
      <c r="AT61" s="66" t="s">
        <v>600</v>
      </c>
      <c r="AU61" s="66" t="s">
        <v>600</v>
      </c>
      <c r="AV61" s="66" t="s">
        <v>600</v>
      </c>
      <c r="AW61" s="66" t="s">
        <v>600</v>
      </c>
      <c r="AX61" s="66" t="s">
        <v>600</v>
      </c>
      <c r="AY61" s="66" t="s">
        <v>600</v>
      </c>
      <c r="AZ61" s="66" t="s">
        <v>600</v>
      </c>
      <c r="BA61" s="66" t="s">
        <v>600</v>
      </c>
      <c r="BB61" s="66" t="s">
        <v>600</v>
      </c>
      <c r="BC61" s="66" t="s">
        <v>600</v>
      </c>
      <c r="BD61" s="66" t="s">
        <v>600</v>
      </c>
      <c r="BE61" s="66" t="s">
        <v>600</v>
      </c>
      <c r="BF61" s="66" t="s">
        <v>600</v>
      </c>
      <c r="BG61" s="66" t="s">
        <v>600</v>
      </c>
      <c r="BH61" s="66" t="s">
        <v>600</v>
      </c>
      <c r="BI61" s="66" t="s">
        <v>600</v>
      </c>
      <c r="BJ61" s="66" t="s">
        <v>600</v>
      </c>
      <c r="BK61" s="66" t="s">
        <v>600</v>
      </c>
      <c r="BL61" s="66" t="s">
        <v>600</v>
      </c>
      <c r="BM61" s="66" t="s">
        <v>600</v>
      </c>
      <c r="BN61" s="66" t="s">
        <v>600</v>
      </c>
      <c r="BO61" s="66" t="s">
        <v>600</v>
      </c>
      <c r="BP61" s="66" t="s">
        <v>600</v>
      </c>
      <c r="BQ61" s="66" t="s">
        <v>600</v>
      </c>
      <c r="BR61" s="70" t="e">
        <f>IF(E61&lt;#REF!,1,0)</f>
        <v>#REF!</v>
      </c>
      <c r="BS61" s="68" t="s">
        <v>601</v>
      </c>
    </row>
    <row r="62" ht="15.6" spans="1:71">
      <c r="A62" s="53" t="s">
        <v>511</v>
      </c>
      <c r="B62" s="53" t="s">
        <v>63</v>
      </c>
      <c r="C62" s="171" t="s">
        <v>64</v>
      </c>
      <c r="D62" s="169" t="s">
        <v>623</v>
      </c>
      <c r="E62" s="172">
        <v>28</v>
      </c>
      <c r="F62" s="173">
        <v>39.99</v>
      </c>
      <c r="G62" s="59">
        <f t="shared" si="43"/>
        <v>35.991</v>
      </c>
      <c r="H62" s="59">
        <f t="shared" si="44"/>
        <v>29.9925</v>
      </c>
      <c r="I62" s="59">
        <f t="shared" si="45"/>
        <v>-0.443811209439529</v>
      </c>
      <c r="J62" s="60">
        <f t="shared" si="46"/>
        <v>-0.015850400337126</v>
      </c>
      <c r="K62" s="57">
        <f t="shared" si="47"/>
        <v>33.325</v>
      </c>
      <c r="L62" s="163">
        <f t="shared" si="48"/>
        <v>0.159789947486872</v>
      </c>
      <c r="M62" s="59">
        <f t="shared" si="49"/>
        <v>5.325</v>
      </c>
      <c r="N62" s="57">
        <f t="shared" si="50"/>
        <v>98.5398230088496</v>
      </c>
      <c r="O62" s="57">
        <f t="shared" si="51"/>
        <v>1.58333333333333</v>
      </c>
      <c r="P62" s="53">
        <v>9</v>
      </c>
      <c r="Q62" s="62">
        <v>8</v>
      </c>
      <c r="R62" s="63">
        <f t="shared" si="52"/>
        <v>0.178571428571429</v>
      </c>
      <c r="S62" s="60">
        <f t="shared" si="53"/>
        <v>0.125031257814454</v>
      </c>
      <c r="T62" s="63">
        <v>0.05</v>
      </c>
      <c r="U62" s="63">
        <v>0.01</v>
      </c>
      <c r="V62" s="63">
        <f t="shared" si="54"/>
        <v>0.43990992414665</v>
      </c>
      <c r="W62" s="63">
        <f t="shared" si="55"/>
        <v>0.056547619047619</v>
      </c>
      <c r="X62" s="61">
        <v>0.188</v>
      </c>
      <c r="Y62" s="64">
        <v>5</v>
      </c>
      <c r="Z62" s="64">
        <f>F62*0.1</f>
        <v>3.999</v>
      </c>
      <c r="AA62" s="64">
        <f t="shared" si="56"/>
        <v>0.28</v>
      </c>
      <c r="AB62" s="57">
        <f t="shared" si="57"/>
        <v>5.264</v>
      </c>
      <c r="AC62" s="57">
        <v>94.4</v>
      </c>
      <c r="AD62" s="65">
        <f t="shared" si="58"/>
        <v>83.5398230088496</v>
      </c>
      <c r="AE62" s="62">
        <f t="shared" si="62"/>
        <v>1.5</v>
      </c>
      <c r="AF62" s="63">
        <f t="shared" si="59"/>
        <v>0.372945638432364</v>
      </c>
      <c r="AG62" s="63">
        <f t="shared" si="60"/>
        <v>0.00669642857142857</v>
      </c>
      <c r="AH62" s="62">
        <v>15</v>
      </c>
      <c r="AI62" s="60">
        <f t="shared" si="61"/>
        <v>0.361078906090159</v>
      </c>
      <c r="AJ62" s="63"/>
      <c r="AK62" s="63"/>
      <c r="AL62" s="63"/>
      <c r="AM62" s="63"/>
      <c r="AN62" s="66"/>
      <c r="AO62" s="66"/>
      <c r="AP62" s="66"/>
      <c r="AQ62" s="66"/>
      <c r="AR62" s="66"/>
      <c r="AS62" s="66"/>
      <c r="AT62" s="66" t="s">
        <v>600</v>
      </c>
      <c r="AU62" s="66" t="s">
        <v>600</v>
      </c>
      <c r="AV62" s="66" t="s">
        <v>600</v>
      </c>
      <c r="AW62" s="66" t="s">
        <v>600</v>
      </c>
      <c r="AX62" s="66" t="s">
        <v>600</v>
      </c>
      <c r="AY62" s="66" t="s">
        <v>600</v>
      </c>
      <c r="AZ62" s="66" t="s">
        <v>600</v>
      </c>
      <c r="BA62" s="66" t="s">
        <v>600</v>
      </c>
      <c r="BB62" s="66" t="s">
        <v>600</v>
      </c>
      <c r="BC62" s="66" t="s">
        <v>600</v>
      </c>
      <c r="BD62" s="66" t="s">
        <v>600</v>
      </c>
      <c r="BE62" s="66" t="s">
        <v>600</v>
      </c>
      <c r="BF62" s="66" t="s">
        <v>600</v>
      </c>
      <c r="BG62" s="66" t="s">
        <v>600</v>
      </c>
      <c r="BH62" s="66" t="s">
        <v>600</v>
      </c>
      <c r="BI62" s="66" t="s">
        <v>600</v>
      </c>
      <c r="BJ62" s="66" t="s">
        <v>600</v>
      </c>
      <c r="BK62" s="66" t="s">
        <v>600</v>
      </c>
      <c r="BL62" s="66" t="s">
        <v>600</v>
      </c>
      <c r="BM62" s="66" t="s">
        <v>600</v>
      </c>
      <c r="BN62" s="66" t="s">
        <v>600</v>
      </c>
      <c r="BO62" s="66" t="s">
        <v>600</v>
      </c>
      <c r="BP62" s="66" t="s">
        <v>600</v>
      </c>
      <c r="BQ62" s="66" t="s">
        <v>600</v>
      </c>
      <c r="BR62" s="70" t="e">
        <f>IF(E62&lt;#REF!,1,0)</f>
        <v>#REF!</v>
      </c>
      <c r="BS62" s="68" t="s">
        <v>601</v>
      </c>
    </row>
    <row r="63" ht="15.6" spans="1:71">
      <c r="A63" s="53" t="s">
        <v>511</v>
      </c>
      <c r="B63" s="53" t="s">
        <v>63</v>
      </c>
      <c r="C63" s="171" t="s">
        <v>64</v>
      </c>
      <c r="D63" s="169" t="s">
        <v>624</v>
      </c>
      <c r="E63" s="172">
        <v>28</v>
      </c>
      <c r="F63" s="173">
        <v>39.99</v>
      </c>
      <c r="G63" s="59">
        <f t="shared" si="43"/>
        <v>33.9915</v>
      </c>
      <c r="H63" s="59">
        <f t="shared" si="44"/>
        <v>28.32625</v>
      </c>
      <c r="I63" s="59">
        <f t="shared" si="45"/>
        <v>-2.44331120943953</v>
      </c>
      <c r="J63" s="60">
        <f t="shared" si="46"/>
        <v>-0.0872611146228403</v>
      </c>
      <c r="K63" s="57">
        <f t="shared" si="47"/>
        <v>33.325</v>
      </c>
      <c r="L63" s="163">
        <f t="shared" si="48"/>
        <v>0.159789947486872</v>
      </c>
      <c r="M63" s="59">
        <f t="shared" si="49"/>
        <v>5.325</v>
      </c>
      <c r="N63" s="57">
        <f t="shared" si="50"/>
        <v>98.5398230088496</v>
      </c>
      <c r="O63" s="57">
        <f t="shared" si="51"/>
        <v>1.58333333333333</v>
      </c>
      <c r="P63" s="53">
        <v>9</v>
      </c>
      <c r="Q63" s="62">
        <v>8</v>
      </c>
      <c r="R63" s="63">
        <f t="shared" si="52"/>
        <v>0.178571428571429</v>
      </c>
      <c r="S63" s="60">
        <f t="shared" si="53"/>
        <v>0.125031257814454</v>
      </c>
      <c r="T63" s="63">
        <v>0.05</v>
      </c>
      <c r="U63" s="63">
        <v>0.01</v>
      </c>
      <c r="V63" s="63">
        <f t="shared" si="54"/>
        <v>0.43990992414665</v>
      </c>
      <c r="W63" s="63">
        <f t="shared" si="55"/>
        <v>0.056547619047619</v>
      </c>
      <c r="X63" s="61">
        <v>0.188</v>
      </c>
      <c r="Y63" s="64">
        <v>5</v>
      </c>
      <c r="Z63" s="64">
        <f>F63*0.15</f>
        <v>5.9985</v>
      </c>
      <c r="AA63" s="64">
        <f t="shared" si="56"/>
        <v>0.28</v>
      </c>
      <c r="AB63" s="57">
        <f t="shared" si="57"/>
        <v>5.264</v>
      </c>
      <c r="AC63" s="57">
        <v>94.4</v>
      </c>
      <c r="AD63" s="65">
        <f t="shared" si="58"/>
        <v>83.5398230088496</v>
      </c>
      <c r="AE63" s="62">
        <f t="shared" si="62"/>
        <v>1.5</v>
      </c>
      <c r="AF63" s="63">
        <f t="shared" si="59"/>
        <v>0.372945638432364</v>
      </c>
      <c r="AG63" s="63">
        <f t="shared" si="60"/>
        <v>0.00669642857142857</v>
      </c>
      <c r="AH63" s="62">
        <v>15</v>
      </c>
      <c r="AI63" s="60">
        <f t="shared" si="61"/>
        <v>0.387499313852854</v>
      </c>
      <c r="AJ63" s="63"/>
      <c r="AK63" s="63"/>
      <c r="AL63" s="63"/>
      <c r="AM63" s="63"/>
      <c r="AN63" s="66"/>
      <c r="AO63" s="66"/>
      <c r="AP63" s="66"/>
      <c r="AQ63" s="66"/>
      <c r="AR63" s="66"/>
      <c r="AS63" s="66"/>
      <c r="AT63" s="66" t="s">
        <v>600</v>
      </c>
      <c r="AU63" s="66" t="s">
        <v>600</v>
      </c>
      <c r="AV63" s="66" t="s">
        <v>600</v>
      </c>
      <c r="AW63" s="66" t="s">
        <v>600</v>
      </c>
      <c r="AX63" s="66" t="s">
        <v>600</v>
      </c>
      <c r="AY63" s="66" t="s">
        <v>600</v>
      </c>
      <c r="AZ63" s="66" t="s">
        <v>600</v>
      </c>
      <c r="BA63" s="66" t="s">
        <v>600</v>
      </c>
      <c r="BB63" s="66" t="s">
        <v>600</v>
      </c>
      <c r="BC63" s="66" t="s">
        <v>600</v>
      </c>
      <c r="BD63" s="66" t="s">
        <v>600</v>
      </c>
      <c r="BE63" s="66" t="s">
        <v>600</v>
      </c>
      <c r="BF63" s="66" t="s">
        <v>600</v>
      </c>
      <c r="BG63" s="66" t="s">
        <v>600</v>
      </c>
      <c r="BH63" s="66" t="s">
        <v>600</v>
      </c>
      <c r="BI63" s="66" t="s">
        <v>600</v>
      </c>
      <c r="BJ63" s="66" t="s">
        <v>600</v>
      </c>
      <c r="BK63" s="66" t="s">
        <v>600</v>
      </c>
      <c r="BL63" s="66" t="s">
        <v>600</v>
      </c>
      <c r="BM63" s="66" t="s">
        <v>600</v>
      </c>
      <c r="BN63" s="66" t="s">
        <v>600</v>
      </c>
      <c r="BO63" s="66" t="s">
        <v>600</v>
      </c>
      <c r="BP63" s="66" t="s">
        <v>600</v>
      </c>
      <c r="BQ63" s="66" t="s">
        <v>600</v>
      </c>
      <c r="BR63" s="70" t="e">
        <f>IF(E63&lt;#REF!,1,0)</f>
        <v>#REF!</v>
      </c>
      <c r="BS63" s="68" t="s">
        <v>601</v>
      </c>
    </row>
    <row r="64" ht="15.6" spans="1:71">
      <c r="A64" s="53" t="s">
        <v>513</v>
      </c>
      <c r="B64" s="53" t="s">
        <v>63</v>
      </c>
      <c r="C64" s="171" t="s">
        <v>64</v>
      </c>
      <c r="D64" s="169" t="s">
        <v>621</v>
      </c>
      <c r="E64" s="172">
        <v>28</v>
      </c>
      <c r="F64" s="173">
        <v>39.99</v>
      </c>
      <c r="G64" s="59">
        <f t="shared" si="43"/>
        <v>39.99</v>
      </c>
      <c r="H64" s="59">
        <f t="shared" si="44"/>
        <v>33.325</v>
      </c>
      <c r="I64" s="59">
        <f t="shared" si="45"/>
        <v>3.44407767944936</v>
      </c>
      <c r="J64" s="60">
        <f t="shared" si="46"/>
        <v>0.123002774266049</v>
      </c>
      <c r="K64" s="57">
        <f t="shared" si="47"/>
        <v>33.325</v>
      </c>
      <c r="L64" s="163">
        <f t="shared" si="48"/>
        <v>0.159789947486872</v>
      </c>
      <c r="M64" s="59">
        <f t="shared" si="49"/>
        <v>5.325</v>
      </c>
      <c r="N64" s="57">
        <f t="shared" si="50"/>
        <v>98.5398230088496</v>
      </c>
      <c r="O64" s="57">
        <f t="shared" si="51"/>
        <v>1.69444444444444</v>
      </c>
      <c r="P64" s="53">
        <v>9</v>
      </c>
      <c r="Q64" s="62">
        <v>8</v>
      </c>
      <c r="R64" s="63">
        <f t="shared" si="52"/>
        <v>0.178571428571429</v>
      </c>
      <c r="S64" s="60">
        <f t="shared" si="53"/>
        <v>0.125031257814454</v>
      </c>
      <c r="T64" s="63">
        <v>0.05</v>
      </c>
      <c r="U64" s="63">
        <v>0.01</v>
      </c>
      <c r="V64" s="63">
        <f t="shared" si="54"/>
        <v>0.43990992414665</v>
      </c>
      <c r="W64" s="63">
        <f t="shared" si="55"/>
        <v>0.060515873015873</v>
      </c>
      <c r="X64" s="61">
        <v>0.188</v>
      </c>
      <c r="Y64" s="64">
        <v>5</v>
      </c>
      <c r="Z64" s="64">
        <v>0</v>
      </c>
      <c r="AA64" s="64">
        <f t="shared" si="56"/>
        <v>0.28</v>
      </c>
      <c r="AB64" s="57">
        <f t="shared" si="57"/>
        <v>5.264</v>
      </c>
      <c r="AC64" s="57">
        <v>94.4</v>
      </c>
      <c r="AD64" s="65">
        <f t="shared" si="58"/>
        <v>83.5398230088496</v>
      </c>
      <c r="AE64" s="62">
        <f t="shared" si="62"/>
        <v>1.5</v>
      </c>
      <c r="AF64" s="63">
        <f t="shared" si="59"/>
        <v>0.372945638432364</v>
      </c>
      <c r="AG64" s="63">
        <f t="shared" si="60"/>
        <v>0.00669642857142857</v>
      </c>
      <c r="AH64" s="62">
        <v>15</v>
      </c>
      <c r="AI64" s="60">
        <f t="shared" si="61"/>
        <v>0.31774943735934</v>
      </c>
      <c r="AJ64" s="63"/>
      <c r="AK64" s="63"/>
      <c r="AL64" s="63"/>
      <c r="AM64" s="63"/>
      <c r="AN64" s="66"/>
      <c r="AO64" s="66"/>
      <c r="AP64" s="66"/>
      <c r="AQ64" s="66"/>
      <c r="AR64" s="66"/>
      <c r="AS64" s="66"/>
      <c r="AT64" s="66" t="s">
        <v>600</v>
      </c>
      <c r="AU64" s="66" t="s">
        <v>600</v>
      </c>
      <c r="AV64" s="66" t="s">
        <v>600</v>
      </c>
      <c r="AW64" s="66" t="s">
        <v>600</v>
      </c>
      <c r="AX64" s="66" t="s">
        <v>600</v>
      </c>
      <c r="AY64" s="66" t="s">
        <v>600</v>
      </c>
      <c r="AZ64" s="66" t="s">
        <v>600</v>
      </c>
      <c r="BA64" s="66" t="s">
        <v>600</v>
      </c>
      <c r="BB64" s="66" t="s">
        <v>600</v>
      </c>
      <c r="BC64" s="66" t="s">
        <v>600</v>
      </c>
      <c r="BD64" s="66" t="s">
        <v>600</v>
      </c>
      <c r="BE64" s="66" t="s">
        <v>600</v>
      </c>
      <c r="BF64" s="66" t="s">
        <v>600</v>
      </c>
      <c r="BG64" s="66" t="s">
        <v>600</v>
      </c>
      <c r="BH64" s="66" t="s">
        <v>600</v>
      </c>
      <c r="BI64" s="66" t="s">
        <v>600</v>
      </c>
      <c r="BJ64" s="66" t="s">
        <v>600</v>
      </c>
      <c r="BK64" s="66" t="s">
        <v>600</v>
      </c>
      <c r="BL64" s="66" t="s">
        <v>600</v>
      </c>
      <c r="BM64" s="66" t="s">
        <v>600</v>
      </c>
      <c r="BN64" s="66" t="s">
        <v>600</v>
      </c>
      <c r="BO64" s="66" t="s">
        <v>600</v>
      </c>
      <c r="BP64" s="66" t="s">
        <v>600</v>
      </c>
      <c r="BQ64" s="66" t="s">
        <v>600</v>
      </c>
      <c r="BR64" s="70" t="e">
        <f>IF(#REF!&lt;E64,1,0)</f>
        <v>#REF!</v>
      </c>
      <c r="BS64" s="68" t="s">
        <v>601</v>
      </c>
    </row>
    <row r="65" ht="15.6" spans="1:71">
      <c r="A65" s="53" t="s">
        <v>513</v>
      </c>
      <c r="B65" s="53" t="s">
        <v>63</v>
      </c>
      <c r="C65" s="171" t="s">
        <v>64</v>
      </c>
      <c r="D65" s="162" t="s">
        <v>622</v>
      </c>
      <c r="E65" s="172">
        <v>28</v>
      </c>
      <c r="F65" s="173">
        <v>39.99</v>
      </c>
      <c r="G65" s="59">
        <f t="shared" si="43"/>
        <v>37.9905</v>
      </c>
      <c r="H65" s="59">
        <f t="shared" si="44"/>
        <v>31.65875</v>
      </c>
      <c r="I65" s="59">
        <f t="shared" si="45"/>
        <v>1.44457767944936</v>
      </c>
      <c r="J65" s="60">
        <f t="shared" si="46"/>
        <v>0.0515920599803343</v>
      </c>
      <c r="K65" s="57">
        <f t="shared" si="47"/>
        <v>33.325</v>
      </c>
      <c r="L65" s="163">
        <f t="shared" si="48"/>
        <v>0.159789947486872</v>
      </c>
      <c r="M65" s="59">
        <f t="shared" si="49"/>
        <v>5.325</v>
      </c>
      <c r="N65" s="57">
        <f t="shared" si="50"/>
        <v>98.5398230088496</v>
      </c>
      <c r="O65" s="57">
        <f t="shared" si="51"/>
        <v>1.69444444444444</v>
      </c>
      <c r="P65" s="53">
        <v>9</v>
      </c>
      <c r="Q65" s="62">
        <v>8</v>
      </c>
      <c r="R65" s="63">
        <f t="shared" si="52"/>
        <v>0.178571428571429</v>
      </c>
      <c r="S65" s="60">
        <f t="shared" si="53"/>
        <v>0.125031257814454</v>
      </c>
      <c r="T65" s="63">
        <v>0.05</v>
      </c>
      <c r="U65" s="63">
        <v>0.01</v>
      </c>
      <c r="V65" s="63">
        <f t="shared" si="54"/>
        <v>0.43990992414665</v>
      </c>
      <c r="W65" s="63">
        <f t="shared" si="55"/>
        <v>0.060515873015873</v>
      </c>
      <c r="X65" s="61">
        <v>0.188</v>
      </c>
      <c r="Y65" s="64">
        <v>5</v>
      </c>
      <c r="Z65" s="64">
        <f>F65*0.05</f>
        <v>1.9995</v>
      </c>
      <c r="AA65" s="64">
        <f t="shared" si="56"/>
        <v>0.28</v>
      </c>
      <c r="AB65" s="57">
        <f t="shared" si="57"/>
        <v>5.264</v>
      </c>
      <c r="AC65" s="57">
        <v>94.4</v>
      </c>
      <c r="AD65" s="65">
        <f t="shared" si="58"/>
        <v>83.5398230088496</v>
      </c>
      <c r="AE65" s="62">
        <f t="shared" si="62"/>
        <v>1.5</v>
      </c>
      <c r="AF65" s="63">
        <f t="shared" si="59"/>
        <v>0.372945638432364</v>
      </c>
      <c r="AG65" s="63">
        <f t="shared" si="60"/>
        <v>0.00669642857142857</v>
      </c>
      <c r="AH65" s="62">
        <v>15</v>
      </c>
      <c r="AI65" s="60">
        <f t="shared" si="61"/>
        <v>0.338031316339723</v>
      </c>
      <c r="AJ65" s="63"/>
      <c r="AK65" s="63"/>
      <c r="AL65" s="63"/>
      <c r="AM65" s="63"/>
      <c r="AN65" s="66"/>
      <c r="AO65" s="66"/>
      <c r="AP65" s="66"/>
      <c r="AQ65" s="66"/>
      <c r="AR65" s="66"/>
      <c r="AS65" s="66"/>
      <c r="AT65" s="66" t="s">
        <v>600</v>
      </c>
      <c r="AU65" s="66" t="s">
        <v>600</v>
      </c>
      <c r="AV65" s="66" t="s">
        <v>600</v>
      </c>
      <c r="AW65" s="66" t="s">
        <v>600</v>
      </c>
      <c r="AX65" s="66" t="s">
        <v>600</v>
      </c>
      <c r="AY65" s="66" t="s">
        <v>600</v>
      </c>
      <c r="AZ65" s="66" t="s">
        <v>600</v>
      </c>
      <c r="BA65" s="66" t="s">
        <v>600</v>
      </c>
      <c r="BB65" s="66" t="s">
        <v>600</v>
      </c>
      <c r="BC65" s="66" t="s">
        <v>600</v>
      </c>
      <c r="BD65" s="66" t="s">
        <v>600</v>
      </c>
      <c r="BE65" s="66" t="s">
        <v>600</v>
      </c>
      <c r="BF65" s="66" t="s">
        <v>600</v>
      </c>
      <c r="BG65" s="66" t="s">
        <v>600</v>
      </c>
      <c r="BH65" s="66" t="s">
        <v>600</v>
      </c>
      <c r="BI65" s="66" t="s">
        <v>600</v>
      </c>
      <c r="BJ65" s="66" t="s">
        <v>600</v>
      </c>
      <c r="BK65" s="66" t="s">
        <v>600</v>
      </c>
      <c r="BL65" s="66" t="s">
        <v>600</v>
      </c>
      <c r="BM65" s="66" t="s">
        <v>600</v>
      </c>
      <c r="BN65" s="66" t="s">
        <v>600</v>
      </c>
      <c r="BO65" s="66" t="s">
        <v>600</v>
      </c>
      <c r="BP65" s="66" t="s">
        <v>600</v>
      </c>
      <c r="BQ65" s="66" t="s">
        <v>600</v>
      </c>
      <c r="BR65" s="70" t="e">
        <f>IF(E65&lt;#REF!,1,0)</f>
        <v>#REF!</v>
      </c>
      <c r="BS65" s="68" t="s">
        <v>601</v>
      </c>
    </row>
    <row r="66" ht="15.6" spans="1:71">
      <c r="A66" s="53" t="s">
        <v>513</v>
      </c>
      <c r="B66" s="53" t="s">
        <v>63</v>
      </c>
      <c r="C66" s="171" t="s">
        <v>64</v>
      </c>
      <c r="D66" s="169" t="s">
        <v>623</v>
      </c>
      <c r="E66" s="172">
        <v>28</v>
      </c>
      <c r="F66" s="173">
        <v>39.99</v>
      </c>
      <c r="G66" s="59">
        <f t="shared" si="43"/>
        <v>35.991</v>
      </c>
      <c r="H66" s="59">
        <f t="shared" si="44"/>
        <v>29.9925</v>
      </c>
      <c r="I66" s="59">
        <f t="shared" si="45"/>
        <v>-0.55492232055064</v>
      </c>
      <c r="J66" s="60">
        <f t="shared" si="46"/>
        <v>-0.01981865430538</v>
      </c>
      <c r="K66" s="57">
        <f t="shared" si="47"/>
        <v>33.325</v>
      </c>
      <c r="L66" s="163">
        <f t="shared" si="48"/>
        <v>0.159789947486872</v>
      </c>
      <c r="M66" s="59">
        <f t="shared" si="49"/>
        <v>5.325</v>
      </c>
      <c r="N66" s="57">
        <f t="shared" si="50"/>
        <v>98.5398230088496</v>
      </c>
      <c r="O66" s="57">
        <f t="shared" si="51"/>
        <v>1.69444444444444</v>
      </c>
      <c r="P66" s="53">
        <v>9</v>
      </c>
      <c r="Q66" s="62">
        <v>8</v>
      </c>
      <c r="R66" s="63">
        <f t="shared" si="52"/>
        <v>0.178571428571429</v>
      </c>
      <c r="S66" s="60">
        <f t="shared" si="53"/>
        <v>0.125031257814454</v>
      </c>
      <c r="T66" s="63">
        <v>0.05</v>
      </c>
      <c r="U66" s="63">
        <v>0.01</v>
      </c>
      <c r="V66" s="63">
        <f t="shared" si="54"/>
        <v>0.43990992414665</v>
      </c>
      <c r="W66" s="63">
        <f t="shared" si="55"/>
        <v>0.060515873015873</v>
      </c>
      <c r="X66" s="61">
        <v>0.188</v>
      </c>
      <c r="Y66" s="64">
        <v>5</v>
      </c>
      <c r="Z66" s="64">
        <f>F66*0.1</f>
        <v>3.999</v>
      </c>
      <c r="AA66" s="64">
        <f t="shared" si="56"/>
        <v>0.28</v>
      </c>
      <c r="AB66" s="57">
        <f t="shared" si="57"/>
        <v>5.264</v>
      </c>
      <c r="AC66" s="57">
        <v>94.4</v>
      </c>
      <c r="AD66" s="65">
        <f t="shared" si="58"/>
        <v>83.5398230088496</v>
      </c>
      <c r="AE66" s="62">
        <f t="shared" si="62"/>
        <v>1.5</v>
      </c>
      <c r="AF66" s="63">
        <f t="shared" si="59"/>
        <v>0.372945638432364</v>
      </c>
      <c r="AG66" s="63">
        <f t="shared" si="60"/>
        <v>0.00669642857142857</v>
      </c>
      <c r="AH66" s="62">
        <v>15</v>
      </c>
      <c r="AI66" s="60">
        <f t="shared" si="61"/>
        <v>0.361078906090159</v>
      </c>
      <c r="AJ66" s="63"/>
      <c r="AK66" s="63"/>
      <c r="AL66" s="63"/>
      <c r="AM66" s="63"/>
      <c r="AN66" s="66"/>
      <c r="AO66" s="66"/>
      <c r="AP66" s="66"/>
      <c r="AQ66" s="66"/>
      <c r="AR66" s="66"/>
      <c r="AS66" s="66"/>
      <c r="AT66" s="66" t="s">
        <v>600</v>
      </c>
      <c r="AU66" s="66" t="s">
        <v>600</v>
      </c>
      <c r="AV66" s="66" t="s">
        <v>600</v>
      </c>
      <c r="AW66" s="66" t="s">
        <v>600</v>
      </c>
      <c r="AX66" s="66" t="s">
        <v>600</v>
      </c>
      <c r="AY66" s="66" t="s">
        <v>600</v>
      </c>
      <c r="AZ66" s="66" t="s">
        <v>600</v>
      </c>
      <c r="BA66" s="66" t="s">
        <v>600</v>
      </c>
      <c r="BB66" s="66" t="s">
        <v>600</v>
      </c>
      <c r="BC66" s="66" t="s">
        <v>600</v>
      </c>
      <c r="BD66" s="66" t="s">
        <v>600</v>
      </c>
      <c r="BE66" s="66" t="s">
        <v>600</v>
      </c>
      <c r="BF66" s="66" t="s">
        <v>600</v>
      </c>
      <c r="BG66" s="66" t="s">
        <v>600</v>
      </c>
      <c r="BH66" s="66" t="s">
        <v>600</v>
      </c>
      <c r="BI66" s="66" t="s">
        <v>600</v>
      </c>
      <c r="BJ66" s="66" t="s">
        <v>600</v>
      </c>
      <c r="BK66" s="66" t="s">
        <v>600</v>
      </c>
      <c r="BL66" s="66" t="s">
        <v>600</v>
      </c>
      <c r="BM66" s="66" t="s">
        <v>600</v>
      </c>
      <c r="BN66" s="66" t="s">
        <v>600</v>
      </c>
      <c r="BO66" s="66" t="s">
        <v>600</v>
      </c>
      <c r="BP66" s="66" t="s">
        <v>600</v>
      </c>
      <c r="BQ66" s="66" t="s">
        <v>600</v>
      </c>
      <c r="BR66" s="70" t="e">
        <f>IF(E66&lt;#REF!,1,0)</f>
        <v>#REF!</v>
      </c>
      <c r="BS66" s="68" t="s">
        <v>601</v>
      </c>
    </row>
    <row r="67" ht="15.6" spans="1:71">
      <c r="A67" s="53" t="s">
        <v>513</v>
      </c>
      <c r="B67" s="53" t="s">
        <v>63</v>
      </c>
      <c r="C67" s="171" t="s">
        <v>64</v>
      </c>
      <c r="D67" s="169" t="s">
        <v>624</v>
      </c>
      <c r="E67" s="172">
        <v>28</v>
      </c>
      <c r="F67" s="173">
        <v>39.99</v>
      </c>
      <c r="G67" s="59">
        <f t="shared" si="43"/>
        <v>33.9915</v>
      </c>
      <c r="H67" s="59">
        <f t="shared" si="44"/>
        <v>28.32625</v>
      </c>
      <c r="I67" s="59">
        <f t="shared" si="45"/>
        <v>-2.55442232055064</v>
      </c>
      <c r="J67" s="60">
        <f t="shared" si="46"/>
        <v>-0.0912293685910943</v>
      </c>
      <c r="K67" s="57">
        <f t="shared" si="47"/>
        <v>33.325</v>
      </c>
      <c r="L67" s="163">
        <f t="shared" si="48"/>
        <v>0.159789947486872</v>
      </c>
      <c r="M67" s="59">
        <f t="shared" si="49"/>
        <v>5.325</v>
      </c>
      <c r="N67" s="57">
        <f t="shared" si="50"/>
        <v>98.5398230088496</v>
      </c>
      <c r="O67" s="57">
        <f t="shared" si="51"/>
        <v>1.69444444444444</v>
      </c>
      <c r="P67" s="53">
        <v>9</v>
      </c>
      <c r="Q67" s="62">
        <v>8</v>
      </c>
      <c r="R67" s="63">
        <f t="shared" si="52"/>
        <v>0.178571428571429</v>
      </c>
      <c r="S67" s="60">
        <f t="shared" si="53"/>
        <v>0.125031257814454</v>
      </c>
      <c r="T67" s="63">
        <v>0.05</v>
      </c>
      <c r="U67" s="63">
        <v>0.01</v>
      </c>
      <c r="V67" s="63">
        <f t="shared" si="54"/>
        <v>0.43990992414665</v>
      </c>
      <c r="W67" s="63">
        <f t="shared" si="55"/>
        <v>0.060515873015873</v>
      </c>
      <c r="X67" s="61">
        <v>0.188</v>
      </c>
      <c r="Y67" s="64">
        <v>5</v>
      </c>
      <c r="Z67" s="64">
        <f>F67*0.15</f>
        <v>5.9985</v>
      </c>
      <c r="AA67" s="64">
        <f t="shared" si="56"/>
        <v>0.28</v>
      </c>
      <c r="AB67" s="57">
        <f t="shared" si="57"/>
        <v>5.264</v>
      </c>
      <c r="AC67" s="57">
        <v>94.4</v>
      </c>
      <c r="AD67" s="65">
        <f t="shared" si="58"/>
        <v>83.5398230088496</v>
      </c>
      <c r="AE67" s="62">
        <f t="shared" si="62"/>
        <v>1.5</v>
      </c>
      <c r="AF67" s="63">
        <f t="shared" si="59"/>
        <v>0.372945638432364</v>
      </c>
      <c r="AG67" s="63">
        <f t="shared" si="60"/>
        <v>0.00669642857142857</v>
      </c>
      <c r="AH67" s="62">
        <v>15</v>
      </c>
      <c r="AI67" s="60">
        <f t="shared" si="61"/>
        <v>0.387499313852854</v>
      </c>
      <c r="AJ67" s="63"/>
      <c r="AK67" s="63"/>
      <c r="AL67" s="63"/>
      <c r="AM67" s="63"/>
      <c r="AN67" s="66"/>
      <c r="AO67" s="66"/>
      <c r="AP67" s="66"/>
      <c r="AQ67" s="66"/>
      <c r="AR67" s="66"/>
      <c r="AS67" s="66"/>
      <c r="AT67" s="66" t="s">
        <v>600</v>
      </c>
      <c r="AU67" s="66" t="s">
        <v>600</v>
      </c>
      <c r="AV67" s="66" t="s">
        <v>600</v>
      </c>
      <c r="AW67" s="66" t="s">
        <v>600</v>
      </c>
      <c r="AX67" s="66" t="s">
        <v>600</v>
      </c>
      <c r="AY67" s="66" t="s">
        <v>600</v>
      </c>
      <c r="AZ67" s="66" t="s">
        <v>600</v>
      </c>
      <c r="BA67" s="66" t="s">
        <v>600</v>
      </c>
      <c r="BB67" s="66" t="s">
        <v>600</v>
      </c>
      <c r="BC67" s="66" t="s">
        <v>600</v>
      </c>
      <c r="BD67" s="66" t="s">
        <v>600</v>
      </c>
      <c r="BE67" s="66" t="s">
        <v>600</v>
      </c>
      <c r="BF67" s="66" t="s">
        <v>600</v>
      </c>
      <c r="BG67" s="66" t="s">
        <v>600</v>
      </c>
      <c r="BH67" s="66" t="s">
        <v>600</v>
      </c>
      <c r="BI67" s="66" t="s">
        <v>600</v>
      </c>
      <c r="BJ67" s="66" t="s">
        <v>600</v>
      </c>
      <c r="BK67" s="66" t="s">
        <v>600</v>
      </c>
      <c r="BL67" s="66" t="s">
        <v>600</v>
      </c>
      <c r="BM67" s="66" t="s">
        <v>600</v>
      </c>
      <c r="BN67" s="66" t="s">
        <v>600</v>
      </c>
      <c r="BO67" s="66" t="s">
        <v>600</v>
      </c>
      <c r="BP67" s="66" t="s">
        <v>600</v>
      </c>
      <c r="BQ67" s="66" t="s">
        <v>600</v>
      </c>
      <c r="BR67" s="70" t="e">
        <f>IF(E67&lt;#REF!,1,0)</f>
        <v>#REF!</v>
      </c>
      <c r="BS67" s="68" t="s">
        <v>601</v>
      </c>
    </row>
    <row r="68" ht="15.6" spans="1:71">
      <c r="A68" s="53" t="s">
        <v>516</v>
      </c>
      <c r="B68" s="53" t="s">
        <v>63</v>
      </c>
      <c r="C68" s="171" t="s">
        <v>64</v>
      </c>
      <c r="D68" s="162" t="s">
        <v>621</v>
      </c>
      <c r="E68" s="172">
        <v>28</v>
      </c>
      <c r="F68" s="173">
        <v>39.99</v>
      </c>
      <c r="G68" s="59">
        <f t="shared" si="43"/>
        <v>39.99</v>
      </c>
      <c r="H68" s="59">
        <f t="shared" si="44"/>
        <v>33.325</v>
      </c>
      <c r="I68" s="59">
        <f t="shared" si="45"/>
        <v>2.99963323500492</v>
      </c>
      <c r="J68" s="60">
        <f t="shared" si="46"/>
        <v>0.107129758393033</v>
      </c>
      <c r="K68" s="57">
        <f t="shared" si="47"/>
        <v>33.325</v>
      </c>
      <c r="L68" s="163">
        <f t="shared" si="48"/>
        <v>0.159789947486872</v>
      </c>
      <c r="M68" s="59">
        <f t="shared" si="49"/>
        <v>5.325</v>
      </c>
      <c r="N68" s="57">
        <f t="shared" si="50"/>
        <v>98.5398230088496</v>
      </c>
      <c r="O68" s="57">
        <f t="shared" si="51"/>
        <v>2.13888888888889</v>
      </c>
      <c r="P68" s="53">
        <v>9</v>
      </c>
      <c r="Q68" s="62">
        <v>8</v>
      </c>
      <c r="R68" s="63">
        <f t="shared" si="52"/>
        <v>0.178571428571429</v>
      </c>
      <c r="S68" s="60">
        <f t="shared" si="53"/>
        <v>0.125031257814454</v>
      </c>
      <c r="T68" s="63">
        <v>0.05</v>
      </c>
      <c r="U68" s="63">
        <v>0.01</v>
      </c>
      <c r="V68" s="63">
        <f t="shared" si="54"/>
        <v>0.43990992414665</v>
      </c>
      <c r="W68" s="63">
        <f t="shared" si="55"/>
        <v>0.0763888888888889</v>
      </c>
      <c r="X68" s="61">
        <v>0.188</v>
      </c>
      <c r="Y68" s="64">
        <v>5</v>
      </c>
      <c r="Z68" s="64">
        <v>0</v>
      </c>
      <c r="AA68" s="64">
        <f t="shared" si="56"/>
        <v>0.28</v>
      </c>
      <c r="AB68" s="57">
        <f t="shared" si="57"/>
        <v>5.264</v>
      </c>
      <c r="AC68" s="57">
        <v>94.4</v>
      </c>
      <c r="AD68" s="65">
        <f t="shared" si="58"/>
        <v>83.5398230088496</v>
      </c>
      <c r="AE68" s="62">
        <f t="shared" si="62"/>
        <v>1.5</v>
      </c>
      <c r="AF68" s="63">
        <f t="shared" si="59"/>
        <v>0.372945638432364</v>
      </c>
      <c r="AG68" s="63">
        <f t="shared" si="60"/>
        <v>0.00669642857142857</v>
      </c>
      <c r="AH68" s="62">
        <v>15</v>
      </c>
      <c r="AI68" s="60">
        <f t="shared" si="61"/>
        <v>0.31774943735934</v>
      </c>
      <c r="AJ68" s="63"/>
      <c r="AK68" s="63"/>
      <c r="AL68" s="63"/>
      <c r="AM68" s="63"/>
      <c r="AN68" s="66"/>
      <c r="AO68" s="66"/>
      <c r="AP68" s="66"/>
      <c r="AQ68" s="66"/>
      <c r="AR68" s="66"/>
      <c r="AS68" s="66"/>
      <c r="AT68" s="66" t="s">
        <v>600</v>
      </c>
      <c r="AU68" s="66" t="s">
        <v>600</v>
      </c>
      <c r="AV68" s="66" t="s">
        <v>600</v>
      </c>
      <c r="AW68" s="66" t="s">
        <v>600</v>
      </c>
      <c r="AX68" s="66" t="s">
        <v>600</v>
      </c>
      <c r="AY68" s="66" t="s">
        <v>600</v>
      </c>
      <c r="AZ68" s="66" t="s">
        <v>600</v>
      </c>
      <c r="BA68" s="66" t="s">
        <v>600</v>
      </c>
      <c r="BB68" s="66" t="s">
        <v>600</v>
      </c>
      <c r="BC68" s="66" t="s">
        <v>600</v>
      </c>
      <c r="BD68" s="66" t="s">
        <v>600</v>
      </c>
      <c r="BE68" s="66" t="s">
        <v>600</v>
      </c>
      <c r="BF68" s="66" t="s">
        <v>600</v>
      </c>
      <c r="BG68" s="66" t="s">
        <v>600</v>
      </c>
      <c r="BH68" s="66" t="s">
        <v>600</v>
      </c>
      <c r="BI68" s="66" t="s">
        <v>600</v>
      </c>
      <c r="BJ68" s="66" t="s">
        <v>600</v>
      </c>
      <c r="BK68" s="66" t="s">
        <v>600</v>
      </c>
      <c r="BL68" s="66" t="s">
        <v>600</v>
      </c>
      <c r="BM68" s="66" t="s">
        <v>600</v>
      </c>
      <c r="BN68" s="66" t="s">
        <v>600</v>
      </c>
      <c r="BO68" s="66" t="s">
        <v>600</v>
      </c>
      <c r="BP68" s="66" t="s">
        <v>600</v>
      </c>
      <c r="BQ68" s="66" t="s">
        <v>600</v>
      </c>
      <c r="BR68" s="70" t="e">
        <f>IF(#REF!&lt;E68,1,0)</f>
        <v>#REF!</v>
      </c>
      <c r="BS68" s="68" t="s">
        <v>601</v>
      </c>
    </row>
    <row r="69" ht="15.6" spans="1:71">
      <c r="A69" s="53" t="s">
        <v>516</v>
      </c>
      <c r="B69" s="53" t="s">
        <v>63</v>
      </c>
      <c r="C69" s="171" t="s">
        <v>64</v>
      </c>
      <c r="D69" s="162" t="s">
        <v>622</v>
      </c>
      <c r="E69" s="172">
        <v>28</v>
      </c>
      <c r="F69" s="173">
        <v>39.99</v>
      </c>
      <c r="G69" s="59">
        <f t="shared" si="43"/>
        <v>37.9905</v>
      </c>
      <c r="H69" s="59">
        <f t="shared" si="44"/>
        <v>31.65875</v>
      </c>
      <c r="I69" s="59">
        <f t="shared" si="45"/>
        <v>1.00013323500492</v>
      </c>
      <c r="J69" s="60">
        <f t="shared" si="46"/>
        <v>0.0357190441073184</v>
      </c>
      <c r="K69" s="57">
        <f t="shared" si="47"/>
        <v>33.325</v>
      </c>
      <c r="L69" s="163">
        <f t="shared" si="48"/>
        <v>0.159789947486872</v>
      </c>
      <c r="M69" s="59">
        <f t="shared" si="49"/>
        <v>5.325</v>
      </c>
      <c r="N69" s="57">
        <f t="shared" si="50"/>
        <v>98.5398230088496</v>
      </c>
      <c r="O69" s="57">
        <f t="shared" si="51"/>
        <v>2.13888888888889</v>
      </c>
      <c r="P69" s="53">
        <v>9</v>
      </c>
      <c r="Q69" s="62">
        <v>8</v>
      </c>
      <c r="R69" s="63">
        <f t="shared" si="52"/>
        <v>0.178571428571429</v>
      </c>
      <c r="S69" s="60">
        <f t="shared" si="53"/>
        <v>0.125031257814454</v>
      </c>
      <c r="T69" s="63">
        <v>0.05</v>
      </c>
      <c r="U69" s="63">
        <v>0.01</v>
      </c>
      <c r="V69" s="63">
        <f t="shared" si="54"/>
        <v>0.43990992414665</v>
      </c>
      <c r="W69" s="63">
        <f t="shared" si="55"/>
        <v>0.0763888888888889</v>
      </c>
      <c r="X69" s="61">
        <v>0.188</v>
      </c>
      <c r="Y69" s="64">
        <v>5</v>
      </c>
      <c r="Z69" s="64">
        <f>F69*0.05</f>
        <v>1.9995</v>
      </c>
      <c r="AA69" s="64">
        <f t="shared" si="56"/>
        <v>0.28</v>
      </c>
      <c r="AB69" s="57">
        <f t="shared" si="57"/>
        <v>5.264</v>
      </c>
      <c r="AC69" s="57">
        <v>94.4</v>
      </c>
      <c r="AD69" s="65">
        <f t="shared" si="58"/>
        <v>83.5398230088496</v>
      </c>
      <c r="AE69" s="62">
        <f t="shared" si="62"/>
        <v>1.5</v>
      </c>
      <c r="AF69" s="63">
        <f t="shared" si="59"/>
        <v>0.372945638432364</v>
      </c>
      <c r="AG69" s="63">
        <f t="shared" si="60"/>
        <v>0.00669642857142857</v>
      </c>
      <c r="AH69" s="62">
        <v>15</v>
      </c>
      <c r="AI69" s="60">
        <f t="shared" si="61"/>
        <v>0.338031316339723</v>
      </c>
      <c r="AJ69" s="63"/>
      <c r="AK69" s="63"/>
      <c r="AL69" s="63"/>
      <c r="AM69" s="63"/>
      <c r="AN69" s="66"/>
      <c r="AO69" s="66"/>
      <c r="AP69" s="66"/>
      <c r="AQ69" s="66"/>
      <c r="AR69" s="66"/>
      <c r="AS69" s="66"/>
      <c r="AT69" s="66" t="s">
        <v>600</v>
      </c>
      <c r="AU69" s="66" t="s">
        <v>600</v>
      </c>
      <c r="AV69" s="66" t="s">
        <v>600</v>
      </c>
      <c r="AW69" s="66" t="s">
        <v>600</v>
      </c>
      <c r="AX69" s="66" t="s">
        <v>600</v>
      </c>
      <c r="AY69" s="66" t="s">
        <v>600</v>
      </c>
      <c r="AZ69" s="66" t="s">
        <v>600</v>
      </c>
      <c r="BA69" s="66" t="s">
        <v>600</v>
      </c>
      <c r="BB69" s="66" t="s">
        <v>600</v>
      </c>
      <c r="BC69" s="66" t="s">
        <v>600</v>
      </c>
      <c r="BD69" s="66" t="s">
        <v>600</v>
      </c>
      <c r="BE69" s="66" t="s">
        <v>600</v>
      </c>
      <c r="BF69" s="66" t="s">
        <v>600</v>
      </c>
      <c r="BG69" s="66" t="s">
        <v>600</v>
      </c>
      <c r="BH69" s="66" t="s">
        <v>600</v>
      </c>
      <c r="BI69" s="66" t="s">
        <v>600</v>
      </c>
      <c r="BJ69" s="66" t="s">
        <v>600</v>
      </c>
      <c r="BK69" s="66" t="s">
        <v>600</v>
      </c>
      <c r="BL69" s="66" t="s">
        <v>600</v>
      </c>
      <c r="BM69" s="66" t="s">
        <v>600</v>
      </c>
      <c r="BN69" s="66" t="s">
        <v>600</v>
      </c>
      <c r="BO69" s="66" t="s">
        <v>600</v>
      </c>
      <c r="BP69" s="66" t="s">
        <v>600</v>
      </c>
      <c r="BQ69" s="66" t="s">
        <v>600</v>
      </c>
      <c r="BR69" s="70" t="e">
        <f>IF(E69&lt;#REF!,1,0)</f>
        <v>#REF!</v>
      </c>
      <c r="BS69" s="68" t="s">
        <v>601</v>
      </c>
    </row>
    <row r="70" ht="15.6" spans="1:71">
      <c r="A70" s="53" t="s">
        <v>516</v>
      </c>
      <c r="B70" s="53" t="s">
        <v>63</v>
      </c>
      <c r="C70" s="171" t="s">
        <v>64</v>
      </c>
      <c r="D70" s="162" t="s">
        <v>623</v>
      </c>
      <c r="E70" s="172">
        <v>28</v>
      </c>
      <c r="F70" s="173">
        <v>39.99</v>
      </c>
      <c r="G70" s="59">
        <f t="shared" si="43"/>
        <v>35.991</v>
      </c>
      <c r="H70" s="59">
        <f t="shared" si="44"/>
        <v>29.9925</v>
      </c>
      <c r="I70" s="59">
        <f t="shared" si="45"/>
        <v>-0.999366764995085</v>
      </c>
      <c r="J70" s="60">
        <f t="shared" si="46"/>
        <v>-0.0356916701783959</v>
      </c>
      <c r="K70" s="57">
        <f t="shared" si="47"/>
        <v>33.325</v>
      </c>
      <c r="L70" s="163">
        <f t="shared" si="48"/>
        <v>0.159789947486872</v>
      </c>
      <c r="M70" s="59">
        <f t="shared" si="49"/>
        <v>5.325</v>
      </c>
      <c r="N70" s="57">
        <f t="shared" si="50"/>
        <v>98.5398230088496</v>
      </c>
      <c r="O70" s="57">
        <f t="shared" si="51"/>
        <v>2.13888888888889</v>
      </c>
      <c r="P70" s="53">
        <v>9</v>
      </c>
      <c r="Q70" s="62">
        <v>8</v>
      </c>
      <c r="R70" s="63">
        <f t="shared" si="52"/>
        <v>0.178571428571429</v>
      </c>
      <c r="S70" s="60">
        <f t="shared" si="53"/>
        <v>0.125031257814454</v>
      </c>
      <c r="T70" s="63">
        <v>0.05</v>
      </c>
      <c r="U70" s="63">
        <v>0.01</v>
      </c>
      <c r="V70" s="63">
        <f t="shared" si="54"/>
        <v>0.43990992414665</v>
      </c>
      <c r="W70" s="63">
        <f t="shared" si="55"/>
        <v>0.0763888888888889</v>
      </c>
      <c r="X70" s="61">
        <v>0.188</v>
      </c>
      <c r="Y70" s="64">
        <v>5</v>
      </c>
      <c r="Z70" s="64">
        <f>F70*0.1</f>
        <v>3.999</v>
      </c>
      <c r="AA70" s="64">
        <f t="shared" si="56"/>
        <v>0.28</v>
      </c>
      <c r="AB70" s="57">
        <f t="shared" si="57"/>
        <v>5.264</v>
      </c>
      <c r="AC70" s="57">
        <v>94.4</v>
      </c>
      <c r="AD70" s="65">
        <f t="shared" si="58"/>
        <v>83.5398230088496</v>
      </c>
      <c r="AE70" s="62">
        <f t="shared" si="62"/>
        <v>1.5</v>
      </c>
      <c r="AF70" s="63">
        <f t="shared" si="59"/>
        <v>0.372945638432364</v>
      </c>
      <c r="AG70" s="63">
        <f t="shared" si="60"/>
        <v>0.00669642857142857</v>
      </c>
      <c r="AH70" s="62">
        <v>15</v>
      </c>
      <c r="AI70" s="60">
        <f t="shared" si="61"/>
        <v>0.361078906090159</v>
      </c>
      <c r="AJ70" s="63"/>
      <c r="AK70" s="63"/>
      <c r="AL70" s="63"/>
      <c r="AM70" s="63"/>
      <c r="AN70" s="66"/>
      <c r="AO70" s="66"/>
      <c r="AP70" s="66"/>
      <c r="AQ70" s="66"/>
      <c r="AR70" s="66"/>
      <c r="AS70" s="66"/>
      <c r="AT70" s="66" t="s">
        <v>600</v>
      </c>
      <c r="AU70" s="66" t="s">
        <v>600</v>
      </c>
      <c r="AV70" s="66" t="s">
        <v>600</v>
      </c>
      <c r="AW70" s="66" t="s">
        <v>600</v>
      </c>
      <c r="AX70" s="66" t="s">
        <v>600</v>
      </c>
      <c r="AY70" s="66" t="s">
        <v>600</v>
      </c>
      <c r="AZ70" s="66" t="s">
        <v>600</v>
      </c>
      <c r="BA70" s="66" t="s">
        <v>600</v>
      </c>
      <c r="BB70" s="66" t="s">
        <v>600</v>
      </c>
      <c r="BC70" s="66" t="s">
        <v>600</v>
      </c>
      <c r="BD70" s="66" t="s">
        <v>600</v>
      </c>
      <c r="BE70" s="66" t="s">
        <v>600</v>
      </c>
      <c r="BF70" s="66" t="s">
        <v>600</v>
      </c>
      <c r="BG70" s="66" t="s">
        <v>600</v>
      </c>
      <c r="BH70" s="66" t="s">
        <v>600</v>
      </c>
      <c r="BI70" s="66" t="s">
        <v>600</v>
      </c>
      <c r="BJ70" s="66" t="s">
        <v>600</v>
      </c>
      <c r="BK70" s="66" t="s">
        <v>600</v>
      </c>
      <c r="BL70" s="66" t="s">
        <v>600</v>
      </c>
      <c r="BM70" s="66" t="s">
        <v>600</v>
      </c>
      <c r="BN70" s="66" t="s">
        <v>600</v>
      </c>
      <c r="BO70" s="66" t="s">
        <v>600</v>
      </c>
      <c r="BP70" s="66" t="s">
        <v>600</v>
      </c>
      <c r="BQ70" s="66" t="s">
        <v>600</v>
      </c>
      <c r="BR70" s="70" t="e">
        <f>IF(E70&lt;#REF!,1,0)</f>
        <v>#REF!</v>
      </c>
      <c r="BS70" s="68" t="s">
        <v>601</v>
      </c>
    </row>
    <row r="71" ht="15.6" spans="1:71">
      <c r="A71" s="53" t="s">
        <v>516</v>
      </c>
      <c r="B71" s="53" t="s">
        <v>63</v>
      </c>
      <c r="C71" s="171" t="s">
        <v>64</v>
      </c>
      <c r="D71" s="162" t="s">
        <v>624</v>
      </c>
      <c r="E71" s="172">
        <v>28</v>
      </c>
      <c r="F71" s="173">
        <v>39.99</v>
      </c>
      <c r="G71" s="59">
        <f t="shared" si="43"/>
        <v>33.9915</v>
      </c>
      <c r="H71" s="59">
        <f t="shared" si="44"/>
        <v>28.32625</v>
      </c>
      <c r="I71" s="59">
        <f t="shared" si="45"/>
        <v>-2.99886676499508</v>
      </c>
      <c r="J71" s="60">
        <f t="shared" si="46"/>
        <v>-0.10710238446411</v>
      </c>
      <c r="K71" s="57">
        <f t="shared" si="47"/>
        <v>33.325</v>
      </c>
      <c r="L71" s="163">
        <f t="shared" si="48"/>
        <v>0.159789947486872</v>
      </c>
      <c r="M71" s="59">
        <f t="shared" si="49"/>
        <v>5.325</v>
      </c>
      <c r="N71" s="57">
        <f t="shared" si="50"/>
        <v>98.5398230088496</v>
      </c>
      <c r="O71" s="57">
        <f t="shared" si="51"/>
        <v>2.13888888888889</v>
      </c>
      <c r="P71" s="53">
        <v>9</v>
      </c>
      <c r="Q71" s="62">
        <v>8</v>
      </c>
      <c r="R71" s="63">
        <f t="shared" si="52"/>
        <v>0.178571428571429</v>
      </c>
      <c r="S71" s="60">
        <f t="shared" si="53"/>
        <v>0.125031257814454</v>
      </c>
      <c r="T71" s="63">
        <v>0.05</v>
      </c>
      <c r="U71" s="63">
        <v>0.01</v>
      </c>
      <c r="V71" s="63">
        <f t="shared" si="54"/>
        <v>0.43990992414665</v>
      </c>
      <c r="W71" s="63">
        <f t="shared" si="55"/>
        <v>0.0763888888888889</v>
      </c>
      <c r="X71" s="61">
        <v>0.188</v>
      </c>
      <c r="Y71" s="64">
        <v>5</v>
      </c>
      <c r="Z71" s="64">
        <f>F71*0.15</f>
        <v>5.9985</v>
      </c>
      <c r="AA71" s="64">
        <f t="shared" si="56"/>
        <v>0.28</v>
      </c>
      <c r="AB71" s="57">
        <f t="shared" si="57"/>
        <v>5.264</v>
      </c>
      <c r="AC71" s="57">
        <v>94.4</v>
      </c>
      <c r="AD71" s="65">
        <f t="shared" si="58"/>
        <v>83.5398230088496</v>
      </c>
      <c r="AE71" s="62">
        <f t="shared" si="62"/>
        <v>1.5</v>
      </c>
      <c r="AF71" s="63">
        <f t="shared" si="59"/>
        <v>0.372945638432364</v>
      </c>
      <c r="AG71" s="63">
        <f t="shared" si="60"/>
        <v>0.00669642857142857</v>
      </c>
      <c r="AH71" s="62">
        <v>15</v>
      </c>
      <c r="AI71" s="60">
        <f t="shared" si="61"/>
        <v>0.387499313852854</v>
      </c>
      <c r="AJ71" s="63"/>
      <c r="AK71" s="63"/>
      <c r="AL71" s="63"/>
      <c r="AM71" s="63"/>
      <c r="AN71" s="66"/>
      <c r="AO71" s="66"/>
      <c r="AP71" s="66"/>
      <c r="AQ71" s="66"/>
      <c r="AR71" s="66"/>
      <c r="AS71" s="66"/>
      <c r="AT71" s="66" t="s">
        <v>600</v>
      </c>
      <c r="AU71" s="66" t="s">
        <v>600</v>
      </c>
      <c r="AV71" s="66" t="s">
        <v>600</v>
      </c>
      <c r="AW71" s="66" t="s">
        <v>600</v>
      </c>
      <c r="AX71" s="66" t="s">
        <v>600</v>
      </c>
      <c r="AY71" s="66" t="s">
        <v>600</v>
      </c>
      <c r="AZ71" s="66" t="s">
        <v>600</v>
      </c>
      <c r="BA71" s="66" t="s">
        <v>600</v>
      </c>
      <c r="BB71" s="66" t="s">
        <v>600</v>
      </c>
      <c r="BC71" s="66" t="s">
        <v>600</v>
      </c>
      <c r="BD71" s="66" t="s">
        <v>600</v>
      </c>
      <c r="BE71" s="66" t="s">
        <v>600</v>
      </c>
      <c r="BF71" s="66" t="s">
        <v>600</v>
      </c>
      <c r="BG71" s="66" t="s">
        <v>600</v>
      </c>
      <c r="BH71" s="66" t="s">
        <v>600</v>
      </c>
      <c r="BI71" s="66" t="s">
        <v>600</v>
      </c>
      <c r="BJ71" s="66" t="s">
        <v>600</v>
      </c>
      <c r="BK71" s="66" t="s">
        <v>600</v>
      </c>
      <c r="BL71" s="66" t="s">
        <v>600</v>
      </c>
      <c r="BM71" s="66" t="s">
        <v>600</v>
      </c>
      <c r="BN71" s="66" t="s">
        <v>600</v>
      </c>
      <c r="BO71" s="66" t="s">
        <v>600</v>
      </c>
      <c r="BP71" s="66" t="s">
        <v>600</v>
      </c>
      <c r="BQ71" s="66" t="s">
        <v>600</v>
      </c>
      <c r="BR71" s="70" t="e">
        <f>IF(E71&lt;#REF!,1,0)</f>
        <v>#REF!</v>
      </c>
      <c r="BS71" s="68" t="s">
        <v>601</v>
      </c>
    </row>
    <row r="72" ht="15.6" spans="1:71">
      <c r="A72" s="53" t="s">
        <v>605</v>
      </c>
      <c r="B72" s="53" t="s">
        <v>63</v>
      </c>
      <c r="C72" s="171" t="s">
        <v>64</v>
      </c>
      <c r="D72" s="168" t="s">
        <v>625</v>
      </c>
      <c r="E72" s="172">
        <v>30</v>
      </c>
      <c r="F72" s="173">
        <v>44.99</v>
      </c>
      <c r="G72" s="59">
        <f t="shared" si="43"/>
        <v>44.99</v>
      </c>
      <c r="H72" s="59">
        <f t="shared" si="44"/>
        <v>37.4916666666667</v>
      </c>
      <c r="I72" s="59">
        <f t="shared" si="45"/>
        <v>4.88141101278269</v>
      </c>
      <c r="J72" s="60">
        <f t="shared" si="46"/>
        <v>0.16271370042609</v>
      </c>
      <c r="K72" s="57">
        <f t="shared" si="47"/>
        <v>37.4916666666667</v>
      </c>
      <c r="L72" s="163">
        <f t="shared" si="48"/>
        <v>0.199822182707268</v>
      </c>
      <c r="M72" s="59">
        <f t="shared" si="49"/>
        <v>7.49166666666667</v>
      </c>
      <c r="N72" s="57">
        <f t="shared" si="50"/>
        <v>98.5398230088496</v>
      </c>
      <c r="O72" s="57">
        <f t="shared" si="51"/>
        <v>1.86111111111111</v>
      </c>
      <c r="P72" s="53">
        <v>9</v>
      </c>
      <c r="Q72" s="62">
        <v>8</v>
      </c>
      <c r="R72" s="63">
        <f t="shared" si="52"/>
        <v>0.166666666666667</v>
      </c>
      <c r="S72" s="60">
        <f t="shared" si="53"/>
        <v>0.111135807957324</v>
      </c>
      <c r="T72" s="63">
        <v>0.05</v>
      </c>
      <c r="U72" s="63">
        <v>0.01</v>
      </c>
      <c r="V72" s="63">
        <f t="shared" si="54"/>
        <v>0.410582595870207</v>
      </c>
      <c r="W72" s="63">
        <f t="shared" si="55"/>
        <v>0.062037037037037</v>
      </c>
      <c r="X72" s="61">
        <v>0.188</v>
      </c>
      <c r="Y72" s="64">
        <v>5</v>
      </c>
      <c r="Z72" s="64">
        <v>0</v>
      </c>
      <c r="AA72" s="64">
        <f t="shared" si="56"/>
        <v>0.3</v>
      </c>
      <c r="AB72" s="57">
        <f t="shared" si="57"/>
        <v>5.64</v>
      </c>
      <c r="AC72" s="57">
        <v>94.4</v>
      </c>
      <c r="AD72" s="65">
        <f t="shared" si="58"/>
        <v>83.5398230088496</v>
      </c>
      <c r="AE72" s="62">
        <f t="shared" si="62"/>
        <v>1.5</v>
      </c>
      <c r="AF72" s="63">
        <f t="shared" si="59"/>
        <v>0.348082595870207</v>
      </c>
      <c r="AG72" s="63">
        <f t="shared" si="60"/>
        <v>0.00625</v>
      </c>
      <c r="AH72" s="62">
        <v>15</v>
      </c>
      <c r="AI72" s="60">
        <f t="shared" si="61"/>
        <v>0.350255612358302</v>
      </c>
      <c r="AJ72" s="63"/>
      <c r="AK72" s="63"/>
      <c r="AL72" s="63"/>
      <c r="AM72" s="63"/>
      <c r="AN72" s="66"/>
      <c r="AO72" s="66"/>
      <c r="AP72" s="66"/>
      <c r="AQ72" s="66"/>
      <c r="AR72" s="66"/>
      <c r="AS72" s="66"/>
      <c r="AT72" s="66" t="s">
        <v>600</v>
      </c>
      <c r="AU72" s="66" t="s">
        <v>600</v>
      </c>
      <c r="AV72" s="66" t="s">
        <v>600</v>
      </c>
      <c r="AW72" s="66" t="s">
        <v>600</v>
      </c>
      <c r="AX72" s="66" t="s">
        <v>600</v>
      </c>
      <c r="AY72" s="66" t="s">
        <v>600</v>
      </c>
      <c r="AZ72" s="66" t="s">
        <v>600</v>
      </c>
      <c r="BA72" s="66" t="s">
        <v>600</v>
      </c>
      <c r="BB72" s="66" t="s">
        <v>600</v>
      </c>
      <c r="BC72" s="66" t="s">
        <v>600</v>
      </c>
      <c r="BD72" s="66" t="s">
        <v>600</v>
      </c>
      <c r="BE72" s="66" t="s">
        <v>600</v>
      </c>
      <c r="BF72" s="66" t="s">
        <v>600</v>
      </c>
      <c r="BG72" s="66" t="s">
        <v>600</v>
      </c>
      <c r="BH72" s="66" t="s">
        <v>600</v>
      </c>
      <c r="BI72" s="66" t="s">
        <v>600</v>
      </c>
      <c r="BJ72" s="66" t="s">
        <v>600</v>
      </c>
      <c r="BK72" s="66" t="s">
        <v>600</v>
      </c>
      <c r="BL72" s="66" t="s">
        <v>600</v>
      </c>
      <c r="BM72" s="66" t="s">
        <v>600</v>
      </c>
      <c r="BN72" s="66" t="s">
        <v>600</v>
      </c>
      <c r="BO72" s="66" t="s">
        <v>600</v>
      </c>
      <c r="BP72" s="66" t="s">
        <v>600</v>
      </c>
      <c r="BQ72" s="66" t="s">
        <v>600</v>
      </c>
      <c r="BR72" s="70" t="e">
        <f>IF(E72&lt;#REF!,1,0)</f>
        <v>#REF!</v>
      </c>
      <c r="BS72" s="68" t="s">
        <v>601</v>
      </c>
    </row>
    <row r="73" ht="15.6" spans="1:71">
      <c r="A73" s="53" t="s">
        <v>607</v>
      </c>
      <c r="B73" s="53" t="s">
        <v>63</v>
      </c>
      <c r="C73" s="171" t="s">
        <v>64</v>
      </c>
      <c r="D73" s="166" t="s">
        <v>625</v>
      </c>
      <c r="E73" s="57">
        <v>30</v>
      </c>
      <c r="F73" s="69">
        <v>44.99</v>
      </c>
      <c r="G73" s="59">
        <f t="shared" si="43"/>
        <v>44.99</v>
      </c>
      <c r="H73" s="59">
        <f t="shared" si="44"/>
        <v>37.4916666666667</v>
      </c>
      <c r="I73" s="59">
        <f t="shared" si="45"/>
        <v>5.18141101278269</v>
      </c>
      <c r="J73" s="60">
        <f t="shared" si="46"/>
        <v>0.17271370042609</v>
      </c>
      <c r="K73" s="57">
        <f t="shared" si="47"/>
        <v>37.4916666666667</v>
      </c>
      <c r="L73" s="163">
        <f t="shared" si="48"/>
        <v>0.199822182707268</v>
      </c>
      <c r="M73" s="59">
        <f t="shared" si="49"/>
        <v>7.49166666666667</v>
      </c>
      <c r="N73" s="57">
        <f t="shared" si="50"/>
        <v>98.5398230088496</v>
      </c>
      <c r="O73" s="57">
        <f t="shared" si="51"/>
        <v>1.56111111111111</v>
      </c>
      <c r="P73" s="53">
        <v>9</v>
      </c>
      <c r="Q73" s="62">
        <v>8</v>
      </c>
      <c r="R73" s="63">
        <f t="shared" si="52"/>
        <v>0.166666666666667</v>
      </c>
      <c r="S73" s="60">
        <f t="shared" si="53"/>
        <v>0.111135807957324</v>
      </c>
      <c r="T73" s="63">
        <v>0.05</v>
      </c>
      <c r="U73" s="63">
        <v>0.01</v>
      </c>
      <c r="V73" s="63">
        <f t="shared" si="54"/>
        <v>0.410582595870207</v>
      </c>
      <c r="W73" s="63">
        <f t="shared" si="55"/>
        <v>0.052037037037037</v>
      </c>
      <c r="X73" s="61">
        <v>0.188</v>
      </c>
      <c r="Y73" s="64">
        <v>5</v>
      </c>
      <c r="Z73" s="64">
        <v>0</v>
      </c>
      <c r="AA73" s="64">
        <f t="shared" si="56"/>
        <v>0.3</v>
      </c>
      <c r="AB73" s="57">
        <f t="shared" si="57"/>
        <v>5.64</v>
      </c>
      <c r="AC73" s="57">
        <v>94.4</v>
      </c>
      <c r="AD73" s="65">
        <f t="shared" si="58"/>
        <v>83.5398230088496</v>
      </c>
      <c r="AE73" s="62">
        <f t="shared" si="62"/>
        <v>1.5</v>
      </c>
      <c r="AF73" s="63">
        <f t="shared" si="59"/>
        <v>0.348082595870207</v>
      </c>
      <c r="AG73" s="63">
        <f t="shared" si="60"/>
        <v>0.00625</v>
      </c>
      <c r="AH73" s="62">
        <v>15</v>
      </c>
      <c r="AI73" s="60">
        <f t="shared" si="61"/>
        <v>0.350255612358302</v>
      </c>
      <c r="AJ73" s="63"/>
      <c r="AK73" s="63"/>
      <c r="AL73" s="63"/>
      <c r="AM73" s="63"/>
      <c r="AN73" s="66"/>
      <c r="AO73" s="66"/>
      <c r="AP73" s="66"/>
      <c r="AQ73" s="66"/>
      <c r="AR73" s="66"/>
      <c r="AS73" s="66"/>
      <c r="AT73" s="66" t="s">
        <v>600</v>
      </c>
      <c r="AU73" s="66" t="s">
        <v>600</v>
      </c>
      <c r="AV73" s="66" t="s">
        <v>600</v>
      </c>
      <c r="AW73" s="66" t="s">
        <v>600</v>
      </c>
      <c r="AX73" s="66" t="s">
        <v>600</v>
      </c>
      <c r="AY73" s="66" t="s">
        <v>600</v>
      </c>
      <c r="AZ73" s="66" t="s">
        <v>600</v>
      </c>
      <c r="BA73" s="66" t="s">
        <v>600</v>
      </c>
      <c r="BB73" s="66" t="s">
        <v>600</v>
      </c>
      <c r="BC73" s="66" t="s">
        <v>600</v>
      </c>
      <c r="BD73" s="66" t="s">
        <v>600</v>
      </c>
      <c r="BE73" s="66" t="s">
        <v>600</v>
      </c>
      <c r="BF73" s="66" t="s">
        <v>600</v>
      </c>
      <c r="BG73" s="66" t="s">
        <v>600</v>
      </c>
      <c r="BH73" s="66" t="s">
        <v>600</v>
      </c>
      <c r="BI73" s="66" t="s">
        <v>600</v>
      </c>
      <c r="BJ73" s="66" t="s">
        <v>600</v>
      </c>
      <c r="BK73" s="66" t="s">
        <v>600</v>
      </c>
      <c r="BL73" s="66" t="s">
        <v>600</v>
      </c>
      <c r="BM73" s="66" t="s">
        <v>600</v>
      </c>
      <c r="BN73" s="66" t="s">
        <v>600</v>
      </c>
      <c r="BO73" s="66" t="s">
        <v>600</v>
      </c>
      <c r="BP73" s="66" t="s">
        <v>600</v>
      </c>
      <c r="BQ73" s="66" t="s">
        <v>600</v>
      </c>
      <c r="BR73" s="70" t="e">
        <f>IF(E73&lt;#REF!,1,0)</f>
        <v>#REF!</v>
      </c>
      <c r="BS73" s="68" t="s">
        <v>601</v>
      </c>
    </row>
    <row r="74" ht="15.6" spans="1:71">
      <c r="A74" s="53" t="s">
        <v>609</v>
      </c>
      <c r="B74" s="53" t="s">
        <v>63</v>
      </c>
      <c r="C74" s="171" t="s">
        <v>64</v>
      </c>
      <c r="D74" s="166" t="s">
        <v>625</v>
      </c>
      <c r="E74" s="57">
        <v>30</v>
      </c>
      <c r="F74" s="69">
        <v>44.99</v>
      </c>
      <c r="G74" s="59">
        <f t="shared" si="43"/>
        <v>44.99</v>
      </c>
      <c r="H74" s="59">
        <f t="shared" si="44"/>
        <v>37.4916666666667</v>
      </c>
      <c r="I74" s="59">
        <f t="shared" si="45"/>
        <v>4.71474434611603</v>
      </c>
      <c r="J74" s="60">
        <f t="shared" si="46"/>
        <v>0.157158144870534</v>
      </c>
      <c r="K74" s="57">
        <f t="shared" si="47"/>
        <v>37.4916666666667</v>
      </c>
      <c r="L74" s="163">
        <f t="shared" si="48"/>
        <v>0.199822182707268</v>
      </c>
      <c r="M74" s="59">
        <f t="shared" si="49"/>
        <v>7.49166666666667</v>
      </c>
      <c r="N74" s="57">
        <f t="shared" si="50"/>
        <v>98.5398230088496</v>
      </c>
      <c r="O74" s="57">
        <f t="shared" si="51"/>
        <v>2.02777777777778</v>
      </c>
      <c r="P74" s="53">
        <v>9</v>
      </c>
      <c r="Q74" s="62">
        <v>8</v>
      </c>
      <c r="R74" s="63">
        <f t="shared" si="52"/>
        <v>0.166666666666667</v>
      </c>
      <c r="S74" s="60">
        <f t="shared" si="53"/>
        <v>0.111135807957324</v>
      </c>
      <c r="T74" s="63">
        <v>0.05</v>
      </c>
      <c r="U74" s="63">
        <v>0.01</v>
      </c>
      <c r="V74" s="63">
        <f t="shared" si="54"/>
        <v>0.410582595870207</v>
      </c>
      <c r="W74" s="63">
        <f t="shared" si="55"/>
        <v>0.0675925925925926</v>
      </c>
      <c r="X74" s="61">
        <v>0.188</v>
      </c>
      <c r="Y74" s="64">
        <v>5</v>
      </c>
      <c r="Z74" s="64">
        <v>0</v>
      </c>
      <c r="AA74" s="64">
        <f t="shared" si="56"/>
        <v>0.3</v>
      </c>
      <c r="AB74" s="57">
        <f t="shared" si="57"/>
        <v>5.64</v>
      </c>
      <c r="AC74" s="57">
        <v>94.4</v>
      </c>
      <c r="AD74" s="65">
        <f t="shared" si="58"/>
        <v>83.5398230088496</v>
      </c>
      <c r="AE74" s="62">
        <f t="shared" si="62"/>
        <v>1.5</v>
      </c>
      <c r="AF74" s="63">
        <f t="shared" si="59"/>
        <v>0.348082595870207</v>
      </c>
      <c r="AG74" s="63">
        <f t="shared" si="60"/>
        <v>0.00625</v>
      </c>
      <c r="AH74" s="62">
        <v>15</v>
      </c>
      <c r="AI74" s="60">
        <f t="shared" si="61"/>
        <v>0.350255612358302</v>
      </c>
      <c r="AJ74" s="63"/>
      <c r="AK74" s="63"/>
      <c r="AL74" s="63"/>
      <c r="AM74" s="63"/>
      <c r="AN74" s="66"/>
      <c r="AO74" s="66"/>
      <c r="AP74" s="66"/>
      <c r="AQ74" s="66"/>
      <c r="AR74" s="66"/>
      <c r="AS74" s="66"/>
      <c r="AT74" s="66" t="s">
        <v>600</v>
      </c>
      <c r="AU74" s="66" t="s">
        <v>600</v>
      </c>
      <c r="AV74" s="66" t="s">
        <v>600</v>
      </c>
      <c r="AW74" s="66" t="s">
        <v>600</v>
      </c>
      <c r="AX74" s="66" t="s">
        <v>600</v>
      </c>
      <c r="AY74" s="66" t="s">
        <v>600</v>
      </c>
      <c r="AZ74" s="66" t="s">
        <v>600</v>
      </c>
      <c r="BA74" s="66" t="s">
        <v>600</v>
      </c>
      <c r="BB74" s="66" t="s">
        <v>600</v>
      </c>
      <c r="BC74" s="66" t="s">
        <v>600</v>
      </c>
      <c r="BD74" s="66" t="s">
        <v>600</v>
      </c>
      <c r="BE74" s="66" t="s">
        <v>600</v>
      </c>
      <c r="BF74" s="66" t="s">
        <v>600</v>
      </c>
      <c r="BG74" s="66" t="s">
        <v>600</v>
      </c>
      <c r="BH74" s="66" t="s">
        <v>600</v>
      </c>
      <c r="BI74" s="66" t="s">
        <v>600</v>
      </c>
      <c r="BJ74" s="66" t="s">
        <v>600</v>
      </c>
      <c r="BK74" s="66" t="s">
        <v>600</v>
      </c>
      <c r="BL74" s="66" t="s">
        <v>600</v>
      </c>
      <c r="BM74" s="66" t="s">
        <v>600</v>
      </c>
      <c r="BN74" s="66" t="s">
        <v>600</v>
      </c>
      <c r="BO74" s="66" t="s">
        <v>600</v>
      </c>
      <c r="BP74" s="66" t="s">
        <v>600</v>
      </c>
      <c r="BQ74" s="66" t="s">
        <v>600</v>
      </c>
      <c r="BR74" s="70" t="e">
        <f>IF(E74&lt;#REF!,1,0)</f>
        <v>#REF!</v>
      </c>
      <c r="BS74" s="68" t="s">
        <v>601</v>
      </c>
    </row>
    <row r="75" ht="15.6" spans="1:71">
      <c r="A75" s="53" t="s">
        <v>611</v>
      </c>
      <c r="B75" s="53" t="s">
        <v>63</v>
      </c>
      <c r="C75" s="171" t="s">
        <v>64</v>
      </c>
      <c r="D75" s="166" t="s">
        <v>625</v>
      </c>
      <c r="E75" s="172">
        <v>30</v>
      </c>
      <c r="F75" s="173">
        <v>44.99</v>
      </c>
      <c r="G75" s="59">
        <f t="shared" si="43"/>
        <v>44.99</v>
      </c>
      <c r="H75" s="59">
        <f t="shared" si="44"/>
        <v>37.4916666666667</v>
      </c>
      <c r="I75" s="59">
        <f t="shared" si="45"/>
        <v>5.15918879056047</v>
      </c>
      <c r="J75" s="60">
        <f t="shared" si="46"/>
        <v>0.171972959685349</v>
      </c>
      <c r="K75" s="57">
        <f t="shared" si="47"/>
        <v>37.4916666666667</v>
      </c>
      <c r="L75" s="163">
        <f t="shared" si="48"/>
        <v>0.199822182707268</v>
      </c>
      <c r="M75" s="59">
        <f t="shared" si="49"/>
        <v>7.49166666666667</v>
      </c>
      <c r="N75" s="57">
        <f t="shared" si="50"/>
        <v>98.5398230088496</v>
      </c>
      <c r="O75" s="57">
        <f t="shared" si="51"/>
        <v>1.58333333333333</v>
      </c>
      <c r="P75" s="53">
        <v>9</v>
      </c>
      <c r="Q75" s="62">
        <v>8</v>
      </c>
      <c r="R75" s="63">
        <f t="shared" si="52"/>
        <v>0.166666666666667</v>
      </c>
      <c r="S75" s="60">
        <f t="shared" si="53"/>
        <v>0.111135807957324</v>
      </c>
      <c r="T75" s="63">
        <v>0.05</v>
      </c>
      <c r="U75" s="63">
        <v>0.01</v>
      </c>
      <c r="V75" s="63">
        <f t="shared" si="54"/>
        <v>0.410582595870207</v>
      </c>
      <c r="W75" s="63">
        <f t="shared" si="55"/>
        <v>0.0527777777777778</v>
      </c>
      <c r="X75" s="61">
        <v>0.188</v>
      </c>
      <c r="Y75" s="64">
        <v>5</v>
      </c>
      <c r="Z75" s="64">
        <v>0</v>
      </c>
      <c r="AA75" s="64">
        <f t="shared" si="56"/>
        <v>0.3</v>
      </c>
      <c r="AB75" s="57">
        <f t="shared" si="57"/>
        <v>5.64</v>
      </c>
      <c r="AC75" s="57">
        <v>94.4</v>
      </c>
      <c r="AD75" s="65">
        <f t="shared" si="58"/>
        <v>83.5398230088496</v>
      </c>
      <c r="AE75" s="62">
        <f t="shared" si="62"/>
        <v>1.5</v>
      </c>
      <c r="AF75" s="63">
        <f t="shared" si="59"/>
        <v>0.348082595870207</v>
      </c>
      <c r="AG75" s="63">
        <f t="shared" si="60"/>
        <v>0.00625</v>
      </c>
      <c r="AH75" s="62">
        <v>15</v>
      </c>
      <c r="AI75" s="60">
        <f t="shared" si="61"/>
        <v>0.350255612358302</v>
      </c>
      <c r="AJ75" s="63"/>
      <c r="AK75" s="63"/>
      <c r="AL75" s="63"/>
      <c r="AM75" s="63"/>
      <c r="AN75" s="66"/>
      <c r="AO75" s="66"/>
      <c r="AP75" s="66"/>
      <c r="AQ75" s="66"/>
      <c r="AR75" s="66"/>
      <c r="AS75" s="66"/>
      <c r="AT75" s="66" t="s">
        <v>600</v>
      </c>
      <c r="AU75" s="66" t="s">
        <v>600</v>
      </c>
      <c r="AV75" s="66" t="s">
        <v>600</v>
      </c>
      <c r="AW75" s="66" t="s">
        <v>600</v>
      </c>
      <c r="AX75" s="66" t="s">
        <v>600</v>
      </c>
      <c r="AY75" s="66" t="s">
        <v>600</v>
      </c>
      <c r="AZ75" s="66" t="s">
        <v>600</v>
      </c>
      <c r="BA75" s="66" t="s">
        <v>600</v>
      </c>
      <c r="BB75" s="66" t="s">
        <v>600</v>
      </c>
      <c r="BC75" s="66" t="s">
        <v>600</v>
      </c>
      <c r="BD75" s="66" t="s">
        <v>600</v>
      </c>
      <c r="BE75" s="66" t="s">
        <v>600</v>
      </c>
      <c r="BF75" s="66" t="s">
        <v>600</v>
      </c>
      <c r="BG75" s="66" t="s">
        <v>600</v>
      </c>
      <c r="BH75" s="66" t="s">
        <v>600</v>
      </c>
      <c r="BI75" s="66" t="s">
        <v>600</v>
      </c>
      <c r="BJ75" s="66" t="s">
        <v>600</v>
      </c>
      <c r="BK75" s="66" t="s">
        <v>600</v>
      </c>
      <c r="BL75" s="66" t="s">
        <v>600</v>
      </c>
      <c r="BM75" s="66" t="s">
        <v>600</v>
      </c>
      <c r="BN75" s="66" t="s">
        <v>600</v>
      </c>
      <c r="BO75" s="66" t="s">
        <v>600</v>
      </c>
      <c r="BP75" s="66" t="s">
        <v>600</v>
      </c>
      <c r="BQ75" s="66" t="s">
        <v>600</v>
      </c>
      <c r="BR75" s="70" t="e">
        <f>IF(E75&lt;#REF!,1,0)</f>
        <v>#REF!</v>
      </c>
      <c r="BS75" s="68" t="s">
        <v>601</v>
      </c>
    </row>
    <row r="76" ht="15.6" spans="1:71">
      <c r="A76" s="15"/>
      <c r="B76" s="15"/>
      <c r="C76" s="15"/>
      <c r="D76" s="15"/>
      <c r="E76" s="57"/>
      <c r="F76" s="69"/>
      <c r="G76" s="59"/>
      <c r="H76" s="59"/>
      <c r="I76" s="59"/>
      <c r="J76" s="60"/>
      <c r="K76" s="57"/>
      <c r="L76" s="57"/>
      <c r="M76" s="57"/>
      <c r="N76" s="57"/>
      <c r="O76" s="57"/>
      <c r="P76" s="53"/>
      <c r="Q76" s="62"/>
      <c r="R76" s="63"/>
      <c r="S76" s="60"/>
      <c r="T76" s="63"/>
      <c r="U76" s="63"/>
      <c r="V76" s="63"/>
      <c r="W76" s="63"/>
      <c r="X76" s="61"/>
      <c r="Y76" s="64"/>
      <c r="Z76" s="64"/>
      <c r="AA76" s="64"/>
      <c r="AB76" s="57"/>
      <c r="AC76" s="57"/>
      <c r="AD76" s="65"/>
      <c r="AE76" s="62"/>
      <c r="AF76" s="63"/>
      <c r="AG76" s="63"/>
      <c r="AH76" s="62"/>
      <c r="AI76" s="63"/>
      <c r="AJ76" s="63"/>
      <c r="AK76" s="63"/>
      <c r="AL76" s="63"/>
      <c r="AM76" s="63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70"/>
      <c r="BS76" s="68"/>
    </row>
    <row r="77" ht="15.6" spans="1:71">
      <c r="A77" s="68" t="s">
        <v>300</v>
      </c>
      <c r="B77" s="53" t="s">
        <v>30</v>
      </c>
      <c r="C77" s="53" t="s">
        <v>626</v>
      </c>
      <c r="D77" s="168" t="s">
        <v>599</v>
      </c>
      <c r="E77" s="58">
        <v>55</v>
      </c>
      <c r="F77" s="167">
        <v>79.99</v>
      </c>
      <c r="G77" s="59">
        <f t="shared" ref="G77:G100" si="63">(F77-Z77)</f>
        <v>79.99</v>
      </c>
      <c r="H77" s="59">
        <f t="shared" ref="H77:H100" si="64">(F77-Z77)/1.2</f>
        <v>66.6583333333333</v>
      </c>
      <c r="I77" s="59">
        <f t="shared" ref="I77:I100" si="65">E77-N77/Q77-AB77-Y77-O77-Z77-AA77</f>
        <v>14.50116273353</v>
      </c>
      <c r="J77" s="60">
        <f t="shared" ref="J77:J100" si="66">I77/E77</f>
        <v>0.263657504246</v>
      </c>
      <c r="K77" s="57">
        <f t="shared" ref="K77:K100" si="67">F77/1.2</f>
        <v>66.6583333333333</v>
      </c>
      <c r="L77" s="163">
        <f t="shared" ref="L77:L100" si="68">(K77-E77)/K77</f>
        <v>0.174896862107763</v>
      </c>
      <c r="M77" s="59">
        <f t="shared" ref="M77:M100" si="69">F77/1.2-E77</f>
        <v>11.6583333333333</v>
      </c>
      <c r="N77" s="57">
        <f t="shared" ref="N77:N100" si="70">AD77+AH77</f>
        <v>179.29203539823</v>
      </c>
      <c r="O77" s="57">
        <f t="shared" ref="O77:O100" si="71">IFERROR(IF(A77="UK",8.95/P77,IF(A77="DE",7.75/P77,IF(A77="FR",14.25/P77,IF(A77="IT",15.25/P77,IF(A77="ES",19.25/P77,IF(A77="NL",16.75/P77,IF(A77="PL",14.05/P77,IF(A77="SE",18.25/P77,IF(A77="BE",14.25/P77))))))))),0)</f>
        <v>2.2375</v>
      </c>
      <c r="P77" s="68">
        <v>4</v>
      </c>
      <c r="Q77" s="62">
        <v>9</v>
      </c>
      <c r="R77" s="63">
        <f t="shared" ref="R77:R100" si="72">Y77/E77</f>
        <v>0.145454545454545</v>
      </c>
      <c r="S77" s="60">
        <f>Y77/H77</f>
        <v>0.120015001875234</v>
      </c>
      <c r="T77" s="63">
        <f t="shared" ref="T77:T100" si="73">Z77/E77</f>
        <v>0</v>
      </c>
      <c r="U77" s="63">
        <v>0.01</v>
      </c>
      <c r="V77" s="63">
        <f t="shared" ref="V77:V100" si="74">N77/(E77*Q77)</f>
        <v>0.362206132117637</v>
      </c>
      <c r="W77" s="63">
        <f t="shared" ref="W77:W100" si="75">O77/E77</f>
        <v>0.0406818181818182</v>
      </c>
      <c r="X77" s="61">
        <v>0.178</v>
      </c>
      <c r="Y77" s="64">
        <v>8</v>
      </c>
      <c r="Z77" s="64">
        <f>F77*0</f>
        <v>0</v>
      </c>
      <c r="AA77" s="64">
        <f t="shared" ref="AA77:AA100" si="76">E77*U77</f>
        <v>0.55</v>
      </c>
      <c r="AB77" s="57">
        <f t="shared" ref="AB77:AB100" si="77">E77*X77</f>
        <v>9.79</v>
      </c>
      <c r="AC77" s="57">
        <v>180</v>
      </c>
      <c r="AD77" s="65">
        <f t="shared" ref="AD77:AD100" si="78">AC77/1.13</f>
        <v>159.29203539823</v>
      </c>
      <c r="AE77" s="62">
        <f t="shared" ref="AE77:AE100" si="79">AH77/Q77</f>
        <v>2.22222222222222</v>
      </c>
      <c r="AF77" s="63">
        <f t="shared" ref="AF77:AF100" si="80">AD77/(E77*Q77)</f>
        <v>0.321802091713596</v>
      </c>
      <c r="AG77" s="63">
        <f t="shared" ref="AG77:AG100" si="81">AE77/E77</f>
        <v>0.0404040404040404</v>
      </c>
      <c r="AH77" s="62">
        <v>20</v>
      </c>
      <c r="AI77" s="63">
        <f t="shared" ref="AI77:AI87" si="82">(H77-E77+AB77)/H77</f>
        <v>0.321765220652582</v>
      </c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6" t="s">
        <v>600</v>
      </c>
      <c r="AU77" s="66" t="s">
        <v>600</v>
      </c>
      <c r="AV77" s="66" t="s">
        <v>600</v>
      </c>
      <c r="AW77" s="66" t="s">
        <v>600</v>
      </c>
      <c r="AX77" s="66" t="s">
        <v>600</v>
      </c>
      <c r="AY77" s="66" t="s">
        <v>600</v>
      </c>
      <c r="AZ77" s="66" t="s">
        <v>600</v>
      </c>
      <c r="BA77" s="66" t="s">
        <v>600</v>
      </c>
      <c r="BB77" s="66" t="s">
        <v>600</v>
      </c>
      <c r="BC77" s="66" t="s">
        <v>600</v>
      </c>
      <c r="BD77" s="66" t="s">
        <v>600</v>
      </c>
      <c r="BE77" s="66" t="s">
        <v>600</v>
      </c>
      <c r="BF77" s="66" t="s">
        <v>600</v>
      </c>
      <c r="BG77" s="66" t="s">
        <v>600</v>
      </c>
      <c r="BH77" s="66" t="s">
        <v>600</v>
      </c>
      <c r="BI77" s="66" t="s">
        <v>600</v>
      </c>
      <c r="BJ77" s="66" t="s">
        <v>600</v>
      </c>
      <c r="BK77" s="66" t="s">
        <v>600</v>
      </c>
      <c r="BL77" s="66" t="s">
        <v>600</v>
      </c>
      <c r="BM77" s="66" t="s">
        <v>600</v>
      </c>
      <c r="BN77" s="66" t="s">
        <v>600</v>
      </c>
      <c r="BO77" s="66" t="s">
        <v>600</v>
      </c>
      <c r="BP77" s="66" t="s">
        <v>600</v>
      </c>
      <c r="BQ77" s="66" t="s">
        <v>600</v>
      </c>
      <c r="BR77" s="164"/>
      <c r="BS77" s="68" t="s">
        <v>601</v>
      </c>
    </row>
    <row r="78" ht="15.6" spans="1:71">
      <c r="A78" s="68" t="s">
        <v>300</v>
      </c>
      <c r="B78" s="53" t="s">
        <v>30</v>
      </c>
      <c r="C78" s="53" t="s">
        <v>626</v>
      </c>
      <c r="D78" s="168" t="s">
        <v>602</v>
      </c>
      <c r="E78" s="58">
        <v>55</v>
      </c>
      <c r="F78" s="56">
        <v>79.99</v>
      </c>
      <c r="G78" s="59">
        <f t="shared" si="63"/>
        <v>75.9905</v>
      </c>
      <c r="H78" s="59">
        <f t="shared" si="64"/>
        <v>63.3254166666667</v>
      </c>
      <c r="I78" s="165">
        <f t="shared" si="65"/>
        <v>10.50166273353</v>
      </c>
      <c r="J78" s="60">
        <f t="shared" si="66"/>
        <v>0.190939322427818</v>
      </c>
      <c r="K78" s="57">
        <f t="shared" si="67"/>
        <v>66.6583333333333</v>
      </c>
      <c r="L78" s="163">
        <f t="shared" si="68"/>
        <v>0.174896862107763</v>
      </c>
      <c r="M78" s="59">
        <f t="shared" si="69"/>
        <v>11.6583333333333</v>
      </c>
      <c r="N78" s="57">
        <f t="shared" si="70"/>
        <v>179.29203539823</v>
      </c>
      <c r="O78" s="57">
        <f t="shared" si="71"/>
        <v>2.2375</v>
      </c>
      <c r="P78" s="53">
        <v>4</v>
      </c>
      <c r="Q78" s="62">
        <v>9</v>
      </c>
      <c r="R78" s="63">
        <f t="shared" si="72"/>
        <v>0.145454545454545</v>
      </c>
      <c r="S78" s="60">
        <f>Y78/H78</f>
        <v>0.126331580921299</v>
      </c>
      <c r="T78" s="63">
        <f t="shared" si="73"/>
        <v>0.0727181818181818</v>
      </c>
      <c r="U78" s="63">
        <v>0.01</v>
      </c>
      <c r="V78" s="63">
        <f t="shared" si="74"/>
        <v>0.362206132117637</v>
      </c>
      <c r="W78" s="63">
        <f t="shared" si="75"/>
        <v>0.0406818181818182</v>
      </c>
      <c r="X78" s="61">
        <v>0.178</v>
      </c>
      <c r="Y78" s="64">
        <v>8</v>
      </c>
      <c r="Z78" s="64">
        <f>F78*0.05</f>
        <v>3.9995</v>
      </c>
      <c r="AA78" s="64">
        <f t="shared" si="76"/>
        <v>0.55</v>
      </c>
      <c r="AB78" s="57">
        <f t="shared" si="77"/>
        <v>9.79</v>
      </c>
      <c r="AC78" s="57">
        <v>180</v>
      </c>
      <c r="AD78" s="65">
        <f t="shared" si="78"/>
        <v>159.29203539823</v>
      </c>
      <c r="AE78" s="62">
        <f t="shared" si="79"/>
        <v>2.22222222222222</v>
      </c>
      <c r="AF78" s="63">
        <f t="shared" si="80"/>
        <v>0.321802091713596</v>
      </c>
      <c r="AG78" s="63">
        <f t="shared" si="81"/>
        <v>0.0404040404040404</v>
      </c>
      <c r="AH78" s="62">
        <v>20</v>
      </c>
      <c r="AI78" s="63">
        <f t="shared" si="82"/>
        <v>0.286068653318507</v>
      </c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6" t="s">
        <v>600</v>
      </c>
      <c r="AU78" s="66" t="s">
        <v>600</v>
      </c>
      <c r="AV78" s="66" t="s">
        <v>600</v>
      </c>
      <c r="AW78" s="66" t="s">
        <v>600</v>
      </c>
      <c r="AX78" s="66" t="s">
        <v>600</v>
      </c>
      <c r="AY78" s="66" t="s">
        <v>600</v>
      </c>
      <c r="AZ78" s="66" t="s">
        <v>600</v>
      </c>
      <c r="BA78" s="66" t="s">
        <v>600</v>
      </c>
      <c r="BB78" s="66" t="s">
        <v>600</v>
      </c>
      <c r="BC78" s="66" t="s">
        <v>600</v>
      </c>
      <c r="BD78" s="66" t="s">
        <v>600</v>
      </c>
      <c r="BE78" s="66" t="s">
        <v>600</v>
      </c>
      <c r="BF78" s="66" t="s">
        <v>600</v>
      </c>
      <c r="BG78" s="66" t="s">
        <v>600</v>
      </c>
      <c r="BH78" s="66" t="s">
        <v>600</v>
      </c>
      <c r="BI78" s="66" t="s">
        <v>600</v>
      </c>
      <c r="BJ78" s="66" t="s">
        <v>600</v>
      </c>
      <c r="BK78" s="66" t="s">
        <v>600</v>
      </c>
      <c r="BL78" s="66" t="s">
        <v>600</v>
      </c>
      <c r="BM78" s="66" t="s">
        <v>600</v>
      </c>
      <c r="BN78" s="66" t="s">
        <v>600</v>
      </c>
      <c r="BO78" s="66" t="s">
        <v>600</v>
      </c>
      <c r="BP78" s="66" t="s">
        <v>600</v>
      </c>
      <c r="BQ78" s="66" t="s">
        <v>600</v>
      </c>
      <c r="BR78" s="164"/>
      <c r="BS78" s="68" t="s">
        <v>601</v>
      </c>
    </row>
    <row r="79" ht="15.6" spans="1:71">
      <c r="A79" s="68" t="s">
        <v>300</v>
      </c>
      <c r="B79" s="53" t="s">
        <v>30</v>
      </c>
      <c r="C79" s="53" t="s">
        <v>626</v>
      </c>
      <c r="D79" s="168" t="s">
        <v>603</v>
      </c>
      <c r="E79" s="58">
        <v>55</v>
      </c>
      <c r="F79" s="56">
        <v>79.99</v>
      </c>
      <c r="G79" s="59">
        <f t="shared" si="63"/>
        <v>71.991</v>
      </c>
      <c r="H79" s="59">
        <f t="shared" si="64"/>
        <v>59.9925</v>
      </c>
      <c r="I79" s="59">
        <f t="shared" si="65"/>
        <v>6.50216273352999</v>
      </c>
      <c r="J79" s="60">
        <f t="shared" si="66"/>
        <v>0.118221140609636</v>
      </c>
      <c r="K79" s="57">
        <f t="shared" si="67"/>
        <v>66.6583333333333</v>
      </c>
      <c r="L79" s="163">
        <f t="shared" si="68"/>
        <v>0.174896862107763</v>
      </c>
      <c r="M79" s="59">
        <f t="shared" si="69"/>
        <v>11.6583333333333</v>
      </c>
      <c r="N79" s="57">
        <f t="shared" si="70"/>
        <v>179.29203539823</v>
      </c>
      <c r="O79" s="57">
        <f t="shared" si="71"/>
        <v>2.2375</v>
      </c>
      <c r="P79" s="53">
        <v>4</v>
      </c>
      <c r="Q79" s="62">
        <v>9</v>
      </c>
      <c r="R79" s="63">
        <f t="shared" si="72"/>
        <v>0.145454545454545</v>
      </c>
      <c r="S79" s="60">
        <f>Y79/H79</f>
        <v>0.133350002083594</v>
      </c>
      <c r="T79" s="63">
        <f t="shared" si="73"/>
        <v>0.145436363636364</v>
      </c>
      <c r="U79" s="63">
        <v>0.01</v>
      </c>
      <c r="V79" s="63">
        <f t="shared" si="74"/>
        <v>0.362206132117637</v>
      </c>
      <c r="W79" s="63">
        <f t="shared" si="75"/>
        <v>0.0406818181818182</v>
      </c>
      <c r="X79" s="61">
        <v>0.178</v>
      </c>
      <c r="Y79" s="64">
        <v>8</v>
      </c>
      <c r="Z79" s="64">
        <f>F79*0.1</f>
        <v>7.999</v>
      </c>
      <c r="AA79" s="64">
        <f t="shared" si="76"/>
        <v>0.55</v>
      </c>
      <c r="AB79" s="57">
        <f t="shared" si="77"/>
        <v>9.79</v>
      </c>
      <c r="AC79" s="57">
        <v>180</v>
      </c>
      <c r="AD79" s="65">
        <f t="shared" si="78"/>
        <v>159.29203539823</v>
      </c>
      <c r="AE79" s="62">
        <f t="shared" si="79"/>
        <v>2.22222222222222</v>
      </c>
      <c r="AF79" s="63">
        <f t="shared" si="80"/>
        <v>0.321802091713596</v>
      </c>
      <c r="AG79" s="63">
        <f t="shared" si="81"/>
        <v>0.0404040404040404</v>
      </c>
      <c r="AH79" s="62">
        <v>20</v>
      </c>
      <c r="AI79" s="63">
        <f t="shared" si="82"/>
        <v>0.246405800725091</v>
      </c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6" t="s">
        <v>600</v>
      </c>
      <c r="AU79" s="66" t="s">
        <v>600</v>
      </c>
      <c r="AV79" s="66" t="s">
        <v>600</v>
      </c>
      <c r="AW79" s="66" t="s">
        <v>600</v>
      </c>
      <c r="AX79" s="66" t="s">
        <v>600</v>
      </c>
      <c r="AY79" s="66" t="s">
        <v>600</v>
      </c>
      <c r="AZ79" s="66" t="s">
        <v>600</v>
      </c>
      <c r="BA79" s="66" t="s">
        <v>600</v>
      </c>
      <c r="BB79" s="66" t="s">
        <v>600</v>
      </c>
      <c r="BC79" s="66" t="s">
        <v>600</v>
      </c>
      <c r="BD79" s="66" t="s">
        <v>600</v>
      </c>
      <c r="BE79" s="66" t="s">
        <v>600</v>
      </c>
      <c r="BF79" s="66" t="s">
        <v>600</v>
      </c>
      <c r="BG79" s="66" t="s">
        <v>600</v>
      </c>
      <c r="BH79" s="66" t="s">
        <v>600</v>
      </c>
      <c r="BI79" s="66" t="s">
        <v>600</v>
      </c>
      <c r="BJ79" s="66" t="s">
        <v>600</v>
      </c>
      <c r="BK79" s="66" t="s">
        <v>600</v>
      </c>
      <c r="BL79" s="66" t="s">
        <v>600</v>
      </c>
      <c r="BM79" s="66" t="s">
        <v>600</v>
      </c>
      <c r="BN79" s="66" t="s">
        <v>600</v>
      </c>
      <c r="BO79" s="66" t="s">
        <v>600</v>
      </c>
      <c r="BP79" s="66" t="s">
        <v>600</v>
      </c>
      <c r="BQ79" s="66" t="s">
        <v>600</v>
      </c>
      <c r="BR79" s="164"/>
      <c r="BS79" s="68" t="s">
        <v>601</v>
      </c>
    </row>
    <row r="80" ht="15.6" spans="1:71">
      <c r="A80" s="68" t="s">
        <v>300</v>
      </c>
      <c r="B80" s="53" t="s">
        <v>30</v>
      </c>
      <c r="C80" s="53" t="s">
        <v>626</v>
      </c>
      <c r="D80" s="168" t="s">
        <v>604</v>
      </c>
      <c r="E80" s="58">
        <v>55</v>
      </c>
      <c r="F80" s="56">
        <v>79.99</v>
      </c>
      <c r="G80" s="59">
        <f t="shared" si="63"/>
        <v>67.9915</v>
      </c>
      <c r="H80" s="59">
        <f t="shared" si="64"/>
        <v>56.6595833333333</v>
      </c>
      <c r="I80" s="59">
        <f t="shared" si="65"/>
        <v>2.50266273352999</v>
      </c>
      <c r="J80" s="60">
        <f t="shared" si="66"/>
        <v>0.0455029587914544</v>
      </c>
      <c r="K80" s="57">
        <f t="shared" si="67"/>
        <v>66.6583333333333</v>
      </c>
      <c r="L80" s="163">
        <f t="shared" si="68"/>
        <v>0.174896862107763</v>
      </c>
      <c r="M80" s="59">
        <f t="shared" si="69"/>
        <v>11.6583333333333</v>
      </c>
      <c r="N80" s="57">
        <f t="shared" si="70"/>
        <v>179.29203539823</v>
      </c>
      <c r="O80" s="57">
        <f t="shared" si="71"/>
        <v>2.2375</v>
      </c>
      <c r="P80" s="53">
        <v>4</v>
      </c>
      <c r="Q80" s="62">
        <v>9</v>
      </c>
      <c r="R80" s="63">
        <f t="shared" si="72"/>
        <v>0.145454545454545</v>
      </c>
      <c r="S80" s="60">
        <f>Y80/H80</f>
        <v>0.141194119853217</v>
      </c>
      <c r="T80" s="63">
        <f t="shared" si="73"/>
        <v>0.218154545454545</v>
      </c>
      <c r="U80" s="63">
        <v>0.01</v>
      </c>
      <c r="V80" s="63">
        <f t="shared" si="74"/>
        <v>0.362206132117637</v>
      </c>
      <c r="W80" s="63">
        <f t="shared" si="75"/>
        <v>0.0406818181818182</v>
      </c>
      <c r="X80" s="61">
        <v>0.178</v>
      </c>
      <c r="Y80" s="64">
        <v>8</v>
      </c>
      <c r="Z80" s="64">
        <f>F80*0.15</f>
        <v>11.9985</v>
      </c>
      <c r="AA80" s="64">
        <f t="shared" si="76"/>
        <v>0.55</v>
      </c>
      <c r="AB80" s="57">
        <f t="shared" si="77"/>
        <v>9.79</v>
      </c>
      <c r="AC80" s="57">
        <v>180</v>
      </c>
      <c r="AD80" s="65">
        <f t="shared" si="78"/>
        <v>159.29203539823</v>
      </c>
      <c r="AE80" s="62">
        <f t="shared" si="79"/>
        <v>2.22222222222222</v>
      </c>
      <c r="AF80" s="63">
        <f t="shared" si="80"/>
        <v>0.321802091713596</v>
      </c>
      <c r="AG80" s="63">
        <f t="shared" si="81"/>
        <v>0.0404040404040404</v>
      </c>
      <c r="AH80" s="62">
        <v>20</v>
      </c>
      <c r="AI80" s="63">
        <f t="shared" si="82"/>
        <v>0.202076730179508</v>
      </c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6" t="s">
        <v>600</v>
      </c>
      <c r="AU80" s="66" t="s">
        <v>600</v>
      </c>
      <c r="AV80" s="66" t="s">
        <v>600</v>
      </c>
      <c r="AW80" s="66" t="s">
        <v>600</v>
      </c>
      <c r="AX80" s="66" t="s">
        <v>600</v>
      </c>
      <c r="AY80" s="66" t="s">
        <v>600</v>
      </c>
      <c r="AZ80" s="66" t="s">
        <v>600</v>
      </c>
      <c r="BA80" s="66" t="s">
        <v>600</v>
      </c>
      <c r="BB80" s="66" t="s">
        <v>600</v>
      </c>
      <c r="BC80" s="66" t="s">
        <v>600</v>
      </c>
      <c r="BD80" s="66" t="s">
        <v>600</v>
      </c>
      <c r="BE80" s="66" t="s">
        <v>600</v>
      </c>
      <c r="BF80" s="66" t="s">
        <v>600</v>
      </c>
      <c r="BG80" s="66" t="s">
        <v>600</v>
      </c>
      <c r="BH80" s="66" t="s">
        <v>600</v>
      </c>
      <c r="BI80" s="66" t="s">
        <v>600</v>
      </c>
      <c r="BJ80" s="66" t="s">
        <v>600</v>
      </c>
      <c r="BK80" s="66" t="s">
        <v>600</v>
      </c>
      <c r="BL80" s="66" t="s">
        <v>600</v>
      </c>
      <c r="BM80" s="66" t="s">
        <v>600</v>
      </c>
      <c r="BN80" s="66" t="s">
        <v>600</v>
      </c>
      <c r="BO80" s="66" t="s">
        <v>600</v>
      </c>
      <c r="BP80" s="66" t="s">
        <v>600</v>
      </c>
      <c r="BQ80" s="66" t="s">
        <v>600</v>
      </c>
      <c r="BR80" s="164"/>
      <c r="BS80" s="68" t="s">
        <v>601</v>
      </c>
    </row>
    <row r="81" ht="15.6" spans="1:71">
      <c r="A81" s="53" t="s">
        <v>277</v>
      </c>
      <c r="B81" s="53" t="s">
        <v>27</v>
      </c>
      <c r="C81" s="53" t="s">
        <v>626</v>
      </c>
      <c r="D81" s="166" t="s">
        <v>599</v>
      </c>
      <c r="E81" s="58">
        <v>62</v>
      </c>
      <c r="F81" s="56">
        <v>89.99</v>
      </c>
      <c r="G81" s="59">
        <f t="shared" si="63"/>
        <v>89.99</v>
      </c>
      <c r="H81" s="59">
        <f t="shared" si="64"/>
        <v>74.9916666666667</v>
      </c>
      <c r="I81" s="59">
        <f t="shared" si="65"/>
        <v>17.3749955752212</v>
      </c>
      <c r="J81" s="60">
        <f t="shared" si="66"/>
        <v>0.280241864116472</v>
      </c>
      <c r="K81" s="57">
        <f t="shared" si="67"/>
        <v>74.9916666666667</v>
      </c>
      <c r="L81" s="163">
        <f t="shared" si="68"/>
        <v>0.173241471274586</v>
      </c>
      <c r="M81" s="59">
        <f t="shared" si="69"/>
        <v>12.9916666666667</v>
      </c>
      <c r="N81" s="57">
        <f t="shared" si="70"/>
        <v>179.29203539823</v>
      </c>
      <c r="O81" s="57">
        <f t="shared" si="71"/>
        <v>1.9375</v>
      </c>
      <c r="P81" s="53">
        <v>4</v>
      </c>
      <c r="Q81" s="62">
        <v>8</v>
      </c>
      <c r="R81" s="63">
        <f t="shared" si="72"/>
        <v>0.129032258064516</v>
      </c>
      <c r="S81" s="60">
        <f t="shared" ref="S81:S100" si="83">Y81/F81</f>
        <v>0.0888987665296144</v>
      </c>
      <c r="T81" s="63">
        <f t="shared" si="73"/>
        <v>0</v>
      </c>
      <c r="U81" s="63">
        <v>0.01</v>
      </c>
      <c r="V81" s="63">
        <f t="shared" si="74"/>
        <v>0.361475877819012</v>
      </c>
      <c r="W81" s="63">
        <f t="shared" si="75"/>
        <v>0.03125</v>
      </c>
      <c r="X81" s="61">
        <v>0.188</v>
      </c>
      <c r="Y81" s="64">
        <v>8</v>
      </c>
      <c r="Z81" s="64">
        <v>0</v>
      </c>
      <c r="AA81" s="64">
        <f t="shared" si="76"/>
        <v>0.62</v>
      </c>
      <c r="AB81" s="57">
        <f t="shared" si="77"/>
        <v>11.656</v>
      </c>
      <c r="AC81" s="57">
        <v>180</v>
      </c>
      <c r="AD81" s="65">
        <f t="shared" si="78"/>
        <v>159.29203539823</v>
      </c>
      <c r="AE81" s="62">
        <f t="shared" si="79"/>
        <v>2.5</v>
      </c>
      <c r="AF81" s="63">
        <f t="shared" si="80"/>
        <v>0.321153297173851</v>
      </c>
      <c r="AG81" s="63">
        <f t="shared" si="81"/>
        <v>0.0403225806451613</v>
      </c>
      <c r="AH81" s="62">
        <v>20</v>
      </c>
      <c r="AI81" s="63">
        <f t="shared" si="82"/>
        <v>0.328672074674964</v>
      </c>
      <c r="AJ81" s="63"/>
      <c r="AK81" s="63"/>
      <c r="AL81" s="63"/>
      <c r="AM81" s="63"/>
      <c r="AN81" s="66"/>
      <c r="AO81" s="66"/>
      <c r="AP81" s="66"/>
      <c r="AQ81" s="66"/>
      <c r="AR81" s="66"/>
      <c r="AS81" s="66"/>
      <c r="AT81" s="66" t="s">
        <v>600</v>
      </c>
      <c r="AU81" s="66" t="s">
        <v>600</v>
      </c>
      <c r="AV81" s="66" t="s">
        <v>600</v>
      </c>
      <c r="AW81" s="66" t="s">
        <v>600</v>
      </c>
      <c r="AX81" s="66" t="s">
        <v>600</v>
      </c>
      <c r="AY81" s="66" t="s">
        <v>600</v>
      </c>
      <c r="AZ81" s="66" t="s">
        <v>600</v>
      </c>
      <c r="BA81" s="66" t="s">
        <v>600</v>
      </c>
      <c r="BB81" s="66" t="s">
        <v>600</v>
      </c>
      <c r="BC81" s="66" t="s">
        <v>600</v>
      </c>
      <c r="BD81" s="66" t="s">
        <v>600</v>
      </c>
      <c r="BE81" s="66" t="s">
        <v>600</v>
      </c>
      <c r="BF81" s="66" t="s">
        <v>600</v>
      </c>
      <c r="BG81" s="66" t="s">
        <v>600</v>
      </c>
      <c r="BH81" s="66" t="s">
        <v>600</v>
      </c>
      <c r="BI81" s="66" t="s">
        <v>600</v>
      </c>
      <c r="BJ81" s="66" t="s">
        <v>600</v>
      </c>
      <c r="BK81" s="66" t="s">
        <v>600</v>
      </c>
      <c r="BL81" s="66" t="s">
        <v>600</v>
      </c>
      <c r="BM81" s="66" t="s">
        <v>600</v>
      </c>
      <c r="BN81" s="66" t="s">
        <v>600</v>
      </c>
      <c r="BO81" s="66" t="s">
        <v>600</v>
      </c>
      <c r="BP81" s="66" t="s">
        <v>600</v>
      </c>
      <c r="BQ81" s="66" t="s">
        <v>600</v>
      </c>
      <c r="BR81" s="164"/>
      <c r="BS81" s="68" t="s">
        <v>601</v>
      </c>
    </row>
    <row r="82" ht="15.6" spans="1:71">
      <c r="A82" s="53" t="s">
        <v>277</v>
      </c>
      <c r="B82" s="53" t="s">
        <v>27</v>
      </c>
      <c r="C82" s="53" t="s">
        <v>626</v>
      </c>
      <c r="D82" s="168" t="s">
        <v>602</v>
      </c>
      <c r="E82" s="58">
        <v>62</v>
      </c>
      <c r="F82" s="56">
        <v>89.99</v>
      </c>
      <c r="G82" s="59">
        <f t="shared" si="63"/>
        <v>85.4905</v>
      </c>
      <c r="H82" s="59">
        <f t="shared" si="64"/>
        <v>71.2420833333333</v>
      </c>
      <c r="I82" s="165">
        <f t="shared" si="65"/>
        <v>12.8754955752212</v>
      </c>
      <c r="J82" s="60">
        <f t="shared" si="66"/>
        <v>0.20766928347131</v>
      </c>
      <c r="K82" s="57">
        <f t="shared" si="67"/>
        <v>74.9916666666667</v>
      </c>
      <c r="L82" s="163">
        <f t="shared" si="68"/>
        <v>0.173241471274586</v>
      </c>
      <c r="M82" s="59">
        <f t="shared" si="69"/>
        <v>12.9916666666667</v>
      </c>
      <c r="N82" s="57">
        <f t="shared" si="70"/>
        <v>179.29203539823</v>
      </c>
      <c r="O82" s="57">
        <f t="shared" si="71"/>
        <v>1.9375</v>
      </c>
      <c r="P82" s="53">
        <v>4</v>
      </c>
      <c r="Q82" s="62">
        <v>8</v>
      </c>
      <c r="R82" s="63">
        <f t="shared" si="72"/>
        <v>0.129032258064516</v>
      </c>
      <c r="S82" s="60">
        <f t="shared" si="83"/>
        <v>0.0888987665296144</v>
      </c>
      <c r="T82" s="63">
        <f t="shared" si="73"/>
        <v>0.0725725806451613</v>
      </c>
      <c r="U82" s="63">
        <v>0.01</v>
      </c>
      <c r="V82" s="63">
        <f t="shared" si="74"/>
        <v>0.361475877819012</v>
      </c>
      <c r="W82" s="63">
        <f t="shared" si="75"/>
        <v>0.03125</v>
      </c>
      <c r="X82" s="61">
        <v>0.188</v>
      </c>
      <c r="Y82" s="64">
        <v>8</v>
      </c>
      <c r="Z82" s="64">
        <f>F82*0.05</f>
        <v>4.4995</v>
      </c>
      <c r="AA82" s="64">
        <f t="shared" si="76"/>
        <v>0.62</v>
      </c>
      <c r="AB82" s="57">
        <f t="shared" si="77"/>
        <v>11.656</v>
      </c>
      <c r="AC82" s="57">
        <v>180</v>
      </c>
      <c r="AD82" s="65">
        <f t="shared" si="78"/>
        <v>159.29203539823</v>
      </c>
      <c r="AE82" s="62">
        <f t="shared" si="79"/>
        <v>2.5</v>
      </c>
      <c r="AF82" s="63">
        <f t="shared" si="80"/>
        <v>0.321153297173851</v>
      </c>
      <c r="AG82" s="63">
        <f t="shared" si="81"/>
        <v>0.0403225806451613</v>
      </c>
      <c r="AH82" s="62">
        <v>20</v>
      </c>
      <c r="AI82" s="63">
        <f t="shared" si="82"/>
        <v>0.293339025973646</v>
      </c>
      <c r="AJ82" s="63"/>
      <c r="AK82" s="63"/>
      <c r="AL82" s="63"/>
      <c r="AM82" s="63"/>
      <c r="AN82" s="66"/>
      <c r="AO82" s="66"/>
      <c r="AP82" s="66"/>
      <c r="AQ82" s="66"/>
      <c r="AR82" s="66"/>
      <c r="AS82" s="66"/>
      <c r="AT82" s="66" t="s">
        <v>600</v>
      </c>
      <c r="AU82" s="66" t="s">
        <v>600</v>
      </c>
      <c r="AV82" s="66" t="s">
        <v>600</v>
      </c>
      <c r="AW82" s="66" t="s">
        <v>600</v>
      </c>
      <c r="AX82" s="66" t="s">
        <v>600</v>
      </c>
      <c r="AY82" s="66" t="s">
        <v>600</v>
      </c>
      <c r="AZ82" s="66" t="s">
        <v>600</v>
      </c>
      <c r="BA82" s="66" t="s">
        <v>600</v>
      </c>
      <c r="BB82" s="66" t="s">
        <v>600</v>
      </c>
      <c r="BC82" s="66" t="s">
        <v>600</v>
      </c>
      <c r="BD82" s="66" t="s">
        <v>600</v>
      </c>
      <c r="BE82" s="66" t="s">
        <v>600</v>
      </c>
      <c r="BF82" s="66" t="s">
        <v>600</v>
      </c>
      <c r="BG82" s="66" t="s">
        <v>600</v>
      </c>
      <c r="BH82" s="66" t="s">
        <v>600</v>
      </c>
      <c r="BI82" s="66" t="s">
        <v>600</v>
      </c>
      <c r="BJ82" s="66" t="s">
        <v>600</v>
      </c>
      <c r="BK82" s="66" t="s">
        <v>600</v>
      </c>
      <c r="BL82" s="66" t="s">
        <v>600</v>
      </c>
      <c r="BM82" s="66" t="s">
        <v>600</v>
      </c>
      <c r="BN82" s="66" t="s">
        <v>600</v>
      </c>
      <c r="BO82" s="66" t="s">
        <v>600</v>
      </c>
      <c r="BP82" s="66" t="s">
        <v>600</v>
      </c>
      <c r="BQ82" s="66" t="s">
        <v>600</v>
      </c>
      <c r="BR82" s="164"/>
      <c r="BS82" s="68" t="s">
        <v>601</v>
      </c>
    </row>
    <row r="83" ht="15.6" spans="1:71">
      <c r="A83" s="53" t="s">
        <v>277</v>
      </c>
      <c r="B83" s="53" t="s">
        <v>27</v>
      </c>
      <c r="C83" s="53" t="s">
        <v>626</v>
      </c>
      <c r="D83" s="168" t="s">
        <v>603</v>
      </c>
      <c r="E83" s="58">
        <v>62</v>
      </c>
      <c r="F83" s="56">
        <v>89.99</v>
      </c>
      <c r="G83" s="59">
        <f t="shared" si="63"/>
        <v>80.991</v>
      </c>
      <c r="H83" s="59">
        <f t="shared" si="64"/>
        <v>67.4925</v>
      </c>
      <c r="I83" s="59">
        <f t="shared" si="65"/>
        <v>8.37599557522124</v>
      </c>
      <c r="J83" s="60">
        <f t="shared" si="66"/>
        <v>0.135096702826149</v>
      </c>
      <c r="K83" s="57">
        <f t="shared" si="67"/>
        <v>74.9916666666667</v>
      </c>
      <c r="L83" s="163">
        <f t="shared" si="68"/>
        <v>0.173241471274586</v>
      </c>
      <c r="M83" s="59">
        <f t="shared" si="69"/>
        <v>12.9916666666667</v>
      </c>
      <c r="N83" s="57">
        <f t="shared" si="70"/>
        <v>179.29203539823</v>
      </c>
      <c r="O83" s="57">
        <f t="shared" si="71"/>
        <v>1.9375</v>
      </c>
      <c r="P83" s="53">
        <v>4</v>
      </c>
      <c r="Q83" s="62">
        <v>8</v>
      </c>
      <c r="R83" s="63">
        <f t="shared" si="72"/>
        <v>0.129032258064516</v>
      </c>
      <c r="S83" s="60">
        <f t="shared" si="83"/>
        <v>0.0888987665296144</v>
      </c>
      <c r="T83" s="63">
        <f t="shared" si="73"/>
        <v>0.145145161290323</v>
      </c>
      <c r="U83" s="63">
        <v>0.01</v>
      </c>
      <c r="V83" s="63">
        <f t="shared" si="74"/>
        <v>0.361475877819012</v>
      </c>
      <c r="W83" s="63">
        <f t="shared" si="75"/>
        <v>0.03125</v>
      </c>
      <c r="X83" s="61">
        <v>0.188</v>
      </c>
      <c r="Y83" s="64">
        <v>8</v>
      </c>
      <c r="Z83" s="64">
        <f>F83*0.1</f>
        <v>8.999</v>
      </c>
      <c r="AA83" s="64">
        <f t="shared" si="76"/>
        <v>0.62</v>
      </c>
      <c r="AB83" s="57">
        <f t="shared" si="77"/>
        <v>11.656</v>
      </c>
      <c r="AC83" s="57">
        <v>180</v>
      </c>
      <c r="AD83" s="65">
        <f t="shared" si="78"/>
        <v>159.29203539823</v>
      </c>
      <c r="AE83" s="62">
        <f t="shared" si="79"/>
        <v>2.5</v>
      </c>
      <c r="AF83" s="63">
        <f t="shared" si="80"/>
        <v>0.321153297173851</v>
      </c>
      <c r="AG83" s="63">
        <f t="shared" si="81"/>
        <v>0.0403225806451613</v>
      </c>
      <c r="AH83" s="62">
        <v>20</v>
      </c>
      <c r="AI83" s="63">
        <f t="shared" si="82"/>
        <v>0.254080082972182</v>
      </c>
      <c r="AJ83" s="63"/>
      <c r="AK83" s="63"/>
      <c r="AL83" s="63"/>
      <c r="AM83" s="63"/>
      <c r="AN83" s="66"/>
      <c r="AO83" s="66"/>
      <c r="AP83" s="66"/>
      <c r="AQ83" s="66"/>
      <c r="AR83" s="66"/>
      <c r="AS83" s="66"/>
      <c r="AT83" s="66" t="s">
        <v>600</v>
      </c>
      <c r="AU83" s="66" t="s">
        <v>600</v>
      </c>
      <c r="AV83" s="66" t="s">
        <v>600</v>
      </c>
      <c r="AW83" s="66" t="s">
        <v>600</v>
      </c>
      <c r="AX83" s="66" t="s">
        <v>600</v>
      </c>
      <c r="AY83" s="66" t="s">
        <v>600</v>
      </c>
      <c r="AZ83" s="66" t="s">
        <v>600</v>
      </c>
      <c r="BA83" s="66" t="s">
        <v>600</v>
      </c>
      <c r="BB83" s="66" t="s">
        <v>600</v>
      </c>
      <c r="BC83" s="66" t="s">
        <v>600</v>
      </c>
      <c r="BD83" s="66" t="s">
        <v>600</v>
      </c>
      <c r="BE83" s="66" t="s">
        <v>600</v>
      </c>
      <c r="BF83" s="66" t="s">
        <v>600</v>
      </c>
      <c r="BG83" s="66" t="s">
        <v>600</v>
      </c>
      <c r="BH83" s="66" t="s">
        <v>600</v>
      </c>
      <c r="BI83" s="66" t="s">
        <v>600</v>
      </c>
      <c r="BJ83" s="66" t="s">
        <v>600</v>
      </c>
      <c r="BK83" s="66" t="s">
        <v>600</v>
      </c>
      <c r="BL83" s="66" t="s">
        <v>600</v>
      </c>
      <c r="BM83" s="66" t="s">
        <v>600</v>
      </c>
      <c r="BN83" s="66" t="s">
        <v>600</v>
      </c>
      <c r="BO83" s="66" t="s">
        <v>600</v>
      </c>
      <c r="BP83" s="66" t="s">
        <v>600</v>
      </c>
      <c r="BQ83" s="66" t="s">
        <v>600</v>
      </c>
      <c r="BR83" s="164"/>
      <c r="BS83" s="68" t="s">
        <v>601</v>
      </c>
    </row>
    <row r="84" ht="15.6" spans="1:71">
      <c r="A84" s="53" t="s">
        <v>277</v>
      </c>
      <c r="B84" s="53" t="s">
        <v>27</v>
      </c>
      <c r="C84" s="53" t="s">
        <v>626</v>
      </c>
      <c r="D84" s="166" t="s">
        <v>604</v>
      </c>
      <c r="E84" s="58">
        <v>62</v>
      </c>
      <c r="F84" s="56">
        <v>89.99</v>
      </c>
      <c r="G84" s="59">
        <f t="shared" si="63"/>
        <v>76.4915</v>
      </c>
      <c r="H84" s="59">
        <f t="shared" si="64"/>
        <v>63.7429166666667</v>
      </c>
      <c r="I84" s="59">
        <f t="shared" si="65"/>
        <v>3.87649557522124</v>
      </c>
      <c r="J84" s="60">
        <f t="shared" si="66"/>
        <v>0.0625241221809878</v>
      </c>
      <c r="K84" s="57">
        <f t="shared" si="67"/>
        <v>74.9916666666667</v>
      </c>
      <c r="L84" s="163">
        <f t="shared" si="68"/>
        <v>0.173241471274586</v>
      </c>
      <c r="M84" s="59">
        <f t="shared" si="69"/>
        <v>12.9916666666667</v>
      </c>
      <c r="N84" s="57">
        <f t="shared" si="70"/>
        <v>179.29203539823</v>
      </c>
      <c r="O84" s="57">
        <f t="shared" si="71"/>
        <v>1.9375</v>
      </c>
      <c r="P84" s="53">
        <v>4</v>
      </c>
      <c r="Q84" s="62">
        <v>8</v>
      </c>
      <c r="R84" s="63">
        <f t="shared" si="72"/>
        <v>0.129032258064516</v>
      </c>
      <c r="S84" s="60">
        <f t="shared" si="83"/>
        <v>0.0888987665296144</v>
      </c>
      <c r="T84" s="63">
        <f t="shared" si="73"/>
        <v>0.217717741935484</v>
      </c>
      <c r="U84" s="63">
        <v>0.01</v>
      </c>
      <c r="V84" s="63">
        <f t="shared" si="74"/>
        <v>0.361475877819012</v>
      </c>
      <c r="W84" s="63">
        <f t="shared" si="75"/>
        <v>0.03125</v>
      </c>
      <c r="X84" s="61">
        <v>0.188</v>
      </c>
      <c r="Y84" s="64">
        <v>8</v>
      </c>
      <c r="Z84" s="64">
        <f>F84*0.15</f>
        <v>13.4985</v>
      </c>
      <c r="AA84" s="64">
        <f t="shared" si="76"/>
        <v>0.62</v>
      </c>
      <c r="AB84" s="57">
        <f t="shared" si="77"/>
        <v>11.656</v>
      </c>
      <c r="AC84" s="57">
        <v>180</v>
      </c>
      <c r="AD84" s="65">
        <f t="shared" si="78"/>
        <v>159.29203539823</v>
      </c>
      <c r="AE84" s="62">
        <f t="shared" si="79"/>
        <v>2.5</v>
      </c>
      <c r="AF84" s="63">
        <f t="shared" si="80"/>
        <v>0.321153297173851</v>
      </c>
      <c r="AG84" s="63">
        <f t="shared" si="81"/>
        <v>0.0403225806451613</v>
      </c>
      <c r="AH84" s="62">
        <v>20</v>
      </c>
      <c r="AI84" s="63">
        <f t="shared" si="82"/>
        <v>0.210202440794075</v>
      </c>
      <c r="AJ84" s="63"/>
      <c r="AK84" s="63"/>
      <c r="AL84" s="63"/>
      <c r="AM84" s="63"/>
      <c r="AN84" s="66"/>
      <c r="AO84" s="66"/>
      <c r="AP84" s="66"/>
      <c r="AQ84" s="66"/>
      <c r="AR84" s="66"/>
      <c r="AS84" s="66"/>
      <c r="AT84" s="66" t="s">
        <v>600</v>
      </c>
      <c r="AU84" s="66" t="s">
        <v>600</v>
      </c>
      <c r="AV84" s="66" t="s">
        <v>600</v>
      </c>
      <c r="AW84" s="66" t="s">
        <v>600</v>
      </c>
      <c r="AX84" s="66" t="s">
        <v>600</v>
      </c>
      <c r="AY84" s="66" t="s">
        <v>600</v>
      </c>
      <c r="AZ84" s="66" t="s">
        <v>600</v>
      </c>
      <c r="BA84" s="66" t="s">
        <v>600</v>
      </c>
      <c r="BB84" s="66" t="s">
        <v>600</v>
      </c>
      <c r="BC84" s="66" t="s">
        <v>600</v>
      </c>
      <c r="BD84" s="66" t="s">
        <v>600</v>
      </c>
      <c r="BE84" s="66" t="s">
        <v>600</v>
      </c>
      <c r="BF84" s="66" t="s">
        <v>600</v>
      </c>
      <c r="BG84" s="66" t="s">
        <v>600</v>
      </c>
      <c r="BH84" s="66" t="s">
        <v>600</v>
      </c>
      <c r="BI84" s="66" t="s">
        <v>600</v>
      </c>
      <c r="BJ84" s="66" t="s">
        <v>600</v>
      </c>
      <c r="BK84" s="66" t="s">
        <v>600</v>
      </c>
      <c r="BL84" s="66" t="s">
        <v>600</v>
      </c>
      <c r="BM84" s="66" t="s">
        <v>600</v>
      </c>
      <c r="BN84" s="66" t="s">
        <v>600</v>
      </c>
      <c r="BO84" s="66" t="s">
        <v>600</v>
      </c>
      <c r="BP84" s="66" t="s">
        <v>600</v>
      </c>
      <c r="BQ84" s="66" t="s">
        <v>600</v>
      </c>
      <c r="BR84" s="164"/>
      <c r="BS84" s="68" t="s">
        <v>601</v>
      </c>
    </row>
    <row r="85" ht="15.6" spans="1:71">
      <c r="A85" s="53" t="s">
        <v>511</v>
      </c>
      <c r="B85" s="53" t="s">
        <v>27</v>
      </c>
      <c r="C85" s="53" t="s">
        <v>626</v>
      </c>
      <c r="D85" s="166" t="s">
        <v>599</v>
      </c>
      <c r="E85" s="58">
        <v>62</v>
      </c>
      <c r="F85" s="56">
        <v>89.99</v>
      </c>
      <c r="G85" s="59">
        <f t="shared" si="63"/>
        <v>89.99</v>
      </c>
      <c r="H85" s="59">
        <f t="shared" si="64"/>
        <v>74.9916666666667</v>
      </c>
      <c r="I85" s="59">
        <f t="shared" si="65"/>
        <v>15.7499955752212</v>
      </c>
      <c r="J85" s="60">
        <f t="shared" si="66"/>
        <v>0.254032186697117</v>
      </c>
      <c r="K85" s="57">
        <f t="shared" si="67"/>
        <v>74.9916666666667</v>
      </c>
      <c r="L85" s="163">
        <f t="shared" si="68"/>
        <v>0.173241471274586</v>
      </c>
      <c r="M85" s="59">
        <f t="shared" si="69"/>
        <v>12.9916666666667</v>
      </c>
      <c r="N85" s="57">
        <f t="shared" si="70"/>
        <v>179.29203539823</v>
      </c>
      <c r="O85" s="57">
        <f t="shared" si="71"/>
        <v>3.5625</v>
      </c>
      <c r="P85" s="53">
        <v>4</v>
      </c>
      <c r="Q85" s="62">
        <v>8</v>
      </c>
      <c r="R85" s="63">
        <f t="shared" si="72"/>
        <v>0.129032258064516</v>
      </c>
      <c r="S85" s="60">
        <f t="shared" si="83"/>
        <v>0.0888987665296144</v>
      </c>
      <c r="T85" s="63">
        <f t="shared" si="73"/>
        <v>0</v>
      </c>
      <c r="U85" s="63">
        <v>0.01</v>
      </c>
      <c r="V85" s="63">
        <f t="shared" si="74"/>
        <v>0.361475877819012</v>
      </c>
      <c r="W85" s="63">
        <f t="shared" si="75"/>
        <v>0.0574596774193548</v>
      </c>
      <c r="X85" s="61">
        <v>0.188</v>
      </c>
      <c r="Y85" s="64">
        <v>8</v>
      </c>
      <c r="Z85" s="64">
        <v>0</v>
      </c>
      <c r="AA85" s="64">
        <f t="shared" si="76"/>
        <v>0.62</v>
      </c>
      <c r="AB85" s="57">
        <f t="shared" si="77"/>
        <v>11.656</v>
      </c>
      <c r="AC85" s="57">
        <v>180</v>
      </c>
      <c r="AD85" s="65">
        <f t="shared" si="78"/>
        <v>159.29203539823</v>
      </c>
      <c r="AE85" s="62">
        <f t="shared" si="79"/>
        <v>2.5</v>
      </c>
      <c r="AF85" s="63">
        <f t="shared" si="80"/>
        <v>0.321153297173851</v>
      </c>
      <c r="AG85" s="63">
        <f t="shared" si="81"/>
        <v>0.0403225806451613</v>
      </c>
      <c r="AH85" s="62">
        <v>20</v>
      </c>
      <c r="AI85" s="63">
        <f t="shared" si="82"/>
        <v>0.328672074674964</v>
      </c>
      <c r="AJ85" s="63"/>
      <c r="AK85" s="63"/>
      <c r="AL85" s="63"/>
      <c r="AM85" s="63"/>
      <c r="AN85" s="66"/>
      <c r="AO85" s="66"/>
      <c r="AP85" s="66"/>
      <c r="AQ85" s="66"/>
      <c r="AR85" s="66"/>
      <c r="AS85" s="66"/>
      <c r="AT85" s="66" t="s">
        <v>600</v>
      </c>
      <c r="AU85" s="66" t="s">
        <v>600</v>
      </c>
      <c r="AV85" s="66" t="s">
        <v>600</v>
      </c>
      <c r="AW85" s="66" t="s">
        <v>600</v>
      </c>
      <c r="AX85" s="66" t="s">
        <v>600</v>
      </c>
      <c r="AY85" s="66" t="s">
        <v>600</v>
      </c>
      <c r="AZ85" s="66" t="s">
        <v>600</v>
      </c>
      <c r="BA85" s="66" t="s">
        <v>600</v>
      </c>
      <c r="BB85" s="66" t="s">
        <v>600</v>
      </c>
      <c r="BC85" s="66" t="s">
        <v>600</v>
      </c>
      <c r="BD85" s="66" t="s">
        <v>600</v>
      </c>
      <c r="BE85" s="66" t="s">
        <v>600</v>
      </c>
      <c r="BF85" s="66" t="s">
        <v>600</v>
      </c>
      <c r="BG85" s="66" t="s">
        <v>600</v>
      </c>
      <c r="BH85" s="66" t="s">
        <v>600</v>
      </c>
      <c r="BI85" s="66" t="s">
        <v>600</v>
      </c>
      <c r="BJ85" s="66" t="s">
        <v>600</v>
      </c>
      <c r="BK85" s="66" t="s">
        <v>600</v>
      </c>
      <c r="BL85" s="66" t="s">
        <v>600</v>
      </c>
      <c r="BM85" s="66" t="s">
        <v>600</v>
      </c>
      <c r="BN85" s="66" t="s">
        <v>600</v>
      </c>
      <c r="BO85" s="66" t="s">
        <v>600</v>
      </c>
      <c r="BP85" s="66" t="s">
        <v>600</v>
      </c>
      <c r="BQ85" s="66" t="s">
        <v>600</v>
      </c>
      <c r="BR85" s="164"/>
      <c r="BS85" s="68" t="s">
        <v>601</v>
      </c>
    </row>
    <row r="86" ht="15.6" spans="1:71">
      <c r="A86" s="53" t="s">
        <v>511</v>
      </c>
      <c r="B86" s="53" t="s">
        <v>27</v>
      </c>
      <c r="C86" s="53" t="s">
        <v>626</v>
      </c>
      <c r="D86" s="168" t="s">
        <v>602</v>
      </c>
      <c r="E86" s="58">
        <v>62</v>
      </c>
      <c r="F86" s="56">
        <v>89.99</v>
      </c>
      <c r="G86" s="59">
        <f t="shared" si="63"/>
        <v>85.4905</v>
      </c>
      <c r="H86" s="59">
        <f t="shared" si="64"/>
        <v>71.2420833333333</v>
      </c>
      <c r="I86" s="165">
        <f t="shared" si="65"/>
        <v>11.2504955752212</v>
      </c>
      <c r="J86" s="60">
        <f t="shared" si="66"/>
        <v>0.181459606051955</v>
      </c>
      <c r="K86" s="57">
        <f t="shared" si="67"/>
        <v>74.9916666666667</v>
      </c>
      <c r="L86" s="163">
        <f t="shared" si="68"/>
        <v>0.173241471274586</v>
      </c>
      <c r="M86" s="59">
        <f t="shared" si="69"/>
        <v>12.9916666666667</v>
      </c>
      <c r="N86" s="57">
        <f t="shared" si="70"/>
        <v>179.29203539823</v>
      </c>
      <c r="O86" s="57">
        <f t="shared" si="71"/>
        <v>3.5625</v>
      </c>
      <c r="P86" s="53">
        <v>4</v>
      </c>
      <c r="Q86" s="62">
        <v>8</v>
      </c>
      <c r="R86" s="63">
        <f t="shared" si="72"/>
        <v>0.129032258064516</v>
      </c>
      <c r="S86" s="60">
        <f t="shared" si="83"/>
        <v>0.0888987665296144</v>
      </c>
      <c r="T86" s="63">
        <f t="shared" si="73"/>
        <v>0.0725725806451613</v>
      </c>
      <c r="U86" s="63">
        <v>0.01</v>
      </c>
      <c r="V86" s="63">
        <f t="shared" si="74"/>
        <v>0.361475877819012</v>
      </c>
      <c r="W86" s="63">
        <f t="shared" si="75"/>
        <v>0.0574596774193548</v>
      </c>
      <c r="X86" s="61">
        <v>0.188</v>
      </c>
      <c r="Y86" s="64">
        <v>8</v>
      </c>
      <c r="Z86" s="64">
        <f>F86*0.05</f>
        <v>4.4995</v>
      </c>
      <c r="AA86" s="64">
        <f t="shared" si="76"/>
        <v>0.62</v>
      </c>
      <c r="AB86" s="57">
        <f t="shared" si="77"/>
        <v>11.656</v>
      </c>
      <c r="AC86" s="57">
        <v>180</v>
      </c>
      <c r="AD86" s="65">
        <f t="shared" si="78"/>
        <v>159.29203539823</v>
      </c>
      <c r="AE86" s="62">
        <f t="shared" si="79"/>
        <v>2.5</v>
      </c>
      <c r="AF86" s="63">
        <f t="shared" si="80"/>
        <v>0.321153297173851</v>
      </c>
      <c r="AG86" s="63">
        <f t="shared" si="81"/>
        <v>0.0403225806451613</v>
      </c>
      <c r="AH86" s="62">
        <v>20</v>
      </c>
      <c r="AI86" s="63">
        <f t="shared" si="82"/>
        <v>0.293339025973646</v>
      </c>
      <c r="AJ86" s="63"/>
      <c r="AK86" s="63"/>
      <c r="AL86" s="63"/>
      <c r="AM86" s="63"/>
      <c r="AN86" s="66"/>
      <c r="AO86" s="66"/>
      <c r="AP86" s="66"/>
      <c r="AQ86" s="66"/>
      <c r="AR86" s="66"/>
      <c r="AS86" s="66"/>
      <c r="AT86" s="66" t="s">
        <v>600</v>
      </c>
      <c r="AU86" s="66" t="s">
        <v>600</v>
      </c>
      <c r="AV86" s="66" t="s">
        <v>600</v>
      </c>
      <c r="AW86" s="66" t="s">
        <v>600</v>
      </c>
      <c r="AX86" s="66" t="s">
        <v>600</v>
      </c>
      <c r="AY86" s="66" t="s">
        <v>600</v>
      </c>
      <c r="AZ86" s="66" t="s">
        <v>600</v>
      </c>
      <c r="BA86" s="66" t="s">
        <v>600</v>
      </c>
      <c r="BB86" s="66" t="s">
        <v>600</v>
      </c>
      <c r="BC86" s="66" t="s">
        <v>600</v>
      </c>
      <c r="BD86" s="66" t="s">
        <v>600</v>
      </c>
      <c r="BE86" s="66" t="s">
        <v>600</v>
      </c>
      <c r="BF86" s="66" t="s">
        <v>600</v>
      </c>
      <c r="BG86" s="66" t="s">
        <v>600</v>
      </c>
      <c r="BH86" s="66" t="s">
        <v>600</v>
      </c>
      <c r="BI86" s="66" t="s">
        <v>600</v>
      </c>
      <c r="BJ86" s="66" t="s">
        <v>600</v>
      </c>
      <c r="BK86" s="66" t="s">
        <v>600</v>
      </c>
      <c r="BL86" s="66" t="s">
        <v>600</v>
      </c>
      <c r="BM86" s="66" t="s">
        <v>600</v>
      </c>
      <c r="BN86" s="66" t="s">
        <v>600</v>
      </c>
      <c r="BO86" s="66" t="s">
        <v>600</v>
      </c>
      <c r="BP86" s="66" t="s">
        <v>600</v>
      </c>
      <c r="BQ86" s="66" t="s">
        <v>600</v>
      </c>
      <c r="BR86" s="164"/>
      <c r="BS86" s="68" t="s">
        <v>601</v>
      </c>
    </row>
    <row r="87" ht="15.6" spans="1:71">
      <c r="A87" s="53" t="s">
        <v>511</v>
      </c>
      <c r="B87" s="53" t="s">
        <v>27</v>
      </c>
      <c r="C87" s="53" t="s">
        <v>626</v>
      </c>
      <c r="D87" s="168" t="s">
        <v>603</v>
      </c>
      <c r="E87" s="58">
        <v>62</v>
      </c>
      <c r="F87" s="56">
        <v>89.99</v>
      </c>
      <c r="G87" s="59">
        <f t="shared" si="63"/>
        <v>80.991</v>
      </c>
      <c r="H87" s="59">
        <f t="shared" si="64"/>
        <v>67.4925</v>
      </c>
      <c r="I87" s="59">
        <f t="shared" si="65"/>
        <v>6.75099557522124</v>
      </c>
      <c r="J87" s="60">
        <f t="shared" si="66"/>
        <v>0.108887025406794</v>
      </c>
      <c r="K87" s="57">
        <f t="shared" si="67"/>
        <v>74.9916666666667</v>
      </c>
      <c r="L87" s="163">
        <f t="shared" si="68"/>
        <v>0.173241471274586</v>
      </c>
      <c r="M87" s="59">
        <f t="shared" si="69"/>
        <v>12.9916666666667</v>
      </c>
      <c r="N87" s="57">
        <f t="shared" si="70"/>
        <v>179.29203539823</v>
      </c>
      <c r="O87" s="57">
        <f t="shared" si="71"/>
        <v>3.5625</v>
      </c>
      <c r="P87" s="53">
        <v>4</v>
      </c>
      <c r="Q87" s="62">
        <v>8</v>
      </c>
      <c r="R87" s="63">
        <f t="shared" si="72"/>
        <v>0.129032258064516</v>
      </c>
      <c r="S87" s="60">
        <f t="shared" si="83"/>
        <v>0.0888987665296144</v>
      </c>
      <c r="T87" s="63">
        <f t="shared" si="73"/>
        <v>0.145145161290323</v>
      </c>
      <c r="U87" s="63">
        <v>0.01</v>
      </c>
      <c r="V87" s="63">
        <f t="shared" si="74"/>
        <v>0.361475877819012</v>
      </c>
      <c r="W87" s="63">
        <f t="shared" si="75"/>
        <v>0.0574596774193548</v>
      </c>
      <c r="X87" s="61">
        <v>0.188</v>
      </c>
      <c r="Y87" s="64">
        <v>8</v>
      </c>
      <c r="Z87" s="64">
        <f>F87*0.1</f>
        <v>8.999</v>
      </c>
      <c r="AA87" s="64">
        <f t="shared" si="76"/>
        <v>0.62</v>
      </c>
      <c r="AB87" s="57">
        <f t="shared" si="77"/>
        <v>11.656</v>
      </c>
      <c r="AC87" s="57">
        <v>180</v>
      </c>
      <c r="AD87" s="65">
        <f t="shared" si="78"/>
        <v>159.29203539823</v>
      </c>
      <c r="AE87" s="62">
        <f t="shared" si="79"/>
        <v>2.5</v>
      </c>
      <c r="AF87" s="63">
        <f t="shared" si="80"/>
        <v>0.321153297173851</v>
      </c>
      <c r="AG87" s="63">
        <f t="shared" si="81"/>
        <v>0.0403225806451613</v>
      </c>
      <c r="AH87" s="62">
        <v>20</v>
      </c>
      <c r="AI87" s="63">
        <f t="shared" si="82"/>
        <v>0.254080082972182</v>
      </c>
      <c r="AJ87" s="63"/>
      <c r="AK87" s="63"/>
      <c r="AL87" s="63"/>
      <c r="AM87" s="63"/>
      <c r="AN87" s="66"/>
      <c r="AO87" s="66"/>
      <c r="AP87" s="66"/>
      <c r="AQ87" s="66"/>
      <c r="AR87" s="66"/>
      <c r="AS87" s="66"/>
      <c r="AT87" s="66" t="s">
        <v>600</v>
      </c>
      <c r="AU87" s="66" t="s">
        <v>600</v>
      </c>
      <c r="AV87" s="66" t="s">
        <v>600</v>
      </c>
      <c r="AW87" s="66" t="s">
        <v>600</v>
      </c>
      <c r="AX87" s="66" t="s">
        <v>600</v>
      </c>
      <c r="AY87" s="66" t="s">
        <v>600</v>
      </c>
      <c r="AZ87" s="66" t="s">
        <v>600</v>
      </c>
      <c r="BA87" s="66" t="s">
        <v>600</v>
      </c>
      <c r="BB87" s="66" t="s">
        <v>600</v>
      </c>
      <c r="BC87" s="66" t="s">
        <v>600</v>
      </c>
      <c r="BD87" s="66" t="s">
        <v>600</v>
      </c>
      <c r="BE87" s="66" t="s">
        <v>600</v>
      </c>
      <c r="BF87" s="66" t="s">
        <v>600</v>
      </c>
      <c r="BG87" s="66" t="s">
        <v>600</v>
      </c>
      <c r="BH87" s="66" t="s">
        <v>600</v>
      </c>
      <c r="BI87" s="66" t="s">
        <v>600</v>
      </c>
      <c r="BJ87" s="66" t="s">
        <v>600</v>
      </c>
      <c r="BK87" s="66" t="s">
        <v>600</v>
      </c>
      <c r="BL87" s="66" t="s">
        <v>600</v>
      </c>
      <c r="BM87" s="66" t="s">
        <v>600</v>
      </c>
      <c r="BN87" s="66" t="s">
        <v>600</v>
      </c>
      <c r="BO87" s="66" t="s">
        <v>600</v>
      </c>
      <c r="BP87" s="66" t="s">
        <v>600</v>
      </c>
      <c r="BQ87" s="66" t="s">
        <v>600</v>
      </c>
      <c r="BR87" s="164"/>
      <c r="BS87" s="68" t="s">
        <v>601</v>
      </c>
    </row>
    <row r="88" ht="15.6" spans="1:71">
      <c r="A88" s="53" t="s">
        <v>511</v>
      </c>
      <c r="B88" s="53" t="s">
        <v>27</v>
      </c>
      <c r="C88" s="53" t="s">
        <v>626</v>
      </c>
      <c r="D88" s="166" t="s">
        <v>604</v>
      </c>
      <c r="E88" s="58">
        <v>62</v>
      </c>
      <c r="F88" s="56">
        <v>89.99</v>
      </c>
      <c r="G88" s="59">
        <f t="shared" si="63"/>
        <v>76.4915</v>
      </c>
      <c r="H88" s="59">
        <f t="shared" si="64"/>
        <v>63.7429166666667</v>
      </c>
      <c r="I88" s="59">
        <f t="shared" si="65"/>
        <v>2.25149557522124</v>
      </c>
      <c r="J88" s="60">
        <f t="shared" si="66"/>
        <v>0.0363144447616329</v>
      </c>
      <c r="K88" s="57">
        <f t="shared" si="67"/>
        <v>74.9916666666667</v>
      </c>
      <c r="L88" s="163">
        <f t="shared" si="68"/>
        <v>0.173241471274586</v>
      </c>
      <c r="M88" s="59">
        <f t="shared" si="69"/>
        <v>12.9916666666667</v>
      </c>
      <c r="N88" s="57">
        <f t="shared" si="70"/>
        <v>179.29203539823</v>
      </c>
      <c r="O88" s="57">
        <f t="shared" si="71"/>
        <v>3.5625</v>
      </c>
      <c r="P88" s="53">
        <v>4</v>
      </c>
      <c r="Q88" s="62">
        <v>8</v>
      </c>
      <c r="R88" s="63">
        <f t="shared" si="72"/>
        <v>0.129032258064516</v>
      </c>
      <c r="S88" s="60">
        <f t="shared" si="83"/>
        <v>0.0888987665296144</v>
      </c>
      <c r="T88" s="63">
        <f t="shared" si="73"/>
        <v>0.217717741935484</v>
      </c>
      <c r="U88" s="63">
        <v>0.01</v>
      </c>
      <c r="V88" s="63">
        <f t="shared" si="74"/>
        <v>0.361475877819012</v>
      </c>
      <c r="W88" s="63">
        <f t="shared" si="75"/>
        <v>0.0574596774193548</v>
      </c>
      <c r="X88" s="61">
        <v>0.188</v>
      </c>
      <c r="Y88" s="64">
        <v>8</v>
      </c>
      <c r="Z88" s="64">
        <f>F88*0.15</f>
        <v>13.4985</v>
      </c>
      <c r="AA88" s="64">
        <f t="shared" si="76"/>
        <v>0.62</v>
      </c>
      <c r="AB88" s="57">
        <f t="shared" si="77"/>
        <v>11.656</v>
      </c>
      <c r="AC88" s="57">
        <v>180</v>
      </c>
      <c r="AD88" s="65">
        <f t="shared" si="78"/>
        <v>159.29203539823</v>
      </c>
      <c r="AE88" s="62">
        <f t="shared" si="79"/>
        <v>2.5</v>
      </c>
      <c r="AF88" s="63">
        <f t="shared" si="80"/>
        <v>0.321153297173851</v>
      </c>
      <c r="AG88" s="63">
        <f t="shared" si="81"/>
        <v>0.0403225806451613</v>
      </c>
      <c r="AH88" s="62">
        <v>20</v>
      </c>
      <c r="AI88" s="63">
        <f t="shared" ref="AI88:AI100" si="84">(K88-E88+AB88)/(K88-Z88)</f>
        <v>0.400819603262151</v>
      </c>
      <c r="AJ88" s="63"/>
      <c r="AK88" s="63"/>
      <c r="AL88" s="63"/>
      <c r="AM88" s="63"/>
      <c r="AN88" s="66"/>
      <c r="AO88" s="66"/>
      <c r="AP88" s="66"/>
      <c r="AQ88" s="66"/>
      <c r="AR88" s="66"/>
      <c r="AS88" s="66"/>
      <c r="AT88" s="66" t="s">
        <v>600</v>
      </c>
      <c r="AU88" s="66" t="s">
        <v>600</v>
      </c>
      <c r="AV88" s="66" t="s">
        <v>600</v>
      </c>
      <c r="AW88" s="66" t="s">
        <v>600</v>
      </c>
      <c r="AX88" s="66" t="s">
        <v>600</v>
      </c>
      <c r="AY88" s="66" t="s">
        <v>600</v>
      </c>
      <c r="AZ88" s="66" t="s">
        <v>600</v>
      </c>
      <c r="BA88" s="66" t="s">
        <v>600</v>
      </c>
      <c r="BB88" s="66" t="s">
        <v>600</v>
      </c>
      <c r="BC88" s="66" t="s">
        <v>600</v>
      </c>
      <c r="BD88" s="66" t="s">
        <v>600</v>
      </c>
      <c r="BE88" s="66" t="s">
        <v>600</v>
      </c>
      <c r="BF88" s="66" t="s">
        <v>600</v>
      </c>
      <c r="BG88" s="66" t="s">
        <v>600</v>
      </c>
      <c r="BH88" s="66" t="s">
        <v>600</v>
      </c>
      <c r="BI88" s="66" t="s">
        <v>600</v>
      </c>
      <c r="BJ88" s="66" t="s">
        <v>600</v>
      </c>
      <c r="BK88" s="66" t="s">
        <v>600</v>
      </c>
      <c r="BL88" s="66" t="s">
        <v>600</v>
      </c>
      <c r="BM88" s="66" t="s">
        <v>600</v>
      </c>
      <c r="BN88" s="66" t="s">
        <v>600</v>
      </c>
      <c r="BO88" s="66" t="s">
        <v>600</v>
      </c>
      <c r="BP88" s="66" t="s">
        <v>600</v>
      </c>
      <c r="BQ88" s="66" t="s">
        <v>600</v>
      </c>
      <c r="BR88" s="164"/>
      <c r="BS88" s="68" t="s">
        <v>601</v>
      </c>
    </row>
    <row r="89" ht="15.6" spans="1:71">
      <c r="A89" s="53" t="s">
        <v>513</v>
      </c>
      <c r="B89" s="53" t="s">
        <v>27</v>
      </c>
      <c r="C89" s="53" t="s">
        <v>626</v>
      </c>
      <c r="D89" s="166" t="s">
        <v>599</v>
      </c>
      <c r="E89" s="58">
        <v>62</v>
      </c>
      <c r="F89" s="56">
        <v>89.99</v>
      </c>
      <c r="G89" s="59">
        <f t="shared" si="63"/>
        <v>89.99</v>
      </c>
      <c r="H89" s="59">
        <f t="shared" si="64"/>
        <v>74.9916666666667</v>
      </c>
      <c r="I89" s="59">
        <f t="shared" si="65"/>
        <v>15.4999955752212</v>
      </c>
      <c r="J89" s="60">
        <f t="shared" si="66"/>
        <v>0.249999928632601</v>
      </c>
      <c r="K89" s="57">
        <f t="shared" si="67"/>
        <v>74.9916666666667</v>
      </c>
      <c r="L89" s="163">
        <f t="shared" si="68"/>
        <v>0.173241471274586</v>
      </c>
      <c r="M89" s="59">
        <f t="shared" si="69"/>
        <v>12.9916666666667</v>
      </c>
      <c r="N89" s="57">
        <f t="shared" si="70"/>
        <v>179.29203539823</v>
      </c>
      <c r="O89" s="57">
        <f t="shared" si="71"/>
        <v>3.8125</v>
      </c>
      <c r="P89" s="53">
        <v>4</v>
      </c>
      <c r="Q89" s="62">
        <v>8</v>
      </c>
      <c r="R89" s="63">
        <f t="shared" si="72"/>
        <v>0.129032258064516</v>
      </c>
      <c r="S89" s="60">
        <f t="shared" si="83"/>
        <v>0.0888987665296144</v>
      </c>
      <c r="T89" s="63">
        <f t="shared" si="73"/>
        <v>0</v>
      </c>
      <c r="U89" s="63">
        <v>0.01</v>
      </c>
      <c r="V89" s="63">
        <f t="shared" si="74"/>
        <v>0.361475877819012</v>
      </c>
      <c r="W89" s="63">
        <f t="shared" si="75"/>
        <v>0.061491935483871</v>
      </c>
      <c r="X89" s="61">
        <v>0.188</v>
      </c>
      <c r="Y89" s="64">
        <v>8</v>
      </c>
      <c r="Z89" s="64">
        <v>0</v>
      </c>
      <c r="AA89" s="64">
        <f t="shared" si="76"/>
        <v>0.62</v>
      </c>
      <c r="AB89" s="57">
        <f t="shared" si="77"/>
        <v>11.656</v>
      </c>
      <c r="AC89" s="57">
        <v>180</v>
      </c>
      <c r="AD89" s="65">
        <f t="shared" si="78"/>
        <v>159.29203539823</v>
      </c>
      <c r="AE89" s="62">
        <f t="shared" si="79"/>
        <v>2.5</v>
      </c>
      <c r="AF89" s="63">
        <f t="shared" si="80"/>
        <v>0.321153297173851</v>
      </c>
      <c r="AG89" s="63">
        <f t="shared" si="81"/>
        <v>0.0403225806451613</v>
      </c>
      <c r="AH89" s="62">
        <v>20</v>
      </c>
      <c r="AI89" s="60">
        <f t="shared" si="84"/>
        <v>0.328672074674964</v>
      </c>
      <c r="AJ89" s="60"/>
      <c r="AK89" s="60"/>
      <c r="AL89" s="60"/>
      <c r="AM89" s="60"/>
      <c r="AN89" s="66"/>
      <c r="AO89" s="66"/>
      <c r="AP89" s="66"/>
      <c r="AQ89" s="66"/>
      <c r="AR89" s="66"/>
      <c r="AS89" s="66"/>
      <c r="AT89" s="66" t="s">
        <v>600</v>
      </c>
      <c r="AU89" s="66" t="s">
        <v>600</v>
      </c>
      <c r="AV89" s="66" t="s">
        <v>600</v>
      </c>
      <c r="AW89" s="66" t="s">
        <v>600</v>
      </c>
      <c r="AX89" s="66" t="s">
        <v>600</v>
      </c>
      <c r="AY89" s="66" t="s">
        <v>600</v>
      </c>
      <c r="AZ89" s="66" t="s">
        <v>600</v>
      </c>
      <c r="BA89" s="66" t="s">
        <v>600</v>
      </c>
      <c r="BB89" s="66" t="s">
        <v>600</v>
      </c>
      <c r="BC89" s="66" t="s">
        <v>600</v>
      </c>
      <c r="BD89" s="66" t="s">
        <v>600</v>
      </c>
      <c r="BE89" s="66" t="s">
        <v>600</v>
      </c>
      <c r="BF89" s="66" t="s">
        <v>600</v>
      </c>
      <c r="BG89" s="66" t="s">
        <v>600</v>
      </c>
      <c r="BH89" s="66" t="s">
        <v>600</v>
      </c>
      <c r="BI89" s="66" t="s">
        <v>600</v>
      </c>
      <c r="BJ89" s="66" t="s">
        <v>600</v>
      </c>
      <c r="BK89" s="66" t="s">
        <v>600</v>
      </c>
      <c r="BL89" s="66" t="s">
        <v>600</v>
      </c>
      <c r="BM89" s="66" t="s">
        <v>600</v>
      </c>
      <c r="BN89" s="66" t="s">
        <v>600</v>
      </c>
      <c r="BO89" s="66" t="s">
        <v>600</v>
      </c>
      <c r="BP89" s="66" t="s">
        <v>600</v>
      </c>
      <c r="BQ89" s="66" t="s">
        <v>600</v>
      </c>
      <c r="BR89" s="164"/>
      <c r="BS89" s="68" t="s">
        <v>601</v>
      </c>
    </row>
    <row r="90" ht="15.6" spans="1:71">
      <c r="A90" s="53" t="s">
        <v>513</v>
      </c>
      <c r="B90" s="53" t="s">
        <v>27</v>
      </c>
      <c r="C90" s="53" t="s">
        <v>626</v>
      </c>
      <c r="D90" s="168" t="s">
        <v>602</v>
      </c>
      <c r="E90" s="58">
        <v>62</v>
      </c>
      <c r="F90" s="56">
        <v>89.99</v>
      </c>
      <c r="G90" s="59">
        <f t="shared" si="63"/>
        <v>85.4905</v>
      </c>
      <c r="H90" s="59">
        <f t="shared" si="64"/>
        <v>71.2420833333333</v>
      </c>
      <c r="I90" s="165">
        <f t="shared" si="65"/>
        <v>11.0004955752212</v>
      </c>
      <c r="J90" s="60">
        <f t="shared" si="66"/>
        <v>0.177427347987439</v>
      </c>
      <c r="K90" s="57">
        <f t="shared" si="67"/>
        <v>74.9916666666667</v>
      </c>
      <c r="L90" s="163">
        <f t="shared" si="68"/>
        <v>0.173241471274586</v>
      </c>
      <c r="M90" s="59">
        <f t="shared" si="69"/>
        <v>12.9916666666667</v>
      </c>
      <c r="N90" s="57">
        <f t="shared" si="70"/>
        <v>179.29203539823</v>
      </c>
      <c r="O90" s="57">
        <f t="shared" si="71"/>
        <v>3.8125</v>
      </c>
      <c r="P90" s="53">
        <v>4</v>
      </c>
      <c r="Q90" s="62">
        <v>8</v>
      </c>
      <c r="R90" s="63">
        <f t="shared" si="72"/>
        <v>0.129032258064516</v>
      </c>
      <c r="S90" s="60">
        <f t="shared" si="83"/>
        <v>0.0888987665296144</v>
      </c>
      <c r="T90" s="63">
        <f t="shared" si="73"/>
        <v>0.0725725806451613</v>
      </c>
      <c r="U90" s="63">
        <v>0.01</v>
      </c>
      <c r="V90" s="63">
        <f t="shared" si="74"/>
        <v>0.361475877819012</v>
      </c>
      <c r="W90" s="63">
        <f t="shared" si="75"/>
        <v>0.061491935483871</v>
      </c>
      <c r="X90" s="61">
        <v>0.188</v>
      </c>
      <c r="Y90" s="64">
        <v>8</v>
      </c>
      <c r="Z90" s="64">
        <f>F90*0.05</f>
        <v>4.4995</v>
      </c>
      <c r="AA90" s="64">
        <f t="shared" si="76"/>
        <v>0.62</v>
      </c>
      <c r="AB90" s="57">
        <f t="shared" si="77"/>
        <v>11.656</v>
      </c>
      <c r="AC90" s="57">
        <v>180</v>
      </c>
      <c r="AD90" s="65">
        <f t="shared" si="78"/>
        <v>159.29203539823</v>
      </c>
      <c r="AE90" s="62">
        <f t="shared" si="79"/>
        <v>2.5</v>
      </c>
      <c r="AF90" s="63">
        <f t="shared" si="80"/>
        <v>0.321153297173851</v>
      </c>
      <c r="AG90" s="63">
        <f t="shared" si="81"/>
        <v>0.0403225806451613</v>
      </c>
      <c r="AH90" s="62">
        <v>20</v>
      </c>
      <c r="AI90" s="60">
        <f t="shared" si="84"/>
        <v>0.349651143271238</v>
      </c>
      <c r="AJ90" s="60"/>
      <c r="AK90" s="60"/>
      <c r="AL90" s="60"/>
      <c r="AM90" s="60"/>
      <c r="AN90" s="66"/>
      <c r="AO90" s="66"/>
      <c r="AP90" s="66"/>
      <c r="AQ90" s="66"/>
      <c r="AR90" s="66"/>
      <c r="AS90" s="66"/>
      <c r="AT90" s="66" t="s">
        <v>600</v>
      </c>
      <c r="AU90" s="66" t="s">
        <v>600</v>
      </c>
      <c r="AV90" s="66" t="s">
        <v>600</v>
      </c>
      <c r="AW90" s="66" t="s">
        <v>600</v>
      </c>
      <c r="AX90" s="66" t="s">
        <v>600</v>
      </c>
      <c r="AY90" s="66" t="s">
        <v>600</v>
      </c>
      <c r="AZ90" s="66" t="s">
        <v>600</v>
      </c>
      <c r="BA90" s="66" t="s">
        <v>600</v>
      </c>
      <c r="BB90" s="66" t="s">
        <v>600</v>
      </c>
      <c r="BC90" s="66" t="s">
        <v>600</v>
      </c>
      <c r="BD90" s="66" t="s">
        <v>600</v>
      </c>
      <c r="BE90" s="66" t="s">
        <v>600</v>
      </c>
      <c r="BF90" s="66" t="s">
        <v>600</v>
      </c>
      <c r="BG90" s="66" t="s">
        <v>600</v>
      </c>
      <c r="BH90" s="66" t="s">
        <v>600</v>
      </c>
      <c r="BI90" s="66" t="s">
        <v>600</v>
      </c>
      <c r="BJ90" s="66" t="s">
        <v>600</v>
      </c>
      <c r="BK90" s="66" t="s">
        <v>600</v>
      </c>
      <c r="BL90" s="66" t="s">
        <v>600</v>
      </c>
      <c r="BM90" s="66" t="s">
        <v>600</v>
      </c>
      <c r="BN90" s="66" t="s">
        <v>600</v>
      </c>
      <c r="BO90" s="66" t="s">
        <v>600</v>
      </c>
      <c r="BP90" s="66" t="s">
        <v>600</v>
      </c>
      <c r="BQ90" s="66" t="s">
        <v>600</v>
      </c>
      <c r="BR90" s="164"/>
      <c r="BS90" s="68" t="s">
        <v>601</v>
      </c>
    </row>
    <row r="91" ht="15.6" spans="1:71">
      <c r="A91" s="53" t="s">
        <v>513</v>
      </c>
      <c r="B91" s="53" t="s">
        <v>27</v>
      </c>
      <c r="C91" s="53" t="s">
        <v>626</v>
      </c>
      <c r="D91" s="168" t="s">
        <v>603</v>
      </c>
      <c r="E91" s="58">
        <v>62</v>
      </c>
      <c r="F91" s="56">
        <v>89.99</v>
      </c>
      <c r="G91" s="59">
        <f t="shared" si="63"/>
        <v>80.991</v>
      </c>
      <c r="H91" s="59">
        <f t="shared" si="64"/>
        <v>67.4925</v>
      </c>
      <c r="I91" s="59">
        <f t="shared" si="65"/>
        <v>6.50099557522124</v>
      </c>
      <c r="J91" s="60">
        <f t="shared" si="66"/>
        <v>0.104854767342278</v>
      </c>
      <c r="K91" s="57">
        <f t="shared" si="67"/>
        <v>74.9916666666667</v>
      </c>
      <c r="L91" s="163">
        <f t="shared" si="68"/>
        <v>0.173241471274586</v>
      </c>
      <c r="M91" s="59">
        <f t="shared" si="69"/>
        <v>12.9916666666667</v>
      </c>
      <c r="N91" s="57">
        <f t="shared" si="70"/>
        <v>179.29203539823</v>
      </c>
      <c r="O91" s="57">
        <f t="shared" si="71"/>
        <v>3.8125</v>
      </c>
      <c r="P91" s="53">
        <v>4</v>
      </c>
      <c r="Q91" s="62">
        <v>8</v>
      </c>
      <c r="R91" s="63">
        <f t="shared" si="72"/>
        <v>0.129032258064516</v>
      </c>
      <c r="S91" s="60">
        <f t="shared" si="83"/>
        <v>0.0888987665296144</v>
      </c>
      <c r="T91" s="63">
        <f t="shared" si="73"/>
        <v>0.145145161290323</v>
      </c>
      <c r="U91" s="63">
        <v>0.01</v>
      </c>
      <c r="V91" s="63">
        <f t="shared" si="74"/>
        <v>0.361475877819012</v>
      </c>
      <c r="W91" s="63">
        <f t="shared" si="75"/>
        <v>0.061491935483871</v>
      </c>
      <c r="X91" s="61">
        <v>0.188</v>
      </c>
      <c r="Y91" s="64">
        <v>8</v>
      </c>
      <c r="Z91" s="64">
        <f>F91*0.1</f>
        <v>8.999</v>
      </c>
      <c r="AA91" s="64">
        <f t="shared" si="76"/>
        <v>0.62</v>
      </c>
      <c r="AB91" s="57">
        <f t="shared" si="77"/>
        <v>11.656</v>
      </c>
      <c r="AC91" s="57">
        <v>180</v>
      </c>
      <c r="AD91" s="65">
        <f t="shared" si="78"/>
        <v>159.29203539823</v>
      </c>
      <c r="AE91" s="62">
        <f t="shared" si="79"/>
        <v>2.5</v>
      </c>
      <c r="AF91" s="63">
        <f t="shared" si="80"/>
        <v>0.321153297173851</v>
      </c>
      <c r="AG91" s="63">
        <f t="shared" si="81"/>
        <v>0.0403225806451613</v>
      </c>
      <c r="AH91" s="62">
        <v>20</v>
      </c>
      <c r="AI91" s="60">
        <f t="shared" si="84"/>
        <v>0.373490993948823</v>
      </c>
      <c r="AJ91" s="60"/>
      <c r="AK91" s="60"/>
      <c r="AL91" s="60"/>
      <c r="AM91" s="60"/>
      <c r="AN91" s="66"/>
      <c r="AO91" s="66"/>
      <c r="AP91" s="66"/>
      <c r="AQ91" s="66"/>
      <c r="AR91" s="66"/>
      <c r="AS91" s="66"/>
      <c r="AT91" s="66" t="s">
        <v>600</v>
      </c>
      <c r="AU91" s="66" t="s">
        <v>600</v>
      </c>
      <c r="AV91" s="66" t="s">
        <v>600</v>
      </c>
      <c r="AW91" s="66" t="s">
        <v>600</v>
      </c>
      <c r="AX91" s="66" t="s">
        <v>600</v>
      </c>
      <c r="AY91" s="66" t="s">
        <v>600</v>
      </c>
      <c r="AZ91" s="66" t="s">
        <v>600</v>
      </c>
      <c r="BA91" s="66" t="s">
        <v>600</v>
      </c>
      <c r="BB91" s="66" t="s">
        <v>600</v>
      </c>
      <c r="BC91" s="66" t="s">
        <v>600</v>
      </c>
      <c r="BD91" s="66" t="s">
        <v>600</v>
      </c>
      <c r="BE91" s="66" t="s">
        <v>600</v>
      </c>
      <c r="BF91" s="66" t="s">
        <v>600</v>
      </c>
      <c r="BG91" s="66" t="s">
        <v>600</v>
      </c>
      <c r="BH91" s="66" t="s">
        <v>600</v>
      </c>
      <c r="BI91" s="66" t="s">
        <v>600</v>
      </c>
      <c r="BJ91" s="66" t="s">
        <v>600</v>
      </c>
      <c r="BK91" s="66" t="s">
        <v>600</v>
      </c>
      <c r="BL91" s="66" t="s">
        <v>600</v>
      </c>
      <c r="BM91" s="66" t="s">
        <v>600</v>
      </c>
      <c r="BN91" s="66" t="s">
        <v>600</v>
      </c>
      <c r="BO91" s="66" t="s">
        <v>600</v>
      </c>
      <c r="BP91" s="66" t="s">
        <v>600</v>
      </c>
      <c r="BQ91" s="66" t="s">
        <v>600</v>
      </c>
      <c r="BR91" s="164"/>
      <c r="BS91" s="68" t="s">
        <v>601</v>
      </c>
    </row>
    <row r="92" ht="15.6" spans="1:71">
      <c r="A92" s="53" t="s">
        <v>513</v>
      </c>
      <c r="B92" s="53" t="s">
        <v>27</v>
      </c>
      <c r="C92" s="53" t="s">
        <v>626</v>
      </c>
      <c r="D92" s="166" t="s">
        <v>604</v>
      </c>
      <c r="E92" s="58">
        <v>62</v>
      </c>
      <c r="F92" s="56">
        <v>89.99</v>
      </c>
      <c r="G92" s="59">
        <f t="shared" si="63"/>
        <v>76.4915</v>
      </c>
      <c r="H92" s="59">
        <f t="shared" si="64"/>
        <v>63.7429166666667</v>
      </c>
      <c r="I92" s="59">
        <f t="shared" si="65"/>
        <v>2.00149557522124</v>
      </c>
      <c r="J92" s="60">
        <f t="shared" si="66"/>
        <v>0.0322821866971168</v>
      </c>
      <c r="K92" s="57">
        <f t="shared" si="67"/>
        <v>74.9916666666667</v>
      </c>
      <c r="L92" s="163">
        <f t="shared" si="68"/>
        <v>0.173241471274586</v>
      </c>
      <c r="M92" s="59">
        <f t="shared" si="69"/>
        <v>12.9916666666667</v>
      </c>
      <c r="N92" s="57">
        <f t="shared" si="70"/>
        <v>179.29203539823</v>
      </c>
      <c r="O92" s="57">
        <f t="shared" si="71"/>
        <v>3.8125</v>
      </c>
      <c r="P92" s="53">
        <v>4</v>
      </c>
      <c r="Q92" s="62">
        <v>8</v>
      </c>
      <c r="R92" s="63">
        <f t="shared" si="72"/>
        <v>0.129032258064516</v>
      </c>
      <c r="S92" s="60">
        <f t="shared" si="83"/>
        <v>0.0888987665296144</v>
      </c>
      <c r="T92" s="63">
        <f t="shared" si="73"/>
        <v>0.217717741935484</v>
      </c>
      <c r="U92" s="63">
        <v>0.01</v>
      </c>
      <c r="V92" s="63">
        <f t="shared" si="74"/>
        <v>0.361475877819012</v>
      </c>
      <c r="W92" s="63">
        <f t="shared" si="75"/>
        <v>0.061491935483871</v>
      </c>
      <c r="X92" s="61">
        <v>0.188</v>
      </c>
      <c r="Y92" s="64">
        <v>8</v>
      </c>
      <c r="Z92" s="64">
        <f>F92*0.15</f>
        <v>13.4985</v>
      </c>
      <c r="AA92" s="64">
        <f t="shared" si="76"/>
        <v>0.62</v>
      </c>
      <c r="AB92" s="57">
        <f t="shared" si="77"/>
        <v>11.656</v>
      </c>
      <c r="AC92" s="57">
        <v>180</v>
      </c>
      <c r="AD92" s="65">
        <f t="shared" si="78"/>
        <v>159.29203539823</v>
      </c>
      <c r="AE92" s="62">
        <f t="shared" si="79"/>
        <v>2.5</v>
      </c>
      <c r="AF92" s="63">
        <f t="shared" si="80"/>
        <v>0.321153297173851</v>
      </c>
      <c r="AG92" s="63">
        <f t="shared" si="81"/>
        <v>0.0403225806451613</v>
      </c>
      <c r="AH92" s="62">
        <v>20</v>
      </c>
      <c r="AI92" s="60">
        <f t="shared" si="84"/>
        <v>0.400819603262151</v>
      </c>
      <c r="AJ92" s="60"/>
      <c r="AK92" s="60"/>
      <c r="AL92" s="60"/>
      <c r="AM92" s="60"/>
      <c r="AN92" s="66"/>
      <c r="AO92" s="66"/>
      <c r="AP92" s="66"/>
      <c r="AQ92" s="66"/>
      <c r="AR92" s="66"/>
      <c r="AS92" s="66"/>
      <c r="AT92" s="66" t="s">
        <v>600</v>
      </c>
      <c r="AU92" s="66" t="s">
        <v>600</v>
      </c>
      <c r="AV92" s="66" t="s">
        <v>600</v>
      </c>
      <c r="AW92" s="66" t="s">
        <v>600</v>
      </c>
      <c r="AX92" s="66" t="s">
        <v>600</v>
      </c>
      <c r="AY92" s="66" t="s">
        <v>600</v>
      </c>
      <c r="AZ92" s="66" t="s">
        <v>600</v>
      </c>
      <c r="BA92" s="66" t="s">
        <v>600</v>
      </c>
      <c r="BB92" s="66" t="s">
        <v>600</v>
      </c>
      <c r="BC92" s="66" t="s">
        <v>600</v>
      </c>
      <c r="BD92" s="66" t="s">
        <v>600</v>
      </c>
      <c r="BE92" s="66" t="s">
        <v>600</v>
      </c>
      <c r="BF92" s="66" t="s">
        <v>600</v>
      </c>
      <c r="BG92" s="66" t="s">
        <v>600</v>
      </c>
      <c r="BH92" s="66" t="s">
        <v>600</v>
      </c>
      <c r="BI92" s="66" t="s">
        <v>600</v>
      </c>
      <c r="BJ92" s="66" t="s">
        <v>600</v>
      </c>
      <c r="BK92" s="66" t="s">
        <v>600</v>
      </c>
      <c r="BL92" s="66" t="s">
        <v>600</v>
      </c>
      <c r="BM92" s="66" t="s">
        <v>600</v>
      </c>
      <c r="BN92" s="66" t="s">
        <v>600</v>
      </c>
      <c r="BO92" s="66" t="s">
        <v>600</v>
      </c>
      <c r="BP92" s="66" t="s">
        <v>600</v>
      </c>
      <c r="BQ92" s="66" t="s">
        <v>600</v>
      </c>
      <c r="BR92" s="164"/>
      <c r="BS92" s="68" t="s">
        <v>601</v>
      </c>
    </row>
    <row r="93" ht="15.6" spans="1:71">
      <c r="A93" s="53" t="s">
        <v>516</v>
      </c>
      <c r="B93" s="53" t="s">
        <v>27</v>
      </c>
      <c r="C93" s="53" t="s">
        <v>626</v>
      </c>
      <c r="D93" s="166" t="s">
        <v>599</v>
      </c>
      <c r="E93" s="58">
        <v>62</v>
      </c>
      <c r="F93" s="56">
        <v>89.99</v>
      </c>
      <c r="G93" s="59">
        <f t="shared" si="63"/>
        <v>89.99</v>
      </c>
      <c r="H93" s="59">
        <f t="shared" si="64"/>
        <v>74.9916666666667</v>
      </c>
      <c r="I93" s="59">
        <f t="shared" si="65"/>
        <v>14.4999955752212</v>
      </c>
      <c r="J93" s="60">
        <f t="shared" si="66"/>
        <v>0.233870896374536</v>
      </c>
      <c r="K93" s="57">
        <f t="shared" si="67"/>
        <v>74.9916666666667</v>
      </c>
      <c r="L93" s="163">
        <f t="shared" si="68"/>
        <v>0.173241471274586</v>
      </c>
      <c r="M93" s="59">
        <f t="shared" si="69"/>
        <v>12.9916666666667</v>
      </c>
      <c r="N93" s="57">
        <f t="shared" si="70"/>
        <v>179.29203539823</v>
      </c>
      <c r="O93" s="57">
        <f t="shared" si="71"/>
        <v>4.8125</v>
      </c>
      <c r="P93" s="53">
        <v>4</v>
      </c>
      <c r="Q93" s="62">
        <v>8</v>
      </c>
      <c r="R93" s="63">
        <f t="shared" si="72"/>
        <v>0.129032258064516</v>
      </c>
      <c r="S93" s="60">
        <f t="shared" si="83"/>
        <v>0.0888987665296144</v>
      </c>
      <c r="T93" s="63">
        <f t="shared" si="73"/>
        <v>0</v>
      </c>
      <c r="U93" s="63">
        <v>0.01</v>
      </c>
      <c r="V93" s="63">
        <f t="shared" si="74"/>
        <v>0.361475877819012</v>
      </c>
      <c r="W93" s="63">
        <f t="shared" si="75"/>
        <v>0.0776209677419355</v>
      </c>
      <c r="X93" s="61">
        <v>0.188</v>
      </c>
      <c r="Y93" s="64">
        <v>8</v>
      </c>
      <c r="Z93" s="64">
        <v>0</v>
      </c>
      <c r="AA93" s="64">
        <f t="shared" si="76"/>
        <v>0.62</v>
      </c>
      <c r="AB93" s="57">
        <f t="shared" si="77"/>
        <v>11.656</v>
      </c>
      <c r="AC93" s="57">
        <v>180</v>
      </c>
      <c r="AD93" s="65">
        <f t="shared" si="78"/>
        <v>159.29203539823</v>
      </c>
      <c r="AE93" s="62">
        <f t="shared" si="79"/>
        <v>2.5</v>
      </c>
      <c r="AF93" s="63">
        <f t="shared" si="80"/>
        <v>0.321153297173851</v>
      </c>
      <c r="AG93" s="63">
        <f t="shared" si="81"/>
        <v>0.0403225806451613</v>
      </c>
      <c r="AH93" s="62">
        <v>20</v>
      </c>
      <c r="AI93" s="63">
        <f t="shared" si="84"/>
        <v>0.328672074674964</v>
      </c>
      <c r="AJ93" s="63"/>
      <c r="AK93" s="63"/>
      <c r="AL93" s="63"/>
      <c r="AM93" s="63"/>
      <c r="AN93" s="66"/>
      <c r="AO93" s="66"/>
      <c r="AP93" s="66"/>
      <c r="AQ93" s="66"/>
      <c r="AR93" s="66"/>
      <c r="AS93" s="66"/>
      <c r="AT93" s="66" t="s">
        <v>600</v>
      </c>
      <c r="AU93" s="66" t="s">
        <v>600</v>
      </c>
      <c r="AV93" s="66" t="s">
        <v>600</v>
      </c>
      <c r="AW93" s="66" t="s">
        <v>600</v>
      </c>
      <c r="AX93" s="66" t="s">
        <v>600</v>
      </c>
      <c r="AY93" s="66" t="s">
        <v>600</v>
      </c>
      <c r="AZ93" s="66" t="s">
        <v>600</v>
      </c>
      <c r="BA93" s="66" t="s">
        <v>600</v>
      </c>
      <c r="BB93" s="66" t="s">
        <v>600</v>
      </c>
      <c r="BC93" s="66" t="s">
        <v>600</v>
      </c>
      <c r="BD93" s="66" t="s">
        <v>600</v>
      </c>
      <c r="BE93" s="66" t="s">
        <v>600</v>
      </c>
      <c r="BF93" s="66" t="s">
        <v>600</v>
      </c>
      <c r="BG93" s="66" t="s">
        <v>600</v>
      </c>
      <c r="BH93" s="66" t="s">
        <v>600</v>
      </c>
      <c r="BI93" s="66" t="s">
        <v>600</v>
      </c>
      <c r="BJ93" s="66" t="s">
        <v>600</v>
      </c>
      <c r="BK93" s="66" t="s">
        <v>600</v>
      </c>
      <c r="BL93" s="66" t="s">
        <v>600</v>
      </c>
      <c r="BM93" s="66" t="s">
        <v>600</v>
      </c>
      <c r="BN93" s="66" t="s">
        <v>600</v>
      </c>
      <c r="BO93" s="66" t="s">
        <v>600</v>
      </c>
      <c r="BP93" s="66" t="s">
        <v>600</v>
      </c>
      <c r="BQ93" s="66" t="s">
        <v>600</v>
      </c>
      <c r="BR93" s="164"/>
      <c r="BS93" s="68" t="s">
        <v>601</v>
      </c>
    </row>
    <row r="94" ht="15.6" spans="1:71">
      <c r="A94" s="53" t="s">
        <v>516</v>
      </c>
      <c r="B94" s="53" t="s">
        <v>27</v>
      </c>
      <c r="C94" s="53" t="s">
        <v>626</v>
      </c>
      <c r="D94" s="168" t="s">
        <v>602</v>
      </c>
      <c r="E94" s="58">
        <v>62</v>
      </c>
      <c r="F94" s="56">
        <v>89.99</v>
      </c>
      <c r="G94" s="59">
        <f t="shared" si="63"/>
        <v>85.4905</v>
      </c>
      <c r="H94" s="59">
        <f t="shared" si="64"/>
        <v>71.2420833333333</v>
      </c>
      <c r="I94" s="165">
        <f t="shared" si="65"/>
        <v>10.0004955752212</v>
      </c>
      <c r="J94" s="60">
        <f t="shared" si="66"/>
        <v>0.161298315729375</v>
      </c>
      <c r="K94" s="57">
        <f t="shared" si="67"/>
        <v>74.9916666666667</v>
      </c>
      <c r="L94" s="163">
        <f t="shared" si="68"/>
        <v>0.173241471274586</v>
      </c>
      <c r="M94" s="59">
        <f t="shared" si="69"/>
        <v>12.9916666666667</v>
      </c>
      <c r="N94" s="57">
        <f t="shared" si="70"/>
        <v>179.29203539823</v>
      </c>
      <c r="O94" s="57">
        <f t="shared" si="71"/>
        <v>4.8125</v>
      </c>
      <c r="P94" s="53">
        <v>4</v>
      </c>
      <c r="Q94" s="62">
        <v>8</v>
      </c>
      <c r="R94" s="63">
        <f t="shared" si="72"/>
        <v>0.129032258064516</v>
      </c>
      <c r="S94" s="60">
        <f t="shared" si="83"/>
        <v>0.0888987665296144</v>
      </c>
      <c r="T94" s="63">
        <f t="shared" si="73"/>
        <v>0.0725725806451613</v>
      </c>
      <c r="U94" s="63">
        <v>0.01</v>
      </c>
      <c r="V94" s="63">
        <f t="shared" si="74"/>
        <v>0.361475877819012</v>
      </c>
      <c r="W94" s="63">
        <f t="shared" si="75"/>
        <v>0.0776209677419355</v>
      </c>
      <c r="X94" s="61">
        <v>0.188</v>
      </c>
      <c r="Y94" s="64">
        <v>8</v>
      </c>
      <c r="Z94" s="64">
        <f>F94*0.05</f>
        <v>4.4995</v>
      </c>
      <c r="AA94" s="64">
        <f t="shared" si="76"/>
        <v>0.62</v>
      </c>
      <c r="AB94" s="57">
        <f t="shared" si="77"/>
        <v>11.656</v>
      </c>
      <c r="AC94" s="57">
        <v>180</v>
      </c>
      <c r="AD94" s="65">
        <f t="shared" si="78"/>
        <v>159.29203539823</v>
      </c>
      <c r="AE94" s="62">
        <f t="shared" si="79"/>
        <v>2.5</v>
      </c>
      <c r="AF94" s="63">
        <f t="shared" si="80"/>
        <v>0.321153297173851</v>
      </c>
      <c r="AG94" s="63">
        <f t="shared" si="81"/>
        <v>0.0403225806451613</v>
      </c>
      <c r="AH94" s="62">
        <v>20</v>
      </c>
      <c r="AI94" s="63">
        <f t="shared" si="84"/>
        <v>0.349651143271238</v>
      </c>
      <c r="AJ94" s="63"/>
      <c r="AK94" s="63"/>
      <c r="AL94" s="63"/>
      <c r="AM94" s="63"/>
      <c r="AN94" s="66"/>
      <c r="AO94" s="66"/>
      <c r="AP94" s="66"/>
      <c r="AQ94" s="66"/>
      <c r="AR94" s="66"/>
      <c r="AS94" s="66"/>
      <c r="AT94" s="66" t="s">
        <v>600</v>
      </c>
      <c r="AU94" s="66" t="s">
        <v>600</v>
      </c>
      <c r="AV94" s="66" t="s">
        <v>600</v>
      </c>
      <c r="AW94" s="66" t="s">
        <v>600</v>
      </c>
      <c r="AX94" s="66" t="s">
        <v>600</v>
      </c>
      <c r="AY94" s="66" t="s">
        <v>600</v>
      </c>
      <c r="AZ94" s="66" t="s">
        <v>600</v>
      </c>
      <c r="BA94" s="66" t="s">
        <v>600</v>
      </c>
      <c r="BB94" s="66" t="s">
        <v>600</v>
      </c>
      <c r="BC94" s="66" t="s">
        <v>600</v>
      </c>
      <c r="BD94" s="66" t="s">
        <v>600</v>
      </c>
      <c r="BE94" s="66" t="s">
        <v>600</v>
      </c>
      <c r="BF94" s="66" t="s">
        <v>600</v>
      </c>
      <c r="BG94" s="66" t="s">
        <v>600</v>
      </c>
      <c r="BH94" s="66" t="s">
        <v>600</v>
      </c>
      <c r="BI94" s="66" t="s">
        <v>600</v>
      </c>
      <c r="BJ94" s="66" t="s">
        <v>600</v>
      </c>
      <c r="BK94" s="66" t="s">
        <v>600</v>
      </c>
      <c r="BL94" s="66" t="s">
        <v>600</v>
      </c>
      <c r="BM94" s="66" t="s">
        <v>600</v>
      </c>
      <c r="BN94" s="66" t="s">
        <v>600</v>
      </c>
      <c r="BO94" s="66" t="s">
        <v>600</v>
      </c>
      <c r="BP94" s="66" t="s">
        <v>600</v>
      </c>
      <c r="BQ94" s="66" t="s">
        <v>600</v>
      </c>
      <c r="BR94" s="164"/>
      <c r="BS94" s="68" t="s">
        <v>601</v>
      </c>
    </row>
    <row r="95" ht="15.6" spans="1:71">
      <c r="A95" s="53" t="s">
        <v>516</v>
      </c>
      <c r="B95" s="53" t="s">
        <v>27</v>
      </c>
      <c r="C95" s="53" t="s">
        <v>626</v>
      </c>
      <c r="D95" s="168" t="s">
        <v>603</v>
      </c>
      <c r="E95" s="58">
        <v>62</v>
      </c>
      <c r="F95" s="56">
        <v>89.99</v>
      </c>
      <c r="G95" s="59">
        <f t="shared" si="63"/>
        <v>80.991</v>
      </c>
      <c r="H95" s="59">
        <f t="shared" si="64"/>
        <v>67.4925</v>
      </c>
      <c r="I95" s="59">
        <f t="shared" si="65"/>
        <v>5.50099557522124</v>
      </c>
      <c r="J95" s="60">
        <f t="shared" si="66"/>
        <v>0.0887257350842135</v>
      </c>
      <c r="K95" s="57">
        <f t="shared" si="67"/>
        <v>74.9916666666667</v>
      </c>
      <c r="L95" s="163">
        <f t="shared" si="68"/>
        <v>0.173241471274586</v>
      </c>
      <c r="M95" s="59">
        <f t="shared" si="69"/>
        <v>12.9916666666667</v>
      </c>
      <c r="N95" s="57">
        <f t="shared" si="70"/>
        <v>179.29203539823</v>
      </c>
      <c r="O95" s="57">
        <f t="shared" si="71"/>
        <v>4.8125</v>
      </c>
      <c r="P95" s="53">
        <v>4</v>
      </c>
      <c r="Q95" s="62">
        <v>8</v>
      </c>
      <c r="R95" s="63">
        <f t="shared" si="72"/>
        <v>0.129032258064516</v>
      </c>
      <c r="S95" s="60">
        <f t="shared" si="83"/>
        <v>0.0888987665296144</v>
      </c>
      <c r="T95" s="63">
        <f t="shared" si="73"/>
        <v>0.145145161290323</v>
      </c>
      <c r="U95" s="63">
        <v>0.01</v>
      </c>
      <c r="V95" s="63">
        <f t="shared" si="74"/>
        <v>0.361475877819012</v>
      </c>
      <c r="W95" s="63">
        <f t="shared" si="75"/>
        <v>0.0776209677419355</v>
      </c>
      <c r="X95" s="61">
        <v>0.188</v>
      </c>
      <c r="Y95" s="64">
        <v>8</v>
      </c>
      <c r="Z95" s="64">
        <f>F95*0.1</f>
        <v>8.999</v>
      </c>
      <c r="AA95" s="64">
        <f t="shared" si="76"/>
        <v>0.62</v>
      </c>
      <c r="AB95" s="57">
        <f t="shared" si="77"/>
        <v>11.656</v>
      </c>
      <c r="AC95" s="57">
        <v>180</v>
      </c>
      <c r="AD95" s="65">
        <f t="shared" si="78"/>
        <v>159.29203539823</v>
      </c>
      <c r="AE95" s="62">
        <f t="shared" si="79"/>
        <v>2.5</v>
      </c>
      <c r="AF95" s="63">
        <f t="shared" si="80"/>
        <v>0.321153297173851</v>
      </c>
      <c r="AG95" s="63">
        <f t="shared" si="81"/>
        <v>0.0403225806451613</v>
      </c>
      <c r="AH95" s="62">
        <v>20</v>
      </c>
      <c r="AI95" s="63">
        <f t="shared" si="84"/>
        <v>0.373490993948823</v>
      </c>
      <c r="AJ95" s="63"/>
      <c r="AK95" s="63"/>
      <c r="AL95" s="63"/>
      <c r="AM95" s="63"/>
      <c r="AN95" s="66"/>
      <c r="AO95" s="66"/>
      <c r="AP95" s="66"/>
      <c r="AQ95" s="66"/>
      <c r="AR95" s="66"/>
      <c r="AS95" s="66"/>
      <c r="AT95" s="66" t="s">
        <v>600</v>
      </c>
      <c r="AU95" s="66" t="s">
        <v>600</v>
      </c>
      <c r="AV95" s="66" t="s">
        <v>600</v>
      </c>
      <c r="AW95" s="66" t="s">
        <v>600</v>
      </c>
      <c r="AX95" s="66" t="s">
        <v>600</v>
      </c>
      <c r="AY95" s="66" t="s">
        <v>600</v>
      </c>
      <c r="AZ95" s="66" t="s">
        <v>600</v>
      </c>
      <c r="BA95" s="66" t="s">
        <v>600</v>
      </c>
      <c r="BB95" s="66" t="s">
        <v>600</v>
      </c>
      <c r="BC95" s="66" t="s">
        <v>600</v>
      </c>
      <c r="BD95" s="66" t="s">
        <v>600</v>
      </c>
      <c r="BE95" s="66" t="s">
        <v>600</v>
      </c>
      <c r="BF95" s="66" t="s">
        <v>600</v>
      </c>
      <c r="BG95" s="66" t="s">
        <v>600</v>
      </c>
      <c r="BH95" s="66" t="s">
        <v>600</v>
      </c>
      <c r="BI95" s="66" t="s">
        <v>600</v>
      </c>
      <c r="BJ95" s="66" t="s">
        <v>600</v>
      </c>
      <c r="BK95" s="66" t="s">
        <v>600</v>
      </c>
      <c r="BL95" s="66" t="s">
        <v>600</v>
      </c>
      <c r="BM95" s="66" t="s">
        <v>600</v>
      </c>
      <c r="BN95" s="66" t="s">
        <v>600</v>
      </c>
      <c r="BO95" s="66" t="s">
        <v>600</v>
      </c>
      <c r="BP95" s="66" t="s">
        <v>600</v>
      </c>
      <c r="BQ95" s="66" t="s">
        <v>600</v>
      </c>
      <c r="BR95" s="164"/>
      <c r="BS95" s="68" t="s">
        <v>601</v>
      </c>
    </row>
    <row r="96" ht="15.6" spans="1:71">
      <c r="A96" s="53" t="s">
        <v>516</v>
      </c>
      <c r="B96" s="53" t="s">
        <v>27</v>
      </c>
      <c r="C96" s="53" t="s">
        <v>626</v>
      </c>
      <c r="D96" s="166" t="s">
        <v>604</v>
      </c>
      <c r="E96" s="58">
        <v>62</v>
      </c>
      <c r="F96" s="56">
        <v>89.99</v>
      </c>
      <c r="G96" s="59">
        <f t="shared" si="63"/>
        <v>76.4915</v>
      </c>
      <c r="H96" s="59">
        <f t="shared" si="64"/>
        <v>63.7429166666667</v>
      </c>
      <c r="I96" s="59">
        <f t="shared" si="65"/>
        <v>1.00149557522124</v>
      </c>
      <c r="J96" s="60">
        <f t="shared" si="66"/>
        <v>0.0161531544390523</v>
      </c>
      <c r="K96" s="57">
        <f t="shared" si="67"/>
        <v>74.9916666666667</v>
      </c>
      <c r="L96" s="163">
        <f t="shared" si="68"/>
        <v>0.173241471274586</v>
      </c>
      <c r="M96" s="59">
        <f t="shared" si="69"/>
        <v>12.9916666666667</v>
      </c>
      <c r="N96" s="57">
        <f t="shared" si="70"/>
        <v>179.29203539823</v>
      </c>
      <c r="O96" s="57">
        <f t="shared" si="71"/>
        <v>4.8125</v>
      </c>
      <c r="P96" s="53">
        <v>4</v>
      </c>
      <c r="Q96" s="62">
        <v>8</v>
      </c>
      <c r="R96" s="63">
        <f t="shared" si="72"/>
        <v>0.129032258064516</v>
      </c>
      <c r="S96" s="60">
        <f t="shared" si="83"/>
        <v>0.0888987665296144</v>
      </c>
      <c r="T96" s="63">
        <f t="shared" si="73"/>
        <v>0.217717741935484</v>
      </c>
      <c r="U96" s="63">
        <v>0.01</v>
      </c>
      <c r="V96" s="63">
        <f t="shared" si="74"/>
        <v>0.361475877819012</v>
      </c>
      <c r="W96" s="63">
        <f t="shared" si="75"/>
        <v>0.0776209677419355</v>
      </c>
      <c r="X96" s="61">
        <v>0.188</v>
      </c>
      <c r="Y96" s="64">
        <v>8</v>
      </c>
      <c r="Z96" s="64">
        <f>F96*0.15</f>
        <v>13.4985</v>
      </c>
      <c r="AA96" s="64">
        <f t="shared" si="76"/>
        <v>0.62</v>
      </c>
      <c r="AB96" s="57">
        <f t="shared" si="77"/>
        <v>11.656</v>
      </c>
      <c r="AC96" s="57">
        <v>180</v>
      </c>
      <c r="AD96" s="65">
        <f t="shared" si="78"/>
        <v>159.29203539823</v>
      </c>
      <c r="AE96" s="62">
        <f t="shared" si="79"/>
        <v>2.5</v>
      </c>
      <c r="AF96" s="63">
        <f t="shared" si="80"/>
        <v>0.321153297173851</v>
      </c>
      <c r="AG96" s="63">
        <f t="shared" si="81"/>
        <v>0.0403225806451613</v>
      </c>
      <c r="AH96" s="62">
        <v>20</v>
      </c>
      <c r="AI96" s="63">
        <f t="shared" si="84"/>
        <v>0.400819603262151</v>
      </c>
      <c r="AJ96" s="63"/>
      <c r="AK96" s="63"/>
      <c r="AL96" s="63"/>
      <c r="AM96" s="63"/>
      <c r="AN96" s="66"/>
      <c r="AO96" s="66"/>
      <c r="AP96" s="66"/>
      <c r="AQ96" s="66"/>
      <c r="AR96" s="66"/>
      <c r="AS96" s="66"/>
      <c r="AT96" s="66" t="s">
        <v>600</v>
      </c>
      <c r="AU96" s="66" t="s">
        <v>600</v>
      </c>
      <c r="AV96" s="66" t="s">
        <v>600</v>
      </c>
      <c r="AW96" s="66" t="s">
        <v>600</v>
      </c>
      <c r="AX96" s="66" t="s">
        <v>600</v>
      </c>
      <c r="AY96" s="66" t="s">
        <v>600</v>
      </c>
      <c r="AZ96" s="66" t="s">
        <v>600</v>
      </c>
      <c r="BA96" s="66" t="s">
        <v>600</v>
      </c>
      <c r="BB96" s="66" t="s">
        <v>600</v>
      </c>
      <c r="BC96" s="66" t="s">
        <v>600</v>
      </c>
      <c r="BD96" s="66" t="s">
        <v>600</v>
      </c>
      <c r="BE96" s="66" t="s">
        <v>600</v>
      </c>
      <c r="BF96" s="66" t="s">
        <v>600</v>
      </c>
      <c r="BG96" s="66" t="s">
        <v>600</v>
      </c>
      <c r="BH96" s="66" t="s">
        <v>600</v>
      </c>
      <c r="BI96" s="66" t="s">
        <v>600</v>
      </c>
      <c r="BJ96" s="66" t="s">
        <v>600</v>
      </c>
      <c r="BK96" s="66" t="s">
        <v>600</v>
      </c>
      <c r="BL96" s="66" t="s">
        <v>600</v>
      </c>
      <c r="BM96" s="66" t="s">
        <v>600</v>
      </c>
      <c r="BN96" s="66" t="s">
        <v>600</v>
      </c>
      <c r="BO96" s="66" t="s">
        <v>600</v>
      </c>
      <c r="BP96" s="66" t="s">
        <v>600</v>
      </c>
      <c r="BQ96" s="66" t="s">
        <v>600</v>
      </c>
      <c r="BR96" s="164"/>
      <c r="BS96" s="68" t="s">
        <v>601</v>
      </c>
    </row>
    <row r="97" ht="15.6" spans="1:71">
      <c r="A97" s="53" t="s">
        <v>605</v>
      </c>
      <c r="B97" s="53" t="s">
        <v>27</v>
      </c>
      <c r="C97" s="53" t="s">
        <v>626</v>
      </c>
      <c r="D97" s="170" t="s">
        <v>606</v>
      </c>
      <c r="E97" s="58">
        <v>62</v>
      </c>
      <c r="F97" s="56">
        <v>89.99</v>
      </c>
      <c r="G97" s="59">
        <f t="shared" si="63"/>
        <v>89.99</v>
      </c>
      <c r="H97" s="59">
        <f t="shared" si="64"/>
        <v>74.9916666666667</v>
      </c>
      <c r="I97" s="59">
        <f t="shared" si="65"/>
        <v>23.1249955752212</v>
      </c>
      <c r="J97" s="60">
        <f t="shared" si="66"/>
        <v>0.372983799600343</v>
      </c>
      <c r="K97" s="57">
        <f t="shared" si="67"/>
        <v>74.9916666666667</v>
      </c>
      <c r="L97" s="163">
        <f t="shared" si="68"/>
        <v>0.173241471274586</v>
      </c>
      <c r="M97" s="59">
        <f t="shared" si="69"/>
        <v>12.9916666666667</v>
      </c>
      <c r="N97" s="57">
        <f t="shared" si="70"/>
        <v>179.29203539823</v>
      </c>
      <c r="O97" s="57">
        <f t="shared" si="71"/>
        <v>4.1875</v>
      </c>
      <c r="P97" s="53">
        <v>4</v>
      </c>
      <c r="Q97" s="62">
        <v>8</v>
      </c>
      <c r="R97" s="63">
        <f t="shared" si="72"/>
        <v>0</v>
      </c>
      <c r="S97" s="60">
        <f t="shared" si="83"/>
        <v>0</v>
      </c>
      <c r="T97" s="63">
        <f t="shared" si="73"/>
        <v>0</v>
      </c>
      <c r="U97" s="63">
        <v>0.01</v>
      </c>
      <c r="V97" s="63">
        <f t="shared" si="74"/>
        <v>0.361475877819012</v>
      </c>
      <c r="W97" s="63">
        <f t="shared" si="75"/>
        <v>0.0675403225806452</v>
      </c>
      <c r="X97" s="61">
        <v>0.188</v>
      </c>
      <c r="Y97" s="64">
        <v>0</v>
      </c>
      <c r="Z97" s="64">
        <f>F97*0</f>
        <v>0</v>
      </c>
      <c r="AA97" s="64">
        <f t="shared" si="76"/>
        <v>0.62</v>
      </c>
      <c r="AB97" s="57">
        <f t="shared" si="77"/>
        <v>11.656</v>
      </c>
      <c r="AC97" s="57">
        <v>180</v>
      </c>
      <c r="AD97" s="65">
        <f t="shared" si="78"/>
        <v>159.29203539823</v>
      </c>
      <c r="AE97" s="62">
        <f t="shared" si="79"/>
        <v>2.5</v>
      </c>
      <c r="AF97" s="63">
        <f t="shared" si="80"/>
        <v>0.321153297173851</v>
      </c>
      <c r="AG97" s="63">
        <f t="shared" si="81"/>
        <v>0.0403225806451613</v>
      </c>
      <c r="AH97" s="62">
        <v>20</v>
      </c>
      <c r="AI97" s="63">
        <f t="shared" si="84"/>
        <v>0.328672074674964</v>
      </c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 t="s">
        <v>600</v>
      </c>
      <c r="AU97" s="66" t="s">
        <v>600</v>
      </c>
      <c r="AV97" s="66" t="s">
        <v>600</v>
      </c>
      <c r="AW97" s="66" t="s">
        <v>600</v>
      </c>
      <c r="AX97" s="66" t="s">
        <v>600</v>
      </c>
      <c r="AY97" s="66" t="s">
        <v>600</v>
      </c>
      <c r="AZ97" s="66" t="s">
        <v>600</v>
      </c>
      <c r="BA97" s="66" t="s">
        <v>600</v>
      </c>
      <c r="BB97" s="66" t="s">
        <v>600</v>
      </c>
      <c r="BC97" s="66" t="s">
        <v>600</v>
      </c>
      <c r="BD97" s="66" t="s">
        <v>600</v>
      </c>
      <c r="BE97" s="66" t="s">
        <v>600</v>
      </c>
      <c r="BF97" s="66" t="s">
        <v>600</v>
      </c>
      <c r="BG97" s="66" t="s">
        <v>600</v>
      </c>
      <c r="BH97" s="66" t="s">
        <v>600</v>
      </c>
      <c r="BI97" s="66" t="s">
        <v>600</v>
      </c>
      <c r="BJ97" s="66" t="s">
        <v>600</v>
      </c>
      <c r="BK97" s="66" t="s">
        <v>600</v>
      </c>
      <c r="BL97" s="66" t="s">
        <v>600</v>
      </c>
      <c r="BM97" s="66" t="s">
        <v>600</v>
      </c>
      <c r="BN97" s="66" t="s">
        <v>600</v>
      </c>
      <c r="BO97" s="66" t="s">
        <v>600</v>
      </c>
      <c r="BP97" s="66" t="s">
        <v>600</v>
      </c>
      <c r="BQ97" s="66" t="s">
        <v>600</v>
      </c>
      <c r="BR97" s="70" t="e">
        <f>IF(E97&lt;#REF!,1,0)</f>
        <v>#REF!</v>
      </c>
      <c r="BS97" s="68" t="s">
        <v>601</v>
      </c>
    </row>
    <row r="98" ht="15.6" spans="1:71">
      <c r="A98" s="53" t="s">
        <v>607</v>
      </c>
      <c r="B98" s="53" t="s">
        <v>27</v>
      </c>
      <c r="C98" s="53" t="s">
        <v>626</v>
      </c>
      <c r="D98" s="170" t="s">
        <v>608</v>
      </c>
      <c r="E98" s="58">
        <v>62</v>
      </c>
      <c r="F98" s="56">
        <v>89.99</v>
      </c>
      <c r="G98" s="59">
        <f t="shared" si="63"/>
        <v>89.99</v>
      </c>
      <c r="H98" s="59">
        <f t="shared" si="64"/>
        <v>74.9916666666667</v>
      </c>
      <c r="I98" s="59">
        <f t="shared" si="65"/>
        <v>23.7999955752212</v>
      </c>
      <c r="J98" s="60">
        <f t="shared" si="66"/>
        <v>0.383870896374536</v>
      </c>
      <c r="K98" s="57">
        <f t="shared" si="67"/>
        <v>74.9916666666667</v>
      </c>
      <c r="L98" s="163">
        <f t="shared" si="68"/>
        <v>0.173241471274586</v>
      </c>
      <c r="M98" s="59">
        <f t="shared" si="69"/>
        <v>12.9916666666667</v>
      </c>
      <c r="N98" s="57">
        <f t="shared" si="70"/>
        <v>179.29203539823</v>
      </c>
      <c r="O98" s="57">
        <f t="shared" si="71"/>
        <v>3.5125</v>
      </c>
      <c r="P98" s="53">
        <v>4</v>
      </c>
      <c r="Q98" s="62">
        <v>8</v>
      </c>
      <c r="R98" s="63">
        <f t="shared" si="72"/>
        <v>0</v>
      </c>
      <c r="S98" s="60">
        <f t="shared" si="83"/>
        <v>0</v>
      </c>
      <c r="T98" s="63">
        <f t="shared" si="73"/>
        <v>0</v>
      </c>
      <c r="U98" s="63">
        <v>0.01</v>
      </c>
      <c r="V98" s="63">
        <f t="shared" si="74"/>
        <v>0.361475877819012</v>
      </c>
      <c r="W98" s="63">
        <f t="shared" si="75"/>
        <v>0.0566532258064516</v>
      </c>
      <c r="X98" s="61">
        <v>0.188</v>
      </c>
      <c r="Y98" s="64">
        <v>0</v>
      </c>
      <c r="Z98" s="64">
        <f>F98*0</f>
        <v>0</v>
      </c>
      <c r="AA98" s="64">
        <f t="shared" si="76"/>
        <v>0.62</v>
      </c>
      <c r="AB98" s="57">
        <f t="shared" si="77"/>
        <v>11.656</v>
      </c>
      <c r="AC98" s="57">
        <v>180</v>
      </c>
      <c r="AD98" s="65">
        <f t="shared" si="78"/>
        <v>159.29203539823</v>
      </c>
      <c r="AE98" s="62">
        <f t="shared" si="79"/>
        <v>2.5</v>
      </c>
      <c r="AF98" s="63">
        <f t="shared" si="80"/>
        <v>0.321153297173851</v>
      </c>
      <c r="AG98" s="63">
        <f t="shared" si="81"/>
        <v>0.0403225806451613</v>
      </c>
      <c r="AH98" s="62">
        <v>20</v>
      </c>
      <c r="AI98" s="63">
        <f t="shared" si="84"/>
        <v>0.328672074674964</v>
      </c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 t="s">
        <v>600</v>
      </c>
      <c r="AU98" s="66" t="s">
        <v>600</v>
      </c>
      <c r="AV98" s="66" t="s">
        <v>600</v>
      </c>
      <c r="AW98" s="66" t="s">
        <v>600</v>
      </c>
      <c r="AX98" s="66" t="s">
        <v>600</v>
      </c>
      <c r="AY98" s="66" t="s">
        <v>600</v>
      </c>
      <c r="AZ98" s="66" t="s">
        <v>600</v>
      </c>
      <c r="BA98" s="66" t="s">
        <v>600</v>
      </c>
      <c r="BB98" s="66" t="s">
        <v>600</v>
      </c>
      <c r="BC98" s="66" t="s">
        <v>600</v>
      </c>
      <c r="BD98" s="66" t="s">
        <v>600</v>
      </c>
      <c r="BE98" s="66" t="s">
        <v>600</v>
      </c>
      <c r="BF98" s="66" t="s">
        <v>600</v>
      </c>
      <c r="BG98" s="66" t="s">
        <v>600</v>
      </c>
      <c r="BH98" s="66" t="s">
        <v>600</v>
      </c>
      <c r="BI98" s="66" t="s">
        <v>600</v>
      </c>
      <c r="BJ98" s="66" t="s">
        <v>600</v>
      </c>
      <c r="BK98" s="66" t="s">
        <v>600</v>
      </c>
      <c r="BL98" s="66" t="s">
        <v>600</v>
      </c>
      <c r="BM98" s="66" t="s">
        <v>600</v>
      </c>
      <c r="BN98" s="66" t="s">
        <v>600</v>
      </c>
      <c r="BO98" s="66" t="s">
        <v>600</v>
      </c>
      <c r="BP98" s="66" t="s">
        <v>600</v>
      </c>
      <c r="BQ98" s="66" t="s">
        <v>600</v>
      </c>
      <c r="BR98" s="70" t="e">
        <f>IF(E98&lt;#REF!,1,0)</f>
        <v>#REF!</v>
      </c>
      <c r="BS98" s="68" t="s">
        <v>601</v>
      </c>
    </row>
    <row r="99" ht="15.6" spans="1:71">
      <c r="A99" s="53" t="s">
        <v>609</v>
      </c>
      <c r="B99" s="53" t="s">
        <v>27</v>
      </c>
      <c r="C99" s="53" t="s">
        <v>626</v>
      </c>
      <c r="D99" s="170" t="s">
        <v>610</v>
      </c>
      <c r="E99" s="58">
        <v>62</v>
      </c>
      <c r="F99" s="56">
        <v>89.99</v>
      </c>
      <c r="G99" s="59">
        <f t="shared" si="63"/>
        <v>89.99</v>
      </c>
      <c r="H99" s="59">
        <f t="shared" si="64"/>
        <v>74.9916666666667</v>
      </c>
      <c r="I99" s="59">
        <f t="shared" si="65"/>
        <v>22.7499955752212</v>
      </c>
      <c r="J99" s="60">
        <f t="shared" si="66"/>
        <v>0.366935412503568</v>
      </c>
      <c r="K99" s="57">
        <f t="shared" si="67"/>
        <v>74.9916666666667</v>
      </c>
      <c r="L99" s="163">
        <f t="shared" si="68"/>
        <v>0.173241471274586</v>
      </c>
      <c r="M99" s="59">
        <f t="shared" si="69"/>
        <v>12.9916666666667</v>
      </c>
      <c r="N99" s="57">
        <f t="shared" si="70"/>
        <v>179.29203539823</v>
      </c>
      <c r="O99" s="57">
        <f t="shared" si="71"/>
        <v>4.5625</v>
      </c>
      <c r="P99" s="53">
        <v>4</v>
      </c>
      <c r="Q99" s="62">
        <v>8</v>
      </c>
      <c r="R99" s="63">
        <f t="shared" si="72"/>
        <v>0</v>
      </c>
      <c r="S99" s="60">
        <f t="shared" si="83"/>
        <v>0</v>
      </c>
      <c r="T99" s="63">
        <f t="shared" si="73"/>
        <v>0</v>
      </c>
      <c r="U99" s="63">
        <v>0.01</v>
      </c>
      <c r="V99" s="63">
        <f t="shared" si="74"/>
        <v>0.361475877819012</v>
      </c>
      <c r="W99" s="63">
        <f t="shared" si="75"/>
        <v>0.0735887096774194</v>
      </c>
      <c r="X99" s="61">
        <v>0.188</v>
      </c>
      <c r="Y99" s="64">
        <v>0</v>
      </c>
      <c r="Z99" s="64">
        <f>F99*0</f>
        <v>0</v>
      </c>
      <c r="AA99" s="64">
        <f t="shared" si="76"/>
        <v>0.62</v>
      </c>
      <c r="AB99" s="57">
        <f t="shared" si="77"/>
        <v>11.656</v>
      </c>
      <c r="AC99" s="57">
        <v>180</v>
      </c>
      <c r="AD99" s="65">
        <f t="shared" si="78"/>
        <v>159.29203539823</v>
      </c>
      <c r="AE99" s="62">
        <f t="shared" si="79"/>
        <v>2.5</v>
      </c>
      <c r="AF99" s="63">
        <f t="shared" si="80"/>
        <v>0.321153297173851</v>
      </c>
      <c r="AG99" s="63">
        <f t="shared" si="81"/>
        <v>0.0403225806451613</v>
      </c>
      <c r="AH99" s="62">
        <v>20</v>
      </c>
      <c r="AI99" s="63">
        <f t="shared" si="84"/>
        <v>0.328672074674964</v>
      </c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 t="s">
        <v>600</v>
      </c>
      <c r="AU99" s="66" t="s">
        <v>600</v>
      </c>
      <c r="AV99" s="66" t="s">
        <v>600</v>
      </c>
      <c r="AW99" s="66" t="s">
        <v>600</v>
      </c>
      <c r="AX99" s="66" t="s">
        <v>600</v>
      </c>
      <c r="AY99" s="66" t="s">
        <v>600</v>
      </c>
      <c r="AZ99" s="66" t="s">
        <v>600</v>
      </c>
      <c r="BA99" s="66" t="s">
        <v>600</v>
      </c>
      <c r="BB99" s="66" t="s">
        <v>600</v>
      </c>
      <c r="BC99" s="66" t="s">
        <v>600</v>
      </c>
      <c r="BD99" s="66" t="s">
        <v>600</v>
      </c>
      <c r="BE99" s="66" t="s">
        <v>600</v>
      </c>
      <c r="BF99" s="66" t="s">
        <v>600</v>
      </c>
      <c r="BG99" s="66" t="s">
        <v>600</v>
      </c>
      <c r="BH99" s="66" t="s">
        <v>600</v>
      </c>
      <c r="BI99" s="66" t="s">
        <v>600</v>
      </c>
      <c r="BJ99" s="66" t="s">
        <v>600</v>
      </c>
      <c r="BK99" s="66" t="s">
        <v>600</v>
      </c>
      <c r="BL99" s="66" t="s">
        <v>600</v>
      </c>
      <c r="BM99" s="66" t="s">
        <v>600</v>
      </c>
      <c r="BN99" s="66" t="s">
        <v>600</v>
      </c>
      <c r="BO99" s="66" t="s">
        <v>600</v>
      </c>
      <c r="BP99" s="66" t="s">
        <v>600</v>
      </c>
      <c r="BQ99" s="66" t="s">
        <v>600</v>
      </c>
      <c r="BR99" s="70" t="e">
        <f>IF(E99&lt;#REF!,1,0)</f>
        <v>#REF!</v>
      </c>
      <c r="BS99" s="68" t="s">
        <v>601</v>
      </c>
    </row>
    <row r="100" ht="15.6" spans="1:71">
      <c r="A100" s="53" t="s">
        <v>611</v>
      </c>
      <c r="B100" s="53" t="s">
        <v>27</v>
      </c>
      <c r="C100" s="53" t="s">
        <v>626</v>
      </c>
      <c r="D100" s="170" t="s">
        <v>612</v>
      </c>
      <c r="E100" s="58">
        <v>62</v>
      </c>
      <c r="F100" s="56">
        <v>89.99</v>
      </c>
      <c r="G100" s="59">
        <f t="shared" si="63"/>
        <v>89.99</v>
      </c>
      <c r="H100" s="59">
        <f t="shared" si="64"/>
        <v>74.9916666666667</v>
      </c>
      <c r="I100" s="59">
        <f t="shared" si="65"/>
        <v>23.7499955752212</v>
      </c>
      <c r="J100" s="60">
        <f t="shared" si="66"/>
        <v>0.383064444761633</v>
      </c>
      <c r="K100" s="57">
        <f t="shared" si="67"/>
        <v>74.9916666666667</v>
      </c>
      <c r="L100" s="163">
        <f t="shared" si="68"/>
        <v>0.173241471274586</v>
      </c>
      <c r="M100" s="59">
        <f t="shared" si="69"/>
        <v>12.9916666666667</v>
      </c>
      <c r="N100" s="57">
        <f t="shared" si="70"/>
        <v>179.29203539823</v>
      </c>
      <c r="O100" s="57">
        <f t="shared" si="71"/>
        <v>3.5625</v>
      </c>
      <c r="P100" s="53">
        <v>4</v>
      </c>
      <c r="Q100" s="62">
        <v>8</v>
      </c>
      <c r="R100" s="63">
        <f t="shared" si="72"/>
        <v>0</v>
      </c>
      <c r="S100" s="60">
        <f t="shared" si="83"/>
        <v>0</v>
      </c>
      <c r="T100" s="63">
        <f t="shared" si="73"/>
        <v>0</v>
      </c>
      <c r="U100" s="63">
        <v>0.01</v>
      </c>
      <c r="V100" s="63">
        <f t="shared" si="74"/>
        <v>0.361475877819012</v>
      </c>
      <c r="W100" s="63">
        <f t="shared" si="75"/>
        <v>0.0574596774193548</v>
      </c>
      <c r="X100" s="61">
        <v>0.188</v>
      </c>
      <c r="Y100" s="64">
        <v>0</v>
      </c>
      <c r="Z100" s="64">
        <f>F100*0</f>
        <v>0</v>
      </c>
      <c r="AA100" s="64">
        <f t="shared" si="76"/>
        <v>0.62</v>
      </c>
      <c r="AB100" s="57">
        <f t="shared" si="77"/>
        <v>11.656</v>
      </c>
      <c r="AC100" s="57">
        <v>180</v>
      </c>
      <c r="AD100" s="65">
        <f t="shared" si="78"/>
        <v>159.29203539823</v>
      </c>
      <c r="AE100" s="62">
        <f t="shared" si="79"/>
        <v>2.5</v>
      </c>
      <c r="AF100" s="63">
        <f t="shared" si="80"/>
        <v>0.321153297173851</v>
      </c>
      <c r="AG100" s="63">
        <f t="shared" si="81"/>
        <v>0.0403225806451613</v>
      </c>
      <c r="AH100" s="62">
        <v>20</v>
      </c>
      <c r="AI100" s="63">
        <f t="shared" si="84"/>
        <v>0.328672074674964</v>
      </c>
      <c r="AJ100" s="63"/>
      <c r="AK100" s="63"/>
      <c r="AL100" s="63"/>
      <c r="AM100" s="63"/>
      <c r="AN100" s="66"/>
      <c r="AO100" s="66"/>
      <c r="AP100" s="66"/>
      <c r="AQ100" s="66"/>
      <c r="AR100" s="66"/>
      <c r="AS100" s="66"/>
      <c r="AT100" s="66" t="s">
        <v>600</v>
      </c>
      <c r="AU100" s="66" t="s">
        <v>600</v>
      </c>
      <c r="AV100" s="66" t="s">
        <v>600</v>
      </c>
      <c r="AW100" s="66" t="s">
        <v>600</v>
      </c>
      <c r="AX100" s="66" t="s">
        <v>600</v>
      </c>
      <c r="AY100" s="66" t="s">
        <v>600</v>
      </c>
      <c r="AZ100" s="66" t="s">
        <v>600</v>
      </c>
      <c r="BA100" s="66" t="s">
        <v>600</v>
      </c>
      <c r="BB100" s="66" t="s">
        <v>600</v>
      </c>
      <c r="BC100" s="66" t="s">
        <v>600</v>
      </c>
      <c r="BD100" s="66" t="s">
        <v>600</v>
      </c>
      <c r="BE100" s="66" t="s">
        <v>600</v>
      </c>
      <c r="BF100" s="66" t="s">
        <v>600</v>
      </c>
      <c r="BG100" s="66" t="s">
        <v>600</v>
      </c>
      <c r="BH100" s="66" t="s">
        <v>600</v>
      </c>
      <c r="BI100" s="66" t="s">
        <v>600</v>
      </c>
      <c r="BJ100" s="66" t="s">
        <v>600</v>
      </c>
      <c r="BK100" s="66" t="s">
        <v>600</v>
      </c>
      <c r="BL100" s="66" t="s">
        <v>600</v>
      </c>
      <c r="BM100" s="66" t="s">
        <v>600</v>
      </c>
      <c r="BN100" s="66" t="s">
        <v>600</v>
      </c>
      <c r="BO100" s="66" t="s">
        <v>600</v>
      </c>
      <c r="BP100" s="66" t="s">
        <v>600</v>
      </c>
      <c r="BQ100" s="66" t="s">
        <v>600</v>
      </c>
      <c r="BR100" s="70" t="e">
        <f>IF(E100&lt;#REF!,1,0)</f>
        <v>#REF!</v>
      </c>
      <c r="BS100" s="68" t="s">
        <v>601</v>
      </c>
    </row>
    <row r="101" spans="1:7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4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</row>
    <row r="102" ht="15.6" spans="1:71">
      <c r="A102" s="68" t="s">
        <v>300</v>
      </c>
      <c r="B102" s="53" t="s">
        <v>30</v>
      </c>
      <c r="C102" s="53" t="s">
        <v>45</v>
      </c>
      <c r="D102" s="168" t="s">
        <v>627</v>
      </c>
      <c r="E102" s="167">
        <v>13.1</v>
      </c>
      <c r="F102" s="167">
        <v>18.99</v>
      </c>
      <c r="G102" s="174">
        <f t="shared" ref="G102:G142" si="85">(F102-Z102)</f>
        <v>18.99</v>
      </c>
      <c r="H102" s="59">
        <f t="shared" ref="H102:H125" si="86">(F102-Z102)/1.2</f>
        <v>15.825</v>
      </c>
      <c r="I102" s="174">
        <f t="shared" ref="I102:I125" si="87">E102-N102/Q102-AB102-Y102-O102-Z102-AA102</f>
        <v>2.6401075712881</v>
      </c>
      <c r="J102" s="60">
        <f t="shared" ref="J102:J125" si="88">I102/E102</f>
        <v>0.201534929105962</v>
      </c>
      <c r="K102" s="57">
        <f t="shared" ref="K102:K125" si="89">F102/1.2</f>
        <v>15.825</v>
      </c>
      <c r="L102" s="163">
        <f t="shared" ref="L102:L125" si="90">(K102-E102)/K102</f>
        <v>0.172195892575039</v>
      </c>
      <c r="M102" s="59">
        <f t="shared" ref="M102:M125" si="91">F102/1.2-E102</f>
        <v>2.725</v>
      </c>
      <c r="N102" s="57">
        <f t="shared" ref="N102:N125" si="92">AD102+AH102</f>
        <v>52.3628318584071</v>
      </c>
      <c r="O102" s="57">
        <f t="shared" ref="O102:O125" si="93">IFERROR(IF(A102="UK",8.95/P102,IF(A102="DE",7.75/P102,IF(A102="FR",14.25/P102,IF(A102="IT",15.25/P102,IF(A102="ES",19.25/P102,IF(A102="NL",16.75/P102,IF(A102="PL",14.05/P102,IF(A102="SE",18.25/P102,IF(A102="BE",14.25/P102))))))))),0)</f>
        <v>0.179</v>
      </c>
      <c r="P102" s="68">
        <v>50</v>
      </c>
      <c r="Q102" s="62">
        <v>9</v>
      </c>
      <c r="R102" s="63">
        <f t="shared" ref="R102:R125" si="94">Y102/E102</f>
        <v>0.152671755725191</v>
      </c>
      <c r="S102" s="60">
        <f>Y102/H102</f>
        <v>0.126382306477093</v>
      </c>
      <c r="T102" s="63">
        <f t="shared" ref="T102:T125" si="95">Z102/E102</f>
        <v>0</v>
      </c>
      <c r="U102" s="63">
        <v>0.01</v>
      </c>
      <c r="V102" s="63">
        <f t="shared" ref="V102:V125" si="96">N102/(E102*Q102)</f>
        <v>0.444129193031443</v>
      </c>
      <c r="W102" s="63">
        <f t="shared" ref="W102:W125" si="97">O102/E102</f>
        <v>0.0136641221374046</v>
      </c>
      <c r="X102" s="61">
        <v>0.178</v>
      </c>
      <c r="Y102" s="64">
        <v>2</v>
      </c>
      <c r="Z102" s="64">
        <f>F102*0</f>
        <v>0</v>
      </c>
      <c r="AA102" s="64">
        <f t="shared" ref="AA102:AA125" si="98">E102*U102</f>
        <v>0.131</v>
      </c>
      <c r="AB102" s="57">
        <f t="shared" ref="AB102:AB125" si="99">E102*X102</f>
        <v>2.3318</v>
      </c>
      <c r="AC102" s="57">
        <v>49</v>
      </c>
      <c r="AD102" s="65">
        <f t="shared" ref="AD102:AD125" si="100">AC102/1.13</f>
        <v>43.3628318584071</v>
      </c>
      <c r="AE102" s="62">
        <f t="shared" ref="AE102:AE125" si="101">AH102/Q102</f>
        <v>1</v>
      </c>
      <c r="AF102" s="63">
        <f t="shared" ref="AF102:AF125" si="102">AD102/(E102*Q102)</f>
        <v>0.367793315168847</v>
      </c>
      <c r="AG102" s="63">
        <f t="shared" ref="AG102:AG125" si="103">AE102/E102</f>
        <v>0.0763358778625954</v>
      </c>
      <c r="AH102" s="62">
        <v>9</v>
      </c>
      <c r="AI102" s="63">
        <f t="shared" ref="AI102:AI112" si="104">(H102-E102+AB102)/H102</f>
        <v>0.319545023696682</v>
      </c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6" t="s">
        <v>600</v>
      </c>
      <c r="AU102" s="66" t="s">
        <v>600</v>
      </c>
      <c r="AV102" s="66" t="s">
        <v>600</v>
      </c>
      <c r="AW102" s="66" t="s">
        <v>600</v>
      </c>
      <c r="AX102" s="66" t="s">
        <v>600</v>
      </c>
      <c r="AY102" s="66" t="s">
        <v>600</v>
      </c>
      <c r="AZ102" s="66" t="s">
        <v>600</v>
      </c>
      <c r="BA102" s="66" t="s">
        <v>600</v>
      </c>
      <c r="BB102" s="66" t="s">
        <v>600</v>
      </c>
      <c r="BC102" s="66" t="s">
        <v>600</v>
      </c>
      <c r="BD102" s="66" t="s">
        <v>600</v>
      </c>
      <c r="BE102" s="66" t="s">
        <v>600</v>
      </c>
      <c r="BF102" s="66" t="s">
        <v>600</v>
      </c>
      <c r="BG102" s="66" t="s">
        <v>600</v>
      </c>
      <c r="BH102" s="66" t="s">
        <v>600</v>
      </c>
      <c r="BI102" s="66" t="s">
        <v>600</v>
      </c>
      <c r="BJ102" s="66" t="s">
        <v>600</v>
      </c>
      <c r="BK102" s="66" t="s">
        <v>600</v>
      </c>
      <c r="BL102" s="66" t="s">
        <v>600</v>
      </c>
      <c r="BM102" s="66" t="s">
        <v>600</v>
      </c>
      <c r="BN102" s="66" t="s">
        <v>600</v>
      </c>
      <c r="BO102" s="66" t="s">
        <v>600</v>
      </c>
      <c r="BP102" s="66" t="s">
        <v>600</v>
      </c>
      <c r="BQ102" s="66" t="s">
        <v>600</v>
      </c>
      <c r="BR102" s="164"/>
      <c r="BS102" s="68" t="s">
        <v>601</v>
      </c>
    </row>
    <row r="103" ht="15.6" spans="1:71">
      <c r="A103" s="68" t="s">
        <v>300</v>
      </c>
      <c r="B103" s="53" t="s">
        <v>30</v>
      </c>
      <c r="C103" s="53" t="s">
        <v>45</v>
      </c>
      <c r="D103" s="168" t="s">
        <v>628</v>
      </c>
      <c r="E103" s="56">
        <v>13.1</v>
      </c>
      <c r="F103" s="56">
        <v>18.99</v>
      </c>
      <c r="G103" s="59">
        <f t="shared" si="85"/>
        <v>18.0405</v>
      </c>
      <c r="H103" s="59">
        <f t="shared" si="86"/>
        <v>15.03375</v>
      </c>
      <c r="I103" s="59">
        <f t="shared" si="87"/>
        <v>1.6906075712881</v>
      </c>
      <c r="J103" s="60">
        <f t="shared" si="88"/>
        <v>0.129054013075428</v>
      </c>
      <c r="K103" s="57">
        <f t="shared" si="89"/>
        <v>15.825</v>
      </c>
      <c r="L103" s="163">
        <f t="shared" si="90"/>
        <v>0.172195892575039</v>
      </c>
      <c r="M103" s="59">
        <f t="shared" si="91"/>
        <v>2.725</v>
      </c>
      <c r="N103" s="57">
        <f t="shared" si="92"/>
        <v>52.3628318584071</v>
      </c>
      <c r="O103" s="57">
        <f t="shared" si="93"/>
        <v>0.179</v>
      </c>
      <c r="P103" s="53">
        <v>50</v>
      </c>
      <c r="Q103" s="62">
        <v>9</v>
      </c>
      <c r="R103" s="63">
        <f t="shared" si="94"/>
        <v>0.152671755725191</v>
      </c>
      <c r="S103" s="60">
        <f>Y103/H103</f>
        <v>0.133034006817993</v>
      </c>
      <c r="T103" s="63">
        <f t="shared" si="95"/>
        <v>0.0724809160305344</v>
      </c>
      <c r="U103" s="63">
        <v>0.01</v>
      </c>
      <c r="V103" s="63">
        <f t="shared" si="96"/>
        <v>0.444129193031443</v>
      </c>
      <c r="W103" s="63">
        <f t="shared" si="97"/>
        <v>0.0136641221374046</v>
      </c>
      <c r="X103" s="61">
        <v>0.178</v>
      </c>
      <c r="Y103" s="64">
        <v>2</v>
      </c>
      <c r="Z103" s="64">
        <f>F103*0.05</f>
        <v>0.9495</v>
      </c>
      <c r="AA103" s="64">
        <f t="shared" si="98"/>
        <v>0.131</v>
      </c>
      <c r="AB103" s="57">
        <f t="shared" si="99"/>
        <v>2.3318</v>
      </c>
      <c r="AC103" s="57">
        <v>49</v>
      </c>
      <c r="AD103" s="65">
        <f t="shared" si="100"/>
        <v>43.3628318584071</v>
      </c>
      <c r="AE103" s="62">
        <f t="shared" si="101"/>
        <v>1</v>
      </c>
      <c r="AF103" s="63">
        <f t="shared" si="102"/>
        <v>0.367793315168847</v>
      </c>
      <c r="AG103" s="63">
        <f t="shared" si="103"/>
        <v>0.0763358778625954</v>
      </c>
      <c r="AH103" s="62">
        <v>9</v>
      </c>
      <c r="AI103" s="63">
        <f t="shared" si="104"/>
        <v>0.283731603891245</v>
      </c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6" t="s">
        <v>600</v>
      </c>
      <c r="AU103" s="66" t="s">
        <v>600</v>
      </c>
      <c r="AV103" s="66" t="s">
        <v>600</v>
      </c>
      <c r="AW103" s="66" t="s">
        <v>600</v>
      </c>
      <c r="AX103" s="66" t="s">
        <v>600</v>
      </c>
      <c r="AY103" s="66" t="s">
        <v>600</v>
      </c>
      <c r="AZ103" s="66" t="s">
        <v>600</v>
      </c>
      <c r="BA103" s="66" t="s">
        <v>600</v>
      </c>
      <c r="BB103" s="66" t="s">
        <v>600</v>
      </c>
      <c r="BC103" s="66" t="s">
        <v>600</v>
      </c>
      <c r="BD103" s="66" t="s">
        <v>600</v>
      </c>
      <c r="BE103" s="66" t="s">
        <v>600</v>
      </c>
      <c r="BF103" s="66" t="s">
        <v>600</v>
      </c>
      <c r="BG103" s="66" t="s">
        <v>600</v>
      </c>
      <c r="BH103" s="66" t="s">
        <v>600</v>
      </c>
      <c r="BI103" s="66" t="s">
        <v>600</v>
      </c>
      <c r="BJ103" s="66" t="s">
        <v>600</v>
      </c>
      <c r="BK103" s="66" t="s">
        <v>600</v>
      </c>
      <c r="BL103" s="66" t="s">
        <v>600</v>
      </c>
      <c r="BM103" s="66" t="s">
        <v>600</v>
      </c>
      <c r="BN103" s="66" t="s">
        <v>600</v>
      </c>
      <c r="BO103" s="66" t="s">
        <v>600</v>
      </c>
      <c r="BP103" s="66" t="s">
        <v>600</v>
      </c>
      <c r="BQ103" s="66" t="s">
        <v>600</v>
      </c>
      <c r="BR103" s="164"/>
      <c r="BS103" s="68" t="s">
        <v>601</v>
      </c>
    </row>
    <row r="104" ht="15.6" spans="1:71">
      <c r="A104" s="68" t="s">
        <v>300</v>
      </c>
      <c r="B104" s="53" t="s">
        <v>30</v>
      </c>
      <c r="C104" s="53" t="s">
        <v>45</v>
      </c>
      <c r="D104" s="168" t="s">
        <v>629</v>
      </c>
      <c r="E104" s="56">
        <v>13.1</v>
      </c>
      <c r="F104" s="56">
        <v>18.99</v>
      </c>
      <c r="G104" s="59">
        <f t="shared" si="85"/>
        <v>17.091</v>
      </c>
      <c r="H104" s="59">
        <f t="shared" si="86"/>
        <v>14.2425</v>
      </c>
      <c r="I104" s="59">
        <f t="shared" si="87"/>
        <v>0.741107571288102</v>
      </c>
      <c r="J104" s="60">
        <f t="shared" si="88"/>
        <v>0.0565730970448933</v>
      </c>
      <c r="K104" s="57">
        <f t="shared" si="89"/>
        <v>15.825</v>
      </c>
      <c r="L104" s="163">
        <f t="shared" si="90"/>
        <v>0.172195892575039</v>
      </c>
      <c r="M104" s="59">
        <f t="shared" si="91"/>
        <v>2.725</v>
      </c>
      <c r="N104" s="57">
        <f t="shared" si="92"/>
        <v>52.3628318584071</v>
      </c>
      <c r="O104" s="57">
        <f t="shared" si="93"/>
        <v>0.179</v>
      </c>
      <c r="P104" s="53">
        <v>50</v>
      </c>
      <c r="Q104" s="62">
        <v>9</v>
      </c>
      <c r="R104" s="63">
        <f t="shared" si="94"/>
        <v>0.152671755725191</v>
      </c>
      <c r="S104" s="60">
        <f>Y104/H104</f>
        <v>0.140424784974548</v>
      </c>
      <c r="T104" s="63">
        <f t="shared" si="95"/>
        <v>0.144961832061069</v>
      </c>
      <c r="U104" s="63">
        <v>0.01</v>
      </c>
      <c r="V104" s="63">
        <f t="shared" si="96"/>
        <v>0.444129193031443</v>
      </c>
      <c r="W104" s="63">
        <f t="shared" si="97"/>
        <v>0.0136641221374046</v>
      </c>
      <c r="X104" s="61">
        <v>0.178</v>
      </c>
      <c r="Y104" s="64">
        <v>2</v>
      </c>
      <c r="Z104" s="64">
        <f>F104*0.1</f>
        <v>1.899</v>
      </c>
      <c r="AA104" s="64">
        <f t="shared" si="98"/>
        <v>0.131</v>
      </c>
      <c r="AB104" s="57">
        <f t="shared" si="99"/>
        <v>2.3318</v>
      </c>
      <c r="AC104" s="57">
        <v>49</v>
      </c>
      <c r="AD104" s="65">
        <f t="shared" si="100"/>
        <v>43.3628318584071</v>
      </c>
      <c r="AE104" s="62">
        <f t="shared" si="101"/>
        <v>1</v>
      </c>
      <c r="AF104" s="63">
        <f t="shared" si="102"/>
        <v>0.367793315168847</v>
      </c>
      <c r="AG104" s="63">
        <f t="shared" si="103"/>
        <v>0.0763358778625954</v>
      </c>
      <c r="AH104" s="62">
        <v>9</v>
      </c>
      <c r="AI104" s="63">
        <f t="shared" si="104"/>
        <v>0.243938915218536</v>
      </c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6" t="s">
        <v>600</v>
      </c>
      <c r="AU104" s="66" t="s">
        <v>600</v>
      </c>
      <c r="AV104" s="66" t="s">
        <v>600</v>
      </c>
      <c r="AW104" s="66" t="s">
        <v>600</v>
      </c>
      <c r="AX104" s="66" t="s">
        <v>600</v>
      </c>
      <c r="AY104" s="66" t="s">
        <v>600</v>
      </c>
      <c r="AZ104" s="66" t="s">
        <v>600</v>
      </c>
      <c r="BA104" s="66" t="s">
        <v>600</v>
      </c>
      <c r="BB104" s="66" t="s">
        <v>600</v>
      </c>
      <c r="BC104" s="66" t="s">
        <v>600</v>
      </c>
      <c r="BD104" s="66" t="s">
        <v>600</v>
      </c>
      <c r="BE104" s="66" t="s">
        <v>600</v>
      </c>
      <c r="BF104" s="66" t="s">
        <v>600</v>
      </c>
      <c r="BG104" s="66" t="s">
        <v>600</v>
      </c>
      <c r="BH104" s="66" t="s">
        <v>600</v>
      </c>
      <c r="BI104" s="66" t="s">
        <v>600</v>
      </c>
      <c r="BJ104" s="66" t="s">
        <v>600</v>
      </c>
      <c r="BK104" s="66" t="s">
        <v>600</v>
      </c>
      <c r="BL104" s="66" t="s">
        <v>600</v>
      </c>
      <c r="BM104" s="66" t="s">
        <v>600</v>
      </c>
      <c r="BN104" s="66" t="s">
        <v>600</v>
      </c>
      <c r="BO104" s="66" t="s">
        <v>600</v>
      </c>
      <c r="BP104" s="66" t="s">
        <v>600</v>
      </c>
      <c r="BQ104" s="66" t="s">
        <v>600</v>
      </c>
      <c r="BR104" s="164"/>
      <c r="BS104" s="68" t="s">
        <v>601</v>
      </c>
    </row>
    <row r="105" ht="15.6" spans="1:71">
      <c r="A105" s="68" t="s">
        <v>300</v>
      </c>
      <c r="B105" s="53" t="s">
        <v>30</v>
      </c>
      <c r="C105" s="53" t="s">
        <v>45</v>
      </c>
      <c r="D105" s="168" t="s">
        <v>630</v>
      </c>
      <c r="E105" s="56">
        <v>13.1</v>
      </c>
      <c r="F105" s="56">
        <v>18.99</v>
      </c>
      <c r="G105" s="174">
        <f t="shared" si="85"/>
        <v>16.1415</v>
      </c>
      <c r="H105" s="59">
        <f t="shared" si="86"/>
        <v>13.45125</v>
      </c>
      <c r="I105" s="174">
        <f t="shared" si="87"/>
        <v>0.0138297935103242</v>
      </c>
      <c r="J105" s="60">
        <f t="shared" si="88"/>
        <v>0.00105570942826902</v>
      </c>
      <c r="K105" s="57">
        <f t="shared" si="89"/>
        <v>15.825</v>
      </c>
      <c r="L105" s="163">
        <f t="shared" si="90"/>
        <v>0.172195892575039</v>
      </c>
      <c r="M105" s="59">
        <f t="shared" si="91"/>
        <v>2.725</v>
      </c>
      <c r="N105" s="57">
        <f t="shared" si="92"/>
        <v>50.3628318584071</v>
      </c>
      <c r="O105" s="57">
        <f t="shared" si="93"/>
        <v>0.179</v>
      </c>
      <c r="P105" s="53">
        <v>50</v>
      </c>
      <c r="Q105" s="62">
        <v>9</v>
      </c>
      <c r="R105" s="63">
        <f t="shared" si="94"/>
        <v>0.152671755725191</v>
      </c>
      <c r="S105" s="60">
        <f>Y105/H105</f>
        <v>0.148685066443639</v>
      </c>
      <c r="T105" s="63">
        <f t="shared" si="95"/>
        <v>0.217442748091603</v>
      </c>
      <c r="U105" s="63">
        <v>0.01</v>
      </c>
      <c r="V105" s="63">
        <f t="shared" si="96"/>
        <v>0.427165664617533</v>
      </c>
      <c r="W105" s="63">
        <f t="shared" si="97"/>
        <v>0.0136641221374046</v>
      </c>
      <c r="X105" s="61">
        <v>0.178</v>
      </c>
      <c r="Y105" s="64">
        <v>2</v>
      </c>
      <c r="Z105" s="64">
        <f>F105*0.15</f>
        <v>2.8485</v>
      </c>
      <c r="AA105" s="64">
        <f t="shared" si="98"/>
        <v>0.131</v>
      </c>
      <c r="AB105" s="57">
        <f t="shared" si="99"/>
        <v>2.3318</v>
      </c>
      <c r="AC105" s="57">
        <v>49</v>
      </c>
      <c r="AD105" s="65">
        <f t="shared" si="100"/>
        <v>43.3628318584071</v>
      </c>
      <c r="AE105" s="62">
        <f t="shared" si="101"/>
        <v>0.777777777777778</v>
      </c>
      <c r="AF105" s="63">
        <f t="shared" si="102"/>
        <v>0.367793315168847</v>
      </c>
      <c r="AG105" s="63">
        <f t="shared" si="103"/>
        <v>0.0593723494486853</v>
      </c>
      <c r="AH105" s="62">
        <v>7</v>
      </c>
      <c r="AI105" s="63">
        <f t="shared" si="104"/>
        <v>0.199464733760803</v>
      </c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6" t="s">
        <v>600</v>
      </c>
      <c r="AU105" s="66" t="s">
        <v>600</v>
      </c>
      <c r="AV105" s="66" t="s">
        <v>600</v>
      </c>
      <c r="AW105" s="66" t="s">
        <v>600</v>
      </c>
      <c r="AX105" s="66" t="s">
        <v>600</v>
      </c>
      <c r="AY105" s="66" t="s">
        <v>600</v>
      </c>
      <c r="AZ105" s="66" t="s">
        <v>600</v>
      </c>
      <c r="BA105" s="66" t="s">
        <v>600</v>
      </c>
      <c r="BB105" s="66" t="s">
        <v>600</v>
      </c>
      <c r="BC105" s="66" t="s">
        <v>600</v>
      </c>
      <c r="BD105" s="66" t="s">
        <v>600</v>
      </c>
      <c r="BE105" s="66" t="s">
        <v>600</v>
      </c>
      <c r="BF105" s="66" t="s">
        <v>600</v>
      </c>
      <c r="BG105" s="66" t="s">
        <v>600</v>
      </c>
      <c r="BH105" s="66" t="s">
        <v>600</v>
      </c>
      <c r="BI105" s="66" t="s">
        <v>600</v>
      </c>
      <c r="BJ105" s="66" t="s">
        <v>600</v>
      </c>
      <c r="BK105" s="66" t="s">
        <v>600</v>
      </c>
      <c r="BL105" s="66" t="s">
        <v>600</v>
      </c>
      <c r="BM105" s="66" t="s">
        <v>600</v>
      </c>
      <c r="BN105" s="66" t="s">
        <v>600</v>
      </c>
      <c r="BO105" s="66" t="s">
        <v>600</v>
      </c>
      <c r="BP105" s="66" t="s">
        <v>600</v>
      </c>
      <c r="BQ105" s="66" t="s">
        <v>600</v>
      </c>
      <c r="BR105" s="164"/>
      <c r="BS105" s="68" t="s">
        <v>601</v>
      </c>
    </row>
    <row r="106" ht="15.6" spans="1:71">
      <c r="A106" s="53" t="s">
        <v>277</v>
      </c>
      <c r="B106" s="53" t="s">
        <v>27</v>
      </c>
      <c r="C106" s="53" t="s">
        <v>45</v>
      </c>
      <c r="D106" s="168" t="s">
        <v>627</v>
      </c>
      <c r="E106" s="167">
        <v>13.8</v>
      </c>
      <c r="F106" s="167">
        <v>19.99</v>
      </c>
      <c r="G106" s="174">
        <f t="shared" si="85"/>
        <v>19.99</v>
      </c>
      <c r="H106" s="59">
        <f t="shared" si="86"/>
        <v>16.6583333333333</v>
      </c>
      <c r="I106" s="174">
        <f t="shared" si="87"/>
        <v>2.61724601769912</v>
      </c>
      <c r="J106" s="60">
        <f t="shared" si="88"/>
        <v>0.189655508528921</v>
      </c>
      <c r="K106" s="57">
        <f t="shared" si="89"/>
        <v>16.6583333333333</v>
      </c>
      <c r="L106" s="163">
        <f t="shared" si="90"/>
        <v>0.171585792896448</v>
      </c>
      <c r="M106" s="59">
        <f t="shared" si="91"/>
        <v>2.85833333333333</v>
      </c>
      <c r="N106" s="57">
        <f t="shared" si="92"/>
        <v>50.3628318584071</v>
      </c>
      <c r="O106" s="57">
        <f t="shared" si="93"/>
        <v>0.155</v>
      </c>
      <c r="P106" s="53">
        <v>50</v>
      </c>
      <c r="Q106" s="62">
        <v>8</v>
      </c>
      <c r="R106" s="63">
        <f t="shared" si="94"/>
        <v>0.144927536231884</v>
      </c>
      <c r="S106" s="60">
        <f t="shared" ref="S106:S125" si="105">Y106/F106</f>
        <v>0.100050025012506</v>
      </c>
      <c r="T106" s="63">
        <f t="shared" si="95"/>
        <v>0</v>
      </c>
      <c r="U106" s="63">
        <v>0.01</v>
      </c>
      <c r="V106" s="63">
        <f t="shared" si="96"/>
        <v>0.456185071181224</v>
      </c>
      <c r="W106" s="63">
        <f t="shared" si="97"/>
        <v>0.011231884057971</v>
      </c>
      <c r="X106" s="61">
        <v>0.188</v>
      </c>
      <c r="Y106" s="64">
        <v>2</v>
      </c>
      <c r="Z106" s="64">
        <v>0</v>
      </c>
      <c r="AA106" s="64">
        <f t="shared" si="98"/>
        <v>0.138</v>
      </c>
      <c r="AB106" s="57">
        <f t="shared" si="99"/>
        <v>2.5944</v>
      </c>
      <c r="AC106" s="57">
        <v>49</v>
      </c>
      <c r="AD106" s="65">
        <f t="shared" si="100"/>
        <v>43.3628318584071</v>
      </c>
      <c r="AE106" s="62">
        <f t="shared" si="101"/>
        <v>0.875</v>
      </c>
      <c r="AF106" s="63">
        <f t="shared" si="102"/>
        <v>0.392779274079774</v>
      </c>
      <c r="AG106" s="63">
        <f t="shared" si="103"/>
        <v>0.0634057971014493</v>
      </c>
      <c r="AH106" s="62">
        <v>7</v>
      </c>
      <c r="AI106" s="63">
        <f t="shared" si="104"/>
        <v>0.327327663831916</v>
      </c>
      <c r="AJ106" s="63"/>
      <c r="AK106" s="63"/>
      <c r="AL106" s="63"/>
      <c r="AM106" s="63"/>
      <c r="AN106" s="66"/>
      <c r="AO106" s="66"/>
      <c r="AP106" s="66"/>
      <c r="AQ106" s="66"/>
      <c r="AR106" s="66"/>
      <c r="AS106" s="66"/>
      <c r="AT106" s="66" t="s">
        <v>600</v>
      </c>
      <c r="AU106" s="66" t="s">
        <v>600</v>
      </c>
      <c r="AV106" s="66" t="s">
        <v>600</v>
      </c>
      <c r="AW106" s="66" t="s">
        <v>600</v>
      </c>
      <c r="AX106" s="66" t="s">
        <v>600</v>
      </c>
      <c r="AY106" s="66" t="s">
        <v>600</v>
      </c>
      <c r="AZ106" s="66" t="s">
        <v>600</v>
      </c>
      <c r="BA106" s="66" t="s">
        <v>600</v>
      </c>
      <c r="BB106" s="66" t="s">
        <v>600</v>
      </c>
      <c r="BC106" s="66" t="s">
        <v>600</v>
      </c>
      <c r="BD106" s="66" t="s">
        <v>600</v>
      </c>
      <c r="BE106" s="66" t="s">
        <v>600</v>
      </c>
      <c r="BF106" s="66" t="s">
        <v>600</v>
      </c>
      <c r="BG106" s="66" t="s">
        <v>600</v>
      </c>
      <c r="BH106" s="66" t="s">
        <v>600</v>
      </c>
      <c r="BI106" s="66" t="s">
        <v>600</v>
      </c>
      <c r="BJ106" s="66" t="s">
        <v>600</v>
      </c>
      <c r="BK106" s="66" t="s">
        <v>600</v>
      </c>
      <c r="BL106" s="66" t="s">
        <v>600</v>
      </c>
      <c r="BM106" s="66" t="s">
        <v>600</v>
      </c>
      <c r="BN106" s="66" t="s">
        <v>600</v>
      </c>
      <c r="BO106" s="66" t="s">
        <v>600</v>
      </c>
      <c r="BP106" s="66" t="s">
        <v>600</v>
      </c>
      <c r="BQ106" s="66" t="s">
        <v>600</v>
      </c>
      <c r="BR106" s="164"/>
      <c r="BS106" s="68" t="s">
        <v>601</v>
      </c>
    </row>
    <row r="107" ht="15.6" spans="1:71">
      <c r="A107" s="53" t="s">
        <v>277</v>
      </c>
      <c r="B107" s="53" t="s">
        <v>27</v>
      </c>
      <c r="C107" s="53" t="s">
        <v>45</v>
      </c>
      <c r="D107" s="168" t="s">
        <v>628</v>
      </c>
      <c r="E107" s="56">
        <v>13.8</v>
      </c>
      <c r="F107" s="56">
        <v>19.99</v>
      </c>
      <c r="G107" s="59">
        <f t="shared" si="85"/>
        <v>18.9905</v>
      </c>
      <c r="H107" s="59">
        <f t="shared" si="86"/>
        <v>15.8254166666667</v>
      </c>
      <c r="I107" s="59">
        <f t="shared" si="87"/>
        <v>1.61774601769912</v>
      </c>
      <c r="J107" s="60">
        <f t="shared" si="88"/>
        <v>0.117227972297037</v>
      </c>
      <c r="K107" s="57">
        <f t="shared" si="89"/>
        <v>16.6583333333333</v>
      </c>
      <c r="L107" s="163">
        <f t="shared" si="90"/>
        <v>0.171585792896448</v>
      </c>
      <c r="M107" s="59">
        <f t="shared" si="91"/>
        <v>2.85833333333333</v>
      </c>
      <c r="N107" s="57">
        <f t="shared" si="92"/>
        <v>50.3628318584071</v>
      </c>
      <c r="O107" s="57">
        <f t="shared" si="93"/>
        <v>0.155</v>
      </c>
      <c r="P107" s="53">
        <v>50</v>
      </c>
      <c r="Q107" s="62">
        <v>8</v>
      </c>
      <c r="R107" s="63">
        <f t="shared" si="94"/>
        <v>0.144927536231884</v>
      </c>
      <c r="S107" s="60">
        <f t="shared" si="105"/>
        <v>0.100050025012506</v>
      </c>
      <c r="T107" s="63">
        <f t="shared" si="95"/>
        <v>0.0724275362318841</v>
      </c>
      <c r="U107" s="63">
        <v>0.01</v>
      </c>
      <c r="V107" s="63">
        <f t="shared" si="96"/>
        <v>0.456185071181224</v>
      </c>
      <c r="W107" s="63">
        <f t="shared" si="97"/>
        <v>0.011231884057971</v>
      </c>
      <c r="X107" s="61">
        <v>0.188</v>
      </c>
      <c r="Y107" s="64">
        <v>2</v>
      </c>
      <c r="Z107" s="64">
        <f>F107*0.05</f>
        <v>0.9995</v>
      </c>
      <c r="AA107" s="64">
        <f t="shared" si="98"/>
        <v>0.138</v>
      </c>
      <c r="AB107" s="57">
        <f t="shared" si="99"/>
        <v>2.5944</v>
      </c>
      <c r="AC107" s="57">
        <v>49</v>
      </c>
      <c r="AD107" s="65">
        <f t="shared" si="100"/>
        <v>43.3628318584071</v>
      </c>
      <c r="AE107" s="62">
        <f t="shared" si="101"/>
        <v>0.875</v>
      </c>
      <c r="AF107" s="63">
        <f t="shared" si="102"/>
        <v>0.392779274079774</v>
      </c>
      <c r="AG107" s="63">
        <f t="shared" si="103"/>
        <v>0.0634057971014493</v>
      </c>
      <c r="AH107" s="62">
        <v>7</v>
      </c>
      <c r="AI107" s="63">
        <f t="shared" si="104"/>
        <v>0.291923856665175</v>
      </c>
      <c r="AJ107" s="63"/>
      <c r="AK107" s="63"/>
      <c r="AL107" s="63"/>
      <c r="AM107" s="63"/>
      <c r="AN107" s="66"/>
      <c r="AO107" s="66"/>
      <c r="AP107" s="66"/>
      <c r="AQ107" s="66"/>
      <c r="AR107" s="66"/>
      <c r="AS107" s="66"/>
      <c r="AT107" s="66" t="s">
        <v>600</v>
      </c>
      <c r="AU107" s="66" t="s">
        <v>600</v>
      </c>
      <c r="AV107" s="66" t="s">
        <v>600</v>
      </c>
      <c r="AW107" s="66" t="s">
        <v>600</v>
      </c>
      <c r="AX107" s="66" t="s">
        <v>600</v>
      </c>
      <c r="AY107" s="66" t="s">
        <v>600</v>
      </c>
      <c r="AZ107" s="66" t="s">
        <v>600</v>
      </c>
      <c r="BA107" s="66" t="s">
        <v>600</v>
      </c>
      <c r="BB107" s="66" t="s">
        <v>600</v>
      </c>
      <c r="BC107" s="66" t="s">
        <v>600</v>
      </c>
      <c r="BD107" s="66" t="s">
        <v>600</v>
      </c>
      <c r="BE107" s="66" t="s">
        <v>600</v>
      </c>
      <c r="BF107" s="66" t="s">
        <v>600</v>
      </c>
      <c r="BG107" s="66" t="s">
        <v>600</v>
      </c>
      <c r="BH107" s="66" t="s">
        <v>600</v>
      </c>
      <c r="BI107" s="66" t="s">
        <v>600</v>
      </c>
      <c r="BJ107" s="66" t="s">
        <v>600</v>
      </c>
      <c r="BK107" s="66" t="s">
        <v>600</v>
      </c>
      <c r="BL107" s="66" t="s">
        <v>600</v>
      </c>
      <c r="BM107" s="66" t="s">
        <v>600</v>
      </c>
      <c r="BN107" s="66" t="s">
        <v>600</v>
      </c>
      <c r="BO107" s="66" t="s">
        <v>600</v>
      </c>
      <c r="BP107" s="66" t="s">
        <v>600</v>
      </c>
      <c r="BQ107" s="66" t="s">
        <v>600</v>
      </c>
      <c r="BR107" s="164"/>
      <c r="BS107" s="68" t="s">
        <v>601</v>
      </c>
    </row>
    <row r="108" ht="15.6" spans="1:71">
      <c r="A108" s="53" t="s">
        <v>277</v>
      </c>
      <c r="B108" s="53" t="s">
        <v>27</v>
      </c>
      <c r="C108" s="53" t="s">
        <v>45</v>
      </c>
      <c r="D108" s="168" t="s">
        <v>629</v>
      </c>
      <c r="E108" s="56">
        <v>13.8</v>
      </c>
      <c r="F108" s="56">
        <v>19.99</v>
      </c>
      <c r="G108" s="59">
        <f t="shared" si="85"/>
        <v>17.991</v>
      </c>
      <c r="H108" s="59">
        <f t="shared" si="86"/>
        <v>14.9925</v>
      </c>
      <c r="I108" s="59">
        <f t="shared" si="87"/>
        <v>0.618246017699115</v>
      </c>
      <c r="J108" s="60">
        <f t="shared" si="88"/>
        <v>0.0448004360651533</v>
      </c>
      <c r="K108" s="57">
        <f t="shared" si="89"/>
        <v>16.6583333333333</v>
      </c>
      <c r="L108" s="163">
        <f t="shared" si="90"/>
        <v>0.171585792896448</v>
      </c>
      <c r="M108" s="59">
        <f t="shared" si="91"/>
        <v>2.85833333333333</v>
      </c>
      <c r="N108" s="57">
        <f t="shared" si="92"/>
        <v>50.3628318584071</v>
      </c>
      <c r="O108" s="57">
        <f t="shared" si="93"/>
        <v>0.155</v>
      </c>
      <c r="P108" s="53">
        <v>50</v>
      </c>
      <c r="Q108" s="62">
        <v>8</v>
      </c>
      <c r="R108" s="63">
        <f t="shared" si="94"/>
        <v>0.144927536231884</v>
      </c>
      <c r="S108" s="60">
        <f t="shared" si="105"/>
        <v>0.100050025012506</v>
      </c>
      <c r="T108" s="63">
        <f t="shared" si="95"/>
        <v>0.144855072463768</v>
      </c>
      <c r="U108" s="63">
        <v>0.01</v>
      </c>
      <c r="V108" s="63">
        <f t="shared" si="96"/>
        <v>0.456185071181224</v>
      </c>
      <c r="W108" s="63">
        <f t="shared" si="97"/>
        <v>0.011231884057971</v>
      </c>
      <c r="X108" s="61">
        <v>0.188</v>
      </c>
      <c r="Y108" s="64">
        <v>2</v>
      </c>
      <c r="Z108" s="64">
        <f>F108*0.1</f>
        <v>1.999</v>
      </c>
      <c r="AA108" s="64">
        <f t="shared" si="98"/>
        <v>0.138</v>
      </c>
      <c r="AB108" s="57">
        <f t="shared" si="99"/>
        <v>2.5944</v>
      </c>
      <c r="AC108" s="57">
        <v>49</v>
      </c>
      <c r="AD108" s="65">
        <f t="shared" si="100"/>
        <v>43.3628318584071</v>
      </c>
      <c r="AE108" s="62">
        <f t="shared" si="101"/>
        <v>0.875</v>
      </c>
      <c r="AF108" s="63">
        <f t="shared" si="102"/>
        <v>0.392779274079774</v>
      </c>
      <c r="AG108" s="63">
        <f t="shared" si="103"/>
        <v>0.0634057971014493</v>
      </c>
      <c r="AH108" s="62">
        <v>7</v>
      </c>
      <c r="AI108" s="63">
        <f t="shared" si="104"/>
        <v>0.252586293146573</v>
      </c>
      <c r="AJ108" s="63"/>
      <c r="AK108" s="63"/>
      <c r="AL108" s="63"/>
      <c r="AM108" s="63"/>
      <c r="AN108" s="66"/>
      <c r="AO108" s="66"/>
      <c r="AP108" s="66"/>
      <c r="AQ108" s="66"/>
      <c r="AR108" s="66"/>
      <c r="AS108" s="66"/>
      <c r="AT108" s="66" t="s">
        <v>600</v>
      </c>
      <c r="AU108" s="66" t="s">
        <v>600</v>
      </c>
      <c r="AV108" s="66" t="s">
        <v>600</v>
      </c>
      <c r="AW108" s="66" t="s">
        <v>600</v>
      </c>
      <c r="AX108" s="66" t="s">
        <v>600</v>
      </c>
      <c r="AY108" s="66" t="s">
        <v>600</v>
      </c>
      <c r="AZ108" s="66" t="s">
        <v>600</v>
      </c>
      <c r="BA108" s="66" t="s">
        <v>600</v>
      </c>
      <c r="BB108" s="66" t="s">
        <v>600</v>
      </c>
      <c r="BC108" s="66" t="s">
        <v>600</v>
      </c>
      <c r="BD108" s="66" t="s">
        <v>600</v>
      </c>
      <c r="BE108" s="66" t="s">
        <v>600</v>
      </c>
      <c r="BF108" s="66" t="s">
        <v>600</v>
      </c>
      <c r="BG108" s="66" t="s">
        <v>600</v>
      </c>
      <c r="BH108" s="66" t="s">
        <v>600</v>
      </c>
      <c r="BI108" s="66" t="s">
        <v>600</v>
      </c>
      <c r="BJ108" s="66" t="s">
        <v>600</v>
      </c>
      <c r="BK108" s="66" t="s">
        <v>600</v>
      </c>
      <c r="BL108" s="66" t="s">
        <v>600</v>
      </c>
      <c r="BM108" s="66" t="s">
        <v>600</v>
      </c>
      <c r="BN108" s="66" t="s">
        <v>600</v>
      </c>
      <c r="BO108" s="66" t="s">
        <v>600</v>
      </c>
      <c r="BP108" s="66" t="s">
        <v>600</v>
      </c>
      <c r="BQ108" s="66" t="s">
        <v>600</v>
      </c>
      <c r="BR108" s="164"/>
      <c r="BS108" s="68" t="s">
        <v>601</v>
      </c>
    </row>
    <row r="109" ht="15.6" spans="1:71">
      <c r="A109" s="53" t="s">
        <v>277</v>
      </c>
      <c r="B109" s="53" t="s">
        <v>27</v>
      </c>
      <c r="C109" s="53" t="s">
        <v>45</v>
      </c>
      <c r="D109" s="168" t="s">
        <v>630</v>
      </c>
      <c r="E109" s="56">
        <v>13.8</v>
      </c>
      <c r="F109" s="56">
        <v>19.99</v>
      </c>
      <c r="G109" s="174">
        <f t="shared" si="85"/>
        <v>16.9915</v>
      </c>
      <c r="H109" s="59">
        <f t="shared" si="86"/>
        <v>14.1595833333333</v>
      </c>
      <c r="I109" s="174">
        <f t="shared" si="87"/>
        <v>-0.381253982300884</v>
      </c>
      <c r="J109" s="60">
        <f t="shared" si="88"/>
        <v>-0.0276271001667307</v>
      </c>
      <c r="K109" s="57">
        <f t="shared" si="89"/>
        <v>16.6583333333333</v>
      </c>
      <c r="L109" s="163">
        <f t="shared" si="90"/>
        <v>0.171585792896448</v>
      </c>
      <c r="M109" s="59">
        <f t="shared" si="91"/>
        <v>2.85833333333333</v>
      </c>
      <c r="N109" s="57">
        <f t="shared" si="92"/>
        <v>50.3628318584071</v>
      </c>
      <c r="O109" s="57">
        <f t="shared" si="93"/>
        <v>0.155</v>
      </c>
      <c r="P109" s="53">
        <v>50</v>
      </c>
      <c r="Q109" s="62">
        <v>8</v>
      </c>
      <c r="R109" s="63">
        <f t="shared" si="94"/>
        <v>0.144927536231884</v>
      </c>
      <c r="S109" s="60">
        <f t="shared" si="105"/>
        <v>0.100050025012506</v>
      </c>
      <c r="T109" s="63">
        <f t="shared" si="95"/>
        <v>0.217282608695652</v>
      </c>
      <c r="U109" s="63">
        <v>0.01</v>
      </c>
      <c r="V109" s="63">
        <f t="shared" si="96"/>
        <v>0.456185071181224</v>
      </c>
      <c r="W109" s="63">
        <f t="shared" si="97"/>
        <v>0.011231884057971</v>
      </c>
      <c r="X109" s="61">
        <v>0.188</v>
      </c>
      <c r="Y109" s="64">
        <v>2</v>
      </c>
      <c r="Z109" s="64">
        <f>F109*0.15</f>
        <v>2.9985</v>
      </c>
      <c r="AA109" s="64">
        <f t="shared" si="98"/>
        <v>0.138</v>
      </c>
      <c r="AB109" s="57">
        <f t="shared" si="99"/>
        <v>2.5944</v>
      </c>
      <c r="AC109" s="57">
        <v>49</v>
      </c>
      <c r="AD109" s="65">
        <f t="shared" si="100"/>
        <v>43.3628318584071</v>
      </c>
      <c r="AE109" s="62">
        <f t="shared" si="101"/>
        <v>0.875</v>
      </c>
      <c r="AF109" s="63">
        <f t="shared" si="102"/>
        <v>0.392779274079774</v>
      </c>
      <c r="AG109" s="63">
        <f t="shared" si="103"/>
        <v>0.0634057971014493</v>
      </c>
      <c r="AH109" s="62">
        <v>7</v>
      </c>
      <c r="AI109" s="63">
        <f t="shared" si="104"/>
        <v>0.208620780978725</v>
      </c>
      <c r="AJ109" s="63"/>
      <c r="AK109" s="63"/>
      <c r="AL109" s="63"/>
      <c r="AM109" s="63"/>
      <c r="AN109" s="66"/>
      <c r="AO109" s="66"/>
      <c r="AP109" s="66"/>
      <c r="AQ109" s="66"/>
      <c r="AR109" s="66"/>
      <c r="AS109" s="66"/>
      <c r="AT109" s="66" t="s">
        <v>600</v>
      </c>
      <c r="AU109" s="66" t="s">
        <v>600</v>
      </c>
      <c r="AV109" s="66" t="s">
        <v>600</v>
      </c>
      <c r="AW109" s="66" t="s">
        <v>600</v>
      </c>
      <c r="AX109" s="66" t="s">
        <v>600</v>
      </c>
      <c r="AY109" s="66" t="s">
        <v>600</v>
      </c>
      <c r="AZ109" s="66" t="s">
        <v>600</v>
      </c>
      <c r="BA109" s="66" t="s">
        <v>600</v>
      </c>
      <c r="BB109" s="66" t="s">
        <v>600</v>
      </c>
      <c r="BC109" s="66" t="s">
        <v>600</v>
      </c>
      <c r="BD109" s="66" t="s">
        <v>600</v>
      </c>
      <c r="BE109" s="66" t="s">
        <v>600</v>
      </c>
      <c r="BF109" s="66" t="s">
        <v>600</v>
      </c>
      <c r="BG109" s="66" t="s">
        <v>600</v>
      </c>
      <c r="BH109" s="66" t="s">
        <v>600</v>
      </c>
      <c r="BI109" s="66" t="s">
        <v>600</v>
      </c>
      <c r="BJ109" s="66" t="s">
        <v>600</v>
      </c>
      <c r="BK109" s="66" t="s">
        <v>600</v>
      </c>
      <c r="BL109" s="66" t="s">
        <v>600</v>
      </c>
      <c r="BM109" s="66" t="s">
        <v>600</v>
      </c>
      <c r="BN109" s="66" t="s">
        <v>600</v>
      </c>
      <c r="BO109" s="66" t="s">
        <v>600</v>
      </c>
      <c r="BP109" s="66" t="s">
        <v>600</v>
      </c>
      <c r="BQ109" s="66" t="s">
        <v>600</v>
      </c>
      <c r="BR109" s="164"/>
      <c r="BS109" s="68" t="s">
        <v>601</v>
      </c>
    </row>
    <row r="110" ht="15.6" spans="1:71">
      <c r="A110" s="53" t="s">
        <v>511</v>
      </c>
      <c r="B110" s="53" t="s">
        <v>27</v>
      </c>
      <c r="C110" s="53" t="s">
        <v>45</v>
      </c>
      <c r="D110" s="168" t="s">
        <v>627</v>
      </c>
      <c r="E110" s="56">
        <v>13.8</v>
      </c>
      <c r="F110" s="56">
        <v>19.99</v>
      </c>
      <c r="G110" s="174">
        <f t="shared" si="85"/>
        <v>19.99</v>
      </c>
      <c r="H110" s="59">
        <f t="shared" si="86"/>
        <v>16.6583333333333</v>
      </c>
      <c r="I110" s="174">
        <f t="shared" si="87"/>
        <v>2.48724601769911</v>
      </c>
      <c r="J110" s="60">
        <f t="shared" si="88"/>
        <v>0.180235218673849</v>
      </c>
      <c r="K110" s="57">
        <f t="shared" si="89"/>
        <v>16.6583333333333</v>
      </c>
      <c r="L110" s="163">
        <f t="shared" si="90"/>
        <v>0.171585792896448</v>
      </c>
      <c r="M110" s="59">
        <f t="shared" si="91"/>
        <v>2.85833333333333</v>
      </c>
      <c r="N110" s="57">
        <f t="shared" si="92"/>
        <v>50.3628318584071</v>
      </c>
      <c r="O110" s="57">
        <f t="shared" si="93"/>
        <v>0.285</v>
      </c>
      <c r="P110" s="53">
        <v>50</v>
      </c>
      <c r="Q110" s="62">
        <v>8</v>
      </c>
      <c r="R110" s="63">
        <f t="shared" si="94"/>
        <v>0.144927536231884</v>
      </c>
      <c r="S110" s="60">
        <f t="shared" si="105"/>
        <v>0.100050025012506</v>
      </c>
      <c r="T110" s="63">
        <f t="shared" si="95"/>
        <v>0</v>
      </c>
      <c r="U110" s="63">
        <v>0.01</v>
      </c>
      <c r="V110" s="63">
        <f t="shared" si="96"/>
        <v>0.456185071181224</v>
      </c>
      <c r="W110" s="63">
        <f t="shared" si="97"/>
        <v>0.0206521739130435</v>
      </c>
      <c r="X110" s="61">
        <v>0.188</v>
      </c>
      <c r="Y110" s="64">
        <v>2</v>
      </c>
      <c r="Z110" s="64">
        <v>0</v>
      </c>
      <c r="AA110" s="64">
        <f t="shared" si="98"/>
        <v>0.138</v>
      </c>
      <c r="AB110" s="57">
        <f t="shared" si="99"/>
        <v>2.5944</v>
      </c>
      <c r="AC110" s="57">
        <v>49</v>
      </c>
      <c r="AD110" s="65">
        <f t="shared" si="100"/>
        <v>43.3628318584071</v>
      </c>
      <c r="AE110" s="62">
        <f t="shared" si="101"/>
        <v>0.875</v>
      </c>
      <c r="AF110" s="63">
        <f t="shared" si="102"/>
        <v>0.392779274079774</v>
      </c>
      <c r="AG110" s="63">
        <f t="shared" si="103"/>
        <v>0.0634057971014493</v>
      </c>
      <c r="AH110" s="62">
        <v>7</v>
      </c>
      <c r="AI110" s="63">
        <f t="shared" si="104"/>
        <v>0.327327663831916</v>
      </c>
      <c r="AJ110" s="63"/>
      <c r="AK110" s="63"/>
      <c r="AL110" s="63"/>
      <c r="AM110" s="63"/>
      <c r="AN110" s="66"/>
      <c r="AO110" s="66"/>
      <c r="AP110" s="66"/>
      <c r="AQ110" s="66"/>
      <c r="AR110" s="66"/>
      <c r="AS110" s="66"/>
      <c r="AT110" s="66" t="s">
        <v>600</v>
      </c>
      <c r="AU110" s="66" t="s">
        <v>600</v>
      </c>
      <c r="AV110" s="66" t="s">
        <v>600</v>
      </c>
      <c r="AW110" s="66" t="s">
        <v>600</v>
      </c>
      <c r="AX110" s="66" t="s">
        <v>600</v>
      </c>
      <c r="AY110" s="66" t="s">
        <v>600</v>
      </c>
      <c r="AZ110" s="66" t="s">
        <v>600</v>
      </c>
      <c r="BA110" s="66" t="s">
        <v>600</v>
      </c>
      <c r="BB110" s="66" t="s">
        <v>600</v>
      </c>
      <c r="BC110" s="66" t="s">
        <v>600</v>
      </c>
      <c r="BD110" s="66" t="s">
        <v>600</v>
      </c>
      <c r="BE110" s="66" t="s">
        <v>600</v>
      </c>
      <c r="BF110" s="66" t="s">
        <v>600</v>
      </c>
      <c r="BG110" s="66" t="s">
        <v>600</v>
      </c>
      <c r="BH110" s="66" t="s">
        <v>600</v>
      </c>
      <c r="BI110" s="66" t="s">
        <v>600</v>
      </c>
      <c r="BJ110" s="66" t="s">
        <v>600</v>
      </c>
      <c r="BK110" s="66" t="s">
        <v>600</v>
      </c>
      <c r="BL110" s="66" t="s">
        <v>600</v>
      </c>
      <c r="BM110" s="66" t="s">
        <v>600</v>
      </c>
      <c r="BN110" s="66" t="s">
        <v>600</v>
      </c>
      <c r="BO110" s="66" t="s">
        <v>600</v>
      </c>
      <c r="BP110" s="66" t="s">
        <v>600</v>
      </c>
      <c r="BQ110" s="66" t="s">
        <v>600</v>
      </c>
      <c r="BR110" s="164"/>
      <c r="BS110" s="68" t="s">
        <v>601</v>
      </c>
    </row>
    <row r="111" ht="15.6" spans="1:71">
      <c r="A111" s="53" t="s">
        <v>511</v>
      </c>
      <c r="B111" s="53" t="s">
        <v>27</v>
      </c>
      <c r="C111" s="53" t="s">
        <v>45</v>
      </c>
      <c r="D111" s="168" t="s">
        <v>628</v>
      </c>
      <c r="E111" s="56">
        <v>13.8</v>
      </c>
      <c r="F111" s="56">
        <v>19.99</v>
      </c>
      <c r="G111" s="59">
        <f t="shared" si="85"/>
        <v>18.9905</v>
      </c>
      <c r="H111" s="59">
        <f t="shared" si="86"/>
        <v>15.8254166666667</v>
      </c>
      <c r="I111" s="59">
        <f t="shared" si="87"/>
        <v>1.48774601769912</v>
      </c>
      <c r="J111" s="60">
        <f t="shared" si="88"/>
        <v>0.107807682441965</v>
      </c>
      <c r="K111" s="57">
        <f t="shared" si="89"/>
        <v>16.6583333333333</v>
      </c>
      <c r="L111" s="163">
        <f t="shared" si="90"/>
        <v>0.171585792896448</v>
      </c>
      <c r="M111" s="59">
        <f t="shared" si="91"/>
        <v>2.85833333333333</v>
      </c>
      <c r="N111" s="57">
        <f t="shared" si="92"/>
        <v>50.3628318584071</v>
      </c>
      <c r="O111" s="57">
        <f t="shared" si="93"/>
        <v>0.285</v>
      </c>
      <c r="P111" s="53">
        <v>50</v>
      </c>
      <c r="Q111" s="62">
        <v>8</v>
      </c>
      <c r="R111" s="63">
        <f t="shared" si="94"/>
        <v>0.144927536231884</v>
      </c>
      <c r="S111" s="60">
        <f t="shared" si="105"/>
        <v>0.100050025012506</v>
      </c>
      <c r="T111" s="63">
        <f t="shared" si="95"/>
        <v>0.0724275362318841</v>
      </c>
      <c r="U111" s="63">
        <v>0.01</v>
      </c>
      <c r="V111" s="63">
        <f t="shared" si="96"/>
        <v>0.456185071181224</v>
      </c>
      <c r="W111" s="63">
        <f t="shared" si="97"/>
        <v>0.0206521739130435</v>
      </c>
      <c r="X111" s="61">
        <v>0.188</v>
      </c>
      <c r="Y111" s="64">
        <v>2</v>
      </c>
      <c r="Z111" s="64">
        <f>F111*0.05</f>
        <v>0.9995</v>
      </c>
      <c r="AA111" s="64">
        <f t="shared" si="98"/>
        <v>0.138</v>
      </c>
      <c r="AB111" s="57">
        <f t="shared" si="99"/>
        <v>2.5944</v>
      </c>
      <c r="AC111" s="57">
        <v>49</v>
      </c>
      <c r="AD111" s="65">
        <f t="shared" si="100"/>
        <v>43.3628318584071</v>
      </c>
      <c r="AE111" s="62">
        <f t="shared" si="101"/>
        <v>0.875</v>
      </c>
      <c r="AF111" s="63">
        <f t="shared" si="102"/>
        <v>0.392779274079774</v>
      </c>
      <c r="AG111" s="63">
        <f t="shared" si="103"/>
        <v>0.0634057971014493</v>
      </c>
      <c r="AH111" s="62">
        <v>7</v>
      </c>
      <c r="AI111" s="63">
        <f t="shared" si="104"/>
        <v>0.291923856665175</v>
      </c>
      <c r="AJ111" s="63"/>
      <c r="AK111" s="63"/>
      <c r="AL111" s="63"/>
      <c r="AM111" s="63"/>
      <c r="AN111" s="66"/>
      <c r="AO111" s="66"/>
      <c r="AP111" s="66"/>
      <c r="AQ111" s="66"/>
      <c r="AR111" s="66"/>
      <c r="AS111" s="66"/>
      <c r="AT111" s="66" t="s">
        <v>600</v>
      </c>
      <c r="AU111" s="66" t="s">
        <v>600</v>
      </c>
      <c r="AV111" s="66" t="s">
        <v>600</v>
      </c>
      <c r="AW111" s="66" t="s">
        <v>600</v>
      </c>
      <c r="AX111" s="66" t="s">
        <v>600</v>
      </c>
      <c r="AY111" s="66" t="s">
        <v>600</v>
      </c>
      <c r="AZ111" s="66" t="s">
        <v>600</v>
      </c>
      <c r="BA111" s="66" t="s">
        <v>600</v>
      </c>
      <c r="BB111" s="66" t="s">
        <v>600</v>
      </c>
      <c r="BC111" s="66" t="s">
        <v>600</v>
      </c>
      <c r="BD111" s="66" t="s">
        <v>600</v>
      </c>
      <c r="BE111" s="66" t="s">
        <v>600</v>
      </c>
      <c r="BF111" s="66" t="s">
        <v>600</v>
      </c>
      <c r="BG111" s="66" t="s">
        <v>600</v>
      </c>
      <c r="BH111" s="66" t="s">
        <v>600</v>
      </c>
      <c r="BI111" s="66" t="s">
        <v>600</v>
      </c>
      <c r="BJ111" s="66" t="s">
        <v>600</v>
      </c>
      <c r="BK111" s="66" t="s">
        <v>600</v>
      </c>
      <c r="BL111" s="66" t="s">
        <v>600</v>
      </c>
      <c r="BM111" s="66" t="s">
        <v>600</v>
      </c>
      <c r="BN111" s="66" t="s">
        <v>600</v>
      </c>
      <c r="BO111" s="66" t="s">
        <v>600</v>
      </c>
      <c r="BP111" s="66" t="s">
        <v>600</v>
      </c>
      <c r="BQ111" s="66" t="s">
        <v>600</v>
      </c>
      <c r="BR111" s="164"/>
      <c r="BS111" s="68" t="s">
        <v>601</v>
      </c>
    </row>
    <row r="112" ht="15.6" spans="1:71">
      <c r="A112" s="53" t="s">
        <v>511</v>
      </c>
      <c r="B112" s="53" t="s">
        <v>27</v>
      </c>
      <c r="C112" s="53" t="s">
        <v>45</v>
      </c>
      <c r="D112" s="168" t="s">
        <v>629</v>
      </c>
      <c r="E112" s="56">
        <v>13.8</v>
      </c>
      <c r="F112" s="56">
        <v>19.99</v>
      </c>
      <c r="G112" s="59">
        <f t="shared" si="85"/>
        <v>17.991</v>
      </c>
      <c r="H112" s="59">
        <f t="shared" si="86"/>
        <v>14.9925</v>
      </c>
      <c r="I112" s="59">
        <f t="shared" si="87"/>
        <v>0.488246017699115</v>
      </c>
      <c r="J112" s="60">
        <f t="shared" si="88"/>
        <v>0.0353801462100808</v>
      </c>
      <c r="K112" s="57">
        <f t="shared" si="89"/>
        <v>16.6583333333333</v>
      </c>
      <c r="L112" s="163">
        <f t="shared" si="90"/>
        <v>0.171585792896448</v>
      </c>
      <c r="M112" s="59">
        <f t="shared" si="91"/>
        <v>2.85833333333333</v>
      </c>
      <c r="N112" s="57">
        <f t="shared" si="92"/>
        <v>50.3628318584071</v>
      </c>
      <c r="O112" s="57">
        <f t="shared" si="93"/>
        <v>0.285</v>
      </c>
      <c r="P112" s="53">
        <v>50</v>
      </c>
      <c r="Q112" s="62">
        <v>8</v>
      </c>
      <c r="R112" s="63">
        <f t="shared" si="94"/>
        <v>0.144927536231884</v>
      </c>
      <c r="S112" s="60">
        <f t="shared" si="105"/>
        <v>0.100050025012506</v>
      </c>
      <c r="T112" s="63">
        <f t="shared" si="95"/>
        <v>0.144855072463768</v>
      </c>
      <c r="U112" s="63">
        <v>0.01</v>
      </c>
      <c r="V112" s="63">
        <f t="shared" si="96"/>
        <v>0.456185071181224</v>
      </c>
      <c r="W112" s="63">
        <f t="shared" si="97"/>
        <v>0.0206521739130435</v>
      </c>
      <c r="X112" s="61">
        <v>0.188</v>
      </c>
      <c r="Y112" s="64">
        <v>2</v>
      </c>
      <c r="Z112" s="64">
        <f>F112*0.1</f>
        <v>1.999</v>
      </c>
      <c r="AA112" s="64">
        <f t="shared" si="98"/>
        <v>0.138</v>
      </c>
      <c r="AB112" s="57">
        <f t="shared" si="99"/>
        <v>2.5944</v>
      </c>
      <c r="AC112" s="57">
        <v>49</v>
      </c>
      <c r="AD112" s="65">
        <f t="shared" si="100"/>
        <v>43.3628318584071</v>
      </c>
      <c r="AE112" s="62">
        <f t="shared" si="101"/>
        <v>0.875</v>
      </c>
      <c r="AF112" s="63">
        <f t="shared" si="102"/>
        <v>0.392779274079774</v>
      </c>
      <c r="AG112" s="63">
        <f t="shared" si="103"/>
        <v>0.0634057971014493</v>
      </c>
      <c r="AH112" s="62">
        <v>7</v>
      </c>
      <c r="AI112" s="63">
        <f t="shared" si="104"/>
        <v>0.252586293146573</v>
      </c>
      <c r="AJ112" s="63"/>
      <c r="AK112" s="63"/>
      <c r="AL112" s="63"/>
      <c r="AM112" s="63"/>
      <c r="AN112" s="66"/>
      <c r="AO112" s="66"/>
      <c r="AP112" s="66"/>
      <c r="AQ112" s="66"/>
      <c r="AR112" s="66"/>
      <c r="AS112" s="66"/>
      <c r="AT112" s="66" t="s">
        <v>600</v>
      </c>
      <c r="AU112" s="66" t="s">
        <v>600</v>
      </c>
      <c r="AV112" s="66" t="s">
        <v>600</v>
      </c>
      <c r="AW112" s="66" t="s">
        <v>600</v>
      </c>
      <c r="AX112" s="66" t="s">
        <v>600</v>
      </c>
      <c r="AY112" s="66" t="s">
        <v>600</v>
      </c>
      <c r="AZ112" s="66" t="s">
        <v>600</v>
      </c>
      <c r="BA112" s="66" t="s">
        <v>600</v>
      </c>
      <c r="BB112" s="66" t="s">
        <v>600</v>
      </c>
      <c r="BC112" s="66" t="s">
        <v>600</v>
      </c>
      <c r="BD112" s="66" t="s">
        <v>600</v>
      </c>
      <c r="BE112" s="66" t="s">
        <v>600</v>
      </c>
      <c r="BF112" s="66" t="s">
        <v>600</v>
      </c>
      <c r="BG112" s="66" t="s">
        <v>600</v>
      </c>
      <c r="BH112" s="66" t="s">
        <v>600</v>
      </c>
      <c r="BI112" s="66" t="s">
        <v>600</v>
      </c>
      <c r="BJ112" s="66" t="s">
        <v>600</v>
      </c>
      <c r="BK112" s="66" t="s">
        <v>600</v>
      </c>
      <c r="BL112" s="66" t="s">
        <v>600</v>
      </c>
      <c r="BM112" s="66" t="s">
        <v>600</v>
      </c>
      <c r="BN112" s="66" t="s">
        <v>600</v>
      </c>
      <c r="BO112" s="66" t="s">
        <v>600</v>
      </c>
      <c r="BP112" s="66" t="s">
        <v>600</v>
      </c>
      <c r="BQ112" s="66" t="s">
        <v>600</v>
      </c>
      <c r="BR112" s="164"/>
      <c r="BS112" s="68" t="s">
        <v>601</v>
      </c>
    </row>
    <row r="113" ht="15.6" spans="1:71">
      <c r="A113" s="53" t="s">
        <v>511</v>
      </c>
      <c r="B113" s="53" t="s">
        <v>27</v>
      </c>
      <c r="C113" s="53" t="s">
        <v>45</v>
      </c>
      <c r="D113" s="168" t="s">
        <v>630</v>
      </c>
      <c r="E113" s="56">
        <v>13.8</v>
      </c>
      <c r="F113" s="56">
        <v>19.99</v>
      </c>
      <c r="G113" s="174">
        <f t="shared" si="85"/>
        <v>16.9915</v>
      </c>
      <c r="H113" s="59">
        <f t="shared" si="86"/>
        <v>14.1595833333333</v>
      </c>
      <c r="I113" s="174">
        <f t="shared" si="87"/>
        <v>-0.511253982300885</v>
      </c>
      <c r="J113" s="60">
        <f t="shared" si="88"/>
        <v>-0.0370473900218032</v>
      </c>
      <c r="K113" s="57">
        <f t="shared" si="89"/>
        <v>16.6583333333333</v>
      </c>
      <c r="L113" s="163">
        <f t="shared" si="90"/>
        <v>0.171585792896448</v>
      </c>
      <c r="M113" s="59">
        <f t="shared" si="91"/>
        <v>2.85833333333333</v>
      </c>
      <c r="N113" s="57">
        <f t="shared" si="92"/>
        <v>50.3628318584071</v>
      </c>
      <c r="O113" s="57">
        <f t="shared" si="93"/>
        <v>0.285</v>
      </c>
      <c r="P113" s="53">
        <v>50</v>
      </c>
      <c r="Q113" s="62">
        <v>8</v>
      </c>
      <c r="R113" s="63">
        <f t="shared" si="94"/>
        <v>0.144927536231884</v>
      </c>
      <c r="S113" s="60">
        <f t="shared" si="105"/>
        <v>0.100050025012506</v>
      </c>
      <c r="T113" s="63">
        <f t="shared" si="95"/>
        <v>0.217282608695652</v>
      </c>
      <c r="U113" s="63">
        <v>0.01</v>
      </c>
      <c r="V113" s="63">
        <f t="shared" si="96"/>
        <v>0.456185071181224</v>
      </c>
      <c r="W113" s="63">
        <f t="shared" si="97"/>
        <v>0.0206521739130435</v>
      </c>
      <c r="X113" s="61">
        <v>0.188</v>
      </c>
      <c r="Y113" s="64">
        <v>2</v>
      </c>
      <c r="Z113" s="64">
        <f>F113*0.15</f>
        <v>2.9985</v>
      </c>
      <c r="AA113" s="64">
        <f t="shared" si="98"/>
        <v>0.138</v>
      </c>
      <c r="AB113" s="57">
        <f t="shared" si="99"/>
        <v>2.5944</v>
      </c>
      <c r="AC113" s="57">
        <v>49</v>
      </c>
      <c r="AD113" s="65">
        <f t="shared" si="100"/>
        <v>43.3628318584071</v>
      </c>
      <c r="AE113" s="62">
        <f t="shared" si="101"/>
        <v>0.875</v>
      </c>
      <c r="AF113" s="63">
        <f t="shared" si="102"/>
        <v>0.392779274079774</v>
      </c>
      <c r="AG113" s="63">
        <f t="shared" si="103"/>
        <v>0.0634057971014493</v>
      </c>
      <c r="AH113" s="62">
        <v>7</v>
      </c>
      <c r="AI113" s="63">
        <f t="shared" ref="AI113:AI125" si="106">(K113-E113+AB113)/(K113-Z113)</f>
        <v>0.3991800778438</v>
      </c>
      <c r="AJ113" s="63"/>
      <c r="AK113" s="63"/>
      <c r="AL113" s="63"/>
      <c r="AM113" s="63"/>
      <c r="AN113" s="66"/>
      <c r="AO113" s="66"/>
      <c r="AP113" s="66"/>
      <c r="AQ113" s="66"/>
      <c r="AR113" s="66"/>
      <c r="AS113" s="66"/>
      <c r="AT113" s="66" t="s">
        <v>600</v>
      </c>
      <c r="AU113" s="66" t="s">
        <v>600</v>
      </c>
      <c r="AV113" s="66" t="s">
        <v>600</v>
      </c>
      <c r="AW113" s="66" t="s">
        <v>600</v>
      </c>
      <c r="AX113" s="66" t="s">
        <v>600</v>
      </c>
      <c r="AY113" s="66" t="s">
        <v>600</v>
      </c>
      <c r="AZ113" s="66" t="s">
        <v>600</v>
      </c>
      <c r="BA113" s="66" t="s">
        <v>600</v>
      </c>
      <c r="BB113" s="66" t="s">
        <v>600</v>
      </c>
      <c r="BC113" s="66" t="s">
        <v>600</v>
      </c>
      <c r="BD113" s="66" t="s">
        <v>600</v>
      </c>
      <c r="BE113" s="66" t="s">
        <v>600</v>
      </c>
      <c r="BF113" s="66" t="s">
        <v>600</v>
      </c>
      <c r="BG113" s="66" t="s">
        <v>600</v>
      </c>
      <c r="BH113" s="66" t="s">
        <v>600</v>
      </c>
      <c r="BI113" s="66" t="s">
        <v>600</v>
      </c>
      <c r="BJ113" s="66" t="s">
        <v>600</v>
      </c>
      <c r="BK113" s="66" t="s">
        <v>600</v>
      </c>
      <c r="BL113" s="66" t="s">
        <v>600</v>
      </c>
      <c r="BM113" s="66" t="s">
        <v>600</v>
      </c>
      <c r="BN113" s="66" t="s">
        <v>600</v>
      </c>
      <c r="BO113" s="66" t="s">
        <v>600</v>
      </c>
      <c r="BP113" s="66" t="s">
        <v>600</v>
      </c>
      <c r="BQ113" s="66" t="s">
        <v>600</v>
      </c>
      <c r="BR113" s="164"/>
      <c r="BS113" s="68" t="s">
        <v>601</v>
      </c>
    </row>
    <row r="114" ht="15.6" spans="1:71">
      <c r="A114" s="53" t="s">
        <v>513</v>
      </c>
      <c r="B114" s="53" t="s">
        <v>27</v>
      </c>
      <c r="C114" s="53" t="s">
        <v>45</v>
      </c>
      <c r="D114" s="168" t="s">
        <v>627</v>
      </c>
      <c r="E114" s="56">
        <v>13.8</v>
      </c>
      <c r="F114" s="56">
        <v>19.99</v>
      </c>
      <c r="G114" s="174">
        <f t="shared" si="85"/>
        <v>19.99</v>
      </c>
      <c r="H114" s="59">
        <f t="shared" si="86"/>
        <v>16.6583333333333</v>
      </c>
      <c r="I114" s="174">
        <f t="shared" si="87"/>
        <v>2.46724601769911</v>
      </c>
      <c r="J114" s="60">
        <f t="shared" si="88"/>
        <v>0.17878594331153</v>
      </c>
      <c r="K114" s="57">
        <f t="shared" si="89"/>
        <v>16.6583333333333</v>
      </c>
      <c r="L114" s="163">
        <f t="shared" si="90"/>
        <v>0.171585792896448</v>
      </c>
      <c r="M114" s="59">
        <f t="shared" si="91"/>
        <v>2.85833333333333</v>
      </c>
      <c r="N114" s="57">
        <f t="shared" si="92"/>
        <v>50.3628318584071</v>
      </c>
      <c r="O114" s="57">
        <f t="shared" si="93"/>
        <v>0.305</v>
      </c>
      <c r="P114" s="53">
        <v>50</v>
      </c>
      <c r="Q114" s="62">
        <v>8</v>
      </c>
      <c r="R114" s="63">
        <f t="shared" si="94"/>
        <v>0.144927536231884</v>
      </c>
      <c r="S114" s="60">
        <f t="shared" si="105"/>
        <v>0.100050025012506</v>
      </c>
      <c r="T114" s="63">
        <f t="shared" si="95"/>
        <v>0</v>
      </c>
      <c r="U114" s="63">
        <v>0.01</v>
      </c>
      <c r="V114" s="63">
        <f t="shared" si="96"/>
        <v>0.456185071181224</v>
      </c>
      <c r="W114" s="63">
        <f t="shared" si="97"/>
        <v>0.0221014492753623</v>
      </c>
      <c r="X114" s="61">
        <v>0.188</v>
      </c>
      <c r="Y114" s="64">
        <v>2</v>
      </c>
      <c r="Z114" s="64">
        <v>0</v>
      </c>
      <c r="AA114" s="64">
        <f t="shared" si="98"/>
        <v>0.138</v>
      </c>
      <c r="AB114" s="57">
        <f t="shared" si="99"/>
        <v>2.5944</v>
      </c>
      <c r="AC114" s="57">
        <v>49</v>
      </c>
      <c r="AD114" s="65">
        <f t="shared" si="100"/>
        <v>43.3628318584071</v>
      </c>
      <c r="AE114" s="62">
        <f t="shared" si="101"/>
        <v>0.875</v>
      </c>
      <c r="AF114" s="63">
        <f t="shared" si="102"/>
        <v>0.392779274079774</v>
      </c>
      <c r="AG114" s="63">
        <f t="shared" si="103"/>
        <v>0.0634057971014493</v>
      </c>
      <c r="AH114" s="62">
        <v>7</v>
      </c>
      <c r="AI114" s="60">
        <f t="shared" si="106"/>
        <v>0.327327663831916</v>
      </c>
      <c r="AJ114" s="60"/>
      <c r="AK114" s="60"/>
      <c r="AL114" s="60"/>
      <c r="AM114" s="60"/>
      <c r="AN114" s="66"/>
      <c r="AO114" s="66"/>
      <c r="AP114" s="66"/>
      <c r="AQ114" s="66"/>
      <c r="AR114" s="66"/>
      <c r="AS114" s="66"/>
      <c r="AT114" s="66" t="s">
        <v>600</v>
      </c>
      <c r="AU114" s="66" t="s">
        <v>600</v>
      </c>
      <c r="AV114" s="66" t="s">
        <v>600</v>
      </c>
      <c r="AW114" s="66" t="s">
        <v>600</v>
      </c>
      <c r="AX114" s="66" t="s">
        <v>600</v>
      </c>
      <c r="AY114" s="66" t="s">
        <v>600</v>
      </c>
      <c r="AZ114" s="66" t="s">
        <v>600</v>
      </c>
      <c r="BA114" s="66" t="s">
        <v>600</v>
      </c>
      <c r="BB114" s="66" t="s">
        <v>600</v>
      </c>
      <c r="BC114" s="66" t="s">
        <v>600</v>
      </c>
      <c r="BD114" s="66" t="s">
        <v>600</v>
      </c>
      <c r="BE114" s="66" t="s">
        <v>600</v>
      </c>
      <c r="BF114" s="66" t="s">
        <v>600</v>
      </c>
      <c r="BG114" s="66" t="s">
        <v>600</v>
      </c>
      <c r="BH114" s="66" t="s">
        <v>600</v>
      </c>
      <c r="BI114" s="66" t="s">
        <v>600</v>
      </c>
      <c r="BJ114" s="66" t="s">
        <v>600</v>
      </c>
      <c r="BK114" s="66" t="s">
        <v>600</v>
      </c>
      <c r="BL114" s="66" t="s">
        <v>600</v>
      </c>
      <c r="BM114" s="66" t="s">
        <v>600</v>
      </c>
      <c r="BN114" s="66" t="s">
        <v>600</v>
      </c>
      <c r="BO114" s="66" t="s">
        <v>600</v>
      </c>
      <c r="BP114" s="66" t="s">
        <v>600</v>
      </c>
      <c r="BQ114" s="66" t="s">
        <v>600</v>
      </c>
      <c r="BR114" s="164"/>
      <c r="BS114" s="68" t="s">
        <v>601</v>
      </c>
    </row>
    <row r="115" ht="15.6" spans="1:71">
      <c r="A115" s="53" t="s">
        <v>513</v>
      </c>
      <c r="B115" s="53" t="s">
        <v>27</v>
      </c>
      <c r="C115" s="53" t="s">
        <v>45</v>
      </c>
      <c r="D115" s="168" t="s">
        <v>628</v>
      </c>
      <c r="E115" s="56">
        <v>13.8</v>
      </c>
      <c r="F115" s="56">
        <v>19.99</v>
      </c>
      <c r="G115" s="59">
        <f t="shared" si="85"/>
        <v>18.9905</v>
      </c>
      <c r="H115" s="59">
        <f t="shared" si="86"/>
        <v>15.8254166666667</v>
      </c>
      <c r="I115" s="59">
        <f t="shared" si="87"/>
        <v>1.46774601769912</v>
      </c>
      <c r="J115" s="60">
        <f t="shared" si="88"/>
        <v>0.106358407079646</v>
      </c>
      <c r="K115" s="57">
        <f t="shared" si="89"/>
        <v>16.6583333333333</v>
      </c>
      <c r="L115" s="163">
        <f t="shared" si="90"/>
        <v>0.171585792896448</v>
      </c>
      <c r="M115" s="59">
        <f t="shared" si="91"/>
        <v>2.85833333333333</v>
      </c>
      <c r="N115" s="57">
        <f t="shared" si="92"/>
        <v>50.3628318584071</v>
      </c>
      <c r="O115" s="57">
        <f t="shared" si="93"/>
        <v>0.305</v>
      </c>
      <c r="P115" s="53">
        <v>50</v>
      </c>
      <c r="Q115" s="62">
        <v>8</v>
      </c>
      <c r="R115" s="63">
        <f t="shared" si="94"/>
        <v>0.144927536231884</v>
      </c>
      <c r="S115" s="60">
        <f t="shared" si="105"/>
        <v>0.100050025012506</v>
      </c>
      <c r="T115" s="63">
        <f t="shared" si="95"/>
        <v>0.0724275362318841</v>
      </c>
      <c r="U115" s="63">
        <v>0.01</v>
      </c>
      <c r="V115" s="63">
        <f t="shared" si="96"/>
        <v>0.456185071181224</v>
      </c>
      <c r="W115" s="63">
        <f t="shared" si="97"/>
        <v>0.0221014492753623</v>
      </c>
      <c r="X115" s="61">
        <v>0.188</v>
      </c>
      <c r="Y115" s="64">
        <v>2</v>
      </c>
      <c r="Z115" s="64">
        <f>F115*0.05</f>
        <v>0.9995</v>
      </c>
      <c r="AA115" s="64">
        <f t="shared" si="98"/>
        <v>0.138</v>
      </c>
      <c r="AB115" s="57">
        <f t="shared" si="99"/>
        <v>2.5944</v>
      </c>
      <c r="AC115" s="57">
        <v>49</v>
      </c>
      <c r="AD115" s="65">
        <f t="shared" si="100"/>
        <v>43.3628318584071</v>
      </c>
      <c r="AE115" s="62">
        <f t="shared" si="101"/>
        <v>0.875</v>
      </c>
      <c r="AF115" s="63">
        <f t="shared" si="102"/>
        <v>0.392779274079774</v>
      </c>
      <c r="AG115" s="63">
        <f t="shared" si="103"/>
        <v>0.0634057971014493</v>
      </c>
      <c r="AH115" s="62">
        <v>7</v>
      </c>
      <c r="AI115" s="60">
        <f t="shared" si="106"/>
        <v>0.348220918970123</v>
      </c>
      <c r="AJ115" s="60"/>
      <c r="AK115" s="60"/>
      <c r="AL115" s="60"/>
      <c r="AM115" s="60"/>
      <c r="AN115" s="66"/>
      <c r="AO115" s="66"/>
      <c r="AP115" s="66"/>
      <c r="AQ115" s="66"/>
      <c r="AR115" s="66"/>
      <c r="AS115" s="66"/>
      <c r="AT115" s="66" t="s">
        <v>600</v>
      </c>
      <c r="AU115" s="66" t="s">
        <v>600</v>
      </c>
      <c r="AV115" s="66" t="s">
        <v>600</v>
      </c>
      <c r="AW115" s="66" t="s">
        <v>600</v>
      </c>
      <c r="AX115" s="66" t="s">
        <v>600</v>
      </c>
      <c r="AY115" s="66" t="s">
        <v>600</v>
      </c>
      <c r="AZ115" s="66" t="s">
        <v>600</v>
      </c>
      <c r="BA115" s="66" t="s">
        <v>600</v>
      </c>
      <c r="BB115" s="66" t="s">
        <v>600</v>
      </c>
      <c r="BC115" s="66" t="s">
        <v>600</v>
      </c>
      <c r="BD115" s="66" t="s">
        <v>600</v>
      </c>
      <c r="BE115" s="66" t="s">
        <v>600</v>
      </c>
      <c r="BF115" s="66" t="s">
        <v>600</v>
      </c>
      <c r="BG115" s="66" t="s">
        <v>600</v>
      </c>
      <c r="BH115" s="66" t="s">
        <v>600</v>
      </c>
      <c r="BI115" s="66" t="s">
        <v>600</v>
      </c>
      <c r="BJ115" s="66" t="s">
        <v>600</v>
      </c>
      <c r="BK115" s="66" t="s">
        <v>600</v>
      </c>
      <c r="BL115" s="66" t="s">
        <v>600</v>
      </c>
      <c r="BM115" s="66" t="s">
        <v>600</v>
      </c>
      <c r="BN115" s="66" t="s">
        <v>600</v>
      </c>
      <c r="BO115" s="66" t="s">
        <v>600</v>
      </c>
      <c r="BP115" s="66" t="s">
        <v>600</v>
      </c>
      <c r="BQ115" s="66" t="s">
        <v>600</v>
      </c>
      <c r="BR115" s="164"/>
      <c r="BS115" s="68" t="s">
        <v>601</v>
      </c>
    </row>
    <row r="116" ht="15.6" spans="1:71">
      <c r="A116" s="53" t="s">
        <v>513</v>
      </c>
      <c r="B116" s="53" t="s">
        <v>27</v>
      </c>
      <c r="C116" s="53" t="s">
        <v>45</v>
      </c>
      <c r="D116" s="168" t="s">
        <v>629</v>
      </c>
      <c r="E116" s="56">
        <v>13.8</v>
      </c>
      <c r="F116" s="56">
        <v>19.99</v>
      </c>
      <c r="G116" s="59">
        <f t="shared" si="85"/>
        <v>17.991</v>
      </c>
      <c r="H116" s="59">
        <f t="shared" si="86"/>
        <v>14.9925</v>
      </c>
      <c r="I116" s="59">
        <f t="shared" si="87"/>
        <v>0.468246017699115</v>
      </c>
      <c r="J116" s="60">
        <f t="shared" si="88"/>
        <v>0.0339308708477619</v>
      </c>
      <c r="K116" s="57">
        <f t="shared" si="89"/>
        <v>16.6583333333333</v>
      </c>
      <c r="L116" s="163">
        <f t="shared" si="90"/>
        <v>0.171585792896448</v>
      </c>
      <c r="M116" s="59">
        <f t="shared" si="91"/>
        <v>2.85833333333333</v>
      </c>
      <c r="N116" s="57">
        <f t="shared" si="92"/>
        <v>50.3628318584071</v>
      </c>
      <c r="O116" s="57">
        <f t="shared" si="93"/>
        <v>0.305</v>
      </c>
      <c r="P116" s="53">
        <v>50</v>
      </c>
      <c r="Q116" s="62">
        <v>8</v>
      </c>
      <c r="R116" s="63">
        <f t="shared" si="94"/>
        <v>0.144927536231884</v>
      </c>
      <c r="S116" s="60">
        <f t="shared" si="105"/>
        <v>0.100050025012506</v>
      </c>
      <c r="T116" s="63">
        <f t="shared" si="95"/>
        <v>0.144855072463768</v>
      </c>
      <c r="U116" s="63">
        <v>0.01</v>
      </c>
      <c r="V116" s="63">
        <f t="shared" si="96"/>
        <v>0.456185071181224</v>
      </c>
      <c r="W116" s="63">
        <f t="shared" si="97"/>
        <v>0.0221014492753623</v>
      </c>
      <c r="X116" s="61">
        <v>0.188</v>
      </c>
      <c r="Y116" s="64">
        <v>2</v>
      </c>
      <c r="Z116" s="64">
        <f>F116*0.1</f>
        <v>1.999</v>
      </c>
      <c r="AA116" s="64">
        <f t="shared" si="98"/>
        <v>0.138</v>
      </c>
      <c r="AB116" s="57">
        <f t="shared" si="99"/>
        <v>2.5944</v>
      </c>
      <c r="AC116" s="57">
        <v>49</v>
      </c>
      <c r="AD116" s="65">
        <f t="shared" si="100"/>
        <v>43.3628318584071</v>
      </c>
      <c r="AE116" s="62">
        <f t="shared" si="101"/>
        <v>0.875</v>
      </c>
      <c r="AF116" s="63">
        <f t="shared" si="102"/>
        <v>0.392779274079774</v>
      </c>
      <c r="AG116" s="63">
        <f t="shared" si="103"/>
        <v>0.0634057971014493</v>
      </c>
      <c r="AH116" s="62">
        <v>7</v>
      </c>
      <c r="AI116" s="60">
        <f t="shared" si="106"/>
        <v>0.37196325435445</v>
      </c>
      <c r="AJ116" s="60"/>
      <c r="AK116" s="60"/>
      <c r="AL116" s="60"/>
      <c r="AM116" s="60"/>
      <c r="AN116" s="66"/>
      <c r="AO116" s="66"/>
      <c r="AP116" s="66"/>
      <c r="AQ116" s="66"/>
      <c r="AR116" s="66"/>
      <c r="AS116" s="66"/>
      <c r="AT116" s="66" t="s">
        <v>600</v>
      </c>
      <c r="AU116" s="66" t="s">
        <v>600</v>
      </c>
      <c r="AV116" s="66" t="s">
        <v>600</v>
      </c>
      <c r="AW116" s="66" t="s">
        <v>600</v>
      </c>
      <c r="AX116" s="66" t="s">
        <v>600</v>
      </c>
      <c r="AY116" s="66" t="s">
        <v>600</v>
      </c>
      <c r="AZ116" s="66" t="s">
        <v>600</v>
      </c>
      <c r="BA116" s="66" t="s">
        <v>600</v>
      </c>
      <c r="BB116" s="66" t="s">
        <v>600</v>
      </c>
      <c r="BC116" s="66" t="s">
        <v>600</v>
      </c>
      <c r="BD116" s="66" t="s">
        <v>600</v>
      </c>
      <c r="BE116" s="66" t="s">
        <v>600</v>
      </c>
      <c r="BF116" s="66" t="s">
        <v>600</v>
      </c>
      <c r="BG116" s="66" t="s">
        <v>600</v>
      </c>
      <c r="BH116" s="66" t="s">
        <v>600</v>
      </c>
      <c r="BI116" s="66" t="s">
        <v>600</v>
      </c>
      <c r="BJ116" s="66" t="s">
        <v>600</v>
      </c>
      <c r="BK116" s="66" t="s">
        <v>600</v>
      </c>
      <c r="BL116" s="66" t="s">
        <v>600</v>
      </c>
      <c r="BM116" s="66" t="s">
        <v>600</v>
      </c>
      <c r="BN116" s="66" t="s">
        <v>600</v>
      </c>
      <c r="BO116" s="66" t="s">
        <v>600</v>
      </c>
      <c r="BP116" s="66" t="s">
        <v>600</v>
      </c>
      <c r="BQ116" s="66" t="s">
        <v>600</v>
      </c>
      <c r="BR116" s="164"/>
      <c r="BS116" s="68" t="s">
        <v>601</v>
      </c>
    </row>
    <row r="117" ht="15.6" spans="1:71">
      <c r="A117" s="53" t="s">
        <v>513</v>
      </c>
      <c r="B117" s="53" t="s">
        <v>27</v>
      </c>
      <c r="C117" s="53" t="s">
        <v>45</v>
      </c>
      <c r="D117" s="168" t="s">
        <v>630</v>
      </c>
      <c r="E117" s="56">
        <v>13.8</v>
      </c>
      <c r="F117" s="56">
        <v>19.99</v>
      </c>
      <c r="G117" s="174">
        <f t="shared" si="85"/>
        <v>16.9915</v>
      </c>
      <c r="H117" s="59">
        <f t="shared" si="86"/>
        <v>14.1595833333333</v>
      </c>
      <c r="I117" s="174">
        <f t="shared" si="87"/>
        <v>-0.531253982300885</v>
      </c>
      <c r="J117" s="60">
        <f t="shared" si="88"/>
        <v>-0.0384966653841221</v>
      </c>
      <c r="K117" s="57">
        <f t="shared" si="89"/>
        <v>16.6583333333333</v>
      </c>
      <c r="L117" s="163">
        <f t="shared" si="90"/>
        <v>0.171585792896448</v>
      </c>
      <c r="M117" s="59">
        <f t="shared" si="91"/>
        <v>2.85833333333333</v>
      </c>
      <c r="N117" s="57">
        <f t="shared" si="92"/>
        <v>50.3628318584071</v>
      </c>
      <c r="O117" s="57">
        <f t="shared" si="93"/>
        <v>0.305</v>
      </c>
      <c r="P117" s="53">
        <v>50</v>
      </c>
      <c r="Q117" s="62">
        <v>8</v>
      </c>
      <c r="R117" s="63">
        <f t="shared" si="94"/>
        <v>0.144927536231884</v>
      </c>
      <c r="S117" s="60">
        <f t="shared" si="105"/>
        <v>0.100050025012506</v>
      </c>
      <c r="T117" s="63">
        <f t="shared" si="95"/>
        <v>0.217282608695652</v>
      </c>
      <c r="U117" s="63">
        <v>0.01</v>
      </c>
      <c r="V117" s="63">
        <f t="shared" si="96"/>
        <v>0.456185071181224</v>
      </c>
      <c r="W117" s="63">
        <f t="shared" si="97"/>
        <v>0.0221014492753623</v>
      </c>
      <c r="X117" s="61">
        <v>0.188</v>
      </c>
      <c r="Y117" s="64">
        <v>2</v>
      </c>
      <c r="Z117" s="64">
        <f>F117*0.15</f>
        <v>2.9985</v>
      </c>
      <c r="AA117" s="64">
        <f t="shared" si="98"/>
        <v>0.138</v>
      </c>
      <c r="AB117" s="57">
        <f t="shared" si="99"/>
        <v>2.5944</v>
      </c>
      <c r="AC117" s="57">
        <v>49</v>
      </c>
      <c r="AD117" s="65">
        <f t="shared" si="100"/>
        <v>43.3628318584071</v>
      </c>
      <c r="AE117" s="62">
        <f t="shared" si="101"/>
        <v>0.875</v>
      </c>
      <c r="AF117" s="63">
        <f t="shared" si="102"/>
        <v>0.392779274079774</v>
      </c>
      <c r="AG117" s="63">
        <f t="shared" si="103"/>
        <v>0.0634057971014493</v>
      </c>
      <c r="AH117" s="62">
        <v>7</v>
      </c>
      <c r="AI117" s="60">
        <f t="shared" si="106"/>
        <v>0.3991800778438</v>
      </c>
      <c r="AJ117" s="60"/>
      <c r="AK117" s="60"/>
      <c r="AL117" s="60"/>
      <c r="AM117" s="60"/>
      <c r="AN117" s="66"/>
      <c r="AO117" s="66"/>
      <c r="AP117" s="66"/>
      <c r="AQ117" s="66"/>
      <c r="AR117" s="66"/>
      <c r="AS117" s="66"/>
      <c r="AT117" s="66" t="s">
        <v>600</v>
      </c>
      <c r="AU117" s="66" t="s">
        <v>600</v>
      </c>
      <c r="AV117" s="66" t="s">
        <v>600</v>
      </c>
      <c r="AW117" s="66" t="s">
        <v>600</v>
      </c>
      <c r="AX117" s="66" t="s">
        <v>600</v>
      </c>
      <c r="AY117" s="66" t="s">
        <v>600</v>
      </c>
      <c r="AZ117" s="66" t="s">
        <v>600</v>
      </c>
      <c r="BA117" s="66" t="s">
        <v>600</v>
      </c>
      <c r="BB117" s="66" t="s">
        <v>600</v>
      </c>
      <c r="BC117" s="66" t="s">
        <v>600</v>
      </c>
      <c r="BD117" s="66" t="s">
        <v>600</v>
      </c>
      <c r="BE117" s="66" t="s">
        <v>600</v>
      </c>
      <c r="BF117" s="66" t="s">
        <v>600</v>
      </c>
      <c r="BG117" s="66" t="s">
        <v>600</v>
      </c>
      <c r="BH117" s="66" t="s">
        <v>600</v>
      </c>
      <c r="BI117" s="66" t="s">
        <v>600</v>
      </c>
      <c r="BJ117" s="66" t="s">
        <v>600</v>
      </c>
      <c r="BK117" s="66" t="s">
        <v>600</v>
      </c>
      <c r="BL117" s="66" t="s">
        <v>600</v>
      </c>
      <c r="BM117" s="66" t="s">
        <v>600</v>
      </c>
      <c r="BN117" s="66" t="s">
        <v>600</v>
      </c>
      <c r="BO117" s="66" t="s">
        <v>600</v>
      </c>
      <c r="BP117" s="66" t="s">
        <v>600</v>
      </c>
      <c r="BQ117" s="66" t="s">
        <v>600</v>
      </c>
      <c r="BR117" s="164"/>
      <c r="BS117" s="68" t="s">
        <v>601</v>
      </c>
    </row>
    <row r="118" ht="15.6" spans="1:71">
      <c r="A118" s="53" t="s">
        <v>516</v>
      </c>
      <c r="B118" s="53" t="s">
        <v>27</v>
      </c>
      <c r="C118" s="53" t="s">
        <v>45</v>
      </c>
      <c r="D118" s="168" t="s">
        <v>627</v>
      </c>
      <c r="E118" s="56">
        <v>13.8</v>
      </c>
      <c r="F118" s="56">
        <v>19.99</v>
      </c>
      <c r="G118" s="59">
        <f t="shared" si="85"/>
        <v>19.99</v>
      </c>
      <c r="H118" s="59">
        <f t="shared" si="86"/>
        <v>16.6583333333333</v>
      </c>
      <c r="I118" s="59">
        <f t="shared" si="87"/>
        <v>2.38724601769912</v>
      </c>
      <c r="J118" s="60">
        <f t="shared" si="88"/>
        <v>0.172988841862255</v>
      </c>
      <c r="K118" s="57">
        <f t="shared" si="89"/>
        <v>16.6583333333333</v>
      </c>
      <c r="L118" s="163">
        <f t="shared" si="90"/>
        <v>0.171585792896448</v>
      </c>
      <c r="M118" s="59">
        <f t="shared" si="91"/>
        <v>2.85833333333333</v>
      </c>
      <c r="N118" s="57">
        <f t="shared" si="92"/>
        <v>50.3628318584071</v>
      </c>
      <c r="O118" s="57">
        <f t="shared" si="93"/>
        <v>0.385</v>
      </c>
      <c r="P118" s="53">
        <v>50</v>
      </c>
      <c r="Q118" s="62">
        <v>8</v>
      </c>
      <c r="R118" s="63">
        <f t="shared" si="94"/>
        <v>0.144927536231884</v>
      </c>
      <c r="S118" s="60">
        <f t="shared" si="105"/>
        <v>0.100050025012506</v>
      </c>
      <c r="T118" s="63">
        <f t="shared" si="95"/>
        <v>0</v>
      </c>
      <c r="U118" s="63">
        <v>0.01</v>
      </c>
      <c r="V118" s="63">
        <f t="shared" si="96"/>
        <v>0.456185071181224</v>
      </c>
      <c r="W118" s="63">
        <f t="shared" si="97"/>
        <v>0.0278985507246377</v>
      </c>
      <c r="X118" s="61">
        <v>0.188</v>
      </c>
      <c r="Y118" s="64">
        <v>2</v>
      </c>
      <c r="Z118" s="64">
        <v>0</v>
      </c>
      <c r="AA118" s="64">
        <f t="shared" si="98"/>
        <v>0.138</v>
      </c>
      <c r="AB118" s="57">
        <f t="shared" si="99"/>
        <v>2.5944</v>
      </c>
      <c r="AC118" s="57">
        <v>49</v>
      </c>
      <c r="AD118" s="65">
        <f t="shared" si="100"/>
        <v>43.3628318584071</v>
      </c>
      <c r="AE118" s="62">
        <f t="shared" si="101"/>
        <v>0.875</v>
      </c>
      <c r="AF118" s="63">
        <f t="shared" si="102"/>
        <v>0.392779274079774</v>
      </c>
      <c r="AG118" s="63">
        <f t="shared" si="103"/>
        <v>0.0634057971014493</v>
      </c>
      <c r="AH118" s="62">
        <v>7</v>
      </c>
      <c r="AI118" s="63">
        <f t="shared" si="106"/>
        <v>0.327327663831916</v>
      </c>
      <c r="AJ118" s="63"/>
      <c r="AK118" s="63"/>
      <c r="AL118" s="63"/>
      <c r="AM118" s="63"/>
      <c r="AN118" s="66"/>
      <c r="AO118" s="66"/>
      <c r="AP118" s="66"/>
      <c r="AQ118" s="66"/>
      <c r="AR118" s="66"/>
      <c r="AS118" s="66"/>
      <c r="AT118" s="66" t="s">
        <v>600</v>
      </c>
      <c r="AU118" s="66" t="s">
        <v>600</v>
      </c>
      <c r="AV118" s="66" t="s">
        <v>600</v>
      </c>
      <c r="AW118" s="66" t="s">
        <v>600</v>
      </c>
      <c r="AX118" s="66" t="s">
        <v>600</v>
      </c>
      <c r="AY118" s="66" t="s">
        <v>600</v>
      </c>
      <c r="AZ118" s="66" t="s">
        <v>600</v>
      </c>
      <c r="BA118" s="66" t="s">
        <v>600</v>
      </c>
      <c r="BB118" s="66" t="s">
        <v>600</v>
      </c>
      <c r="BC118" s="66" t="s">
        <v>600</v>
      </c>
      <c r="BD118" s="66" t="s">
        <v>600</v>
      </c>
      <c r="BE118" s="66" t="s">
        <v>600</v>
      </c>
      <c r="BF118" s="66" t="s">
        <v>600</v>
      </c>
      <c r="BG118" s="66" t="s">
        <v>600</v>
      </c>
      <c r="BH118" s="66" t="s">
        <v>600</v>
      </c>
      <c r="BI118" s="66" t="s">
        <v>600</v>
      </c>
      <c r="BJ118" s="66" t="s">
        <v>600</v>
      </c>
      <c r="BK118" s="66" t="s">
        <v>600</v>
      </c>
      <c r="BL118" s="66" t="s">
        <v>600</v>
      </c>
      <c r="BM118" s="66" t="s">
        <v>600</v>
      </c>
      <c r="BN118" s="66" t="s">
        <v>600</v>
      </c>
      <c r="BO118" s="66" t="s">
        <v>600</v>
      </c>
      <c r="BP118" s="66" t="s">
        <v>600</v>
      </c>
      <c r="BQ118" s="66" t="s">
        <v>600</v>
      </c>
      <c r="BR118" s="164"/>
      <c r="BS118" s="68" t="s">
        <v>601</v>
      </c>
    </row>
    <row r="119" ht="15.6" spans="1:71">
      <c r="A119" s="53" t="s">
        <v>516</v>
      </c>
      <c r="B119" s="53" t="s">
        <v>27</v>
      </c>
      <c r="C119" s="53" t="s">
        <v>45</v>
      </c>
      <c r="D119" s="168" t="s">
        <v>628</v>
      </c>
      <c r="E119" s="56">
        <v>13.8</v>
      </c>
      <c r="F119" s="56">
        <v>19.99</v>
      </c>
      <c r="G119" s="59">
        <f t="shared" si="85"/>
        <v>18.9905</v>
      </c>
      <c r="H119" s="59">
        <f t="shared" si="86"/>
        <v>15.8254166666667</v>
      </c>
      <c r="I119" s="59">
        <f t="shared" si="87"/>
        <v>1.38774601769912</v>
      </c>
      <c r="J119" s="60">
        <f t="shared" si="88"/>
        <v>0.100561305630371</v>
      </c>
      <c r="K119" s="57">
        <f t="shared" si="89"/>
        <v>16.6583333333333</v>
      </c>
      <c r="L119" s="163">
        <f t="shared" si="90"/>
        <v>0.171585792896448</v>
      </c>
      <c r="M119" s="59">
        <f t="shared" si="91"/>
        <v>2.85833333333333</v>
      </c>
      <c r="N119" s="57">
        <f t="shared" si="92"/>
        <v>50.3628318584071</v>
      </c>
      <c r="O119" s="57">
        <f t="shared" si="93"/>
        <v>0.385</v>
      </c>
      <c r="P119" s="53">
        <v>50</v>
      </c>
      <c r="Q119" s="62">
        <v>8</v>
      </c>
      <c r="R119" s="63">
        <f t="shared" si="94"/>
        <v>0.144927536231884</v>
      </c>
      <c r="S119" s="60">
        <f t="shared" si="105"/>
        <v>0.100050025012506</v>
      </c>
      <c r="T119" s="63">
        <f t="shared" si="95"/>
        <v>0.0724275362318841</v>
      </c>
      <c r="U119" s="63">
        <v>0.01</v>
      </c>
      <c r="V119" s="63">
        <f t="shared" si="96"/>
        <v>0.456185071181224</v>
      </c>
      <c r="W119" s="63">
        <f t="shared" si="97"/>
        <v>0.0278985507246377</v>
      </c>
      <c r="X119" s="61">
        <v>0.188</v>
      </c>
      <c r="Y119" s="64">
        <v>2</v>
      </c>
      <c r="Z119" s="64">
        <f>F119*0.05</f>
        <v>0.9995</v>
      </c>
      <c r="AA119" s="64">
        <f t="shared" si="98"/>
        <v>0.138</v>
      </c>
      <c r="AB119" s="57">
        <f t="shared" si="99"/>
        <v>2.5944</v>
      </c>
      <c r="AC119" s="57">
        <v>49</v>
      </c>
      <c r="AD119" s="65">
        <f t="shared" si="100"/>
        <v>43.3628318584071</v>
      </c>
      <c r="AE119" s="62">
        <f t="shared" si="101"/>
        <v>0.875</v>
      </c>
      <c r="AF119" s="63">
        <f t="shared" si="102"/>
        <v>0.392779274079774</v>
      </c>
      <c r="AG119" s="63">
        <f t="shared" si="103"/>
        <v>0.0634057971014493</v>
      </c>
      <c r="AH119" s="62">
        <v>7</v>
      </c>
      <c r="AI119" s="63">
        <f t="shared" si="106"/>
        <v>0.348220918970123</v>
      </c>
      <c r="AJ119" s="63"/>
      <c r="AK119" s="63"/>
      <c r="AL119" s="63"/>
      <c r="AM119" s="63"/>
      <c r="AN119" s="66"/>
      <c r="AO119" s="66"/>
      <c r="AP119" s="66"/>
      <c r="AQ119" s="66"/>
      <c r="AR119" s="66"/>
      <c r="AS119" s="66"/>
      <c r="AT119" s="66" t="s">
        <v>600</v>
      </c>
      <c r="AU119" s="66" t="s">
        <v>600</v>
      </c>
      <c r="AV119" s="66" t="s">
        <v>600</v>
      </c>
      <c r="AW119" s="66" t="s">
        <v>600</v>
      </c>
      <c r="AX119" s="66" t="s">
        <v>600</v>
      </c>
      <c r="AY119" s="66" t="s">
        <v>600</v>
      </c>
      <c r="AZ119" s="66" t="s">
        <v>600</v>
      </c>
      <c r="BA119" s="66" t="s">
        <v>600</v>
      </c>
      <c r="BB119" s="66" t="s">
        <v>600</v>
      </c>
      <c r="BC119" s="66" t="s">
        <v>600</v>
      </c>
      <c r="BD119" s="66" t="s">
        <v>600</v>
      </c>
      <c r="BE119" s="66" t="s">
        <v>600</v>
      </c>
      <c r="BF119" s="66" t="s">
        <v>600</v>
      </c>
      <c r="BG119" s="66" t="s">
        <v>600</v>
      </c>
      <c r="BH119" s="66" t="s">
        <v>600</v>
      </c>
      <c r="BI119" s="66" t="s">
        <v>600</v>
      </c>
      <c r="BJ119" s="66" t="s">
        <v>600</v>
      </c>
      <c r="BK119" s="66" t="s">
        <v>600</v>
      </c>
      <c r="BL119" s="66" t="s">
        <v>600</v>
      </c>
      <c r="BM119" s="66" t="s">
        <v>600</v>
      </c>
      <c r="BN119" s="66" t="s">
        <v>600</v>
      </c>
      <c r="BO119" s="66" t="s">
        <v>600</v>
      </c>
      <c r="BP119" s="66" t="s">
        <v>600</v>
      </c>
      <c r="BQ119" s="66" t="s">
        <v>600</v>
      </c>
      <c r="BR119" s="164"/>
      <c r="BS119" s="68" t="s">
        <v>601</v>
      </c>
    </row>
    <row r="120" ht="15.6" spans="1:71">
      <c r="A120" s="53" t="s">
        <v>516</v>
      </c>
      <c r="B120" s="53" t="s">
        <v>27</v>
      </c>
      <c r="C120" s="53" t="s">
        <v>45</v>
      </c>
      <c r="D120" s="168" t="s">
        <v>629</v>
      </c>
      <c r="E120" s="56">
        <v>13.8</v>
      </c>
      <c r="F120" s="56">
        <v>19.99</v>
      </c>
      <c r="G120" s="59">
        <f t="shared" si="85"/>
        <v>17.991</v>
      </c>
      <c r="H120" s="59">
        <f t="shared" si="86"/>
        <v>14.9925</v>
      </c>
      <c r="I120" s="59">
        <f t="shared" si="87"/>
        <v>0.388246017699115</v>
      </c>
      <c r="J120" s="60">
        <f t="shared" si="88"/>
        <v>0.0281337693984866</v>
      </c>
      <c r="K120" s="57">
        <f t="shared" si="89"/>
        <v>16.6583333333333</v>
      </c>
      <c r="L120" s="163">
        <f t="shared" si="90"/>
        <v>0.171585792896448</v>
      </c>
      <c r="M120" s="59">
        <f t="shared" si="91"/>
        <v>2.85833333333333</v>
      </c>
      <c r="N120" s="57">
        <f t="shared" si="92"/>
        <v>50.3628318584071</v>
      </c>
      <c r="O120" s="57">
        <f t="shared" si="93"/>
        <v>0.385</v>
      </c>
      <c r="P120" s="53">
        <v>50</v>
      </c>
      <c r="Q120" s="62">
        <v>8</v>
      </c>
      <c r="R120" s="63">
        <f t="shared" si="94"/>
        <v>0.144927536231884</v>
      </c>
      <c r="S120" s="60">
        <f t="shared" si="105"/>
        <v>0.100050025012506</v>
      </c>
      <c r="T120" s="63">
        <f t="shared" si="95"/>
        <v>0.144855072463768</v>
      </c>
      <c r="U120" s="63">
        <v>0.01</v>
      </c>
      <c r="V120" s="63">
        <f t="shared" si="96"/>
        <v>0.456185071181224</v>
      </c>
      <c r="W120" s="63">
        <f t="shared" si="97"/>
        <v>0.0278985507246377</v>
      </c>
      <c r="X120" s="61">
        <v>0.188</v>
      </c>
      <c r="Y120" s="64">
        <v>2</v>
      </c>
      <c r="Z120" s="64">
        <f>F120*0.1</f>
        <v>1.999</v>
      </c>
      <c r="AA120" s="64">
        <f t="shared" si="98"/>
        <v>0.138</v>
      </c>
      <c r="AB120" s="57">
        <f t="shared" si="99"/>
        <v>2.5944</v>
      </c>
      <c r="AC120" s="57">
        <v>49</v>
      </c>
      <c r="AD120" s="65">
        <f t="shared" si="100"/>
        <v>43.3628318584071</v>
      </c>
      <c r="AE120" s="62">
        <f t="shared" si="101"/>
        <v>0.875</v>
      </c>
      <c r="AF120" s="63">
        <f t="shared" si="102"/>
        <v>0.392779274079774</v>
      </c>
      <c r="AG120" s="63">
        <f t="shared" si="103"/>
        <v>0.0634057971014493</v>
      </c>
      <c r="AH120" s="62">
        <v>7</v>
      </c>
      <c r="AI120" s="63">
        <f t="shared" si="106"/>
        <v>0.37196325435445</v>
      </c>
      <c r="AJ120" s="63"/>
      <c r="AK120" s="63"/>
      <c r="AL120" s="63"/>
      <c r="AM120" s="63"/>
      <c r="AN120" s="66"/>
      <c r="AO120" s="66"/>
      <c r="AP120" s="66"/>
      <c r="AQ120" s="66"/>
      <c r="AR120" s="66"/>
      <c r="AS120" s="66"/>
      <c r="AT120" s="66" t="s">
        <v>600</v>
      </c>
      <c r="AU120" s="66" t="s">
        <v>600</v>
      </c>
      <c r="AV120" s="66" t="s">
        <v>600</v>
      </c>
      <c r="AW120" s="66" t="s">
        <v>600</v>
      </c>
      <c r="AX120" s="66" t="s">
        <v>600</v>
      </c>
      <c r="AY120" s="66" t="s">
        <v>600</v>
      </c>
      <c r="AZ120" s="66" t="s">
        <v>600</v>
      </c>
      <c r="BA120" s="66" t="s">
        <v>600</v>
      </c>
      <c r="BB120" s="66" t="s">
        <v>600</v>
      </c>
      <c r="BC120" s="66" t="s">
        <v>600</v>
      </c>
      <c r="BD120" s="66" t="s">
        <v>600</v>
      </c>
      <c r="BE120" s="66" t="s">
        <v>600</v>
      </c>
      <c r="BF120" s="66" t="s">
        <v>600</v>
      </c>
      <c r="BG120" s="66" t="s">
        <v>600</v>
      </c>
      <c r="BH120" s="66" t="s">
        <v>600</v>
      </c>
      <c r="BI120" s="66" t="s">
        <v>600</v>
      </c>
      <c r="BJ120" s="66" t="s">
        <v>600</v>
      </c>
      <c r="BK120" s="66" t="s">
        <v>600</v>
      </c>
      <c r="BL120" s="66" t="s">
        <v>600</v>
      </c>
      <c r="BM120" s="66" t="s">
        <v>600</v>
      </c>
      <c r="BN120" s="66" t="s">
        <v>600</v>
      </c>
      <c r="BO120" s="66" t="s">
        <v>600</v>
      </c>
      <c r="BP120" s="66" t="s">
        <v>600</v>
      </c>
      <c r="BQ120" s="66" t="s">
        <v>600</v>
      </c>
      <c r="BR120" s="164"/>
      <c r="BS120" s="68" t="s">
        <v>601</v>
      </c>
    </row>
    <row r="121" ht="15.6" spans="1:71">
      <c r="A121" s="53" t="s">
        <v>516</v>
      </c>
      <c r="B121" s="53" t="s">
        <v>27</v>
      </c>
      <c r="C121" s="53" t="s">
        <v>45</v>
      </c>
      <c r="D121" s="168" t="s">
        <v>630</v>
      </c>
      <c r="E121" s="56">
        <v>13.8</v>
      </c>
      <c r="F121" s="56">
        <v>19.99</v>
      </c>
      <c r="G121" s="174">
        <f t="shared" si="85"/>
        <v>16.9915</v>
      </c>
      <c r="H121" s="59">
        <f t="shared" si="86"/>
        <v>14.1595833333333</v>
      </c>
      <c r="I121" s="174">
        <f t="shared" si="87"/>
        <v>-0.611253982300884</v>
      </c>
      <c r="J121" s="60">
        <f t="shared" si="88"/>
        <v>-0.0442937668333974</v>
      </c>
      <c r="K121" s="57">
        <f t="shared" si="89"/>
        <v>16.6583333333333</v>
      </c>
      <c r="L121" s="163">
        <f t="shared" si="90"/>
        <v>0.171585792896448</v>
      </c>
      <c r="M121" s="59">
        <f t="shared" si="91"/>
        <v>2.85833333333333</v>
      </c>
      <c r="N121" s="57">
        <f t="shared" si="92"/>
        <v>50.3628318584071</v>
      </c>
      <c r="O121" s="57">
        <f t="shared" si="93"/>
        <v>0.385</v>
      </c>
      <c r="P121" s="53">
        <v>50</v>
      </c>
      <c r="Q121" s="62">
        <v>8</v>
      </c>
      <c r="R121" s="63">
        <f t="shared" si="94"/>
        <v>0.144927536231884</v>
      </c>
      <c r="S121" s="60">
        <f t="shared" si="105"/>
        <v>0.100050025012506</v>
      </c>
      <c r="T121" s="63">
        <f t="shared" si="95"/>
        <v>0.217282608695652</v>
      </c>
      <c r="U121" s="63">
        <v>0.01</v>
      </c>
      <c r="V121" s="63">
        <f t="shared" si="96"/>
        <v>0.456185071181224</v>
      </c>
      <c r="W121" s="63">
        <f t="shared" si="97"/>
        <v>0.0278985507246377</v>
      </c>
      <c r="X121" s="61">
        <v>0.188</v>
      </c>
      <c r="Y121" s="64">
        <v>2</v>
      </c>
      <c r="Z121" s="64">
        <f>F121*0.15</f>
        <v>2.9985</v>
      </c>
      <c r="AA121" s="64">
        <f t="shared" si="98"/>
        <v>0.138</v>
      </c>
      <c r="AB121" s="57">
        <f t="shared" si="99"/>
        <v>2.5944</v>
      </c>
      <c r="AC121" s="57">
        <v>49</v>
      </c>
      <c r="AD121" s="65">
        <f t="shared" si="100"/>
        <v>43.3628318584071</v>
      </c>
      <c r="AE121" s="62">
        <f t="shared" si="101"/>
        <v>0.875</v>
      </c>
      <c r="AF121" s="63">
        <f t="shared" si="102"/>
        <v>0.392779274079774</v>
      </c>
      <c r="AG121" s="63">
        <f t="shared" si="103"/>
        <v>0.0634057971014493</v>
      </c>
      <c r="AH121" s="62">
        <v>7</v>
      </c>
      <c r="AI121" s="63">
        <f t="shared" si="106"/>
        <v>0.3991800778438</v>
      </c>
      <c r="AJ121" s="63"/>
      <c r="AK121" s="63"/>
      <c r="AL121" s="63"/>
      <c r="AM121" s="63"/>
      <c r="AN121" s="66"/>
      <c r="AO121" s="66"/>
      <c r="AP121" s="66"/>
      <c r="AQ121" s="66"/>
      <c r="AR121" s="66"/>
      <c r="AS121" s="66"/>
      <c r="AT121" s="66" t="s">
        <v>600</v>
      </c>
      <c r="AU121" s="66" t="s">
        <v>600</v>
      </c>
      <c r="AV121" s="66" t="s">
        <v>600</v>
      </c>
      <c r="AW121" s="66" t="s">
        <v>600</v>
      </c>
      <c r="AX121" s="66" t="s">
        <v>600</v>
      </c>
      <c r="AY121" s="66" t="s">
        <v>600</v>
      </c>
      <c r="AZ121" s="66" t="s">
        <v>600</v>
      </c>
      <c r="BA121" s="66" t="s">
        <v>600</v>
      </c>
      <c r="BB121" s="66" t="s">
        <v>600</v>
      </c>
      <c r="BC121" s="66" t="s">
        <v>600</v>
      </c>
      <c r="BD121" s="66" t="s">
        <v>600</v>
      </c>
      <c r="BE121" s="66" t="s">
        <v>600</v>
      </c>
      <c r="BF121" s="66" t="s">
        <v>600</v>
      </c>
      <c r="BG121" s="66" t="s">
        <v>600</v>
      </c>
      <c r="BH121" s="66" t="s">
        <v>600</v>
      </c>
      <c r="BI121" s="66" t="s">
        <v>600</v>
      </c>
      <c r="BJ121" s="66" t="s">
        <v>600</v>
      </c>
      <c r="BK121" s="66" t="s">
        <v>600</v>
      </c>
      <c r="BL121" s="66" t="s">
        <v>600</v>
      </c>
      <c r="BM121" s="66" t="s">
        <v>600</v>
      </c>
      <c r="BN121" s="66" t="s">
        <v>600</v>
      </c>
      <c r="BO121" s="66" t="s">
        <v>600</v>
      </c>
      <c r="BP121" s="66" t="s">
        <v>600</v>
      </c>
      <c r="BQ121" s="66" t="s">
        <v>600</v>
      </c>
      <c r="BR121" s="164"/>
      <c r="BS121" s="68" t="s">
        <v>601</v>
      </c>
    </row>
    <row r="122" ht="15.6" spans="1:71">
      <c r="A122" s="53" t="s">
        <v>605</v>
      </c>
      <c r="B122" s="53" t="s">
        <v>27</v>
      </c>
      <c r="C122" s="53" t="s">
        <v>45</v>
      </c>
      <c r="D122" s="170" t="s">
        <v>631</v>
      </c>
      <c r="E122" s="56">
        <v>20.5</v>
      </c>
      <c r="F122" s="56">
        <v>29.99</v>
      </c>
      <c r="G122" s="59">
        <f t="shared" si="85"/>
        <v>29.99</v>
      </c>
      <c r="H122" s="59">
        <f t="shared" si="86"/>
        <v>24.9916666666667</v>
      </c>
      <c r="I122" s="59">
        <f t="shared" si="87"/>
        <v>9.81064601769912</v>
      </c>
      <c r="J122" s="60">
        <f t="shared" si="88"/>
        <v>0.478568098424347</v>
      </c>
      <c r="K122" s="57">
        <f t="shared" si="89"/>
        <v>24.9916666666667</v>
      </c>
      <c r="L122" s="163">
        <f t="shared" si="90"/>
        <v>0.179726575525175</v>
      </c>
      <c r="M122" s="59">
        <f t="shared" si="91"/>
        <v>4.49166666666667</v>
      </c>
      <c r="N122" s="57">
        <f t="shared" si="92"/>
        <v>50.3628318584071</v>
      </c>
      <c r="O122" s="57">
        <f t="shared" si="93"/>
        <v>0.335</v>
      </c>
      <c r="P122" s="53">
        <v>50</v>
      </c>
      <c r="Q122" s="62">
        <v>8</v>
      </c>
      <c r="R122" s="63">
        <f t="shared" si="94"/>
        <v>0</v>
      </c>
      <c r="S122" s="60">
        <f t="shared" si="105"/>
        <v>0</v>
      </c>
      <c r="T122" s="63">
        <f t="shared" si="95"/>
        <v>0</v>
      </c>
      <c r="U122" s="63">
        <v>0.01</v>
      </c>
      <c r="V122" s="63">
        <f t="shared" si="96"/>
        <v>0.307090438161019</v>
      </c>
      <c r="W122" s="63">
        <f t="shared" si="97"/>
        <v>0.0163414634146341</v>
      </c>
      <c r="X122" s="61">
        <v>0.188</v>
      </c>
      <c r="Y122" s="64">
        <v>0</v>
      </c>
      <c r="Z122" s="64">
        <f>F122*0</f>
        <v>0</v>
      </c>
      <c r="AA122" s="64">
        <f t="shared" si="98"/>
        <v>0.205</v>
      </c>
      <c r="AB122" s="57">
        <f t="shared" si="99"/>
        <v>3.854</v>
      </c>
      <c r="AC122" s="57">
        <v>49</v>
      </c>
      <c r="AD122" s="65">
        <f t="shared" si="100"/>
        <v>43.3628318584071</v>
      </c>
      <c r="AE122" s="62">
        <f t="shared" si="101"/>
        <v>0.875</v>
      </c>
      <c r="AF122" s="63">
        <f t="shared" si="102"/>
        <v>0.26440751133175</v>
      </c>
      <c r="AG122" s="63">
        <f t="shared" si="103"/>
        <v>0.0426829268292683</v>
      </c>
      <c r="AH122" s="62">
        <v>7</v>
      </c>
      <c r="AI122" s="63">
        <f t="shared" si="106"/>
        <v>0.333937979326442</v>
      </c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 t="s">
        <v>600</v>
      </c>
      <c r="AU122" s="66" t="s">
        <v>600</v>
      </c>
      <c r="AV122" s="66" t="s">
        <v>600</v>
      </c>
      <c r="AW122" s="66" t="s">
        <v>600</v>
      </c>
      <c r="AX122" s="66" t="s">
        <v>600</v>
      </c>
      <c r="AY122" s="66" t="s">
        <v>600</v>
      </c>
      <c r="AZ122" s="66" t="s">
        <v>600</v>
      </c>
      <c r="BA122" s="66" t="s">
        <v>600</v>
      </c>
      <c r="BB122" s="66" t="s">
        <v>600</v>
      </c>
      <c r="BC122" s="66" t="s">
        <v>600</v>
      </c>
      <c r="BD122" s="66" t="s">
        <v>600</v>
      </c>
      <c r="BE122" s="66" t="s">
        <v>600</v>
      </c>
      <c r="BF122" s="66" t="s">
        <v>600</v>
      </c>
      <c r="BG122" s="66" t="s">
        <v>600</v>
      </c>
      <c r="BH122" s="66" t="s">
        <v>600</v>
      </c>
      <c r="BI122" s="66" t="s">
        <v>600</v>
      </c>
      <c r="BJ122" s="66" t="s">
        <v>600</v>
      </c>
      <c r="BK122" s="66" t="s">
        <v>600</v>
      </c>
      <c r="BL122" s="66" t="s">
        <v>600</v>
      </c>
      <c r="BM122" s="66" t="s">
        <v>600</v>
      </c>
      <c r="BN122" s="66" t="s">
        <v>600</v>
      </c>
      <c r="BO122" s="66" t="s">
        <v>600</v>
      </c>
      <c r="BP122" s="66" t="s">
        <v>600</v>
      </c>
      <c r="BQ122" s="66" t="s">
        <v>600</v>
      </c>
      <c r="BR122" s="70" t="e">
        <f>IF(E122&lt;#REF!,1,0)</f>
        <v>#REF!</v>
      </c>
      <c r="BS122" s="68" t="s">
        <v>601</v>
      </c>
    </row>
    <row r="123" ht="15.6" spans="1:71">
      <c r="A123" s="53" t="s">
        <v>607</v>
      </c>
      <c r="B123" s="53" t="s">
        <v>27</v>
      </c>
      <c r="C123" s="53" t="s">
        <v>45</v>
      </c>
      <c r="D123" s="170" t="s">
        <v>632</v>
      </c>
      <c r="E123" s="56">
        <v>20.5</v>
      </c>
      <c r="F123" s="56">
        <v>29.99</v>
      </c>
      <c r="G123" s="59">
        <f t="shared" si="85"/>
        <v>29.99</v>
      </c>
      <c r="H123" s="59">
        <f t="shared" si="86"/>
        <v>24.9916666666667</v>
      </c>
      <c r="I123" s="59">
        <f t="shared" si="87"/>
        <v>9.86464601769912</v>
      </c>
      <c r="J123" s="60">
        <f t="shared" si="88"/>
        <v>0.481202244765811</v>
      </c>
      <c r="K123" s="57">
        <f t="shared" si="89"/>
        <v>24.9916666666667</v>
      </c>
      <c r="L123" s="163">
        <f t="shared" si="90"/>
        <v>0.179726575525175</v>
      </c>
      <c r="M123" s="59">
        <f t="shared" si="91"/>
        <v>4.49166666666667</v>
      </c>
      <c r="N123" s="57">
        <f t="shared" si="92"/>
        <v>50.3628318584071</v>
      </c>
      <c r="O123" s="57">
        <f t="shared" si="93"/>
        <v>0.281</v>
      </c>
      <c r="P123" s="53">
        <v>50</v>
      </c>
      <c r="Q123" s="62">
        <v>8</v>
      </c>
      <c r="R123" s="63">
        <f t="shared" si="94"/>
        <v>0</v>
      </c>
      <c r="S123" s="60">
        <f t="shared" si="105"/>
        <v>0</v>
      </c>
      <c r="T123" s="63">
        <f t="shared" si="95"/>
        <v>0</v>
      </c>
      <c r="U123" s="63">
        <v>0.01</v>
      </c>
      <c r="V123" s="63">
        <f t="shared" si="96"/>
        <v>0.307090438161019</v>
      </c>
      <c r="W123" s="63">
        <f t="shared" si="97"/>
        <v>0.0137073170731707</v>
      </c>
      <c r="X123" s="61">
        <v>0.188</v>
      </c>
      <c r="Y123" s="64">
        <v>0</v>
      </c>
      <c r="Z123" s="64">
        <f>F123*0</f>
        <v>0</v>
      </c>
      <c r="AA123" s="64">
        <f t="shared" si="98"/>
        <v>0.205</v>
      </c>
      <c r="AB123" s="57">
        <f t="shared" si="99"/>
        <v>3.854</v>
      </c>
      <c r="AC123" s="57">
        <v>49</v>
      </c>
      <c r="AD123" s="65">
        <f t="shared" si="100"/>
        <v>43.3628318584071</v>
      </c>
      <c r="AE123" s="62">
        <f t="shared" si="101"/>
        <v>0.875</v>
      </c>
      <c r="AF123" s="63">
        <f t="shared" si="102"/>
        <v>0.26440751133175</v>
      </c>
      <c r="AG123" s="63">
        <f t="shared" si="103"/>
        <v>0.0426829268292683</v>
      </c>
      <c r="AH123" s="62">
        <v>7</v>
      </c>
      <c r="AI123" s="63">
        <f t="shared" si="106"/>
        <v>0.333937979326442</v>
      </c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 t="s">
        <v>600</v>
      </c>
      <c r="AU123" s="66" t="s">
        <v>600</v>
      </c>
      <c r="AV123" s="66" t="s">
        <v>600</v>
      </c>
      <c r="AW123" s="66" t="s">
        <v>600</v>
      </c>
      <c r="AX123" s="66" t="s">
        <v>600</v>
      </c>
      <c r="AY123" s="66" t="s">
        <v>600</v>
      </c>
      <c r="AZ123" s="66" t="s">
        <v>600</v>
      </c>
      <c r="BA123" s="66" t="s">
        <v>600</v>
      </c>
      <c r="BB123" s="66" t="s">
        <v>600</v>
      </c>
      <c r="BC123" s="66" t="s">
        <v>600</v>
      </c>
      <c r="BD123" s="66" t="s">
        <v>600</v>
      </c>
      <c r="BE123" s="66" t="s">
        <v>600</v>
      </c>
      <c r="BF123" s="66" t="s">
        <v>600</v>
      </c>
      <c r="BG123" s="66" t="s">
        <v>600</v>
      </c>
      <c r="BH123" s="66" t="s">
        <v>600</v>
      </c>
      <c r="BI123" s="66" t="s">
        <v>600</v>
      </c>
      <c r="BJ123" s="66" t="s">
        <v>600</v>
      </c>
      <c r="BK123" s="66" t="s">
        <v>600</v>
      </c>
      <c r="BL123" s="66" t="s">
        <v>600</v>
      </c>
      <c r="BM123" s="66" t="s">
        <v>600</v>
      </c>
      <c r="BN123" s="66" t="s">
        <v>600</v>
      </c>
      <c r="BO123" s="66" t="s">
        <v>600</v>
      </c>
      <c r="BP123" s="66" t="s">
        <v>600</v>
      </c>
      <c r="BQ123" s="66" t="s">
        <v>600</v>
      </c>
      <c r="BR123" s="70" t="e">
        <f>IF(E123&lt;#REF!,1,0)</f>
        <v>#REF!</v>
      </c>
      <c r="BS123" s="68" t="s">
        <v>601</v>
      </c>
    </row>
    <row r="124" ht="15.6" spans="1:71">
      <c r="A124" s="53" t="s">
        <v>609</v>
      </c>
      <c r="B124" s="53" t="s">
        <v>27</v>
      </c>
      <c r="C124" s="53" t="s">
        <v>45</v>
      </c>
      <c r="D124" s="170" t="s">
        <v>633</v>
      </c>
      <c r="E124" s="56">
        <v>20.5</v>
      </c>
      <c r="F124" s="56">
        <v>29.99</v>
      </c>
      <c r="G124" s="59">
        <f t="shared" si="85"/>
        <v>29.99</v>
      </c>
      <c r="H124" s="59">
        <f t="shared" si="86"/>
        <v>24.9916666666667</v>
      </c>
      <c r="I124" s="59">
        <f t="shared" si="87"/>
        <v>9.78064601769912</v>
      </c>
      <c r="J124" s="60">
        <f t="shared" si="88"/>
        <v>0.477104683790201</v>
      </c>
      <c r="K124" s="57">
        <f t="shared" si="89"/>
        <v>24.9916666666667</v>
      </c>
      <c r="L124" s="163">
        <f t="shared" si="90"/>
        <v>0.179726575525175</v>
      </c>
      <c r="M124" s="59">
        <f t="shared" si="91"/>
        <v>4.49166666666667</v>
      </c>
      <c r="N124" s="57">
        <f t="shared" si="92"/>
        <v>50.3628318584071</v>
      </c>
      <c r="O124" s="57">
        <f t="shared" si="93"/>
        <v>0.365</v>
      </c>
      <c r="P124" s="53">
        <v>50</v>
      </c>
      <c r="Q124" s="62">
        <v>8</v>
      </c>
      <c r="R124" s="63">
        <f t="shared" si="94"/>
        <v>0</v>
      </c>
      <c r="S124" s="60">
        <f t="shared" si="105"/>
        <v>0</v>
      </c>
      <c r="T124" s="63">
        <f t="shared" si="95"/>
        <v>0</v>
      </c>
      <c r="U124" s="63">
        <v>0.01</v>
      </c>
      <c r="V124" s="63">
        <f t="shared" si="96"/>
        <v>0.307090438161019</v>
      </c>
      <c r="W124" s="63">
        <f t="shared" si="97"/>
        <v>0.0178048780487805</v>
      </c>
      <c r="X124" s="61">
        <v>0.188</v>
      </c>
      <c r="Y124" s="64">
        <v>0</v>
      </c>
      <c r="Z124" s="64">
        <f>F124*0</f>
        <v>0</v>
      </c>
      <c r="AA124" s="64">
        <f t="shared" si="98"/>
        <v>0.205</v>
      </c>
      <c r="AB124" s="57">
        <f t="shared" si="99"/>
        <v>3.854</v>
      </c>
      <c r="AC124" s="57">
        <v>49</v>
      </c>
      <c r="AD124" s="65">
        <f t="shared" si="100"/>
        <v>43.3628318584071</v>
      </c>
      <c r="AE124" s="62">
        <f t="shared" si="101"/>
        <v>0.875</v>
      </c>
      <c r="AF124" s="63">
        <f t="shared" si="102"/>
        <v>0.26440751133175</v>
      </c>
      <c r="AG124" s="63">
        <f t="shared" si="103"/>
        <v>0.0426829268292683</v>
      </c>
      <c r="AH124" s="62">
        <v>7</v>
      </c>
      <c r="AI124" s="63">
        <f t="shared" si="106"/>
        <v>0.333937979326442</v>
      </c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 t="s">
        <v>600</v>
      </c>
      <c r="AU124" s="66" t="s">
        <v>600</v>
      </c>
      <c r="AV124" s="66" t="s">
        <v>600</v>
      </c>
      <c r="AW124" s="66" t="s">
        <v>600</v>
      </c>
      <c r="AX124" s="66" t="s">
        <v>600</v>
      </c>
      <c r="AY124" s="66" t="s">
        <v>600</v>
      </c>
      <c r="AZ124" s="66" t="s">
        <v>600</v>
      </c>
      <c r="BA124" s="66" t="s">
        <v>600</v>
      </c>
      <c r="BB124" s="66" t="s">
        <v>600</v>
      </c>
      <c r="BC124" s="66" t="s">
        <v>600</v>
      </c>
      <c r="BD124" s="66" t="s">
        <v>600</v>
      </c>
      <c r="BE124" s="66" t="s">
        <v>600</v>
      </c>
      <c r="BF124" s="66" t="s">
        <v>600</v>
      </c>
      <c r="BG124" s="66" t="s">
        <v>600</v>
      </c>
      <c r="BH124" s="66" t="s">
        <v>600</v>
      </c>
      <c r="BI124" s="66" t="s">
        <v>600</v>
      </c>
      <c r="BJ124" s="66" t="s">
        <v>600</v>
      </c>
      <c r="BK124" s="66" t="s">
        <v>600</v>
      </c>
      <c r="BL124" s="66" t="s">
        <v>600</v>
      </c>
      <c r="BM124" s="66" t="s">
        <v>600</v>
      </c>
      <c r="BN124" s="66" t="s">
        <v>600</v>
      </c>
      <c r="BO124" s="66" t="s">
        <v>600</v>
      </c>
      <c r="BP124" s="66" t="s">
        <v>600</v>
      </c>
      <c r="BQ124" s="66" t="s">
        <v>600</v>
      </c>
      <c r="BR124" s="70" t="e">
        <f>IF(E124&lt;#REF!,1,0)</f>
        <v>#REF!</v>
      </c>
      <c r="BS124" s="68" t="s">
        <v>601</v>
      </c>
    </row>
    <row r="125" ht="15.6" spans="1:71">
      <c r="A125" s="53" t="s">
        <v>611</v>
      </c>
      <c r="B125" s="53" t="s">
        <v>27</v>
      </c>
      <c r="C125" s="53" t="s">
        <v>45</v>
      </c>
      <c r="D125" s="170" t="s">
        <v>634</v>
      </c>
      <c r="E125" s="56">
        <v>20.5</v>
      </c>
      <c r="F125" s="56">
        <v>29.99</v>
      </c>
      <c r="G125" s="59">
        <f t="shared" si="85"/>
        <v>29.99</v>
      </c>
      <c r="H125" s="59">
        <f t="shared" si="86"/>
        <v>24.9916666666667</v>
      </c>
      <c r="I125" s="59">
        <f t="shared" si="87"/>
        <v>9.86064601769912</v>
      </c>
      <c r="J125" s="60">
        <f t="shared" si="88"/>
        <v>0.481007122814591</v>
      </c>
      <c r="K125" s="57">
        <f t="shared" si="89"/>
        <v>24.9916666666667</v>
      </c>
      <c r="L125" s="163">
        <f t="shared" si="90"/>
        <v>0.179726575525175</v>
      </c>
      <c r="M125" s="59">
        <f t="shared" si="91"/>
        <v>4.49166666666667</v>
      </c>
      <c r="N125" s="57">
        <f t="shared" si="92"/>
        <v>50.3628318584071</v>
      </c>
      <c r="O125" s="57">
        <f t="shared" si="93"/>
        <v>0.285</v>
      </c>
      <c r="P125" s="53">
        <v>50</v>
      </c>
      <c r="Q125" s="62">
        <v>8</v>
      </c>
      <c r="R125" s="63">
        <f t="shared" si="94"/>
        <v>0</v>
      </c>
      <c r="S125" s="60">
        <f t="shared" si="105"/>
        <v>0</v>
      </c>
      <c r="T125" s="63">
        <f t="shared" si="95"/>
        <v>0</v>
      </c>
      <c r="U125" s="63">
        <v>0.01</v>
      </c>
      <c r="V125" s="63">
        <f t="shared" si="96"/>
        <v>0.307090438161019</v>
      </c>
      <c r="W125" s="63">
        <f t="shared" si="97"/>
        <v>0.0139024390243902</v>
      </c>
      <c r="X125" s="61">
        <v>0.188</v>
      </c>
      <c r="Y125" s="64">
        <v>0</v>
      </c>
      <c r="Z125" s="64">
        <f>F125*0</f>
        <v>0</v>
      </c>
      <c r="AA125" s="64">
        <f t="shared" si="98"/>
        <v>0.205</v>
      </c>
      <c r="AB125" s="57">
        <f t="shared" si="99"/>
        <v>3.854</v>
      </c>
      <c r="AC125" s="57">
        <v>49</v>
      </c>
      <c r="AD125" s="65">
        <f t="shared" si="100"/>
        <v>43.3628318584071</v>
      </c>
      <c r="AE125" s="62">
        <f t="shared" si="101"/>
        <v>0.875</v>
      </c>
      <c r="AF125" s="63">
        <f t="shared" si="102"/>
        <v>0.26440751133175</v>
      </c>
      <c r="AG125" s="63">
        <f t="shared" si="103"/>
        <v>0.0426829268292683</v>
      </c>
      <c r="AH125" s="62">
        <v>7</v>
      </c>
      <c r="AI125" s="63">
        <f t="shared" si="106"/>
        <v>0.333937979326442</v>
      </c>
      <c r="AJ125" s="63"/>
      <c r="AK125" s="63"/>
      <c r="AL125" s="63"/>
      <c r="AM125" s="63"/>
      <c r="AN125" s="66"/>
      <c r="AO125" s="66"/>
      <c r="AP125" s="66"/>
      <c r="AQ125" s="66"/>
      <c r="AR125" s="66"/>
      <c r="AS125" s="66"/>
      <c r="AT125" s="66" t="s">
        <v>600</v>
      </c>
      <c r="AU125" s="66" t="s">
        <v>600</v>
      </c>
      <c r="AV125" s="66" t="s">
        <v>600</v>
      </c>
      <c r="AW125" s="66" t="s">
        <v>600</v>
      </c>
      <c r="AX125" s="66" t="s">
        <v>600</v>
      </c>
      <c r="AY125" s="66" t="s">
        <v>600</v>
      </c>
      <c r="AZ125" s="66" t="s">
        <v>600</v>
      </c>
      <c r="BA125" s="66" t="s">
        <v>600</v>
      </c>
      <c r="BB125" s="66" t="s">
        <v>600</v>
      </c>
      <c r="BC125" s="66" t="s">
        <v>600</v>
      </c>
      <c r="BD125" s="66" t="s">
        <v>600</v>
      </c>
      <c r="BE125" s="66" t="s">
        <v>600</v>
      </c>
      <c r="BF125" s="66" t="s">
        <v>600</v>
      </c>
      <c r="BG125" s="66" t="s">
        <v>600</v>
      </c>
      <c r="BH125" s="66" t="s">
        <v>600</v>
      </c>
      <c r="BI125" s="66" t="s">
        <v>600</v>
      </c>
      <c r="BJ125" s="66" t="s">
        <v>600</v>
      </c>
      <c r="BK125" s="66" t="s">
        <v>600</v>
      </c>
      <c r="BL125" s="66" t="s">
        <v>600</v>
      </c>
      <c r="BM125" s="66" t="s">
        <v>600</v>
      </c>
      <c r="BN125" s="66" t="s">
        <v>600</v>
      </c>
      <c r="BO125" s="66" t="s">
        <v>600</v>
      </c>
      <c r="BP125" s="66" t="s">
        <v>600</v>
      </c>
      <c r="BQ125" s="66" t="s">
        <v>600</v>
      </c>
      <c r="BR125" s="70" t="e">
        <f>IF(E125&lt;#REF!,1,0)</f>
        <v>#REF!</v>
      </c>
      <c r="BS125" s="68" t="s">
        <v>601</v>
      </c>
    </row>
    <row r="126" ht="15.6" spans="1:71">
      <c r="A126" s="15"/>
      <c r="B126" s="15"/>
      <c r="C126" s="15"/>
      <c r="D126" s="15"/>
      <c r="E126" s="57"/>
      <c r="F126" s="69"/>
      <c r="G126" s="59">
        <f t="shared" si="85"/>
        <v>0</v>
      </c>
      <c r="H126" s="59"/>
      <c r="I126" s="59"/>
      <c r="J126" s="60"/>
      <c r="K126" s="57"/>
      <c r="L126" s="57"/>
      <c r="M126" s="57"/>
      <c r="N126" s="57"/>
      <c r="O126" s="57"/>
      <c r="P126" s="53"/>
      <c r="Q126" s="62"/>
      <c r="R126" s="63"/>
      <c r="S126" s="60"/>
      <c r="T126" s="63"/>
      <c r="U126" s="63"/>
      <c r="V126" s="63"/>
      <c r="W126" s="63"/>
      <c r="X126" s="61"/>
      <c r="Y126" s="64"/>
      <c r="Z126" s="64"/>
      <c r="AA126" s="64"/>
      <c r="AB126" s="57"/>
      <c r="AC126" s="57"/>
      <c r="AD126" s="65"/>
      <c r="AE126" s="62"/>
      <c r="AF126" s="63"/>
      <c r="AG126" s="63"/>
      <c r="AH126" s="62"/>
      <c r="AI126" s="63"/>
      <c r="AJ126" s="63"/>
      <c r="AK126" s="63"/>
      <c r="AL126" s="63"/>
      <c r="AM126" s="63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70"/>
      <c r="BS126" s="68"/>
    </row>
    <row r="127" ht="15.6" spans="1:71">
      <c r="A127" s="53" t="s">
        <v>277</v>
      </c>
      <c r="B127" s="53" t="s">
        <v>27</v>
      </c>
      <c r="C127" s="53" t="s">
        <v>36</v>
      </c>
      <c r="D127" s="168" t="s">
        <v>635</v>
      </c>
      <c r="E127" s="58">
        <v>24</v>
      </c>
      <c r="F127" s="167">
        <v>34.99</v>
      </c>
      <c r="G127" s="59">
        <f t="shared" si="85"/>
        <v>34.99</v>
      </c>
      <c r="H127" s="59">
        <f t="shared" ref="H127:H142" si="107">(F127-Z127)/1.2</f>
        <v>29.1583333333333</v>
      </c>
      <c r="I127" s="59">
        <f t="shared" ref="I127:I142" si="108">E127-N127/Q127-AB127-Y127-O127-Z127-AA127</f>
        <v>4.78749115044248</v>
      </c>
      <c r="J127" s="60">
        <f t="shared" ref="J127:J142" si="109">I127/E127</f>
        <v>0.199478797935103</v>
      </c>
      <c r="K127" s="57">
        <f t="shared" ref="K127:K142" si="110">F127/1.2</f>
        <v>29.1583333333333</v>
      </c>
      <c r="L127" s="163">
        <f t="shared" ref="L127:L142" si="111">(K127-E127)/K127</f>
        <v>0.176907687910832</v>
      </c>
      <c r="M127" s="59">
        <f t="shared" ref="M127:M142" si="112">F127/1.2-E127</f>
        <v>5.15833333333333</v>
      </c>
      <c r="N127" s="57">
        <f t="shared" ref="N127:N142" si="113">AD127+AH127</f>
        <v>96.5840707964602</v>
      </c>
      <c r="O127" s="57">
        <f t="shared" ref="O127:O142" si="114">IFERROR(IF(A127="UK",8.95/P127,IF(A127="DE",7.75/P127,IF(A127="FR",14.25/P127,IF(A127="IT",15.25/P127,IF(A127="ES",19.25/P127,IF(A127="NL",16.75/P127,IF(A127="PL",14.05/P127,IF(A127="SE",18.25/P127,IF(A127="BE",14.25/P127))))))))),0)</f>
        <v>0.3875</v>
      </c>
      <c r="P127" s="68">
        <v>20</v>
      </c>
      <c r="Q127" s="62">
        <v>8</v>
      </c>
      <c r="R127" s="63">
        <f t="shared" ref="R127:R142" si="115">Y127/E127</f>
        <v>0.0833333333333333</v>
      </c>
      <c r="S127" s="60">
        <f t="shared" ref="S127:S142" si="116">Y127/F127</f>
        <v>0.0571591883395256</v>
      </c>
      <c r="T127" s="63">
        <f t="shared" ref="T127:T142" si="117">Z127/E127</f>
        <v>0</v>
      </c>
      <c r="U127" s="63">
        <v>0.01</v>
      </c>
      <c r="V127" s="63">
        <f t="shared" ref="V127:V142" si="118">N127/(E127*Q127)</f>
        <v>0.50304203539823</v>
      </c>
      <c r="W127" s="63">
        <f t="shared" ref="W127:W142" si="119">O127/E127</f>
        <v>0.0161458333333333</v>
      </c>
      <c r="X127" s="61">
        <v>0.188</v>
      </c>
      <c r="Y127" s="64">
        <v>2</v>
      </c>
      <c r="Z127" s="64">
        <v>0</v>
      </c>
      <c r="AA127" s="64">
        <f t="shared" ref="AA127:AA142" si="120">E127*U127</f>
        <v>0.24</v>
      </c>
      <c r="AB127" s="57">
        <f t="shared" ref="AB127:AB142" si="121">E127*X127</f>
        <v>4.512</v>
      </c>
      <c r="AC127" s="57">
        <v>100.1</v>
      </c>
      <c r="AD127" s="65">
        <f t="shared" ref="AD127:AD142" si="122">AC127/1.13</f>
        <v>88.5840707964602</v>
      </c>
      <c r="AE127" s="62">
        <f t="shared" ref="AE127:AE142" si="123">AH127/Q127</f>
        <v>1</v>
      </c>
      <c r="AF127" s="63">
        <f t="shared" ref="AF127:AF142" si="124">AD127/(E127*Q127)</f>
        <v>0.461375368731563</v>
      </c>
      <c r="AG127" s="63">
        <f t="shared" ref="AG127:AG142" si="125">AE127/Q127/E127</f>
        <v>0.00520833333333333</v>
      </c>
      <c r="AH127" s="62">
        <v>8</v>
      </c>
      <c r="AI127" s="63">
        <f>(H127-E127+AB127)/H127</f>
        <v>0.331649042583595</v>
      </c>
      <c r="AJ127" s="63"/>
      <c r="AK127" s="63"/>
      <c r="AL127" s="63"/>
      <c r="AM127" s="63"/>
      <c r="AN127" s="66"/>
      <c r="AO127" s="66"/>
      <c r="AP127" s="66"/>
      <c r="AQ127" s="66"/>
      <c r="AR127" s="66"/>
      <c r="AS127" s="66"/>
      <c r="AT127" s="66" t="s">
        <v>600</v>
      </c>
      <c r="AU127" s="66" t="s">
        <v>600</v>
      </c>
      <c r="AV127" s="66" t="s">
        <v>600</v>
      </c>
      <c r="AW127" s="66" t="s">
        <v>600</v>
      </c>
      <c r="AX127" s="66" t="s">
        <v>600</v>
      </c>
      <c r="AY127" s="66" t="s">
        <v>600</v>
      </c>
      <c r="AZ127" s="66" t="s">
        <v>600</v>
      </c>
      <c r="BA127" s="66" t="s">
        <v>600</v>
      </c>
      <c r="BB127" s="66" t="s">
        <v>600</v>
      </c>
      <c r="BC127" s="66" t="s">
        <v>600</v>
      </c>
      <c r="BD127" s="66" t="s">
        <v>600</v>
      </c>
      <c r="BE127" s="66" t="s">
        <v>600</v>
      </c>
      <c r="BF127" s="66" t="s">
        <v>600</v>
      </c>
      <c r="BG127" s="66" t="s">
        <v>600</v>
      </c>
      <c r="BH127" s="66" t="s">
        <v>600</v>
      </c>
      <c r="BI127" s="66" t="s">
        <v>600</v>
      </c>
      <c r="BJ127" s="66" t="s">
        <v>600</v>
      </c>
      <c r="BK127" s="66" t="s">
        <v>600</v>
      </c>
      <c r="BL127" s="66" t="s">
        <v>600</v>
      </c>
      <c r="BM127" s="66" t="s">
        <v>600</v>
      </c>
      <c r="BN127" s="66" t="s">
        <v>600</v>
      </c>
      <c r="BO127" s="66" t="s">
        <v>600</v>
      </c>
      <c r="BP127" s="66" t="s">
        <v>600</v>
      </c>
      <c r="BQ127" s="66" t="s">
        <v>600</v>
      </c>
      <c r="BR127" s="164"/>
      <c r="BS127" s="68" t="s">
        <v>601</v>
      </c>
    </row>
    <row r="128" ht="15.6" spans="1:71">
      <c r="A128" s="53" t="s">
        <v>277</v>
      </c>
      <c r="B128" s="53" t="s">
        <v>27</v>
      </c>
      <c r="C128" s="53" t="s">
        <v>36</v>
      </c>
      <c r="D128" s="168" t="s">
        <v>636</v>
      </c>
      <c r="E128" s="58">
        <v>24</v>
      </c>
      <c r="F128" s="56">
        <v>34.99</v>
      </c>
      <c r="G128" s="59">
        <f t="shared" si="85"/>
        <v>31.491</v>
      </c>
      <c r="H128" s="59">
        <f t="shared" si="107"/>
        <v>26.2425</v>
      </c>
      <c r="I128" s="165">
        <f t="shared" si="108"/>
        <v>1.28849115044248</v>
      </c>
      <c r="J128" s="60">
        <f t="shared" si="109"/>
        <v>0.0536871312684365</v>
      </c>
      <c r="K128" s="57">
        <f t="shared" si="110"/>
        <v>29.1583333333333</v>
      </c>
      <c r="L128" s="163">
        <f t="shared" si="111"/>
        <v>0.176907687910832</v>
      </c>
      <c r="M128" s="59">
        <f t="shared" si="112"/>
        <v>5.15833333333333</v>
      </c>
      <c r="N128" s="57">
        <f t="shared" si="113"/>
        <v>96.5840707964602</v>
      </c>
      <c r="O128" s="57">
        <f t="shared" si="114"/>
        <v>0.3875</v>
      </c>
      <c r="P128" s="53">
        <v>20</v>
      </c>
      <c r="Q128" s="62">
        <v>8</v>
      </c>
      <c r="R128" s="63">
        <f t="shared" si="115"/>
        <v>0.0833333333333333</v>
      </c>
      <c r="S128" s="60">
        <f t="shared" si="116"/>
        <v>0.0571591883395256</v>
      </c>
      <c r="T128" s="63">
        <f t="shared" si="117"/>
        <v>0.145791666666667</v>
      </c>
      <c r="U128" s="63">
        <v>0.01</v>
      </c>
      <c r="V128" s="63">
        <f t="shared" si="118"/>
        <v>0.50304203539823</v>
      </c>
      <c r="W128" s="63">
        <f t="shared" si="119"/>
        <v>0.0161458333333333</v>
      </c>
      <c r="X128" s="61">
        <v>0.188</v>
      </c>
      <c r="Y128" s="64">
        <v>2</v>
      </c>
      <c r="Z128" s="64">
        <f>F128*0.1</f>
        <v>3.499</v>
      </c>
      <c r="AA128" s="64">
        <f t="shared" si="120"/>
        <v>0.24</v>
      </c>
      <c r="AB128" s="57">
        <f t="shared" si="121"/>
        <v>4.512</v>
      </c>
      <c r="AC128" s="57">
        <v>100.1</v>
      </c>
      <c r="AD128" s="65">
        <f t="shared" si="122"/>
        <v>88.5840707964602</v>
      </c>
      <c r="AE128" s="62">
        <f t="shared" si="123"/>
        <v>1</v>
      </c>
      <c r="AF128" s="63">
        <f t="shared" si="124"/>
        <v>0.461375368731563</v>
      </c>
      <c r="AG128" s="63">
        <f t="shared" si="125"/>
        <v>0.00520833333333333</v>
      </c>
      <c r="AH128" s="62">
        <v>8</v>
      </c>
      <c r="AI128" s="63">
        <f>(H128-E128+AB128)/H128</f>
        <v>0.257387825092884</v>
      </c>
      <c r="AJ128" s="63"/>
      <c r="AK128" s="63"/>
      <c r="AL128" s="63"/>
      <c r="AM128" s="63"/>
      <c r="AN128" s="66"/>
      <c r="AO128" s="66"/>
      <c r="AP128" s="66"/>
      <c r="AQ128" s="66"/>
      <c r="AR128" s="66"/>
      <c r="AS128" s="66"/>
      <c r="AT128" s="66" t="s">
        <v>600</v>
      </c>
      <c r="AU128" s="66" t="s">
        <v>600</v>
      </c>
      <c r="AV128" s="66" t="s">
        <v>600</v>
      </c>
      <c r="AW128" s="66" t="s">
        <v>600</v>
      </c>
      <c r="AX128" s="66" t="s">
        <v>600</v>
      </c>
      <c r="AY128" s="66" t="s">
        <v>600</v>
      </c>
      <c r="AZ128" s="66" t="s">
        <v>600</v>
      </c>
      <c r="BA128" s="66" t="s">
        <v>600</v>
      </c>
      <c r="BB128" s="66" t="s">
        <v>600</v>
      </c>
      <c r="BC128" s="66" t="s">
        <v>600</v>
      </c>
      <c r="BD128" s="66" t="s">
        <v>600</v>
      </c>
      <c r="BE128" s="66" t="s">
        <v>600</v>
      </c>
      <c r="BF128" s="66" t="s">
        <v>600</v>
      </c>
      <c r="BG128" s="66" t="s">
        <v>600</v>
      </c>
      <c r="BH128" s="66" t="s">
        <v>600</v>
      </c>
      <c r="BI128" s="66" t="s">
        <v>600</v>
      </c>
      <c r="BJ128" s="66" t="s">
        <v>600</v>
      </c>
      <c r="BK128" s="66" t="s">
        <v>600</v>
      </c>
      <c r="BL128" s="66" t="s">
        <v>600</v>
      </c>
      <c r="BM128" s="66" t="s">
        <v>600</v>
      </c>
      <c r="BN128" s="66" t="s">
        <v>600</v>
      </c>
      <c r="BO128" s="66" t="s">
        <v>600</v>
      </c>
      <c r="BP128" s="66" t="s">
        <v>600</v>
      </c>
      <c r="BQ128" s="66" t="s">
        <v>600</v>
      </c>
      <c r="BR128" s="164"/>
      <c r="BS128" s="68" t="s">
        <v>601</v>
      </c>
    </row>
    <row r="129" ht="15.6" spans="1:71">
      <c r="A129" s="53" t="s">
        <v>277</v>
      </c>
      <c r="B129" s="53" t="s">
        <v>27</v>
      </c>
      <c r="C129" s="53" t="s">
        <v>36</v>
      </c>
      <c r="D129" s="168" t="s">
        <v>637</v>
      </c>
      <c r="E129" s="58">
        <v>24</v>
      </c>
      <c r="F129" s="56">
        <v>34.99</v>
      </c>
      <c r="G129" s="59">
        <f t="shared" si="85"/>
        <v>29.7415</v>
      </c>
      <c r="H129" s="59">
        <f t="shared" si="107"/>
        <v>24.7845833333333</v>
      </c>
      <c r="I129" s="59">
        <f t="shared" si="108"/>
        <v>-0.461008849557523</v>
      </c>
      <c r="J129" s="60">
        <f t="shared" si="109"/>
        <v>-0.0192087020648968</v>
      </c>
      <c r="K129" s="57">
        <f t="shared" si="110"/>
        <v>29.1583333333333</v>
      </c>
      <c r="L129" s="163">
        <f t="shared" si="111"/>
        <v>0.176907687910832</v>
      </c>
      <c r="M129" s="59">
        <f t="shared" si="112"/>
        <v>5.15833333333333</v>
      </c>
      <c r="N129" s="57">
        <f t="shared" si="113"/>
        <v>96.5840707964602</v>
      </c>
      <c r="O129" s="57">
        <f t="shared" si="114"/>
        <v>0.3875</v>
      </c>
      <c r="P129" s="53">
        <v>20</v>
      </c>
      <c r="Q129" s="62">
        <v>8</v>
      </c>
      <c r="R129" s="63">
        <f t="shared" si="115"/>
        <v>0.0833333333333333</v>
      </c>
      <c r="S129" s="60">
        <f t="shared" si="116"/>
        <v>0.0571591883395256</v>
      </c>
      <c r="T129" s="63">
        <f t="shared" si="117"/>
        <v>0.2186875</v>
      </c>
      <c r="U129" s="63">
        <v>0.01</v>
      </c>
      <c r="V129" s="63">
        <f t="shared" si="118"/>
        <v>0.50304203539823</v>
      </c>
      <c r="W129" s="63">
        <f t="shared" si="119"/>
        <v>0.0161458333333333</v>
      </c>
      <c r="X129" s="61">
        <v>0.188</v>
      </c>
      <c r="Y129" s="64">
        <v>2</v>
      </c>
      <c r="Z129" s="64">
        <f>F129*0.15</f>
        <v>5.2485</v>
      </c>
      <c r="AA129" s="64">
        <f t="shared" si="120"/>
        <v>0.24</v>
      </c>
      <c r="AB129" s="57">
        <f t="shared" si="121"/>
        <v>4.512</v>
      </c>
      <c r="AC129" s="57">
        <v>100.1</v>
      </c>
      <c r="AD129" s="65">
        <f t="shared" si="122"/>
        <v>88.5840707964602</v>
      </c>
      <c r="AE129" s="62">
        <f t="shared" si="123"/>
        <v>1</v>
      </c>
      <c r="AF129" s="63">
        <f t="shared" si="124"/>
        <v>0.461375368731563</v>
      </c>
      <c r="AG129" s="63">
        <f t="shared" si="125"/>
        <v>0.00520833333333333</v>
      </c>
      <c r="AH129" s="62">
        <v>8</v>
      </c>
      <c r="AI129" s="63">
        <f>(H129-E129+AB129)/H129</f>
        <v>0.213704755980701</v>
      </c>
      <c r="AJ129" s="63"/>
      <c r="AK129" s="63"/>
      <c r="AL129" s="63"/>
      <c r="AM129" s="63"/>
      <c r="AN129" s="66"/>
      <c r="AO129" s="66"/>
      <c r="AP129" s="66"/>
      <c r="AQ129" s="66"/>
      <c r="AR129" s="66"/>
      <c r="AS129" s="66"/>
      <c r="AT129" s="66" t="s">
        <v>600</v>
      </c>
      <c r="AU129" s="66" t="s">
        <v>600</v>
      </c>
      <c r="AV129" s="66" t="s">
        <v>600</v>
      </c>
      <c r="AW129" s="66" t="s">
        <v>600</v>
      </c>
      <c r="AX129" s="66" t="s">
        <v>600</v>
      </c>
      <c r="AY129" s="66" t="s">
        <v>600</v>
      </c>
      <c r="AZ129" s="66" t="s">
        <v>600</v>
      </c>
      <c r="BA129" s="66" t="s">
        <v>600</v>
      </c>
      <c r="BB129" s="66" t="s">
        <v>600</v>
      </c>
      <c r="BC129" s="66" t="s">
        <v>600</v>
      </c>
      <c r="BD129" s="66" t="s">
        <v>600</v>
      </c>
      <c r="BE129" s="66" t="s">
        <v>600</v>
      </c>
      <c r="BF129" s="66" t="s">
        <v>600</v>
      </c>
      <c r="BG129" s="66" t="s">
        <v>600</v>
      </c>
      <c r="BH129" s="66" t="s">
        <v>600</v>
      </c>
      <c r="BI129" s="66" t="s">
        <v>600</v>
      </c>
      <c r="BJ129" s="66" t="s">
        <v>600</v>
      </c>
      <c r="BK129" s="66" t="s">
        <v>600</v>
      </c>
      <c r="BL129" s="66" t="s">
        <v>600</v>
      </c>
      <c r="BM129" s="66" t="s">
        <v>600</v>
      </c>
      <c r="BN129" s="66" t="s">
        <v>600</v>
      </c>
      <c r="BO129" s="66" t="s">
        <v>600</v>
      </c>
      <c r="BP129" s="66" t="s">
        <v>600</v>
      </c>
      <c r="BQ129" s="66" t="s">
        <v>600</v>
      </c>
      <c r="BR129" s="164"/>
      <c r="BS129" s="68" t="s">
        <v>601</v>
      </c>
    </row>
    <row r="130" ht="15.6" spans="1:71">
      <c r="A130" s="53" t="s">
        <v>511</v>
      </c>
      <c r="B130" s="53" t="s">
        <v>27</v>
      </c>
      <c r="C130" s="53" t="s">
        <v>36</v>
      </c>
      <c r="D130" s="168" t="s">
        <v>635</v>
      </c>
      <c r="E130" s="58">
        <v>24</v>
      </c>
      <c r="F130" s="56">
        <v>34.99</v>
      </c>
      <c r="G130" s="59">
        <f t="shared" si="85"/>
        <v>34.99</v>
      </c>
      <c r="H130" s="59">
        <f t="shared" si="107"/>
        <v>29.1583333333333</v>
      </c>
      <c r="I130" s="59">
        <f t="shared" si="108"/>
        <v>4.46249115044248</v>
      </c>
      <c r="J130" s="60">
        <f t="shared" si="109"/>
        <v>0.185937131268437</v>
      </c>
      <c r="K130" s="57">
        <f t="shared" si="110"/>
        <v>29.1583333333333</v>
      </c>
      <c r="L130" s="163">
        <f t="shared" si="111"/>
        <v>0.176907687910832</v>
      </c>
      <c r="M130" s="59">
        <f t="shared" si="112"/>
        <v>5.15833333333333</v>
      </c>
      <c r="N130" s="57">
        <f t="shared" si="113"/>
        <v>96.5840707964602</v>
      </c>
      <c r="O130" s="57">
        <f t="shared" si="114"/>
        <v>0.7125</v>
      </c>
      <c r="P130" s="53">
        <v>20</v>
      </c>
      <c r="Q130" s="62">
        <v>8</v>
      </c>
      <c r="R130" s="63">
        <f t="shared" si="115"/>
        <v>0.0833333333333333</v>
      </c>
      <c r="S130" s="60">
        <f t="shared" si="116"/>
        <v>0.0571591883395256</v>
      </c>
      <c r="T130" s="63">
        <f t="shared" si="117"/>
        <v>0</v>
      </c>
      <c r="U130" s="63">
        <v>0.01</v>
      </c>
      <c r="V130" s="63">
        <f t="shared" si="118"/>
        <v>0.50304203539823</v>
      </c>
      <c r="W130" s="63">
        <f t="shared" si="119"/>
        <v>0.0296875</v>
      </c>
      <c r="X130" s="61">
        <v>0.188</v>
      </c>
      <c r="Y130" s="64">
        <v>2</v>
      </c>
      <c r="Z130" s="64">
        <v>0</v>
      </c>
      <c r="AA130" s="64">
        <f t="shared" si="120"/>
        <v>0.24</v>
      </c>
      <c r="AB130" s="57">
        <f t="shared" si="121"/>
        <v>4.512</v>
      </c>
      <c r="AC130" s="57">
        <v>100.1</v>
      </c>
      <c r="AD130" s="65">
        <f t="shared" si="122"/>
        <v>88.5840707964602</v>
      </c>
      <c r="AE130" s="62">
        <f t="shared" si="123"/>
        <v>1</v>
      </c>
      <c r="AF130" s="63">
        <f t="shared" si="124"/>
        <v>0.461375368731563</v>
      </c>
      <c r="AG130" s="63">
        <f t="shared" si="125"/>
        <v>0.00520833333333333</v>
      </c>
      <c r="AH130" s="62">
        <v>8</v>
      </c>
      <c r="AI130" s="63">
        <f>(H130-E130+AB130)/H130</f>
        <v>0.331649042583595</v>
      </c>
      <c r="AJ130" s="63"/>
      <c r="AK130" s="63"/>
      <c r="AL130" s="63"/>
      <c r="AM130" s="63"/>
      <c r="AN130" s="66"/>
      <c r="AO130" s="66"/>
      <c r="AP130" s="66"/>
      <c r="AQ130" s="66"/>
      <c r="AR130" s="66"/>
      <c r="AS130" s="66"/>
      <c r="AT130" s="66" t="s">
        <v>600</v>
      </c>
      <c r="AU130" s="66" t="s">
        <v>600</v>
      </c>
      <c r="AV130" s="66" t="s">
        <v>600</v>
      </c>
      <c r="AW130" s="66" t="s">
        <v>600</v>
      </c>
      <c r="AX130" s="66" t="s">
        <v>600</v>
      </c>
      <c r="AY130" s="66" t="s">
        <v>600</v>
      </c>
      <c r="AZ130" s="66" t="s">
        <v>600</v>
      </c>
      <c r="BA130" s="66" t="s">
        <v>600</v>
      </c>
      <c r="BB130" s="66" t="s">
        <v>600</v>
      </c>
      <c r="BC130" s="66" t="s">
        <v>600</v>
      </c>
      <c r="BD130" s="66" t="s">
        <v>600</v>
      </c>
      <c r="BE130" s="66" t="s">
        <v>600</v>
      </c>
      <c r="BF130" s="66" t="s">
        <v>600</v>
      </c>
      <c r="BG130" s="66" t="s">
        <v>600</v>
      </c>
      <c r="BH130" s="66" t="s">
        <v>600</v>
      </c>
      <c r="BI130" s="66" t="s">
        <v>600</v>
      </c>
      <c r="BJ130" s="66" t="s">
        <v>600</v>
      </c>
      <c r="BK130" s="66" t="s">
        <v>600</v>
      </c>
      <c r="BL130" s="66" t="s">
        <v>600</v>
      </c>
      <c r="BM130" s="66" t="s">
        <v>600</v>
      </c>
      <c r="BN130" s="66" t="s">
        <v>600</v>
      </c>
      <c r="BO130" s="66" t="s">
        <v>600</v>
      </c>
      <c r="BP130" s="66" t="s">
        <v>600</v>
      </c>
      <c r="BQ130" s="66" t="s">
        <v>600</v>
      </c>
      <c r="BR130" s="164"/>
      <c r="BS130" s="68" t="s">
        <v>601</v>
      </c>
    </row>
    <row r="131" ht="15.6" spans="1:71">
      <c r="A131" s="53" t="s">
        <v>511</v>
      </c>
      <c r="B131" s="53" t="s">
        <v>27</v>
      </c>
      <c r="C131" s="53" t="s">
        <v>36</v>
      </c>
      <c r="D131" s="168" t="s">
        <v>636</v>
      </c>
      <c r="E131" s="58">
        <v>24</v>
      </c>
      <c r="F131" s="56">
        <v>34.99</v>
      </c>
      <c r="G131" s="59">
        <f t="shared" si="85"/>
        <v>31.491</v>
      </c>
      <c r="H131" s="59">
        <f t="shared" si="107"/>
        <v>26.2425</v>
      </c>
      <c r="I131" s="165">
        <f t="shared" si="108"/>
        <v>0.963491150442476</v>
      </c>
      <c r="J131" s="60">
        <f t="shared" si="109"/>
        <v>0.0401454646017698</v>
      </c>
      <c r="K131" s="57">
        <f t="shared" si="110"/>
        <v>29.1583333333333</v>
      </c>
      <c r="L131" s="163">
        <f t="shared" si="111"/>
        <v>0.176907687910832</v>
      </c>
      <c r="M131" s="59">
        <f t="shared" si="112"/>
        <v>5.15833333333333</v>
      </c>
      <c r="N131" s="57">
        <f t="shared" si="113"/>
        <v>96.5840707964602</v>
      </c>
      <c r="O131" s="57">
        <f t="shared" si="114"/>
        <v>0.7125</v>
      </c>
      <c r="P131" s="53">
        <v>20</v>
      </c>
      <c r="Q131" s="62">
        <v>8</v>
      </c>
      <c r="R131" s="63">
        <f t="shared" si="115"/>
        <v>0.0833333333333333</v>
      </c>
      <c r="S131" s="60">
        <f t="shared" si="116"/>
        <v>0.0571591883395256</v>
      </c>
      <c r="T131" s="63">
        <f t="shared" si="117"/>
        <v>0.145791666666667</v>
      </c>
      <c r="U131" s="63">
        <v>0.01</v>
      </c>
      <c r="V131" s="63">
        <f t="shared" si="118"/>
        <v>0.50304203539823</v>
      </c>
      <c r="W131" s="63">
        <f t="shared" si="119"/>
        <v>0.0296875</v>
      </c>
      <c r="X131" s="61">
        <v>0.188</v>
      </c>
      <c r="Y131" s="64">
        <v>2</v>
      </c>
      <c r="Z131" s="64">
        <f>F131*0.1</f>
        <v>3.499</v>
      </c>
      <c r="AA131" s="64">
        <f t="shared" si="120"/>
        <v>0.24</v>
      </c>
      <c r="AB131" s="57">
        <f t="shared" si="121"/>
        <v>4.512</v>
      </c>
      <c r="AC131" s="57">
        <v>100.1</v>
      </c>
      <c r="AD131" s="65">
        <f t="shared" si="122"/>
        <v>88.5840707964602</v>
      </c>
      <c r="AE131" s="62">
        <f t="shared" si="123"/>
        <v>1</v>
      </c>
      <c r="AF131" s="63">
        <f t="shared" si="124"/>
        <v>0.461375368731563</v>
      </c>
      <c r="AG131" s="63">
        <f t="shared" si="125"/>
        <v>0.00520833333333333</v>
      </c>
      <c r="AH131" s="62">
        <v>8</v>
      </c>
      <c r="AI131" s="63">
        <f>(H131-E131+AB131)/H131</f>
        <v>0.257387825092884</v>
      </c>
      <c r="AJ131" s="63"/>
      <c r="AK131" s="63"/>
      <c r="AL131" s="63"/>
      <c r="AM131" s="63"/>
      <c r="AN131" s="66"/>
      <c r="AO131" s="66"/>
      <c r="AP131" s="66"/>
      <c r="AQ131" s="66"/>
      <c r="AR131" s="66"/>
      <c r="AS131" s="66"/>
      <c r="AT131" s="66" t="s">
        <v>600</v>
      </c>
      <c r="AU131" s="66" t="s">
        <v>600</v>
      </c>
      <c r="AV131" s="66" t="s">
        <v>600</v>
      </c>
      <c r="AW131" s="66" t="s">
        <v>600</v>
      </c>
      <c r="AX131" s="66" t="s">
        <v>600</v>
      </c>
      <c r="AY131" s="66" t="s">
        <v>600</v>
      </c>
      <c r="AZ131" s="66" t="s">
        <v>600</v>
      </c>
      <c r="BA131" s="66" t="s">
        <v>600</v>
      </c>
      <c r="BB131" s="66" t="s">
        <v>600</v>
      </c>
      <c r="BC131" s="66" t="s">
        <v>600</v>
      </c>
      <c r="BD131" s="66" t="s">
        <v>600</v>
      </c>
      <c r="BE131" s="66" t="s">
        <v>600</v>
      </c>
      <c r="BF131" s="66" t="s">
        <v>600</v>
      </c>
      <c r="BG131" s="66" t="s">
        <v>600</v>
      </c>
      <c r="BH131" s="66" t="s">
        <v>600</v>
      </c>
      <c r="BI131" s="66" t="s">
        <v>600</v>
      </c>
      <c r="BJ131" s="66" t="s">
        <v>600</v>
      </c>
      <c r="BK131" s="66" t="s">
        <v>600</v>
      </c>
      <c r="BL131" s="66" t="s">
        <v>600</v>
      </c>
      <c r="BM131" s="66" t="s">
        <v>600</v>
      </c>
      <c r="BN131" s="66" t="s">
        <v>600</v>
      </c>
      <c r="BO131" s="66" t="s">
        <v>600</v>
      </c>
      <c r="BP131" s="66" t="s">
        <v>600</v>
      </c>
      <c r="BQ131" s="66" t="s">
        <v>600</v>
      </c>
      <c r="BR131" s="164"/>
      <c r="BS131" s="68" t="s">
        <v>601</v>
      </c>
    </row>
    <row r="132" ht="15.6" spans="1:71">
      <c r="A132" s="53" t="s">
        <v>511</v>
      </c>
      <c r="B132" s="53" t="s">
        <v>27</v>
      </c>
      <c r="C132" s="53" t="s">
        <v>36</v>
      </c>
      <c r="D132" s="168" t="s">
        <v>637</v>
      </c>
      <c r="E132" s="58">
        <v>24</v>
      </c>
      <c r="F132" s="56">
        <v>34.99</v>
      </c>
      <c r="G132" s="59">
        <f t="shared" si="85"/>
        <v>29.7415</v>
      </c>
      <c r="H132" s="59">
        <f t="shared" si="107"/>
        <v>24.7845833333333</v>
      </c>
      <c r="I132" s="59">
        <f t="shared" si="108"/>
        <v>-0.786008849557523</v>
      </c>
      <c r="J132" s="60">
        <f t="shared" si="109"/>
        <v>-0.0327503687315635</v>
      </c>
      <c r="K132" s="57">
        <f t="shared" si="110"/>
        <v>29.1583333333333</v>
      </c>
      <c r="L132" s="163">
        <f t="shared" si="111"/>
        <v>0.176907687910832</v>
      </c>
      <c r="M132" s="59">
        <f t="shared" si="112"/>
        <v>5.15833333333333</v>
      </c>
      <c r="N132" s="57">
        <f t="shared" si="113"/>
        <v>96.5840707964602</v>
      </c>
      <c r="O132" s="57">
        <f t="shared" si="114"/>
        <v>0.7125</v>
      </c>
      <c r="P132" s="53">
        <v>20</v>
      </c>
      <c r="Q132" s="62">
        <v>8</v>
      </c>
      <c r="R132" s="63">
        <f t="shared" si="115"/>
        <v>0.0833333333333333</v>
      </c>
      <c r="S132" s="60">
        <f t="shared" si="116"/>
        <v>0.0571591883395256</v>
      </c>
      <c r="T132" s="63">
        <f t="shared" si="117"/>
        <v>0.2186875</v>
      </c>
      <c r="U132" s="63">
        <v>0.01</v>
      </c>
      <c r="V132" s="63">
        <f t="shared" si="118"/>
        <v>0.50304203539823</v>
      </c>
      <c r="W132" s="63">
        <f t="shared" si="119"/>
        <v>0.0296875</v>
      </c>
      <c r="X132" s="61">
        <v>0.188</v>
      </c>
      <c r="Y132" s="64">
        <v>2</v>
      </c>
      <c r="Z132" s="64">
        <f>F132*0.15</f>
        <v>5.2485</v>
      </c>
      <c r="AA132" s="64">
        <f t="shared" si="120"/>
        <v>0.24</v>
      </c>
      <c r="AB132" s="57">
        <f t="shared" si="121"/>
        <v>4.512</v>
      </c>
      <c r="AC132" s="57">
        <v>100.1</v>
      </c>
      <c r="AD132" s="65">
        <f t="shared" si="122"/>
        <v>88.5840707964602</v>
      </c>
      <c r="AE132" s="62">
        <f t="shared" si="123"/>
        <v>1</v>
      </c>
      <c r="AF132" s="63">
        <f t="shared" si="124"/>
        <v>0.461375368731563</v>
      </c>
      <c r="AG132" s="63">
        <f t="shared" si="125"/>
        <v>0.00520833333333333</v>
      </c>
      <c r="AH132" s="62">
        <v>8</v>
      </c>
      <c r="AI132" s="63">
        <f t="shared" ref="AI132:AI142" si="126">(K132-E132+AB132)/(K132-Z132)</f>
        <v>0.404450051931214</v>
      </c>
      <c r="AJ132" s="63"/>
      <c r="AK132" s="63"/>
      <c r="AL132" s="63"/>
      <c r="AM132" s="63"/>
      <c r="AN132" s="66"/>
      <c r="AO132" s="66"/>
      <c r="AP132" s="66"/>
      <c r="AQ132" s="66"/>
      <c r="AR132" s="66"/>
      <c r="AS132" s="66"/>
      <c r="AT132" s="66" t="s">
        <v>600</v>
      </c>
      <c r="AU132" s="66" t="s">
        <v>600</v>
      </c>
      <c r="AV132" s="66" t="s">
        <v>600</v>
      </c>
      <c r="AW132" s="66" t="s">
        <v>600</v>
      </c>
      <c r="AX132" s="66" t="s">
        <v>600</v>
      </c>
      <c r="AY132" s="66" t="s">
        <v>600</v>
      </c>
      <c r="AZ132" s="66" t="s">
        <v>600</v>
      </c>
      <c r="BA132" s="66" t="s">
        <v>600</v>
      </c>
      <c r="BB132" s="66" t="s">
        <v>600</v>
      </c>
      <c r="BC132" s="66" t="s">
        <v>600</v>
      </c>
      <c r="BD132" s="66" t="s">
        <v>600</v>
      </c>
      <c r="BE132" s="66" t="s">
        <v>600</v>
      </c>
      <c r="BF132" s="66" t="s">
        <v>600</v>
      </c>
      <c r="BG132" s="66" t="s">
        <v>600</v>
      </c>
      <c r="BH132" s="66" t="s">
        <v>600</v>
      </c>
      <c r="BI132" s="66" t="s">
        <v>600</v>
      </c>
      <c r="BJ132" s="66" t="s">
        <v>600</v>
      </c>
      <c r="BK132" s="66" t="s">
        <v>600</v>
      </c>
      <c r="BL132" s="66" t="s">
        <v>600</v>
      </c>
      <c r="BM132" s="66" t="s">
        <v>600</v>
      </c>
      <c r="BN132" s="66" t="s">
        <v>600</v>
      </c>
      <c r="BO132" s="66" t="s">
        <v>600</v>
      </c>
      <c r="BP132" s="66" t="s">
        <v>600</v>
      </c>
      <c r="BQ132" s="66" t="s">
        <v>600</v>
      </c>
      <c r="BR132" s="164"/>
      <c r="BS132" s="68" t="s">
        <v>601</v>
      </c>
    </row>
    <row r="133" ht="15.6" spans="1:71">
      <c r="A133" s="53" t="s">
        <v>513</v>
      </c>
      <c r="B133" s="53" t="s">
        <v>27</v>
      </c>
      <c r="C133" s="53" t="s">
        <v>36</v>
      </c>
      <c r="D133" s="168" t="s">
        <v>635</v>
      </c>
      <c r="E133" s="58">
        <v>24</v>
      </c>
      <c r="F133" s="56">
        <v>34.99</v>
      </c>
      <c r="G133" s="59">
        <f t="shared" si="85"/>
        <v>34.99</v>
      </c>
      <c r="H133" s="59">
        <f t="shared" si="107"/>
        <v>29.1583333333333</v>
      </c>
      <c r="I133" s="59">
        <f t="shared" si="108"/>
        <v>4.41249115044248</v>
      </c>
      <c r="J133" s="60">
        <f t="shared" si="109"/>
        <v>0.183853797935103</v>
      </c>
      <c r="K133" s="57">
        <f t="shared" si="110"/>
        <v>29.1583333333333</v>
      </c>
      <c r="L133" s="163">
        <f t="shared" si="111"/>
        <v>0.176907687910832</v>
      </c>
      <c r="M133" s="59">
        <f t="shared" si="112"/>
        <v>5.15833333333333</v>
      </c>
      <c r="N133" s="57">
        <f t="shared" si="113"/>
        <v>96.5840707964602</v>
      </c>
      <c r="O133" s="57">
        <f t="shared" si="114"/>
        <v>0.7625</v>
      </c>
      <c r="P133" s="53">
        <v>20</v>
      </c>
      <c r="Q133" s="62">
        <v>8</v>
      </c>
      <c r="R133" s="63">
        <f t="shared" si="115"/>
        <v>0.0833333333333333</v>
      </c>
      <c r="S133" s="60">
        <f t="shared" si="116"/>
        <v>0.0571591883395256</v>
      </c>
      <c r="T133" s="63">
        <f t="shared" si="117"/>
        <v>0</v>
      </c>
      <c r="U133" s="63">
        <v>0.01</v>
      </c>
      <c r="V133" s="63">
        <f t="shared" si="118"/>
        <v>0.50304203539823</v>
      </c>
      <c r="W133" s="63">
        <f t="shared" si="119"/>
        <v>0.0317708333333333</v>
      </c>
      <c r="X133" s="61">
        <v>0.188</v>
      </c>
      <c r="Y133" s="64">
        <v>2</v>
      </c>
      <c r="Z133" s="64">
        <v>0</v>
      </c>
      <c r="AA133" s="64">
        <f t="shared" si="120"/>
        <v>0.24</v>
      </c>
      <c r="AB133" s="57">
        <f t="shared" si="121"/>
        <v>4.512</v>
      </c>
      <c r="AC133" s="57">
        <v>100.1</v>
      </c>
      <c r="AD133" s="65">
        <f t="shared" si="122"/>
        <v>88.5840707964602</v>
      </c>
      <c r="AE133" s="62">
        <f t="shared" si="123"/>
        <v>1</v>
      </c>
      <c r="AF133" s="63">
        <f t="shared" si="124"/>
        <v>0.461375368731563</v>
      </c>
      <c r="AG133" s="63">
        <f t="shared" si="125"/>
        <v>0.00520833333333333</v>
      </c>
      <c r="AH133" s="62">
        <v>8</v>
      </c>
      <c r="AI133" s="60">
        <f t="shared" si="126"/>
        <v>0.331649042583595</v>
      </c>
      <c r="AJ133" s="60"/>
      <c r="AK133" s="60"/>
      <c r="AL133" s="60"/>
      <c r="AM133" s="60"/>
      <c r="AN133" s="66"/>
      <c r="AO133" s="66"/>
      <c r="AP133" s="66"/>
      <c r="AQ133" s="66"/>
      <c r="AR133" s="66"/>
      <c r="AS133" s="66"/>
      <c r="AT133" s="66" t="s">
        <v>600</v>
      </c>
      <c r="AU133" s="66" t="s">
        <v>600</v>
      </c>
      <c r="AV133" s="66" t="s">
        <v>600</v>
      </c>
      <c r="AW133" s="66" t="s">
        <v>600</v>
      </c>
      <c r="AX133" s="66" t="s">
        <v>600</v>
      </c>
      <c r="AY133" s="66" t="s">
        <v>600</v>
      </c>
      <c r="AZ133" s="66" t="s">
        <v>600</v>
      </c>
      <c r="BA133" s="66" t="s">
        <v>600</v>
      </c>
      <c r="BB133" s="66" t="s">
        <v>600</v>
      </c>
      <c r="BC133" s="66" t="s">
        <v>600</v>
      </c>
      <c r="BD133" s="66" t="s">
        <v>600</v>
      </c>
      <c r="BE133" s="66" t="s">
        <v>600</v>
      </c>
      <c r="BF133" s="66" t="s">
        <v>600</v>
      </c>
      <c r="BG133" s="66" t="s">
        <v>600</v>
      </c>
      <c r="BH133" s="66" t="s">
        <v>600</v>
      </c>
      <c r="BI133" s="66" t="s">
        <v>600</v>
      </c>
      <c r="BJ133" s="66" t="s">
        <v>600</v>
      </c>
      <c r="BK133" s="66" t="s">
        <v>600</v>
      </c>
      <c r="BL133" s="66" t="s">
        <v>600</v>
      </c>
      <c r="BM133" s="66" t="s">
        <v>600</v>
      </c>
      <c r="BN133" s="66" t="s">
        <v>600</v>
      </c>
      <c r="BO133" s="66" t="s">
        <v>600</v>
      </c>
      <c r="BP133" s="66" t="s">
        <v>600</v>
      </c>
      <c r="BQ133" s="66" t="s">
        <v>600</v>
      </c>
      <c r="BR133" s="164"/>
      <c r="BS133" s="68" t="s">
        <v>601</v>
      </c>
    </row>
    <row r="134" ht="15.6" spans="1:71">
      <c r="A134" s="53" t="s">
        <v>513</v>
      </c>
      <c r="B134" s="53" t="s">
        <v>27</v>
      </c>
      <c r="C134" s="53" t="s">
        <v>36</v>
      </c>
      <c r="D134" s="168" t="s">
        <v>636</v>
      </c>
      <c r="E134" s="58">
        <v>24</v>
      </c>
      <c r="F134" s="56">
        <v>34.99</v>
      </c>
      <c r="G134" s="59">
        <f t="shared" si="85"/>
        <v>31.491</v>
      </c>
      <c r="H134" s="59">
        <f t="shared" si="107"/>
        <v>26.2425</v>
      </c>
      <c r="I134" s="165">
        <f t="shared" si="108"/>
        <v>0.913491150442476</v>
      </c>
      <c r="J134" s="60">
        <f t="shared" si="109"/>
        <v>0.0380621312684365</v>
      </c>
      <c r="K134" s="57">
        <f t="shared" si="110"/>
        <v>29.1583333333333</v>
      </c>
      <c r="L134" s="163">
        <f t="shared" si="111"/>
        <v>0.176907687910832</v>
      </c>
      <c r="M134" s="59">
        <f t="shared" si="112"/>
        <v>5.15833333333333</v>
      </c>
      <c r="N134" s="57">
        <f t="shared" si="113"/>
        <v>96.5840707964602</v>
      </c>
      <c r="O134" s="57">
        <f t="shared" si="114"/>
        <v>0.7625</v>
      </c>
      <c r="P134" s="53">
        <v>20</v>
      </c>
      <c r="Q134" s="62">
        <v>8</v>
      </c>
      <c r="R134" s="63">
        <f t="shared" si="115"/>
        <v>0.0833333333333333</v>
      </c>
      <c r="S134" s="60">
        <f t="shared" si="116"/>
        <v>0.0571591883395256</v>
      </c>
      <c r="T134" s="63">
        <f t="shared" si="117"/>
        <v>0.145791666666667</v>
      </c>
      <c r="U134" s="63">
        <v>0.01</v>
      </c>
      <c r="V134" s="63">
        <f t="shared" si="118"/>
        <v>0.50304203539823</v>
      </c>
      <c r="W134" s="63">
        <f t="shared" si="119"/>
        <v>0.0317708333333333</v>
      </c>
      <c r="X134" s="61">
        <v>0.188</v>
      </c>
      <c r="Y134" s="64">
        <v>2</v>
      </c>
      <c r="Z134" s="64">
        <f>F134*0.1</f>
        <v>3.499</v>
      </c>
      <c r="AA134" s="64">
        <f t="shared" si="120"/>
        <v>0.24</v>
      </c>
      <c r="AB134" s="57">
        <f t="shared" si="121"/>
        <v>4.512</v>
      </c>
      <c r="AC134" s="57">
        <v>100.1</v>
      </c>
      <c r="AD134" s="65">
        <f t="shared" si="122"/>
        <v>88.5840707964602</v>
      </c>
      <c r="AE134" s="62">
        <f t="shared" si="123"/>
        <v>1</v>
      </c>
      <c r="AF134" s="63">
        <f t="shared" si="124"/>
        <v>0.461375368731563</v>
      </c>
      <c r="AG134" s="63">
        <f t="shared" si="125"/>
        <v>0.00520833333333333</v>
      </c>
      <c r="AH134" s="62">
        <v>8</v>
      </c>
      <c r="AI134" s="60">
        <f t="shared" si="126"/>
        <v>0.376873912026813</v>
      </c>
      <c r="AJ134" s="60"/>
      <c r="AK134" s="60"/>
      <c r="AL134" s="60"/>
      <c r="AM134" s="60"/>
      <c r="AN134" s="66"/>
      <c r="AO134" s="66"/>
      <c r="AP134" s="66"/>
      <c r="AQ134" s="66"/>
      <c r="AR134" s="66"/>
      <c r="AS134" s="66"/>
      <c r="AT134" s="66" t="s">
        <v>600</v>
      </c>
      <c r="AU134" s="66" t="s">
        <v>600</v>
      </c>
      <c r="AV134" s="66" t="s">
        <v>600</v>
      </c>
      <c r="AW134" s="66" t="s">
        <v>600</v>
      </c>
      <c r="AX134" s="66" t="s">
        <v>600</v>
      </c>
      <c r="AY134" s="66" t="s">
        <v>600</v>
      </c>
      <c r="AZ134" s="66" t="s">
        <v>600</v>
      </c>
      <c r="BA134" s="66" t="s">
        <v>600</v>
      </c>
      <c r="BB134" s="66" t="s">
        <v>600</v>
      </c>
      <c r="BC134" s="66" t="s">
        <v>600</v>
      </c>
      <c r="BD134" s="66" t="s">
        <v>600</v>
      </c>
      <c r="BE134" s="66" t="s">
        <v>600</v>
      </c>
      <c r="BF134" s="66" t="s">
        <v>600</v>
      </c>
      <c r="BG134" s="66" t="s">
        <v>600</v>
      </c>
      <c r="BH134" s="66" t="s">
        <v>600</v>
      </c>
      <c r="BI134" s="66" t="s">
        <v>600</v>
      </c>
      <c r="BJ134" s="66" t="s">
        <v>600</v>
      </c>
      <c r="BK134" s="66" t="s">
        <v>600</v>
      </c>
      <c r="BL134" s="66" t="s">
        <v>600</v>
      </c>
      <c r="BM134" s="66" t="s">
        <v>600</v>
      </c>
      <c r="BN134" s="66" t="s">
        <v>600</v>
      </c>
      <c r="BO134" s="66" t="s">
        <v>600</v>
      </c>
      <c r="BP134" s="66" t="s">
        <v>600</v>
      </c>
      <c r="BQ134" s="66" t="s">
        <v>600</v>
      </c>
      <c r="BR134" s="164"/>
      <c r="BS134" s="68" t="s">
        <v>601</v>
      </c>
    </row>
    <row r="135" ht="15.6" spans="1:71">
      <c r="A135" s="53" t="s">
        <v>513</v>
      </c>
      <c r="B135" s="53" t="s">
        <v>27</v>
      </c>
      <c r="C135" s="53" t="s">
        <v>36</v>
      </c>
      <c r="D135" s="168" t="s">
        <v>637</v>
      </c>
      <c r="E135" s="58">
        <v>24</v>
      </c>
      <c r="F135" s="56">
        <v>34.99</v>
      </c>
      <c r="G135" s="59">
        <f t="shared" si="85"/>
        <v>29.7415</v>
      </c>
      <c r="H135" s="59">
        <f t="shared" si="107"/>
        <v>24.7845833333333</v>
      </c>
      <c r="I135" s="59">
        <f t="shared" si="108"/>
        <v>-0.836008849557523</v>
      </c>
      <c r="J135" s="60">
        <f t="shared" si="109"/>
        <v>-0.0348337020648968</v>
      </c>
      <c r="K135" s="57">
        <f t="shared" si="110"/>
        <v>29.1583333333333</v>
      </c>
      <c r="L135" s="163">
        <f t="shared" si="111"/>
        <v>0.176907687910832</v>
      </c>
      <c r="M135" s="59">
        <f t="shared" si="112"/>
        <v>5.15833333333333</v>
      </c>
      <c r="N135" s="57">
        <f t="shared" si="113"/>
        <v>96.5840707964602</v>
      </c>
      <c r="O135" s="57">
        <f t="shared" si="114"/>
        <v>0.7625</v>
      </c>
      <c r="P135" s="53">
        <v>20</v>
      </c>
      <c r="Q135" s="62">
        <v>8</v>
      </c>
      <c r="R135" s="63">
        <f t="shared" si="115"/>
        <v>0.0833333333333333</v>
      </c>
      <c r="S135" s="60">
        <f t="shared" si="116"/>
        <v>0.0571591883395256</v>
      </c>
      <c r="T135" s="63">
        <f t="shared" si="117"/>
        <v>0.2186875</v>
      </c>
      <c r="U135" s="63">
        <v>0.01</v>
      </c>
      <c r="V135" s="63">
        <f t="shared" si="118"/>
        <v>0.50304203539823</v>
      </c>
      <c r="W135" s="63">
        <f t="shared" si="119"/>
        <v>0.0317708333333333</v>
      </c>
      <c r="X135" s="61">
        <v>0.188</v>
      </c>
      <c r="Y135" s="64">
        <v>2</v>
      </c>
      <c r="Z135" s="64">
        <f>F135*0.15</f>
        <v>5.2485</v>
      </c>
      <c r="AA135" s="64">
        <f t="shared" si="120"/>
        <v>0.24</v>
      </c>
      <c r="AB135" s="57">
        <f t="shared" si="121"/>
        <v>4.512</v>
      </c>
      <c r="AC135" s="57">
        <v>100.1</v>
      </c>
      <c r="AD135" s="65">
        <f t="shared" si="122"/>
        <v>88.5840707964602</v>
      </c>
      <c r="AE135" s="62">
        <f t="shared" si="123"/>
        <v>1</v>
      </c>
      <c r="AF135" s="63">
        <f t="shared" si="124"/>
        <v>0.461375368731563</v>
      </c>
      <c r="AG135" s="63">
        <f t="shared" si="125"/>
        <v>0.00520833333333333</v>
      </c>
      <c r="AH135" s="62">
        <v>8</v>
      </c>
      <c r="AI135" s="60">
        <f t="shared" si="126"/>
        <v>0.404450051931214</v>
      </c>
      <c r="AJ135" s="60"/>
      <c r="AK135" s="60"/>
      <c r="AL135" s="60"/>
      <c r="AM135" s="60"/>
      <c r="AN135" s="66"/>
      <c r="AO135" s="66"/>
      <c r="AP135" s="66"/>
      <c r="AQ135" s="66"/>
      <c r="AR135" s="66"/>
      <c r="AS135" s="66"/>
      <c r="AT135" s="66" t="s">
        <v>600</v>
      </c>
      <c r="AU135" s="66" t="s">
        <v>600</v>
      </c>
      <c r="AV135" s="66" t="s">
        <v>600</v>
      </c>
      <c r="AW135" s="66" t="s">
        <v>600</v>
      </c>
      <c r="AX135" s="66" t="s">
        <v>600</v>
      </c>
      <c r="AY135" s="66" t="s">
        <v>600</v>
      </c>
      <c r="AZ135" s="66" t="s">
        <v>600</v>
      </c>
      <c r="BA135" s="66" t="s">
        <v>600</v>
      </c>
      <c r="BB135" s="66" t="s">
        <v>600</v>
      </c>
      <c r="BC135" s="66" t="s">
        <v>600</v>
      </c>
      <c r="BD135" s="66" t="s">
        <v>600</v>
      </c>
      <c r="BE135" s="66" t="s">
        <v>600</v>
      </c>
      <c r="BF135" s="66" t="s">
        <v>600</v>
      </c>
      <c r="BG135" s="66" t="s">
        <v>600</v>
      </c>
      <c r="BH135" s="66" t="s">
        <v>600</v>
      </c>
      <c r="BI135" s="66" t="s">
        <v>600</v>
      </c>
      <c r="BJ135" s="66" t="s">
        <v>600</v>
      </c>
      <c r="BK135" s="66" t="s">
        <v>600</v>
      </c>
      <c r="BL135" s="66" t="s">
        <v>600</v>
      </c>
      <c r="BM135" s="66" t="s">
        <v>600</v>
      </c>
      <c r="BN135" s="66" t="s">
        <v>600</v>
      </c>
      <c r="BO135" s="66" t="s">
        <v>600</v>
      </c>
      <c r="BP135" s="66" t="s">
        <v>600</v>
      </c>
      <c r="BQ135" s="66" t="s">
        <v>600</v>
      </c>
      <c r="BR135" s="164"/>
      <c r="BS135" s="68" t="s">
        <v>601</v>
      </c>
    </row>
    <row r="136" ht="15.6" spans="1:71">
      <c r="A136" s="53" t="s">
        <v>516</v>
      </c>
      <c r="B136" s="53" t="s">
        <v>27</v>
      </c>
      <c r="C136" s="53" t="s">
        <v>36</v>
      </c>
      <c r="D136" s="168" t="s">
        <v>635</v>
      </c>
      <c r="E136" s="58">
        <v>24</v>
      </c>
      <c r="F136" s="56">
        <v>34.99</v>
      </c>
      <c r="G136" s="59">
        <f t="shared" si="85"/>
        <v>34.99</v>
      </c>
      <c r="H136" s="59">
        <f t="shared" si="107"/>
        <v>29.1583333333333</v>
      </c>
      <c r="I136" s="59">
        <f t="shared" si="108"/>
        <v>4.21249115044248</v>
      </c>
      <c r="J136" s="60">
        <f t="shared" si="109"/>
        <v>0.17552046460177</v>
      </c>
      <c r="K136" s="57">
        <f t="shared" si="110"/>
        <v>29.1583333333333</v>
      </c>
      <c r="L136" s="163">
        <f t="shared" si="111"/>
        <v>0.176907687910832</v>
      </c>
      <c r="M136" s="59">
        <f t="shared" si="112"/>
        <v>5.15833333333333</v>
      </c>
      <c r="N136" s="57">
        <f t="shared" si="113"/>
        <v>96.5840707964602</v>
      </c>
      <c r="O136" s="57">
        <f t="shared" si="114"/>
        <v>0.9625</v>
      </c>
      <c r="P136" s="53">
        <v>20</v>
      </c>
      <c r="Q136" s="62">
        <v>8</v>
      </c>
      <c r="R136" s="63">
        <f t="shared" si="115"/>
        <v>0.0833333333333333</v>
      </c>
      <c r="S136" s="60">
        <f t="shared" si="116"/>
        <v>0.0571591883395256</v>
      </c>
      <c r="T136" s="63">
        <f t="shared" si="117"/>
        <v>0</v>
      </c>
      <c r="U136" s="63">
        <v>0.01</v>
      </c>
      <c r="V136" s="63">
        <f t="shared" si="118"/>
        <v>0.50304203539823</v>
      </c>
      <c r="W136" s="63">
        <f t="shared" si="119"/>
        <v>0.0401041666666667</v>
      </c>
      <c r="X136" s="61">
        <v>0.188</v>
      </c>
      <c r="Y136" s="64">
        <v>2</v>
      </c>
      <c r="Z136" s="64">
        <v>0</v>
      </c>
      <c r="AA136" s="64">
        <f t="shared" si="120"/>
        <v>0.24</v>
      </c>
      <c r="AB136" s="57">
        <f t="shared" si="121"/>
        <v>4.512</v>
      </c>
      <c r="AC136" s="57">
        <v>100.1</v>
      </c>
      <c r="AD136" s="65">
        <f t="shared" si="122"/>
        <v>88.5840707964602</v>
      </c>
      <c r="AE136" s="62">
        <f t="shared" si="123"/>
        <v>1</v>
      </c>
      <c r="AF136" s="63">
        <f t="shared" si="124"/>
        <v>0.461375368731563</v>
      </c>
      <c r="AG136" s="63">
        <f t="shared" si="125"/>
        <v>0.00520833333333333</v>
      </c>
      <c r="AH136" s="62">
        <v>8</v>
      </c>
      <c r="AI136" s="63">
        <f t="shared" si="126"/>
        <v>0.331649042583595</v>
      </c>
      <c r="AJ136" s="63"/>
      <c r="AK136" s="63"/>
      <c r="AL136" s="63"/>
      <c r="AM136" s="63"/>
      <c r="AN136" s="66"/>
      <c r="AO136" s="66"/>
      <c r="AP136" s="66"/>
      <c r="AQ136" s="66"/>
      <c r="AR136" s="66"/>
      <c r="AS136" s="66"/>
      <c r="AT136" s="66" t="s">
        <v>600</v>
      </c>
      <c r="AU136" s="66" t="s">
        <v>600</v>
      </c>
      <c r="AV136" s="66" t="s">
        <v>600</v>
      </c>
      <c r="AW136" s="66" t="s">
        <v>600</v>
      </c>
      <c r="AX136" s="66" t="s">
        <v>600</v>
      </c>
      <c r="AY136" s="66" t="s">
        <v>600</v>
      </c>
      <c r="AZ136" s="66" t="s">
        <v>600</v>
      </c>
      <c r="BA136" s="66" t="s">
        <v>600</v>
      </c>
      <c r="BB136" s="66" t="s">
        <v>600</v>
      </c>
      <c r="BC136" s="66" t="s">
        <v>600</v>
      </c>
      <c r="BD136" s="66" t="s">
        <v>600</v>
      </c>
      <c r="BE136" s="66" t="s">
        <v>600</v>
      </c>
      <c r="BF136" s="66" t="s">
        <v>600</v>
      </c>
      <c r="BG136" s="66" t="s">
        <v>600</v>
      </c>
      <c r="BH136" s="66" t="s">
        <v>600</v>
      </c>
      <c r="BI136" s="66" t="s">
        <v>600</v>
      </c>
      <c r="BJ136" s="66" t="s">
        <v>600</v>
      </c>
      <c r="BK136" s="66" t="s">
        <v>600</v>
      </c>
      <c r="BL136" s="66" t="s">
        <v>600</v>
      </c>
      <c r="BM136" s="66" t="s">
        <v>600</v>
      </c>
      <c r="BN136" s="66" t="s">
        <v>600</v>
      </c>
      <c r="BO136" s="66" t="s">
        <v>600</v>
      </c>
      <c r="BP136" s="66" t="s">
        <v>600</v>
      </c>
      <c r="BQ136" s="66" t="s">
        <v>600</v>
      </c>
      <c r="BR136" s="164"/>
      <c r="BS136" s="68" t="s">
        <v>601</v>
      </c>
    </row>
    <row r="137" ht="15.6" spans="1:71">
      <c r="A137" s="53" t="s">
        <v>516</v>
      </c>
      <c r="B137" s="53" t="s">
        <v>27</v>
      </c>
      <c r="C137" s="53" t="s">
        <v>36</v>
      </c>
      <c r="D137" s="168" t="s">
        <v>636</v>
      </c>
      <c r="E137" s="58">
        <v>24</v>
      </c>
      <c r="F137" s="56">
        <v>34.99</v>
      </c>
      <c r="G137" s="59">
        <f t="shared" si="85"/>
        <v>31.491</v>
      </c>
      <c r="H137" s="59">
        <f t="shared" si="107"/>
        <v>26.2425</v>
      </c>
      <c r="I137" s="165">
        <f t="shared" si="108"/>
        <v>0.713491150442476</v>
      </c>
      <c r="J137" s="60">
        <f t="shared" si="109"/>
        <v>0.0297287979351032</v>
      </c>
      <c r="K137" s="57">
        <f t="shared" si="110"/>
        <v>29.1583333333333</v>
      </c>
      <c r="L137" s="163">
        <f t="shared" si="111"/>
        <v>0.176907687910832</v>
      </c>
      <c r="M137" s="59">
        <f t="shared" si="112"/>
        <v>5.15833333333333</v>
      </c>
      <c r="N137" s="57">
        <f t="shared" si="113"/>
        <v>96.5840707964602</v>
      </c>
      <c r="O137" s="57">
        <f t="shared" si="114"/>
        <v>0.9625</v>
      </c>
      <c r="P137" s="53">
        <v>20</v>
      </c>
      <c r="Q137" s="62">
        <v>8</v>
      </c>
      <c r="R137" s="63">
        <f t="shared" si="115"/>
        <v>0.0833333333333333</v>
      </c>
      <c r="S137" s="60">
        <f t="shared" si="116"/>
        <v>0.0571591883395256</v>
      </c>
      <c r="T137" s="63">
        <f t="shared" si="117"/>
        <v>0.145791666666667</v>
      </c>
      <c r="U137" s="63">
        <v>0.01</v>
      </c>
      <c r="V137" s="63">
        <f t="shared" si="118"/>
        <v>0.50304203539823</v>
      </c>
      <c r="W137" s="63">
        <f t="shared" si="119"/>
        <v>0.0401041666666667</v>
      </c>
      <c r="X137" s="61">
        <v>0.188</v>
      </c>
      <c r="Y137" s="64">
        <v>2</v>
      </c>
      <c r="Z137" s="64">
        <f>F137*0.1</f>
        <v>3.499</v>
      </c>
      <c r="AA137" s="64">
        <f t="shared" si="120"/>
        <v>0.24</v>
      </c>
      <c r="AB137" s="57">
        <f t="shared" si="121"/>
        <v>4.512</v>
      </c>
      <c r="AC137" s="57">
        <v>100.1</v>
      </c>
      <c r="AD137" s="65">
        <f t="shared" si="122"/>
        <v>88.5840707964602</v>
      </c>
      <c r="AE137" s="62">
        <f t="shared" si="123"/>
        <v>1</v>
      </c>
      <c r="AF137" s="63">
        <f t="shared" si="124"/>
        <v>0.461375368731563</v>
      </c>
      <c r="AG137" s="63">
        <f t="shared" si="125"/>
        <v>0.00520833333333333</v>
      </c>
      <c r="AH137" s="62">
        <v>8</v>
      </c>
      <c r="AI137" s="63">
        <f t="shared" si="126"/>
        <v>0.376873912026813</v>
      </c>
      <c r="AJ137" s="63"/>
      <c r="AK137" s="63"/>
      <c r="AL137" s="63"/>
      <c r="AM137" s="63"/>
      <c r="AN137" s="66"/>
      <c r="AO137" s="66"/>
      <c r="AP137" s="66"/>
      <c r="AQ137" s="66"/>
      <c r="AR137" s="66"/>
      <c r="AS137" s="66"/>
      <c r="AT137" s="66" t="s">
        <v>600</v>
      </c>
      <c r="AU137" s="66" t="s">
        <v>600</v>
      </c>
      <c r="AV137" s="66" t="s">
        <v>600</v>
      </c>
      <c r="AW137" s="66" t="s">
        <v>600</v>
      </c>
      <c r="AX137" s="66" t="s">
        <v>600</v>
      </c>
      <c r="AY137" s="66" t="s">
        <v>600</v>
      </c>
      <c r="AZ137" s="66" t="s">
        <v>600</v>
      </c>
      <c r="BA137" s="66" t="s">
        <v>600</v>
      </c>
      <c r="BB137" s="66" t="s">
        <v>600</v>
      </c>
      <c r="BC137" s="66" t="s">
        <v>600</v>
      </c>
      <c r="BD137" s="66" t="s">
        <v>600</v>
      </c>
      <c r="BE137" s="66" t="s">
        <v>600</v>
      </c>
      <c r="BF137" s="66" t="s">
        <v>600</v>
      </c>
      <c r="BG137" s="66" t="s">
        <v>600</v>
      </c>
      <c r="BH137" s="66" t="s">
        <v>600</v>
      </c>
      <c r="BI137" s="66" t="s">
        <v>600</v>
      </c>
      <c r="BJ137" s="66" t="s">
        <v>600</v>
      </c>
      <c r="BK137" s="66" t="s">
        <v>600</v>
      </c>
      <c r="BL137" s="66" t="s">
        <v>600</v>
      </c>
      <c r="BM137" s="66" t="s">
        <v>600</v>
      </c>
      <c r="BN137" s="66" t="s">
        <v>600</v>
      </c>
      <c r="BO137" s="66" t="s">
        <v>600</v>
      </c>
      <c r="BP137" s="66" t="s">
        <v>600</v>
      </c>
      <c r="BQ137" s="66" t="s">
        <v>600</v>
      </c>
      <c r="BR137" s="164"/>
      <c r="BS137" s="68" t="s">
        <v>601</v>
      </c>
    </row>
    <row r="138" ht="15.6" spans="1:71">
      <c r="A138" s="53" t="s">
        <v>516</v>
      </c>
      <c r="B138" s="53" t="s">
        <v>27</v>
      </c>
      <c r="C138" s="53" t="s">
        <v>36</v>
      </c>
      <c r="D138" s="168" t="s">
        <v>637</v>
      </c>
      <c r="E138" s="58">
        <v>24</v>
      </c>
      <c r="F138" s="56">
        <v>34.99</v>
      </c>
      <c r="G138" s="59">
        <f t="shared" si="85"/>
        <v>29.7415</v>
      </c>
      <c r="H138" s="59">
        <f t="shared" si="107"/>
        <v>24.7845833333333</v>
      </c>
      <c r="I138" s="59">
        <f t="shared" si="108"/>
        <v>-1.03600884955752</v>
      </c>
      <c r="J138" s="60">
        <f t="shared" si="109"/>
        <v>-0.0431670353982301</v>
      </c>
      <c r="K138" s="57">
        <f t="shared" si="110"/>
        <v>29.1583333333333</v>
      </c>
      <c r="L138" s="163">
        <f t="shared" si="111"/>
        <v>0.176907687910832</v>
      </c>
      <c r="M138" s="59">
        <f t="shared" si="112"/>
        <v>5.15833333333333</v>
      </c>
      <c r="N138" s="57">
        <f t="shared" si="113"/>
        <v>96.5840707964602</v>
      </c>
      <c r="O138" s="57">
        <f t="shared" si="114"/>
        <v>0.9625</v>
      </c>
      <c r="P138" s="53">
        <v>20</v>
      </c>
      <c r="Q138" s="62">
        <v>8</v>
      </c>
      <c r="R138" s="63">
        <f t="shared" si="115"/>
        <v>0.0833333333333333</v>
      </c>
      <c r="S138" s="60">
        <f t="shared" si="116"/>
        <v>0.0571591883395256</v>
      </c>
      <c r="T138" s="63">
        <f t="shared" si="117"/>
        <v>0.2186875</v>
      </c>
      <c r="U138" s="63">
        <v>0.01</v>
      </c>
      <c r="V138" s="63">
        <f t="shared" si="118"/>
        <v>0.50304203539823</v>
      </c>
      <c r="W138" s="63">
        <f t="shared" si="119"/>
        <v>0.0401041666666667</v>
      </c>
      <c r="X138" s="61">
        <v>0.188</v>
      </c>
      <c r="Y138" s="64">
        <v>2</v>
      </c>
      <c r="Z138" s="64">
        <f>F138*0.15</f>
        <v>5.2485</v>
      </c>
      <c r="AA138" s="64">
        <f t="shared" si="120"/>
        <v>0.24</v>
      </c>
      <c r="AB138" s="57">
        <f t="shared" si="121"/>
        <v>4.512</v>
      </c>
      <c r="AC138" s="57">
        <v>100.1</v>
      </c>
      <c r="AD138" s="65">
        <f t="shared" si="122"/>
        <v>88.5840707964602</v>
      </c>
      <c r="AE138" s="62">
        <f t="shared" si="123"/>
        <v>1</v>
      </c>
      <c r="AF138" s="63">
        <f t="shared" si="124"/>
        <v>0.461375368731563</v>
      </c>
      <c r="AG138" s="63">
        <f t="shared" si="125"/>
        <v>0.00520833333333333</v>
      </c>
      <c r="AH138" s="62">
        <v>8</v>
      </c>
      <c r="AI138" s="63">
        <f t="shared" si="126"/>
        <v>0.404450051931214</v>
      </c>
      <c r="AJ138" s="63"/>
      <c r="AK138" s="63"/>
      <c r="AL138" s="63"/>
      <c r="AM138" s="63"/>
      <c r="AN138" s="66"/>
      <c r="AO138" s="66"/>
      <c r="AP138" s="66"/>
      <c r="AQ138" s="66"/>
      <c r="AR138" s="66"/>
      <c r="AS138" s="66"/>
      <c r="AT138" s="66" t="s">
        <v>600</v>
      </c>
      <c r="AU138" s="66" t="s">
        <v>600</v>
      </c>
      <c r="AV138" s="66" t="s">
        <v>600</v>
      </c>
      <c r="AW138" s="66" t="s">
        <v>600</v>
      </c>
      <c r="AX138" s="66" t="s">
        <v>600</v>
      </c>
      <c r="AY138" s="66" t="s">
        <v>600</v>
      </c>
      <c r="AZ138" s="66" t="s">
        <v>600</v>
      </c>
      <c r="BA138" s="66" t="s">
        <v>600</v>
      </c>
      <c r="BB138" s="66" t="s">
        <v>600</v>
      </c>
      <c r="BC138" s="66" t="s">
        <v>600</v>
      </c>
      <c r="BD138" s="66" t="s">
        <v>600</v>
      </c>
      <c r="BE138" s="66" t="s">
        <v>600</v>
      </c>
      <c r="BF138" s="66" t="s">
        <v>600</v>
      </c>
      <c r="BG138" s="66" t="s">
        <v>600</v>
      </c>
      <c r="BH138" s="66" t="s">
        <v>600</v>
      </c>
      <c r="BI138" s="66" t="s">
        <v>600</v>
      </c>
      <c r="BJ138" s="66" t="s">
        <v>600</v>
      </c>
      <c r="BK138" s="66" t="s">
        <v>600</v>
      </c>
      <c r="BL138" s="66" t="s">
        <v>600</v>
      </c>
      <c r="BM138" s="66" t="s">
        <v>600</v>
      </c>
      <c r="BN138" s="66" t="s">
        <v>600</v>
      </c>
      <c r="BO138" s="66" t="s">
        <v>600</v>
      </c>
      <c r="BP138" s="66" t="s">
        <v>600</v>
      </c>
      <c r="BQ138" s="66" t="s">
        <v>600</v>
      </c>
      <c r="BR138" s="164"/>
      <c r="BS138" s="68" t="s">
        <v>601</v>
      </c>
    </row>
    <row r="139" ht="15.6" spans="1:71">
      <c r="A139" s="53" t="s">
        <v>605</v>
      </c>
      <c r="B139" s="53" t="s">
        <v>27</v>
      </c>
      <c r="C139" s="53" t="s">
        <v>36</v>
      </c>
      <c r="D139" s="170" t="s">
        <v>638</v>
      </c>
      <c r="E139" s="58">
        <v>37.8</v>
      </c>
      <c r="F139" s="167">
        <v>54.99</v>
      </c>
      <c r="G139" s="59">
        <f t="shared" si="85"/>
        <v>54.99</v>
      </c>
      <c r="H139" s="59">
        <f t="shared" si="107"/>
        <v>45.825</v>
      </c>
      <c r="I139" s="59">
        <f t="shared" si="108"/>
        <v>17.4050911504425</v>
      </c>
      <c r="J139" s="60">
        <f t="shared" si="109"/>
        <v>0.460452146837103</v>
      </c>
      <c r="K139" s="57">
        <f t="shared" si="110"/>
        <v>45.825</v>
      </c>
      <c r="L139" s="163">
        <f t="shared" si="111"/>
        <v>0.175122749590835</v>
      </c>
      <c r="M139" s="59">
        <f t="shared" si="112"/>
        <v>8.02500000000001</v>
      </c>
      <c r="N139" s="57">
        <f t="shared" si="113"/>
        <v>96.5840707964602</v>
      </c>
      <c r="O139" s="57">
        <f t="shared" si="114"/>
        <v>0.8375</v>
      </c>
      <c r="P139" s="53">
        <v>20</v>
      </c>
      <c r="Q139" s="62">
        <v>8</v>
      </c>
      <c r="R139" s="63">
        <f t="shared" si="115"/>
        <v>0</v>
      </c>
      <c r="S139" s="60">
        <f t="shared" si="116"/>
        <v>0</v>
      </c>
      <c r="T139" s="63">
        <f t="shared" si="117"/>
        <v>0</v>
      </c>
      <c r="U139" s="63">
        <v>0.01</v>
      </c>
      <c r="V139" s="63">
        <f t="shared" si="118"/>
        <v>0.319391768506813</v>
      </c>
      <c r="W139" s="63">
        <f t="shared" si="119"/>
        <v>0.0221560846560847</v>
      </c>
      <c r="X139" s="61">
        <v>0.188</v>
      </c>
      <c r="Y139" s="64">
        <v>0</v>
      </c>
      <c r="Z139" s="64">
        <f>F139*0</f>
        <v>0</v>
      </c>
      <c r="AA139" s="64">
        <f t="shared" si="120"/>
        <v>0.378</v>
      </c>
      <c r="AB139" s="57">
        <f t="shared" si="121"/>
        <v>7.1064</v>
      </c>
      <c r="AC139" s="57">
        <v>100.1</v>
      </c>
      <c r="AD139" s="65">
        <f t="shared" si="122"/>
        <v>88.5840707964602</v>
      </c>
      <c r="AE139" s="62">
        <f t="shared" si="123"/>
        <v>1</v>
      </c>
      <c r="AF139" s="63">
        <f t="shared" si="124"/>
        <v>0.292936742051786</v>
      </c>
      <c r="AG139" s="63">
        <f t="shared" si="125"/>
        <v>0.00330687830687831</v>
      </c>
      <c r="AH139" s="62">
        <v>8</v>
      </c>
      <c r="AI139" s="63">
        <f t="shared" si="126"/>
        <v>0.330199672667758</v>
      </c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 t="s">
        <v>600</v>
      </c>
      <c r="AU139" s="66" t="s">
        <v>600</v>
      </c>
      <c r="AV139" s="66" t="s">
        <v>600</v>
      </c>
      <c r="AW139" s="66" t="s">
        <v>600</v>
      </c>
      <c r="AX139" s="66" t="s">
        <v>600</v>
      </c>
      <c r="AY139" s="66" t="s">
        <v>600</v>
      </c>
      <c r="AZ139" s="66" t="s">
        <v>600</v>
      </c>
      <c r="BA139" s="66" t="s">
        <v>600</v>
      </c>
      <c r="BB139" s="66" t="s">
        <v>600</v>
      </c>
      <c r="BC139" s="66" t="s">
        <v>600</v>
      </c>
      <c r="BD139" s="66" t="s">
        <v>600</v>
      </c>
      <c r="BE139" s="66" t="s">
        <v>600</v>
      </c>
      <c r="BF139" s="66" t="s">
        <v>600</v>
      </c>
      <c r="BG139" s="66" t="s">
        <v>600</v>
      </c>
      <c r="BH139" s="66" t="s">
        <v>600</v>
      </c>
      <c r="BI139" s="66" t="s">
        <v>600</v>
      </c>
      <c r="BJ139" s="66" t="s">
        <v>600</v>
      </c>
      <c r="BK139" s="66" t="s">
        <v>600</v>
      </c>
      <c r="BL139" s="66" t="s">
        <v>600</v>
      </c>
      <c r="BM139" s="66" t="s">
        <v>600</v>
      </c>
      <c r="BN139" s="66" t="s">
        <v>600</v>
      </c>
      <c r="BO139" s="66" t="s">
        <v>600</v>
      </c>
      <c r="BP139" s="66" t="s">
        <v>600</v>
      </c>
      <c r="BQ139" s="66" t="s">
        <v>600</v>
      </c>
      <c r="BR139" s="70" t="e">
        <f>IF(E139&lt;#REF!,1,0)</f>
        <v>#REF!</v>
      </c>
      <c r="BS139" s="68" t="s">
        <v>601</v>
      </c>
    </row>
    <row r="140" ht="15.6" spans="1:71">
      <c r="A140" s="53" t="s">
        <v>607</v>
      </c>
      <c r="B140" s="53" t="s">
        <v>27</v>
      </c>
      <c r="C140" s="53" t="s">
        <v>36</v>
      </c>
      <c r="D140" s="170" t="s">
        <v>639</v>
      </c>
      <c r="E140" s="58">
        <v>37.8</v>
      </c>
      <c r="F140" s="56">
        <v>54.99</v>
      </c>
      <c r="G140" s="59">
        <f t="shared" si="85"/>
        <v>54.99</v>
      </c>
      <c r="H140" s="59">
        <f t="shared" si="107"/>
        <v>45.825</v>
      </c>
      <c r="I140" s="59">
        <f t="shared" si="108"/>
        <v>17.5400911504425</v>
      </c>
      <c r="J140" s="60">
        <f t="shared" si="109"/>
        <v>0.464023575408531</v>
      </c>
      <c r="K140" s="57">
        <f t="shared" si="110"/>
        <v>45.825</v>
      </c>
      <c r="L140" s="163">
        <f t="shared" si="111"/>
        <v>0.175122749590835</v>
      </c>
      <c r="M140" s="59">
        <f t="shared" si="112"/>
        <v>8.02500000000001</v>
      </c>
      <c r="N140" s="57">
        <f t="shared" si="113"/>
        <v>96.5840707964602</v>
      </c>
      <c r="O140" s="57">
        <f t="shared" si="114"/>
        <v>0.7025</v>
      </c>
      <c r="P140" s="53">
        <v>20</v>
      </c>
      <c r="Q140" s="62">
        <v>8</v>
      </c>
      <c r="R140" s="63">
        <f t="shared" si="115"/>
        <v>0</v>
      </c>
      <c r="S140" s="60">
        <f t="shared" si="116"/>
        <v>0</v>
      </c>
      <c r="T140" s="63">
        <f t="shared" si="117"/>
        <v>0</v>
      </c>
      <c r="U140" s="63">
        <v>0.01</v>
      </c>
      <c r="V140" s="63">
        <f t="shared" si="118"/>
        <v>0.319391768506813</v>
      </c>
      <c r="W140" s="63">
        <f t="shared" si="119"/>
        <v>0.0185846560846561</v>
      </c>
      <c r="X140" s="61">
        <v>0.188</v>
      </c>
      <c r="Y140" s="64">
        <v>0</v>
      </c>
      <c r="Z140" s="64">
        <f>F140*0</f>
        <v>0</v>
      </c>
      <c r="AA140" s="64">
        <f t="shared" si="120"/>
        <v>0.378</v>
      </c>
      <c r="AB140" s="57">
        <f t="shared" si="121"/>
        <v>7.1064</v>
      </c>
      <c r="AC140" s="57">
        <v>100.1</v>
      </c>
      <c r="AD140" s="65">
        <f t="shared" si="122"/>
        <v>88.5840707964602</v>
      </c>
      <c r="AE140" s="62">
        <f t="shared" si="123"/>
        <v>1</v>
      </c>
      <c r="AF140" s="63">
        <f t="shared" si="124"/>
        <v>0.292936742051786</v>
      </c>
      <c r="AG140" s="63">
        <f t="shared" si="125"/>
        <v>0.00330687830687831</v>
      </c>
      <c r="AH140" s="62">
        <v>8</v>
      </c>
      <c r="AI140" s="63">
        <f t="shared" si="126"/>
        <v>0.330199672667758</v>
      </c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 t="s">
        <v>600</v>
      </c>
      <c r="AU140" s="66" t="s">
        <v>600</v>
      </c>
      <c r="AV140" s="66" t="s">
        <v>600</v>
      </c>
      <c r="AW140" s="66" t="s">
        <v>600</v>
      </c>
      <c r="AX140" s="66" t="s">
        <v>600</v>
      </c>
      <c r="AY140" s="66" t="s">
        <v>600</v>
      </c>
      <c r="AZ140" s="66" t="s">
        <v>600</v>
      </c>
      <c r="BA140" s="66" t="s">
        <v>600</v>
      </c>
      <c r="BB140" s="66" t="s">
        <v>600</v>
      </c>
      <c r="BC140" s="66" t="s">
        <v>600</v>
      </c>
      <c r="BD140" s="66" t="s">
        <v>600</v>
      </c>
      <c r="BE140" s="66" t="s">
        <v>600</v>
      </c>
      <c r="BF140" s="66" t="s">
        <v>600</v>
      </c>
      <c r="BG140" s="66" t="s">
        <v>600</v>
      </c>
      <c r="BH140" s="66" t="s">
        <v>600</v>
      </c>
      <c r="BI140" s="66" t="s">
        <v>600</v>
      </c>
      <c r="BJ140" s="66" t="s">
        <v>600</v>
      </c>
      <c r="BK140" s="66" t="s">
        <v>600</v>
      </c>
      <c r="BL140" s="66" t="s">
        <v>600</v>
      </c>
      <c r="BM140" s="66" t="s">
        <v>600</v>
      </c>
      <c r="BN140" s="66" t="s">
        <v>600</v>
      </c>
      <c r="BO140" s="66" t="s">
        <v>600</v>
      </c>
      <c r="BP140" s="66" t="s">
        <v>600</v>
      </c>
      <c r="BQ140" s="66" t="s">
        <v>600</v>
      </c>
      <c r="BR140" s="70" t="e">
        <f>IF(E140&lt;#REF!,1,0)</f>
        <v>#REF!</v>
      </c>
      <c r="BS140" s="68" t="s">
        <v>601</v>
      </c>
    </row>
    <row r="141" ht="15.6" spans="1:71">
      <c r="A141" s="53" t="s">
        <v>609</v>
      </c>
      <c r="B141" s="53" t="s">
        <v>27</v>
      </c>
      <c r="C141" s="53" t="s">
        <v>36</v>
      </c>
      <c r="D141" s="170" t="s">
        <v>640</v>
      </c>
      <c r="E141" s="58">
        <v>37.8</v>
      </c>
      <c r="F141" s="56">
        <v>54.99</v>
      </c>
      <c r="G141" s="59">
        <f t="shared" si="85"/>
        <v>54.99</v>
      </c>
      <c r="H141" s="59">
        <f t="shared" si="107"/>
        <v>45.825</v>
      </c>
      <c r="I141" s="59">
        <f t="shared" si="108"/>
        <v>17.3300911504425</v>
      </c>
      <c r="J141" s="60">
        <f t="shared" si="109"/>
        <v>0.458468019852975</v>
      </c>
      <c r="K141" s="57">
        <f t="shared" si="110"/>
        <v>45.825</v>
      </c>
      <c r="L141" s="163">
        <f t="shared" si="111"/>
        <v>0.175122749590835</v>
      </c>
      <c r="M141" s="59">
        <f t="shared" si="112"/>
        <v>8.02500000000001</v>
      </c>
      <c r="N141" s="57">
        <f t="shared" si="113"/>
        <v>96.5840707964602</v>
      </c>
      <c r="O141" s="57">
        <f t="shared" si="114"/>
        <v>0.9125</v>
      </c>
      <c r="P141" s="53">
        <v>20</v>
      </c>
      <c r="Q141" s="62">
        <v>8</v>
      </c>
      <c r="R141" s="63">
        <f t="shared" si="115"/>
        <v>0</v>
      </c>
      <c r="S141" s="60">
        <f t="shared" si="116"/>
        <v>0</v>
      </c>
      <c r="T141" s="63">
        <f t="shared" si="117"/>
        <v>0</v>
      </c>
      <c r="U141" s="63">
        <v>0.01</v>
      </c>
      <c r="V141" s="63">
        <f t="shared" si="118"/>
        <v>0.319391768506813</v>
      </c>
      <c r="W141" s="63">
        <f t="shared" si="119"/>
        <v>0.0241402116402116</v>
      </c>
      <c r="X141" s="61">
        <v>0.188</v>
      </c>
      <c r="Y141" s="64">
        <v>0</v>
      </c>
      <c r="Z141" s="64">
        <f>F141*0</f>
        <v>0</v>
      </c>
      <c r="AA141" s="64">
        <f t="shared" si="120"/>
        <v>0.378</v>
      </c>
      <c r="AB141" s="57">
        <f t="shared" si="121"/>
        <v>7.1064</v>
      </c>
      <c r="AC141" s="57">
        <v>100.1</v>
      </c>
      <c r="AD141" s="65">
        <f t="shared" si="122"/>
        <v>88.5840707964602</v>
      </c>
      <c r="AE141" s="62">
        <f t="shared" si="123"/>
        <v>1</v>
      </c>
      <c r="AF141" s="63">
        <f t="shared" si="124"/>
        <v>0.292936742051786</v>
      </c>
      <c r="AG141" s="63">
        <f t="shared" si="125"/>
        <v>0.00330687830687831</v>
      </c>
      <c r="AH141" s="62">
        <v>8</v>
      </c>
      <c r="AI141" s="63">
        <f t="shared" si="126"/>
        <v>0.330199672667758</v>
      </c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 t="s">
        <v>600</v>
      </c>
      <c r="AU141" s="66" t="s">
        <v>600</v>
      </c>
      <c r="AV141" s="66" t="s">
        <v>600</v>
      </c>
      <c r="AW141" s="66" t="s">
        <v>600</v>
      </c>
      <c r="AX141" s="66" t="s">
        <v>600</v>
      </c>
      <c r="AY141" s="66" t="s">
        <v>600</v>
      </c>
      <c r="AZ141" s="66" t="s">
        <v>600</v>
      </c>
      <c r="BA141" s="66" t="s">
        <v>600</v>
      </c>
      <c r="BB141" s="66" t="s">
        <v>600</v>
      </c>
      <c r="BC141" s="66" t="s">
        <v>600</v>
      </c>
      <c r="BD141" s="66" t="s">
        <v>600</v>
      </c>
      <c r="BE141" s="66" t="s">
        <v>600</v>
      </c>
      <c r="BF141" s="66" t="s">
        <v>600</v>
      </c>
      <c r="BG141" s="66" t="s">
        <v>600</v>
      </c>
      <c r="BH141" s="66" t="s">
        <v>600</v>
      </c>
      <c r="BI141" s="66" t="s">
        <v>600</v>
      </c>
      <c r="BJ141" s="66" t="s">
        <v>600</v>
      </c>
      <c r="BK141" s="66" t="s">
        <v>600</v>
      </c>
      <c r="BL141" s="66" t="s">
        <v>600</v>
      </c>
      <c r="BM141" s="66" t="s">
        <v>600</v>
      </c>
      <c r="BN141" s="66" t="s">
        <v>600</v>
      </c>
      <c r="BO141" s="66" t="s">
        <v>600</v>
      </c>
      <c r="BP141" s="66" t="s">
        <v>600</v>
      </c>
      <c r="BQ141" s="66" t="s">
        <v>600</v>
      </c>
      <c r="BR141" s="70" t="e">
        <f>IF(E141&lt;#REF!,1,0)</f>
        <v>#REF!</v>
      </c>
      <c r="BS141" s="68" t="s">
        <v>601</v>
      </c>
    </row>
    <row r="142" ht="15.6" spans="1:71">
      <c r="A142" s="53" t="s">
        <v>611</v>
      </c>
      <c r="B142" s="53" t="s">
        <v>27</v>
      </c>
      <c r="C142" s="53" t="s">
        <v>36</v>
      </c>
      <c r="D142" s="170" t="s">
        <v>641</v>
      </c>
      <c r="E142" s="58">
        <v>37.8</v>
      </c>
      <c r="F142" s="56">
        <v>54.99</v>
      </c>
      <c r="G142" s="59">
        <f t="shared" si="85"/>
        <v>54.99</v>
      </c>
      <c r="H142" s="59">
        <f t="shared" si="107"/>
        <v>45.825</v>
      </c>
      <c r="I142" s="59">
        <f t="shared" si="108"/>
        <v>17.5300911504425</v>
      </c>
      <c r="J142" s="60">
        <f t="shared" si="109"/>
        <v>0.463759025143981</v>
      </c>
      <c r="K142" s="57">
        <f t="shared" si="110"/>
        <v>45.825</v>
      </c>
      <c r="L142" s="163">
        <f t="shared" si="111"/>
        <v>0.175122749590835</v>
      </c>
      <c r="M142" s="59">
        <f t="shared" si="112"/>
        <v>8.02500000000001</v>
      </c>
      <c r="N142" s="57">
        <f t="shared" si="113"/>
        <v>96.5840707964602</v>
      </c>
      <c r="O142" s="57">
        <f t="shared" si="114"/>
        <v>0.7125</v>
      </c>
      <c r="P142" s="53">
        <v>20</v>
      </c>
      <c r="Q142" s="62">
        <v>8</v>
      </c>
      <c r="R142" s="63">
        <f t="shared" si="115"/>
        <v>0</v>
      </c>
      <c r="S142" s="60">
        <f t="shared" si="116"/>
        <v>0</v>
      </c>
      <c r="T142" s="63">
        <f t="shared" si="117"/>
        <v>0</v>
      </c>
      <c r="U142" s="63">
        <v>0.01</v>
      </c>
      <c r="V142" s="63">
        <f t="shared" si="118"/>
        <v>0.319391768506813</v>
      </c>
      <c r="W142" s="63">
        <f t="shared" si="119"/>
        <v>0.0188492063492064</v>
      </c>
      <c r="X142" s="61">
        <v>0.188</v>
      </c>
      <c r="Y142" s="64">
        <v>0</v>
      </c>
      <c r="Z142" s="64">
        <f>F142*0</f>
        <v>0</v>
      </c>
      <c r="AA142" s="64">
        <f t="shared" si="120"/>
        <v>0.378</v>
      </c>
      <c r="AB142" s="57">
        <f t="shared" si="121"/>
        <v>7.1064</v>
      </c>
      <c r="AC142" s="57">
        <v>100.1</v>
      </c>
      <c r="AD142" s="65">
        <f t="shared" si="122"/>
        <v>88.5840707964602</v>
      </c>
      <c r="AE142" s="62">
        <f t="shared" si="123"/>
        <v>1</v>
      </c>
      <c r="AF142" s="63">
        <f t="shared" si="124"/>
        <v>0.292936742051786</v>
      </c>
      <c r="AG142" s="63">
        <f t="shared" si="125"/>
        <v>0.00330687830687831</v>
      </c>
      <c r="AH142" s="62">
        <v>8</v>
      </c>
      <c r="AI142" s="63">
        <f t="shared" si="126"/>
        <v>0.330199672667758</v>
      </c>
      <c r="AJ142" s="63"/>
      <c r="AK142" s="63"/>
      <c r="AL142" s="63"/>
      <c r="AM142" s="63"/>
      <c r="AN142" s="66"/>
      <c r="AO142" s="66"/>
      <c r="AP142" s="66"/>
      <c r="AQ142" s="66"/>
      <c r="AR142" s="66"/>
      <c r="AS142" s="66"/>
      <c r="AT142" s="66" t="s">
        <v>600</v>
      </c>
      <c r="AU142" s="66" t="s">
        <v>600</v>
      </c>
      <c r="AV142" s="66" t="s">
        <v>600</v>
      </c>
      <c r="AW142" s="66" t="s">
        <v>600</v>
      </c>
      <c r="AX142" s="66" t="s">
        <v>600</v>
      </c>
      <c r="AY142" s="66" t="s">
        <v>600</v>
      </c>
      <c r="AZ142" s="66" t="s">
        <v>600</v>
      </c>
      <c r="BA142" s="66" t="s">
        <v>600</v>
      </c>
      <c r="BB142" s="66" t="s">
        <v>600</v>
      </c>
      <c r="BC142" s="66" t="s">
        <v>600</v>
      </c>
      <c r="BD142" s="66" t="s">
        <v>600</v>
      </c>
      <c r="BE142" s="66" t="s">
        <v>600</v>
      </c>
      <c r="BF142" s="66" t="s">
        <v>600</v>
      </c>
      <c r="BG142" s="66" t="s">
        <v>600</v>
      </c>
      <c r="BH142" s="66" t="s">
        <v>600</v>
      </c>
      <c r="BI142" s="66" t="s">
        <v>600</v>
      </c>
      <c r="BJ142" s="66" t="s">
        <v>600</v>
      </c>
      <c r="BK142" s="66" t="s">
        <v>600</v>
      </c>
      <c r="BL142" s="66" t="s">
        <v>600</v>
      </c>
      <c r="BM142" s="66" t="s">
        <v>600</v>
      </c>
      <c r="BN142" s="66" t="s">
        <v>600</v>
      </c>
      <c r="BO142" s="66" t="s">
        <v>600</v>
      </c>
      <c r="BP142" s="66" t="s">
        <v>600</v>
      </c>
      <c r="BQ142" s="66" t="s">
        <v>600</v>
      </c>
      <c r="BR142" s="70" t="e">
        <f>IF(E142&lt;#REF!,1,0)</f>
        <v>#REF!</v>
      </c>
      <c r="BS142" s="68" t="s">
        <v>601</v>
      </c>
    </row>
    <row r="143" ht="15.6" spans="1:71">
      <c r="A143" s="15"/>
      <c r="B143" s="15"/>
      <c r="C143" s="15"/>
      <c r="D143" s="15"/>
      <c r="E143" s="57"/>
      <c r="F143" s="69"/>
      <c r="G143" s="59"/>
      <c r="H143" s="59"/>
      <c r="I143" s="59"/>
      <c r="J143" s="60"/>
      <c r="K143" s="57"/>
      <c r="L143" s="57"/>
      <c r="M143" s="57"/>
      <c r="N143" s="57"/>
      <c r="O143" s="57"/>
      <c r="P143" s="53"/>
      <c r="Q143" s="62"/>
      <c r="R143" s="63"/>
      <c r="S143" s="60"/>
      <c r="T143" s="63"/>
      <c r="U143" s="63"/>
      <c r="V143" s="63"/>
      <c r="W143" s="63"/>
      <c r="X143" s="61"/>
      <c r="Y143" s="64"/>
      <c r="Z143" s="64"/>
      <c r="AA143" s="64"/>
      <c r="AB143" s="57"/>
      <c r="AC143" s="57"/>
      <c r="AD143" s="65"/>
      <c r="AE143" s="62"/>
      <c r="AF143" s="63"/>
      <c r="AG143" s="63"/>
      <c r="AH143" s="62"/>
      <c r="AI143" s="63"/>
      <c r="AJ143" s="63"/>
      <c r="AK143" s="63"/>
      <c r="AL143" s="63"/>
      <c r="AM143" s="63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6"/>
      <c r="BR143" s="70"/>
      <c r="BS143" s="68"/>
    </row>
    <row r="144" ht="15.6" spans="1:71">
      <c r="A144" s="68" t="s">
        <v>300</v>
      </c>
      <c r="B144" s="53" t="s">
        <v>27</v>
      </c>
      <c r="C144" s="175" t="s">
        <v>40</v>
      </c>
      <c r="D144" s="168" t="s">
        <v>642</v>
      </c>
      <c r="E144" s="176">
        <v>51.5</v>
      </c>
      <c r="F144" s="177">
        <v>74.99</v>
      </c>
      <c r="G144" s="59">
        <f t="shared" ref="G144:G162" si="127">(F144-Z144)</f>
        <v>74.99</v>
      </c>
      <c r="H144" s="59">
        <f t="shared" ref="H144:H162" si="128">(F144-Z144)/1.2</f>
        <v>62.4916666666667</v>
      </c>
      <c r="I144" s="59">
        <f t="shared" ref="I144:I162" si="129">E144-N144/Q144-AB144-Y144-O144-Z144-AA144</f>
        <v>10.6198559488692</v>
      </c>
      <c r="J144" s="60">
        <f t="shared" ref="J144:J162" si="130">I144/E144</f>
        <v>0.206210795123674</v>
      </c>
      <c r="K144" s="57">
        <f t="shared" ref="K144:K162" si="131">F144/1.2</f>
        <v>62.4916666666667</v>
      </c>
      <c r="L144" s="163">
        <f t="shared" ref="L144:L162" si="132">(K144-E144)/K144</f>
        <v>0.175890118682491</v>
      </c>
      <c r="M144" s="59">
        <f t="shared" ref="M144:M162" si="133">F144/1.2-E144</f>
        <v>10.9916666666667</v>
      </c>
      <c r="N144" s="57">
        <f>AD144+AH145</f>
        <v>202.070796460177</v>
      </c>
      <c r="O144" s="57">
        <f t="shared" ref="O144:O162" si="134">IFERROR(IF(A144="UK",8.95/P144,IF(A144="DE",7.75/P144,IF(A144="FR",14.25/P144,IF(A144="IT",15.25/P144,IF(A144="ES",19.25/P144,IF(A144="NL",16.75/P144,IF(A144="PL",14.05/P144,IF(A144="SE",18.25/P144,IF(A144="BE",14.25/P144))))))))),0)</f>
        <v>0.745833333333333</v>
      </c>
      <c r="P144" s="68">
        <v>12</v>
      </c>
      <c r="Q144" s="62">
        <v>9</v>
      </c>
      <c r="R144" s="63">
        <f t="shared" ref="R144:R162" si="135">Y144/E144</f>
        <v>0.155339805825243</v>
      </c>
      <c r="S144" s="60">
        <f t="shared" ref="S144:S162" si="136">Y144/F144</f>
        <v>0.106680890785438</v>
      </c>
      <c r="T144" s="63">
        <f t="shared" ref="T144:T162" si="137">Z144/E144</f>
        <v>0</v>
      </c>
      <c r="U144" s="63">
        <v>0.01</v>
      </c>
      <c r="V144" s="63">
        <f t="shared" ref="V144:V162" si="138">N144/(E144*Q144)</f>
        <v>0.435967198403834</v>
      </c>
      <c r="W144" s="63">
        <f t="shared" ref="W144:W162" si="139">O144/E144</f>
        <v>0.0144822006472492</v>
      </c>
      <c r="X144" s="61">
        <v>0.178</v>
      </c>
      <c r="Y144" s="64">
        <v>8</v>
      </c>
      <c r="Z144" s="64">
        <v>0</v>
      </c>
      <c r="AA144" s="64">
        <f t="shared" ref="AA144:AA162" si="140">E144*U144</f>
        <v>0.515</v>
      </c>
      <c r="AB144" s="57">
        <f t="shared" ref="AB144:AB162" si="141">E144*X144</f>
        <v>9.167</v>
      </c>
      <c r="AC144" s="57">
        <v>208</v>
      </c>
      <c r="AD144" s="65">
        <f t="shared" ref="AD144:AD162" si="142">AC144/1.13</f>
        <v>184.070796460177</v>
      </c>
      <c r="AE144" s="62">
        <f>AH145/Q144</f>
        <v>2</v>
      </c>
      <c r="AF144" s="63">
        <f t="shared" ref="AF144:AF162" si="143">AD144/(E144*Q144)</f>
        <v>0.397132246947523</v>
      </c>
      <c r="AG144" s="63">
        <f t="shared" ref="AG144:AG162" si="144">AE144/Q144/E144</f>
        <v>0.00431499460625674</v>
      </c>
      <c r="AH144" s="62">
        <v>18</v>
      </c>
      <c r="AI144" s="63">
        <f t="shared" ref="AI144:AI151" si="145">(H144-E144+AB144)/H144</f>
        <v>0.322581677557008</v>
      </c>
      <c r="AJ144" s="63"/>
      <c r="AK144" s="63"/>
      <c r="AL144" s="63"/>
      <c r="AM144" s="63"/>
      <c r="AN144" s="66"/>
      <c r="AO144" s="66"/>
      <c r="AP144" s="66"/>
      <c r="AQ144" s="66"/>
      <c r="AR144" s="66"/>
      <c r="AS144" s="66"/>
      <c r="AT144" s="66" t="s">
        <v>600</v>
      </c>
      <c r="AU144" s="66" t="s">
        <v>600</v>
      </c>
      <c r="AV144" s="66" t="s">
        <v>600</v>
      </c>
      <c r="AW144" s="66" t="s">
        <v>600</v>
      </c>
      <c r="AX144" s="66" t="s">
        <v>600</v>
      </c>
      <c r="AY144" s="66" t="s">
        <v>600</v>
      </c>
      <c r="AZ144" s="66" t="s">
        <v>600</v>
      </c>
      <c r="BA144" s="66" t="s">
        <v>600</v>
      </c>
      <c r="BB144" s="66" t="s">
        <v>600</v>
      </c>
      <c r="BC144" s="66" t="s">
        <v>600</v>
      </c>
      <c r="BD144" s="66" t="s">
        <v>600</v>
      </c>
      <c r="BE144" s="66" t="s">
        <v>600</v>
      </c>
      <c r="BF144" s="66" t="s">
        <v>600</v>
      </c>
      <c r="BG144" s="66" t="s">
        <v>600</v>
      </c>
      <c r="BH144" s="66" t="s">
        <v>600</v>
      </c>
      <c r="BI144" s="66" t="s">
        <v>600</v>
      </c>
      <c r="BJ144" s="66" t="s">
        <v>600</v>
      </c>
      <c r="BK144" s="66" t="s">
        <v>600</v>
      </c>
      <c r="BL144" s="66" t="s">
        <v>600</v>
      </c>
      <c r="BM144" s="66" t="s">
        <v>600</v>
      </c>
      <c r="BN144" s="66" t="s">
        <v>600</v>
      </c>
      <c r="BO144" s="66" t="s">
        <v>600</v>
      </c>
      <c r="BP144" s="66" t="s">
        <v>600</v>
      </c>
      <c r="BQ144" s="66" t="s">
        <v>600</v>
      </c>
      <c r="BR144" s="164"/>
      <c r="BS144" s="68" t="s">
        <v>601</v>
      </c>
    </row>
    <row r="145" ht="15.6" spans="1:71">
      <c r="A145" s="68" t="s">
        <v>300</v>
      </c>
      <c r="B145" s="53" t="s">
        <v>27</v>
      </c>
      <c r="C145" s="175" t="s">
        <v>40</v>
      </c>
      <c r="D145" s="168" t="s">
        <v>643</v>
      </c>
      <c r="E145" s="176">
        <v>51.5</v>
      </c>
      <c r="F145" s="178">
        <v>74.99</v>
      </c>
      <c r="G145" s="59">
        <f t="shared" si="127"/>
        <v>67.491</v>
      </c>
      <c r="H145" s="59">
        <f t="shared" si="128"/>
        <v>56.2425</v>
      </c>
      <c r="I145" s="165">
        <f t="shared" si="129"/>
        <v>3.12085594886922</v>
      </c>
      <c r="J145" s="60">
        <f t="shared" si="130"/>
        <v>0.0605991446382373</v>
      </c>
      <c r="K145" s="57">
        <f t="shared" si="131"/>
        <v>62.4916666666667</v>
      </c>
      <c r="L145" s="163">
        <f t="shared" si="132"/>
        <v>0.175890118682491</v>
      </c>
      <c r="M145" s="59">
        <f t="shared" si="133"/>
        <v>10.9916666666667</v>
      </c>
      <c r="N145" s="57">
        <f>AD145+AH145</f>
        <v>202.070796460177</v>
      </c>
      <c r="O145" s="57">
        <f t="shared" si="134"/>
        <v>0.745833333333333</v>
      </c>
      <c r="P145" s="53">
        <v>12</v>
      </c>
      <c r="Q145" s="62">
        <v>9</v>
      </c>
      <c r="R145" s="63">
        <f t="shared" si="135"/>
        <v>0.155339805825243</v>
      </c>
      <c r="S145" s="60">
        <f t="shared" si="136"/>
        <v>0.106680890785438</v>
      </c>
      <c r="T145" s="63">
        <f t="shared" si="137"/>
        <v>0.145611650485437</v>
      </c>
      <c r="U145" s="63">
        <v>0.01</v>
      </c>
      <c r="V145" s="63">
        <f t="shared" si="138"/>
        <v>0.435967198403834</v>
      </c>
      <c r="W145" s="63">
        <f t="shared" si="139"/>
        <v>0.0144822006472492</v>
      </c>
      <c r="X145" s="61">
        <v>0.178</v>
      </c>
      <c r="Y145" s="64">
        <v>8</v>
      </c>
      <c r="Z145" s="64">
        <f>F145*0.1</f>
        <v>7.499</v>
      </c>
      <c r="AA145" s="64">
        <f t="shared" si="140"/>
        <v>0.515</v>
      </c>
      <c r="AB145" s="57">
        <f t="shared" si="141"/>
        <v>9.167</v>
      </c>
      <c r="AC145" s="57">
        <v>208</v>
      </c>
      <c r="AD145" s="65">
        <f t="shared" si="142"/>
        <v>184.070796460177</v>
      </c>
      <c r="AE145" s="62">
        <f>AH145/Q145</f>
        <v>2</v>
      </c>
      <c r="AF145" s="63">
        <f t="shared" si="143"/>
        <v>0.397132246947523</v>
      </c>
      <c r="AG145" s="63">
        <f t="shared" si="144"/>
        <v>0.00431499460625674</v>
      </c>
      <c r="AH145" s="62">
        <v>18</v>
      </c>
      <c r="AI145" s="63">
        <f t="shared" si="145"/>
        <v>0.247312975063342</v>
      </c>
      <c r="AJ145" s="63"/>
      <c r="AK145" s="63"/>
      <c r="AL145" s="63"/>
      <c r="AM145" s="63"/>
      <c r="AN145" s="66"/>
      <c r="AO145" s="66"/>
      <c r="AP145" s="66"/>
      <c r="AQ145" s="66"/>
      <c r="AR145" s="66"/>
      <c r="AS145" s="66"/>
      <c r="AT145" s="66" t="s">
        <v>600</v>
      </c>
      <c r="AU145" s="66" t="s">
        <v>600</v>
      </c>
      <c r="AV145" s="66" t="s">
        <v>600</v>
      </c>
      <c r="AW145" s="66" t="s">
        <v>600</v>
      </c>
      <c r="AX145" s="66" t="s">
        <v>600</v>
      </c>
      <c r="AY145" s="66" t="s">
        <v>600</v>
      </c>
      <c r="AZ145" s="66" t="s">
        <v>600</v>
      </c>
      <c r="BA145" s="66" t="s">
        <v>600</v>
      </c>
      <c r="BB145" s="66" t="s">
        <v>600</v>
      </c>
      <c r="BC145" s="66" t="s">
        <v>600</v>
      </c>
      <c r="BD145" s="66" t="s">
        <v>600</v>
      </c>
      <c r="BE145" s="66" t="s">
        <v>600</v>
      </c>
      <c r="BF145" s="66" t="s">
        <v>600</v>
      </c>
      <c r="BG145" s="66" t="s">
        <v>600</v>
      </c>
      <c r="BH145" s="66" t="s">
        <v>600</v>
      </c>
      <c r="BI145" s="66" t="s">
        <v>600</v>
      </c>
      <c r="BJ145" s="66" t="s">
        <v>600</v>
      </c>
      <c r="BK145" s="66" t="s">
        <v>600</v>
      </c>
      <c r="BL145" s="66" t="s">
        <v>600</v>
      </c>
      <c r="BM145" s="66" t="s">
        <v>600</v>
      </c>
      <c r="BN145" s="66" t="s">
        <v>600</v>
      </c>
      <c r="BO145" s="66" t="s">
        <v>600</v>
      </c>
      <c r="BP145" s="66" t="s">
        <v>600</v>
      </c>
      <c r="BQ145" s="66" t="s">
        <v>600</v>
      </c>
      <c r="BR145" s="164"/>
      <c r="BS145" s="68" t="s">
        <v>601</v>
      </c>
    </row>
    <row r="146" ht="15.6" spans="1:71">
      <c r="A146" s="68" t="s">
        <v>300</v>
      </c>
      <c r="B146" s="53" t="s">
        <v>27</v>
      </c>
      <c r="C146" s="175" t="s">
        <v>40</v>
      </c>
      <c r="D146" s="168" t="s">
        <v>644</v>
      </c>
      <c r="E146" s="176">
        <v>51.5</v>
      </c>
      <c r="F146" s="178">
        <v>74.99</v>
      </c>
      <c r="G146" s="59">
        <f t="shared" si="127"/>
        <v>63.7415</v>
      </c>
      <c r="H146" s="59">
        <f t="shared" si="128"/>
        <v>53.1179166666667</v>
      </c>
      <c r="I146" s="59">
        <f t="shared" si="129"/>
        <v>-0.628644051130779</v>
      </c>
      <c r="J146" s="60">
        <f t="shared" si="130"/>
        <v>-0.0122066806044811</v>
      </c>
      <c r="K146" s="57">
        <f t="shared" si="131"/>
        <v>62.4916666666667</v>
      </c>
      <c r="L146" s="163">
        <f t="shared" si="132"/>
        <v>0.175890118682491</v>
      </c>
      <c r="M146" s="59">
        <f t="shared" si="133"/>
        <v>10.9916666666667</v>
      </c>
      <c r="N146" s="57">
        <f>AD146+AH146</f>
        <v>202.070796460177</v>
      </c>
      <c r="O146" s="57">
        <f t="shared" si="134"/>
        <v>0.745833333333333</v>
      </c>
      <c r="P146" s="53">
        <v>12</v>
      </c>
      <c r="Q146" s="62">
        <v>9</v>
      </c>
      <c r="R146" s="63">
        <f t="shared" si="135"/>
        <v>0.155339805825243</v>
      </c>
      <c r="S146" s="60">
        <f t="shared" si="136"/>
        <v>0.106680890785438</v>
      </c>
      <c r="T146" s="63">
        <f t="shared" si="137"/>
        <v>0.218417475728155</v>
      </c>
      <c r="U146" s="63">
        <v>0.01</v>
      </c>
      <c r="V146" s="63">
        <f t="shared" si="138"/>
        <v>0.435967198403834</v>
      </c>
      <c r="W146" s="63">
        <f t="shared" si="139"/>
        <v>0.0144822006472492</v>
      </c>
      <c r="X146" s="61">
        <v>0.178</v>
      </c>
      <c r="Y146" s="64">
        <v>8</v>
      </c>
      <c r="Z146" s="64">
        <f>F146*0.15</f>
        <v>11.2485</v>
      </c>
      <c r="AA146" s="64">
        <f t="shared" si="140"/>
        <v>0.515</v>
      </c>
      <c r="AB146" s="57">
        <f t="shared" si="141"/>
        <v>9.167</v>
      </c>
      <c r="AC146" s="57">
        <v>208</v>
      </c>
      <c r="AD146" s="65">
        <f t="shared" si="142"/>
        <v>184.070796460177</v>
      </c>
      <c r="AE146" s="62">
        <f>AH146/Q146</f>
        <v>2</v>
      </c>
      <c r="AF146" s="63">
        <f t="shared" si="143"/>
        <v>0.397132246947523</v>
      </c>
      <c r="AG146" s="63">
        <f t="shared" si="144"/>
        <v>0.00431499460625674</v>
      </c>
      <c r="AH146" s="62">
        <v>18</v>
      </c>
      <c r="AI146" s="63">
        <f t="shared" si="145"/>
        <v>0.203037267714127</v>
      </c>
      <c r="AJ146" s="63"/>
      <c r="AK146" s="63"/>
      <c r="AL146" s="63"/>
      <c r="AM146" s="63"/>
      <c r="AN146" s="66"/>
      <c r="AO146" s="66"/>
      <c r="AP146" s="66"/>
      <c r="AQ146" s="66"/>
      <c r="AR146" s="66"/>
      <c r="AS146" s="66"/>
      <c r="AT146" s="66" t="s">
        <v>600</v>
      </c>
      <c r="AU146" s="66" t="s">
        <v>600</v>
      </c>
      <c r="AV146" s="66" t="s">
        <v>600</v>
      </c>
      <c r="AW146" s="66" t="s">
        <v>600</v>
      </c>
      <c r="AX146" s="66" t="s">
        <v>600</v>
      </c>
      <c r="AY146" s="66" t="s">
        <v>600</v>
      </c>
      <c r="AZ146" s="66" t="s">
        <v>600</v>
      </c>
      <c r="BA146" s="66" t="s">
        <v>600</v>
      </c>
      <c r="BB146" s="66" t="s">
        <v>600</v>
      </c>
      <c r="BC146" s="66" t="s">
        <v>600</v>
      </c>
      <c r="BD146" s="66" t="s">
        <v>600</v>
      </c>
      <c r="BE146" s="66" t="s">
        <v>600</v>
      </c>
      <c r="BF146" s="66" t="s">
        <v>600</v>
      </c>
      <c r="BG146" s="66" t="s">
        <v>600</v>
      </c>
      <c r="BH146" s="66" t="s">
        <v>600</v>
      </c>
      <c r="BI146" s="66" t="s">
        <v>600</v>
      </c>
      <c r="BJ146" s="66" t="s">
        <v>600</v>
      </c>
      <c r="BK146" s="66" t="s">
        <v>600</v>
      </c>
      <c r="BL146" s="66" t="s">
        <v>600</v>
      </c>
      <c r="BM146" s="66" t="s">
        <v>600</v>
      </c>
      <c r="BN146" s="66" t="s">
        <v>600</v>
      </c>
      <c r="BO146" s="66" t="s">
        <v>600</v>
      </c>
      <c r="BP146" s="66" t="s">
        <v>600</v>
      </c>
      <c r="BQ146" s="66" t="s">
        <v>600</v>
      </c>
      <c r="BR146" s="164"/>
      <c r="BS146" s="68" t="s">
        <v>601</v>
      </c>
    </row>
    <row r="147" ht="15.6" spans="1:71">
      <c r="A147" s="53" t="s">
        <v>277</v>
      </c>
      <c r="B147" s="53" t="s">
        <v>27</v>
      </c>
      <c r="C147" s="175" t="s">
        <v>40</v>
      </c>
      <c r="D147" s="168" t="s">
        <v>642</v>
      </c>
      <c r="E147" s="176">
        <v>56.5</v>
      </c>
      <c r="F147" s="177">
        <v>81.99</v>
      </c>
      <c r="G147" s="59">
        <f t="shared" si="127"/>
        <v>81.99</v>
      </c>
      <c r="H147" s="59">
        <f t="shared" si="128"/>
        <v>68.325</v>
      </c>
      <c r="I147" s="59">
        <f t="shared" si="129"/>
        <v>12.0333171091445</v>
      </c>
      <c r="J147" s="60">
        <f t="shared" si="130"/>
        <v>0.212979063878664</v>
      </c>
      <c r="K147" s="57">
        <f t="shared" si="131"/>
        <v>68.325</v>
      </c>
      <c r="L147" s="163">
        <f t="shared" si="132"/>
        <v>0.173069886571533</v>
      </c>
      <c r="M147" s="59">
        <f t="shared" si="133"/>
        <v>11.825</v>
      </c>
      <c r="N147" s="57">
        <f>AD147+AH148</f>
        <v>197.070796460177</v>
      </c>
      <c r="O147" s="57">
        <f t="shared" si="134"/>
        <v>0.645833333333333</v>
      </c>
      <c r="P147" s="68">
        <v>12</v>
      </c>
      <c r="Q147" s="62">
        <v>8</v>
      </c>
      <c r="R147" s="63">
        <f t="shared" si="135"/>
        <v>0.141592920353982</v>
      </c>
      <c r="S147" s="60">
        <f t="shared" si="136"/>
        <v>0.0975728747408221</v>
      </c>
      <c r="T147" s="63">
        <f t="shared" si="137"/>
        <v>0</v>
      </c>
      <c r="U147" s="63">
        <v>0.01</v>
      </c>
      <c r="V147" s="63">
        <f t="shared" si="138"/>
        <v>0.435997337301277</v>
      </c>
      <c r="W147" s="63">
        <f t="shared" si="139"/>
        <v>0.0114306784660767</v>
      </c>
      <c r="X147" s="61">
        <v>0.188</v>
      </c>
      <c r="Y147" s="64">
        <v>8</v>
      </c>
      <c r="Z147" s="64">
        <v>0</v>
      </c>
      <c r="AA147" s="64">
        <f t="shared" si="140"/>
        <v>0.565</v>
      </c>
      <c r="AB147" s="57">
        <f t="shared" si="141"/>
        <v>10.622</v>
      </c>
      <c r="AC147" s="57">
        <v>208</v>
      </c>
      <c r="AD147" s="65">
        <f t="shared" si="142"/>
        <v>184.070796460177</v>
      </c>
      <c r="AE147" s="62">
        <f>AH148/Q147</f>
        <v>1.625</v>
      </c>
      <c r="AF147" s="63">
        <f t="shared" si="143"/>
        <v>0.407236275354374</v>
      </c>
      <c r="AG147" s="63">
        <f t="shared" si="144"/>
        <v>0.00359513274336283</v>
      </c>
      <c r="AH147" s="62">
        <v>13</v>
      </c>
      <c r="AI147" s="63">
        <f t="shared" si="145"/>
        <v>0.328532747896085</v>
      </c>
      <c r="AJ147" s="63"/>
      <c r="AK147" s="63"/>
      <c r="AL147" s="63"/>
      <c r="AM147" s="63"/>
      <c r="AN147" s="66"/>
      <c r="AO147" s="66"/>
      <c r="AP147" s="66"/>
      <c r="AQ147" s="66"/>
      <c r="AR147" s="66"/>
      <c r="AS147" s="66"/>
      <c r="AT147" s="66" t="s">
        <v>600</v>
      </c>
      <c r="AU147" s="66" t="s">
        <v>600</v>
      </c>
      <c r="AV147" s="66" t="s">
        <v>600</v>
      </c>
      <c r="AW147" s="66" t="s">
        <v>600</v>
      </c>
      <c r="AX147" s="66" t="s">
        <v>600</v>
      </c>
      <c r="AY147" s="66" t="s">
        <v>600</v>
      </c>
      <c r="AZ147" s="66" t="s">
        <v>600</v>
      </c>
      <c r="BA147" s="66" t="s">
        <v>600</v>
      </c>
      <c r="BB147" s="66" t="s">
        <v>600</v>
      </c>
      <c r="BC147" s="66" t="s">
        <v>600</v>
      </c>
      <c r="BD147" s="66" t="s">
        <v>600</v>
      </c>
      <c r="BE147" s="66" t="s">
        <v>600</v>
      </c>
      <c r="BF147" s="66" t="s">
        <v>600</v>
      </c>
      <c r="BG147" s="66" t="s">
        <v>600</v>
      </c>
      <c r="BH147" s="66" t="s">
        <v>600</v>
      </c>
      <c r="BI147" s="66" t="s">
        <v>600</v>
      </c>
      <c r="BJ147" s="66" t="s">
        <v>600</v>
      </c>
      <c r="BK147" s="66" t="s">
        <v>600</v>
      </c>
      <c r="BL147" s="66" t="s">
        <v>600</v>
      </c>
      <c r="BM147" s="66" t="s">
        <v>600</v>
      </c>
      <c r="BN147" s="66" t="s">
        <v>600</v>
      </c>
      <c r="BO147" s="66" t="s">
        <v>600</v>
      </c>
      <c r="BP147" s="66" t="s">
        <v>600</v>
      </c>
      <c r="BQ147" s="66" t="s">
        <v>600</v>
      </c>
      <c r="BR147" s="164"/>
      <c r="BS147" s="68" t="s">
        <v>601</v>
      </c>
    </row>
    <row r="148" ht="15.6" spans="1:71">
      <c r="A148" s="53" t="s">
        <v>277</v>
      </c>
      <c r="B148" s="53" t="s">
        <v>27</v>
      </c>
      <c r="C148" s="175" t="s">
        <v>40</v>
      </c>
      <c r="D148" s="168" t="s">
        <v>643</v>
      </c>
      <c r="E148" s="176">
        <v>56.5</v>
      </c>
      <c r="F148" s="177">
        <v>81.99</v>
      </c>
      <c r="G148" s="59">
        <f t="shared" si="127"/>
        <v>73.791</v>
      </c>
      <c r="H148" s="59">
        <f t="shared" si="128"/>
        <v>61.4925</v>
      </c>
      <c r="I148" s="165">
        <f t="shared" si="129"/>
        <v>3.83431710914454</v>
      </c>
      <c r="J148" s="60">
        <f t="shared" si="130"/>
        <v>0.0678640196308768</v>
      </c>
      <c r="K148" s="57">
        <f t="shared" si="131"/>
        <v>68.325</v>
      </c>
      <c r="L148" s="163">
        <f t="shared" si="132"/>
        <v>0.173069886571533</v>
      </c>
      <c r="M148" s="59">
        <f t="shared" si="133"/>
        <v>11.825</v>
      </c>
      <c r="N148" s="57">
        <f t="shared" ref="N148:N162" si="146">AD148+AH148</f>
        <v>197.070796460177</v>
      </c>
      <c r="O148" s="57">
        <f t="shared" si="134"/>
        <v>0.645833333333333</v>
      </c>
      <c r="P148" s="53">
        <v>12</v>
      </c>
      <c r="Q148" s="62">
        <v>8</v>
      </c>
      <c r="R148" s="63">
        <f t="shared" si="135"/>
        <v>0.141592920353982</v>
      </c>
      <c r="S148" s="60">
        <f t="shared" si="136"/>
        <v>0.0975728747408221</v>
      </c>
      <c r="T148" s="63">
        <f t="shared" si="137"/>
        <v>0.145115044247788</v>
      </c>
      <c r="U148" s="63">
        <v>0.01</v>
      </c>
      <c r="V148" s="63">
        <f t="shared" si="138"/>
        <v>0.435997337301277</v>
      </c>
      <c r="W148" s="63">
        <f t="shared" si="139"/>
        <v>0.0114306784660767</v>
      </c>
      <c r="X148" s="61">
        <v>0.188</v>
      </c>
      <c r="Y148" s="64">
        <v>8</v>
      </c>
      <c r="Z148" s="64">
        <f>F148*0.1</f>
        <v>8.199</v>
      </c>
      <c r="AA148" s="64">
        <f t="shared" si="140"/>
        <v>0.565</v>
      </c>
      <c r="AB148" s="57">
        <f t="shared" si="141"/>
        <v>10.622</v>
      </c>
      <c r="AC148" s="57">
        <v>208</v>
      </c>
      <c r="AD148" s="65">
        <f t="shared" si="142"/>
        <v>184.070796460177</v>
      </c>
      <c r="AE148" s="62">
        <f t="shared" ref="AE148:AE162" si="147">AH148/Q148</f>
        <v>1.625</v>
      </c>
      <c r="AF148" s="63">
        <f t="shared" si="143"/>
        <v>0.407236275354374</v>
      </c>
      <c r="AG148" s="63">
        <f t="shared" si="144"/>
        <v>0.00359513274336283</v>
      </c>
      <c r="AH148" s="62">
        <v>13</v>
      </c>
      <c r="AI148" s="63">
        <f t="shared" si="145"/>
        <v>0.253925275440094</v>
      </c>
      <c r="AJ148" s="63"/>
      <c r="AK148" s="63"/>
      <c r="AL148" s="63"/>
      <c r="AM148" s="63"/>
      <c r="AN148" s="66"/>
      <c r="AO148" s="66"/>
      <c r="AP148" s="66"/>
      <c r="AQ148" s="66"/>
      <c r="AR148" s="66"/>
      <c r="AS148" s="66"/>
      <c r="AT148" s="66" t="s">
        <v>600</v>
      </c>
      <c r="AU148" s="66" t="s">
        <v>600</v>
      </c>
      <c r="AV148" s="66" t="s">
        <v>600</v>
      </c>
      <c r="AW148" s="66" t="s">
        <v>600</v>
      </c>
      <c r="AX148" s="66" t="s">
        <v>600</v>
      </c>
      <c r="AY148" s="66" t="s">
        <v>600</v>
      </c>
      <c r="AZ148" s="66" t="s">
        <v>600</v>
      </c>
      <c r="BA148" s="66" t="s">
        <v>600</v>
      </c>
      <c r="BB148" s="66" t="s">
        <v>600</v>
      </c>
      <c r="BC148" s="66" t="s">
        <v>600</v>
      </c>
      <c r="BD148" s="66" t="s">
        <v>600</v>
      </c>
      <c r="BE148" s="66" t="s">
        <v>600</v>
      </c>
      <c r="BF148" s="66" t="s">
        <v>600</v>
      </c>
      <c r="BG148" s="66" t="s">
        <v>600</v>
      </c>
      <c r="BH148" s="66" t="s">
        <v>600</v>
      </c>
      <c r="BI148" s="66" t="s">
        <v>600</v>
      </c>
      <c r="BJ148" s="66" t="s">
        <v>600</v>
      </c>
      <c r="BK148" s="66" t="s">
        <v>600</v>
      </c>
      <c r="BL148" s="66" t="s">
        <v>600</v>
      </c>
      <c r="BM148" s="66" t="s">
        <v>600</v>
      </c>
      <c r="BN148" s="66" t="s">
        <v>600</v>
      </c>
      <c r="BO148" s="66" t="s">
        <v>600</v>
      </c>
      <c r="BP148" s="66" t="s">
        <v>600</v>
      </c>
      <c r="BQ148" s="66" t="s">
        <v>600</v>
      </c>
      <c r="BR148" s="164"/>
      <c r="BS148" s="68" t="s">
        <v>601</v>
      </c>
    </row>
    <row r="149" ht="15.6" spans="1:71">
      <c r="A149" s="53" t="s">
        <v>277</v>
      </c>
      <c r="B149" s="53" t="s">
        <v>27</v>
      </c>
      <c r="C149" s="175" t="s">
        <v>40</v>
      </c>
      <c r="D149" s="168" t="s">
        <v>644</v>
      </c>
      <c r="E149" s="176">
        <v>56.5</v>
      </c>
      <c r="F149" s="177">
        <v>81.99</v>
      </c>
      <c r="G149" s="59">
        <f t="shared" si="127"/>
        <v>69.6915</v>
      </c>
      <c r="H149" s="59">
        <f t="shared" si="128"/>
        <v>58.07625</v>
      </c>
      <c r="I149" s="59">
        <f t="shared" si="129"/>
        <v>-0.265182890855459</v>
      </c>
      <c r="J149" s="60">
        <f t="shared" si="130"/>
        <v>-0.00469350249301697</v>
      </c>
      <c r="K149" s="57">
        <f t="shared" si="131"/>
        <v>68.325</v>
      </c>
      <c r="L149" s="163">
        <f t="shared" si="132"/>
        <v>0.173069886571533</v>
      </c>
      <c r="M149" s="59">
        <f t="shared" si="133"/>
        <v>11.825</v>
      </c>
      <c r="N149" s="57">
        <f t="shared" si="146"/>
        <v>197.070796460177</v>
      </c>
      <c r="O149" s="57">
        <f t="shared" si="134"/>
        <v>0.645833333333333</v>
      </c>
      <c r="P149" s="53">
        <v>12</v>
      </c>
      <c r="Q149" s="62">
        <v>8</v>
      </c>
      <c r="R149" s="63">
        <f t="shared" si="135"/>
        <v>0.141592920353982</v>
      </c>
      <c r="S149" s="60">
        <f t="shared" si="136"/>
        <v>0.0975728747408221</v>
      </c>
      <c r="T149" s="63">
        <f t="shared" si="137"/>
        <v>0.217672566371681</v>
      </c>
      <c r="U149" s="63">
        <v>0.01</v>
      </c>
      <c r="V149" s="63">
        <f t="shared" si="138"/>
        <v>0.435997337301277</v>
      </c>
      <c r="W149" s="63">
        <f t="shared" si="139"/>
        <v>0.0114306784660767</v>
      </c>
      <c r="X149" s="61">
        <v>0.188</v>
      </c>
      <c r="Y149" s="64">
        <v>8</v>
      </c>
      <c r="Z149" s="64">
        <f>F149*0.15</f>
        <v>12.2985</v>
      </c>
      <c r="AA149" s="64">
        <f t="shared" si="140"/>
        <v>0.565</v>
      </c>
      <c r="AB149" s="57">
        <f t="shared" si="141"/>
        <v>10.622</v>
      </c>
      <c r="AC149" s="57">
        <v>208</v>
      </c>
      <c r="AD149" s="65">
        <f t="shared" si="142"/>
        <v>184.070796460177</v>
      </c>
      <c r="AE149" s="62">
        <f t="shared" si="147"/>
        <v>1.625</v>
      </c>
      <c r="AF149" s="63">
        <f t="shared" si="143"/>
        <v>0.407236275354374</v>
      </c>
      <c r="AG149" s="63">
        <f t="shared" si="144"/>
        <v>0.00359513274336283</v>
      </c>
      <c r="AH149" s="62">
        <v>13</v>
      </c>
      <c r="AI149" s="63">
        <f t="shared" si="145"/>
        <v>0.21003852693657</v>
      </c>
      <c r="AJ149" s="63"/>
      <c r="AK149" s="63"/>
      <c r="AL149" s="63"/>
      <c r="AM149" s="63"/>
      <c r="AN149" s="66"/>
      <c r="AO149" s="66"/>
      <c r="AP149" s="66"/>
      <c r="AQ149" s="66"/>
      <c r="AR149" s="66"/>
      <c r="AS149" s="66"/>
      <c r="AT149" s="66" t="s">
        <v>600</v>
      </c>
      <c r="AU149" s="66" t="s">
        <v>600</v>
      </c>
      <c r="AV149" s="66" t="s">
        <v>600</v>
      </c>
      <c r="AW149" s="66" t="s">
        <v>600</v>
      </c>
      <c r="AX149" s="66" t="s">
        <v>600</v>
      </c>
      <c r="AY149" s="66" t="s">
        <v>600</v>
      </c>
      <c r="AZ149" s="66" t="s">
        <v>600</v>
      </c>
      <c r="BA149" s="66" t="s">
        <v>600</v>
      </c>
      <c r="BB149" s="66" t="s">
        <v>600</v>
      </c>
      <c r="BC149" s="66" t="s">
        <v>600</v>
      </c>
      <c r="BD149" s="66" t="s">
        <v>600</v>
      </c>
      <c r="BE149" s="66" t="s">
        <v>600</v>
      </c>
      <c r="BF149" s="66" t="s">
        <v>600</v>
      </c>
      <c r="BG149" s="66" t="s">
        <v>600</v>
      </c>
      <c r="BH149" s="66" t="s">
        <v>600</v>
      </c>
      <c r="BI149" s="66" t="s">
        <v>600</v>
      </c>
      <c r="BJ149" s="66" t="s">
        <v>600</v>
      </c>
      <c r="BK149" s="66" t="s">
        <v>600</v>
      </c>
      <c r="BL149" s="66" t="s">
        <v>600</v>
      </c>
      <c r="BM149" s="66" t="s">
        <v>600</v>
      </c>
      <c r="BN149" s="66" t="s">
        <v>600</v>
      </c>
      <c r="BO149" s="66" t="s">
        <v>600</v>
      </c>
      <c r="BP149" s="66" t="s">
        <v>600</v>
      </c>
      <c r="BQ149" s="66" t="s">
        <v>600</v>
      </c>
      <c r="BR149" s="164"/>
      <c r="BS149" s="68" t="s">
        <v>601</v>
      </c>
    </row>
    <row r="150" ht="15.6" spans="1:71">
      <c r="A150" s="53" t="s">
        <v>511</v>
      </c>
      <c r="B150" s="53" t="s">
        <v>27</v>
      </c>
      <c r="C150" s="175" t="s">
        <v>40</v>
      </c>
      <c r="D150" s="168" t="s">
        <v>642</v>
      </c>
      <c r="E150" s="176">
        <v>56.5</v>
      </c>
      <c r="F150" s="177">
        <v>81.99</v>
      </c>
      <c r="G150" s="59">
        <f t="shared" si="127"/>
        <v>81.99</v>
      </c>
      <c r="H150" s="59">
        <f t="shared" si="128"/>
        <v>68.325</v>
      </c>
      <c r="I150" s="59">
        <f t="shared" si="129"/>
        <v>11.4916504424779</v>
      </c>
      <c r="J150" s="60">
        <f t="shared" si="130"/>
        <v>0.203392043229697</v>
      </c>
      <c r="K150" s="57">
        <f t="shared" si="131"/>
        <v>68.325</v>
      </c>
      <c r="L150" s="163">
        <f t="shared" si="132"/>
        <v>0.173069886571533</v>
      </c>
      <c r="M150" s="59">
        <f t="shared" si="133"/>
        <v>11.825</v>
      </c>
      <c r="N150" s="57">
        <f t="shared" si="146"/>
        <v>197.070796460177</v>
      </c>
      <c r="O150" s="57">
        <f t="shared" si="134"/>
        <v>1.1875</v>
      </c>
      <c r="P150" s="53">
        <v>12</v>
      </c>
      <c r="Q150" s="62">
        <v>8</v>
      </c>
      <c r="R150" s="63">
        <f t="shared" si="135"/>
        <v>0.141592920353982</v>
      </c>
      <c r="S150" s="60">
        <f t="shared" si="136"/>
        <v>0.0975728747408221</v>
      </c>
      <c r="T150" s="63">
        <f t="shared" si="137"/>
        <v>0</v>
      </c>
      <c r="U150" s="63">
        <v>0.01</v>
      </c>
      <c r="V150" s="63">
        <f t="shared" si="138"/>
        <v>0.435997337301277</v>
      </c>
      <c r="W150" s="63">
        <f t="shared" si="139"/>
        <v>0.0210176991150442</v>
      </c>
      <c r="X150" s="61">
        <v>0.188</v>
      </c>
      <c r="Y150" s="64">
        <v>8</v>
      </c>
      <c r="Z150" s="64">
        <v>0</v>
      </c>
      <c r="AA150" s="64">
        <f t="shared" si="140"/>
        <v>0.565</v>
      </c>
      <c r="AB150" s="57">
        <f t="shared" si="141"/>
        <v>10.622</v>
      </c>
      <c r="AC150" s="57">
        <v>208</v>
      </c>
      <c r="AD150" s="65">
        <f t="shared" si="142"/>
        <v>184.070796460177</v>
      </c>
      <c r="AE150" s="62">
        <f t="shared" si="147"/>
        <v>1.625</v>
      </c>
      <c r="AF150" s="63">
        <f t="shared" si="143"/>
        <v>0.407236275354374</v>
      </c>
      <c r="AG150" s="63">
        <f t="shared" si="144"/>
        <v>0.00359513274336283</v>
      </c>
      <c r="AH150" s="62">
        <v>13</v>
      </c>
      <c r="AI150" s="63">
        <f t="shared" si="145"/>
        <v>0.328532747896085</v>
      </c>
      <c r="AJ150" s="63"/>
      <c r="AK150" s="63"/>
      <c r="AL150" s="63"/>
      <c r="AM150" s="63"/>
      <c r="AN150" s="66"/>
      <c r="AO150" s="66"/>
      <c r="AP150" s="66"/>
      <c r="AQ150" s="66"/>
      <c r="AR150" s="66"/>
      <c r="AS150" s="66"/>
      <c r="AT150" s="66" t="s">
        <v>600</v>
      </c>
      <c r="AU150" s="66" t="s">
        <v>600</v>
      </c>
      <c r="AV150" s="66" t="s">
        <v>600</v>
      </c>
      <c r="AW150" s="66" t="s">
        <v>600</v>
      </c>
      <c r="AX150" s="66" t="s">
        <v>600</v>
      </c>
      <c r="AY150" s="66" t="s">
        <v>600</v>
      </c>
      <c r="AZ150" s="66" t="s">
        <v>600</v>
      </c>
      <c r="BA150" s="66" t="s">
        <v>600</v>
      </c>
      <c r="BB150" s="66" t="s">
        <v>600</v>
      </c>
      <c r="BC150" s="66" t="s">
        <v>600</v>
      </c>
      <c r="BD150" s="66" t="s">
        <v>600</v>
      </c>
      <c r="BE150" s="66" t="s">
        <v>600</v>
      </c>
      <c r="BF150" s="66" t="s">
        <v>600</v>
      </c>
      <c r="BG150" s="66" t="s">
        <v>600</v>
      </c>
      <c r="BH150" s="66" t="s">
        <v>600</v>
      </c>
      <c r="BI150" s="66" t="s">
        <v>600</v>
      </c>
      <c r="BJ150" s="66" t="s">
        <v>600</v>
      </c>
      <c r="BK150" s="66" t="s">
        <v>600</v>
      </c>
      <c r="BL150" s="66" t="s">
        <v>600</v>
      </c>
      <c r="BM150" s="66" t="s">
        <v>600</v>
      </c>
      <c r="BN150" s="66" t="s">
        <v>600</v>
      </c>
      <c r="BO150" s="66" t="s">
        <v>600</v>
      </c>
      <c r="BP150" s="66" t="s">
        <v>600</v>
      </c>
      <c r="BQ150" s="66" t="s">
        <v>600</v>
      </c>
      <c r="BR150" s="164"/>
      <c r="BS150" s="68" t="s">
        <v>601</v>
      </c>
    </row>
    <row r="151" ht="15.6" spans="1:71">
      <c r="A151" s="53" t="s">
        <v>511</v>
      </c>
      <c r="B151" s="53" t="s">
        <v>27</v>
      </c>
      <c r="C151" s="175" t="s">
        <v>40</v>
      </c>
      <c r="D151" s="168" t="s">
        <v>643</v>
      </c>
      <c r="E151" s="176">
        <v>56.5</v>
      </c>
      <c r="F151" s="177">
        <v>81.99</v>
      </c>
      <c r="G151" s="59">
        <f t="shared" si="127"/>
        <v>73.791</v>
      </c>
      <c r="H151" s="59">
        <f t="shared" si="128"/>
        <v>61.4925</v>
      </c>
      <c r="I151" s="165">
        <f t="shared" si="129"/>
        <v>3.29265044247787</v>
      </c>
      <c r="J151" s="60">
        <f t="shared" si="130"/>
        <v>0.0582769989819093</v>
      </c>
      <c r="K151" s="57">
        <f t="shared" si="131"/>
        <v>68.325</v>
      </c>
      <c r="L151" s="163">
        <f t="shared" si="132"/>
        <v>0.173069886571533</v>
      </c>
      <c r="M151" s="59">
        <f t="shared" si="133"/>
        <v>11.825</v>
      </c>
      <c r="N151" s="57">
        <f t="shared" si="146"/>
        <v>197.070796460177</v>
      </c>
      <c r="O151" s="57">
        <f t="shared" si="134"/>
        <v>1.1875</v>
      </c>
      <c r="P151" s="53">
        <v>12</v>
      </c>
      <c r="Q151" s="62">
        <v>8</v>
      </c>
      <c r="R151" s="63">
        <f t="shared" si="135"/>
        <v>0.141592920353982</v>
      </c>
      <c r="S151" s="60">
        <f t="shared" si="136"/>
        <v>0.0975728747408221</v>
      </c>
      <c r="T151" s="63">
        <f t="shared" si="137"/>
        <v>0.145115044247788</v>
      </c>
      <c r="U151" s="63">
        <v>0.01</v>
      </c>
      <c r="V151" s="63">
        <f t="shared" si="138"/>
        <v>0.435997337301277</v>
      </c>
      <c r="W151" s="63">
        <f t="shared" si="139"/>
        <v>0.0210176991150442</v>
      </c>
      <c r="X151" s="61">
        <v>0.188</v>
      </c>
      <c r="Y151" s="64">
        <v>8</v>
      </c>
      <c r="Z151" s="64">
        <f>F151*0.1</f>
        <v>8.199</v>
      </c>
      <c r="AA151" s="64">
        <f t="shared" si="140"/>
        <v>0.565</v>
      </c>
      <c r="AB151" s="57">
        <f t="shared" si="141"/>
        <v>10.622</v>
      </c>
      <c r="AC151" s="57">
        <v>208</v>
      </c>
      <c r="AD151" s="65">
        <f t="shared" si="142"/>
        <v>184.070796460177</v>
      </c>
      <c r="AE151" s="62">
        <f t="shared" si="147"/>
        <v>1.625</v>
      </c>
      <c r="AF151" s="63">
        <f t="shared" si="143"/>
        <v>0.407236275354374</v>
      </c>
      <c r="AG151" s="63">
        <f t="shared" si="144"/>
        <v>0.00359513274336283</v>
      </c>
      <c r="AH151" s="62">
        <v>13</v>
      </c>
      <c r="AI151" s="63">
        <f t="shared" si="145"/>
        <v>0.253925275440094</v>
      </c>
      <c r="AJ151" s="63"/>
      <c r="AK151" s="63"/>
      <c r="AL151" s="63"/>
      <c r="AM151" s="63"/>
      <c r="AN151" s="66"/>
      <c r="AO151" s="66"/>
      <c r="AP151" s="66"/>
      <c r="AQ151" s="66"/>
      <c r="AR151" s="66"/>
      <c r="AS151" s="66"/>
      <c r="AT151" s="66" t="s">
        <v>600</v>
      </c>
      <c r="AU151" s="66" t="s">
        <v>600</v>
      </c>
      <c r="AV151" s="66" t="s">
        <v>600</v>
      </c>
      <c r="AW151" s="66" t="s">
        <v>600</v>
      </c>
      <c r="AX151" s="66" t="s">
        <v>600</v>
      </c>
      <c r="AY151" s="66" t="s">
        <v>600</v>
      </c>
      <c r="AZ151" s="66" t="s">
        <v>600</v>
      </c>
      <c r="BA151" s="66" t="s">
        <v>600</v>
      </c>
      <c r="BB151" s="66" t="s">
        <v>600</v>
      </c>
      <c r="BC151" s="66" t="s">
        <v>600</v>
      </c>
      <c r="BD151" s="66" t="s">
        <v>600</v>
      </c>
      <c r="BE151" s="66" t="s">
        <v>600</v>
      </c>
      <c r="BF151" s="66" t="s">
        <v>600</v>
      </c>
      <c r="BG151" s="66" t="s">
        <v>600</v>
      </c>
      <c r="BH151" s="66" t="s">
        <v>600</v>
      </c>
      <c r="BI151" s="66" t="s">
        <v>600</v>
      </c>
      <c r="BJ151" s="66" t="s">
        <v>600</v>
      </c>
      <c r="BK151" s="66" t="s">
        <v>600</v>
      </c>
      <c r="BL151" s="66" t="s">
        <v>600</v>
      </c>
      <c r="BM151" s="66" t="s">
        <v>600</v>
      </c>
      <c r="BN151" s="66" t="s">
        <v>600</v>
      </c>
      <c r="BO151" s="66" t="s">
        <v>600</v>
      </c>
      <c r="BP151" s="66" t="s">
        <v>600</v>
      </c>
      <c r="BQ151" s="66" t="s">
        <v>600</v>
      </c>
      <c r="BR151" s="164"/>
      <c r="BS151" s="68" t="s">
        <v>601</v>
      </c>
    </row>
    <row r="152" ht="15.6" spans="1:71">
      <c r="A152" s="53" t="s">
        <v>511</v>
      </c>
      <c r="B152" s="53" t="s">
        <v>27</v>
      </c>
      <c r="C152" s="175" t="s">
        <v>40</v>
      </c>
      <c r="D152" s="168" t="s">
        <v>644</v>
      </c>
      <c r="E152" s="176">
        <v>56.5</v>
      </c>
      <c r="F152" s="177">
        <v>81.99</v>
      </c>
      <c r="G152" s="59">
        <f t="shared" si="127"/>
        <v>69.6915</v>
      </c>
      <c r="H152" s="59">
        <f t="shared" si="128"/>
        <v>58.07625</v>
      </c>
      <c r="I152" s="59">
        <f t="shared" si="129"/>
        <v>-0.806849557522125</v>
      </c>
      <c r="J152" s="60">
        <f t="shared" si="130"/>
        <v>-0.0142805231419845</v>
      </c>
      <c r="K152" s="57">
        <f t="shared" si="131"/>
        <v>68.325</v>
      </c>
      <c r="L152" s="163">
        <f t="shared" si="132"/>
        <v>0.173069886571533</v>
      </c>
      <c r="M152" s="59">
        <f t="shared" si="133"/>
        <v>11.825</v>
      </c>
      <c r="N152" s="57">
        <f t="shared" si="146"/>
        <v>197.070796460177</v>
      </c>
      <c r="O152" s="57">
        <f t="shared" si="134"/>
        <v>1.1875</v>
      </c>
      <c r="P152" s="53">
        <v>12</v>
      </c>
      <c r="Q152" s="62">
        <v>8</v>
      </c>
      <c r="R152" s="63">
        <f t="shared" si="135"/>
        <v>0.141592920353982</v>
      </c>
      <c r="S152" s="60">
        <f t="shared" si="136"/>
        <v>0.0975728747408221</v>
      </c>
      <c r="T152" s="63">
        <f t="shared" si="137"/>
        <v>0.217672566371681</v>
      </c>
      <c r="U152" s="63">
        <v>0.01</v>
      </c>
      <c r="V152" s="63">
        <f t="shared" si="138"/>
        <v>0.435997337301277</v>
      </c>
      <c r="W152" s="63">
        <f t="shared" si="139"/>
        <v>0.0210176991150442</v>
      </c>
      <c r="X152" s="61">
        <v>0.188</v>
      </c>
      <c r="Y152" s="64">
        <v>8</v>
      </c>
      <c r="Z152" s="64">
        <f>F152*0.15</f>
        <v>12.2985</v>
      </c>
      <c r="AA152" s="64">
        <f t="shared" si="140"/>
        <v>0.565</v>
      </c>
      <c r="AB152" s="57">
        <f t="shared" si="141"/>
        <v>10.622</v>
      </c>
      <c r="AC152" s="57">
        <v>208</v>
      </c>
      <c r="AD152" s="65">
        <f t="shared" si="142"/>
        <v>184.070796460177</v>
      </c>
      <c r="AE152" s="62">
        <f t="shared" si="147"/>
        <v>1.625</v>
      </c>
      <c r="AF152" s="63">
        <f t="shared" si="143"/>
        <v>0.407236275354374</v>
      </c>
      <c r="AG152" s="63">
        <f t="shared" si="144"/>
        <v>0.00359513274336283</v>
      </c>
      <c r="AH152" s="62">
        <v>13</v>
      </c>
      <c r="AI152" s="63">
        <f t="shared" ref="AI152:AI162" si="148">(K152-E152+AB152)/(K152-Z152)</f>
        <v>0.400649692556201</v>
      </c>
      <c r="AJ152" s="63"/>
      <c r="AK152" s="63"/>
      <c r="AL152" s="63"/>
      <c r="AM152" s="63"/>
      <c r="AN152" s="66"/>
      <c r="AO152" s="66"/>
      <c r="AP152" s="66"/>
      <c r="AQ152" s="66"/>
      <c r="AR152" s="66"/>
      <c r="AS152" s="66"/>
      <c r="AT152" s="66" t="s">
        <v>600</v>
      </c>
      <c r="AU152" s="66" t="s">
        <v>600</v>
      </c>
      <c r="AV152" s="66" t="s">
        <v>600</v>
      </c>
      <c r="AW152" s="66" t="s">
        <v>600</v>
      </c>
      <c r="AX152" s="66" t="s">
        <v>600</v>
      </c>
      <c r="AY152" s="66" t="s">
        <v>600</v>
      </c>
      <c r="AZ152" s="66" t="s">
        <v>600</v>
      </c>
      <c r="BA152" s="66" t="s">
        <v>600</v>
      </c>
      <c r="BB152" s="66" t="s">
        <v>600</v>
      </c>
      <c r="BC152" s="66" t="s">
        <v>600</v>
      </c>
      <c r="BD152" s="66" t="s">
        <v>600</v>
      </c>
      <c r="BE152" s="66" t="s">
        <v>600</v>
      </c>
      <c r="BF152" s="66" t="s">
        <v>600</v>
      </c>
      <c r="BG152" s="66" t="s">
        <v>600</v>
      </c>
      <c r="BH152" s="66" t="s">
        <v>600</v>
      </c>
      <c r="BI152" s="66" t="s">
        <v>600</v>
      </c>
      <c r="BJ152" s="66" t="s">
        <v>600</v>
      </c>
      <c r="BK152" s="66" t="s">
        <v>600</v>
      </c>
      <c r="BL152" s="66" t="s">
        <v>600</v>
      </c>
      <c r="BM152" s="66" t="s">
        <v>600</v>
      </c>
      <c r="BN152" s="66" t="s">
        <v>600</v>
      </c>
      <c r="BO152" s="66" t="s">
        <v>600</v>
      </c>
      <c r="BP152" s="66" t="s">
        <v>600</v>
      </c>
      <c r="BQ152" s="66" t="s">
        <v>600</v>
      </c>
      <c r="BR152" s="164"/>
      <c r="BS152" s="68" t="s">
        <v>601</v>
      </c>
    </row>
    <row r="153" ht="15.6" spans="1:71">
      <c r="A153" s="53" t="s">
        <v>513</v>
      </c>
      <c r="B153" s="53" t="s">
        <v>27</v>
      </c>
      <c r="C153" s="175" t="s">
        <v>40</v>
      </c>
      <c r="D153" s="168" t="s">
        <v>642</v>
      </c>
      <c r="E153" s="176">
        <v>56.5</v>
      </c>
      <c r="F153" s="177">
        <v>81.99</v>
      </c>
      <c r="G153" s="59">
        <f t="shared" si="127"/>
        <v>81.99</v>
      </c>
      <c r="H153" s="59">
        <f t="shared" si="128"/>
        <v>68.325</v>
      </c>
      <c r="I153" s="59">
        <f t="shared" si="129"/>
        <v>11.4083171091445</v>
      </c>
      <c r="J153" s="60">
        <f t="shared" si="130"/>
        <v>0.20191711697601</v>
      </c>
      <c r="K153" s="57">
        <f t="shared" si="131"/>
        <v>68.325</v>
      </c>
      <c r="L153" s="163">
        <f t="shared" si="132"/>
        <v>0.173069886571533</v>
      </c>
      <c r="M153" s="59">
        <f t="shared" si="133"/>
        <v>11.825</v>
      </c>
      <c r="N153" s="57">
        <f t="shared" si="146"/>
        <v>197.070796460177</v>
      </c>
      <c r="O153" s="57">
        <f t="shared" si="134"/>
        <v>1.27083333333333</v>
      </c>
      <c r="P153" s="53">
        <v>12</v>
      </c>
      <c r="Q153" s="62">
        <v>8</v>
      </c>
      <c r="R153" s="63">
        <f t="shared" si="135"/>
        <v>0.141592920353982</v>
      </c>
      <c r="S153" s="60">
        <f t="shared" si="136"/>
        <v>0.0975728747408221</v>
      </c>
      <c r="T153" s="63">
        <f t="shared" si="137"/>
        <v>0</v>
      </c>
      <c r="U153" s="63">
        <v>0.01</v>
      </c>
      <c r="V153" s="63">
        <f t="shared" si="138"/>
        <v>0.435997337301277</v>
      </c>
      <c r="W153" s="63">
        <f t="shared" si="139"/>
        <v>0.0224926253687316</v>
      </c>
      <c r="X153" s="61">
        <v>0.188</v>
      </c>
      <c r="Y153" s="64">
        <v>8</v>
      </c>
      <c r="Z153" s="64">
        <v>0</v>
      </c>
      <c r="AA153" s="64">
        <f t="shared" si="140"/>
        <v>0.565</v>
      </c>
      <c r="AB153" s="57">
        <f t="shared" si="141"/>
        <v>10.622</v>
      </c>
      <c r="AC153" s="57">
        <v>208</v>
      </c>
      <c r="AD153" s="65">
        <f t="shared" si="142"/>
        <v>184.070796460177</v>
      </c>
      <c r="AE153" s="62">
        <f t="shared" si="147"/>
        <v>1.625</v>
      </c>
      <c r="AF153" s="63">
        <f t="shared" si="143"/>
        <v>0.407236275354374</v>
      </c>
      <c r="AG153" s="63">
        <f t="shared" si="144"/>
        <v>0.00359513274336283</v>
      </c>
      <c r="AH153" s="62">
        <v>13</v>
      </c>
      <c r="AI153" s="60">
        <f t="shared" si="148"/>
        <v>0.328532747896085</v>
      </c>
      <c r="AJ153" s="60"/>
      <c r="AK153" s="60"/>
      <c r="AL153" s="60"/>
      <c r="AM153" s="60"/>
      <c r="AN153" s="66"/>
      <c r="AO153" s="66"/>
      <c r="AP153" s="66"/>
      <c r="AQ153" s="66"/>
      <c r="AR153" s="66"/>
      <c r="AS153" s="66"/>
      <c r="AT153" s="66" t="s">
        <v>600</v>
      </c>
      <c r="AU153" s="66" t="s">
        <v>600</v>
      </c>
      <c r="AV153" s="66" t="s">
        <v>600</v>
      </c>
      <c r="AW153" s="66" t="s">
        <v>600</v>
      </c>
      <c r="AX153" s="66" t="s">
        <v>600</v>
      </c>
      <c r="AY153" s="66" t="s">
        <v>600</v>
      </c>
      <c r="AZ153" s="66" t="s">
        <v>600</v>
      </c>
      <c r="BA153" s="66" t="s">
        <v>600</v>
      </c>
      <c r="BB153" s="66" t="s">
        <v>600</v>
      </c>
      <c r="BC153" s="66" t="s">
        <v>600</v>
      </c>
      <c r="BD153" s="66" t="s">
        <v>600</v>
      </c>
      <c r="BE153" s="66" t="s">
        <v>600</v>
      </c>
      <c r="BF153" s="66" t="s">
        <v>600</v>
      </c>
      <c r="BG153" s="66" t="s">
        <v>600</v>
      </c>
      <c r="BH153" s="66" t="s">
        <v>600</v>
      </c>
      <c r="BI153" s="66" t="s">
        <v>600</v>
      </c>
      <c r="BJ153" s="66" t="s">
        <v>600</v>
      </c>
      <c r="BK153" s="66" t="s">
        <v>600</v>
      </c>
      <c r="BL153" s="66" t="s">
        <v>600</v>
      </c>
      <c r="BM153" s="66" t="s">
        <v>600</v>
      </c>
      <c r="BN153" s="66" t="s">
        <v>600</v>
      </c>
      <c r="BO153" s="66" t="s">
        <v>600</v>
      </c>
      <c r="BP153" s="66" t="s">
        <v>600</v>
      </c>
      <c r="BQ153" s="66" t="s">
        <v>600</v>
      </c>
      <c r="BR153" s="164"/>
      <c r="BS153" s="68" t="s">
        <v>601</v>
      </c>
    </row>
    <row r="154" ht="15.6" spans="1:71">
      <c r="A154" s="53" t="s">
        <v>513</v>
      </c>
      <c r="B154" s="53" t="s">
        <v>27</v>
      </c>
      <c r="C154" s="175" t="s">
        <v>40</v>
      </c>
      <c r="D154" s="168" t="s">
        <v>643</v>
      </c>
      <c r="E154" s="176">
        <v>56.5</v>
      </c>
      <c r="F154" s="177">
        <v>81.99</v>
      </c>
      <c r="G154" s="59">
        <f t="shared" si="127"/>
        <v>73.791</v>
      </c>
      <c r="H154" s="59">
        <f t="shared" si="128"/>
        <v>61.4925</v>
      </c>
      <c r="I154" s="165">
        <f t="shared" si="129"/>
        <v>3.20931710914454</v>
      </c>
      <c r="J154" s="60">
        <f t="shared" si="130"/>
        <v>0.056802072728222</v>
      </c>
      <c r="K154" s="57">
        <f t="shared" si="131"/>
        <v>68.325</v>
      </c>
      <c r="L154" s="163">
        <f t="shared" si="132"/>
        <v>0.173069886571533</v>
      </c>
      <c r="M154" s="59">
        <f t="shared" si="133"/>
        <v>11.825</v>
      </c>
      <c r="N154" s="57">
        <f t="shared" si="146"/>
        <v>197.070796460177</v>
      </c>
      <c r="O154" s="57">
        <f t="shared" si="134"/>
        <v>1.27083333333333</v>
      </c>
      <c r="P154" s="53">
        <v>12</v>
      </c>
      <c r="Q154" s="62">
        <v>8</v>
      </c>
      <c r="R154" s="63">
        <f t="shared" si="135"/>
        <v>0.141592920353982</v>
      </c>
      <c r="S154" s="60">
        <f t="shared" si="136"/>
        <v>0.0975728747408221</v>
      </c>
      <c r="T154" s="63">
        <f t="shared" si="137"/>
        <v>0.145115044247788</v>
      </c>
      <c r="U154" s="63">
        <v>0.01</v>
      </c>
      <c r="V154" s="63">
        <f t="shared" si="138"/>
        <v>0.435997337301277</v>
      </c>
      <c r="W154" s="63">
        <f t="shared" si="139"/>
        <v>0.0224926253687316</v>
      </c>
      <c r="X154" s="61">
        <v>0.188</v>
      </c>
      <c r="Y154" s="64">
        <v>8</v>
      </c>
      <c r="Z154" s="64">
        <f>F154*0.1</f>
        <v>8.199</v>
      </c>
      <c r="AA154" s="64">
        <f t="shared" si="140"/>
        <v>0.565</v>
      </c>
      <c r="AB154" s="57">
        <f t="shared" si="141"/>
        <v>10.622</v>
      </c>
      <c r="AC154" s="57">
        <v>208</v>
      </c>
      <c r="AD154" s="65">
        <f t="shared" si="142"/>
        <v>184.070796460177</v>
      </c>
      <c r="AE154" s="62">
        <f t="shared" si="147"/>
        <v>1.625</v>
      </c>
      <c r="AF154" s="63">
        <f t="shared" si="143"/>
        <v>0.407236275354374</v>
      </c>
      <c r="AG154" s="63">
        <f t="shared" si="144"/>
        <v>0.00359513274336283</v>
      </c>
      <c r="AH154" s="62">
        <v>13</v>
      </c>
      <c r="AI154" s="60">
        <f t="shared" si="148"/>
        <v>0.373332668063733</v>
      </c>
      <c r="AJ154" s="60"/>
      <c r="AK154" s="60"/>
      <c r="AL154" s="60"/>
      <c r="AM154" s="60"/>
      <c r="AN154" s="66"/>
      <c r="AO154" s="66"/>
      <c r="AP154" s="66"/>
      <c r="AQ154" s="66"/>
      <c r="AR154" s="66"/>
      <c r="AS154" s="66"/>
      <c r="AT154" s="66" t="s">
        <v>600</v>
      </c>
      <c r="AU154" s="66" t="s">
        <v>600</v>
      </c>
      <c r="AV154" s="66" t="s">
        <v>600</v>
      </c>
      <c r="AW154" s="66" t="s">
        <v>600</v>
      </c>
      <c r="AX154" s="66" t="s">
        <v>600</v>
      </c>
      <c r="AY154" s="66" t="s">
        <v>600</v>
      </c>
      <c r="AZ154" s="66" t="s">
        <v>600</v>
      </c>
      <c r="BA154" s="66" t="s">
        <v>600</v>
      </c>
      <c r="BB154" s="66" t="s">
        <v>600</v>
      </c>
      <c r="BC154" s="66" t="s">
        <v>600</v>
      </c>
      <c r="BD154" s="66" t="s">
        <v>600</v>
      </c>
      <c r="BE154" s="66" t="s">
        <v>600</v>
      </c>
      <c r="BF154" s="66" t="s">
        <v>600</v>
      </c>
      <c r="BG154" s="66" t="s">
        <v>600</v>
      </c>
      <c r="BH154" s="66" t="s">
        <v>600</v>
      </c>
      <c r="BI154" s="66" t="s">
        <v>600</v>
      </c>
      <c r="BJ154" s="66" t="s">
        <v>600</v>
      </c>
      <c r="BK154" s="66" t="s">
        <v>600</v>
      </c>
      <c r="BL154" s="66" t="s">
        <v>600</v>
      </c>
      <c r="BM154" s="66" t="s">
        <v>600</v>
      </c>
      <c r="BN154" s="66" t="s">
        <v>600</v>
      </c>
      <c r="BO154" s="66" t="s">
        <v>600</v>
      </c>
      <c r="BP154" s="66" t="s">
        <v>600</v>
      </c>
      <c r="BQ154" s="66" t="s">
        <v>600</v>
      </c>
      <c r="BR154" s="164"/>
      <c r="BS154" s="68" t="s">
        <v>601</v>
      </c>
    </row>
    <row r="155" ht="15.6" spans="1:71">
      <c r="A155" s="53" t="s">
        <v>513</v>
      </c>
      <c r="B155" s="53" t="s">
        <v>27</v>
      </c>
      <c r="C155" s="175" t="s">
        <v>40</v>
      </c>
      <c r="D155" s="168" t="s">
        <v>644</v>
      </c>
      <c r="E155" s="176">
        <v>56.5</v>
      </c>
      <c r="F155" s="177">
        <v>81.99</v>
      </c>
      <c r="G155" s="59">
        <f t="shared" si="127"/>
        <v>69.6915</v>
      </c>
      <c r="H155" s="59">
        <f t="shared" si="128"/>
        <v>58.07625</v>
      </c>
      <c r="I155" s="59">
        <f t="shared" si="129"/>
        <v>-0.890182890855459</v>
      </c>
      <c r="J155" s="60">
        <f t="shared" si="130"/>
        <v>-0.0157554493956718</v>
      </c>
      <c r="K155" s="57">
        <f t="shared" si="131"/>
        <v>68.325</v>
      </c>
      <c r="L155" s="163">
        <f t="shared" si="132"/>
        <v>0.173069886571533</v>
      </c>
      <c r="M155" s="59">
        <f t="shared" si="133"/>
        <v>11.825</v>
      </c>
      <c r="N155" s="57">
        <f t="shared" si="146"/>
        <v>197.070796460177</v>
      </c>
      <c r="O155" s="57">
        <f t="shared" si="134"/>
        <v>1.27083333333333</v>
      </c>
      <c r="P155" s="53">
        <v>12</v>
      </c>
      <c r="Q155" s="62">
        <v>8</v>
      </c>
      <c r="R155" s="63">
        <f t="shared" si="135"/>
        <v>0.141592920353982</v>
      </c>
      <c r="S155" s="60">
        <f t="shared" si="136"/>
        <v>0.0975728747408221</v>
      </c>
      <c r="T155" s="63">
        <f t="shared" si="137"/>
        <v>0.217672566371681</v>
      </c>
      <c r="U155" s="63">
        <v>0.01</v>
      </c>
      <c r="V155" s="63">
        <f t="shared" si="138"/>
        <v>0.435997337301277</v>
      </c>
      <c r="W155" s="63">
        <f t="shared" si="139"/>
        <v>0.0224926253687316</v>
      </c>
      <c r="X155" s="61">
        <v>0.188</v>
      </c>
      <c r="Y155" s="64">
        <v>8</v>
      </c>
      <c r="Z155" s="64">
        <f>F155*0.15</f>
        <v>12.2985</v>
      </c>
      <c r="AA155" s="64">
        <f t="shared" si="140"/>
        <v>0.565</v>
      </c>
      <c r="AB155" s="57">
        <f t="shared" si="141"/>
        <v>10.622</v>
      </c>
      <c r="AC155" s="57">
        <v>208</v>
      </c>
      <c r="AD155" s="65">
        <f t="shared" si="142"/>
        <v>184.070796460177</v>
      </c>
      <c r="AE155" s="62">
        <f t="shared" si="147"/>
        <v>1.625</v>
      </c>
      <c r="AF155" s="63">
        <f t="shared" si="143"/>
        <v>0.407236275354374</v>
      </c>
      <c r="AG155" s="63">
        <f t="shared" si="144"/>
        <v>0.00359513274336283</v>
      </c>
      <c r="AH155" s="62">
        <v>13</v>
      </c>
      <c r="AI155" s="60">
        <f t="shared" si="148"/>
        <v>0.400649692556201</v>
      </c>
      <c r="AJ155" s="60"/>
      <c r="AK155" s="60"/>
      <c r="AL155" s="60"/>
      <c r="AM155" s="60"/>
      <c r="AN155" s="66"/>
      <c r="AO155" s="66"/>
      <c r="AP155" s="66"/>
      <c r="AQ155" s="66"/>
      <c r="AR155" s="66"/>
      <c r="AS155" s="66"/>
      <c r="AT155" s="66" t="s">
        <v>600</v>
      </c>
      <c r="AU155" s="66" t="s">
        <v>600</v>
      </c>
      <c r="AV155" s="66" t="s">
        <v>600</v>
      </c>
      <c r="AW155" s="66" t="s">
        <v>600</v>
      </c>
      <c r="AX155" s="66" t="s">
        <v>600</v>
      </c>
      <c r="AY155" s="66" t="s">
        <v>600</v>
      </c>
      <c r="AZ155" s="66" t="s">
        <v>600</v>
      </c>
      <c r="BA155" s="66" t="s">
        <v>600</v>
      </c>
      <c r="BB155" s="66" t="s">
        <v>600</v>
      </c>
      <c r="BC155" s="66" t="s">
        <v>600</v>
      </c>
      <c r="BD155" s="66" t="s">
        <v>600</v>
      </c>
      <c r="BE155" s="66" t="s">
        <v>600</v>
      </c>
      <c r="BF155" s="66" t="s">
        <v>600</v>
      </c>
      <c r="BG155" s="66" t="s">
        <v>600</v>
      </c>
      <c r="BH155" s="66" t="s">
        <v>600</v>
      </c>
      <c r="BI155" s="66" t="s">
        <v>600</v>
      </c>
      <c r="BJ155" s="66" t="s">
        <v>600</v>
      </c>
      <c r="BK155" s="66" t="s">
        <v>600</v>
      </c>
      <c r="BL155" s="66" t="s">
        <v>600</v>
      </c>
      <c r="BM155" s="66" t="s">
        <v>600</v>
      </c>
      <c r="BN155" s="66" t="s">
        <v>600</v>
      </c>
      <c r="BO155" s="66" t="s">
        <v>600</v>
      </c>
      <c r="BP155" s="66" t="s">
        <v>600</v>
      </c>
      <c r="BQ155" s="66" t="s">
        <v>600</v>
      </c>
      <c r="BR155" s="164"/>
      <c r="BS155" s="68" t="s">
        <v>601</v>
      </c>
    </row>
    <row r="156" ht="15.6" spans="1:71">
      <c r="A156" s="53" t="s">
        <v>516</v>
      </c>
      <c r="B156" s="53" t="s">
        <v>27</v>
      </c>
      <c r="C156" s="175" t="s">
        <v>40</v>
      </c>
      <c r="D156" s="168" t="s">
        <v>642</v>
      </c>
      <c r="E156" s="176">
        <v>56.5</v>
      </c>
      <c r="F156" s="177">
        <v>81.99</v>
      </c>
      <c r="G156" s="59">
        <f t="shared" si="127"/>
        <v>81.99</v>
      </c>
      <c r="H156" s="59">
        <f t="shared" si="128"/>
        <v>68.325</v>
      </c>
      <c r="I156" s="59">
        <f t="shared" si="129"/>
        <v>11.0749837758112</v>
      </c>
      <c r="J156" s="60">
        <f t="shared" si="130"/>
        <v>0.19601741196126</v>
      </c>
      <c r="K156" s="57">
        <f t="shared" si="131"/>
        <v>68.325</v>
      </c>
      <c r="L156" s="163">
        <f t="shared" si="132"/>
        <v>0.173069886571533</v>
      </c>
      <c r="M156" s="59">
        <f t="shared" si="133"/>
        <v>11.825</v>
      </c>
      <c r="N156" s="57">
        <f t="shared" si="146"/>
        <v>197.070796460177</v>
      </c>
      <c r="O156" s="57">
        <f t="shared" si="134"/>
        <v>1.60416666666667</v>
      </c>
      <c r="P156" s="53">
        <v>12</v>
      </c>
      <c r="Q156" s="62">
        <v>8</v>
      </c>
      <c r="R156" s="63">
        <f t="shared" si="135"/>
        <v>0.141592920353982</v>
      </c>
      <c r="S156" s="60">
        <f t="shared" si="136"/>
        <v>0.0975728747408221</v>
      </c>
      <c r="T156" s="63">
        <f t="shared" si="137"/>
        <v>0</v>
      </c>
      <c r="U156" s="63">
        <v>0.01</v>
      </c>
      <c r="V156" s="63">
        <f t="shared" si="138"/>
        <v>0.435997337301277</v>
      </c>
      <c r="W156" s="63">
        <f t="shared" si="139"/>
        <v>0.0283923303834808</v>
      </c>
      <c r="X156" s="61">
        <v>0.188</v>
      </c>
      <c r="Y156" s="64">
        <v>8</v>
      </c>
      <c r="Z156" s="64">
        <v>0</v>
      </c>
      <c r="AA156" s="64">
        <f t="shared" si="140"/>
        <v>0.565</v>
      </c>
      <c r="AB156" s="57">
        <f t="shared" si="141"/>
        <v>10.622</v>
      </c>
      <c r="AC156" s="57">
        <v>208</v>
      </c>
      <c r="AD156" s="65">
        <f t="shared" si="142"/>
        <v>184.070796460177</v>
      </c>
      <c r="AE156" s="62">
        <f t="shared" si="147"/>
        <v>1.625</v>
      </c>
      <c r="AF156" s="63">
        <f t="shared" si="143"/>
        <v>0.407236275354374</v>
      </c>
      <c r="AG156" s="63">
        <f t="shared" si="144"/>
        <v>0.00359513274336283</v>
      </c>
      <c r="AH156" s="62">
        <v>13</v>
      </c>
      <c r="AI156" s="63">
        <f t="shared" si="148"/>
        <v>0.328532747896085</v>
      </c>
      <c r="AJ156" s="63"/>
      <c r="AK156" s="63"/>
      <c r="AL156" s="63"/>
      <c r="AM156" s="63"/>
      <c r="AN156" s="66"/>
      <c r="AO156" s="66"/>
      <c r="AP156" s="66"/>
      <c r="AQ156" s="66"/>
      <c r="AR156" s="66"/>
      <c r="AS156" s="66"/>
      <c r="AT156" s="66" t="s">
        <v>600</v>
      </c>
      <c r="AU156" s="66" t="s">
        <v>600</v>
      </c>
      <c r="AV156" s="66" t="s">
        <v>600</v>
      </c>
      <c r="AW156" s="66" t="s">
        <v>600</v>
      </c>
      <c r="AX156" s="66" t="s">
        <v>600</v>
      </c>
      <c r="AY156" s="66" t="s">
        <v>600</v>
      </c>
      <c r="AZ156" s="66" t="s">
        <v>600</v>
      </c>
      <c r="BA156" s="66" t="s">
        <v>600</v>
      </c>
      <c r="BB156" s="66" t="s">
        <v>600</v>
      </c>
      <c r="BC156" s="66" t="s">
        <v>600</v>
      </c>
      <c r="BD156" s="66" t="s">
        <v>600</v>
      </c>
      <c r="BE156" s="66" t="s">
        <v>600</v>
      </c>
      <c r="BF156" s="66" t="s">
        <v>600</v>
      </c>
      <c r="BG156" s="66" t="s">
        <v>600</v>
      </c>
      <c r="BH156" s="66" t="s">
        <v>600</v>
      </c>
      <c r="BI156" s="66" t="s">
        <v>600</v>
      </c>
      <c r="BJ156" s="66" t="s">
        <v>600</v>
      </c>
      <c r="BK156" s="66" t="s">
        <v>600</v>
      </c>
      <c r="BL156" s="66" t="s">
        <v>600</v>
      </c>
      <c r="BM156" s="66" t="s">
        <v>600</v>
      </c>
      <c r="BN156" s="66" t="s">
        <v>600</v>
      </c>
      <c r="BO156" s="66" t="s">
        <v>600</v>
      </c>
      <c r="BP156" s="66" t="s">
        <v>600</v>
      </c>
      <c r="BQ156" s="66" t="s">
        <v>600</v>
      </c>
      <c r="BR156" s="164"/>
      <c r="BS156" s="68" t="s">
        <v>601</v>
      </c>
    </row>
    <row r="157" ht="15.6" spans="1:71">
      <c r="A157" s="53" t="s">
        <v>516</v>
      </c>
      <c r="B157" s="53" t="s">
        <v>27</v>
      </c>
      <c r="C157" s="175" t="s">
        <v>40</v>
      </c>
      <c r="D157" s="168" t="s">
        <v>643</v>
      </c>
      <c r="E157" s="176">
        <v>56.5</v>
      </c>
      <c r="F157" s="177">
        <v>81.99</v>
      </c>
      <c r="G157" s="59">
        <f t="shared" si="127"/>
        <v>73.791</v>
      </c>
      <c r="H157" s="59">
        <f t="shared" si="128"/>
        <v>61.4925</v>
      </c>
      <c r="I157" s="165">
        <f t="shared" si="129"/>
        <v>2.87598377581121</v>
      </c>
      <c r="J157" s="60">
        <f t="shared" si="130"/>
        <v>0.0509023677134727</v>
      </c>
      <c r="K157" s="57">
        <f t="shared" si="131"/>
        <v>68.325</v>
      </c>
      <c r="L157" s="163">
        <f t="shared" si="132"/>
        <v>0.173069886571533</v>
      </c>
      <c r="M157" s="59">
        <f t="shared" si="133"/>
        <v>11.825</v>
      </c>
      <c r="N157" s="57">
        <f t="shared" si="146"/>
        <v>197.070796460177</v>
      </c>
      <c r="O157" s="57">
        <f t="shared" si="134"/>
        <v>1.60416666666667</v>
      </c>
      <c r="P157" s="53">
        <v>12</v>
      </c>
      <c r="Q157" s="62">
        <v>8</v>
      </c>
      <c r="R157" s="63">
        <f t="shared" si="135"/>
        <v>0.141592920353982</v>
      </c>
      <c r="S157" s="60">
        <f t="shared" si="136"/>
        <v>0.0975728747408221</v>
      </c>
      <c r="T157" s="63">
        <f t="shared" si="137"/>
        <v>0.145115044247788</v>
      </c>
      <c r="U157" s="63">
        <v>0.01</v>
      </c>
      <c r="V157" s="63">
        <f t="shared" si="138"/>
        <v>0.435997337301277</v>
      </c>
      <c r="W157" s="63">
        <f t="shared" si="139"/>
        <v>0.0283923303834808</v>
      </c>
      <c r="X157" s="61">
        <v>0.188</v>
      </c>
      <c r="Y157" s="64">
        <v>8</v>
      </c>
      <c r="Z157" s="64">
        <f>F157*0.1</f>
        <v>8.199</v>
      </c>
      <c r="AA157" s="64">
        <f t="shared" si="140"/>
        <v>0.565</v>
      </c>
      <c r="AB157" s="57">
        <f t="shared" si="141"/>
        <v>10.622</v>
      </c>
      <c r="AC157" s="57">
        <v>208</v>
      </c>
      <c r="AD157" s="65">
        <f t="shared" si="142"/>
        <v>184.070796460177</v>
      </c>
      <c r="AE157" s="62">
        <f t="shared" si="147"/>
        <v>1.625</v>
      </c>
      <c r="AF157" s="63">
        <f t="shared" si="143"/>
        <v>0.407236275354374</v>
      </c>
      <c r="AG157" s="63">
        <f t="shared" si="144"/>
        <v>0.00359513274336283</v>
      </c>
      <c r="AH157" s="62">
        <v>13</v>
      </c>
      <c r="AI157" s="63">
        <f t="shared" si="148"/>
        <v>0.373332668063733</v>
      </c>
      <c r="AJ157" s="63"/>
      <c r="AK157" s="63"/>
      <c r="AL157" s="63"/>
      <c r="AM157" s="63"/>
      <c r="AN157" s="66"/>
      <c r="AO157" s="66"/>
      <c r="AP157" s="66"/>
      <c r="AQ157" s="66"/>
      <c r="AR157" s="66"/>
      <c r="AS157" s="66"/>
      <c r="AT157" s="66" t="s">
        <v>600</v>
      </c>
      <c r="AU157" s="66" t="s">
        <v>600</v>
      </c>
      <c r="AV157" s="66" t="s">
        <v>600</v>
      </c>
      <c r="AW157" s="66" t="s">
        <v>600</v>
      </c>
      <c r="AX157" s="66" t="s">
        <v>600</v>
      </c>
      <c r="AY157" s="66" t="s">
        <v>600</v>
      </c>
      <c r="AZ157" s="66" t="s">
        <v>600</v>
      </c>
      <c r="BA157" s="66" t="s">
        <v>600</v>
      </c>
      <c r="BB157" s="66" t="s">
        <v>600</v>
      </c>
      <c r="BC157" s="66" t="s">
        <v>600</v>
      </c>
      <c r="BD157" s="66" t="s">
        <v>600</v>
      </c>
      <c r="BE157" s="66" t="s">
        <v>600</v>
      </c>
      <c r="BF157" s="66" t="s">
        <v>600</v>
      </c>
      <c r="BG157" s="66" t="s">
        <v>600</v>
      </c>
      <c r="BH157" s="66" t="s">
        <v>600</v>
      </c>
      <c r="BI157" s="66" t="s">
        <v>600</v>
      </c>
      <c r="BJ157" s="66" t="s">
        <v>600</v>
      </c>
      <c r="BK157" s="66" t="s">
        <v>600</v>
      </c>
      <c r="BL157" s="66" t="s">
        <v>600</v>
      </c>
      <c r="BM157" s="66" t="s">
        <v>600</v>
      </c>
      <c r="BN157" s="66" t="s">
        <v>600</v>
      </c>
      <c r="BO157" s="66" t="s">
        <v>600</v>
      </c>
      <c r="BP157" s="66" t="s">
        <v>600</v>
      </c>
      <c r="BQ157" s="66" t="s">
        <v>600</v>
      </c>
      <c r="BR157" s="164"/>
      <c r="BS157" s="68" t="s">
        <v>601</v>
      </c>
    </row>
    <row r="158" ht="15.6" spans="1:71">
      <c r="A158" s="53" t="s">
        <v>516</v>
      </c>
      <c r="B158" s="53" t="s">
        <v>27</v>
      </c>
      <c r="C158" s="175" t="s">
        <v>40</v>
      </c>
      <c r="D158" s="168" t="s">
        <v>644</v>
      </c>
      <c r="E158" s="176">
        <v>56.5</v>
      </c>
      <c r="F158" s="177">
        <v>81.99</v>
      </c>
      <c r="G158" s="59">
        <f t="shared" si="127"/>
        <v>69.6915</v>
      </c>
      <c r="H158" s="59">
        <f t="shared" si="128"/>
        <v>58.07625</v>
      </c>
      <c r="I158" s="59">
        <f t="shared" si="129"/>
        <v>-1.22351622418879</v>
      </c>
      <c r="J158" s="60">
        <f t="shared" si="130"/>
        <v>-0.0216551544104211</v>
      </c>
      <c r="K158" s="57">
        <f t="shared" si="131"/>
        <v>68.325</v>
      </c>
      <c r="L158" s="163">
        <f t="shared" si="132"/>
        <v>0.173069886571533</v>
      </c>
      <c r="M158" s="59">
        <f t="shared" si="133"/>
        <v>11.825</v>
      </c>
      <c r="N158" s="57">
        <f t="shared" si="146"/>
        <v>197.070796460177</v>
      </c>
      <c r="O158" s="57">
        <f t="shared" si="134"/>
        <v>1.60416666666667</v>
      </c>
      <c r="P158" s="53">
        <v>12</v>
      </c>
      <c r="Q158" s="62">
        <v>8</v>
      </c>
      <c r="R158" s="63">
        <f t="shared" si="135"/>
        <v>0.141592920353982</v>
      </c>
      <c r="S158" s="60">
        <f t="shared" si="136"/>
        <v>0.0975728747408221</v>
      </c>
      <c r="T158" s="63">
        <f t="shared" si="137"/>
        <v>0.217672566371681</v>
      </c>
      <c r="U158" s="63">
        <v>0.01</v>
      </c>
      <c r="V158" s="63">
        <f t="shared" si="138"/>
        <v>0.435997337301277</v>
      </c>
      <c r="W158" s="63">
        <f t="shared" si="139"/>
        <v>0.0283923303834808</v>
      </c>
      <c r="X158" s="61">
        <v>0.188</v>
      </c>
      <c r="Y158" s="64">
        <v>8</v>
      </c>
      <c r="Z158" s="64">
        <f>F158*0.15</f>
        <v>12.2985</v>
      </c>
      <c r="AA158" s="64">
        <f t="shared" si="140"/>
        <v>0.565</v>
      </c>
      <c r="AB158" s="57">
        <f t="shared" si="141"/>
        <v>10.622</v>
      </c>
      <c r="AC158" s="57">
        <v>208</v>
      </c>
      <c r="AD158" s="65">
        <f t="shared" si="142"/>
        <v>184.070796460177</v>
      </c>
      <c r="AE158" s="62">
        <f t="shared" si="147"/>
        <v>1.625</v>
      </c>
      <c r="AF158" s="63">
        <f t="shared" si="143"/>
        <v>0.407236275354374</v>
      </c>
      <c r="AG158" s="63">
        <f t="shared" si="144"/>
        <v>0.00359513274336283</v>
      </c>
      <c r="AH158" s="62">
        <v>13</v>
      </c>
      <c r="AI158" s="63">
        <f t="shared" si="148"/>
        <v>0.400649692556201</v>
      </c>
      <c r="AJ158" s="63"/>
      <c r="AK158" s="63"/>
      <c r="AL158" s="63"/>
      <c r="AM158" s="63"/>
      <c r="AN158" s="66"/>
      <c r="AO158" s="66"/>
      <c r="AP158" s="66"/>
      <c r="AQ158" s="66"/>
      <c r="AR158" s="66"/>
      <c r="AS158" s="66"/>
      <c r="AT158" s="66" t="s">
        <v>600</v>
      </c>
      <c r="AU158" s="66" t="s">
        <v>600</v>
      </c>
      <c r="AV158" s="66" t="s">
        <v>600</v>
      </c>
      <c r="AW158" s="66" t="s">
        <v>600</v>
      </c>
      <c r="AX158" s="66" t="s">
        <v>600</v>
      </c>
      <c r="AY158" s="66" t="s">
        <v>600</v>
      </c>
      <c r="AZ158" s="66" t="s">
        <v>600</v>
      </c>
      <c r="BA158" s="66" t="s">
        <v>600</v>
      </c>
      <c r="BB158" s="66" t="s">
        <v>600</v>
      </c>
      <c r="BC158" s="66" t="s">
        <v>600</v>
      </c>
      <c r="BD158" s="66" t="s">
        <v>600</v>
      </c>
      <c r="BE158" s="66" t="s">
        <v>600</v>
      </c>
      <c r="BF158" s="66" t="s">
        <v>600</v>
      </c>
      <c r="BG158" s="66" t="s">
        <v>600</v>
      </c>
      <c r="BH158" s="66" t="s">
        <v>600</v>
      </c>
      <c r="BI158" s="66" t="s">
        <v>600</v>
      </c>
      <c r="BJ158" s="66" t="s">
        <v>600</v>
      </c>
      <c r="BK158" s="66" t="s">
        <v>600</v>
      </c>
      <c r="BL158" s="66" t="s">
        <v>600</v>
      </c>
      <c r="BM158" s="66" t="s">
        <v>600</v>
      </c>
      <c r="BN158" s="66" t="s">
        <v>600</v>
      </c>
      <c r="BO158" s="66" t="s">
        <v>600</v>
      </c>
      <c r="BP158" s="66" t="s">
        <v>600</v>
      </c>
      <c r="BQ158" s="66" t="s">
        <v>600</v>
      </c>
      <c r="BR158" s="164"/>
      <c r="BS158" s="68" t="s">
        <v>601</v>
      </c>
    </row>
    <row r="159" ht="15.6" spans="1:71">
      <c r="A159" s="53" t="s">
        <v>605</v>
      </c>
      <c r="B159" s="53" t="s">
        <v>27</v>
      </c>
      <c r="C159" s="175" t="s">
        <v>40</v>
      </c>
      <c r="D159" s="170" t="s">
        <v>645</v>
      </c>
      <c r="E159" s="179">
        <v>68.5</v>
      </c>
      <c r="F159" s="167">
        <v>99.99</v>
      </c>
      <c r="G159" s="59">
        <f t="shared" si="127"/>
        <v>99.99</v>
      </c>
      <c r="H159" s="59">
        <f t="shared" si="128"/>
        <v>83.325</v>
      </c>
      <c r="I159" s="59">
        <f t="shared" si="129"/>
        <v>28.9073171091445</v>
      </c>
      <c r="J159" s="60">
        <f t="shared" si="130"/>
        <v>0.422004629330577</v>
      </c>
      <c r="K159" s="57">
        <f t="shared" si="131"/>
        <v>83.325</v>
      </c>
      <c r="L159" s="163">
        <f t="shared" si="132"/>
        <v>0.177917791779178</v>
      </c>
      <c r="M159" s="59">
        <f t="shared" si="133"/>
        <v>14.825</v>
      </c>
      <c r="N159" s="57">
        <f t="shared" si="146"/>
        <v>197.070796460177</v>
      </c>
      <c r="O159" s="57">
        <f t="shared" si="134"/>
        <v>1.39583333333333</v>
      </c>
      <c r="P159" s="53">
        <v>12</v>
      </c>
      <c r="Q159" s="62">
        <v>8</v>
      </c>
      <c r="R159" s="63">
        <f t="shared" si="135"/>
        <v>0</v>
      </c>
      <c r="S159" s="60">
        <f t="shared" si="136"/>
        <v>0</v>
      </c>
      <c r="T159" s="63">
        <f t="shared" si="137"/>
        <v>0</v>
      </c>
      <c r="U159" s="63">
        <v>0.01</v>
      </c>
      <c r="V159" s="63">
        <f t="shared" si="138"/>
        <v>0.359618241715651</v>
      </c>
      <c r="W159" s="63">
        <f t="shared" si="139"/>
        <v>0.0203771289537713</v>
      </c>
      <c r="X159" s="61">
        <v>0.188</v>
      </c>
      <c r="Y159" s="64">
        <v>0</v>
      </c>
      <c r="Z159" s="64">
        <f>F159*0</f>
        <v>0</v>
      </c>
      <c r="AA159" s="64">
        <f t="shared" si="140"/>
        <v>0.685</v>
      </c>
      <c r="AB159" s="57">
        <f t="shared" si="141"/>
        <v>12.878</v>
      </c>
      <c r="AC159" s="57">
        <v>208</v>
      </c>
      <c r="AD159" s="65">
        <f t="shared" si="142"/>
        <v>184.070796460177</v>
      </c>
      <c r="AE159" s="62">
        <f t="shared" si="147"/>
        <v>1.625</v>
      </c>
      <c r="AF159" s="63">
        <f t="shared" si="143"/>
        <v>0.335895613978425</v>
      </c>
      <c r="AG159" s="63">
        <f t="shared" si="144"/>
        <v>0.00296532846715328</v>
      </c>
      <c r="AH159" s="62">
        <v>13</v>
      </c>
      <c r="AI159" s="63">
        <f t="shared" si="148"/>
        <v>0.332469246924692</v>
      </c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 t="s">
        <v>600</v>
      </c>
      <c r="AU159" s="66" t="s">
        <v>600</v>
      </c>
      <c r="AV159" s="66" t="s">
        <v>600</v>
      </c>
      <c r="AW159" s="66" t="s">
        <v>600</v>
      </c>
      <c r="AX159" s="66" t="s">
        <v>600</v>
      </c>
      <c r="AY159" s="66" t="s">
        <v>600</v>
      </c>
      <c r="AZ159" s="66" t="s">
        <v>600</v>
      </c>
      <c r="BA159" s="66" t="s">
        <v>600</v>
      </c>
      <c r="BB159" s="66" t="s">
        <v>600</v>
      </c>
      <c r="BC159" s="66" t="s">
        <v>600</v>
      </c>
      <c r="BD159" s="66" t="s">
        <v>600</v>
      </c>
      <c r="BE159" s="66" t="s">
        <v>600</v>
      </c>
      <c r="BF159" s="66" t="s">
        <v>600</v>
      </c>
      <c r="BG159" s="66" t="s">
        <v>600</v>
      </c>
      <c r="BH159" s="66" t="s">
        <v>600</v>
      </c>
      <c r="BI159" s="66" t="s">
        <v>600</v>
      </c>
      <c r="BJ159" s="66" t="s">
        <v>600</v>
      </c>
      <c r="BK159" s="66" t="s">
        <v>600</v>
      </c>
      <c r="BL159" s="66" t="s">
        <v>600</v>
      </c>
      <c r="BM159" s="66" t="s">
        <v>600</v>
      </c>
      <c r="BN159" s="66" t="s">
        <v>600</v>
      </c>
      <c r="BO159" s="66" t="s">
        <v>600</v>
      </c>
      <c r="BP159" s="66" t="s">
        <v>600</v>
      </c>
      <c r="BQ159" s="66" t="s">
        <v>600</v>
      </c>
      <c r="BR159" s="70" t="e">
        <f>IF(E159&lt;#REF!,1,0)</f>
        <v>#REF!</v>
      </c>
      <c r="BS159" s="68" t="s">
        <v>601</v>
      </c>
    </row>
    <row r="160" ht="15.6" spans="1:71">
      <c r="A160" s="53" t="s">
        <v>607</v>
      </c>
      <c r="B160" s="53" t="s">
        <v>27</v>
      </c>
      <c r="C160" s="175" t="s">
        <v>40</v>
      </c>
      <c r="D160" s="170" t="s">
        <v>646</v>
      </c>
      <c r="E160" s="179">
        <v>68.5</v>
      </c>
      <c r="F160" s="56">
        <v>99.99</v>
      </c>
      <c r="G160" s="59">
        <f t="shared" si="127"/>
        <v>99.99</v>
      </c>
      <c r="H160" s="59">
        <f t="shared" si="128"/>
        <v>83.325</v>
      </c>
      <c r="I160" s="59">
        <f t="shared" si="129"/>
        <v>29.1323171091445</v>
      </c>
      <c r="J160" s="60">
        <f t="shared" si="130"/>
        <v>0.425289300863424</v>
      </c>
      <c r="K160" s="57">
        <f t="shared" si="131"/>
        <v>83.325</v>
      </c>
      <c r="L160" s="163">
        <f t="shared" si="132"/>
        <v>0.177917791779178</v>
      </c>
      <c r="M160" s="59">
        <f t="shared" si="133"/>
        <v>14.825</v>
      </c>
      <c r="N160" s="57">
        <f t="shared" si="146"/>
        <v>197.070796460177</v>
      </c>
      <c r="O160" s="57">
        <f t="shared" si="134"/>
        <v>1.17083333333333</v>
      </c>
      <c r="P160" s="53">
        <v>12</v>
      </c>
      <c r="Q160" s="62">
        <v>8</v>
      </c>
      <c r="R160" s="63">
        <f t="shared" si="135"/>
        <v>0</v>
      </c>
      <c r="S160" s="60">
        <f t="shared" si="136"/>
        <v>0</v>
      </c>
      <c r="T160" s="63">
        <f t="shared" si="137"/>
        <v>0</v>
      </c>
      <c r="U160" s="63">
        <v>0.01</v>
      </c>
      <c r="V160" s="63">
        <f t="shared" si="138"/>
        <v>0.359618241715651</v>
      </c>
      <c r="W160" s="63">
        <f t="shared" si="139"/>
        <v>0.0170924574209246</v>
      </c>
      <c r="X160" s="61">
        <v>0.188</v>
      </c>
      <c r="Y160" s="64">
        <v>0</v>
      </c>
      <c r="Z160" s="64">
        <f>F160*0</f>
        <v>0</v>
      </c>
      <c r="AA160" s="64">
        <f t="shared" si="140"/>
        <v>0.685</v>
      </c>
      <c r="AB160" s="57">
        <f t="shared" si="141"/>
        <v>12.878</v>
      </c>
      <c r="AC160" s="57">
        <v>208</v>
      </c>
      <c r="AD160" s="65">
        <f t="shared" si="142"/>
        <v>184.070796460177</v>
      </c>
      <c r="AE160" s="62">
        <f t="shared" si="147"/>
        <v>1.625</v>
      </c>
      <c r="AF160" s="63">
        <f t="shared" si="143"/>
        <v>0.335895613978425</v>
      </c>
      <c r="AG160" s="63">
        <f t="shared" si="144"/>
        <v>0.00296532846715328</v>
      </c>
      <c r="AH160" s="62">
        <v>13</v>
      </c>
      <c r="AI160" s="63">
        <f t="shared" si="148"/>
        <v>0.332469246924692</v>
      </c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 t="s">
        <v>600</v>
      </c>
      <c r="AU160" s="66" t="s">
        <v>600</v>
      </c>
      <c r="AV160" s="66" t="s">
        <v>600</v>
      </c>
      <c r="AW160" s="66" t="s">
        <v>600</v>
      </c>
      <c r="AX160" s="66" t="s">
        <v>600</v>
      </c>
      <c r="AY160" s="66" t="s">
        <v>600</v>
      </c>
      <c r="AZ160" s="66" t="s">
        <v>600</v>
      </c>
      <c r="BA160" s="66" t="s">
        <v>600</v>
      </c>
      <c r="BB160" s="66" t="s">
        <v>600</v>
      </c>
      <c r="BC160" s="66" t="s">
        <v>600</v>
      </c>
      <c r="BD160" s="66" t="s">
        <v>600</v>
      </c>
      <c r="BE160" s="66" t="s">
        <v>600</v>
      </c>
      <c r="BF160" s="66" t="s">
        <v>600</v>
      </c>
      <c r="BG160" s="66" t="s">
        <v>600</v>
      </c>
      <c r="BH160" s="66" t="s">
        <v>600</v>
      </c>
      <c r="BI160" s="66" t="s">
        <v>600</v>
      </c>
      <c r="BJ160" s="66" t="s">
        <v>600</v>
      </c>
      <c r="BK160" s="66" t="s">
        <v>600</v>
      </c>
      <c r="BL160" s="66" t="s">
        <v>600</v>
      </c>
      <c r="BM160" s="66" t="s">
        <v>600</v>
      </c>
      <c r="BN160" s="66" t="s">
        <v>600</v>
      </c>
      <c r="BO160" s="66" t="s">
        <v>600</v>
      </c>
      <c r="BP160" s="66" t="s">
        <v>600</v>
      </c>
      <c r="BQ160" s="66" t="s">
        <v>600</v>
      </c>
      <c r="BR160" s="70" t="e">
        <f>IF(E160&lt;#REF!,1,0)</f>
        <v>#REF!</v>
      </c>
      <c r="BS160" s="68" t="s">
        <v>601</v>
      </c>
    </row>
    <row r="161" ht="15.6" spans="1:71">
      <c r="A161" s="53" t="s">
        <v>609</v>
      </c>
      <c r="B161" s="53" t="s">
        <v>27</v>
      </c>
      <c r="C161" s="175" t="s">
        <v>40</v>
      </c>
      <c r="D161" s="170" t="s">
        <v>647</v>
      </c>
      <c r="E161" s="179">
        <v>68.5</v>
      </c>
      <c r="F161" s="56">
        <v>99.99</v>
      </c>
      <c r="G161" s="59">
        <f t="shared" si="127"/>
        <v>99.99</v>
      </c>
      <c r="H161" s="59">
        <f t="shared" si="128"/>
        <v>83.325</v>
      </c>
      <c r="I161" s="59">
        <f t="shared" si="129"/>
        <v>28.7823171091445</v>
      </c>
      <c r="J161" s="60">
        <f t="shared" si="130"/>
        <v>0.420179811812329</v>
      </c>
      <c r="K161" s="57">
        <f t="shared" si="131"/>
        <v>83.325</v>
      </c>
      <c r="L161" s="163">
        <f t="shared" si="132"/>
        <v>0.177917791779178</v>
      </c>
      <c r="M161" s="59">
        <f t="shared" si="133"/>
        <v>14.825</v>
      </c>
      <c r="N161" s="57">
        <f t="shared" si="146"/>
        <v>197.070796460177</v>
      </c>
      <c r="O161" s="57">
        <f t="shared" si="134"/>
        <v>1.52083333333333</v>
      </c>
      <c r="P161" s="53">
        <v>12</v>
      </c>
      <c r="Q161" s="62">
        <v>8</v>
      </c>
      <c r="R161" s="63">
        <f t="shared" si="135"/>
        <v>0</v>
      </c>
      <c r="S161" s="60">
        <f t="shared" si="136"/>
        <v>0</v>
      </c>
      <c r="T161" s="63">
        <f t="shared" si="137"/>
        <v>0</v>
      </c>
      <c r="U161" s="63">
        <v>0.01</v>
      </c>
      <c r="V161" s="63">
        <f t="shared" si="138"/>
        <v>0.359618241715651</v>
      </c>
      <c r="W161" s="63">
        <f t="shared" si="139"/>
        <v>0.0222019464720195</v>
      </c>
      <c r="X161" s="61">
        <v>0.188</v>
      </c>
      <c r="Y161" s="64">
        <v>0</v>
      </c>
      <c r="Z161" s="64">
        <f>F161*0</f>
        <v>0</v>
      </c>
      <c r="AA161" s="64">
        <f t="shared" si="140"/>
        <v>0.685</v>
      </c>
      <c r="AB161" s="57">
        <f t="shared" si="141"/>
        <v>12.878</v>
      </c>
      <c r="AC161" s="57">
        <v>208</v>
      </c>
      <c r="AD161" s="65">
        <f t="shared" si="142"/>
        <v>184.070796460177</v>
      </c>
      <c r="AE161" s="62">
        <f t="shared" si="147"/>
        <v>1.625</v>
      </c>
      <c r="AF161" s="63">
        <f t="shared" si="143"/>
        <v>0.335895613978425</v>
      </c>
      <c r="AG161" s="63">
        <f t="shared" si="144"/>
        <v>0.00296532846715328</v>
      </c>
      <c r="AH161" s="62">
        <v>13</v>
      </c>
      <c r="AI161" s="63">
        <f t="shared" si="148"/>
        <v>0.332469246924692</v>
      </c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 t="s">
        <v>600</v>
      </c>
      <c r="AU161" s="66" t="s">
        <v>600</v>
      </c>
      <c r="AV161" s="66" t="s">
        <v>600</v>
      </c>
      <c r="AW161" s="66" t="s">
        <v>600</v>
      </c>
      <c r="AX161" s="66" t="s">
        <v>600</v>
      </c>
      <c r="AY161" s="66" t="s">
        <v>600</v>
      </c>
      <c r="AZ161" s="66" t="s">
        <v>600</v>
      </c>
      <c r="BA161" s="66" t="s">
        <v>600</v>
      </c>
      <c r="BB161" s="66" t="s">
        <v>600</v>
      </c>
      <c r="BC161" s="66" t="s">
        <v>600</v>
      </c>
      <c r="BD161" s="66" t="s">
        <v>600</v>
      </c>
      <c r="BE161" s="66" t="s">
        <v>600</v>
      </c>
      <c r="BF161" s="66" t="s">
        <v>600</v>
      </c>
      <c r="BG161" s="66" t="s">
        <v>600</v>
      </c>
      <c r="BH161" s="66" t="s">
        <v>600</v>
      </c>
      <c r="BI161" s="66" t="s">
        <v>600</v>
      </c>
      <c r="BJ161" s="66" t="s">
        <v>600</v>
      </c>
      <c r="BK161" s="66" t="s">
        <v>600</v>
      </c>
      <c r="BL161" s="66" t="s">
        <v>600</v>
      </c>
      <c r="BM161" s="66" t="s">
        <v>600</v>
      </c>
      <c r="BN161" s="66" t="s">
        <v>600</v>
      </c>
      <c r="BO161" s="66" t="s">
        <v>600</v>
      </c>
      <c r="BP161" s="66" t="s">
        <v>600</v>
      </c>
      <c r="BQ161" s="66" t="s">
        <v>600</v>
      </c>
      <c r="BR161" s="70" t="e">
        <f>IF(E161&lt;#REF!,1,0)</f>
        <v>#REF!</v>
      </c>
      <c r="BS161" s="68" t="s">
        <v>601</v>
      </c>
    </row>
    <row r="162" ht="15.6" spans="1:71">
      <c r="A162" s="53" t="s">
        <v>611</v>
      </c>
      <c r="B162" s="53" t="s">
        <v>27</v>
      </c>
      <c r="C162" s="175" t="s">
        <v>40</v>
      </c>
      <c r="D162" s="170" t="s">
        <v>648</v>
      </c>
      <c r="E162" s="179">
        <v>68.5</v>
      </c>
      <c r="F162" s="56">
        <v>99.99</v>
      </c>
      <c r="G162" s="59">
        <f t="shared" si="127"/>
        <v>99.99</v>
      </c>
      <c r="H162" s="59">
        <f t="shared" si="128"/>
        <v>83.325</v>
      </c>
      <c r="I162" s="59">
        <f t="shared" si="129"/>
        <v>29.1156504424779</v>
      </c>
      <c r="J162" s="60">
        <f t="shared" si="130"/>
        <v>0.425045991860991</v>
      </c>
      <c r="K162" s="57">
        <f t="shared" si="131"/>
        <v>83.325</v>
      </c>
      <c r="L162" s="163">
        <f t="shared" si="132"/>
        <v>0.177917791779178</v>
      </c>
      <c r="M162" s="59">
        <f t="shared" si="133"/>
        <v>14.825</v>
      </c>
      <c r="N162" s="57">
        <f t="shared" si="146"/>
        <v>197.070796460177</v>
      </c>
      <c r="O162" s="57">
        <f t="shared" si="134"/>
        <v>1.1875</v>
      </c>
      <c r="P162" s="53">
        <v>12</v>
      </c>
      <c r="Q162" s="62">
        <v>8</v>
      </c>
      <c r="R162" s="63">
        <f t="shared" si="135"/>
        <v>0</v>
      </c>
      <c r="S162" s="60">
        <f t="shared" si="136"/>
        <v>0</v>
      </c>
      <c r="T162" s="63">
        <f t="shared" si="137"/>
        <v>0</v>
      </c>
      <c r="U162" s="63">
        <v>0.01</v>
      </c>
      <c r="V162" s="63">
        <f t="shared" si="138"/>
        <v>0.359618241715651</v>
      </c>
      <c r="W162" s="63">
        <f t="shared" si="139"/>
        <v>0.0173357664233577</v>
      </c>
      <c r="X162" s="61">
        <v>0.188</v>
      </c>
      <c r="Y162" s="64">
        <v>0</v>
      </c>
      <c r="Z162" s="64">
        <f>F162*0</f>
        <v>0</v>
      </c>
      <c r="AA162" s="64">
        <f t="shared" si="140"/>
        <v>0.685</v>
      </c>
      <c r="AB162" s="57">
        <f t="shared" si="141"/>
        <v>12.878</v>
      </c>
      <c r="AC162" s="57">
        <v>208</v>
      </c>
      <c r="AD162" s="65">
        <f t="shared" si="142"/>
        <v>184.070796460177</v>
      </c>
      <c r="AE162" s="62">
        <f t="shared" si="147"/>
        <v>1.625</v>
      </c>
      <c r="AF162" s="63">
        <f t="shared" si="143"/>
        <v>0.335895613978425</v>
      </c>
      <c r="AG162" s="63">
        <f t="shared" si="144"/>
        <v>0.00296532846715328</v>
      </c>
      <c r="AH162" s="62">
        <v>13</v>
      </c>
      <c r="AI162" s="63">
        <f t="shared" si="148"/>
        <v>0.332469246924692</v>
      </c>
      <c r="AJ162" s="63"/>
      <c r="AK162" s="63"/>
      <c r="AL162" s="63"/>
      <c r="AM162" s="63"/>
      <c r="AN162" s="66"/>
      <c r="AO162" s="66"/>
      <c r="AP162" s="66"/>
      <c r="AQ162" s="66"/>
      <c r="AR162" s="66"/>
      <c r="AS162" s="66"/>
      <c r="AT162" s="66" t="s">
        <v>600</v>
      </c>
      <c r="AU162" s="66" t="s">
        <v>600</v>
      </c>
      <c r="AV162" s="66" t="s">
        <v>600</v>
      </c>
      <c r="AW162" s="66" t="s">
        <v>600</v>
      </c>
      <c r="AX162" s="66" t="s">
        <v>600</v>
      </c>
      <c r="AY162" s="66" t="s">
        <v>600</v>
      </c>
      <c r="AZ162" s="66" t="s">
        <v>600</v>
      </c>
      <c r="BA162" s="66" t="s">
        <v>600</v>
      </c>
      <c r="BB162" s="66" t="s">
        <v>600</v>
      </c>
      <c r="BC162" s="66" t="s">
        <v>600</v>
      </c>
      <c r="BD162" s="66" t="s">
        <v>600</v>
      </c>
      <c r="BE162" s="66" t="s">
        <v>600</v>
      </c>
      <c r="BF162" s="66" t="s">
        <v>600</v>
      </c>
      <c r="BG162" s="66" t="s">
        <v>600</v>
      </c>
      <c r="BH162" s="66" t="s">
        <v>600</v>
      </c>
      <c r="BI162" s="66" t="s">
        <v>600</v>
      </c>
      <c r="BJ162" s="66" t="s">
        <v>600</v>
      </c>
      <c r="BK162" s="66" t="s">
        <v>600</v>
      </c>
      <c r="BL162" s="66" t="s">
        <v>600</v>
      </c>
      <c r="BM162" s="66" t="s">
        <v>600</v>
      </c>
      <c r="BN162" s="66" t="s">
        <v>600</v>
      </c>
      <c r="BO162" s="66" t="s">
        <v>600</v>
      </c>
      <c r="BP162" s="66" t="s">
        <v>600</v>
      </c>
      <c r="BQ162" s="66" t="s">
        <v>600</v>
      </c>
      <c r="BR162" s="70" t="e">
        <f>IF(E162&lt;#REF!,1,0)</f>
        <v>#REF!</v>
      </c>
      <c r="BS162" s="68" t="s">
        <v>601</v>
      </c>
    </row>
    <row r="163" ht="15.6" spans="1:71">
      <c r="A163" s="53"/>
      <c r="B163" s="53"/>
      <c r="C163" s="53"/>
      <c r="D163" s="180"/>
      <c r="E163" s="57"/>
      <c r="F163" s="69"/>
      <c r="G163" s="59"/>
      <c r="H163" s="59"/>
      <c r="I163" s="59"/>
      <c r="J163" s="60"/>
      <c r="K163" s="57"/>
      <c r="L163" s="163"/>
      <c r="M163" s="59"/>
      <c r="N163" s="57"/>
      <c r="O163" s="57"/>
      <c r="P163" s="68"/>
      <c r="Q163" s="62"/>
      <c r="R163" s="63"/>
      <c r="S163" s="60"/>
      <c r="T163" s="63"/>
      <c r="U163" s="63"/>
      <c r="V163" s="63"/>
      <c r="W163" s="63"/>
      <c r="X163" s="61"/>
      <c r="Y163" s="64"/>
      <c r="Z163" s="64"/>
      <c r="AA163" s="64"/>
      <c r="AB163" s="57"/>
      <c r="AC163" s="57"/>
      <c r="AD163" s="65"/>
      <c r="AE163" s="62"/>
      <c r="AF163" s="63"/>
      <c r="AG163" s="63"/>
      <c r="AH163" s="62"/>
      <c r="AI163" s="63"/>
      <c r="AJ163" s="63"/>
      <c r="AK163" s="63"/>
      <c r="AL163" s="63"/>
      <c r="AM163" s="63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66"/>
      <c r="BJ163" s="66"/>
      <c r="BK163" s="66"/>
      <c r="BL163" s="66"/>
      <c r="BM163" s="66"/>
      <c r="BN163" s="66"/>
      <c r="BO163" s="66"/>
      <c r="BP163" s="66"/>
      <c r="BQ163" s="66"/>
      <c r="BR163" s="70"/>
      <c r="BS163" s="68"/>
    </row>
    <row r="164" ht="15.6" spans="1:71">
      <c r="A164" s="53" t="s">
        <v>277</v>
      </c>
      <c r="B164" s="53" t="s">
        <v>27</v>
      </c>
      <c r="C164" s="175" t="s">
        <v>51</v>
      </c>
      <c r="D164" s="168" t="s">
        <v>649</v>
      </c>
      <c r="E164" s="179">
        <v>25.55</v>
      </c>
      <c r="F164" s="56">
        <v>36.99</v>
      </c>
      <c r="G164" s="59">
        <f t="shared" ref="G164:G179" si="149">(F164-Z164)</f>
        <v>36.99</v>
      </c>
      <c r="H164" s="59">
        <f t="shared" ref="H164:H179" si="150">(F164-Z164)/1.2</f>
        <v>30.825</v>
      </c>
      <c r="I164" s="59">
        <f t="shared" ref="I164:I179" si="151">E164-N164/Q164-AB164-Y164-O164-Z164-AA164</f>
        <v>6.33896135693215</v>
      </c>
      <c r="J164" s="60">
        <f t="shared" ref="J164:J179" si="152">I164/E164</f>
        <v>0.248100248803607</v>
      </c>
      <c r="K164" s="57">
        <f t="shared" ref="K164:K179" si="153">F164/1.2</f>
        <v>30.825</v>
      </c>
      <c r="L164" s="163">
        <f t="shared" ref="L164:L179" si="154">(K164-E164)/K164</f>
        <v>0.171127331711273</v>
      </c>
      <c r="M164" s="59">
        <f t="shared" ref="M164:M179" si="155">F164/1.2-E164</f>
        <v>5.275</v>
      </c>
      <c r="N164" s="57">
        <f>AD164+AH165</f>
        <v>79.1504424778761</v>
      </c>
      <c r="O164" s="57">
        <f t="shared" ref="O164:O179" si="156">IFERROR(IF(A164="UK",8.95/P164,IF(A164="DE",7.75/P164,IF(A164="FR",14.25/P164,IF(A164="IT",15.25/P164,IF(A164="ES",19.25/P164,IF(A164="NL",16.75/P164,IF(A164="PL",14.05/P164,IF(A164="SE",18.25/P164,IF(A164="BE",14.25/P164))))))))),0)</f>
        <v>0.258333333333333</v>
      </c>
      <c r="P164" s="68">
        <v>30</v>
      </c>
      <c r="Q164" s="62">
        <v>8</v>
      </c>
      <c r="R164" s="63">
        <f t="shared" ref="R164:R179" si="157">Y164/E164</f>
        <v>0.156555772994129</v>
      </c>
      <c r="S164" s="60">
        <f t="shared" ref="S164:S179" si="158">Y164/F164</f>
        <v>0.108137334414707</v>
      </c>
      <c r="T164" s="63">
        <f t="shared" ref="T164:T179" si="159">Z164/E164</f>
        <v>0</v>
      </c>
      <c r="U164" s="63">
        <v>0.01</v>
      </c>
      <c r="V164" s="63">
        <f t="shared" ref="V164:V179" si="160">N164/(E164*Q164)</f>
        <v>0.387233084529727</v>
      </c>
      <c r="W164" s="63">
        <f t="shared" ref="W164:W179" si="161">O164/E164</f>
        <v>0.0101108936725375</v>
      </c>
      <c r="X164" s="61">
        <v>0.188</v>
      </c>
      <c r="Y164" s="64">
        <v>4</v>
      </c>
      <c r="Z164" s="64">
        <v>0</v>
      </c>
      <c r="AA164" s="64">
        <f t="shared" ref="AA164:AA179" si="162">E164*U164</f>
        <v>0.2555</v>
      </c>
      <c r="AB164" s="57">
        <f t="shared" ref="AB164:AB179" si="163">E164*X164</f>
        <v>4.8034</v>
      </c>
      <c r="AC164" s="57">
        <v>80.4</v>
      </c>
      <c r="AD164" s="65">
        <f t="shared" ref="AD164:AD179" si="164">AC164/1.13</f>
        <v>71.1504424778761</v>
      </c>
      <c r="AE164" s="62">
        <f>AH165/Q164</f>
        <v>1</v>
      </c>
      <c r="AF164" s="63">
        <f t="shared" ref="AF164:AF179" si="165">AD164/(E164*Q164)</f>
        <v>0.348094141281194</v>
      </c>
      <c r="AG164" s="63">
        <f t="shared" ref="AG164:AG179" si="166">AE164/Q164/E164</f>
        <v>0.00489236790606654</v>
      </c>
      <c r="AH164" s="62">
        <v>8</v>
      </c>
      <c r="AI164" s="63">
        <f t="shared" ref="AI164:AI179" si="167">(H164-E164+AB164)/H164</f>
        <v>0.326955393349554</v>
      </c>
      <c r="AJ164" s="63"/>
      <c r="AK164" s="63"/>
      <c r="AL164" s="63"/>
      <c r="AM164" s="63"/>
      <c r="AN164" s="66"/>
      <c r="AO164" s="66"/>
      <c r="AP164" s="66"/>
      <c r="AQ164" s="66"/>
      <c r="AR164" s="66"/>
      <c r="AS164" s="66"/>
      <c r="AT164" s="66" t="s">
        <v>600</v>
      </c>
      <c r="AU164" s="66" t="s">
        <v>600</v>
      </c>
      <c r="AV164" s="66" t="s">
        <v>600</v>
      </c>
      <c r="AW164" s="66" t="s">
        <v>600</v>
      </c>
      <c r="AX164" s="66" t="s">
        <v>600</v>
      </c>
      <c r="AY164" s="66" t="s">
        <v>600</v>
      </c>
      <c r="AZ164" s="66" t="s">
        <v>600</v>
      </c>
      <c r="BA164" s="66" t="s">
        <v>600</v>
      </c>
      <c r="BB164" s="66" t="s">
        <v>600</v>
      </c>
      <c r="BC164" s="66" t="s">
        <v>600</v>
      </c>
      <c r="BD164" s="66" t="s">
        <v>600</v>
      </c>
      <c r="BE164" s="66" t="s">
        <v>600</v>
      </c>
      <c r="BF164" s="66" t="s">
        <v>600</v>
      </c>
      <c r="BG164" s="66" t="s">
        <v>600</v>
      </c>
      <c r="BH164" s="66" t="s">
        <v>600</v>
      </c>
      <c r="BI164" s="66" t="s">
        <v>600</v>
      </c>
      <c r="BJ164" s="66" t="s">
        <v>600</v>
      </c>
      <c r="BK164" s="66" t="s">
        <v>600</v>
      </c>
      <c r="BL164" s="66" t="s">
        <v>600</v>
      </c>
      <c r="BM164" s="66" t="s">
        <v>600</v>
      </c>
      <c r="BN164" s="66" t="s">
        <v>600</v>
      </c>
      <c r="BO164" s="66" t="s">
        <v>600</v>
      </c>
      <c r="BP164" s="66" t="s">
        <v>600</v>
      </c>
      <c r="BQ164" s="66" t="s">
        <v>600</v>
      </c>
      <c r="BR164" s="164"/>
      <c r="BS164" s="68" t="s">
        <v>601</v>
      </c>
    </row>
    <row r="165" ht="15.6" spans="1:71">
      <c r="A165" s="53" t="s">
        <v>277</v>
      </c>
      <c r="B165" s="53" t="s">
        <v>27</v>
      </c>
      <c r="C165" s="175" t="s">
        <v>51</v>
      </c>
      <c r="D165" s="168" t="s">
        <v>650</v>
      </c>
      <c r="E165" s="179">
        <v>25.55</v>
      </c>
      <c r="F165" s="56">
        <v>36.99</v>
      </c>
      <c r="G165" s="59">
        <f t="shared" si="149"/>
        <v>33.291</v>
      </c>
      <c r="H165" s="59">
        <f t="shared" si="150"/>
        <v>27.7425</v>
      </c>
      <c r="I165" s="165">
        <f t="shared" si="151"/>
        <v>2.63996135693215</v>
      </c>
      <c r="J165" s="60">
        <f t="shared" si="152"/>
        <v>0.103325297727286</v>
      </c>
      <c r="K165" s="57">
        <f t="shared" si="153"/>
        <v>30.825</v>
      </c>
      <c r="L165" s="163">
        <f t="shared" si="154"/>
        <v>0.171127331711273</v>
      </c>
      <c r="M165" s="59">
        <f t="shared" si="155"/>
        <v>5.275</v>
      </c>
      <c r="N165" s="57">
        <f t="shared" ref="N165:N179" si="168">AD165+AH165</f>
        <v>79.1504424778761</v>
      </c>
      <c r="O165" s="57">
        <f t="shared" si="156"/>
        <v>0.258333333333333</v>
      </c>
      <c r="P165" s="53">
        <v>30</v>
      </c>
      <c r="Q165" s="62">
        <v>8</v>
      </c>
      <c r="R165" s="63">
        <f t="shared" si="157"/>
        <v>0.156555772994129</v>
      </c>
      <c r="S165" s="60">
        <f t="shared" si="158"/>
        <v>0.108137334414707</v>
      </c>
      <c r="T165" s="63">
        <f t="shared" si="159"/>
        <v>0.144774951076321</v>
      </c>
      <c r="U165" s="63">
        <v>0.01</v>
      </c>
      <c r="V165" s="63">
        <f t="shared" si="160"/>
        <v>0.387233084529727</v>
      </c>
      <c r="W165" s="63">
        <f t="shared" si="161"/>
        <v>0.0101108936725375</v>
      </c>
      <c r="X165" s="61">
        <v>0.188</v>
      </c>
      <c r="Y165" s="64">
        <v>4</v>
      </c>
      <c r="Z165" s="64">
        <f>F165*0.1</f>
        <v>3.699</v>
      </c>
      <c r="AA165" s="64">
        <f t="shared" si="162"/>
        <v>0.2555</v>
      </c>
      <c r="AB165" s="57">
        <f t="shared" si="163"/>
        <v>4.8034</v>
      </c>
      <c r="AC165" s="57">
        <v>80.4</v>
      </c>
      <c r="AD165" s="65">
        <f t="shared" si="164"/>
        <v>71.1504424778761</v>
      </c>
      <c r="AE165" s="62">
        <f t="shared" ref="AE165:AE179" si="169">AH165/Q165</f>
        <v>1</v>
      </c>
      <c r="AF165" s="63">
        <f t="shared" si="165"/>
        <v>0.348094141281194</v>
      </c>
      <c r="AG165" s="63">
        <f t="shared" si="166"/>
        <v>0.00489236790606654</v>
      </c>
      <c r="AH165" s="62">
        <v>8</v>
      </c>
      <c r="AI165" s="63">
        <f t="shared" si="167"/>
        <v>0.252172659277282</v>
      </c>
      <c r="AJ165" s="63"/>
      <c r="AK165" s="63"/>
      <c r="AL165" s="63"/>
      <c r="AM165" s="63"/>
      <c r="AN165" s="66"/>
      <c r="AO165" s="66"/>
      <c r="AP165" s="66"/>
      <c r="AQ165" s="66"/>
      <c r="AR165" s="66"/>
      <c r="AS165" s="66"/>
      <c r="AT165" s="66" t="s">
        <v>600</v>
      </c>
      <c r="AU165" s="66" t="s">
        <v>600</v>
      </c>
      <c r="AV165" s="66" t="s">
        <v>600</v>
      </c>
      <c r="AW165" s="66" t="s">
        <v>600</v>
      </c>
      <c r="AX165" s="66" t="s">
        <v>600</v>
      </c>
      <c r="AY165" s="66" t="s">
        <v>600</v>
      </c>
      <c r="AZ165" s="66" t="s">
        <v>600</v>
      </c>
      <c r="BA165" s="66" t="s">
        <v>600</v>
      </c>
      <c r="BB165" s="66" t="s">
        <v>600</v>
      </c>
      <c r="BC165" s="66" t="s">
        <v>600</v>
      </c>
      <c r="BD165" s="66" t="s">
        <v>600</v>
      </c>
      <c r="BE165" s="66" t="s">
        <v>600</v>
      </c>
      <c r="BF165" s="66" t="s">
        <v>600</v>
      </c>
      <c r="BG165" s="66" t="s">
        <v>600</v>
      </c>
      <c r="BH165" s="66" t="s">
        <v>600</v>
      </c>
      <c r="BI165" s="66" t="s">
        <v>600</v>
      </c>
      <c r="BJ165" s="66" t="s">
        <v>600</v>
      </c>
      <c r="BK165" s="66" t="s">
        <v>600</v>
      </c>
      <c r="BL165" s="66" t="s">
        <v>600</v>
      </c>
      <c r="BM165" s="66" t="s">
        <v>600</v>
      </c>
      <c r="BN165" s="66" t="s">
        <v>600</v>
      </c>
      <c r="BO165" s="66" t="s">
        <v>600</v>
      </c>
      <c r="BP165" s="66" t="s">
        <v>600</v>
      </c>
      <c r="BQ165" s="66" t="s">
        <v>600</v>
      </c>
      <c r="BR165" s="164"/>
      <c r="BS165" s="68" t="s">
        <v>601</v>
      </c>
    </row>
    <row r="166" ht="15.6" spans="1:71">
      <c r="A166" s="53" t="s">
        <v>277</v>
      </c>
      <c r="B166" s="53" t="s">
        <v>27</v>
      </c>
      <c r="C166" s="175" t="s">
        <v>51</v>
      </c>
      <c r="D166" s="168" t="s">
        <v>651</v>
      </c>
      <c r="E166" s="179">
        <v>25.55</v>
      </c>
      <c r="F166" s="56">
        <v>36.99</v>
      </c>
      <c r="G166" s="59">
        <f t="shared" si="149"/>
        <v>31.4415</v>
      </c>
      <c r="H166" s="59">
        <f t="shared" si="150"/>
        <v>26.20125</v>
      </c>
      <c r="I166" s="59">
        <f t="shared" si="151"/>
        <v>0.790461356932153</v>
      </c>
      <c r="J166" s="60">
        <f t="shared" si="152"/>
        <v>0.0309378221891254</v>
      </c>
      <c r="K166" s="57">
        <f t="shared" si="153"/>
        <v>30.825</v>
      </c>
      <c r="L166" s="163">
        <f t="shared" si="154"/>
        <v>0.171127331711273</v>
      </c>
      <c r="M166" s="59">
        <f t="shared" si="155"/>
        <v>5.275</v>
      </c>
      <c r="N166" s="57">
        <f t="shared" si="168"/>
        <v>79.1504424778761</v>
      </c>
      <c r="O166" s="57">
        <f t="shared" si="156"/>
        <v>0.258333333333333</v>
      </c>
      <c r="P166" s="53">
        <v>30</v>
      </c>
      <c r="Q166" s="62">
        <v>8</v>
      </c>
      <c r="R166" s="63">
        <f t="shared" si="157"/>
        <v>0.156555772994129</v>
      </c>
      <c r="S166" s="60">
        <f t="shared" si="158"/>
        <v>0.108137334414707</v>
      </c>
      <c r="T166" s="63">
        <f t="shared" si="159"/>
        <v>0.217162426614481</v>
      </c>
      <c r="U166" s="63">
        <v>0.01</v>
      </c>
      <c r="V166" s="63">
        <f t="shared" si="160"/>
        <v>0.387233084529727</v>
      </c>
      <c r="W166" s="63">
        <f t="shared" si="161"/>
        <v>0.0101108936725375</v>
      </c>
      <c r="X166" s="61">
        <v>0.188</v>
      </c>
      <c r="Y166" s="64">
        <v>4</v>
      </c>
      <c r="Z166" s="64">
        <f>F166*0.15</f>
        <v>5.5485</v>
      </c>
      <c r="AA166" s="64">
        <f t="shared" si="162"/>
        <v>0.2555</v>
      </c>
      <c r="AB166" s="57">
        <f t="shared" si="163"/>
        <v>4.8034</v>
      </c>
      <c r="AC166" s="57">
        <v>80.4</v>
      </c>
      <c r="AD166" s="65">
        <f t="shared" si="164"/>
        <v>71.1504424778761</v>
      </c>
      <c r="AE166" s="62">
        <f t="shared" si="169"/>
        <v>1</v>
      </c>
      <c r="AF166" s="63">
        <f t="shared" si="165"/>
        <v>0.348094141281194</v>
      </c>
      <c r="AG166" s="63">
        <f t="shared" si="166"/>
        <v>0.00489236790606654</v>
      </c>
      <c r="AH166" s="62">
        <v>8</v>
      </c>
      <c r="AI166" s="63">
        <f t="shared" si="167"/>
        <v>0.208182815705358</v>
      </c>
      <c r="AJ166" s="63"/>
      <c r="AK166" s="63"/>
      <c r="AL166" s="63"/>
      <c r="AM166" s="63"/>
      <c r="AN166" s="66"/>
      <c r="AO166" s="66"/>
      <c r="AP166" s="66"/>
      <c r="AQ166" s="66"/>
      <c r="AR166" s="66"/>
      <c r="AS166" s="66"/>
      <c r="AT166" s="66" t="s">
        <v>600</v>
      </c>
      <c r="AU166" s="66" t="s">
        <v>600</v>
      </c>
      <c r="AV166" s="66" t="s">
        <v>600</v>
      </c>
      <c r="AW166" s="66" t="s">
        <v>600</v>
      </c>
      <c r="AX166" s="66" t="s">
        <v>600</v>
      </c>
      <c r="AY166" s="66" t="s">
        <v>600</v>
      </c>
      <c r="AZ166" s="66" t="s">
        <v>600</v>
      </c>
      <c r="BA166" s="66" t="s">
        <v>600</v>
      </c>
      <c r="BB166" s="66" t="s">
        <v>600</v>
      </c>
      <c r="BC166" s="66" t="s">
        <v>600</v>
      </c>
      <c r="BD166" s="66" t="s">
        <v>600</v>
      </c>
      <c r="BE166" s="66" t="s">
        <v>600</v>
      </c>
      <c r="BF166" s="66" t="s">
        <v>600</v>
      </c>
      <c r="BG166" s="66" t="s">
        <v>600</v>
      </c>
      <c r="BH166" s="66" t="s">
        <v>600</v>
      </c>
      <c r="BI166" s="66" t="s">
        <v>600</v>
      </c>
      <c r="BJ166" s="66" t="s">
        <v>600</v>
      </c>
      <c r="BK166" s="66" t="s">
        <v>600</v>
      </c>
      <c r="BL166" s="66" t="s">
        <v>600</v>
      </c>
      <c r="BM166" s="66" t="s">
        <v>600</v>
      </c>
      <c r="BN166" s="66" t="s">
        <v>600</v>
      </c>
      <c r="BO166" s="66" t="s">
        <v>600</v>
      </c>
      <c r="BP166" s="66" t="s">
        <v>600</v>
      </c>
      <c r="BQ166" s="66" t="s">
        <v>600</v>
      </c>
      <c r="BR166" s="164"/>
      <c r="BS166" s="68" t="s">
        <v>601</v>
      </c>
    </row>
    <row r="167" ht="15.6" spans="1:71">
      <c r="A167" s="53" t="s">
        <v>511</v>
      </c>
      <c r="B167" s="53" t="s">
        <v>27</v>
      </c>
      <c r="C167" s="175" t="s">
        <v>51</v>
      </c>
      <c r="D167" s="168" t="s">
        <v>649</v>
      </c>
      <c r="E167" s="179">
        <v>25.55</v>
      </c>
      <c r="F167" s="56">
        <v>36.99</v>
      </c>
      <c r="G167" s="59">
        <f t="shared" si="149"/>
        <v>36.99</v>
      </c>
      <c r="H167" s="59">
        <f t="shared" si="150"/>
        <v>30.825</v>
      </c>
      <c r="I167" s="59">
        <f t="shared" si="151"/>
        <v>6.12229469026549</v>
      </c>
      <c r="J167" s="60">
        <f t="shared" si="152"/>
        <v>0.239620144433091</v>
      </c>
      <c r="K167" s="57">
        <f t="shared" si="153"/>
        <v>30.825</v>
      </c>
      <c r="L167" s="163">
        <f t="shared" si="154"/>
        <v>0.171127331711273</v>
      </c>
      <c r="M167" s="59">
        <f t="shared" si="155"/>
        <v>5.275</v>
      </c>
      <c r="N167" s="57">
        <f t="shared" si="168"/>
        <v>79.1504424778761</v>
      </c>
      <c r="O167" s="57">
        <f t="shared" si="156"/>
        <v>0.475</v>
      </c>
      <c r="P167" s="53">
        <v>30</v>
      </c>
      <c r="Q167" s="62">
        <v>8</v>
      </c>
      <c r="R167" s="63">
        <f t="shared" si="157"/>
        <v>0.156555772994129</v>
      </c>
      <c r="S167" s="60">
        <f t="shared" si="158"/>
        <v>0.108137334414707</v>
      </c>
      <c r="T167" s="63">
        <f t="shared" si="159"/>
        <v>0</v>
      </c>
      <c r="U167" s="63">
        <v>0.01</v>
      </c>
      <c r="V167" s="63">
        <f t="shared" si="160"/>
        <v>0.387233084529727</v>
      </c>
      <c r="W167" s="63">
        <f t="shared" si="161"/>
        <v>0.0185909980430528</v>
      </c>
      <c r="X167" s="61">
        <v>0.188</v>
      </c>
      <c r="Y167" s="64">
        <v>4</v>
      </c>
      <c r="Z167" s="64">
        <v>0</v>
      </c>
      <c r="AA167" s="64">
        <f t="shared" si="162"/>
        <v>0.2555</v>
      </c>
      <c r="AB167" s="57">
        <f t="shared" si="163"/>
        <v>4.8034</v>
      </c>
      <c r="AC167" s="57">
        <v>80.4</v>
      </c>
      <c r="AD167" s="65">
        <f t="shared" si="164"/>
        <v>71.1504424778761</v>
      </c>
      <c r="AE167" s="62">
        <f t="shared" si="169"/>
        <v>1</v>
      </c>
      <c r="AF167" s="63">
        <f t="shared" si="165"/>
        <v>0.348094141281194</v>
      </c>
      <c r="AG167" s="63">
        <f t="shared" si="166"/>
        <v>0.00489236790606654</v>
      </c>
      <c r="AH167" s="62">
        <v>8</v>
      </c>
      <c r="AI167" s="63">
        <f t="shared" si="167"/>
        <v>0.326955393349554</v>
      </c>
      <c r="AJ167" s="63"/>
      <c r="AK167" s="63"/>
      <c r="AL167" s="63"/>
      <c r="AM167" s="63"/>
      <c r="AN167" s="66"/>
      <c r="AO167" s="66"/>
      <c r="AP167" s="66"/>
      <c r="AQ167" s="66"/>
      <c r="AR167" s="66"/>
      <c r="AS167" s="66"/>
      <c r="AT167" s="66" t="s">
        <v>600</v>
      </c>
      <c r="AU167" s="66" t="s">
        <v>600</v>
      </c>
      <c r="AV167" s="66" t="s">
        <v>600</v>
      </c>
      <c r="AW167" s="66" t="s">
        <v>600</v>
      </c>
      <c r="AX167" s="66" t="s">
        <v>600</v>
      </c>
      <c r="AY167" s="66" t="s">
        <v>600</v>
      </c>
      <c r="AZ167" s="66" t="s">
        <v>600</v>
      </c>
      <c r="BA167" s="66" t="s">
        <v>600</v>
      </c>
      <c r="BB167" s="66" t="s">
        <v>600</v>
      </c>
      <c r="BC167" s="66" t="s">
        <v>600</v>
      </c>
      <c r="BD167" s="66" t="s">
        <v>600</v>
      </c>
      <c r="BE167" s="66" t="s">
        <v>600</v>
      </c>
      <c r="BF167" s="66" t="s">
        <v>600</v>
      </c>
      <c r="BG167" s="66" t="s">
        <v>600</v>
      </c>
      <c r="BH167" s="66" t="s">
        <v>600</v>
      </c>
      <c r="BI167" s="66" t="s">
        <v>600</v>
      </c>
      <c r="BJ167" s="66" t="s">
        <v>600</v>
      </c>
      <c r="BK167" s="66" t="s">
        <v>600</v>
      </c>
      <c r="BL167" s="66" t="s">
        <v>600</v>
      </c>
      <c r="BM167" s="66" t="s">
        <v>600</v>
      </c>
      <c r="BN167" s="66" t="s">
        <v>600</v>
      </c>
      <c r="BO167" s="66" t="s">
        <v>600</v>
      </c>
      <c r="BP167" s="66" t="s">
        <v>600</v>
      </c>
      <c r="BQ167" s="66" t="s">
        <v>600</v>
      </c>
      <c r="BR167" s="164"/>
      <c r="BS167" s="68" t="s">
        <v>601</v>
      </c>
    </row>
    <row r="168" ht="15.6" spans="1:71">
      <c r="A168" s="53" t="s">
        <v>511</v>
      </c>
      <c r="B168" s="53" t="s">
        <v>27</v>
      </c>
      <c r="C168" s="175" t="s">
        <v>51</v>
      </c>
      <c r="D168" s="168" t="s">
        <v>650</v>
      </c>
      <c r="E168" s="179">
        <v>25.55</v>
      </c>
      <c r="F168" s="56">
        <v>36.99</v>
      </c>
      <c r="G168" s="59">
        <f t="shared" si="149"/>
        <v>33.291</v>
      </c>
      <c r="H168" s="59">
        <f t="shared" si="150"/>
        <v>27.7425</v>
      </c>
      <c r="I168" s="165">
        <f t="shared" si="151"/>
        <v>2.42329469026549</v>
      </c>
      <c r="J168" s="60">
        <f t="shared" si="152"/>
        <v>0.0948451933567705</v>
      </c>
      <c r="K168" s="57">
        <f t="shared" si="153"/>
        <v>30.825</v>
      </c>
      <c r="L168" s="163">
        <f t="shared" si="154"/>
        <v>0.171127331711273</v>
      </c>
      <c r="M168" s="59">
        <f t="shared" si="155"/>
        <v>5.275</v>
      </c>
      <c r="N168" s="57">
        <f t="shared" si="168"/>
        <v>79.1504424778761</v>
      </c>
      <c r="O168" s="57">
        <f t="shared" si="156"/>
        <v>0.475</v>
      </c>
      <c r="P168" s="53">
        <v>30</v>
      </c>
      <c r="Q168" s="62">
        <v>8</v>
      </c>
      <c r="R168" s="63">
        <f t="shared" si="157"/>
        <v>0.156555772994129</v>
      </c>
      <c r="S168" s="60">
        <f t="shared" si="158"/>
        <v>0.108137334414707</v>
      </c>
      <c r="T168" s="63">
        <f t="shared" si="159"/>
        <v>0.144774951076321</v>
      </c>
      <c r="U168" s="63">
        <v>0.01</v>
      </c>
      <c r="V168" s="63">
        <f t="shared" si="160"/>
        <v>0.387233084529727</v>
      </c>
      <c r="W168" s="63">
        <f t="shared" si="161"/>
        <v>0.0185909980430528</v>
      </c>
      <c r="X168" s="61">
        <v>0.188</v>
      </c>
      <c r="Y168" s="64">
        <v>4</v>
      </c>
      <c r="Z168" s="64">
        <f>F168*0.1</f>
        <v>3.699</v>
      </c>
      <c r="AA168" s="64">
        <f t="shared" si="162"/>
        <v>0.2555</v>
      </c>
      <c r="AB168" s="57">
        <f t="shared" si="163"/>
        <v>4.8034</v>
      </c>
      <c r="AC168" s="57">
        <v>80.4</v>
      </c>
      <c r="AD168" s="65">
        <f t="shared" si="164"/>
        <v>71.1504424778761</v>
      </c>
      <c r="AE168" s="62">
        <f t="shared" si="169"/>
        <v>1</v>
      </c>
      <c r="AF168" s="63">
        <f t="shared" si="165"/>
        <v>0.348094141281194</v>
      </c>
      <c r="AG168" s="63">
        <f t="shared" si="166"/>
        <v>0.00489236790606654</v>
      </c>
      <c r="AH168" s="62">
        <v>8</v>
      </c>
      <c r="AI168" s="63">
        <f t="shared" si="167"/>
        <v>0.252172659277282</v>
      </c>
      <c r="AJ168" s="63"/>
      <c r="AK168" s="63"/>
      <c r="AL168" s="63"/>
      <c r="AM168" s="63"/>
      <c r="AN168" s="66"/>
      <c r="AO168" s="66"/>
      <c r="AP168" s="66"/>
      <c r="AQ168" s="66"/>
      <c r="AR168" s="66"/>
      <c r="AS168" s="66"/>
      <c r="AT168" s="66" t="s">
        <v>600</v>
      </c>
      <c r="AU168" s="66" t="s">
        <v>600</v>
      </c>
      <c r="AV168" s="66" t="s">
        <v>600</v>
      </c>
      <c r="AW168" s="66" t="s">
        <v>600</v>
      </c>
      <c r="AX168" s="66" t="s">
        <v>600</v>
      </c>
      <c r="AY168" s="66" t="s">
        <v>600</v>
      </c>
      <c r="AZ168" s="66" t="s">
        <v>600</v>
      </c>
      <c r="BA168" s="66" t="s">
        <v>600</v>
      </c>
      <c r="BB168" s="66" t="s">
        <v>600</v>
      </c>
      <c r="BC168" s="66" t="s">
        <v>600</v>
      </c>
      <c r="BD168" s="66" t="s">
        <v>600</v>
      </c>
      <c r="BE168" s="66" t="s">
        <v>600</v>
      </c>
      <c r="BF168" s="66" t="s">
        <v>600</v>
      </c>
      <c r="BG168" s="66" t="s">
        <v>600</v>
      </c>
      <c r="BH168" s="66" t="s">
        <v>600</v>
      </c>
      <c r="BI168" s="66" t="s">
        <v>600</v>
      </c>
      <c r="BJ168" s="66" t="s">
        <v>600</v>
      </c>
      <c r="BK168" s="66" t="s">
        <v>600</v>
      </c>
      <c r="BL168" s="66" t="s">
        <v>600</v>
      </c>
      <c r="BM168" s="66" t="s">
        <v>600</v>
      </c>
      <c r="BN168" s="66" t="s">
        <v>600</v>
      </c>
      <c r="BO168" s="66" t="s">
        <v>600</v>
      </c>
      <c r="BP168" s="66" t="s">
        <v>600</v>
      </c>
      <c r="BQ168" s="66" t="s">
        <v>600</v>
      </c>
      <c r="BR168" s="164"/>
      <c r="BS168" s="68" t="s">
        <v>601</v>
      </c>
    </row>
    <row r="169" ht="15.6" spans="1:71">
      <c r="A169" s="53" t="s">
        <v>511</v>
      </c>
      <c r="B169" s="53" t="s">
        <v>27</v>
      </c>
      <c r="C169" s="175" t="s">
        <v>51</v>
      </c>
      <c r="D169" s="168" t="s">
        <v>651</v>
      </c>
      <c r="E169" s="179">
        <v>25.55</v>
      </c>
      <c r="F169" s="56">
        <v>36.99</v>
      </c>
      <c r="G169" s="59">
        <f t="shared" si="149"/>
        <v>31.4415</v>
      </c>
      <c r="H169" s="59">
        <f t="shared" si="150"/>
        <v>26.20125</v>
      </c>
      <c r="I169" s="59">
        <f t="shared" si="151"/>
        <v>0.573794690265487</v>
      </c>
      <c r="J169" s="60">
        <f t="shared" si="152"/>
        <v>0.0224577178186101</v>
      </c>
      <c r="K169" s="57">
        <f t="shared" si="153"/>
        <v>30.825</v>
      </c>
      <c r="L169" s="163">
        <f t="shared" si="154"/>
        <v>0.171127331711273</v>
      </c>
      <c r="M169" s="59">
        <f t="shared" si="155"/>
        <v>5.275</v>
      </c>
      <c r="N169" s="57">
        <f t="shared" si="168"/>
        <v>79.1504424778761</v>
      </c>
      <c r="O169" s="57">
        <f t="shared" si="156"/>
        <v>0.475</v>
      </c>
      <c r="P169" s="53">
        <v>30</v>
      </c>
      <c r="Q169" s="62">
        <v>8</v>
      </c>
      <c r="R169" s="63">
        <f t="shared" si="157"/>
        <v>0.156555772994129</v>
      </c>
      <c r="S169" s="60">
        <f t="shared" si="158"/>
        <v>0.108137334414707</v>
      </c>
      <c r="T169" s="63">
        <f t="shared" si="159"/>
        <v>0.217162426614481</v>
      </c>
      <c r="U169" s="63">
        <v>0.01</v>
      </c>
      <c r="V169" s="63">
        <f t="shared" si="160"/>
        <v>0.387233084529727</v>
      </c>
      <c r="W169" s="63">
        <f t="shared" si="161"/>
        <v>0.0185909980430528</v>
      </c>
      <c r="X169" s="61">
        <v>0.188</v>
      </c>
      <c r="Y169" s="64">
        <v>4</v>
      </c>
      <c r="Z169" s="64">
        <f>F169*0.15</f>
        <v>5.5485</v>
      </c>
      <c r="AA169" s="64">
        <f t="shared" si="162"/>
        <v>0.2555</v>
      </c>
      <c r="AB169" s="57">
        <f t="shared" si="163"/>
        <v>4.8034</v>
      </c>
      <c r="AC169" s="57">
        <v>80.4</v>
      </c>
      <c r="AD169" s="65">
        <f t="shared" si="164"/>
        <v>71.1504424778761</v>
      </c>
      <c r="AE169" s="62">
        <f t="shared" si="169"/>
        <v>1</v>
      </c>
      <c r="AF169" s="63">
        <f t="shared" si="165"/>
        <v>0.348094141281194</v>
      </c>
      <c r="AG169" s="63">
        <f t="shared" si="166"/>
        <v>0.00489236790606654</v>
      </c>
      <c r="AH169" s="62">
        <v>8</v>
      </c>
      <c r="AI169" s="63">
        <f t="shared" si="167"/>
        <v>0.208182815705358</v>
      </c>
      <c r="AJ169" s="63"/>
      <c r="AK169" s="63"/>
      <c r="AL169" s="63"/>
      <c r="AM169" s="63"/>
      <c r="AN169" s="66"/>
      <c r="AO169" s="66"/>
      <c r="AP169" s="66"/>
      <c r="AQ169" s="66"/>
      <c r="AR169" s="66"/>
      <c r="AS169" s="66"/>
      <c r="AT169" s="66" t="s">
        <v>600</v>
      </c>
      <c r="AU169" s="66" t="s">
        <v>600</v>
      </c>
      <c r="AV169" s="66" t="s">
        <v>600</v>
      </c>
      <c r="AW169" s="66" t="s">
        <v>600</v>
      </c>
      <c r="AX169" s="66" t="s">
        <v>600</v>
      </c>
      <c r="AY169" s="66" t="s">
        <v>600</v>
      </c>
      <c r="AZ169" s="66" t="s">
        <v>600</v>
      </c>
      <c r="BA169" s="66" t="s">
        <v>600</v>
      </c>
      <c r="BB169" s="66" t="s">
        <v>600</v>
      </c>
      <c r="BC169" s="66" t="s">
        <v>600</v>
      </c>
      <c r="BD169" s="66" t="s">
        <v>600</v>
      </c>
      <c r="BE169" s="66" t="s">
        <v>600</v>
      </c>
      <c r="BF169" s="66" t="s">
        <v>600</v>
      </c>
      <c r="BG169" s="66" t="s">
        <v>600</v>
      </c>
      <c r="BH169" s="66" t="s">
        <v>600</v>
      </c>
      <c r="BI169" s="66" t="s">
        <v>600</v>
      </c>
      <c r="BJ169" s="66" t="s">
        <v>600</v>
      </c>
      <c r="BK169" s="66" t="s">
        <v>600</v>
      </c>
      <c r="BL169" s="66" t="s">
        <v>600</v>
      </c>
      <c r="BM169" s="66" t="s">
        <v>600</v>
      </c>
      <c r="BN169" s="66" t="s">
        <v>600</v>
      </c>
      <c r="BO169" s="66" t="s">
        <v>600</v>
      </c>
      <c r="BP169" s="66" t="s">
        <v>600</v>
      </c>
      <c r="BQ169" s="66" t="s">
        <v>600</v>
      </c>
      <c r="BR169" s="164"/>
      <c r="BS169" s="68" t="s">
        <v>601</v>
      </c>
    </row>
    <row r="170" ht="15.6" spans="1:71">
      <c r="A170" s="53" t="s">
        <v>513</v>
      </c>
      <c r="B170" s="53" t="s">
        <v>27</v>
      </c>
      <c r="C170" s="175" t="s">
        <v>51</v>
      </c>
      <c r="D170" s="168" t="s">
        <v>649</v>
      </c>
      <c r="E170" s="179">
        <v>25.55</v>
      </c>
      <c r="F170" s="56">
        <v>36.99</v>
      </c>
      <c r="G170" s="59">
        <f t="shared" si="149"/>
        <v>36.99</v>
      </c>
      <c r="H170" s="59">
        <f t="shared" si="150"/>
        <v>30.825</v>
      </c>
      <c r="I170" s="59">
        <f t="shared" si="151"/>
        <v>6.08896135693215</v>
      </c>
      <c r="J170" s="60">
        <f t="shared" si="152"/>
        <v>0.238315512991474</v>
      </c>
      <c r="K170" s="57">
        <f t="shared" si="153"/>
        <v>30.825</v>
      </c>
      <c r="L170" s="163">
        <f t="shared" si="154"/>
        <v>0.171127331711273</v>
      </c>
      <c r="M170" s="59">
        <f t="shared" si="155"/>
        <v>5.275</v>
      </c>
      <c r="N170" s="57">
        <f t="shared" si="168"/>
        <v>79.1504424778761</v>
      </c>
      <c r="O170" s="57">
        <f t="shared" si="156"/>
        <v>0.508333333333333</v>
      </c>
      <c r="P170" s="53">
        <v>30</v>
      </c>
      <c r="Q170" s="62">
        <v>8</v>
      </c>
      <c r="R170" s="63">
        <f t="shared" si="157"/>
        <v>0.156555772994129</v>
      </c>
      <c r="S170" s="60">
        <f t="shared" si="158"/>
        <v>0.108137334414707</v>
      </c>
      <c r="T170" s="63">
        <f t="shared" si="159"/>
        <v>0</v>
      </c>
      <c r="U170" s="63">
        <v>0.01</v>
      </c>
      <c r="V170" s="63">
        <f t="shared" si="160"/>
        <v>0.387233084529727</v>
      </c>
      <c r="W170" s="63">
        <f t="shared" si="161"/>
        <v>0.0198956294846706</v>
      </c>
      <c r="X170" s="61">
        <v>0.188</v>
      </c>
      <c r="Y170" s="64">
        <v>4</v>
      </c>
      <c r="Z170" s="64">
        <v>0</v>
      </c>
      <c r="AA170" s="64">
        <f t="shared" si="162"/>
        <v>0.2555</v>
      </c>
      <c r="AB170" s="57">
        <f t="shared" si="163"/>
        <v>4.8034</v>
      </c>
      <c r="AC170" s="57">
        <v>80.4</v>
      </c>
      <c r="AD170" s="65">
        <f t="shared" si="164"/>
        <v>71.1504424778761</v>
      </c>
      <c r="AE170" s="62">
        <f t="shared" si="169"/>
        <v>1</v>
      </c>
      <c r="AF170" s="63">
        <f t="shared" si="165"/>
        <v>0.348094141281194</v>
      </c>
      <c r="AG170" s="63">
        <f t="shared" si="166"/>
        <v>0.00489236790606654</v>
      </c>
      <c r="AH170" s="62">
        <v>8</v>
      </c>
      <c r="AI170" s="60">
        <f t="shared" si="167"/>
        <v>0.326955393349554</v>
      </c>
      <c r="AJ170" s="60"/>
      <c r="AK170" s="60"/>
      <c r="AL170" s="60"/>
      <c r="AM170" s="60"/>
      <c r="AN170" s="66"/>
      <c r="AO170" s="66"/>
      <c r="AP170" s="66"/>
      <c r="AQ170" s="66"/>
      <c r="AR170" s="66"/>
      <c r="AS170" s="66"/>
      <c r="AT170" s="66" t="s">
        <v>600</v>
      </c>
      <c r="AU170" s="66" t="s">
        <v>600</v>
      </c>
      <c r="AV170" s="66" t="s">
        <v>600</v>
      </c>
      <c r="AW170" s="66" t="s">
        <v>600</v>
      </c>
      <c r="AX170" s="66" t="s">
        <v>600</v>
      </c>
      <c r="AY170" s="66" t="s">
        <v>600</v>
      </c>
      <c r="AZ170" s="66" t="s">
        <v>600</v>
      </c>
      <c r="BA170" s="66" t="s">
        <v>600</v>
      </c>
      <c r="BB170" s="66" t="s">
        <v>600</v>
      </c>
      <c r="BC170" s="66" t="s">
        <v>600</v>
      </c>
      <c r="BD170" s="66" t="s">
        <v>600</v>
      </c>
      <c r="BE170" s="66" t="s">
        <v>600</v>
      </c>
      <c r="BF170" s="66" t="s">
        <v>600</v>
      </c>
      <c r="BG170" s="66" t="s">
        <v>600</v>
      </c>
      <c r="BH170" s="66" t="s">
        <v>600</v>
      </c>
      <c r="BI170" s="66" t="s">
        <v>600</v>
      </c>
      <c r="BJ170" s="66" t="s">
        <v>600</v>
      </c>
      <c r="BK170" s="66" t="s">
        <v>600</v>
      </c>
      <c r="BL170" s="66" t="s">
        <v>600</v>
      </c>
      <c r="BM170" s="66" t="s">
        <v>600</v>
      </c>
      <c r="BN170" s="66" t="s">
        <v>600</v>
      </c>
      <c r="BO170" s="66" t="s">
        <v>600</v>
      </c>
      <c r="BP170" s="66" t="s">
        <v>600</v>
      </c>
      <c r="BQ170" s="66" t="s">
        <v>600</v>
      </c>
      <c r="BR170" s="164"/>
      <c r="BS170" s="68" t="s">
        <v>601</v>
      </c>
    </row>
    <row r="171" ht="15.6" spans="1:71">
      <c r="A171" s="53" t="s">
        <v>513</v>
      </c>
      <c r="B171" s="53" t="s">
        <v>27</v>
      </c>
      <c r="C171" s="175" t="s">
        <v>51</v>
      </c>
      <c r="D171" s="168" t="s">
        <v>650</v>
      </c>
      <c r="E171" s="179">
        <v>25.55</v>
      </c>
      <c r="F171" s="56">
        <v>36.99</v>
      </c>
      <c r="G171" s="59">
        <f t="shared" si="149"/>
        <v>33.291</v>
      </c>
      <c r="H171" s="59">
        <f t="shared" si="150"/>
        <v>27.7425</v>
      </c>
      <c r="I171" s="165">
        <f t="shared" si="151"/>
        <v>2.38996135693215</v>
      </c>
      <c r="J171" s="60">
        <f t="shared" si="152"/>
        <v>0.0935405619151528</v>
      </c>
      <c r="K171" s="57">
        <f t="shared" si="153"/>
        <v>30.825</v>
      </c>
      <c r="L171" s="163">
        <f t="shared" si="154"/>
        <v>0.171127331711273</v>
      </c>
      <c r="M171" s="59">
        <f t="shared" si="155"/>
        <v>5.275</v>
      </c>
      <c r="N171" s="57">
        <f t="shared" si="168"/>
        <v>79.1504424778761</v>
      </c>
      <c r="O171" s="57">
        <f t="shared" si="156"/>
        <v>0.508333333333333</v>
      </c>
      <c r="P171" s="53">
        <v>30</v>
      </c>
      <c r="Q171" s="62">
        <v>8</v>
      </c>
      <c r="R171" s="63">
        <f t="shared" si="157"/>
        <v>0.156555772994129</v>
      </c>
      <c r="S171" s="60">
        <f t="shared" si="158"/>
        <v>0.108137334414707</v>
      </c>
      <c r="T171" s="63">
        <f t="shared" si="159"/>
        <v>0.144774951076321</v>
      </c>
      <c r="U171" s="63">
        <v>0.01</v>
      </c>
      <c r="V171" s="63">
        <f t="shared" si="160"/>
        <v>0.387233084529727</v>
      </c>
      <c r="W171" s="63">
        <f t="shared" si="161"/>
        <v>0.0198956294846706</v>
      </c>
      <c r="X171" s="61">
        <v>0.188</v>
      </c>
      <c r="Y171" s="64">
        <v>4</v>
      </c>
      <c r="Z171" s="64">
        <f>F171*0.1</f>
        <v>3.699</v>
      </c>
      <c r="AA171" s="64">
        <f t="shared" si="162"/>
        <v>0.2555</v>
      </c>
      <c r="AB171" s="57">
        <f t="shared" si="163"/>
        <v>4.8034</v>
      </c>
      <c r="AC171" s="57">
        <v>80.4</v>
      </c>
      <c r="AD171" s="65">
        <f t="shared" si="164"/>
        <v>71.1504424778761</v>
      </c>
      <c r="AE171" s="62">
        <f t="shared" si="169"/>
        <v>1</v>
      </c>
      <c r="AF171" s="63">
        <f t="shared" si="165"/>
        <v>0.348094141281194</v>
      </c>
      <c r="AG171" s="63">
        <f t="shared" si="166"/>
        <v>0.00489236790606654</v>
      </c>
      <c r="AH171" s="62">
        <v>8</v>
      </c>
      <c r="AI171" s="60">
        <f t="shared" si="167"/>
        <v>0.252172659277282</v>
      </c>
      <c r="AJ171" s="60"/>
      <c r="AK171" s="60"/>
      <c r="AL171" s="60"/>
      <c r="AM171" s="60"/>
      <c r="AN171" s="66"/>
      <c r="AO171" s="66"/>
      <c r="AP171" s="66"/>
      <c r="AQ171" s="66"/>
      <c r="AR171" s="66"/>
      <c r="AS171" s="66"/>
      <c r="AT171" s="66" t="s">
        <v>600</v>
      </c>
      <c r="AU171" s="66" t="s">
        <v>600</v>
      </c>
      <c r="AV171" s="66" t="s">
        <v>600</v>
      </c>
      <c r="AW171" s="66" t="s">
        <v>600</v>
      </c>
      <c r="AX171" s="66" t="s">
        <v>600</v>
      </c>
      <c r="AY171" s="66" t="s">
        <v>600</v>
      </c>
      <c r="AZ171" s="66" t="s">
        <v>600</v>
      </c>
      <c r="BA171" s="66" t="s">
        <v>600</v>
      </c>
      <c r="BB171" s="66" t="s">
        <v>600</v>
      </c>
      <c r="BC171" s="66" t="s">
        <v>600</v>
      </c>
      <c r="BD171" s="66" t="s">
        <v>600</v>
      </c>
      <c r="BE171" s="66" t="s">
        <v>600</v>
      </c>
      <c r="BF171" s="66" t="s">
        <v>600</v>
      </c>
      <c r="BG171" s="66" t="s">
        <v>600</v>
      </c>
      <c r="BH171" s="66" t="s">
        <v>600</v>
      </c>
      <c r="BI171" s="66" t="s">
        <v>600</v>
      </c>
      <c r="BJ171" s="66" t="s">
        <v>600</v>
      </c>
      <c r="BK171" s="66" t="s">
        <v>600</v>
      </c>
      <c r="BL171" s="66" t="s">
        <v>600</v>
      </c>
      <c r="BM171" s="66" t="s">
        <v>600</v>
      </c>
      <c r="BN171" s="66" t="s">
        <v>600</v>
      </c>
      <c r="BO171" s="66" t="s">
        <v>600</v>
      </c>
      <c r="BP171" s="66" t="s">
        <v>600</v>
      </c>
      <c r="BQ171" s="66" t="s">
        <v>600</v>
      </c>
      <c r="BR171" s="164"/>
      <c r="BS171" s="68" t="s">
        <v>601</v>
      </c>
    </row>
    <row r="172" ht="15.6" spans="1:71">
      <c r="A172" s="53" t="s">
        <v>513</v>
      </c>
      <c r="B172" s="53" t="s">
        <v>27</v>
      </c>
      <c r="C172" s="175" t="s">
        <v>51</v>
      </c>
      <c r="D172" s="168" t="s">
        <v>651</v>
      </c>
      <c r="E172" s="179">
        <v>25.55</v>
      </c>
      <c r="F172" s="56">
        <v>36.99</v>
      </c>
      <c r="G172" s="59">
        <f t="shared" si="149"/>
        <v>31.4415</v>
      </c>
      <c r="H172" s="59">
        <f t="shared" si="150"/>
        <v>26.20125</v>
      </c>
      <c r="I172" s="59">
        <f t="shared" si="151"/>
        <v>0.540461356932154</v>
      </c>
      <c r="J172" s="60">
        <f t="shared" si="152"/>
        <v>0.0211530863769923</v>
      </c>
      <c r="K172" s="57">
        <f t="shared" si="153"/>
        <v>30.825</v>
      </c>
      <c r="L172" s="163">
        <f t="shared" si="154"/>
        <v>0.171127331711273</v>
      </c>
      <c r="M172" s="59">
        <f t="shared" si="155"/>
        <v>5.275</v>
      </c>
      <c r="N172" s="57">
        <f t="shared" si="168"/>
        <v>79.1504424778761</v>
      </c>
      <c r="O172" s="57">
        <f t="shared" si="156"/>
        <v>0.508333333333333</v>
      </c>
      <c r="P172" s="53">
        <v>30</v>
      </c>
      <c r="Q172" s="62">
        <v>8</v>
      </c>
      <c r="R172" s="63">
        <f t="shared" si="157"/>
        <v>0.156555772994129</v>
      </c>
      <c r="S172" s="60">
        <f t="shared" si="158"/>
        <v>0.108137334414707</v>
      </c>
      <c r="T172" s="63">
        <f t="shared" si="159"/>
        <v>0.217162426614481</v>
      </c>
      <c r="U172" s="63">
        <v>0.01</v>
      </c>
      <c r="V172" s="63">
        <f t="shared" si="160"/>
        <v>0.387233084529727</v>
      </c>
      <c r="W172" s="63">
        <f t="shared" si="161"/>
        <v>0.0198956294846706</v>
      </c>
      <c r="X172" s="61">
        <v>0.188</v>
      </c>
      <c r="Y172" s="64">
        <v>4</v>
      </c>
      <c r="Z172" s="64">
        <f>F172*0.15</f>
        <v>5.5485</v>
      </c>
      <c r="AA172" s="64">
        <f t="shared" si="162"/>
        <v>0.2555</v>
      </c>
      <c r="AB172" s="57">
        <f t="shared" si="163"/>
        <v>4.8034</v>
      </c>
      <c r="AC172" s="57">
        <v>80.4</v>
      </c>
      <c r="AD172" s="65">
        <f t="shared" si="164"/>
        <v>71.1504424778761</v>
      </c>
      <c r="AE172" s="62">
        <f t="shared" si="169"/>
        <v>1</v>
      </c>
      <c r="AF172" s="63">
        <f t="shared" si="165"/>
        <v>0.348094141281194</v>
      </c>
      <c r="AG172" s="63">
        <f t="shared" si="166"/>
        <v>0.00489236790606654</v>
      </c>
      <c r="AH172" s="62">
        <v>8</v>
      </c>
      <c r="AI172" s="60">
        <f t="shared" si="167"/>
        <v>0.208182815705358</v>
      </c>
      <c r="AJ172" s="60"/>
      <c r="AK172" s="60"/>
      <c r="AL172" s="60"/>
      <c r="AM172" s="60"/>
      <c r="AN172" s="66"/>
      <c r="AO172" s="66"/>
      <c r="AP172" s="66"/>
      <c r="AQ172" s="66"/>
      <c r="AR172" s="66"/>
      <c r="AS172" s="66"/>
      <c r="AT172" s="66" t="s">
        <v>600</v>
      </c>
      <c r="AU172" s="66" t="s">
        <v>600</v>
      </c>
      <c r="AV172" s="66" t="s">
        <v>600</v>
      </c>
      <c r="AW172" s="66" t="s">
        <v>600</v>
      </c>
      <c r="AX172" s="66" t="s">
        <v>600</v>
      </c>
      <c r="AY172" s="66" t="s">
        <v>600</v>
      </c>
      <c r="AZ172" s="66" t="s">
        <v>600</v>
      </c>
      <c r="BA172" s="66" t="s">
        <v>600</v>
      </c>
      <c r="BB172" s="66" t="s">
        <v>600</v>
      </c>
      <c r="BC172" s="66" t="s">
        <v>600</v>
      </c>
      <c r="BD172" s="66" t="s">
        <v>600</v>
      </c>
      <c r="BE172" s="66" t="s">
        <v>600</v>
      </c>
      <c r="BF172" s="66" t="s">
        <v>600</v>
      </c>
      <c r="BG172" s="66" t="s">
        <v>600</v>
      </c>
      <c r="BH172" s="66" t="s">
        <v>600</v>
      </c>
      <c r="BI172" s="66" t="s">
        <v>600</v>
      </c>
      <c r="BJ172" s="66" t="s">
        <v>600</v>
      </c>
      <c r="BK172" s="66" t="s">
        <v>600</v>
      </c>
      <c r="BL172" s="66" t="s">
        <v>600</v>
      </c>
      <c r="BM172" s="66" t="s">
        <v>600</v>
      </c>
      <c r="BN172" s="66" t="s">
        <v>600</v>
      </c>
      <c r="BO172" s="66" t="s">
        <v>600</v>
      </c>
      <c r="BP172" s="66" t="s">
        <v>600</v>
      </c>
      <c r="BQ172" s="66" t="s">
        <v>600</v>
      </c>
      <c r="BR172" s="164"/>
      <c r="BS172" s="68" t="s">
        <v>601</v>
      </c>
    </row>
    <row r="173" ht="15.6" spans="1:71">
      <c r="A173" s="53" t="s">
        <v>516</v>
      </c>
      <c r="B173" s="53" t="s">
        <v>27</v>
      </c>
      <c r="C173" s="175" t="s">
        <v>51</v>
      </c>
      <c r="D173" s="168" t="s">
        <v>649</v>
      </c>
      <c r="E173" s="179">
        <v>25.55</v>
      </c>
      <c r="F173" s="56">
        <v>36.99</v>
      </c>
      <c r="G173" s="59">
        <f t="shared" si="149"/>
        <v>36.99</v>
      </c>
      <c r="H173" s="59">
        <f t="shared" si="150"/>
        <v>30.825</v>
      </c>
      <c r="I173" s="59">
        <f t="shared" si="151"/>
        <v>5.95562802359882</v>
      </c>
      <c r="J173" s="60">
        <f t="shared" si="152"/>
        <v>0.233096987225003</v>
      </c>
      <c r="K173" s="57">
        <f t="shared" si="153"/>
        <v>30.825</v>
      </c>
      <c r="L173" s="163">
        <f t="shared" si="154"/>
        <v>0.171127331711273</v>
      </c>
      <c r="M173" s="59">
        <f t="shared" si="155"/>
        <v>5.275</v>
      </c>
      <c r="N173" s="57">
        <f t="shared" si="168"/>
        <v>79.1504424778761</v>
      </c>
      <c r="O173" s="57">
        <f t="shared" si="156"/>
        <v>0.641666666666667</v>
      </c>
      <c r="P173" s="53">
        <v>30</v>
      </c>
      <c r="Q173" s="62">
        <v>8</v>
      </c>
      <c r="R173" s="63">
        <f t="shared" si="157"/>
        <v>0.156555772994129</v>
      </c>
      <c r="S173" s="60">
        <f t="shared" si="158"/>
        <v>0.108137334414707</v>
      </c>
      <c r="T173" s="63">
        <f t="shared" si="159"/>
        <v>0</v>
      </c>
      <c r="U173" s="63">
        <v>0.01</v>
      </c>
      <c r="V173" s="63">
        <f t="shared" si="160"/>
        <v>0.387233084529727</v>
      </c>
      <c r="W173" s="63">
        <f t="shared" si="161"/>
        <v>0.0251141552511416</v>
      </c>
      <c r="X173" s="61">
        <v>0.188</v>
      </c>
      <c r="Y173" s="64">
        <v>4</v>
      </c>
      <c r="Z173" s="64">
        <v>0</v>
      </c>
      <c r="AA173" s="64">
        <f t="shared" si="162"/>
        <v>0.2555</v>
      </c>
      <c r="AB173" s="57">
        <f t="shared" si="163"/>
        <v>4.8034</v>
      </c>
      <c r="AC173" s="57">
        <v>80.4</v>
      </c>
      <c r="AD173" s="65">
        <f t="shared" si="164"/>
        <v>71.1504424778761</v>
      </c>
      <c r="AE173" s="62">
        <f t="shared" si="169"/>
        <v>1</v>
      </c>
      <c r="AF173" s="63">
        <f t="shared" si="165"/>
        <v>0.348094141281194</v>
      </c>
      <c r="AG173" s="63">
        <f t="shared" si="166"/>
        <v>0.00489236790606654</v>
      </c>
      <c r="AH173" s="62">
        <v>8</v>
      </c>
      <c r="AI173" s="63">
        <f t="shared" si="167"/>
        <v>0.326955393349554</v>
      </c>
      <c r="AJ173" s="63"/>
      <c r="AK173" s="63"/>
      <c r="AL173" s="63"/>
      <c r="AM173" s="63"/>
      <c r="AN173" s="66"/>
      <c r="AO173" s="66"/>
      <c r="AP173" s="66"/>
      <c r="AQ173" s="66"/>
      <c r="AR173" s="66"/>
      <c r="AS173" s="66"/>
      <c r="AT173" s="66" t="s">
        <v>600</v>
      </c>
      <c r="AU173" s="66" t="s">
        <v>600</v>
      </c>
      <c r="AV173" s="66" t="s">
        <v>600</v>
      </c>
      <c r="AW173" s="66" t="s">
        <v>600</v>
      </c>
      <c r="AX173" s="66" t="s">
        <v>600</v>
      </c>
      <c r="AY173" s="66" t="s">
        <v>600</v>
      </c>
      <c r="AZ173" s="66" t="s">
        <v>600</v>
      </c>
      <c r="BA173" s="66" t="s">
        <v>600</v>
      </c>
      <c r="BB173" s="66" t="s">
        <v>600</v>
      </c>
      <c r="BC173" s="66" t="s">
        <v>600</v>
      </c>
      <c r="BD173" s="66" t="s">
        <v>600</v>
      </c>
      <c r="BE173" s="66" t="s">
        <v>600</v>
      </c>
      <c r="BF173" s="66" t="s">
        <v>600</v>
      </c>
      <c r="BG173" s="66" t="s">
        <v>600</v>
      </c>
      <c r="BH173" s="66" t="s">
        <v>600</v>
      </c>
      <c r="BI173" s="66" t="s">
        <v>600</v>
      </c>
      <c r="BJ173" s="66" t="s">
        <v>600</v>
      </c>
      <c r="BK173" s="66" t="s">
        <v>600</v>
      </c>
      <c r="BL173" s="66" t="s">
        <v>600</v>
      </c>
      <c r="BM173" s="66" t="s">
        <v>600</v>
      </c>
      <c r="BN173" s="66" t="s">
        <v>600</v>
      </c>
      <c r="BO173" s="66" t="s">
        <v>600</v>
      </c>
      <c r="BP173" s="66" t="s">
        <v>600</v>
      </c>
      <c r="BQ173" s="66" t="s">
        <v>600</v>
      </c>
      <c r="BR173" s="164"/>
      <c r="BS173" s="68" t="s">
        <v>601</v>
      </c>
    </row>
    <row r="174" ht="15.6" spans="1:71">
      <c r="A174" s="53" t="s">
        <v>516</v>
      </c>
      <c r="B174" s="53" t="s">
        <v>27</v>
      </c>
      <c r="C174" s="175" t="s">
        <v>51</v>
      </c>
      <c r="D174" s="168" t="s">
        <v>650</v>
      </c>
      <c r="E174" s="179">
        <v>25.55</v>
      </c>
      <c r="F174" s="56">
        <v>36.99</v>
      </c>
      <c r="G174" s="59">
        <f t="shared" si="149"/>
        <v>33.291</v>
      </c>
      <c r="H174" s="59">
        <f t="shared" si="150"/>
        <v>27.7425</v>
      </c>
      <c r="I174" s="165">
        <f t="shared" si="151"/>
        <v>2.25662802359882</v>
      </c>
      <c r="J174" s="60">
        <f t="shared" si="152"/>
        <v>0.0883220361486818</v>
      </c>
      <c r="K174" s="57">
        <f t="shared" si="153"/>
        <v>30.825</v>
      </c>
      <c r="L174" s="163">
        <f t="shared" si="154"/>
        <v>0.171127331711273</v>
      </c>
      <c r="M174" s="59">
        <f t="shared" si="155"/>
        <v>5.275</v>
      </c>
      <c r="N174" s="57">
        <f t="shared" si="168"/>
        <v>79.1504424778761</v>
      </c>
      <c r="O174" s="57">
        <f t="shared" si="156"/>
        <v>0.641666666666667</v>
      </c>
      <c r="P174" s="53">
        <v>30</v>
      </c>
      <c r="Q174" s="62">
        <v>8</v>
      </c>
      <c r="R174" s="63">
        <f t="shared" si="157"/>
        <v>0.156555772994129</v>
      </c>
      <c r="S174" s="60">
        <f t="shared" si="158"/>
        <v>0.108137334414707</v>
      </c>
      <c r="T174" s="63">
        <f t="shared" si="159"/>
        <v>0.144774951076321</v>
      </c>
      <c r="U174" s="63">
        <v>0.01</v>
      </c>
      <c r="V174" s="63">
        <f t="shared" si="160"/>
        <v>0.387233084529727</v>
      </c>
      <c r="W174" s="63">
        <f t="shared" si="161"/>
        <v>0.0251141552511416</v>
      </c>
      <c r="X174" s="61">
        <v>0.188</v>
      </c>
      <c r="Y174" s="64">
        <v>4</v>
      </c>
      <c r="Z174" s="64">
        <f>F174*0.1</f>
        <v>3.699</v>
      </c>
      <c r="AA174" s="64">
        <f t="shared" si="162"/>
        <v>0.2555</v>
      </c>
      <c r="AB174" s="57">
        <f t="shared" si="163"/>
        <v>4.8034</v>
      </c>
      <c r="AC174" s="57">
        <v>80.4</v>
      </c>
      <c r="AD174" s="65">
        <f t="shared" si="164"/>
        <v>71.1504424778761</v>
      </c>
      <c r="AE174" s="62">
        <f t="shared" si="169"/>
        <v>1</v>
      </c>
      <c r="AF174" s="63">
        <f t="shared" si="165"/>
        <v>0.348094141281194</v>
      </c>
      <c r="AG174" s="63">
        <f t="shared" si="166"/>
        <v>0.00489236790606654</v>
      </c>
      <c r="AH174" s="62">
        <v>8</v>
      </c>
      <c r="AI174" s="63">
        <f t="shared" si="167"/>
        <v>0.252172659277282</v>
      </c>
      <c r="AJ174" s="63"/>
      <c r="AK174" s="63"/>
      <c r="AL174" s="63"/>
      <c r="AM174" s="63"/>
      <c r="AN174" s="66"/>
      <c r="AO174" s="66"/>
      <c r="AP174" s="66"/>
      <c r="AQ174" s="66"/>
      <c r="AR174" s="66"/>
      <c r="AS174" s="66"/>
      <c r="AT174" s="66" t="s">
        <v>600</v>
      </c>
      <c r="AU174" s="66" t="s">
        <v>600</v>
      </c>
      <c r="AV174" s="66" t="s">
        <v>600</v>
      </c>
      <c r="AW174" s="66" t="s">
        <v>600</v>
      </c>
      <c r="AX174" s="66" t="s">
        <v>600</v>
      </c>
      <c r="AY174" s="66" t="s">
        <v>600</v>
      </c>
      <c r="AZ174" s="66" t="s">
        <v>600</v>
      </c>
      <c r="BA174" s="66" t="s">
        <v>600</v>
      </c>
      <c r="BB174" s="66" t="s">
        <v>600</v>
      </c>
      <c r="BC174" s="66" t="s">
        <v>600</v>
      </c>
      <c r="BD174" s="66" t="s">
        <v>600</v>
      </c>
      <c r="BE174" s="66" t="s">
        <v>600</v>
      </c>
      <c r="BF174" s="66" t="s">
        <v>600</v>
      </c>
      <c r="BG174" s="66" t="s">
        <v>600</v>
      </c>
      <c r="BH174" s="66" t="s">
        <v>600</v>
      </c>
      <c r="BI174" s="66" t="s">
        <v>600</v>
      </c>
      <c r="BJ174" s="66" t="s">
        <v>600</v>
      </c>
      <c r="BK174" s="66" t="s">
        <v>600</v>
      </c>
      <c r="BL174" s="66" t="s">
        <v>600</v>
      </c>
      <c r="BM174" s="66" t="s">
        <v>600</v>
      </c>
      <c r="BN174" s="66" t="s">
        <v>600</v>
      </c>
      <c r="BO174" s="66" t="s">
        <v>600</v>
      </c>
      <c r="BP174" s="66" t="s">
        <v>600</v>
      </c>
      <c r="BQ174" s="66" t="s">
        <v>600</v>
      </c>
      <c r="BR174" s="164"/>
      <c r="BS174" s="68" t="s">
        <v>601</v>
      </c>
    </row>
    <row r="175" ht="15.6" spans="1:71">
      <c r="A175" s="53" t="s">
        <v>516</v>
      </c>
      <c r="B175" s="53" t="s">
        <v>27</v>
      </c>
      <c r="C175" s="175" t="s">
        <v>51</v>
      </c>
      <c r="D175" s="168" t="s">
        <v>651</v>
      </c>
      <c r="E175" s="179">
        <v>25.55</v>
      </c>
      <c r="F175" s="56">
        <v>36.99</v>
      </c>
      <c r="G175" s="59">
        <f t="shared" si="149"/>
        <v>31.4415</v>
      </c>
      <c r="H175" s="59">
        <f t="shared" si="150"/>
        <v>26.20125</v>
      </c>
      <c r="I175" s="59">
        <f t="shared" si="151"/>
        <v>0.40712802359882</v>
      </c>
      <c r="J175" s="60">
        <f t="shared" si="152"/>
        <v>0.0159345606105213</v>
      </c>
      <c r="K175" s="57">
        <f t="shared" si="153"/>
        <v>30.825</v>
      </c>
      <c r="L175" s="163">
        <f t="shared" si="154"/>
        <v>0.171127331711273</v>
      </c>
      <c r="M175" s="59">
        <f t="shared" si="155"/>
        <v>5.275</v>
      </c>
      <c r="N175" s="57">
        <f t="shared" si="168"/>
        <v>79.1504424778761</v>
      </c>
      <c r="O175" s="57">
        <f t="shared" si="156"/>
        <v>0.641666666666667</v>
      </c>
      <c r="P175" s="53">
        <v>30</v>
      </c>
      <c r="Q175" s="62">
        <v>8</v>
      </c>
      <c r="R175" s="63">
        <f t="shared" si="157"/>
        <v>0.156555772994129</v>
      </c>
      <c r="S175" s="60">
        <f t="shared" si="158"/>
        <v>0.108137334414707</v>
      </c>
      <c r="T175" s="63">
        <f t="shared" si="159"/>
        <v>0.217162426614481</v>
      </c>
      <c r="U175" s="63">
        <v>0.01</v>
      </c>
      <c r="V175" s="63">
        <f t="shared" si="160"/>
        <v>0.387233084529727</v>
      </c>
      <c r="W175" s="63">
        <f t="shared" si="161"/>
        <v>0.0251141552511416</v>
      </c>
      <c r="X175" s="61">
        <v>0.188</v>
      </c>
      <c r="Y175" s="64">
        <v>4</v>
      </c>
      <c r="Z175" s="64">
        <f>F175*0.15</f>
        <v>5.5485</v>
      </c>
      <c r="AA175" s="64">
        <f t="shared" si="162"/>
        <v>0.2555</v>
      </c>
      <c r="AB175" s="57">
        <f t="shared" si="163"/>
        <v>4.8034</v>
      </c>
      <c r="AC175" s="57">
        <v>80.4</v>
      </c>
      <c r="AD175" s="65">
        <f t="shared" si="164"/>
        <v>71.1504424778761</v>
      </c>
      <c r="AE175" s="62">
        <f t="shared" si="169"/>
        <v>1</v>
      </c>
      <c r="AF175" s="63">
        <f t="shared" si="165"/>
        <v>0.348094141281194</v>
      </c>
      <c r="AG175" s="63">
        <f t="shared" si="166"/>
        <v>0.00489236790606654</v>
      </c>
      <c r="AH175" s="62">
        <v>8</v>
      </c>
      <c r="AI175" s="63">
        <f t="shared" si="167"/>
        <v>0.208182815705358</v>
      </c>
      <c r="AJ175" s="63"/>
      <c r="AK175" s="63"/>
      <c r="AL175" s="63"/>
      <c r="AM175" s="63"/>
      <c r="AN175" s="66"/>
      <c r="AO175" s="66"/>
      <c r="AP175" s="66"/>
      <c r="AQ175" s="66"/>
      <c r="AR175" s="66"/>
      <c r="AS175" s="66"/>
      <c r="AT175" s="66" t="s">
        <v>600</v>
      </c>
      <c r="AU175" s="66" t="s">
        <v>600</v>
      </c>
      <c r="AV175" s="66" t="s">
        <v>600</v>
      </c>
      <c r="AW175" s="66" t="s">
        <v>600</v>
      </c>
      <c r="AX175" s="66" t="s">
        <v>600</v>
      </c>
      <c r="AY175" s="66" t="s">
        <v>600</v>
      </c>
      <c r="AZ175" s="66" t="s">
        <v>600</v>
      </c>
      <c r="BA175" s="66" t="s">
        <v>600</v>
      </c>
      <c r="BB175" s="66" t="s">
        <v>600</v>
      </c>
      <c r="BC175" s="66" t="s">
        <v>600</v>
      </c>
      <c r="BD175" s="66" t="s">
        <v>600</v>
      </c>
      <c r="BE175" s="66" t="s">
        <v>600</v>
      </c>
      <c r="BF175" s="66" t="s">
        <v>600</v>
      </c>
      <c r="BG175" s="66" t="s">
        <v>600</v>
      </c>
      <c r="BH175" s="66" t="s">
        <v>600</v>
      </c>
      <c r="BI175" s="66" t="s">
        <v>600</v>
      </c>
      <c r="BJ175" s="66" t="s">
        <v>600</v>
      </c>
      <c r="BK175" s="66" t="s">
        <v>600</v>
      </c>
      <c r="BL175" s="66" t="s">
        <v>600</v>
      </c>
      <c r="BM175" s="66" t="s">
        <v>600</v>
      </c>
      <c r="BN175" s="66" t="s">
        <v>600</v>
      </c>
      <c r="BO175" s="66" t="s">
        <v>600</v>
      </c>
      <c r="BP175" s="66" t="s">
        <v>600</v>
      </c>
      <c r="BQ175" s="66" t="s">
        <v>600</v>
      </c>
      <c r="BR175" s="164"/>
      <c r="BS175" s="68" t="s">
        <v>601</v>
      </c>
    </row>
    <row r="176" ht="15.6" spans="1:71">
      <c r="A176" s="53" t="s">
        <v>605</v>
      </c>
      <c r="B176" s="53" t="s">
        <v>27</v>
      </c>
      <c r="C176" s="175" t="s">
        <v>51</v>
      </c>
      <c r="D176" s="170" t="s">
        <v>652</v>
      </c>
      <c r="E176" s="179">
        <v>34</v>
      </c>
      <c r="F176" s="167">
        <v>49.99</v>
      </c>
      <c r="G176" s="59">
        <f t="shared" si="149"/>
        <v>49.99</v>
      </c>
      <c r="H176" s="59">
        <f t="shared" si="150"/>
        <v>41.6583333333333</v>
      </c>
      <c r="I176" s="59">
        <f t="shared" si="151"/>
        <v>16.8158613569322</v>
      </c>
      <c r="J176" s="60">
        <f t="shared" si="152"/>
        <v>0.494584157556828</v>
      </c>
      <c r="K176" s="57">
        <f t="shared" si="153"/>
        <v>41.6583333333333</v>
      </c>
      <c r="L176" s="163">
        <f t="shared" si="154"/>
        <v>0.183836767353471</v>
      </c>
      <c r="M176" s="59">
        <f t="shared" si="155"/>
        <v>7.65833333333334</v>
      </c>
      <c r="N176" s="57">
        <f t="shared" si="168"/>
        <v>79.1504424778761</v>
      </c>
      <c r="O176" s="57">
        <f t="shared" si="156"/>
        <v>0.558333333333333</v>
      </c>
      <c r="P176" s="53">
        <v>30</v>
      </c>
      <c r="Q176" s="62">
        <v>8</v>
      </c>
      <c r="R176" s="63">
        <f t="shared" si="157"/>
        <v>0</v>
      </c>
      <c r="S176" s="60">
        <f t="shared" si="158"/>
        <v>0</v>
      </c>
      <c r="T176" s="63">
        <f t="shared" si="159"/>
        <v>0</v>
      </c>
      <c r="U176" s="63">
        <v>0.01</v>
      </c>
      <c r="V176" s="63">
        <f t="shared" si="160"/>
        <v>0.290994273815721</v>
      </c>
      <c r="W176" s="63">
        <f t="shared" si="161"/>
        <v>0.016421568627451</v>
      </c>
      <c r="X176" s="61">
        <v>0.188</v>
      </c>
      <c r="Y176" s="64">
        <v>0</v>
      </c>
      <c r="Z176" s="64">
        <f>F176*0</f>
        <v>0</v>
      </c>
      <c r="AA176" s="64">
        <f t="shared" si="162"/>
        <v>0.34</v>
      </c>
      <c r="AB176" s="57">
        <f t="shared" si="163"/>
        <v>6.392</v>
      </c>
      <c r="AC176" s="57">
        <v>80.4</v>
      </c>
      <c r="AD176" s="65">
        <f t="shared" si="164"/>
        <v>71.1504424778761</v>
      </c>
      <c r="AE176" s="62">
        <f t="shared" si="169"/>
        <v>1</v>
      </c>
      <c r="AF176" s="63">
        <f t="shared" si="165"/>
        <v>0.261582509109839</v>
      </c>
      <c r="AG176" s="63">
        <f t="shared" si="166"/>
        <v>0.00367647058823529</v>
      </c>
      <c r="AH176" s="62">
        <v>8</v>
      </c>
      <c r="AI176" s="63">
        <f t="shared" si="167"/>
        <v>0.337275455091018</v>
      </c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 t="s">
        <v>600</v>
      </c>
      <c r="AU176" s="66" t="s">
        <v>600</v>
      </c>
      <c r="AV176" s="66" t="s">
        <v>600</v>
      </c>
      <c r="AW176" s="66" t="s">
        <v>600</v>
      </c>
      <c r="AX176" s="66" t="s">
        <v>600</v>
      </c>
      <c r="AY176" s="66" t="s">
        <v>600</v>
      </c>
      <c r="AZ176" s="66" t="s">
        <v>600</v>
      </c>
      <c r="BA176" s="66" t="s">
        <v>600</v>
      </c>
      <c r="BB176" s="66" t="s">
        <v>600</v>
      </c>
      <c r="BC176" s="66" t="s">
        <v>600</v>
      </c>
      <c r="BD176" s="66" t="s">
        <v>600</v>
      </c>
      <c r="BE176" s="66" t="s">
        <v>600</v>
      </c>
      <c r="BF176" s="66" t="s">
        <v>600</v>
      </c>
      <c r="BG176" s="66" t="s">
        <v>600</v>
      </c>
      <c r="BH176" s="66" t="s">
        <v>600</v>
      </c>
      <c r="BI176" s="66" t="s">
        <v>600</v>
      </c>
      <c r="BJ176" s="66" t="s">
        <v>600</v>
      </c>
      <c r="BK176" s="66" t="s">
        <v>600</v>
      </c>
      <c r="BL176" s="66" t="s">
        <v>600</v>
      </c>
      <c r="BM176" s="66" t="s">
        <v>600</v>
      </c>
      <c r="BN176" s="66" t="s">
        <v>600</v>
      </c>
      <c r="BO176" s="66" t="s">
        <v>600</v>
      </c>
      <c r="BP176" s="66" t="s">
        <v>600</v>
      </c>
      <c r="BQ176" s="66" t="s">
        <v>600</v>
      </c>
      <c r="BR176" s="70" t="e">
        <f>IF(E176&lt;#REF!,1,0)</f>
        <v>#REF!</v>
      </c>
      <c r="BS176" s="68" t="s">
        <v>601</v>
      </c>
    </row>
    <row r="177" ht="15.6" spans="1:71">
      <c r="A177" s="53" t="s">
        <v>607</v>
      </c>
      <c r="B177" s="53" t="s">
        <v>27</v>
      </c>
      <c r="C177" s="175" t="s">
        <v>51</v>
      </c>
      <c r="D177" s="170" t="s">
        <v>653</v>
      </c>
      <c r="E177" s="179">
        <v>34</v>
      </c>
      <c r="F177" s="56">
        <v>49.99</v>
      </c>
      <c r="G177" s="59">
        <f t="shared" si="149"/>
        <v>49.99</v>
      </c>
      <c r="H177" s="59">
        <f t="shared" si="150"/>
        <v>41.6583333333333</v>
      </c>
      <c r="I177" s="59">
        <f t="shared" si="151"/>
        <v>16.9058613569322</v>
      </c>
      <c r="J177" s="60">
        <f t="shared" si="152"/>
        <v>0.497231216380357</v>
      </c>
      <c r="K177" s="57">
        <f t="shared" si="153"/>
        <v>41.6583333333333</v>
      </c>
      <c r="L177" s="163">
        <f t="shared" si="154"/>
        <v>0.183836767353471</v>
      </c>
      <c r="M177" s="59">
        <f t="shared" si="155"/>
        <v>7.65833333333334</v>
      </c>
      <c r="N177" s="57">
        <f t="shared" si="168"/>
        <v>79.1504424778761</v>
      </c>
      <c r="O177" s="57">
        <f t="shared" si="156"/>
        <v>0.468333333333333</v>
      </c>
      <c r="P177" s="53">
        <v>30</v>
      </c>
      <c r="Q177" s="62">
        <v>8</v>
      </c>
      <c r="R177" s="63">
        <f t="shared" si="157"/>
        <v>0</v>
      </c>
      <c r="S177" s="60">
        <f t="shared" si="158"/>
        <v>0</v>
      </c>
      <c r="T177" s="63">
        <f t="shared" si="159"/>
        <v>0</v>
      </c>
      <c r="U177" s="63">
        <v>0.01</v>
      </c>
      <c r="V177" s="63">
        <f t="shared" si="160"/>
        <v>0.290994273815721</v>
      </c>
      <c r="W177" s="63">
        <f t="shared" si="161"/>
        <v>0.0137745098039216</v>
      </c>
      <c r="X177" s="61">
        <v>0.188</v>
      </c>
      <c r="Y177" s="64">
        <v>0</v>
      </c>
      <c r="Z177" s="64">
        <f>F177*0</f>
        <v>0</v>
      </c>
      <c r="AA177" s="64">
        <f t="shared" si="162"/>
        <v>0.34</v>
      </c>
      <c r="AB177" s="57">
        <f t="shared" si="163"/>
        <v>6.392</v>
      </c>
      <c r="AC177" s="57">
        <v>80.4</v>
      </c>
      <c r="AD177" s="65">
        <f t="shared" si="164"/>
        <v>71.1504424778761</v>
      </c>
      <c r="AE177" s="62">
        <f t="shared" si="169"/>
        <v>1</v>
      </c>
      <c r="AF177" s="63">
        <f t="shared" si="165"/>
        <v>0.261582509109839</v>
      </c>
      <c r="AG177" s="63">
        <f t="shared" si="166"/>
        <v>0.00367647058823529</v>
      </c>
      <c r="AH177" s="62">
        <v>8</v>
      </c>
      <c r="AI177" s="63">
        <f t="shared" si="167"/>
        <v>0.337275455091018</v>
      </c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 t="s">
        <v>600</v>
      </c>
      <c r="AU177" s="66" t="s">
        <v>600</v>
      </c>
      <c r="AV177" s="66" t="s">
        <v>600</v>
      </c>
      <c r="AW177" s="66" t="s">
        <v>600</v>
      </c>
      <c r="AX177" s="66" t="s">
        <v>600</v>
      </c>
      <c r="AY177" s="66" t="s">
        <v>600</v>
      </c>
      <c r="AZ177" s="66" t="s">
        <v>600</v>
      </c>
      <c r="BA177" s="66" t="s">
        <v>600</v>
      </c>
      <c r="BB177" s="66" t="s">
        <v>600</v>
      </c>
      <c r="BC177" s="66" t="s">
        <v>600</v>
      </c>
      <c r="BD177" s="66" t="s">
        <v>600</v>
      </c>
      <c r="BE177" s="66" t="s">
        <v>600</v>
      </c>
      <c r="BF177" s="66" t="s">
        <v>600</v>
      </c>
      <c r="BG177" s="66" t="s">
        <v>600</v>
      </c>
      <c r="BH177" s="66" t="s">
        <v>600</v>
      </c>
      <c r="BI177" s="66" t="s">
        <v>600</v>
      </c>
      <c r="BJ177" s="66" t="s">
        <v>600</v>
      </c>
      <c r="BK177" s="66" t="s">
        <v>600</v>
      </c>
      <c r="BL177" s="66" t="s">
        <v>600</v>
      </c>
      <c r="BM177" s="66" t="s">
        <v>600</v>
      </c>
      <c r="BN177" s="66" t="s">
        <v>600</v>
      </c>
      <c r="BO177" s="66" t="s">
        <v>600</v>
      </c>
      <c r="BP177" s="66" t="s">
        <v>600</v>
      </c>
      <c r="BQ177" s="66" t="s">
        <v>600</v>
      </c>
      <c r="BR177" s="70" t="e">
        <f>IF(E177&lt;#REF!,1,0)</f>
        <v>#REF!</v>
      </c>
      <c r="BS177" s="68" t="s">
        <v>601</v>
      </c>
    </row>
    <row r="178" ht="15.6" spans="1:71">
      <c r="A178" s="53" t="s">
        <v>609</v>
      </c>
      <c r="B178" s="53" t="s">
        <v>27</v>
      </c>
      <c r="C178" s="175" t="s">
        <v>51</v>
      </c>
      <c r="D178" s="170" t="s">
        <v>654</v>
      </c>
      <c r="E178" s="179">
        <v>34.5</v>
      </c>
      <c r="F178" s="167">
        <v>49.99</v>
      </c>
      <c r="G178" s="59">
        <f t="shared" si="149"/>
        <v>49.99</v>
      </c>
      <c r="H178" s="59">
        <f t="shared" si="150"/>
        <v>41.6583333333333</v>
      </c>
      <c r="I178" s="59">
        <f t="shared" si="151"/>
        <v>17.1668613569322</v>
      </c>
      <c r="J178" s="60">
        <f t="shared" si="152"/>
        <v>0.497590184258903</v>
      </c>
      <c r="K178" s="57">
        <f t="shared" si="153"/>
        <v>41.6583333333333</v>
      </c>
      <c r="L178" s="163">
        <f t="shared" si="154"/>
        <v>0.171834366873375</v>
      </c>
      <c r="M178" s="59">
        <f t="shared" si="155"/>
        <v>7.15833333333334</v>
      </c>
      <c r="N178" s="57">
        <f t="shared" si="168"/>
        <v>79.1504424778761</v>
      </c>
      <c r="O178" s="57">
        <f t="shared" si="156"/>
        <v>0.608333333333333</v>
      </c>
      <c r="P178" s="53">
        <v>30</v>
      </c>
      <c r="Q178" s="62">
        <v>8</v>
      </c>
      <c r="R178" s="63">
        <f t="shared" si="157"/>
        <v>0</v>
      </c>
      <c r="S178" s="60">
        <f t="shared" si="158"/>
        <v>0</v>
      </c>
      <c r="T178" s="63">
        <f t="shared" si="159"/>
        <v>0</v>
      </c>
      <c r="U178" s="63">
        <v>0.01</v>
      </c>
      <c r="V178" s="63">
        <f t="shared" si="160"/>
        <v>0.286776965499551</v>
      </c>
      <c r="W178" s="63">
        <f t="shared" si="161"/>
        <v>0.0176328502415459</v>
      </c>
      <c r="X178" s="61">
        <v>0.188</v>
      </c>
      <c r="Y178" s="64">
        <v>0</v>
      </c>
      <c r="Z178" s="64">
        <f>F178*0</f>
        <v>0</v>
      </c>
      <c r="AA178" s="64">
        <f t="shared" si="162"/>
        <v>0.345</v>
      </c>
      <c r="AB178" s="57">
        <f t="shared" si="163"/>
        <v>6.486</v>
      </c>
      <c r="AC178" s="57">
        <v>80.4</v>
      </c>
      <c r="AD178" s="65">
        <f t="shared" si="164"/>
        <v>71.1504424778761</v>
      </c>
      <c r="AE178" s="62">
        <f t="shared" si="169"/>
        <v>1</v>
      </c>
      <c r="AF178" s="63">
        <f t="shared" si="165"/>
        <v>0.257791458253174</v>
      </c>
      <c r="AG178" s="63">
        <f t="shared" si="166"/>
        <v>0.0036231884057971</v>
      </c>
      <c r="AH178" s="62">
        <v>8</v>
      </c>
      <c r="AI178" s="63">
        <f t="shared" si="167"/>
        <v>0.32752950590118</v>
      </c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 t="s">
        <v>600</v>
      </c>
      <c r="AU178" s="66" t="s">
        <v>600</v>
      </c>
      <c r="AV178" s="66" t="s">
        <v>600</v>
      </c>
      <c r="AW178" s="66" t="s">
        <v>600</v>
      </c>
      <c r="AX178" s="66" t="s">
        <v>600</v>
      </c>
      <c r="AY178" s="66" t="s">
        <v>600</v>
      </c>
      <c r="AZ178" s="66" t="s">
        <v>600</v>
      </c>
      <c r="BA178" s="66" t="s">
        <v>600</v>
      </c>
      <c r="BB178" s="66" t="s">
        <v>600</v>
      </c>
      <c r="BC178" s="66" t="s">
        <v>600</v>
      </c>
      <c r="BD178" s="66" t="s">
        <v>600</v>
      </c>
      <c r="BE178" s="66" t="s">
        <v>600</v>
      </c>
      <c r="BF178" s="66" t="s">
        <v>600</v>
      </c>
      <c r="BG178" s="66" t="s">
        <v>600</v>
      </c>
      <c r="BH178" s="66" t="s">
        <v>600</v>
      </c>
      <c r="BI178" s="66" t="s">
        <v>600</v>
      </c>
      <c r="BJ178" s="66" t="s">
        <v>600</v>
      </c>
      <c r="BK178" s="66" t="s">
        <v>600</v>
      </c>
      <c r="BL178" s="66" t="s">
        <v>600</v>
      </c>
      <c r="BM178" s="66" t="s">
        <v>600</v>
      </c>
      <c r="BN178" s="66" t="s">
        <v>600</v>
      </c>
      <c r="BO178" s="66" t="s">
        <v>600</v>
      </c>
      <c r="BP178" s="66" t="s">
        <v>600</v>
      </c>
      <c r="BQ178" s="66" t="s">
        <v>600</v>
      </c>
      <c r="BR178" s="70" t="e">
        <f>IF(E178&lt;#REF!,1,0)</f>
        <v>#REF!</v>
      </c>
      <c r="BS178" s="68" t="s">
        <v>601</v>
      </c>
    </row>
    <row r="179" ht="15.6" spans="1:71">
      <c r="A179" s="53" t="s">
        <v>611</v>
      </c>
      <c r="B179" s="53" t="s">
        <v>27</v>
      </c>
      <c r="C179" s="175" t="s">
        <v>51</v>
      </c>
      <c r="D179" s="170" t="s">
        <v>655</v>
      </c>
      <c r="E179" s="179">
        <v>34</v>
      </c>
      <c r="F179" s="56">
        <v>49.99</v>
      </c>
      <c r="G179" s="59">
        <f t="shared" si="149"/>
        <v>49.99</v>
      </c>
      <c r="H179" s="59">
        <f t="shared" si="150"/>
        <v>41.6583333333333</v>
      </c>
      <c r="I179" s="59">
        <f t="shared" si="151"/>
        <v>16.8991946902655</v>
      </c>
      <c r="J179" s="60">
        <f t="shared" si="152"/>
        <v>0.497035137948985</v>
      </c>
      <c r="K179" s="57">
        <f t="shared" si="153"/>
        <v>41.6583333333333</v>
      </c>
      <c r="L179" s="163">
        <f t="shared" si="154"/>
        <v>0.183836767353471</v>
      </c>
      <c r="M179" s="59">
        <f t="shared" si="155"/>
        <v>7.65833333333334</v>
      </c>
      <c r="N179" s="57">
        <f t="shared" si="168"/>
        <v>79.1504424778761</v>
      </c>
      <c r="O179" s="57">
        <f t="shared" si="156"/>
        <v>0.475</v>
      </c>
      <c r="P179" s="53">
        <v>30</v>
      </c>
      <c r="Q179" s="62">
        <v>8</v>
      </c>
      <c r="R179" s="63">
        <f t="shared" si="157"/>
        <v>0</v>
      </c>
      <c r="S179" s="60">
        <f t="shared" si="158"/>
        <v>0</v>
      </c>
      <c r="T179" s="63">
        <f t="shared" si="159"/>
        <v>0</v>
      </c>
      <c r="U179" s="63">
        <v>0.01</v>
      </c>
      <c r="V179" s="63">
        <f t="shared" si="160"/>
        <v>0.290994273815721</v>
      </c>
      <c r="W179" s="63">
        <f t="shared" si="161"/>
        <v>0.0139705882352941</v>
      </c>
      <c r="X179" s="61">
        <v>0.188</v>
      </c>
      <c r="Y179" s="64">
        <v>0</v>
      </c>
      <c r="Z179" s="64">
        <f>F179*0</f>
        <v>0</v>
      </c>
      <c r="AA179" s="64">
        <f t="shared" si="162"/>
        <v>0.34</v>
      </c>
      <c r="AB179" s="57">
        <f t="shared" si="163"/>
        <v>6.392</v>
      </c>
      <c r="AC179" s="57">
        <v>80.4</v>
      </c>
      <c r="AD179" s="65">
        <f t="shared" si="164"/>
        <v>71.1504424778761</v>
      </c>
      <c r="AE179" s="62">
        <f t="shared" si="169"/>
        <v>1</v>
      </c>
      <c r="AF179" s="63">
        <f t="shared" si="165"/>
        <v>0.261582509109839</v>
      </c>
      <c r="AG179" s="63">
        <f t="shared" si="166"/>
        <v>0.00367647058823529</v>
      </c>
      <c r="AH179" s="62">
        <v>8</v>
      </c>
      <c r="AI179" s="63">
        <f t="shared" si="167"/>
        <v>0.337275455091018</v>
      </c>
      <c r="AJ179" s="63"/>
      <c r="AK179" s="63"/>
      <c r="AL179" s="63"/>
      <c r="AM179" s="63"/>
      <c r="AN179" s="66"/>
      <c r="AO179" s="66"/>
      <c r="AP179" s="66"/>
      <c r="AQ179" s="66"/>
      <c r="AR179" s="66"/>
      <c r="AS179" s="66"/>
      <c r="AT179" s="66" t="s">
        <v>600</v>
      </c>
      <c r="AU179" s="66" t="s">
        <v>600</v>
      </c>
      <c r="AV179" s="66" t="s">
        <v>600</v>
      </c>
      <c r="AW179" s="66" t="s">
        <v>600</v>
      </c>
      <c r="AX179" s="66" t="s">
        <v>600</v>
      </c>
      <c r="AY179" s="66" t="s">
        <v>600</v>
      </c>
      <c r="AZ179" s="66" t="s">
        <v>600</v>
      </c>
      <c r="BA179" s="66" t="s">
        <v>600</v>
      </c>
      <c r="BB179" s="66" t="s">
        <v>600</v>
      </c>
      <c r="BC179" s="66" t="s">
        <v>600</v>
      </c>
      <c r="BD179" s="66" t="s">
        <v>600</v>
      </c>
      <c r="BE179" s="66" t="s">
        <v>600</v>
      </c>
      <c r="BF179" s="66" t="s">
        <v>600</v>
      </c>
      <c r="BG179" s="66" t="s">
        <v>600</v>
      </c>
      <c r="BH179" s="66" t="s">
        <v>600</v>
      </c>
      <c r="BI179" s="66" t="s">
        <v>600</v>
      </c>
      <c r="BJ179" s="66" t="s">
        <v>600</v>
      </c>
      <c r="BK179" s="66" t="s">
        <v>600</v>
      </c>
      <c r="BL179" s="66" t="s">
        <v>600</v>
      </c>
      <c r="BM179" s="66" t="s">
        <v>600</v>
      </c>
      <c r="BN179" s="66" t="s">
        <v>600</v>
      </c>
      <c r="BO179" s="66" t="s">
        <v>600</v>
      </c>
      <c r="BP179" s="66" t="s">
        <v>600</v>
      </c>
      <c r="BQ179" s="66" t="s">
        <v>600</v>
      </c>
      <c r="BR179" s="70" t="e">
        <f>IF(E179&lt;#REF!,1,0)</f>
        <v>#REF!</v>
      </c>
      <c r="BS179" s="68" t="s">
        <v>601</v>
      </c>
    </row>
    <row r="180" ht="15.6" spans="1:71">
      <c r="A180" s="53"/>
      <c r="B180" s="53"/>
      <c r="C180" s="53"/>
      <c r="D180" s="180"/>
      <c r="E180" s="57"/>
      <c r="F180" s="69"/>
      <c r="G180" s="59"/>
      <c r="H180" s="59"/>
      <c r="I180" s="59"/>
      <c r="J180" s="60"/>
      <c r="K180" s="57"/>
      <c r="L180" s="163"/>
      <c r="M180" s="59"/>
      <c r="N180" s="57"/>
      <c r="O180" s="57"/>
      <c r="P180" s="68"/>
      <c r="Q180" s="62"/>
      <c r="R180" s="63"/>
      <c r="S180" s="60"/>
      <c r="T180" s="63"/>
      <c r="U180" s="63"/>
      <c r="V180" s="63"/>
      <c r="W180" s="63"/>
      <c r="X180" s="61"/>
      <c r="Y180" s="64"/>
      <c r="Z180" s="64"/>
      <c r="AA180" s="64"/>
      <c r="AB180" s="57"/>
      <c r="AC180" s="57"/>
      <c r="AD180" s="65"/>
      <c r="AE180" s="62"/>
      <c r="AF180" s="63"/>
      <c r="AG180" s="63"/>
      <c r="AH180" s="62"/>
      <c r="AI180" s="63"/>
      <c r="AJ180" s="63"/>
      <c r="AK180" s="63"/>
      <c r="AL180" s="63"/>
      <c r="AM180" s="63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66"/>
      <c r="BJ180" s="66"/>
      <c r="BK180" s="66"/>
      <c r="BL180" s="66"/>
      <c r="BM180" s="66"/>
      <c r="BN180" s="66"/>
      <c r="BO180" s="66"/>
      <c r="BP180" s="66"/>
      <c r="BQ180" s="66"/>
      <c r="BR180" s="70"/>
      <c r="BS180" s="68"/>
    </row>
    <row r="181" ht="15.6" spans="1:71">
      <c r="A181" s="68" t="s">
        <v>300</v>
      </c>
      <c r="B181" s="53" t="s">
        <v>30</v>
      </c>
      <c r="C181" s="175" t="s">
        <v>55</v>
      </c>
      <c r="D181" s="168" t="s">
        <v>656</v>
      </c>
      <c r="E181" s="179">
        <v>10.3</v>
      </c>
      <c r="F181" s="167">
        <v>14.99</v>
      </c>
      <c r="G181" s="59">
        <f t="shared" ref="G181:G199" si="170">(F181-Z181)</f>
        <v>14.99</v>
      </c>
      <c r="H181" s="59">
        <f t="shared" ref="H181:H199" si="171">(F181-Z181)/1.2</f>
        <v>12.4916666666667</v>
      </c>
      <c r="I181" s="174">
        <f t="shared" ref="I181:I199" si="172">E181-N181/Q181-AB181-Y181-O181-Z181-AA181</f>
        <v>2.34930009832842</v>
      </c>
      <c r="J181" s="60">
        <f t="shared" ref="J181:J199" si="173">I181/E181</f>
        <v>0.228087388187225</v>
      </c>
      <c r="K181" s="57">
        <f t="shared" ref="K181:K199" si="174">F181/1.2</f>
        <v>12.4916666666667</v>
      </c>
      <c r="L181" s="163">
        <f t="shared" ref="L181:L199" si="175">(K181-E181)/K181</f>
        <v>0.175450300200133</v>
      </c>
      <c r="M181" s="59">
        <f t="shared" ref="M181:M199" si="176">F181/1.2-E181</f>
        <v>2.19166666666667</v>
      </c>
      <c r="N181" s="57">
        <f>AD181+AH181</f>
        <v>30.0176991150442</v>
      </c>
      <c r="O181" s="57">
        <f t="shared" ref="O181:O199" si="177">IFERROR(IF(A181="UK",8.95/P181,IF(A181="DE",7.75/P181,IF(A181="FR",14.25/P181,IF(A181="IT",15.25/P181,IF(A181="ES",19.25/P181,IF(A181="NL",16.75/P181,IF(A181="PL",14.05/P181,IF(A181="SE",18.25/P181,IF(A181="BE",14.25/P181))))))))),0)</f>
        <v>0.179</v>
      </c>
      <c r="P181" s="68">
        <v>50</v>
      </c>
      <c r="Q181" s="62">
        <v>9</v>
      </c>
      <c r="R181" s="63">
        <f t="shared" ref="R181:R199" si="178">Y181/E181</f>
        <v>0.242718446601942</v>
      </c>
      <c r="S181" s="60">
        <f>Y181/H181</f>
        <v>0.200133422281521</v>
      </c>
      <c r="T181" s="63">
        <f t="shared" ref="T181:T199" si="179">Z181/E181</f>
        <v>0</v>
      </c>
      <c r="U181" s="63">
        <v>0.01</v>
      </c>
      <c r="V181" s="63">
        <f t="shared" ref="V181:V199" si="180">N181/(E181*Q181)</f>
        <v>0.323815524434134</v>
      </c>
      <c r="W181" s="63">
        <f t="shared" ref="W181:W199" si="181">O181/E181</f>
        <v>0.017378640776699</v>
      </c>
      <c r="X181" s="61">
        <v>0.178</v>
      </c>
      <c r="Y181" s="64">
        <v>2.5</v>
      </c>
      <c r="Z181" s="64">
        <f>F181*0</f>
        <v>0</v>
      </c>
      <c r="AA181" s="64">
        <f t="shared" ref="AA181:AA199" si="182">E181*U181</f>
        <v>0.103</v>
      </c>
      <c r="AB181" s="57">
        <f t="shared" ref="AB181:AB199" si="183">E181*X181</f>
        <v>1.8334</v>
      </c>
      <c r="AC181" s="57">
        <v>29.4</v>
      </c>
      <c r="AD181" s="65">
        <f t="shared" ref="AD181:AD199" si="184">AC181/1.13</f>
        <v>26.0176991150442</v>
      </c>
      <c r="AE181" s="62">
        <f>AH181/Q181</f>
        <v>0.444444444444444</v>
      </c>
      <c r="AF181" s="63">
        <f t="shared" ref="AF181:AF199" si="185">AD181/(E181*Q181)</f>
        <v>0.280665578371567</v>
      </c>
      <c r="AG181" s="63">
        <f>AE181/E181</f>
        <v>0.0431499460625674</v>
      </c>
      <c r="AH181" s="62">
        <v>4</v>
      </c>
      <c r="AI181" s="63">
        <f t="shared" ref="AI181:AI188" si="186">(H181-E181+AB181)/H181</f>
        <v>0.32222014676451</v>
      </c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6" t="s">
        <v>600</v>
      </c>
      <c r="AU181" s="66" t="s">
        <v>600</v>
      </c>
      <c r="AV181" s="66" t="s">
        <v>600</v>
      </c>
      <c r="AW181" s="66" t="s">
        <v>600</v>
      </c>
      <c r="AX181" s="66" t="s">
        <v>600</v>
      </c>
      <c r="AY181" s="66" t="s">
        <v>600</v>
      </c>
      <c r="AZ181" s="66" t="s">
        <v>600</v>
      </c>
      <c r="BA181" s="66" t="s">
        <v>600</v>
      </c>
      <c r="BB181" s="66" t="s">
        <v>600</v>
      </c>
      <c r="BC181" s="66" t="s">
        <v>600</v>
      </c>
      <c r="BD181" s="66" t="s">
        <v>600</v>
      </c>
      <c r="BE181" s="66" t="s">
        <v>600</v>
      </c>
      <c r="BF181" s="66" t="s">
        <v>600</v>
      </c>
      <c r="BG181" s="66" t="s">
        <v>600</v>
      </c>
      <c r="BH181" s="66" t="s">
        <v>600</v>
      </c>
      <c r="BI181" s="66" t="s">
        <v>600</v>
      </c>
      <c r="BJ181" s="66" t="s">
        <v>600</v>
      </c>
      <c r="BK181" s="66" t="s">
        <v>600</v>
      </c>
      <c r="BL181" s="66" t="s">
        <v>600</v>
      </c>
      <c r="BM181" s="66" t="s">
        <v>600</v>
      </c>
      <c r="BN181" s="66" t="s">
        <v>600</v>
      </c>
      <c r="BO181" s="66" t="s">
        <v>600</v>
      </c>
      <c r="BP181" s="66" t="s">
        <v>600</v>
      </c>
      <c r="BQ181" s="66" t="s">
        <v>600</v>
      </c>
      <c r="BR181" s="164"/>
      <c r="BS181" s="68" t="s">
        <v>601</v>
      </c>
    </row>
    <row r="182" ht="15.6" spans="1:71">
      <c r="A182" s="68" t="s">
        <v>300</v>
      </c>
      <c r="B182" s="53" t="s">
        <v>30</v>
      </c>
      <c r="C182" s="175" t="s">
        <v>55</v>
      </c>
      <c r="D182" s="168" t="s">
        <v>657</v>
      </c>
      <c r="E182" s="179">
        <v>10.3</v>
      </c>
      <c r="F182" s="56">
        <v>14.99</v>
      </c>
      <c r="G182" s="59">
        <f t="shared" si="170"/>
        <v>14.2405</v>
      </c>
      <c r="H182" s="59">
        <f t="shared" si="171"/>
        <v>11.8670833333333</v>
      </c>
      <c r="I182" s="59">
        <f t="shared" si="172"/>
        <v>1.59980009832842</v>
      </c>
      <c r="J182" s="60">
        <f t="shared" si="173"/>
        <v>0.155320397895963</v>
      </c>
      <c r="K182" s="57">
        <f t="shared" si="174"/>
        <v>12.4916666666667</v>
      </c>
      <c r="L182" s="163">
        <f t="shared" si="175"/>
        <v>0.175450300200133</v>
      </c>
      <c r="M182" s="59">
        <f t="shared" si="176"/>
        <v>2.19166666666667</v>
      </c>
      <c r="N182" s="57">
        <f>AD182+AH182</f>
        <v>30.0176991150442</v>
      </c>
      <c r="O182" s="57">
        <f t="shared" si="177"/>
        <v>0.179</v>
      </c>
      <c r="P182" s="53">
        <v>50</v>
      </c>
      <c r="Q182" s="62">
        <v>9</v>
      </c>
      <c r="R182" s="63">
        <f t="shared" si="178"/>
        <v>0.242718446601942</v>
      </c>
      <c r="S182" s="60">
        <f>Y182/H182</f>
        <v>0.210666760296338</v>
      </c>
      <c r="T182" s="63">
        <f t="shared" si="179"/>
        <v>0.0727669902912621</v>
      </c>
      <c r="U182" s="63">
        <v>0.01</v>
      </c>
      <c r="V182" s="63">
        <f t="shared" si="180"/>
        <v>0.323815524434134</v>
      </c>
      <c r="W182" s="63">
        <f t="shared" si="181"/>
        <v>0.017378640776699</v>
      </c>
      <c r="X182" s="61">
        <v>0.178</v>
      </c>
      <c r="Y182" s="64">
        <v>2.5</v>
      </c>
      <c r="Z182" s="64">
        <f>F182*0.05</f>
        <v>0.7495</v>
      </c>
      <c r="AA182" s="64">
        <f t="shared" si="182"/>
        <v>0.103</v>
      </c>
      <c r="AB182" s="57">
        <f t="shared" si="183"/>
        <v>1.8334</v>
      </c>
      <c r="AC182" s="57">
        <v>29.4</v>
      </c>
      <c r="AD182" s="65">
        <f t="shared" si="184"/>
        <v>26.0176991150442</v>
      </c>
      <c r="AE182" s="62">
        <f>AH182/Q182</f>
        <v>0.444444444444444</v>
      </c>
      <c r="AF182" s="63">
        <f t="shared" si="185"/>
        <v>0.280665578371567</v>
      </c>
      <c r="AG182" s="63">
        <f>AE182/E182</f>
        <v>0.0431499460625674</v>
      </c>
      <c r="AH182" s="62">
        <v>4</v>
      </c>
      <c r="AI182" s="63">
        <f t="shared" si="186"/>
        <v>0.28654752291001</v>
      </c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6" t="s">
        <v>600</v>
      </c>
      <c r="AU182" s="66" t="s">
        <v>600</v>
      </c>
      <c r="AV182" s="66" t="s">
        <v>600</v>
      </c>
      <c r="AW182" s="66" t="s">
        <v>600</v>
      </c>
      <c r="AX182" s="66" t="s">
        <v>600</v>
      </c>
      <c r="AY182" s="66" t="s">
        <v>600</v>
      </c>
      <c r="AZ182" s="66" t="s">
        <v>600</v>
      </c>
      <c r="BA182" s="66" t="s">
        <v>600</v>
      </c>
      <c r="BB182" s="66" t="s">
        <v>600</v>
      </c>
      <c r="BC182" s="66" t="s">
        <v>600</v>
      </c>
      <c r="BD182" s="66" t="s">
        <v>600</v>
      </c>
      <c r="BE182" s="66" t="s">
        <v>600</v>
      </c>
      <c r="BF182" s="66" t="s">
        <v>600</v>
      </c>
      <c r="BG182" s="66" t="s">
        <v>600</v>
      </c>
      <c r="BH182" s="66" t="s">
        <v>600</v>
      </c>
      <c r="BI182" s="66" t="s">
        <v>600</v>
      </c>
      <c r="BJ182" s="66" t="s">
        <v>600</v>
      </c>
      <c r="BK182" s="66" t="s">
        <v>600</v>
      </c>
      <c r="BL182" s="66" t="s">
        <v>600</v>
      </c>
      <c r="BM182" s="66" t="s">
        <v>600</v>
      </c>
      <c r="BN182" s="66" t="s">
        <v>600</v>
      </c>
      <c r="BO182" s="66" t="s">
        <v>600</v>
      </c>
      <c r="BP182" s="66" t="s">
        <v>600</v>
      </c>
      <c r="BQ182" s="66" t="s">
        <v>600</v>
      </c>
      <c r="BR182" s="164"/>
      <c r="BS182" s="68" t="s">
        <v>601</v>
      </c>
    </row>
    <row r="183" ht="15.6" spans="1:71">
      <c r="A183" s="68" t="s">
        <v>300</v>
      </c>
      <c r="B183" s="53" t="s">
        <v>30</v>
      </c>
      <c r="C183" s="175" t="s">
        <v>55</v>
      </c>
      <c r="D183" s="168" t="s">
        <v>658</v>
      </c>
      <c r="E183" s="179">
        <v>10.3</v>
      </c>
      <c r="F183" s="56">
        <v>14.99</v>
      </c>
      <c r="G183" s="59">
        <f t="shared" si="170"/>
        <v>13.491</v>
      </c>
      <c r="H183" s="59">
        <f t="shared" si="171"/>
        <v>11.2425</v>
      </c>
      <c r="I183" s="59">
        <f t="shared" si="172"/>
        <v>0.850300098328418</v>
      </c>
      <c r="J183" s="60">
        <f t="shared" si="173"/>
        <v>0.0825534076047008</v>
      </c>
      <c r="K183" s="57">
        <f t="shared" si="174"/>
        <v>12.4916666666667</v>
      </c>
      <c r="L183" s="163">
        <f t="shared" si="175"/>
        <v>0.175450300200133</v>
      </c>
      <c r="M183" s="59">
        <f t="shared" si="176"/>
        <v>2.19166666666667</v>
      </c>
      <c r="N183" s="57">
        <f>AD183+AH183</f>
        <v>30.0176991150442</v>
      </c>
      <c r="O183" s="57">
        <f t="shared" si="177"/>
        <v>0.179</v>
      </c>
      <c r="P183" s="53">
        <v>50</v>
      </c>
      <c r="Q183" s="62">
        <v>9</v>
      </c>
      <c r="R183" s="63">
        <f t="shared" si="178"/>
        <v>0.242718446601942</v>
      </c>
      <c r="S183" s="60">
        <f>Y183/H183</f>
        <v>0.22237046920169</v>
      </c>
      <c r="T183" s="63">
        <f t="shared" si="179"/>
        <v>0.145533980582524</v>
      </c>
      <c r="U183" s="63">
        <v>0.01</v>
      </c>
      <c r="V183" s="63">
        <f t="shared" si="180"/>
        <v>0.323815524434134</v>
      </c>
      <c r="W183" s="63">
        <f t="shared" si="181"/>
        <v>0.017378640776699</v>
      </c>
      <c r="X183" s="61">
        <v>0.178</v>
      </c>
      <c r="Y183" s="64">
        <v>2.5</v>
      </c>
      <c r="Z183" s="64">
        <f>F183*0.1</f>
        <v>1.499</v>
      </c>
      <c r="AA183" s="64">
        <f t="shared" si="182"/>
        <v>0.103</v>
      </c>
      <c r="AB183" s="57">
        <f t="shared" si="183"/>
        <v>1.8334</v>
      </c>
      <c r="AC183" s="57">
        <v>29.4</v>
      </c>
      <c r="AD183" s="65">
        <f t="shared" si="184"/>
        <v>26.0176991150442</v>
      </c>
      <c r="AE183" s="62">
        <f>AH183/Q183</f>
        <v>0.444444444444444</v>
      </c>
      <c r="AF183" s="63">
        <f t="shared" si="185"/>
        <v>0.280665578371567</v>
      </c>
      <c r="AG183" s="63">
        <f>AE183/E183</f>
        <v>0.0431499460625674</v>
      </c>
      <c r="AH183" s="62">
        <v>4</v>
      </c>
      <c r="AI183" s="63">
        <f t="shared" si="186"/>
        <v>0.246911274182788</v>
      </c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6" t="s">
        <v>600</v>
      </c>
      <c r="AU183" s="66" t="s">
        <v>600</v>
      </c>
      <c r="AV183" s="66" t="s">
        <v>600</v>
      </c>
      <c r="AW183" s="66" t="s">
        <v>600</v>
      </c>
      <c r="AX183" s="66" t="s">
        <v>600</v>
      </c>
      <c r="AY183" s="66" t="s">
        <v>600</v>
      </c>
      <c r="AZ183" s="66" t="s">
        <v>600</v>
      </c>
      <c r="BA183" s="66" t="s">
        <v>600</v>
      </c>
      <c r="BB183" s="66" t="s">
        <v>600</v>
      </c>
      <c r="BC183" s="66" t="s">
        <v>600</v>
      </c>
      <c r="BD183" s="66" t="s">
        <v>600</v>
      </c>
      <c r="BE183" s="66" t="s">
        <v>600</v>
      </c>
      <c r="BF183" s="66" t="s">
        <v>600</v>
      </c>
      <c r="BG183" s="66" t="s">
        <v>600</v>
      </c>
      <c r="BH183" s="66" t="s">
        <v>600</v>
      </c>
      <c r="BI183" s="66" t="s">
        <v>600</v>
      </c>
      <c r="BJ183" s="66" t="s">
        <v>600</v>
      </c>
      <c r="BK183" s="66" t="s">
        <v>600</v>
      </c>
      <c r="BL183" s="66" t="s">
        <v>600</v>
      </c>
      <c r="BM183" s="66" t="s">
        <v>600</v>
      </c>
      <c r="BN183" s="66" t="s">
        <v>600</v>
      </c>
      <c r="BO183" s="66" t="s">
        <v>600</v>
      </c>
      <c r="BP183" s="66" t="s">
        <v>600</v>
      </c>
      <c r="BQ183" s="66" t="s">
        <v>600</v>
      </c>
      <c r="BR183" s="164"/>
      <c r="BS183" s="68" t="s">
        <v>601</v>
      </c>
    </row>
    <row r="184" ht="15.6" spans="1:71">
      <c r="A184" s="53" t="s">
        <v>277</v>
      </c>
      <c r="B184" s="53" t="s">
        <v>27</v>
      </c>
      <c r="C184" s="175" t="s">
        <v>55</v>
      </c>
      <c r="D184" s="168" t="s">
        <v>656</v>
      </c>
      <c r="E184" s="179">
        <v>11.75</v>
      </c>
      <c r="F184" s="56">
        <v>16.99</v>
      </c>
      <c r="G184" s="59">
        <f t="shared" si="170"/>
        <v>16.99</v>
      </c>
      <c r="H184" s="59">
        <f t="shared" si="171"/>
        <v>14.1583333333333</v>
      </c>
      <c r="I184" s="59">
        <f t="shared" si="172"/>
        <v>3.13253761061947</v>
      </c>
      <c r="J184" s="60">
        <f t="shared" si="173"/>
        <v>0.266598945584636</v>
      </c>
      <c r="K184" s="57">
        <f t="shared" si="174"/>
        <v>14.1583333333333</v>
      </c>
      <c r="L184" s="163">
        <f t="shared" si="175"/>
        <v>0.170100058858152</v>
      </c>
      <c r="M184" s="59">
        <f t="shared" si="176"/>
        <v>2.40833333333333</v>
      </c>
      <c r="N184" s="57">
        <f>AD184+AH185</f>
        <v>30.0176991150442</v>
      </c>
      <c r="O184" s="57">
        <f t="shared" si="177"/>
        <v>0.03875</v>
      </c>
      <c r="P184" s="68">
        <v>200</v>
      </c>
      <c r="Q184" s="62">
        <v>8</v>
      </c>
      <c r="R184" s="63">
        <f t="shared" si="178"/>
        <v>0.212765957446809</v>
      </c>
      <c r="S184" s="60">
        <f t="shared" ref="S184:S199" si="187">Y184/F184</f>
        <v>0.147145379635079</v>
      </c>
      <c r="T184" s="63">
        <f t="shared" si="179"/>
        <v>0</v>
      </c>
      <c r="U184" s="63">
        <v>0.01</v>
      </c>
      <c r="V184" s="63">
        <f t="shared" si="180"/>
        <v>0.31933722462813</v>
      </c>
      <c r="W184" s="63">
        <f t="shared" si="181"/>
        <v>0.00329787234042553</v>
      </c>
      <c r="X184" s="61">
        <v>0.188</v>
      </c>
      <c r="Y184" s="64">
        <v>2.5</v>
      </c>
      <c r="Z184" s="64">
        <v>0</v>
      </c>
      <c r="AA184" s="64">
        <f t="shared" si="182"/>
        <v>0.1175</v>
      </c>
      <c r="AB184" s="57">
        <f t="shared" si="183"/>
        <v>2.209</v>
      </c>
      <c r="AC184" s="57">
        <v>29.4</v>
      </c>
      <c r="AD184" s="65">
        <f t="shared" si="184"/>
        <v>26.0176991150442</v>
      </c>
      <c r="AE184" s="62">
        <f>AH185/Q184</f>
        <v>0.5</v>
      </c>
      <c r="AF184" s="63">
        <f t="shared" si="185"/>
        <v>0.276784033138769</v>
      </c>
      <c r="AG184" s="63">
        <f t="shared" ref="AG184:AG199" si="188">AE184/Q184/E184</f>
        <v>0.00531914893617021</v>
      </c>
      <c r="AH184" s="62">
        <v>4</v>
      </c>
      <c r="AI184" s="63">
        <f t="shared" si="186"/>
        <v>0.326121247792819</v>
      </c>
      <c r="AJ184" s="63"/>
      <c r="AK184" s="63"/>
      <c r="AL184" s="63"/>
      <c r="AM184" s="63"/>
      <c r="AN184" s="66"/>
      <c r="AO184" s="66"/>
      <c r="AP184" s="66"/>
      <c r="AQ184" s="66"/>
      <c r="AR184" s="66"/>
      <c r="AS184" s="66"/>
      <c r="AT184" s="66" t="s">
        <v>600</v>
      </c>
      <c r="AU184" s="66" t="s">
        <v>600</v>
      </c>
      <c r="AV184" s="66" t="s">
        <v>600</v>
      </c>
      <c r="AW184" s="66" t="s">
        <v>600</v>
      </c>
      <c r="AX184" s="66" t="s">
        <v>600</v>
      </c>
      <c r="AY184" s="66" t="s">
        <v>600</v>
      </c>
      <c r="AZ184" s="66" t="s">
        <v>600</v>
      </c>
      <c r="BA184" s="66" t="s">
        <v>600</v>
      </c>
      <c r="BB184" s="66" t="s">
        <v>600</v>
      </c>
      <c r="BC184" s="66" t="s">
        <v>600</v>
      </c>
      <c r="BD184" s="66" t="s">
        <v>600</v>
      </c>
      <c r="BE184" s="66" t="s">
        <v>600</v>
      </c>
      <c r="BF184" s="66" t="s">
        <v>600</v>
      </c>
      <c r="BG184" s="66" t="s">
        <v>600</v>
      </c>
      <c r="BH184" s="66" t="s">
        <v>600</v>
      </c>
      <c r="BI184" s="66" t="s">
        <v>600</v>
      </c>
      <c r="BJ184" s="66" t="s">
        <v>600</v>
      </c>
      <c r="BK184" s="66" t="s">
        <v>600</v>
      </c>
      <c r="BL184" s="66" t="s">
        <v>600</v>
      </c>
      <c r="BM184" s="66" t="s">
        <v>600</v>
      </c>
      <c r="BN184" s="66" t="s">
        <v>600</v>
      </c>
      <c r="BO184" s="66" t="s">
        <v>600</v>
      </c>
      <c r="BP184" s="66" t="s">
        <v>600</v>
      </c>
      <c r="BQ184" s="66" t="s">
        <v>600</v>
      </c>
      <c r="BR184" s="164"/>
      <c r="BS184" s="68" t="s">
        <v>601</v>
      </c>
    </row>
    <row r="185" ht="15.6" spans="1:71">
      <c r="A185" s="53" t="s">
        <v>277</v>
      </c>
      <c r="B185" s="53" t="s">
        <v>27</v>
      </c>
      <c r="C185" s="171" t="s">
        <v>55</v>
      </c>
      <c r="D185" s="168" t="s">
        <v>657</v>
      </c>
      <c r="E185" s="179">
        <v>11.75</v>
      </c>
      <c r="F185" s="56">
        <v>16.99</v>
      </c>
      <c r="G185" s="59">
        <f t="shared" si="170"/>
        <v>15.291</v>
      </c>
      <c r="H185" s="59">
        <f t="shared" si="171"/>
        <v>12.7425</v>
      </c>
      <c r="I185" s="165">
        <f t="shared" si="172"/>
        <v>1.43353761061947</v>
      </c>
      <c r="J185" s="60">
        <f t="shared" si="173"/>
        <v>0.122003200903785</v>
      </c>
      <c r="K185" s="57">
        <f t="shared" si="174"/>
        <v>14.1583333333333</v>
      </c>
      <c r="L185" s="163">
        <f t="shared" si="175"/>
        <v>0.170100058858152</v>
      </c>
      <c r="M185" s="59">
        <f t="shared" si="176"/>
        <v>2.40833333333333</v>
      </c>
      <c r="N185" s="57">
        <f t="shared" ref="N185:N199" si="189">AD185+AH185</f>
        <v>30.0176991150442</v>
      </c>
      <c r="O185" s="57">
        <f t="shared" si="177"/>
        <v>0.03875</v>
      </c>
      <c r="P185" s="53">
        <v>200</v>
      </c>
      <c r="Q185" s="62">
        <v>8</v>
      </c>
      <c r="R185" s="63">
        <f t="shared" si="178"/>
        <v>0.212765957446809</v>
      </c>
      <c r="S185" s="60">
        <f t="shared" si="187"/>
        <v>0.147145379635079</v>
      </c>
      <c r="T185" s="63">
        <f t="shared" si="179"/>
        <v>0.144595744680851</v>
      </c>
      <c r="U185" s="63">
        <v>0.01</v>
      </c>
      <c r="V185" s="63">
        <f t="shared" si="180"/>
        <v>0.31933722462813</v>
      </c>
      <c r="W185" s="63">
        <f t="shared" si="181"/>
        <v>0.00329787234042553</v>
      </c>
      <c r="X185" s="61">
        <v>0.188</v>
      </c>
      <c r="Y185" s="64">
        <v>2.5</v>
      </c>
      <c r="Z185" s="64">
        <f>F185*0.1</f>
        <v>1.699</v>
      </c>
      <c r="AA185" s="64">
        <f t="shared" si="182"/>
        <v>0.1175</v>
      </c>
      <c r="AB185" s="57">
        <f t="shared" si="183"/>
        <v>2.209</v>
      </c>
      <c r="AC185" s="57">
        <v>29.4</v>
      </c>
      <c r="AD185" s="65">
        <f t="shared" si="184"/>
        <v>26.0176991150442</v>
      </c>
      <c r="AE185" s="62">
        <f t="shared" ref="AE185:AE199" si="190">AH185/Q185</f>
        <v>0.5</v>
      </c>
      <c r="AF185" s="63">
        <f t="shared" si="185"/>
        <v>0.276784033138769</v>
      </c>
      <c r="AG185" s="63">
        <f t="shared" si="188"/>
        <v>0.00531914893617021</v>
      </c>
      <c r="AH185" s="62">
        <v>4</v>
      </c>
      <c r="AI185" s="63">
        <f t="shared" si="186"/>
        <v>0.25124583088091</v>
      </c>
      <c r="AJ185" s="63"/>
      <c r="AK185" s="63"/>
      <c r="AL185" s="63"/>
      <c r="AM185" s="63"/>
      <c r="AN185" s="66"/>
      <c r="AO185" s="66"/>
      <c r="AP185" s="66"/>
      <c r="AQ185" s="66"/>
      <c r="AR185" s="66"/>
      <c r="AS185" s="66"/>
      <c r="AT185" s="66" t="s">
        <v>600</v>
      </c>
      <c r="AU185" s="66" t="s">
        <v>600</v>
      </c>
      <c r="AV185" s="66" t="s">
        <v>600</v>
      </c>
      <c r="AW185" s="66" t="s">
        <v>600</v>
      </c>
      <c r="AX185" s="66" t="s">
        <v>600</v>
      </c>
      <c r="AY185" s="66" t="s">
        <v>600</v>
      </c>
      <c r="AZ185" s="66" t="s">
        <v>600</v>
      </c>
      <c r="BA185" s="66" t="s">
        <v>600</v>
      </c>
      <c r="BB185" s="66" t="s">
        <v>600</v>
      </c>
      <c r="BC185" s="66" t="s">
        <v>600</v>
      </c>
      <c r="BD185" s="66" t="s">
        <v>600</v>
      </c>
      <c r="BE185" s="66" t="s">
        <v>600</v>
      </c>
      <c r="BF185" s="66" t="s">
        <v>600</v>
      </c>
      <c r="BG185" s="66" t="s">
        <v>600</v>
      </c>
      <c r="BH185" s="66" t="s">
        <v>600</v>
      </c>
      <c r="BI185" s="66" t="s">
        <v>600</v>
      </c>
      <c r="BJ185" s="66" t="s">
        <v>600</v>
      </c>
      <c r="BK185" s="66" t="s">
        <v>600</v>
      </c>
      <c r="BL185" s="66" t="s">
        <v>600</v>
      </c>
      <c r="BM185" s="66" t="s">
        <v>600</v>
      </c>
      <c r="BN185" s="66" t="s">
        <v>600</v>
      </c>
      <c r="BO185" s="66" t="s">
        <v>600</v>
      </c>
      <c r="BP185" s="66" t="s">
        <v>600</v>
      </c>
      <c r="BQ185" s="66" t="s">
        <v>600</v>
      </c>
      <c r="BR185" s="164"/>
      <c r="BS185" s="68" t="s">
        <v>601</v>
      </c>
    </row>
    <row r="186" ht="15.6" spans="1:71">
      <c r="A186" s="53" t="s">
        <v>277</v>
      </c>
      <c r="B186" s="53" t="s">
        <v>27</v>
      </c>
      <c r="C186" s="171" t="s">
        <v>55</v>
      </c>
      <c r="D186" s="168" t="s">
        <v>658</v>
      </c>
      <c r="E186" s="179">
        <v>11.75</v>
      </c>
      <c r="F186" s="56">
        <v>16.99</v>
      </c>
      <c r="G186" s="59">
        <f t="shared" si="170"/>
        <v>14.4415</v>
      </c>
      <c r="H186" s="59">
        <f t="shared" si="171"/>
        <v>12.0345833333333</v>
      </c>
      <c r="I186" s="59">
        <f t="shared" si="172"/>
        <v>0.584037610619469</v>
      </c>
      <c r="J186" s="60">
        <f t="shared" si="173"/>
        <v>0.0497053285633591</v>
      </c>
      <c r="K186" s="57">
        <f t="shared" si="174"/>
        <v>14.1583333333333</v>
      </c>
      <c r="L186" s="163">
        <f t="shared" si="175"/>
        <v>0.170100058858152</v>
      </c>
      <c r="M186" s="59">
        <f t="shared" si="176"/>
        <v>2.40833333333333</v>
      </c>
      <c r="N186" s="57">
        <f t="shared" si="189"/>
        <v>30.0176991150442</v>
      </c>
      <c r="O186" s="57">
        <f t="shared" si="177"/>
        <v>0.03875</v>
      </c>
      <c r="P186" s="53">
        <v>200</v>
      </c>
      <c r="Q186" s="62">
        <v>8</v>
      </c>
      <c r="R186" s="63">
        <f t="shared" si="178"/>
        <v>0.212765957446809</v>
      </c>
      <c r="S186" s="60">
        <f t="shared" si="187"/>
        <v>0.147145379635079</v>
      </c>
      <c r="T186" s="63">
        <f t="shared" si="179"/>
        <v>0.216893617021277</v>
      </c>
      <c r="U186" s="63">
        <v>0.01</v>
      </c>
      <c r="V186" s="63">
        <f t="shared" si="180"/>
        <v>0.31933722462813</v>
      </c>
      <c r="W186" s="63">
        <f t="shared" si="181"/>
        <v>0.00329787234042553</v>
      </c>
      <c r="X186" s="61">
        <v>0.188</v>
      </c>
      <c r="Y186" s="64">
        <v>2.5</v>
      </c>
      <c r="Z186" s="64">
        <f>F186*0.15</f>
        <v>2.5485</v>
      </c>
      <c r="AA186" s="64">
        <f t="shared" si="182"/>
        <v>0.1175</v>
      </c>
      <c r="AB186" s="57">
        <f t="shared" si="183"/>
        <v>2.209</v>
      </c>
      <c r="AC186" s="57">
        <v>29.4</v>
      </c>
      <c r="AD186" s="65">
        <f t="shared" si="184"/>
        <v>26.0176991150442</v>
      </c>
      <c r="AE186" s="62">
        <f t="shared" si="190"/>
        <v>0.5</v>
      </c>
      <c r="AF186" s="63">
        <f t="shared" si="185"/>
        <v>0.276784033138769</v>
      </c>
      <c r="AG186" s="63">
        <f t="shared" si="188"/>
        <v>0.00531914893617021</v>
      </c>
      <c r="AH186" s="62">
        <v>4</v>
      </c>
      <c r="AI186" s="63">
        <f t="shared" si="186"/>
        <v>0.207201467991552</v>
      </c>
      <c r="AJ186" s="63"/>
      <c r="AK186" s="63"/>
      <c r="AL186" s="63"/>
      <c r="AM186" s="63"/>
      <c r="AN186" s="66"/>
      <c r="AO186" s="66"/>
      <c r="AP186" s="66"/>
      <c r="AQ186" s="66"/>
      <c r="AR186" s="66"/>
      <c r="AS186" s="66"/>
      <c r="AT186" s="66" t="s">
        <v>600</v>
      </c>
      <c r="AU186" s="66" t="s">
        <v>600</v>
      </c>
      <c r="AV186" s="66" t="s">
        <v>600</v>
      </c>
      <c r="AW186" s="66" t="s">
        <v>600</v>
      </c>
      <c r="AX186" s="66" t="s">
        <v>600</v>
      </c>
      <c r="AY186" s="66" t="s">
        <v>600</v>
      </c>
      <c r="AZ186" s="66" t="s">
        <v>600</v>
      </c>
      <c r="BA186" s="66" t="s">
        <v>600</v>
      </c>
      <c r="BB186" s="66" t="s">
        <v>600</v>
      </c>
      <c r="BC186" s="66" t="s">
        <v>600</v>
      </c>
      <c r="BD186" s="66" t="s">
        <v>600</v>
      </c>
      <c r="BE186" s="66" t="s">
        <v>600</v>
      </c>
      <c r="BF186" s="66" t="s">
        <v>600</v>
      </c>
      <c r="BG186" s="66" t="s">
        <v>600</v>
      </c>
      <c r="BH186" s="66" t="s">
        <v>600</v>
      </c>
      <c r="BI186" s="66" t="s">
        <v>600</v>
      </c>
      <c r="BJ186" s="66" t="s">
        <v>600</v>
      </c>
      <c r="BK186" s="66" t="s">
        <v>600</v>
      </c>
      <c r="BL186" s="66" t="s">
        <v>600</v>
      </c>
      <c r="BM186" s="66" t="s">
        <v>600</v>
      </c>
      <c r="BN186" s="66" t="s">
        <v>600</v>
      </c>
      <c r="BO186" s="66" t="s">
        <v>600</v>
      </c>
      <c r="BP186" s="66" t="s">
        <v>600</v>
      </c>
      <c r="BQ186" s="66" t="s">
        <v>600</v>
      </c>
      <c r="BR186" s="164"/>
      <c r="BS186" s="68" t="s">
        <v>601</v>
      </c>
    </row>
    <row r="187" ht="15.6" spans="1:71">
      <c r="A187" s="53" t="s">
        <v>511</v>
      </c>
      <c r="B187" s="53" t="s">
        <v>27</v>
      </c>
      <c r="C187" s="171" t="s">
        <v>55</v>
      </c>
      <c r="D187" s="168" t="s">
        <v>656</v>
      </c>
      <c r="E187" s="179">
        <v>11.75</v>
      </c>
      <c r="F187" s="56">
        <v>16.99</v>
      </c>
      <c r="G187" s="59">
        <f t="shared" si="170"/>
        <v>16.99</v>
      </c>
      <c r="H187" s="59">
        <f t="shared" si="171"/>
        <v>14.1583333333333</v>
      </c>
      <c r="I187" s="59">
        <f t="shared" si="172"/>
        <v>3.10003761061947</v>
      </c>
      <c r="J187" s="60">
        <f t="shared" si="173"/>
        <v>0.263832988137827</v>
      </c>
      <c r="K187" s="57">
        <f t="shared" si="174"/>
        <v>14.1583333333333</v>
      </c>
      <c r="L187" s="163">
        <f t="shared" si="175"/>
        <v>0.170100058858152</v>
      </c>
      <c r="M187" s="59">
        <f t="shared" si="176"/>
        <v>2.40833333333333</v>
      </c>
      <c r="N187" s="57">
        <f t="shared" si="189"/>
        <v>30.0176991150442</v>
      </c>
      <c r="O187" s="57">
        <f t="shared" si="177"/>
        <v>0.07125</v>
      </c>
      <c r="P187" s="53">
        <v>200</v>
      </c>
      <c r="Q187" s="62">
        <v>8</v>
      </c>
      <c r="R187" s="63">
        <f t="shared" si="178"/>
        <v>0.212765957446809</v>
      </c>
      <c r="S187" s="60">
        <f t="shared" si="187"/>
        <v>0.147145379635079</v>
      </c>
      <c r="T187" s="63">
        <f t="shared" si="179"/>
        <v>0</v>
      </c>
      <c r="U187" s="63">
        <v>0.01</v>
      </c>
      <c r="V187" s="63">
        <f t="shared" si="180"/>
        <v>0.31933722462813</v>
      </c>
      <c r="W187" s="63">
        <f t="shared" si="181"/>
        <v>0.00606382978723404</v>
      </c>
      <c r="X187" s="61">
        <v>0.188</v>
      </c>
      <c r="Y187" s="64">
        <v>2.5</v>
      </c>
      <c r="Z187" s="64">
        <v>0</v>
      </c>
      <c r="AA187" s="64">
        <f t="shared" si="182"/>
        <v>0.1175</v>
      </c>
      <c r="AB187" s="57">
        <f t="shared" si="183"/>
        <v>2.209</v>
      </c>
      <c r="AC187" s="57">
        <v>29.4</v>
      </c>
      <c r="AD187" s="65">
        <f t="shared" si="184"/>
        <v>26.0176991150442</v>
      </c>
      <c r="AE187" s="62">
        <f t="shared" si="190"/>
        <v>0.5</v>
      </c>
      <c r="AF187" s="63">
        <f t="shared" si="185"/>
        <v>0.276784033138769</v>
      </c>
      <c r="AG187" s="63">
        <f t="shared" si="188"/>
        <v>0.00531914893617021</v>
      </c>
      <c r="AH187" s="62">
        <v>4</v>
      </c>
      <c r="AI187" s="63">
        <f t="shared" si="186"/>
        <v>0.326121247792819</v>
      </c>
      <c r="AJ187" s="63"/>
      <c r="AK187" s="63"/>
      <c r="AL187" s="63"/>
      <c r="AM187" s="63"/>
      <c r="AN187" s="66"/>
      <c r="AO187" s="66"/>
      <c r="AP187" s="66"/>
      <c r="AQ187" s="66"/>
      <c r="AR187" s="66"/>
      <c r="AS187" s="66"/>
      <c r="AT187" s="66" t="s">
        <v>600</v>
      </c>
      <c r="AU187" s="66" t="s">
        <v>600</v>
      </c>
      <c r="AV187" s="66" t="s">
        <v>600</v>
      </c>
      <c r="AW187" s="66" t="s">
        <v>600</v>
      </c>
      <c r="AX187" s="66" t="s">
        <v>600</v>
      </c>
      <c r="AY187" s="66" t="s">
        <v>600</v>
      </c>
      <c r="AZ187" s="66" t="s">
        <v>600</v>
      </c>
      <c r="BA187" s="66" t="s">
        <v>600</v>
      </c>
      <c r="BB187" s="66" t="s">
        <v>600</v>
      </c>
      <c r="BC187" s="66" t="s">
        <v>600</v>
      </c>
      <c r="BD187" s="66" t="s">
        <v>600</v>
      </c>
      <c r="BE187" s="66" t="s">
        <v>600</v>
      </c>
      <c r="BF187" s="66" t="s">
        <v>600</v>
      </c>
      <c r="BG187" s="66" t="s">
        <v>600</v>
      </c>
      <c r="BH187" s="66" t="s">
        <v>600</v>
      </c>
      <c r="BI187" s="66" t="s">
        <v>600</v>
      </c>
      <c r="BJ187" s="66" t="s">
        <v>600</v>
      </c>
      <c r="BK187" s="66" t="s">
        <v>600</v>
      </c>
      <c r="BL187" s="66" t="s">
        <v>600</v>
      </c>
      <c r="BM187" s="66" t="s">
        <v>600</v>
      </c>
      <c r="BN187" s="66" t="s">
        <v>600</v>
      </c>
      <c r="BO187" s="66" t="s">
        <v>600</v>
      </c>
      <c r="BP187" s="66" t="s">
        <v>600</v>
      </c>
      <c r="BQ187" s="66" t="s">
        <v>600</v>
      </c>
      <c r="BR187" s="164"/>
      <c r="BS187" s="68" t="s">
        <v>601</v>
      </c>
    </row>
    <row r="188" ht="15.6" spans="1:71">
      <c r="A188" s="53" t="s">
        <v>511</v>
      </c>
      <c r="B188" s="53" t="s">
        <v>27</v>
      </c>
      <c r="C188" s="171" t="s">
        <v>55</v>
      </c>
      <c r="D188" s="168" t="s">
        <v>657</v>
      </c>
      <c r="E188" s="179">
        <v>11.75</v>
      </c>
      <c r="F188" s="56">
        <v>16.99</v>
      </c>
      <c r="G188" s="59">
        <f t="shared" si="170"/>
        <v>15.291</v>
      </c>
      <c r="H188" s="59">
        <f t="shared" si="171"/>
        <v>12.7425</v>
      </c>
      <c r="I188" s="165">
        <f t="shared" si="172"/>
        <v>1.40103761061947</v>
      </c>
      <c r="J188" s="60">
        <f t="shared" si="173"/>
        <v>0.119237243456976</v>
      </c>
      <c r="K188" s="57">
        <f t="shared" si="174"/>
        <v>14.1583333333333</v>
      </c>
      <c r="L188" s="163">
        <f t="shared" si="175"/>
        <v>0.170100058858152</v>
      </c>
      <c r="M188" s="59">
        <f t="shared" si="176"/>
        <v>2.40833333333333</v>
      </c>
      <c r="N188" s="57">
        <f t="shared" si="189"/>
        <v>30.0176991150442</v>
      </c>
      <c r="O188" s="57">
        <f t="shared" si="177"/>
        <v>0.07125</v>
      </c>
      <c r="P188" s="53">
        <v>200</v>
      </c>
      <c r="Q188" s="62">
        <v>8</v>
      </c>
      <c r="R188" s="63">
        <f t="shared" si="178"/>
        <v>0.212765957446809</v>
      </c>
      <c r="S188" s="60">
        <f t="shared" si="187"/>
        <v>0.147145379635079</v>
      </c>
      <c r="T188" s="63">
        <f t="shared" si="179"/>
        <v>0.144595744680851</v>
      </c>
      <c r="U188" s="63">
        <v>0.01</v>
      </c>
      <c r="V188" s="63">
        <f t="shared" si="180"/>
        <v>0.31933722462813</v>
      </c>
      <c r="W188" s="63">
        <f t="shared" si="181"/>
        <v>0.00606382978723404</v>
      </c>
      <c r="X188" s="61">
        <v>0.188</v>
      </c>
      <c r="Y188" s="64">
        <v>2.5</v>
      </c>
      <c r="Z188" s="64">
        <f>F188*0.1</f>
        <v>1.699</v>
      </c>
      <c r="AA188" s="64">
        <f t="shared" si="182"/>
        <v>0.1175</v>
      </c>
      <c r="AB188" s="57">
        <f t="shared" si="183"/>
        <v>2.209</v>
      </c>
      <c r="AC188" s="57">
        <v>29.4</v>
      </c>
      <c r="AD188" s="65">
        <f t="shared" si="184"/>
        <v>26.0176991150442</v>
      </c>
      <c r="AE188" s="62">
        <f t="shared" si="190"/>
        <v>0.5</v>
      </c>
      <c r="AF188" s="63">
        <f t="shared" si="185"/>
        <v>0.276784033138769</v>
      </c>
      <c r="AG188" s="63">
        <f t="shared" si="188"/>
        <v>0.00531914893617021</v>
      </c>
      <c r="AH188" s="62">
        <v>4</v>
      </c>
      <c r="AI188" s="63">
        <f t="shared" si="186"/>
        <v>0.25124583088091</v>
      </c>
      <c r="AJ188" s="63"/>
      <c r="AK188" s="63"/>
      <c r="AL188" s="63"/>
      <c r="AM188" s="63"/>
      <c r="AN188" s="66"/>
      <c r="AO188" s="66"/>
      <c r="AP188" s="66"/>
      <c r="AQ188" s="66"/>
      <c r="AR188" s="66"/>
      <c r="AS188" s="66"/>
      <c r="AT188" s="66" t="s">
        <v>600</v>
      </c>
      <c r="AU188" s="66" t="s">
        <v>600</v>
      </c>
      <c r="AV188" s="66" t="s">
        <v>600</v>
      </c>
      <c r="AW188" s="66" t="s">
        <v>600</v>
      </c>
      <c r="AX188" s="66" t="s">
        <v>600</v>
      </c>
      <c r="AY188" s="66" t="s">
        <v>600</v>
      </c>
      <c r="AZ188" s="66" t="s">
        <v>600</v>
      </c>
      <c r="BA188" s="66" t="s">
        <v>600</v>
      </c>
      <c r="BB188" s="66" t="s">
        <v>600</v>
      </c>
      <c r="BC188" s="66" t="s">
        <v>600</v>
      </c>
      <c r="BD188" s="66" t="s">
        <v>600</v>
      </c>
      <c r="BE188" s="66" t="s">
        <v>600</v>
      </c>
      <c r="BF188" s="66" t="s">
        <v>600</v>
      </c>
      <c r="BG188" s="66" t="s">
        <v>600</v>
      </c>
      <c r="BH188" s="66" t="s">
        <v>600</v>
      </c>
      <c r="BI188" s="66" t="s">
        <v>600</v>
      </c>
      <c r="BJ188" s="66" t="s">
        <v>600</v>
      </c>
      <c r="BK188" s="66" t="s">
        <v>600</v>
      </c>
      <c r="BL188" s="66" t="s">
        <v>600</v>
      </c>
      <c r="BM188" s="66" t="s">
        <v>600</v>
      </c>
      <c r="BN188" s="66" t="s">
        <v>600</v>
      </c>
      <c r="BO188" s="66" t="s">
        <v>600</v>
      </c>
      <c r="BP188" s="66" t="s">
        <v>600</v>
      </c>
      <c r="BQ188" s="66" t="s">
        <v>600</v>
      </c>
      <c r="BR188" s="164"/>
      <c r="BS188" s="68" t="s">
        <v>601</v>
      </c>
    </row>
    <row r="189" ht="15.6" spans="1:71">
      <c r="A189" s="53" t="s">
        <v>511</v>
      </c>
      <c r="B189" s="53" t="s">
        <v>27</v>
      </c>
      <c r="C189" s="171" t="s">
        <v>55</v>
      </c>
      <c r="D189" s="168" t="s">
        <v>658</v>
      </c>
      <c r="E189" s="179">
        <v>11.75</v>
      </c>
      <c r="F189" s="56">
        <v>16.99</v>
      </c>
      <c r="G189" s="59">
        <f t="shared" si="170"/>
        <v>14.4415</v>
      </c>
      <c r="H189" s="59">
        <f t="shared" si="171"/>
        <v>12.0345833333333</v>
      </c>
      <c r="I189" s="59">
        <f t="shared" si="172"/>
        <v>0.551537610619469</v>
      </c>
      <c r="J189" s="60">
        <f t="shared" si="173"/>
        <v>0.0469393711165506</v>
      </c>
      <c r="K189" s="57">
        <f t="shared" si="174"/>
        <v>14.1583333333333</v>
      </c>
      <c r="L189" s="163">
        <f t="shared" si="175"/>
        <v>0.170100058858152</v>
      </c>
      <c r="M189" s="59">
        <f t="shared" si="176"/>
        <v>2.40833333333333</v>
      </c>
      <c r="N189" s="57">
        <f t="shared" si="189"/>
        <v>30.0176991150442</v>
      </c>
      <c r="O189" s="57">
        <f t="shared" si="177"/>
        <v>0.07125</v>
      </c>
      <c r="P189" s="53">
        <v>200</v>
      </c>
      <c r="Q189" s="62">
        <v>8</v>
      </c>
      <c r="R189" s="63">
        <f t="shared" si="178"/>
        <v>0.212765957446809</v>
      </c>
      <c r="S189" s="60">
        <f t="shared" si="187"/>
        <v>0.147145379635079</v>
      </c>
      <c r="T189" s="63">
        <f t="shared" si="179"/>
        <v>0.216893617021277</v>
      </c>
      <c r="U189" s="63">
        <v>0.01</v>
      </c>
      <c r="V189" s="63">
        <f t="shared" si="180"/>
        <v>0.31933722462813</v>
      </c>
      <c r="W189" s="63">
        <f t="shared" si="181"/>
        <v>0.00606382978723404</v>
      </c>
      <c r="X189" s="61">
        <v>0.188</v>
      </c>
      <c r="Y189" s="64">
        <v>2.5</v>
      </c>
      <c r="Z189" s="64">
        <f>F189*0.15</f>
        <v>2.5485</v>
      </c>
      <c r="AA189" s="64">
        <f t="shared" si="182"/>
        <v>0.1175</v>
      </c>
      <c r="AB189" s="57">
        <f t="shared" si="183"/>
        <v>2.209</v>
      </c>
      <c r="AC189" s="57">
        <v>29.4</v>
      </c>
      <c r="AD189" s="65">
        <f t="shared" si="184"/>
        <v>26.0176991150442</v>
      </c>
      <c r="AE189" s="62">
        <f t="shared" si="190"/>
        <v>0.5</v>
      </c>
      <c r="AF189" s="63">
        <f t="shared" si="185"/>
        <v>0.276784033138769</v>
      </c>
      <c r="AG189" s="63">
        <f t="shared" si="188"/>
        <v>0.00531914893617021</v>
      </c>
      <c r="AH189" s="62">
        <v>4</v>
      </c>
      <c r="AI189" s="63">
        <f t="shared" ref="AI189:AI199" si="191">(K189-E189+AB189)/(K189-Z189)</f>
        <v>0.397708838771731</v>
      </c>
      <c r="AJ189" s="63"/>
      <c r="AK189" s="63"/>
      <c r="AL189" s="63"/>
      <c r="AM189" s="63"/>
      <c r="AN189" s="66"/>
      <c r="AO189" s="66"/>
      <c r="AP189" s="66"/>
      <c r="AQ189" s="66"/>
      <c r="AR189" s="66"/>
      <c r="AS189" s="66"/>
      <c r="AT189" s="66" t="s">
        <v>600</v>
      </c>
      <c r="AU189" s="66" t="s">
        <v>600</v>
      </c>
      <c r="AV189" s="66" t="s">
        <v>600</v>
      </c>
      <c r="AW189" s="66" t="s">
        <v>600</v>
      </c>
      <c r="AX189" s="66" t="s">
        <v>600</v>
      </c>
      <c r="AY189" s="66" t="s">
        <v>600</v>
      </c>
      <c r="AZ189" s="66" t="s">
        <v>600</v>
      </c>
      <c r="BA189" s="66" t="s">
        <v>600</v>
      </c>
      <c r="BB189" s="66" t="s">
        <v>600</v>
      </c>
      <c r="BC189" s="66" t="s">
        <v>600</v>
      </c>
      <c r="BD189" s="66" t="s">
        <v>600</v>
      </c>
      <c r="BE189" s="66" t="s">
        <v>600</v>
      </c>
      <c r="BF189" s="66" t="s">
        <v>600</v>
      </c>
      <c r="BG189" s="66" t="s">
        <v>600</v>
      </c>
      <c r="BH189" s="66" t="s">
        <v>600</v>
      </c>
      <c r="BI189" s="66" t="s">
        <v>600</v>
      </c>
      <c r="BJ189" s="66" t="s">
        <v>600</v>
      </c>
      <c r="BK189" s="66" t="s">
        <v>600</v>
      </c>
      <c r="BL189" s="66" t="s">
        <v>600</v>
      </c>
      <c r="BM189" s="66" t="s">
        <v>600</v>
      </c>
      <c r="BN189" s="66" t="s">
        <v>600</v>
      </c>
      <c r="BO189" s="66" t="s">
        <v>600</v>
      </c>
      <c r="BP189" s="66" t="s">
        <v>600</v>
      </c>
      <c r="BQ189" s="66" t="s">
        <v>600</v>
      </c>
      <c r="BR189" s="164"/>
      <c r="BS189" s="68" t="s">
        <v>601</v>
      </c>
    </row>
    <row r="190" ht="15.6" spans="1:71">
      <c r="A190" s="53" t="s">
        <v>513</v>
      </c>
      <c r="B190" s="53" t="s">
        <v>27</v>
      </c>
      <c r="C190" s="171" t="s">
        <v>55</v>
      </c>
      <c r="D190" s="168" t="s">
        <v>656</v>
      </c>
      <c r="E190" s="179">
        <v>11.75</v>
      </c>
      <c r="F190" s="56">
        <v>16.99</v>
      </c>
      <c r="G190" s="59">
        <f t="shared" si="170"/>
        <v>16.99</v>
      </c>
      <c r="H190" s="59">
        <f t="shared" si="171"/>
        <v>14.1583333333333</v>
      </c>
      <c r="I190" s="59">
        <f t="shared" si="172"/>
        <v>3.09503761061947</v>
      </c>
      <c r="J190" s="60">
        <f t="shared" si="173"/>
        <v>0.263407456222933</v>
      </c>
      <c r="K190" s="57">
        <f t="shared" si="174"/>
        <v>14.1583333333333</v>
      </c>
      <c r="L190" s="163">
        <f t="shared" si="175"/>
        <v>0.170100058858152</v>
      </c>
      <c r="M190" s="59">
        <f t="shared" si="176"/>
        <v>2.40833333333333</v>
      </c>
      <c r="N190" s="57">
        <f t="shared" si="189"/>
        <v>30.0176991150442</v>
      </c>
      <c r="O190" s="57">
        <f t="shared" si="177"/>
        <v>0.07625</v>
      </c>
      <c r="P190" s="53">
        <v>200</v>
      </c>
      <c r="Q190" s="62">
        <v>8</v>
      </c>
      <c r="R190" s="63">
        <f t="shared" si="178"/>
        <v>0.212765957446809</v>
      </c>
      <c r="S190" s="60">
        <f t="shared" si="187"/>
        <v>0.147145379635079</v>
      </c>
      <c r="T190" s="63">
        <f t="shared" si="179"/>
        <v>0</v>
      </c>
      <c r="U190" s="63">
        <v>0.01</v>
      </c>
      <c r="V190" s="63">
        <f t="shared" si="180"/>
        <v>0.31933722462813</v>
      </c>
      <c r="W190" s="63">
        <f t="shared" si="181"/>
        <v>0.00648936170212766</v>
      </c>
      <c r="X190" s="61">
        <v>0.188</v>
      </c>
      <c r="Y190" s="64">
        <v>2.5</v>
      </c>
      <c r="Z190" s="64">
        <v>0</v>
      </c>
      <c r="AA190" s="64">
        <f t="shared" si="182"/>
        <v>0.1175</v>
      </c>
      <c r="AB190" s="57">
        <f t="shared" si="183"/>
        <v>2.209</v>
      </c>
      <c r="AC190" s="57">
        <v>29.4</v>
      </c>
      <c r="AD190" s="65">
        <f t="shared" si="184"/>
        <v>26.0176991150442</v>
      </c>
      <c r="AE190" s="62">
        <f t="shared" si="190"/>
        <v>0.5</v>
      </c>
      <c r="AF190" s="63">
        <f t="shared" si="185"/>
        <v>0.276784033138769</v>
      </c>
      <c r="AG190" s="63">
        <f t="shared" si="188"/>
        <v>0.00531914893617021</v>
      </c>
      <c r="AH190" s="62">
        <v>4</v>
      </c>
      <c r="AI190" s="60">
        <f t="shared" si="191"/>
        <v>0.326121247792819</v>
      </c>
      <c r="AJ190" s="60"/>
      <c r="AK190" s="60"/>
      <c r="AL190" s="60"/>
      <c r="AM190" s="60"/>
      <c r="AN190" s="66"/>
      <c r="AO190" s="66"/>
      <c r="AP190" s="66"/>
      <c r="AQ190" s="66"/>
      <c r="AR190" s="66"/>
      <c r="AS190" s="66"/>
      <c r="AT190" s="66" t="s">
        <v>600</v>
      </c>
      <c r="AU190" s="66" t="s">
        <v>600</v>
      </c>
      <c r="AV190" s="66" t="s">
        <v>600</v>
      </c>
      <c r="AW190" s="66" t="s">
        <v>600</v>
      </c>
      <c r="AX190" s="66" t="s">
        <v>600</v>
      </c>
      <c r="AY190" s="66" t="s">
        <v>600</v>
      </c>
      <c r="AZ190" s="66" t="s">
        <v>600</v>
      </c>
      <c r="BA190" s="66" t="s">
        <v>600</v>
      </c>
      <c r="BB190" s="66" t="s">
        <v>600</v>
      </c>
      <c r="BC190" s="66" t="s">
        <v>600</v>
      </c>
      <c r="BD190" s="66" t="s">
        <v>600</v>
      </c>
      <c r="BE190" s="66" t="s">
        <v>600</v>
      </c>
      <c r="BF190" s="66" t="s">
        <v>600</v>
      </c>
      <c r="BG190" s="66" t="s">
        <v>600</v>
      </c>
      <c r="BH190" s="66" t="s">
        <v>600</v>
      </c>
      <c r="BI190" s="66" t="s">
        <v>600</v>
      </c>
      <c r="BJ190" s="66" t="s">
        <v>600</v>
      </c>
      <c r="BK190" s="66" t="s">
        <v>600</v>
      </c>
      <c r="BL190" s="66" t="s">
        <v>600</v>
      </c>
      <c r="BM190" s="66" t="s">
        <v>600</v>
      </c>
      <c r="BN190" s="66" t="s">
        <v>600</v>
      </c>
      <c r="BO190" s="66" t="s">
        <v>600</v>
      </c>
      <c r="BP190" s="66" t="s">
        <v>600</v>
      </c>
      <c r="BQ190" s="66" t="s">
        <v>600</v>
      </c>
      <c r="BR190" s="164"/>
      <c r="BS190" s="68" t="s">
        <v>601</v>
      </c>
    </row>
    <row r="191" ht="15.6" spans="1:71">
      <c r="A191" s="53" t="s">
        <v>513</v>
      </c>
      <c r="B191" s="53" t="s">
        <v>27</v>
      </c>
      <c r="C191" s="171" t="s">
        <v>55</v>
      </c>
      <c r="D191" s="168" t="s">
        <v>657</v>
      </c>
      <c r="E191" s="179">
        <v>11.75</v>
      </c>
      <c r="F191" s="56">
        <v>16.99</v>
      </c>
      <c r="G191" s="59">
        <f t="shared" si="170"/>
        <v>15.291</v>
      </c>
      <c r="H191" s="59">
        <f t="shared" si="171"/>
        <v>12.7425</v>
      </c>
      <c r="I191" s="165">
        <f t="shared" si="172"/>
        <v>1.39603761061947</v>
      </c>
      <c r="J191" s="60">
        <f t="shared" si="173"/>
        <v>0.118811711542082</v>
      </c>
      <c r="K191" s="57">
        <f t="shared" si="174"/>
        <v>14.1583333333333</v>
      </c>
      <c r="L191" s="163">
        <f t="shared" si="175"/>
        <v>0.170100058858152</v>
      </c>
      <c r="M191" s="59">
        <f t="shared" si="176"/>
        <v>2.40833333333333</v>
      </c>
      <c r="N191" s="57">
        <f t="shared" si="189"/>
        <v>30.0176991150442</v>
      </c>
      <c r="O191" s="57">
        <f t="shared" si="177"/>
        <v>0.07625</v>
      </c>
      <c r="P191" s="53">
        <v>200</v>
      </c>
      <c r="Q191" s="62">
        <v>8</v>
      </c>
      <c r="R191" s="63">
        <f t="shared" si="178"/>
        <v>0.212765957446809</v>
      </c>
      <c r="S191" s="60">
        <f t="shared" si="187"/>
        <v>0.147145379635079</v>
      </c>
      <c r="T191" s="63">
        <f t="shared" si="179"/>
        <v>0.144595744680851</v>
      </c>
      <c r="U191" s="63">
        <v>0.01</v>
      </c>
      <c r="V191" s="63">
        <f t="shared" si="180"/>
        <v>0.31933722462813</v>
      </c>
      <c r="W191" s="63">
        <f t="shared" si="181"/>
        <v>0.00648936170212766</v>
      </c>
      <c r="X191" s="61">
        <v>0.188</v>
      </c>
      <c r="Y191" s="64">
        <v>2.5</v>
      </c>
      <c r="Z191" s="64">
        <f>F191*0.1</f>
        <v>1.699</v>
      </c>
      <c r="AA191" s="64">
        <f t="shared" si="182"/>
        <v>0.1175</v>
      </c>
      <c r="AB191" s="57">
        <f t="shared" si="183"/>
        <v>2.209</v>
      </c>
      <c r="AC191" s="57">
        <v>29.4</v>
      </c>
      <c r="AD191" s="65">
        <f t="shared" si="184"/>
        <v>26.0176991150442</v>
      </c>
      <c r="AE191" s="62">
        <f t="shared" si="190"/>
        <v>0.5</v>
      </c>
      <c r="AF191" s="63">
        <f t="shared" si="185"/>
        <v>0.276784033138769</v>
      </c>
      <c r="AG191" s="63">
        <f t="shared" si="188"/>
        <v>0.00531914893617021</v>
      </c>
      <c r="AH191" s="62">
        <v>4</v>
      </c>
      <c r="AI191" s="60">
        <f t="shared" si="191"/>
        <v>0.370592327037295</v>
      </c>
      <c r="AJ191" s="60"/>
      <c r="AK191" s="60"/>
      <c r="AL191" s="60"/>
      <c r="AM191" s="60"/>
      <c r="AN191" s="66"/>
      <c r="AO191" s="66"/>
      <c r="AP191" s="66"/>
      <c r="AQ191" s="66"/>
      <c r="AR191" s="66"/>
      <c r="AS191" s="66"/>
      <c r="AT191" s="66" t="s">
        <v>600</v>
      </c>
      <c r="AU191" s="66" t="s">
        <v>600</v>
      </c>
      <c r="AV191" s="66" t="s">
        <v>600</v>
      </c>
      <c r="AW191" s="66" t="s">
        <v>600</v>
      </c>
      <c r="AX191" s="66" t="s">
        <v>600</v>
      </c>
      <c r="AY191" s="66" t="s">
        <v>600</v>
      </c>
      <c r="AZ191" s="66" t="s">
        <v>600</v>
      </c>
      <c r="BA191" s="66" t="s">
        <v>600</v>
      </c>
      <c r="BB191" s="66" t="s">
        <v>600</v>
      </c>
      <c r="BC191" s="66" t="s">
        <v>600</v>
      </c>
      <c r="BD191" s="66" t="s">
        <v>600</v>
      </c>
      <c r="BE191" s="66" t="s">
        <v>600</v>
      </c>
      <c r="BF191" s="66" t="s">
        <v>600</v>
      </c>
      <c r="BG191" s="66" t="s">
        <v>600</v>
      </c>
      <c r="BH191" s="66" t="s">
        <v>600</v>
      </c>
      <c r="BI191" s="66" t="s">
        <v>600</v>
      </c>
      <c r="BJ191" s="66" t="s">
        <v>600</v>
      </c>
      <c r="BK191" s="66" t="s">
        <v>600</v>
      </c>
      <c r="BL191" s="66" t="s">
        <v>600</v>
      </c>
      <c r="BM191" s="66" t="s">
        <v>600</v>
      </c>
      <c r="BN191" s="66" t="s">
        <v>600</v>
      </c>
      <c r="BO191" s="66" t="s">
        <v>600</v>
      </c>
      <c r="BP191" s="66" t="s">
        <v>600</v>
      </c>
      <c r="BQ191" s="66" t="s">
        <v>600</v>
      </c>
      <c r="BR191" s="164"/>
      <c r="BS191" s="68" t="s">
        <v>601</v>
      </c>
    </row>
    <row r="192" ht="15.6" spans="1:71">
      <c r="A192" s="53" t="s">
        <v>513</v>
      </c>
      <c r="B192" s="53" t="s">
        <v>27</v>
      </c>
      <c r="C192" s="171" t="s">
        <v>55</v>
      </c>
      <c r="D192" s="168" t="s">
        <v>658</v>
      </c>
      <c r="E192" s="179">
        <v>11.75</v>
      </c>
      <c r="F192" s="56">
        <v>16.99</v>
      </c>
      <c r="G192" s="59">
        <f t="shared" si="170"/>
        <v>14.4415</v>
      </c>
      <c r="H192" s="59">
        <f t="shared" si="171"/>
        <v>12.0345833333333</v>
      </c>
      <c r="I192" s="59">
        <f t="shared" si="172"/>
        <v>0.546537610619469</v>
      </c>
      <c r="J192" s="60">
        <f t="shared" si="173"/>
        <v>0.0465138392016569</v>
      </c>
      <c r="K192" s="57">
        <f t="shared" si="174"/>
        <v>14.1583333333333</v>
      </c>
      <c r="L192" s="163">
        <f t="shared" si="175"/>
        <v>0.170100058858152</v>
      </c>
      <c r="M192" s="59">
        <f t="shared" si="176"/>
        <v>2.40833333333333</v>
      </c>
      <c r="N192" s="57">
        <f t="shared" si="189"/>
        <v>30.0176991150442</v>
      </c>
      <c r="O192" s="57">
        <f t="shared" si="177"/>
        <v>0.07625</v>
      </c>
      <c r="P192" s="53">
        <v>200</v>
      </c>
      <c r="Q192" s="62">
        <v>8</v>
      </c>
      <c r="R192" s="63">
        <f t="shared" si="178"/>
        <v>0.212765957446809</v>
      </c>
      <c r="S192" s="60">
        <f t="shared" si="187"/>
        <v>0.147145379635079</v>
      </c>
      <c r="T192" s="63">
        <f t="shared" si="179"/>
        <v>0.216893617021277</v>
      </c>
      <c r="U192" s="63">
        <v>0.01</v>
      </c>
      <c r="V192" s="63">
        <f t="shared" si="180"/>
        <v>0.31933722462813</v>
      </c>
      <c r="W192" s="63">
        <f t="shared" si="181"/>
        <v>0.00648936170212766</v>
      </c>
      <c r="X192" s="61">
        <v>0.188</v>
      </c>
      <c r="Y192" s="64">
        <v>2.5</v>
      </c>
      <c r="Z192" s="64">
        <f>F192*0.15</f>
        <v>2.5485</v>
      </c>
      <c r="AA192" s="64">
        <f t="shared" si="182"/>
        <v>0.1175</v>
      </c>
      <c r="AB192" s="57">
        <f t="shared" si="183"/>
        <v>2.209</v>
      </c>
      <c r="AC192" s="57">
        <v>29.4</v>
      </c>
      <c r="AD192" s="65">
        <f t="shared" si="184"/>
        <v>26.0176991150442</v>
      </c>
      <c r="AE192" s="62">
        <f t="shared" si="190"/>
        <v>0.5</v>
      </c>
      <c r="AF192" s="63">
        <f t="shared" si="185"/>
        <v>0.276784033138769</v>
      </c>
      <c r="AG192" s="63">
        <f t="shared" si="188"/>
        <v>0.00531914893617021</v>
      </c>
      <c r="AH192" s="62">
        <v>4</v>
      </c>
      <c r="AI192" s="60">
        <f t="shared" si="191"/>
        <v>0.397708838771731</v>
      </c>
      <c r="AJ192" s="60"/>
      <c r="AK192" s="60"/>
      <c r="AL192" s="60"/>
      <c r="AM192" s="60"/>
      <c r="AN192" s="66"/>
      <c r="AO192" s="66"/>
      <c r="AP192" s="66"/>
      <c r="AQ192" s="66"/>
      <c r="AR192" s="66"/>
      <c r="AS192" s="66"/>
      <c r="AT192" s="66" t="s">
        <v>600</v>
      </c>
      <c r="AU192" s="66" t="s">
        <v>600</v>
      </c>
      <c r="AV192" s="66" t="s">
        <v>600</v>
      </c>
      <c r="AW192" s="66" t="s">
        <v>600</v>
      </c>
      <c r="AX192" s="66" t="s">
        <v>600</v>
      </c>
      <c r="AY192" s="66" t="s">
        <v>600</v>
      </c>
      <c r="AZ192" s="66" t="s">
        <v>600</v>
      </c>
      <c r="BA192" s="66" t="s">
        <v>600</v>
      </c>
      <c r="BB192" s="66" t="s">
        <v>600</v>
      </c>
      <c r="BC192" s="66" t="s">
        <v>600</v>
      </c>
      <c r="BD192" s="66" t="s">
        <v>600</v>
      </c>
      <c r="BE192" s="66" t="s">
        <v>600</v>
      </c>
      <c r="BF192" s="66" t="s">
        <v>600</v>
      </c>
      <c r="BG192" s="66" t="s">
        <v>600</v>
      </c>
      <c r="BH192" s="66" t="s">
        <v>600</v>
      </c>
      <c r="BI192" s="66" t="s">
        <v>600</v>
      </c>
      <c r="BJ192" s="66" t="s">
        <v>600</v>
      </c>
      <c r="BK192" s="66" t="s">
        <v>600</v>
      </c>
      <c r="BL192" s="66" t="s">
        <v>600</v>
      </c>
      <c r="BM192" s="66" t="s">
        <v>600</v>
      </c>
      <c r="BN192" s="66" t="s">
        <v>600</v>
      </c>
      <c r="BO192" s="66" t="s">
        <v>600</v>
      </c>
      <c r="BP192" s="66" t="s">
        <v>600</v>
      </c>
      <c r="BQ192" s="66" t="s">
        <v>600</v>
      </c>
      <c r="BR192" s="164"/>
      <c r="BS192" s="68" t="s">
        <v>601</v>
      </c>
    </row>
    <row r="193" ht="15.6" spans="1:71">
      <c r="A193" s="53" t="s">
        <v>516</v>
      </c>
      <c r="B193" s="53" t="s">
        <v>27</v>
      </c>
      <c r="C193" s="171" t="s">
        <v>55</v>
      </c>
      <c r="D193" s="168" t="s">
        <v>656</v>
      </c>
      <c r="E193" s="179">
        <v>11.75</v>
      </c>
      <c r="F193" s="56">
        <v>16.99</v>
      </c>
      <c r="G193" s="59">
        <f t="shared" si="170"/>
        <v>16.99</v>
      </c>
      <c r="H193" s="59">
        <f t="shared" si="171"/>
        <v>14.1583333333333</v>
      </c>
      <c r="I193" s="59">
        <f t="shared" si="172"/>
        <v>3.07503761061947</v>
      </c>
      <c r="J193" s="60">
        <f t="shared" si="173"/>
        <v>0.261705328563359</v>
      </c>
      <c r="K193" s="57">
        <f t="shared" si="174"/>
        <v>14.1583333333333</v>
      </c>
      <c r="L193" s="163">
        <f t="shared" si="175"/>
        <v>0.170100058858152</v>
      </c>
      <c r="M193" s="59">
        <f t="shared" si="176"/>
        <v>2.40833333333333</v>
      </c>
      <c r="N193" s="57">
        <f t="shared" si="189"/>
        <v>30.0176991150442</v>
      </c>
      <c r="O193" s="57">
        <f t="shared" si="177"/>
        <v>0.09625</v>
      </c>
      <c r="P193" s="53">
        <v>200</v>
      </c>
      <c r="Q193" s="62">
        <v>8</v>
      </c>
      <c r="R193" s="63">
        <f t="shared" si="178"/>
        <v>0.212765957446809</v>
      </c>
      <c r="S193" s="60">
        <f t="shared" si="187"/>
        <v>0.147145379635079</v>
      </c>
      <c r="T193" s="63">
        <f t="shared" si="179"/>
        <v>0</v>
      </c>
      <c r="U193" s="63">
        <v>0.01</v>
      </c>
      <c r="V193" s="63">
        <f t="shared" si="180"/>
        <v>0.31933722462813</v>
      </c>
      <c r="W193" s="63">
        <f t="shared" si="181"/>
        <v>0.00819148936170213</v>
      </c>
      <c r="X193" s="61">
        <v>0.188</v>
      </c>
      <c r="Y193" s="64">
        <v>2.5</v>
      </c>
      <c r="Z193" s="64">
        <v>0</v>
      </c>
      <c r="AA193" s="64">
        <f t="shared" si="182"/>
        <v>0.1175</v>
      </c>
      <c r="AB193" s="57">
        <f t="shared" si="183"/>
        <v>2.209</v>
      </c>
      <c r="AC193" s="57">
        <v>29.4</v>
      </c>
      <c r="AD193" s="65">
        <f t="shared" si="184"/>
        <v>26.0176991150442</v>
      </c>
      <c r="AE193" s="62">
        <f t="shared" si="190"/>
        <v>0.5</v>
      </c>
      <c r="AF193" s="63">
        <f t="shared" si="185"/>
        <v>0.276784033138769</v>
      </c>
      <c r="AG193" s="63">
        <f t="shared" si="188"/>
        <v>0.00531914893617021</v>
      </c>
      <c r="AH193" s="62">
        <v>4</v>
      </c>
      <c r="AI193" s="63">
        <f t="shared" si="191"/>
        <v>0.326121247792819</v>
      </c>
      <c r="AJ193" s="63"/>
      <c r="AK193" s="63"/>
      <c r="AL193" s="63"/>
      <c r="AM193" s="63"/>
      <c r="AN193" s="66"/>
      <c r="AO193" s="66"/>
      <c r="AP193" s="66"/>
      <c r="AQ193" s="66"/>
      <c r="AR193" s="66"/>
      <c r="AS193" s="66"/>
      <c r="AT193" s="66" t="s">
        <v>600</v>
      </c>
      <c r="AU193" s="66" t="s">
        <v>600</v>
      </c>
      <c r="AV193" s="66" t="s">
        <v>600</v>
      </c>
      <c r="AW193" s="66" t="s">
        <v>600</v>
      </c>
      <c r="AX193" s="66" t="s">
        <v>600</v>
      </c>
      <c r="AY193" s="66" t="s">
        <v>600</v>
      </c>
      <c r="AZ193" s="66" t="s">
        <v>600</v>
      </c>
      <c r="BA193" s="66" t="s">
        <v>600</v>
      </c>
      <c r="BB193" s="66" t="s">
        <v>600</v>
      </c>
      <c r="BC193" s="66" t="s">
        <v>600</v>
      </c>
      <c r="BD193" s="66" t="s">
        <v>600</v>
      </c>
      <c r="BE193" s="66" t="s">
        <v>600</v>
      </c>
      <c r="BF193" s="66" t="s">
        <v>600</v>
      </c>
      <c r="BG193" s="66" t="s">
        <v>600</v>
      </c>
      <c r="BH193" s="66" t="s">
        <v>600</v>
      </c>
      <c r="BI193" s="66" t="s">
        <v>600</v>
      </c>
      <c r="BJ193" s="66" t="s">
        <v>600</v>
      </c>
      <c r="BK193" s="66" t="s">
        <v>600</v>
      </c>
      <c r="BL193" s="66" t="s">
        <v>600</v>
      </c>
      <c r="BM193" s="66" t="s">
        <v>600</v>
      </c>
      <c r="BN193" s="66" t="s">
        <v>600</v>
      </c>
      <c r="BO193" s="66" t="s">
        <v>600</v>
      </c>
      <c r="BP193" s="66" t="s">
        <v>600</v>
      </c>
      <c r="BQ193" s="66" t="s">
        <v>600</v>
      </c>
      <c r="BR193" s="164"/>
      <c r="BS193" s="68" t="s">
        <v>601</v>
      </c>
    </row>
    <row r="194" ht="15.6" spans="1:71">
      <c r="A194" s="53" t="s">
        <v>516</v>
      </c>
      <c r="B194" s="53" t="s">
        <v>27</v>
      </c>
      <c r="C194" s="171" t="s">
        <v>55</v>
      </c>
      <c r="D194" s="168" t="s">
        <v>657</v>
      </c>
      <c r="E194" s="179">
        <v>11.75</v>
      </c>
      <c r="F194" s="56">
        <v>16.99</v>
      </c>
      <c r="G194" s="59">
        <f t="shared" si="170"/>
        <v>15.291</v>
      </c>
      <c r="H194" s="59">
        <f t="shared" si="171"/>
        <v>12.7425</v>
      </c>
      <c r="I194" s="165">
        <f t="shared" si="172"/>
        <v>1.37603761061947</v>
      </c>
      <c r="J194" s="60">
        <f t="shared" si="173"/>
        <v>0.117109583882508</v>
      </c>
      <c r="K194" s="57">
        <f t="shared" si="174"/>
        <v>14.1583333333333</v>
      </c>
      <c r="L194" s="163">
        <f t="shared" si="175"/>
        <v>0.170100058858152</v>
      </c>
      <c r="M194" s="59">
        <f t="shared" si="176"/>
        <v>2.40833333333333</v>
      </c>
      <c r="N194" s="57">
        <f t="shared" si="189"/>
        <v>30.0176991150442</v>
      </c>
      <c r="O194" s="57">
        <f t="shared" si="177"/>
        <v>0.09625</v>
      </c>
      <c r="P194" s="53">
        <v>200</v>
      </c>
      <c r="Q194" s="62">
        <v>8</v>
      </c>
      <c r="R194" s="63">
        <f t="shared" si="178"/>
        <v>0.212765957446809</v>
      </c>
      <c r="S194" s="60">
        <f t="shared" si="187"/>
        <v>0.147145379635079</v>
      </c>
      <c r="T194" s="63">
        <f t="shared" si="179"/>
        <v>0.144595744680851</v>
      </c>
      <c r="U194" s="63">
        <v>0.01</v>
      </c>
      <c r="V194" s="63">
        <f t="shared" si="180"/>
        <v>0.31933722462813</v>
      </c>
      <c r="W194" s="63">
        <f t="shared" si="181"/>
        <v>0.00819148936170213</v>
      </c>
      <c r="X194" s="61">
        <v>0.188</v>
      </c>
      <c r="Y194" s="64">
        <v>2.5</v>
      </c>
      <c r="Z194" s="64">
        <f>F194*0.1</f>
        <v>1.699</v>
      </c>
      <c r="AA194" s="64">
        <f t="shared" si="182"/>
        <v>0.1175</v>
      </c>
      <c r="AB194" s="57">
        <f t="shared" si="183"/>
        <v>2.209</v>
      </c>
      <c r="AC194" s="57">
        <v>29.4</v>
      </c>
      <c r="AD194" s="65">
        <f t="shared" si="184"/>
        <v>26.0176991150442</v>
      </c>
      <c r="AE194" s="62">
        <f t="shared" si="190"/>
        <v>0.5</v>
      </c>
      <c r="AF194" s="63">
        <f t="shared" si="185"/>
        <v>0.276784033138769</v>
      </c>
      <c r="AG194" s="63">
        <f t="shared" si="188"/>
        <v>0.00531914893617021</v>
      </c>
      <c r="AH194" s="62">
        <v>4</v>
      </c>
      <c r="AI194" s="63">
        <f t="shared" si="191"/>
        <v>0.370592327037295</v>
      </c>
      <c r="AJ194" s="63"/>
      <c r="AK194" s="63"/>
      <c r="AL194" s="63"/>
      <c r="AM194" s="63"/>
      <c r="AN194" s="66"/>
      <c r="AO194" s="66"/>
      <c r="AP194" s="66"/>
      <c r="AQ194" s="66"/>
      <c r="AR194" s="66"/>
      <c r="AS194" s="66"/>
      <c r="AT194" s="66" t="s">
        <v>600</v>
      </c>
      <c r="AU194" s="66" t="s">
        <v>600</v>
      </c>
      <c r="AV194" s="66" t="s">
        <v>600</v>
      </c>
      <c r="AW194" s="66" t="s">
        <v>600</v>
      </c>
      <c r="AX194" s="66" t="s">
        <v>600</v>
      </c>
      <c r="AY194" s="66" t="s">
        <v>600</v>
      </c>
      <c r="AZ194" s="66" t="s">
        <v>600</v>
      </c>
      <c r="BA194" s="66" t="s">
        <v>600</v>
      </c>
      <c r="BB194" s="66" t="s">
        <v>600</v>
      </c>
      <c r="BC194" s="66" t="s">
        <v>600</v>
      </c>
      <c r="BD194" s="66" t="s">
        <v>600</v>
      </c>
      <c r="BE194" s="66" t="s">
        <v>600</v>
      </c>
      <c r="BF194" s="66" t="s">
        <v>600</v>
      </c>
      <c r="BG194" s="66" t="s">
        <v>600</v>
      </c>
      <c r="BH194" s="66" t="s">
        <v>600</v>
      </c>
      <c r="BI194" s="66" t="s">
        <v>600</v>
      </c>
      <c r="BJ194" s="66" t="s">
        <v>600</v>
      </c>
      <c r="BK194" s="66" t="s">
        <v>600</v>
      </c>
      <c r="BL194" s="66" t="s">
        <v>600</v>
      </c>
      <c r="BM194" s="66" t="s">
        <v>600</v>
      </c>
      <c r="BN194" s="66" t="s">
        <v>600</v>
      </c>
      <c r="BO194" s="66" t="s">
        <v>600</v>
      </c>
      <c r="BP194" s="66" t="s">
        <v>600</v>
      </c>
      <c r="BQ194" s="66" t="s">
        <v>600</v>
      </c>
      <c r="BR194" s="164"/>
      <c r="BS194" s="68" t="s">
        <v>601</v>
      </c>
    </row>
    <row r="195" ht="15.6" spans="1:71">
      <c r="A195" s="53" t="s">
        <v>516</v>
      </c>
      <c r="B195" s="53" t="s">
        <v>27</v>
      </c>
      <c r="C195" s="171" t="s">
        <v>55</v>
      </c>
      <c r="D195" s="168" t="s">
        <v>658</v>
      </c>
      <c r="E195" s="179">
        <v>11.75</v>
      </c>
      <c r="F195" s="56">
        <v>16.99</v>
      </c>
      <c r="G195" s="59">
        <f t="shared" si="170"/>
        <v>14.4415</v>
      </c>
      <c r="H195" s="59">
        <f t="shared" si="171"/>
        <v>12.0345833333333</v>
      </c>
      <c r="I195" s="59">
        <f t="shared" si="172"/>
        <v>0.526537610619469</v>
      </c>
      <c r="J195" s="60">
        <f t="shared" si="173"/>
        <v>0.0448117115420825</v>
      </c>
      <c r="K195" s="57">
        <f t="shared" si="174"/>
        <v>14.1583333333333</v>
      </c>
      <c r="L195" s="163">
        <f t="shared" si="175"/>
        <v>0.170100058858152</v>
      </c>
      <c r="M195" s="59">
        <f t="shared" si="176"/>
        <v>2.40833333333333</v>
      </c>
      <c r="N195" s="57">
        <f t="shared" si="189"/>
        <v>30.0176991150442</v>
      </c>
      <c r="O195" s="57">
        <f t="shared" si="177"/>
        <v>0.09625</v>
      </c>
      <c r="P195" s="53">
        <v>200</v>
      </c>
      <c r="Q195" s="62">
        <v>8</v>
      </c>
      <c r="R195" s="63">
        <f t="shared" si="178"/>
        <v>0.212765957446809</v>
      </c>
      <c r="S195" s="60">
        <f t="shared" si="187"/>
        <v>0.147145379635079</v>
      </c>
      <c r="T195" s="63">
        <f t="shared" si="179"/>
        <v>0.216893617021277</v>
      </c>
      <c r="U195" s="63">
        <v>0.01</v>
      </c>
      <c r="V195" s="63">
        <f t="shared" si="180"/>
        <v>0.31933722462813</v>
      </c>
      <c r="W195" s="63">
        <f t="shared" si="181"/>
        <v>0.00819148936170213</v>
      </c>
      <c r="X195" s="61">
        <v>0.188</v>
      </c>
      <c r="Y195" s="64">
        <v>2.5</v>
      </c>
      <c r="Z195" s="64">
        <f>F195*0.15</f>
        <v>2.5485</v>
      </c>
      <c r="AA195" s="64">
        <f t="shared" si="182"/>
        <v>0.1175</v>
      </c>
      <c r="AB195" s="57">
        <f t="shared" si="183"/>
        <v>2.209</v>
      </c>
      <c r="AC195" s="57">
        <v>29.4</v>
      </c>
      <c r="AD195" s="65">
        <f t="shared" si="184"/>
        <v>26.0176991150442</v>
      </c>
      <c r="AE195" s="62">
        <f t="shared" si="190"/>
        <v>0.5</v>
      </c>
      <c r="AF195" s="63">
        <f t="shared" si="185"/>
        <v>0.276784033138769</v>
      </c>
      <c r="AG195" s="63">
        <f t="shared" si="188"/>
        <v>0.00531914893617021</v>
      </c>
      <c r="AH195" s="62">
        <v>4</v>
      </c>
      <c r="AI195" s="63">
        <f t="shared" si="191"/>
        <v>0.397708838771731</v>
      </c>
      <c r="AJ195" s="63"/>
      <c r="AK195" s="63"/>
      <c r="AL195" s="63"/>
      <c r="AM195" s="63"/>
      <c r="AN195" s="66"/>
      <c r="AO195" s="66"/>
      <c r="AP195" s="66"/>
      <c r="AQ195" s="66"/>
      <c r="AR195" s="66"/>
      <c r="AS195" s="66"/>
      <c r="AT195" s="66" t="s">
        <v>600</v>
      </c>
      <c r="AU195" s="66" t="s">
        <v>600</v>
      </c>
      <c r="AV195" s="66" t="s">
        <v>600</v>
      </c>
      <c r="AW195" s="66" t="s">
        <v>600</v>
      </c>
      <c r="AX195" s="66" t="s">
        <v>600</v>
      </c>
      <c r="AY195" s="66" t="s">
        <v>600</v>
      </c>
      <c r="AZ195" s="66" t="s">
        <v>600</v>
      </c>
      <c r="BA195" s="66" t="s">
        <v>600</v>
      </c>
      <c r="BB195" s="66" t="s">
        <v>600</v>
      </c>
      <c r="BC195" s="66" t="s">
        <v>600</v>
      </c>
      <c r="BD195" s="66" t="s">
        <v>600</v>
      </c>
      <c r="BE195" s="66" t="s">
        <v>600</v>
      </c>
      <c r="BF195" s="66" t="s">
        <v>600</v>
      </c>
      <c r="BG195" s="66" t="s">
        <v>600</v>
      </c>
      <c r="BH195" s="66" t="s">
        <v>600</v>
      </c>
      <c r="BI195" s="66" t="s">
        <v>600</v>
      </c>
      <c r="BJ195" s="66" t="s">
        <v>600</v>
      </c>
      <c r="BK195" s="66" t="s">
        <v>600</v>
      </c>
      <c r="BL195" s="66" t="s">
        <v>600</v>
      </c>
      <c r="BM195" s="66" t="s">
        <v>600</v>
      </c>
      <c r="BN195" s="66" t="s">
        <v>600</v>
      </c>
      <c r="BO195" s="66" t="s">
        <v>600</v>
      </c>
      <c r="BP195" s="66" t="s">
        <v>600</v>
      </c>
      <c r="BQ195" s="66" t="s">
        <v>600</v>
      </c>
      <c r="BR195" s="164"/>
      <c r="BS195" s="68" t="s">
        <v>601</v>
      </c>
    </row>
    <row r="196" ht="15.6" spans="1:71">
      <c r="A196" s="53" t="s">
        <v>605</v>
      </c>
      <c r="B196" s="53" t="s">
        <v>27</v>
      </c>
      <c r="C196" s="171" t="s">
        <v>55</v>
      </c>
      <c r="D196" s="170" t="s">
        <v>659</v>
      </c>
      <c r="E196" s="179">
        <v>15</v>
      </c>
      <c r="F196" s="167">
        <v>21.99</v>
      </c>
      <c r="G196" s="59">
        <f t="shared" si="170"/>
        <v>21.99</v>
      </c>
      <c r="H196" s="59">
        <f t="shared" si="171"/>
        <v>18.325</v>
      </c>
      <c r="I196" s="59">
        <f t="shared" si="172"/>
        <v>8.19403761061947</v>
      </c>
      <c r="J196" s="60">
        <f t="shared" si="173"/>
        <v>0.546269174041298</v>
      </c>
      <c r="K196" s="57">
        <f t="shared" si="174"/>
        <v>18.325</v>
      </c>
      <c r="L196" s="163">
        <f t="shared" si="175"/>
        <v>0.181446111869031</v>
      </c>
      <c r="M196" s="59">
        <f t="shared" si="176"/>
        <v>3.325</v>
      </c>
      <c r="N196" s="57">
        <f t="shared" si="189"/>
        <v>30.0176991150442</v>
      </c>
      <c r="O196" s="57">
        <f t="shared" si="177"/>
        <v>0.08375</v>
      </c>
      <c r="P196" s="53">
        <v>200</v>
      </c>
      <c r="Q196" s="62">
        <v>8</v>
      </c>
      <c r="R196" s="63">
        <f t="shared" si="178"/>
        <v>0</v>
      </c>
      <c r="S196" s="60">
        <f t="shared" si="187"/>
        <v>0</v>
      </c>
      <c r="T196" s="63">
        <f t="shared" si="179"/>
        <v>0</v>
      </c>
      <c r="U196" s="63">
        <v>0.01</v>
      </c>
      <c r="V196" s="63">
        <f t="shared" si="180"/>
        <v>0.250147492625369</v>
      </c>
      <c r="W196" s="63">
        <f t="shared" si="181"/>
        <v>0.00558333333333333</v>
      </c>
      <c r="X196" s="61">
        <v>0.188</v>
      </c>
      <c r="Y196" s="64">
        <v>0</v>
      </c>
      <c r="Z196" s="64">
        <f>F196*0</f>
        <v>0</v>
      </c>
      <c r="AA196" s="64">
        <f t="shared" si="182"/>
        <v>0.15</v>
      </c>
      <c r="AB196" s="57">
        <f t="shared" si="183"/>
        <v>2.82</v>
      </c>
      <c r="AC196" s="57">
        <v>29.4</v>
      </c>
      <c r="AD196" s="65">
        <f t="shared" si="184"/>
        <v>26.0176991150442</v>
      </c>
      <c r="AE196" s="62">
        <f t="shared" si="190"/>
        <v>0.5</v>
      </c>
      <c r="AF196" s="63">
        <f t="shared" si="185"/>
        <v>0.216814159292035</v>
      </c>
      <c r="AG196" s="63">
        <f t="shared" si="188"/>
        <v>0.00416666666666667</v>
      </c>
      <c r="AH196" s="62">
        <v>4</v>
      </c>
      <c r="AI196" s="63">
        <f t="shared" si="191"/>
        <v>0.335334242837653</v>
      </c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 t="s">
        <v>600</v>
      </c>
      <c r="AU196" s="66" t="s">
        <v>600</v>
      </c>
      <c r="AV196" s="66" t="s">
        <v>600</v>
      </c>
      <c r="AW196" s="66" t="s">
        <v>600</v>
      </c>
      <c r="AX196" s="66" t="s">
        <v>600</v>
      </c>
      <c r="AY196" s="66" t="s">
        <v>600</v>
      </c>
      <c r="AZ196" s="66" t="s">
        <v>600</v>
      </c>
      <c r="BA196" s="66" t="s">
        <v>600</v>
      </c>
      <c r="BB196" s="66" t="s">
        <v>600</v>
      </c>
      <c r="BC196" s="66" t="s">
        <v>600</v>
      </c>
      <c r="BD196" s="66" t="s">
        <v>600</v>
      </c>
      <c r="BE196" s="66" t="s">
        <v>600</v>
      </c>
      <c r="BF196" s="66" t="s">
        <v>600</v>
      </c>
      <c r="BG196" s="66" t="s">
        <v>600</v>
      </c>
      <c r="BH196" s="66" t="s">
        <v>600</v>
      </c>
      <c r="BI196" s="66" t="s">
        <v>600</v>
      </c>
      <c r="BJ196" s="66" t="s">
        <v>600</v>
      </c>
      <c r="BK196" s="66" t="s">
        <v>600</v>
      </c>
      <c r="BL196" s="66" t="s">
        <v>600</v>
      </c>
      <c r="BM196" s="66" t="s">
        <v>600</v>
      </c>
      <c r="BN196" s="66" t="s">
        <v>600</v>
      </c>
      <c r="BO196" s="66" t="s">
        <v>600</v>
      </c>
      <c r="BP196" s="66" t="s">
        <v>600</v>
      </c>
      <c r="BQ196" s="66" t="s">
        <v>600</v>
      </c>
      <c r="BR196" s="70" t="e">
        <f>IF(E196&lt;#REF!,1,0)</f>
        <v>#REF!</v>
      </c>
      <c r="BS196" s="68" t="s">
        <v>601</v>
      </c>
    </row>
    <row r="197" ht="15.6" spans="1:71">
      <c r="A197" s="53" t="s">
        <v>607</v>
      </c>
      <c r="B197" s="53" t="s">
        <v>27</v>
      </c>
      <c r="C197" s="171" t="s">
        <v>55</v>
      </c>
      <c r="D197" s="170" t="s">
        <v>660</v>
      </c>
      <c r="E197" s="179">
        <v>15</v>
      </c>
      <c r="F197" s="56">
        <v>21.99</v>
      </c>
      <c r="G197" s="59">
        <f t="shared" si="170"/>
        <v>21.99</v>
      </c>
      <c r="H197" s="59">
        <f t="shared" si="171"/>
        <v>18.325</v>
      </c>
      <c r="I197" s="59">
        <f t="shared" si="172"/>
        <v>8.20753761061947</v>
      </c>
      <c r="J197" s="60">
        <f t="shared" si="173"/>
        <v>0.547169174041298</v>
      </c>
      <c r="K197" s="57">
        <f t="shared" si="174"/>
        <v>18.325</v>
      </c>
      <c r="L197" s="163">
        <f t="shared" si="175"/>
        <v>0.181446111869031</v>
      </c>
      <c r="M197" s="59">
        <f t="shared" si="176"/>
        <v>3.325</v>
      </c>
      <c r="N197" s="57">
        <f t="shared" si="189"/>
        <v>30.0176991150442</v>
      </c>
      <c r="O197" s="57">
        <f t="shared" si="177"/>
        <v>0.07025</v>
      </c>
      <c r="P197" s="53">
        <v>200</v>
      </c>
      <c r="Q197" s="62">
        <v>8</v>
      </c>
      <c r="R197" s="63">
        <f t="shared" si="178"/>
        <v>0</v>
      </c>
      <c r="S197" s="60">
        <f t="shared" si="187"/>
        <v>0</v>
      </c>
      <c r="T197" s="63">
        <f t="shared" si="179"/>
        <v>0</v>
      </c>
      <c r="U197" s="63">
        <v>0.01</v>
      </c>
      <c r="V197" s="63">
        <f t="shared" si="180"/>
        <v>0.250147492625369</v>
      </c>
      <c r="W197" s="63">
        <f t="shared" si="181"/>
        <v>0.00468333333333333</v>
      </c>
      <c r="X197" s="61">
        <v>0.188</v>
      </c>
      <c r="Y197" s="64">
        <v>0</v>
      </c>
      <c r="Z197" s="64">
        <f>F197*0</f>
        <v>0</v>
      </c>
      <c r="AA197" s="64">
        <f t="shared" si="182"/>
        <v>0.15</v>
      </c>
      <c r="AB197" s="57">
        <f t="shared" si="183"/>
        <v>2.82</v>
      </c>
      <c r="AC197" s="57">
        <v>29.4</v>
      </c>
      <c r="AD197" s="65">
        <f t="shared" si="184"/>
        <v>26.0176991150442</v>
      </c>
      <c r="AE197" s="62">
        <f t="shared" si="190"/>
        <v>0.5</v>
      </c>
      <c r="AF197" s="63">
        <f t="shared" si="185"/>
        <v>0.216814159292035</v>
      </c>
      <c r="AG197" s="63">
        <f t="shared" si="188"/>
        <v>0.00416666666666667</v>
      </c>
      <c r="AH197" s="62">
        <v>4</v>
      </c>
      <c r="AI197" s="63">
        <f t="shared" si="191"/>
        <v>0.335334242837653</v>
      </c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 t="s">
        <v>600</v>
      </c>
      <c r="AU197" s="66" t="s">
        <v>600</v>
      </c>
      <c r="AV197" s="66" t="s">
        <v>600</v>
      </c>
      <c r="AW197" s="66" t="s">
        <v>600</v>
      </c>
      <c r="AX197" s="66" t="s">
        <v>600</v>
      </c>
      <c r="AY197" s="66" t="s">
        <v>600</v>
      </c>
      <c r="AZ197" s="66" t="s">
        <v>600</v>
      </c>
      <c r="BA197" s="66" t="s">
        <v>600</v>
      </c>
      <c r="BB197" s="66" t="s">
        <v>600</v>
      </c>
      <c r="BC197" s="66" t="s">
        <v>600</v>
      </c>
      <c r="BD197" s="66" t="s">
        <v>600</v>
      </c>
      <c r="BE197" s="66" t="s">
        <v>600</v>
      </c>
      <c r="BF197" s="66" t="s">
        <v>600</v>
      </c>
      <c r="BG197" s="66" t="s">
        <v>600</v>
      </c>
      <c r="BH197" s="66" t="s">
        <v>600</v>
      </c>
      <c r="BI197" s="66" t="s">
        <v>600</v>
      </c>
      <c r="BJ197" s="66" t="s">
        <v>600</v>
      </c>
      <c r="BK197" s="66" t="s">
        <v>600</v>
      </c>
      <c r="BL197" s="66" t="s">
        <v>600</v>
      </c>
      <c r="BM197" s="66" t="s">
        <v>600</v>
      </c>
      <c r="BN197" s="66" t="s">
        <v>600</v>
      </c>
      <c r="BO197" s="66" t="s">
        <v>600</v>
      </c>
      <c r="BP197" s="66" t="s">
        <v>600</v>
      </c>
      <c r="BQ197" s="66" t="s">
        <v>600</v>
      </c>
      <c r="BR197" s="70" t="e">
        <f>IF(E197&lt;#REF!,1,0)</f>
        <v>#REF!</v>
      </c>
      <c r="BS197" s="68" t="s">
        <v>601</v>
      </c>
    </row>
    <row r="198" ht="15.6" spans="1:71">
      <c r="A198" s="53" t="s">
        <v>609</v>
      </c>
      <c r="B198" s="53" t="s">
        <v>27</v>
      </c>
      <c r="C198" s="171" t="s">
        <v>55</v>
      </c>
      <c r="D198" s="170" t="s">
        <v>661</v>
      </c>
      <c r="E198" s="179">
        <v>15</v>
      </c>
      <c r="F198" s="56">
        <v>21.99</v>
      </c>
      <c r="G198" s="59">
        <f t="shared" si="170"/>
        <v>21.99</v>
      </c>
      <c r="H198" s="59">
        <f t="shared" si="171"/>
        <v>18.325</v>
      </c>
      <c r="I198" s="59">
        <f t="shared" si="172"/>
        <v>8.18653761061947</v>
      </c>
      <c r="J198" s="60">
        <f t="shared" si="173"/>
        <v>0.545769174041298</v>
      </c>
      <c r="K198" s="57">
        <f t="shared" si="174"/>
        <v>18.325</v>
      </c>
      <c r="L198" s="163">
        <f t="shared" si="175"/>
        <v>0.181446111869031</v>
      </c>
      <c r="M198" s="59">
        <f t="shared" si="176"/>
        <v>3.325</v>
      </c>
      <c r="N198" s="57">
        <f t="shared" si="189"/>
        <v>30.0176991150442</v>
      </c>
      <c r="O198" s="57">
        <f t="shared" si="177"/>
        <v>0.09125</v>
      </c>
      <c r="P198" s="53">
        <v>200</v>
      </c>
      <c r="Q198" s="62">
        <v>8</v>
      </c>
      <c r="R198" s="63">
        <f t="shared" si="178"/>
        <v>0</v>
      </c>
      <c r="S198" s="60">
        <f t="shared" si="187"/>
        <v>0</v>
      </c>
      <c r="T198" s="63">
        <f t="shared" si="179"/>
        <v>0</v>
      </c>
      <c r="U198" s="63">
        <v>0.01</v>
      </c>
      <c r="V198" s="63">
        <f t="shared" si="180"/>
        <v>0.250147492625369</v>
      </c>
      <c r="W198" s="63">
        <f t="shared" si="181"/>
        <v>0.00608333333333333</v>
      </c>
      <c r="X198" s="61">
        <v>0.188</v>
      </c>
      <c r="Y198" s="64">
        <v>0</v>
      </c>
      <c r="Z198" s="64">
        <f>F198*0</f>
        <v>0</v>
      </c>
      <c r="AA198" s="64">
        <f t="shared" si="182"/>
        <v>0.15</v>
      </c>
      <c r="AB198" s="57">
        <f t="shared" si="183"/>
        <v>2.82</v>
      </c>
      <c r="AC198" s="57">
        <v>29.4</v>
      </c>
      <c r="AD198" s="65">
        <f t="shared" si="184"/>
        <v>26.0176991150442</v>
      </c>
      <c r="AE198" s="62">
        <f t="shared" si="190"/>
        <v>0.5</v>
      </c>
      <c r="AF198" s="63">
        <f t="shared" si="185"/>
        <v>0.216814159292035</v>
      </c>
      <c r="AG198" s="63">
        <f t="shared" si="188"/>
        <v>0.00416666666666667</v>
      </c>
      <c r="AH198" s="62">
        <v>4</v>
      </c>
      <c r="AI198" s="63">
        <f t="shared" si="191"/>
        <v>0.335334242837653</v>
      </c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 t="s">
        <v>600</v>
      </c>
      <c r="AU198" s="66" t="s">
        <v>600</v>
      </c>
      <c r="AV198" s="66" t="s">
        <v>600</v>
      </c>
      <c r="AW198" s="66" t="s">
        <v>600</v>
      </c>
      <c r="AX198" s="66" t="s">
        <v>600</v>
      </c>
      <c r="AY198" s="66" t="s">
        <v>600</v>
      </c>
      <c r="AZ198" s="66" t="s">
        <v>600</v>
      </c>
      <c r="BA198" s="66" t="s">
        <v>600</v>
      </c>
      <c r="BB198" s="66" t="s">
        <v>600</v>
      </c>
      <c r="BC198" s="66" t="s">
        <v>600</v>
      </c>
      <c r="BD198" s="66" t="s">
        <v>600</v>
      </c>
      <c r="BE198" s="66" t="s">
        <v>600</v>
      </c>
      <c r="BF198" s="66" t="s">
        <v>600</v>
      </c>
      <c r="BG198" s="66" t="s">
        <v>600</v>
      </c>
      <c r="BH198" s="66" t="s">
        <v>600</v>
      </c>
      <c r="BI198" s="66" t="s">
        <v>600</v>
      </c>
      <c r="BJ198" s="66" t="s">
        <v>600</v>
      </c>
      <c r="BK198" s="66" t="s">
        <v>600</v>
      </c>
      <c r="BL198" s="66" t="s">
        <v>600</v>
      </c>
      <c r="BM198" s="66" t="s">
        <v>600</v>
      </c>
      <c r="BN198" s="66" t="s">
        <v>600</v>
      </c>
      <c r="BO198" s="66" t="s">
        <v>600</v>
      </c>
      <c r="BP198" s="66" t="s">
        <v>600</v>
      </c>
      <c r="BQ198" s="66" t="s">
        <v>600</v>
      </c>
      <c r="BR198" s="70" t="e">
        <f>IF(E198&lt;#REF!,1,0)</f>
        <v>#REF!</v>
      </c>
      <c r="BS198" s="68" t="s">
        <v>601</v>
      </c>
    </row>
    <row r="199" ht="15.6" spans="1:71">
      <c r="A199" s="53" t="s">
        <v>611</v>
      </c>
      <c r="B199" s="53" t="s">
        <v>27</v>
      </c>
      <c r="C199" s="171" t="s">
        <v>55</v>
      </c>
      <c r="D199" s="170" t="s">
        <v>662</v>
      </c>
      <c r="E199" s="179">
        <v>15</v>
      </c>
      <c r="F199" s="56">
        <v>21.99</v>
      </c>
      <c r="G199" s="59">
        <f t="shared" si="170"/>
        <v>21.99</v>
      </c>
      <c r="H199" s="59">
        <f t="shared" si="171"/>
        <v>18.325</v>
      </c>
      <c r="I199" s="59">
        <f t="shared" si="172"/>
        <v>8.20653761061947</v>
      </c>
      <c r="J199" s="60">
        <f t="shared" si="173"/>
        <v>0.547102507374631</v>
      </c>
      <c r="K199" s="57">
        <f t="shared" si="174"/>
        <v>18.325</v>
      </c>
      <c r="L199" s="163">
        <f t="shared" si="175"/>
        <v>0.181446111869031</v>
      </c>
      <c r="M199" s="59">
        <f t="shared" si="176"/>
        <v>3.325</v>
      </c>
      <c r="N199" s="57">
        <f t="shared" si="189"/>
        <v>30.0176991150442</v>
      </c>
      <c r="O199" s="57">
        <f t="shared" si="177"/>
        <v>0.07125</v>
      </c>
      <c r="P199" s="53">
        <v>200</v>
      </c>
      <c r="Q199" s="62">
        <v>8</v>
      </c>
      <c r="R199" s="63">
        <f t="shared" si="178"/>
        <v>0</v>
      </c>
      <c r="S199" s="60">
        <f t="shared" si="187"/>
        <v>0</v>
      </c>
      <c r="T199" s="63">
        <f t="shared" si="179"/>
        <v>0</v>
      </c>
      <c r="U199" s="63">
        <v>0.01</v>
      </c>
      <c r="V199" s="63">
        <f t="shared" si="180"/>
        <v>0.250147492625369</v>
      </c>
      <c r="W199" s="63">
        <f t="shared" si="181"/>
        <v>0.00475</v>
      </c>
      <c r="X199" s="61">
        <v>0.188</v>
      </c>
      <c r="Y199" s="64">
        <v>0</v>
      </c>
      <c r="Z199" s="64">
        <f>F199*0</f>
        <v>0</v>
      </c>
      <c r="AA199" s="64">
        <f t="shared" si="182"/>
        <v>0.15</v>
      </c>
      <c r="AB199" s="57">
        <f t="shared" si="183"/>
        <v>2.82</v>
      </c>
      <c r="AC199" s="57">
        <v>29.4</v>
      </c>
      <c r="AD199" s="65">
        <f t="shared" si="184"/>
        <v>26.0176991150442</v>
      </c>
      <c r="AE199" s="62">
        <f t="shared" si="190"/>
        <v>0.5</v>
      </c>
      <c r="AF199" s="63">
        <f t="shared" si="185"/>
        <v>0.216814159292035</v>
      </c>
      <c r="AG199" s="63">
        <f t="shared" si="188"/>
        <v>0.00416666666666667</v>
      </c>
      <c r="AH199" s="62">
        <v>4</v>
      </c>
      <c r="AI199" s="63">
        <f t="shared" si="191"/>
        <v>0.335334242837653</v>
      </c>
      <c r="AJ199" s="63"/>
      <c r="AK199" s="63"/>
      <c r="AL199" s="63"/>
      <c r="AM199" s="63"/>
      <c r="AN199" s="66"/>
      <c r="AO199" s="66"/>
      <c r="AP199" s="66"/>
      <c r="AQ199" s="66"/>
      <c r="AR199" s="66"/>
      <c r="AS199" s="66"/>
      <c r="AT199" s="66" t="s">
        <v>600</v>
      </c>
      <c r="AU199" s="66" t="s">
        <v>600</v>
      </c>
      <c r="AV199" s="66" t="s">
        <v>600</v>
      </c>
      <c r="AW199" s="66" t="s">
        <v>600</v>
      </c>
      <c r="AX199" s="66" t="s">
        <v>600</v>
      </c>
      <c r="AY199" s="66" t="s">
        <v>600</v>
      </c>
      <c r="AZ199" s="66" t="s">
        <v>600</v>
      </c>
      <c r="BA199" s="66" t="s">
        <v>600</v>
      </c>
      <c r="BB199" s="66" t="s">
        <v>600</v>
      </c>
      <c r="BC199" s="66" t="s">
        <v>600</v>
      </c>
      <c r="BD199" s="66" t="s">
        <v>600</v>
      </c>
      <c r="BE199" s="66" t="s">
        <v>600</v>
      </c>
      <c r="BF199" s="66" t="s">
        <v>600</v>
      </c>
      <c r="BG199" s="66" t="s">
        <v>600</v>
      </c>
      <c r="BH199" s="66" t="s">
        <v>600</v>
      </c>
      <c r="BI199" s="66" t="s">
        <v>600</v>
      </c>
      <c r="BJ199" s="66" t="s">
        <v>600</v>
      </c>
      <c r="BK199" s="66" t="s">
        <v>600</v>
      </c>
      <c r="BL199" s="66" t="s">
        <v>600</v>
      </c>
      <c r="BM199" s="66" t="s">
        <v>600</v>
      </c>
      <c r="BN199" s="66" t="s">
        <v>600</v>
      </c>
      <c r="BO199" s="66" t="s">
        <v>600</v>
      </c>
      <c r="BP199" s="66" t="s">
        <v>600</v>
      </c>
      <c r="BQ199" s="66" t="s">
        <v>600</v>
      </c>
      <c r="BR199" s="70" t="e">
        <f>IF(E199&lt;#REF!,1,0)</f>
        <v>#REF!</v>
      </c>
      <c r="BS199" s="68" t="s">
        <v>601</v>
      </c>
    </row>
    <row r="200" ht="15.6" spans="1:71">
      <c r="A200" s="53"/>
      <c r="B200" s="53"/>
      <c r="C200" s="53"/>
      <c r="D200" s="180"/>
      <c r="E200" s="57"/>
      <c r="F200" s="69"/>
      <c r="G200" s="59"/>
      <c r="H200" s="59"/>
      <c r="I200" s="59"/>
      <c r="J200" s="60"/>
      <c r="K200" s="57"/>
      <c r="L200" s="163"/>
      <c r="M200" s="59"/>
      <c r="N200" s="57"/>
      <c r="O200" s="57"/>
      <c r="P200" s="68"/>
      <c r="Q200" s="62"/>
      <c r="R200" s="63"/>
      <c r="S200" s="60"/>
      <c r="T200" s="63"/>
      <c r="U200" s="63"/>
      <c r="V200" s="63"/>
      <c r="W200" s="63"/>
      <c r="X200" s="61"/>
      <c r="Y200" s="64"/>
      <c r="Z200" s="64"/>
      <c r="AA200" s="64"/>
      <c r="AB200" s="57"/>
      <c r="AC200" s="57"/>
      <c r="AD200" s="65"/>
      <c r="AE200" s="62"/>
      <c r="AF200" s="63"/>
      <c r="AG200" s="63"/>
      <c r="AH200" s="62"/>
      <c r="AI200" s="63"/>
      <c r="AJ200" s="63"/>
      <c r="AK200" s="63"/>
      <c r="AL200" s="63"/>
      <c r="AM200" s="63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66"/>
      <c r="BJ200" s="66"/>
      <c r="BK200" s="66"/>
      <c r="BL200" s="66"/>
      <c r="BM200" s="66"/>
      <c r="BN200" s="66"/>
      <c r="BO200" s="66"/>
      <c r="BP200" s="66"/>
      <c r="BQ200" s="66"/>
      <c r="BR200" s="70"/>
      <c r="BS200" s="68"/>
    </row>
    <row r="201" ht="15.6" spans="1:71">
      <c r="A201" s="53" t="s">
        <v>300</v>
      </c>
      <c r="B201" s="53"/>
      <c r="C201" s="53"/>
      <c r="D201" s="180" t="s">
        <v>663</v>
      </c>
      <c r="E201" s="57">
        <v>100</v>
      </c>
      <c r="F201" s="69">
        <v>139.99</v>
      </c>
      <c r="G201" s="59">
        <f t="shared" ref="G201:G211" si="192">(F201-Z201)</f>
        <v>134.99</v>
      </c>
      <c r="H201" s="59"/>
      <c r="I201" s="59">
        <f>E201-N201/Q201-AB201-Y201-O201-Z201-AA201</f>
        <v>27.0348581467985</v>
      </c>
      <c r="J201" s="60">
        <f>I201/E201</f>
        <v>0.270348581467985</v>
      </c>
      <c r="K201" s="57">
        <f>F201/1.2</f>
        <v>116.658333333333</v>
      </c>
      <c r="L201" s="163">
        <f>(K201-E201)/K201</f>
        <v>0.142795913993857</v>
      </c>
      <c r="M201" s="59">
        <f>F201/1.2-E201</f>
        <v>16.6583333333333</v>
      </c>
      <c r="N201" s="57">
        <f>AD201+AH201</f>
        <v>330.884955752212</v>
      </c>
      <c r="O201" s="57">
        <f>IFERROR(IF(A201="UK",8.95/P201,IF(A201="DE",7.75/P201,IF(A201="FR",14.25/P201,IF(A201="IT",15.25/P201,IF(A201="ES",19.25/P201,IF(A201="NL",16.75/P201,IF(A201="PL",14.05/P201,IF(A201="SE",18.25/P201,IF(A201="BE",14.25/P201))))))))),0)</f>
        <v>2.2375</v>
      </c>
      <c r="P201" s="68">
        <v>4</v>
      </c>
      <c r="Q201" s="62">
        <v>8.5</v>
      </c>
      <c r="R201" s="63">
        <v>0.1</v>
      </c>
      <c r="S201" s="60">
        <f>Y201/F201</f>
        <v>0.0714336738338453</v>
      </c>
      <c r="T201" s="63">
        <v>0.05</v>
      </c>
      <c r="U201" s="63">
        <v>0.01</v>
      </c>
      <c r="V201" s="63">
        <f>N201/(E201*Q201)</f>
        <v>0.389276418532015</v>
      </c>
      <c r="W201" s="63">
        <f>O201/E201</f>
        <v>0.022375</v>
      </c>
      <c r="X201" s="61">
        <v>0.158</v>
      </c>
      <c r="Y201" s="64">
        <f>E201*R201</f>
        <v>10</v>
      </c>
      <c r="Z201" s="64">
        <f>E201*T201</f>
        <v>5</v>
      </c>
      <c r="AA201" s="64">
        <f>E201*U201</f>
        <v>1</v>
      </c>
      <c r="AB201" s="57">
        <f>E201*X201</f>
        <v>15.8</v>
      </c>
      <c r="AC201" s="57">
        <v>340</v>
      </c>
      <c r="AD201" s="65">
        <f>AC201/1.13</f>
        <v>300.884955752212</v>
      </c>
      <c r="AE201" s="62">
        <f>30/7.4</f>
        <v>4.05405405405405</v>
      </c>
      <c r="AF201" s="63">
        <f>AD201/(E201*Q201)</f>
        <v>0.353982300884956</v>
      </c>
      <c r="AG201" s="63">
        <f>AE201/Q201/E201</f>
        <v>0.00476947535771065</v>
      </c>
      <c r="AH201" s="62">
        <v>30</v>
      </c>
      <c r="AI201" s="63">
        <f>(K201-E201+AB201-Z201)/K201</f>
        <v>0.23537395528252</v>
      </c>
      <c r="AJ201" s="63"/>
      <c r="AK201" s="63"/>
      <c r="AL201" s="63"/>
      <c r="AM201" s="63"/>
      <c r="AN201" s="66"/>
      <c r="AO201" s="66"/>
      <c r="AP201" s="66"/>
      <c r="AQ201" s="66"/>
      <c r="AR201" s="66"/>
      <c r="AS201" s="66"/>
      <c r="AT201" s="66" t="s">
        <v>600</v>
      </c>
      <c r="AU201" s="66" t="s">
        <v>600</v>
      </c>
      <c r="AV201" s="66" t="s">
        <v>600</v>
      </c>
      <c r="AW201" s="66" t="s">
        <v>600</v>
      </c>
      <c r="AX201" s="66" t="s">
        <v>600</v>
      </c>
      <c r="AY201" s="66" t="s">
        <v>600</v>
      </c>
      <c r="AZ201" s="66" t="s">
        <v>600</v>
      </c>
      <c r="BA201" s="66" t="s">
        <v>600</v>
      </c>
      <c r="BB201" s="66" t="s">
        <v>600</v>
      </c>
      <c r="BC201" s="66" t="s">
        <v>600</v>
      </c>
      <c r="BD201" s="66" t="s">
        <v>600</v>
      </c>
      <c r="BE201" s="66" t="s">
        <v>600</v>
      </c>
      <c r="BF201" s="66" t="s">
        <v>600</v>
      </c>
      <c r="BG201" s="66" t="s">
        <v>600</v>
      </c>
      <c r="BH201" s="66" t="s">
        <v>600</v>
      </c>
      <c r="BI201" s="66" t="s">
        <v>600</v>
      </c>
      <c r="BJ201" s="66" t="s">
        <v>600</v>
      </c>
      <c r="BK201" s="66" t="s">
        <v>600</v>
      </c>
      <c r="BL201" s="66" t="s">
        <v>600</v>
      </c>
      <c r="BM201" s="66" t="s">
        <v>600</v>
      </c>
      <c r="BN201" s="66" t="s">
        <v>600</v>
      </c>
      <c r="BO201" s="66" t="s">
        <v>600</v>
      </c>
      <c r="BP201" s="66" t="s">
        <v>600</v>
      </c>
      <c r="BQ201" s="66" t="s">
        <v>600</v>
      </c>
      <c r="BR201" s="70" t="e">
        <f>IF(#REF!&lt;E201,1,0)</f>
        <v>#REF!</v>
      </c>
      <c r="BS201" s="68" t="s">
        <v>601</v>
      </c>
    </row>
    <row r="202" ht="15.6" spans="1:71">
      <c r="A202" s="53" t="s">
        <v>277</v>
      </c>
      <c r="B202" s="53"/>
      <c r="C202" s="53"/>
      <c r="D202" s="181" t="s">
        <v>663</v>
      </c>
      <c r="E202" s="57">
        <v>108</v>
      </c>
      <c r="F202" s="69">
        <v>149.99</v>
      </c>
      <c r="G202" s="59">
        <f t="shared" si="192"/>
        <v>144.59</v>
      </c>
      <c r="H202" s="59"/>
      <c r="I202" s="59">
        <f>E202-N202/Q202-AB202-Y202-O202-Z202-AA202</f>
        <v>25.7623167902416</v>
      </c>
      <c r="J202" s="60">
        <f>I202/E202</f>
        <v>0.238539970280015</v>
      </c>
      <c r="K202" s="57">
        <f>F202/1.2</f>
        <v>124.991666666667</v>
      </c>
      <c r="L202" s="163">
        <f>(K202-E202)/K202</f>
        <v>0.135942396159744</v>
      </c>
      <c r="M202" s="59">
        <f>F202/1.2-E202</f>
        <v>16.9916666666667</v>
      </c>
      <c r="N202" s="57">
        <f>AD202+AH202</f>
        <v>330.884955752212</v>
      </c>
      <c r="O202" s="57">
        <f>IFERROR(IF(A202="UK",8.95/P202,IF(A202="DE",7.75/P202,IF(A202="FR",14.25/P202,IF(A202="IT",15.25/P202,IF(A202="ES",19.25/P202,IF(A202="NL",16.75/P202,IF(A202="PL",14.05/P202,IF(A202="SE",18.25/P202,IF(A202="BE",14.25/P202))))))))),0)</f>
        <v>1.9375</v>
      </c>
      <c r="P202" s="53">
        <v>4</v>
      </c>
      <c r="Q202" s="62">
        <v>7.4</v>
      </c>
      <c r="R202" s="63">
        <v>0.1</v>
      </c>
      <c r="S202" s="60">
        <f>Y202/F202</f>
        <v>0.0720048003200213</v>
      </c>
      <c r="T202" s="63">
        <v>0.05</v>
      </c>
      <c r="U202" s="63">
        <v>0.01</v>
      </c>
      <c r="V202" s="63">
        <f>N202/(E202*Q202)</f>
        <v>0.414020214905171</v>
      </c>
      <c r="W202" s="63">
        <f>O202/E202</f>
        <v>0.0179398148148148</v>
      </c>
      <c r="X202" s="61">
        <v>0.1695</v>
      </c>
      <c r="Y202" s="64">
        <f>E202*R202</f>
        <v>10.8</v>
      </c>
      <c r="Z202" s="64">
        <f>E202*T202</f>
        <v>5.4</v>
      </c>
      <c r="AA202" s="64">
        <f>E202*U202</f>
        <v>1.08</v>
      </c>
      <c r="AB202" s="57">
        <f>E202*X202</f>
        <v>18.306</v>
      </c>
      <c r="AC202" s="57">
        <v>340</v>
      </c>
      <c r="AD202" s="65">
        <f>AC202/1.13</f>
        <v>300.884955752212</v>
      </c>
      <c r="AE202" s="62">
        <f>30/7.4</f>
        <v>4.05405405405405</v>
      </c>
      <c r="AF202" s="63">
        <f>AD202/(E202*Q202)</f>
        <v>0.376482677367633</v>
      </c>
      <c r="AG202" s="63">
        <f>AE202/Q202/E202</f>
        <v>0.00507264020777534</v>
      </c>
      <c r="AH202" s="62">
        <v>30</v>
      </c>
      <c r="AI202" s="63">
        <f>(K202-E202+AB202-Z202)/K202</f>
        <v>0.239197279818655</v>
      </c>
      <c r="AJ202" s="63"/>
      <c r="AK202" s="63"/>
      <c r="AL202" s="63"/>
      <c r="AM202" s="63"/>
      <c r="AN202" s="66"/>
      <c r="AO202" s="66"/>
      <c r="AP202" s="66"/>
      <c r="AQ202" s="66"/>
      <c r="AR202" s="66"/>
      <c r="AS202" s="66"/>
      <c r="AT202" s="66" t="s">
        <v>600</v>
      </c>
      <c r="AU202" s="66" t="s">
        <v>600</v>
      </c>
      <c r="AV202" s="66" t="s">
        <v>600</v>
      </c>
      <c r="AW202" s="66" t="s">
        <v>600</v>
      </c>
      <c r="AX202" s="66" t="s">
        <v>600</v>
      </c>
      <c r="AY202" s="66" t="s">
        <v>600</v>
      </c>
      <c r="AZ202" s="66" t="s">
        <v>600</v>
      </c>
      <c r="BA202" s="66" t="s">
        <v>600</v>
      </c>
      <c r="BB202" s="66" t="s">
        <v>600</v>
      </c>
      <c r="BC202" s="66" t="s">
        <v>600</v>
      </c>
      <c r="BD202" s="66" t="s">
        <v>600</v>
      </c>
      <c r="BE202" s="66" t="s">
        <v>600</v>
      </c>
      <c r="BF202" s="66" t="s">
        <v>600</v>
      </c>
      <c r="BG202" s="66" t="s">
        <v>600</v>
      </c>
      <c r="BH202" s="66" t="s">
        <v>600</v>
      </c>
      <c r="BI202" s="66" t="s">
        <v>600</v>
      </c>
      <c r="BJ202" s="66" t="s">
        <v>600</v>
      </c>
      <c r="BK202" s="66" t="s">
        <v>600</v>
      </c>
      <c r="BL202" s="66" t="s">
        <v>600</v>
      </c>
      <c r="BM202" s="66" t="s">
        <v>600</v>
      </c>
      <c r="BN202" s="66" t="s">
        <v>600</v>
      </c>
      <c r="BO202" s="66" t="s">
        <v>600</v>
      </c>
      <c r="BP202" s="66" t="s">
        <v>600</v>
      </c>
      <c r="BQ202" s="66" t="s">
        <v>600</v>
      </c>
      <c r="BR202" s="70" t="e">
        <f>IF(#REF!&lt;E202,1,0)</f>
        <v>#REF!</v>
      </c>
      <c r="BS202" s="68" t="s">
        <v>601</v>
      </c>
    </row>
    <row r="203" ht="15.6" spans="1:71">
      <c r="A203" s="53" t="s">
        <v>511</v>
      </c>
      <c r="B203" s="53"/>
      <c r="C203" s="53"/>
      <c r="D203" s="181" t="s">
        <v>663</v>
      </c>
      <c r="E203" s="57">
        <v>108</v>
      </c>
      <c r="F203" s="69">
        <v>149.99</v>
      </c>
      <c r="G203" s="59">
        <f t="shared" si="192"/>
        <v>144.59</v>
      </c>
      <c r="H203" s="59"/>
      <c r="I203" s="59">
        <f>E203-N203/Q203-AB203-Y203-O203-Z203-AA203</f>
        <v>21.0593167902416</v>
      </c>
      <c r="J203" s="60">
        <f>I203/E203</f>
        <v>0.194993673983718</v>
      </c>
      <c r="K203" s="57">
        <f>F203/1.2</f>
        <v>124.991666666667</v>
      </c>
      <c r="L203" s="163">
        <f>(K203-E203)/K203</f>
        <v>0.135942396159744</v>
      </c>
      <c r="M203" s="59">
        <f>F203/1.2-E203</f>
        <v>16.9916666666667</v>
      </c>
      <c r="N203" s="57">
        <f>AD203+AH203</f>
        <v>330.884955752212</v>
      </c>
      <c r="O203" s="57">
        <f>IFERROR(IF(A203="UK",8.95/P203,IF(A203="DE",7.75/P203,IF(A203="FR",14.25/P203,IF(A203="IT",15.25/P203,IF(A203="ES",19.25/P203,IF(A203="NL",16.75/P203,IF(A203="PL",14.05/P203,IF(A203="SE",18.25/P203,IF(A203="BE",14.25/P203))))))))),0)</f>
        <v>3.5625</v>
      </c>
      <c r="P203" s="53">
        <v>4</v>
      </c>
      <c r="Q203" s="62">
        <v>7.4</v>
      </c>
      <c r="R203" s="63">
        <v>0.1</v>
      </c>
      <c r="S203" s="60">
        <f>Y203/F203</f>
        <v>0.0720048003200213</v>
      </c>
      <c r="T203" s="63">
        <v>0.05</v>
      </c>
      <c r="U203" s="63">
        <v>0.01</v>
      </c>
      <c r="V203" s="63">
        <f>N203/(E203*Q203)</f>
        <v>0.414020214905171</v>
      </c>
      <c r="W203" s="63">
        <f>O203/E203</f>
        <v>0.0329861111111111</v>
      </c>
      <c r="X203" s="61">
        <v>0.198</v>
      </c>
      <c r="Y203" s="64">
        <f>E203*R203</f>
        <v>10.8</v>
      </c>
      <c r="Z203" s="64">
        <f>E203*T203</f>
        <v>5.4</v>
      </c>
      <c r="AA203" s="64">
        <f>E203*U203</f>
        <v>1.08</v>
      </c>
      <c r="AB203" s="57">
        <f>E203*X203</f>
        <v>21.384</v>
      </c>
      <c r="AC203" s="57">
        <v>340</v>
      </c>
      <c r="AD203" s="65">
        <f>AC203/1.13</f>
        <v>300.884955752212</v>
      </c>
      <c r="AE203" s="62">
        <f>30/7.4</f>
        <v>4.05405405405405</v>
      </c>
      <c r="AF203" s="63">
        <f>AD203/(E203*Q203)</f>
        <v>0.376482677367633</v>
      </c>
      <c r="AG203" s="63">
        <f>AE203/Q203/E203</f>
        <v>0.00507264020777534</v>
      </c>
      <c r="AH203" s="62">
        <v>30</v>
      </c>
      <c r="AI203" s="63">
        <f>(K203-E203+AB203-Z203)/K203</f>
        <v>0.263822921528102</v>
      </c>
      <c r="AJ203" s="63"/>
      <c r="AK203" s="63"/>
      <c r="AL203" s="63"/>
      <c r="AM203" s="63"/>
      <c r="AN203" s="66"/>
      <c r="AO203" s="66"/>
      <c r="AP203" s="66"/>
      <c r="AQ203" s="66"/>
      <c r="AR203" s="66"/>
      <c r="AS203" s="66"/>
      <c r="AT203" s="66" t="s">
        <v>600</v>
      </c>
      <c r="AU203" s="66" t="s">
        <v>600</v>
      </c>
      <c r="AV203" s="66" t="s">
        <v>600</v>
      </c>
      <c r="AW203" s="66" t="s">
        <v>600</v>
      </c>
      <c r="AX203" s="66" t="s">
        <v>600</v>
      </c>
      <c r="AY203" s="66" t="s">
        <v>600</v>
      </c>
      <c r="AZ203" s="66" t="s">
        <v>600</v>
      </c>
      <c r="BA203" s="66" t="s">
        <v>600</v>
      </c>
      <c r="BB203" s="66" t="s">
        <v>600</v>
      </c>
      <c r="BC203" s="66" t="s">
        <v>600</v>
      </c>
      <c r="BD203" s="66" t="s">
        <v>600</v>
      </c>
      <c r="BE203" s="66" t="s">
        <v>600</v>
      </c>
      <c r="BF203" s="66" t="s">
        <v>600</v>
      </c>
      <c r="BG203" s="66" t="s">
        <v>600</v>
      </c>
      <c r="BH203" s="66" t="s">
        <v>600</v>
      </c>
      <c r="BI203" s="66" t="s">
        <v>600</v>
      </c>
      <c r="BJ203" s="66" t="s">
        <v>600</v>
      </c>
      <c r="BK203" s="66" t="s">
        <v>600</v>
      </c>
      <c r="BL203" s="66" t="s">
        <v>600</v>
      </c>
      <c r="BM203" s="66" t="s">
        <v>600</v>
      </c>
      <c r="BN203" s="66" t="s">
        <v>600</v>
      </c>
      <c r="BO203" s="66" t="s">
        <v>600</v>
      </c>
      <c r="BP203" s="66" t="s">
        <v>600</v>
      </c>
      <c r="BQ203" s="66" t="s">
        <v>600</v>
      </c>
      <c r="BR203" s="70" t="e">
        <f>IF(#REF!&lt;E203,1,0)</f>
        <v>#REF!</v>
      </c>
      <c r="BS203" s="68" t="s">
        <v>601</v>
      </c>
    </row>
    <row r="204" ht="15.6" spans="1:71">
      <c r="A204" s="53" t="s">
        <v>513</v>
      </c>
      <c r="B204" s="53"/>
      <c r="C204" s="53"/>
      <c r="D204" s="181" t="s">
        <v>663</v>
      </c>
      <c r="E204" s="57">
        <v>108</v>
      </c>
      <c r="F204" s="69">
        <v>149.99</v>
      </c>
      <c r="G204" s="59">
        <f t="shared" si="192"/>
        <v>144.59</v>
      </c>
      <c r="H204" s="59"/>
      <c r="I204" s="59">
        <f>E204-N204/Q204-AB204-Y204-O204-Z204-AA204</f>
        <v>22.2565167902416</v>
      </c>
      <c r="J204" s="60">
        <f>I204/E204</f>
        <v>0.206078859168903</v>
      </c>
      <c r="K204" s="57">
        <f>F204/1.2</f>
        <v>124.991666666667</v>
      </c>
      <c r="L204" s="163">
        <f>(K204-E204)/K204</f>
        <v>0.135942396159744</v>
      </c>
      <c r="M204" s="59">
        <f>F204/1.2-E204</f>
        <v>16.9916666666667</v>
      </c>
      <c r="N204" s="57">
        <f>AD204+AH204</f>
        <v>330.884955752212</v>
      </c>
      <c r="O204" s="57">
        <f>IFERROR(IF(A204="UK",8.95/P204,IF(A204="DE",7.75/P204,IF(A204="FR",14.25/P204,IF(A204="IT",15.25/P204,IF(A204="ES",19.25/P204,IF(A204="NL",16.75/P204,IF(A204="PL",14.05/P204,IF(A204="SE",18.25/P204,IF(A204="BE",14.25/P204))))))))),0)</f>
        <v>3.8125</v>
      </c>
      <c r="P204" s="53">
        <v>4</v>
      </c>
      <c r="Q204" s="62">
        <v>7.4</v>
      </c>
      <c r="R204" s="63">
        <v>0.1</v>
      </c>
      <c r="S204" s="60">
        <f>Y204/F204</f>
        <v>0.0720048003200213</v>
      </c>
      <c r="T204" s="63">
        <v>0.05</v>
      </c>
      <c r="U204" s="63">
        <v>0.01</v>
      </c>
      <c r="V204" s="63">
        <f>N204/(E204*Q204)</f>
        <v>0.414020214905171</v>
      </c>
      <c r="W204" s="63">
        <f>O204/E204</f>
        <v>0.0353009259259259</v>
      </c>
      <c r="X204" s="61">
        <v>0.1846</v>
      </c>
      <c r="Y204" s="64">
        <f>E204*R204</f>
        <v>10.8</v>
      </c>
      <c r="Z204" s="64">
        <f>E204*T204</f>
        <v>5.4</v>
      </c>
      <c r="AA204" s="64">
        <f>E204*U204</f>
        <v>1.08</v>
      </c>
      <c r="AB204" s="57">
        <f>E204*X204</f>
        <v>19.9368</v>
      </c>
      <c r="AC204" s="57">
        <v>340</v>
      </c>
      <c r="AD204" s="65">
        <f>AC204/1.13</f>
        <v>300.884955752212</v>
      </c>
      <c r="AE204" s="62">
        <f>30/7.4</f>
        <v>4.05405405405405</v>
      </c>
      <c r="AF204" s="63">
        <f>AD204/(E204*Q204)</f>
        <v>0.376482677367633</v>
      </c>
      <c r="AG204" s="63">
        <f>AE204/Q204/E204</f>
        <v>0.00507264020777534</v>
      </c>
      <c r="AH204" s="62">
        <v>30</v>
      </c>
      <c r="AI204" s="63">
        <f>(K204-E204+AB204-Z204)/K204</f>
        <v>0.252244549636643</v>
      </c>
      <c r="AJ204" s="63"/>
      <c r="AK204" s="63"/>
      <c r="AL204" s="63"/>
      <c r="AM204" s="63"/>
      <c r="AN204" s="66"/>
      <c r="AO204" s="66"/>
      <c r="AP204" s="66"/>
      <c r="AQ204" s="66"/>
      <c r="AR204" s="66"/>
      <c r="AS204" s="66"/>
      <c r="AT204" s="66" t="s">
        <v>600</v>
      </c>
      <c r="AU204" s="66" t="s">
        <v>600</v>
      </c>
      <c r="AV204" s="66" t="s">
        <v>600</v>
      </c>
      <c r="AW204" s="66" t="s">
        <v>600</v>
      </c>
      <c r="AX204" s="66" t="s">
        <v>600</v>
      </c>
      <c r="AY204" s="66" t="s">
        <v>600</v>
      </c>
      <c r="AZ204" s="66" t="s">
        <v>600</v>
      </c>
      <c r="BA204" s="66" t="s">
        <v>600</v>
      </c>
      <c r="BB204" s="66" t="s">
        <v>600</v>
      </c>
      <c r="BC204" s="66" t="s">
        <v>600</v>
      </c>
      <c r="BD204" s="66" t="s">
        <v>600</v>
      </c>
      <c r="BE204" s="66" t="s">
        <v>600</v>
      </c>
      <c r="BF204" s="66" t="s">
        <v>600</v>
      </c>
      <c r="BG204" s="66" t="s">
        <v>600</v>
      </c>
      <c r="BH204" s="66" t="s">
        <v>600</v>
      </c>
      <c r="BI204" s="66" t="s">
        <v>600</v>
      </c>
      <c r="BJ204" s="66" t="s">
        <v>600</v>
      </c>
      <c r="BK204" s="66" t="s">
        <v>600</v>
      </c>
      <c r="BL204" s="66" t="s">
        <v>600</v>
      </c>
      <c r="BM204" s="66" t="s">
        <v>600</v>
      </c>
      <c r="BN204" s="66" t="s">
        <v>600</v>
      </c>
      <c r="BO204" s="66" t="s">
        <v>600</v>
      </c>
      <c r="BP204" s="66" t="s">
        <v>600</v>
      </c>
      <c r="BQ204" s="66" t="s">
        <v>600</v>
      </c>
      <c r="BR204" s="70" t="e">
        <f>IF(#REF!&lt;E204,1,0)</f>
        <v>#REF!</v>
      </c>
      <c r="BS204" s="68" t="s">
        <v>601</v>
      </c>
    </row>
    <row r="205" ht="15.6" spans="1:71">
      <c r="A205" s="53" t="s">
        <v>516</v>
      </c>
      <c r="B205" s="53"/>
      <c r="C205" s="53"/>
      <c r="D205" s="181" t="s">
        <v>663</v>
      </c>
      <c r="E205" s="57">
        <v>108</v>
      </c>
      <c r="F205" s="69">
        <v>149.99</v>
      </c>
      <c r="G205" s="59">
        <f t="shared" si="192"/>
        <v>144.59</v>
      </c>
      <c r="H205" s="59"/>
      <c r="I205" s="59">
        <f>E205-N205/Q205-AB205-Y205-O205-Z205-AA205</f>
        <v>23.4165167902416</v>
      </c>
      <c r="J205" s="60">
        <f>I205/E205</f>
        <v>0.216819599909644</v>
      </c>
      <c r="K205" s="57">
        <f>F205/1.2</f>
        <v>124.991666666667</v>
      </c>
      <c r="L205" s="163">
        <f>(K205-E205)/K205</f>
        <v>0.135942396159744</v>
      </c>
      <c r="M205" s="59">
        <f>F205/1.2-E205</f>
        <v>16.9916666666667</v>
      </c>
      <c r="N205" s="57">
        <f>AD205+AH205</f>
        <v>330.884955752212</v>
      </c>
      <c r="O205" s="57">
        <f>IFERROR(IF(A205="UK",8.95/P205,IF(A205="DE",7.75/P205,IF(A205="FR",14.25/P205,IF(A205="IT",15.25/P205,IF(A205="ES",19.25/P205,IF(A205="NL",16.75/P205,IF(A205="PL",14.05/P205,IF(A205="SE",18.25/P205,IF(A205="BE",14.25/P205))))))))),0)</f>
        <v>4.8125</v>
      </c>
      <c r="P205" s="53">
        <v>4</v>
      </c>
      <c r="Q205" s="62">
        <v>7.4</v>
      </c>
      <c r="R205" s="63">
        <v>0.1</v>
      </c>
      <c r="S205" s="60">
        <f>Y205/F205</f>
        <v>0.0720048003200213</v>
      </c>
      <c r="T205" s="63">
        <v>0.05</v>
      </c>
      <c r="U205" s="63">
        <v>0.01</v>
      </c>
      <c r="V205" s="63">
        <f>N205/(E205*Q205)</f>
        <v>0.414020214905171</v>
      </c>
      <c r="W205" s="63">
        <f>O205/E205</f>
        <v>0.0445601851851852</v>
      </c>
      <c r="X205" s="61">
        <v>0.1646</v>
      </c>
      <c r="Y205" s="64">
        <f>E205*R205</f>
        <v>10.8</v>
      </c>
      <c r="Z205" s="64">
        <f>E205*T205</f>
        <v>5.4</v>
      </c>
      <c r="AA205" s="64">
        <f>E205*U205</f>
        <v>1.08</v>
      </c>
      <c r="AB205" s="57">
        <f>E205*X205</f>
        <v>17.7768</v>
      </c>
      <c r="AC205" s="57">
        <v>340</v>
      </c>
      <c r="AD205" s="65">
        <f>AC205/1.13</f>
        <v>300.884955752212</v>
      </c>
      <c r="AE205" s="62">
        <f>30/7.4</f>
        <v>4.05405405405405</v>
      </c>
      <c r="AF205" s="63">
        <f>AD205/(E205*Q205)</f>
        <v>0.376482677367633</v>
      </c>
      <c r="AG205" s="63">
        <f>AE205/Q205/E205</f>
        <v>0.00507264020777534</v>
      </c>
      <c r="AH205" s="62">
        <v>30</v>
      </c>
      <c r="AI205" s="63">
        <f>(K205-E205+AB205-Z205)/K205</f>
        <v>0.234963397559837</v>
      </c>
      <c r="AJ205" s="63"/>
      <c r="AK205" s="63"/>
      <c r="AL205" s="63"/>
      <c r="AM205" s="63"/>
      <c r="AN205" s="66"/>
      <c r="AO205" s="66"/>
      <c r="AP205" s="66"/>
      <c r="AQ205" s="66"/>
      <c r="AR205" s="66"/>
      <c r="AS205" s="66"/>
      <c r="AT205" s="66" t="s">
        <v>600</v>
      </c>
      <c r="AU205" s="66" t="s">
        <v>600</v>
      </c>
      <c r="AV205" s="66" t="s">
        <v>600</v>
      </c>
      <c r="AW205" s="66" t="s">
        <v>600</v>
      </c>
      <c r="AX205" s="66" t="s">
        <v>600</v>
      </c>
      <c r="AY205" s="66" t="s">
        <v>600</v>
      </c>
      <c r="AZ205" s="66" t="s">
        <v>600</v>
      </c>
      <c r="BA205" s="66" t="s">
        <v>600</v>
      </c>
      <c r="BB205" s="66" t="s">
        <v>600</v>
      </c>
      <c r="BC205" s="66" t="s">
        <v>600</v>
      </c>
      <c r="BD205" s="66" t="s">
        <v>600</v>
      </c>
      <c r="BE205" s="66" t="s">
        <v>600</v>
      </c>
      <c r="BF205" s="66" t="s">
        <v>600</v>
      </c>
      <c r="BG205" s="66" t="s">
        <v>600</v>
      </c>
      <c r="BH205" s="66" t="s">
        <v>600</v>
      </c>
      <c r="BI205" s="66" t="s">
        <v>600</v>
      </c>
      <c r="BJ205" s="66" t="s">
        <v>600</v>
      </c>
      <c r="BK205" s="66" t="s">
        <v>600</v>
      </c>
      <c r="BL205" s="66" t="s">
        <v>600</v>
      </c>
      <c r="BM205" s="66" t="s">
        <v>600</v>
      </c>
      <c r="BN205" s="66" t="s">
        <v>600</v>
      </c>
      <c r="BO205" s="66" t="s">
        <v>600</v>
      </c>
      <c r="BP205" s="66" t="s">
        <v>600</v>
      </c>
      <c r="BQ205" s="66" t="s">
        <v>600</v>
      </c>
      <c r="BR205" s="70" t="e">
        <f>IF(#REF!&lt;E205,1,0)</f>
        <v>#REF!</v>
      </c>
      <c r="BS205" s="68" t="s">
        <v>601</v>
      </c>
    </row>
    <row r="206" ht="15" spans="1:71">
      <c r="G206" s="59">
        <f t="shared" si="192"/>
        <v>0</v>
      </c>
      <c r="H206" s="15"/>
      <c r="N206" s="57"/>
      <c r="S206" s="15"/>
      <c r="AE206" s="14"/>
      <c r="AI206" s="15"/>
      <c r="BS206" s="15" t="s">
        <v>601</v>
      </c>
    </row>
    <row r="207" ht="15.6" spans="1:71">
      <c r="A207" s="53" t="s">
        <v>300</v>
      </c>
      <c r="B207" s="53"/>
      <c r="C207" s="53"/>
      <c r="D207" s="180" t="s">
        <v>664</v>
      </c>
      <c r="E207" s="57">
        <v>85</v>
      </c>
      <c r="F207" s="69">
        <v>119.99</v>
      </c>
      <c r="G207" s="59">
        <f t="shared" si="192"/>
        <v>115.74</v>
      </c>
      <c r="H207" s="59"/>
      <c r="I207" s="59">
        <f>E207-N207/Q207-AB207-Y207-O207-Z207-AA207</f>
        <v>21.0439545375672</v>
      </c>
      <c r="J207" s="60">
        <f>I207/E207</f>
        <v>0.247575935736085</v>
      </c>
      <c r="K207" s="57">
        <f>F207/1.2</f>
        <v>99.9916666666667</v>
      </c>
      <c r="L207" s="163">
        <f>(K207-E207)/K207</f>
        <v>0.149929160763397</v>
      </c>
      <c r="M207" s="59">
        <f>F207/1.2-E207</f>
        <v>14.9916666666667</v>
      </c>
      <c r="N207" s="57">
        <f>AD207+AH207</f>
        <v>266.838053097345</v>
      </c>
      <c r="O207" s="57">
        <f>IFERROR(IF(A207="UK",8.95/P207,IF(A207="DE",7.75/P207,IF(A207="FR",14.25/P207,IF(A207="IT",15.25/P207,IF(A207="ES",19.25/P207,IF(A207="NL",16.75/P207,IF(A207="PL",14.05/P207,IF(A207="SE",18.25/P207,IF(A207="BE",14.25/P207))))))))),0)</f>
        <v>2.98333333333333</v>
      </c>
      <c r="P207" s="68">
        <v>3</v>
      </c>
      <c r="Q207" s="62">
        <v>8.5</v>
      </c>
      <c r="R207" s="63">
        <v>0.13</v>
      </c>
      <c r="S207" s="60">
        <f>Y207/F207</f>
        <v>0.0920910075839653</v>
      </c>
      <c r="T207" s="63">
        <v>0.05</v>
      </c>
      <c r="U207" s="63">
        <v>0.01</v>
      </c>
      <c r="V207" s="63">
        <f>N207/(E207*Q207)</f>
        <v>0.369326025048229</v>
      </c>
      <c r="W207" s="63">
        <f>O207/E207</f>
        <v>0.0350980392156863</v>
      </c>
      <c r="X207" s="61">
        <v>0.158</v>
      </c>
      <c r="Y207" s="64">
        <f>E207*R207</f>
        <v>11.05</v>
      </c>
      <c r="Z207" s="64">
        <f>E207*T207</f>
        <v>4.25</v>
      </c>
      <c r="AA207" s="64">
        <f>E207*U207</f>
        <v>0.85</v>
      </c>
      <c r="AB207" s="57">
        <f>E207*X207</f>
        <v>13.43</v>
      </c>
      <c r="AC207" s="57">
        <v>270</v>
      </c>
      <c r="AD207" s="65">
        <f>AC207/1.13</f>
        <v>238.938053097345</v>
      </c>
      <c r="AE207" s="62">
        <f>30/8.5</f>
        <v>3.52941176470588</v>
      </c>
      <c r="AF207" s="63">
        <f>AD207/(E207*Q207)</f>
        <v>0.330710108093211</v>
      </c>
      <c r="AG207" s="63">
        <f>AE207/Q207/E207</f>
        <v>0.00488499898229188</v>
      </c>
      <c r="AH207" s="62">
        <v>27.9</v>
      </c>
      <c r="AI207" s="63">
        <f>(K207-E207+AB207-Z207)/K207</f>
        <v>0.24173681140095</v>
      </c>
      <c r="AJ207" s="63"/>
      <c r="AK207" s="63"/>
      <c r="AL207" s="63"/>
      <c r="AM207" s="63"/>
      <c r="AN207" s="66"/>
      <c r="AO207" s="66"/>
      <c r="AP207" s="66"/>
      <c r="AQ207" s="66"/>
      <c r="AR207" s="66"/>
      <c r="AS207" s="66"/>
      <c r="AT207" s="66" t="s">
        <v>600</v>
      </c>
      <c r="AU207" s="66" t="s">
        <v>600</v>
      </c>
      <c r="AV207" s="66" t="s">
        <v>600</v>
      </c>
      <c r="AW207" s="66" t="s">
        <v>600</v>
      </c>
      <c r="AX207" s="66" t="s">
        <v>600</v>
      </c>
      <c r="AY207" s="66" t="s">
        <v>600</v>
      </c>
      <c r="AZ207" s="66" t="s">
        <v>600</v>
      </c>
      <c r="BA207" s="66" t="s">
        <v>600</v>
      </c>
      <c r="BB207" s="66" t="s">
        <v>600</v>
      </c>
      <c r="BC207" s="66" t="s">
        <v>600</v>
      </c>
      <c r="BD207" s="66" t="s">
        <v>600</v>
      </c>
      <c r="BE207" s="66" t="s">
        <v>600</v>
      </c>
      <c r="BF207" s="66" t="s">
        <v>600</v>
      </c>
      <c r="BG207" s="66" t="s">
        <v>600</v>
      </c>
      <c r="BH207" s="66" t="s">
        <v>600</v>
      </c>
      <c r="BI207" s="66" t="s">
        <v>600</v>
      </c>
      <c r="BJ207" s="66" t="s">
        <v>600</v>
      </c>
      <c r="BK207" s="66" t="s">
        <v>600</v>
      </c>
      <c r="BL207" s="66" t="s">
        <v>600</v>
      </c>
      <c r="BM207" s="66" t="s">
        <v>600</v>
      </c>
      <c r="BN207" s="66" t="s">
        <v>600</v>
      </c>
      <c r="BO207" s="66" t="s">
        <v>600</v>
      </c>
      <c r="BP207" s="66" t="s">
        <v>600</v>
      </c>
      <c r="BQ207" s="66" t="s">
        <v>600</v>
      </c>
      <c r="BR207" s="70" t="e">
        <f>IF(#REF!&lt;E207,1,0)</f>
        <v>#REF!</v>
      </c>
      <c r="BS207" s="68" t="s">
        <v>601</v>
      </c>
    </row>
    <row r="208" ht="15.6" spans="1:71">
      <c r="A208" s="53" t="s">
        <v>277</v>
      </c>
      <c r="B208" s="53"/>
      <c r="C208" s="53"/>
      <c r="D208" s="180" t="s">
        <v>664</v>
      </c>
      <c r="E208" s="57">
        <v>84</v>
      </c>
      <c r="F208" s="69">
        <v>119</v>
      </c>
      <c r="G208" s="59">
        <f t="shared" si="192"/>
        <v>114.8</v>
      </c>
      <c r="H208" s="59"/>
      <c r="I208" s="59">
        <f>E208-N208/Q208-AB208-Y208-O208-Z208-AA208</f>
        <v>15.1594703021606</v>
      </c>
      <c r="J208" s="60">
        <f>I208/E208</f>
        <v>0.180469884549531</v>
      </c>
      <c r="K208" s="57">
        <f>F208/1.2</f>
        <v>99.1666666666667</v>
      </c>
      <c r="L208" s="163">
        <f>(K208-E208)/K208</f>
        <v>0.152941176470588</v>
      </c>
      <c r="M208" s="59">
        <f>F208/1.2-E208</f>
        <v>15.1666666666667</v>
      </c>
      <c r="N208" s="57">
        <f>AD208+AH208</f>
        <v>266.838053097345</v>
      </c>
      <c r="O208" s="57">
        <f>IFERROR(IF(A208="UK",8.95/P208,IF(A208="DE",7.75/P208,IF(A208="FR",14.25/P208,IF(A208="IT",15.25/P208,IF(A208="ES",19.25/P208,IF(A208="NL",16.75/P208,IF(A208="PL",14.05/P208,IF(A208="SE",18.25/P208,IF(A208="BE",14.25/P208))))))))),0)</f>
        <v>2.58333333333333</v>
      </c>
      <c r="P208" s="53">
        <v>3</v>
      </c>
      <c r="Q208" s="62">
        <v>7.4</v>
      </c>
      <c r="R208" s="63">
        <v>0.13</v>
      </c>
      <c r="S208" s="60">
        <f>Y208/F208</f>
        <v>0.0917647058823529</v>
      </c>
      <c r="T208" s="63">
        <v>0.05</v>
      </c>
      <c r="U208" s="63">
        <v>0.01</v>
      </c>
      <c r="V208" s="63">
        <f>N208/(E208*Q208)</f>
        <v>0.429276147196501</v>
      </c>
      <c r="W208" s="63">
        <f>O208/E208</f>
        <v>0.0307539682539683</v>
      </c>
      <c r="X208" s="61">
        <v>0.1695</v>
      </c>
      <c r="Y208" s="64">
        <f>E208*R208</f>
        <v>10.92</v>
      </c>
      <c r="Z208" s="64">
        <f>E208*T208</f>
        <v>4.2</v>
      </c>
      <c r="AA208" s="64">
        <f>E208*U208</f>
        <v>0.84</v>
      </c>
      <c r="AB208" s="57">
        <f>E208*X208</f>
        <v>14.238</v>
      </c>
      <c r="AC208" s="57">
        <v>270</v>
      </c>
      <c r="AD208" s="65">
        <f>AC208/1.13</f>
        <v>238.938053097345</v>
      </c>
      <c r="AE208" s="62">
        <f>27.9/7.4</f>
        <v>3.77027027027027</v>
      </c>
      <c r="AF208" s="63">
        <f>AD208/(E208*Q208)</f>
        <v>0.384391977312331</v>
      </c>
      <c r="AG208" s="63">
        <f>AE208/Q208/E208</f>
        <v>0.00606542836272566</v>
      </c>
      <c r="AH208" s="62">
        <v>27.9</v>
      </c>
      <c r="AI208" s="63">
        <f>(K208-E208+AB208-Z208)/K208</f>
        <v>0.254164705882353</v>
      </c>
      <c r="AJ208" s="63"/>
      <c r="AK208" s="63"/>
      <c r="AL208" s="63"/>
      <c r="AM208" s="63"/>
      <c r="AN208" s="66"/>
      <c r="AO208" s="66"/>
      <c r="AP208" s="66"/>
      <c r="AQ208" s="66"/>
      <c r="AR208" s="66"/>
      <c r="AS208" s="66"/>
      <c r="AT208" s="66" t="s">
        <v>600</v>
      </c>
      <c r="AU208" s="66" t="s">
        <v>600</v>
      </c>
      <c r="AV208" s="66" t="s">
        <v>600</v>
      </c>
      <c r="AW208" s="66" t="s">
        <v>600</v>
      </c>
      <c r="AX208" s="66" t="s">
        <v>600</v>
      </c>
      <c r="AY208" s="66" t="s">
        <v>600</v>
      </c>
      <c r="AZ208" s="66" t="s">
        <v>600</v>
      </c>
      <c r="BA208" s="66" t="s">
        <v>600</v>
      </c>
      <c r="BB208" s="66" t="s">
        <v>600</v>
      </c>
      <c r="BC208" s="66" t="s">
        <v>600</v>
      </c>
      <c r="BD208" s="66" t="s">
        <v>600</v>
      </c>
      <c r="BE208" s="66" t="s">
        <v>600</v>
      </c>
      <c r="BF208" s="66" t="s">
        <v>600</v>
      </c>
      <c r="BG208" s="66" t="s">
        <v>600</v>
      </c>
      <c r="BH208" s="66" t="s">
        <v>600</v>
      </c>
      <c r="BI208" s="66" t="s">
        <v>600</v>
      </c>
      <c r="BJ208" s="66" t="s">
        <v>600</v>
      </c>
      <c r="BK208" s="66" t="s">
        <v>600</v>
      </c>
      <c r="BL208" s="66" t="s">
        <v>600</v>
      </c>
      <c r="BM208" s="66" t="s">
        <v>600</v>
      </c>
      <c r="BN208" s="66" t="s">
        <v>600</v>
      </c>
      <c r="BO208" s="66" t="s">
        <v>600</v>
      </c>
      <c r="BP208" s="66" t="s">
        <v>600</v>
      </c>
      <c r="BQ208" s="66" t="s">
        <v>600</v>
      </c>
      <c r="BR208" s="70" t="e">
        <f>IF(#REF!&lt;E208,1,0)</f>
        <v>#REF!</v>
      </c>
      <c r="BS208" s="68" t="s">
        <v>601</v>
      </c>
    </row>
    <row r="209" ht="15.6" spans="1:71">
      <c r="A209" s="53" t="s">
        <v>511</v>
      </c>
      <c r="B209" s="53"/>
      <c r="C209" s="53"/>
      <c r="D209" s="180" t="s">
        <v>664</v>
      </c>
      <c r="E209" s="57">
        <v>93</v>
      </c>
      <c r="F209" s="69">
        <v>129.99</v>
      </c>
      <c r="G209" s="59">
        <f t="shared" si="192"/>
        <v>125.34</v>
      </c>
      <c r="H209" s="59"/>
      <c r="I209" s="59">
        <f>E209-N209/Q209-AB209-Y209-O209-Z209-AA209</f>
        <v>16.1068036354939</v>
      </c>
      <c r="J209" s="60">
        <f>I209/E209</f>
        <v>0.173191436940795</v>
      </c>
      <c r="K209" s="57">
        <f>F209/1.2</f>
        <v>108.325</v>
      </c>
      <c r="L209" s="163">
        <f>(K209-E209)/K209</f>
        <v>0.141472420955458</v>
      </c>
      <c r="M209" s="59">
        <f>F209/1.2-E209</f>
        <v>15.325</v>
      </c>
      <c r="N209" s="57">
        <f>AD209+AH209</f>
        <v>266.838053097345</v>
      </c>
      <c r="O209" s="57">
        <f>IFERROR(IF(A209="UK",8.95/P209,IF(A209="DE",7.75/P209,IF(A209="FR",14.25/P209,IF(A209="IT",15.25/P209,IF(A209="ES",19.25/P209,IF(A209="NL",16.75/P209,IF(A209="PL",14.05/P209,IF(A209="SE",18.25/P209,IF(A209="BE",14.25/P209))))))))),0)</f>
        <v>4.75</v>
      </c>
      <c r="P209" s="53">
        <v>3</v>
      </c>
      <c r="Q209" s="62">
        <v>7.4</v>
      </c>
      <c r="R209" s="63">
        <v>0.13</v>
      </c>
      <c r="S209" s="60">
        <f>Y209/F209</f>
        <v>0.093007154396492</v>
      </c>
      <c r="T209" s="63">
        <v>0.05</v>
      </c>
      <c r="U209" s="63">
        <v>0.01</v>
      </c>
      <c r="V209" s="63">
        <f>N209/(E209*Q209)</f>
        <v>0.387733294242001</v>
      </c>
      <c r="W209" s="63">
        <f>O209/E209</f>
        <v>0.0510752688172043</v>
      </c>
      <c r="X209" s="61">
        <v>0.198</v>
      </c>
      <c r="Y209" s="64">
        <f>E209*R209</f>
        <v>12.09</v>
      </c>
      <c r="Z209" s="64">
        <f>E209*T209</f>
        <v>4.65</v>
      </c>
      <c r="AA209" s="64">
        <f>E209*U209</f>
        <v>0.93</v>
      </c>
      <c r="AB209" s="57">
        <f>E209*X209</f>
        <v>18.414</v>
      </c>
      <c r="AC209" s="57">
        <v>270</v>
      </c>
      <c r="AD209" s="65">
        <f>AC209/1.13</f>
        <v>238.938053097345</v>
      </c>
      <c r="AE209" s="62">
        <f>27.9/7.4</f>
        <v>3.77027027027027</v>
      </c>
      <c r="AF209" s="63">
        <f>AD209/(E209*Q209)</f>
        <v>0.347192753701461</v>
      </c>
      <c r="AG209" s="63">
        <f>AE209/Q209/E209</f>
        <v>0.00547845142439737</v>
      </c>
      <c r="AH209" s="62">
        <v>27.9</v>
      </c>
      <c r="AI209" s="63">
        <f>(K209-E209+AB209-Z209)/K209</f>
        <v>0.26853450265405</v>
      </c>
      <c r="AJ209" s="63"/>
      <c r="AK209" s="63"/>
      <c r="AL209" s="63"/>
      <c r="AM209" s="63"/>
      <c r="AN209" s="66"/>
      <c r="AO209" s="66"/>
      <c r="AP209" s="66"/>
      <c r="AQ209" s="66"/>
      <c r="AR209" s="66"/>
      <c r="AS209" s="66"/>
      <c r="AT209" s="66" t="s">
        <v>600</v>
      </c>
      <c r="AU209" s="66" t="s">
        <v>600</v>
      </c>
      <c r="AV209" s="66" t="s">
        <v>600</v>
      </c>
      <c r="AW209" s="66" t="s">
        <v>600</v>
      </c>
      <c r="AX209" s="66" t="s">
        <v>600</v>
      </c>
      <c r="AY209" s="66" t="s">
        <v>600</v>
      </c>
      <c r="AZ209" s="66" t="s">
        <v>600</v>
      </c>
      <c r="BA209" s="66" t="s">
        <v>600</v>
      </c>
      <c r="BB209" s="66" t="s">
        <v>600</v>
      </c>
      <c r="BC209" s="66" t="s">
        <v>600</v>
      </c>
      <c r="BD209" s="66" t="s">
        <v>600</v>
      </c>
      <c r="BE209" s="66" t="s">
        <v>600</v>
      </c>
      <c r="BF209" s="66" t="s">
        <v>600</v>
      </c>
      <c r="BG209" s="66" t="s">
        <v>600</v>
      </c>
      <c r="BH209" s="66" t="s">
        <v>600</v>
      </c>
      <c r="BI209" s="66" t="s">
        <v>600</v>
      </c>
      <c r="BJ209" s="66" t="s">
        <v>600</v>
      </c>
      <c r="BK209" s="66" t="s">
        <v>600</v>
      </c>
      <c r="BL209" s="66" t="s">
        <v>600</v>
      </c>
      <c r="BM209" s="66" t="s">
        <v>600</v>
      </c>
      <c r="BN209" s="66" t="s">
        <v>600</v>
      </c>
      <c r="BO209" s="66" t="s">
        <v>600</v>
      </c>
      <c r="BP209" s="66" t="s">
        <v>600</v>
      </c>
      <c r="BQ209" s="66" t="s">
        <v>600</v>
      </c>
      <c r="BR209" s="70" t="e">
        <f>IF(#REF!&lt;E209,1,0)</f>
        <v>#REF!</v>
      </c>
      <c r="BS209" s="68" t="s">
        <v>601</v>
      </c>
    </row>
    <row r="210" ht="15.6" spans="1:71">
      <c r="A210" s="53" t="s">
        <v>513</v>
      </c>
      <c r="B210" s="53"/>
      <c r="C210" s="53"/>
      <c r="D210" s="180" t="s">
        <v>664</v>
      </c>
      <c r="E210" s="57">
        <v>93</v>
      </c>
      <c r="F210" s="69">
        <v>129.99</v>
      </c>
      <c r="G210" s="59">
        <f t="shared" si="192"/>
        <v>125.34</v>
      </c>
      <c r="H210" s="59"/>
      <c r="I210" s="59">
        <f>E210-N210/Q210-AB210-Y210-O210-Z210-AA210</f>
        <v>17.0196703021606</v>
      </c>
      <c r="J210" s="60">
        <f>I210/E210</f>
        <v>0.183007207550114</v>
      </c>
      <c r="K210" s="57">
        <f>F210/1.2</f>
        <v>108.325</v>
      </c>
      <c r="L210" s="163">
        <f>(K210-E210)/K210</f>
        <v>0.141472420955458</v>
      </c>
      <c r="M210" s="59">
        <f>F210/1.2-E210</f>
        <v>15.325</v>
      </c>
      <c r="N210" s="57">
        <f>AD210+AH210</f>
        <v>266.838053097345</v>
      </c>
      <c r="O210" s="57">
        <f>IFERROR(IF(A210="UK",8.95/P210,IF(A210="DE",7.75/P210,IF(A210="FR",14.25/P210,IF(A210="IT",15.25/P210,IF(A210="ES",19.25/P210,IF(A210="NL",16.75/P210,IF(A210="PL",14.05/P210,IF(A210="SE",18.25/P210,IF(A210="BE",14.25/P210))))))))),0)</f>
        <v>5.08333333333333</v>
      </c>
      <c r="P210" s="53">
        <v>3</v>
      </c>
      <c r="Q210" s="62">
        <v>7.4</v>
      </c>
      <c r="R210" s="63">
        <v>0.13</v>
      </c>
      <c r="S210" s="60">
        <f>Y210/F210</f>
        <v>0.093007154396492</v>
      </c>
      <c r="T210" s="63">
        <v>0.05</v>
      </c>
      <c r="U210" s="63">
        <v>0.01</v>
      </c>
      <c r="V210" s="63">
        <f>N210/(E210*Q210)</f>
        <v>0.387733294242001</v>
      </c>
      <c r="W210" s="63">
        <f>O210/E210</f>
        <v>0.0546594982078853</v>
      </c>
      <c r="X210" s="61">
        <v>0.1846</v>
      </c>
      <c r="Y210" s="64">
        <f>E210*R210</f>
        <v>12.09</v>
      </c>
      <c r="Z210" s="64">
        <f>E210*T210</f>
        <v>4.65</v>
      </c>
      <c r="AA210" s="64">
        <f>E210*U210</f>
        <v>0.93</v>
      </c>
      <c r="AB210" s="57">
        <f>E210*X210</f>
        <v>17.1678</v>
      </c>
      <c r="AC210" s="57">
        <v>270</v>
      </c>
      <c r="AD210" s="65">
        <f>AC210/1.13</f>
        <v>238.938053097345</v>
      </c>
      <c r="AE210" s="62">
        <f>27.9/7.4</f>
        <v>3.77027027027027</v>
      </c>
      <c r="AF210" s="63">
        <f>AD210/(E210*Q210)</f>
        <v>0.347192753701461</v>
      </c>
      <c r="AG210" s="63">
        <f>AE210/Q210/E210</f>
        <v>0.00547845142439737</v>
      </c>
      <c r="AH210" s="62">
        <v>27.9</v>
      </c>
      <c r="AI210" s="63">
        <f>(K210-E210+AB210-Z210)/K210</f>
        <v>0.257030233094854</v>
      </c>
      <c r="AJ210" s="63"/>
      <c r="AK210" s="63"/>
      <c r="AL210" s="63"/>
      <c r="AM210" s="63"/>
      <c r="AN210" s="66"/>
      <c r="AO210" s="66"/>
      <c r="AP210" s="66"/>
      <c r="AQ210" s="66"/>
      <c r="AR210" s="66"/>
      <c r="AS210" s="66"/>
      <c r="AT210" s="66" t="s">
        <v>600</v>
      </c>
      <c r="AU210" s="66" t="s">
        <v>600</v>
      </c>
      <c r="AV210" s="66" t="s">
        <v>600</v>
      </c>
      <c r="AW210" s="66" t="s">
        <v>600</v>
      </c>
      <c r="AX210" s="66" t="s">
        <v>600</v>
      </c>
      <c r="AY210" s="66" t="s">
        <v>600</v>
      </c>
      <c r="AZ210" s="66" t="s">
        <v>600</v>
      </c>
      <c r="BA210" s="66" t="s">
        <v>600</v>
      </c>
      <c r="BB210" s="66" t="s">
        <v>600</v>
      </c>
      <c r="BC210" s="66" t="s">
        <v>600</v>
      </c>
      <c r="BD210" s="66" t="s">
        <v>600</v>
      </c>
      <c r="BE210" s="66" t="s">
        <v>600</v>
      </c>
      <c r="BF210" s="66" t="s">
        <v>600</v>
      </c>
      <c r="BG210" s="66" t="s">
        <v>600</v>
      </c>
      <c r="BH210" s="66" t="s">
        <v>600</v>
      </c>
      <c r="BI210" s="66" t="s">
        <v>600</v>
      </c>
      <c r="BJ210" s="66" t="s">
        <v>600</v>
      </c>
      <c r="BK210" s="66" t="s">
        <v>600</v>
      </c>
      <c r="BL210" s="66" t="s">
        <v>600</v>
      </c>
      <c r="BM210" s="66" t="s">
        <v>600</v>
      </c>
      <c r="BN210" s="66" t="s">
        <v>600</v>
      </c>
      <c r="BO210" s="66" t="s">
        <v>600</v>
      </c>
      <c r="BP210" s="66" t="s">
        <v>600</v>
      </c>
      <c r="BQ210" s="66" t="s">
        <v>600</v>
      </c>
      <c r="BR210" s="70" t="e">
        <f>IF(#REF!&lt;E210,1,0)</f>
        <v>#REF!</v>
      </c>
      <c r="BS210" s="68" t="s">
        <v>601</v>
      </c>
    </row>
    <row r="211" ht="15.6" spans="1:71">
      <c r="A211" s="53" t="s">
        <v>516</v>
      </c>
      <c r="B211" s="53"/>
      <c r="C211" s="53"/>
      <c r="D211" s="180" t="s">
        <v>664</v>
      </c>
      <c r="E211" s="57">
        <v>93</v>
      </c>
      <c r="F211" s="69">
        <v>129.99</v>
      </c>
      <c r="G211" s="59">
        <f t="shared" si="192"/>
        <v>125.34</v>
      </c>
      <c r="H211" s="59"/>
      <c r="I211" s="59">
        <f>E211-N211/Q211-AB211-Y211-O211-Z211-AA211</f>
        <v>17.5463369688272</v>
      </c>
      <c r="J211" s="60">
        <f>I211/E211</f>
        <v>0.18867028998739</v>
      </c>
      <c r="K211" s="57">
        <f>F211/1.2</f>
        <v>108.325</v>
      </c>
      <c r="L211" s="163">
        <f>(K211-E211)/K211</f>
        <v>0.141472420955458</v>
      </c>
      <c r="M211" s="59">
        <f>F211/1.2-E211</f>
        <v>15.325</v>
      </c>
      <c r="N211" s="57">
        <f>AD211+AH211</f>
        <v>266.838053097345</v>
      </c>
      <c r="O211" s="57">
        <f>IFERROR(IF(A211="UK",8.95/P211,IF(A211="DE",7.75/P211,IF(A211="FR",14.25/P211,IF(A211="IT",15.25/P211,IF(A211="ES",19.25/P211,IF(A211="NL",16.75/P211,IF(A211="PL",14.05/P211,IF(A211="SE",18.25/P211,IF(A211="BE",14.25/P211))))))))),0)</f>
        <v>6.41666666666667</v>
      </c>
      <c r="P211" s="53">
        <v>3</v>
      </c>
      <c r="Q211" s="62">
        <v>7.4</v>
      </c>
      <c r="R211" s="63">
        <v>0.13</v>
      </c>
      <c r="S211" s="60">
        <f>Y211/F211</f>
        <v>0.093007154396492</v>
      </c>
      <c r="T211" s="63">
        <v>0.05</v>
      </c>
      <c r="U211" s="63">
        <v>0.01</v>
      </c>
      <c r="V211" s="63">
        <f>N211/(E211*Q211)</f>
        <v>0.387733294242001</v>
      </c>
      <c r="W211" s="63">
        <f>O211/E211</f>
        <v>0.0689964157706093</v>
      </c>
      <c r="X211" s="61">
        <v>0.1646</v>
      </c>
      <c r="Y211" s="64">
        <f>E211*R211</f>
        <v>12.09</v>
      </c>
      <c r="Z211" s="64">
        <f>E211*T211</f>
        <v>4.65</v>
      </c>
      <c r="AA211" s="64">
        <f>E211*U211</f>
        <v>0.93</v>
      </c>
      <c r="AB211" s="57">
        <f>E211*X211</f>
        <v>15.3078</v>
      </c>
      <c r="AC211" s="57">
        <v>270</v>
      </c>
      <c r="AD211" s="65">
        <f>AC211/1.13</f>
        <v>238.938053097345</v>
      </c>
      <c r="AE211" s="62">
        <f>27.9/7.4</f>
        <v>3.77027027027027</v>
      </c>
      <c r="AF211" s="63">
        <f>AD211/(E211*Q211)</f>
        <v>0.347192753701461</v>
      </c>
      <c r="AG211" s="63">
        <f>AE211/Q211/E211</f>
        <v>0.00547845142439737</v>
      </c>
      <c r="AH211" s="62">
        <v>27.9</v>
      </c>
      <c r="AI211" s="63">
        <f>(K211-E211+AB211-Z211)/K211</f>
        <v>0.239859681513963</v>
      </c>
      <c r="AJ211" s="63"/>
      <c r="AK211" s="63"/>
      <c r="AL211" s="63"/>
      <c r="AM211" s="63"/>
      <c r="AN211" s="66"/>
      <c r="AO211" s="66"/>
      <c r="AP211" s="66"/>
      <c r="AQ211" s="66"/>
      <c r="AR211" s="66"/>
      <c r="AS211" s="66"/>
      <c r="AT211" s="66" t="s">
        <v>600</v>
      </c>
      <c r="AU211" s="66" t="s">
        <v>600</v>
      </c>
      <c r="AV211" s="66" t="s">
        <v>600</v>
      </c>
      <c r="AW211" s="66" t="s">
        <v>600</v>
      </c>
      <c r="AX211" s="66" t="s">
        <v>600</v>
      </c>
      <c r="AY211" s="66" t="s">
        <v>600</v>
      </c>
      <c r="AZ211" s="66" t="s">
        <v>600</v>
      </c>
      <c r="BA211" s="66" t="s">
        <v>600</v>
      </c>
      <c r="BB211" s="66" t="s">
        <v>600</v>
      </c>
      <c r="BC211" s="66" t="s">
        <v>600</v>
      </c>
      <c r="BD211" s="66" t="s">
        <v>600</v>
      </c>
      <c r="BE211" s="66" t="s">
        <v>600</v>
      </c>
      <c r="BF211" s="66" t="s">
        <v>600</v>
      </c>
      <c r="BG211" s="66" t="s">
        <v>600</v>
      </c>
      <c r="BH211" s="66" t="s">
        <v>600</v>
      </c>
      <c r="BI211" s="66" t="s">
        <v>600</v>
      </c>
      <c r="BJ211" s="66" t="s">
        <v>600</v>
      </c>
      <c r="BK211" s="66" t="s">
        <v>600</v>
      </c>
      <c r="BL211" s="66" t="s">
        <v>600</v>
      </c>
      <c r="BM211" s="66" t="s">
        <v>600</v>
      </c>
      <c r="BN211" s="66" t="s">
        <v>600</v>
      </c>
      <c r="BO211" s="66" t="s">
        <v>600</v>
      </c>
      <c r="BP211" s="66" t="s">
        <v>600</v>
      </c>
      <c r="BQ211" s="66" t="s">
        <v>600</v>
      </c>
      <c r="BR211" s="70" t="e">
        <f>IF(#REF!&lt;E211,1,0)</f>
        <v>#REF!</v>
      </c>
      <c r="BS211" s="68" t="s">
        <v>601</v>
      </c>
    </row>
    <row r="212" ht="15.6" spans="1:71">
      <c r="A212" s="53"/>
      <c r="B212" s="53"/>
      <c r="C212" s="53"/>
      <c r="D212" s="181"/>
      <c r="E212" s="57"/>
      <c r="F212" s="69"/>
      <c r="G212" s="59"/>
      <c r="H212" s="59"/>
      <c r="I212" s="59"/>
      <c r="J212" s="60"/>
      <c r="K212" s="57"/>
      <c r="L212" s="57"/>
      <c r="M212" s="57"/>
      <c r="N212" s="57"/>
      <c r="O212" s="57"/>
      <c r="P212" s="53"/>
      <c r="Q212" s="62"/>
      <c r="R212" s="63"/>
      <c r="S212" s="60"/>
      <c r="T212" s="63"/>
      <c r="U212" s="63"/>
      <c r="V212" s="63"/>
      <c r="W212" s="63"/>
      <c r="X212" s="61"/>
      <c r="Y212" s="64"/>
      <c r="Z212" s="64"/>
      <c r="AA212" s="64"/>
      <c r="AB212" s="57"/>
      <c r="AC212" s="57"/>
      <c r="AD212" s="65"/>
      <c r="AE212" s="62"/>
      <c r="AF212" s="63"/>
      <c r="AG212" s="63"/>
      <c r="AH212" s="62"/>
      <c r="AI212" s="63"/>
      <c r="AJ212" s="63"/>
      <c r="AK212" s="63"/>
      <c r="AL212" s="63"/>
      <c r="AM212" s="63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BE212" s="66"/>
      <c r="BF212" s="66"/>
      <c r="BG212" s="66"/>
      <c r="BH212" s="66"/>
      <c r="BI212" s="66"/>
      <c r="BJ212" s="66"/>
      <c r="BK212" s="66"/>
      <c r="BL212" s="66"/>
      <c r="BM212" s="66"/>
      <c r="BN212" s="66"/>
      <c r="BO212" s="66"/>
      <c r="BP212" s="66"/>
      <c r="BQ212" s="66"/>
      <c r="BR212" s="70"/>
      <c r="BS212" s="68" t="s">
        <v>601</v>
      </c>
    </row>
    <row r="213" spans="1:71">
      <c r="S213" s="15"/>
      <c r="AE213" s="14"/>
      <c r="AI213" s="15"/>
    </row>
    <row r="214" ht="15.6" spans="1:71">
      <c r="A214" s="68" t="s">
        <v>300</v>
      </c>
      <c r="B214" s="53" t="s">
        <v>30</v>
      </c>
      <c r="C214" s="53" t="s">
        <v>626</v>
      </c>
      <c r="D214" s="166" t="s">
        <v>613</v>
      </c>
      <c r="E214" s="58">
        <v>70</v>
      </c>
      <c r="F214" s="167">
        <v>99</v>
      </c>
      <c r="G214" s="59">
        <f t="shared" ref="G214:G237" si="193">(F214-Z214)</f>
        <v>99</v>
      </c>
      <c r="H214" s="59">
        <f t="shared" ref="H214:H237" si="194">(F214-Z214)/1.2</f>
        <v>82.5</v>
      </c>
      <c r="I214" s="59">
        <f t="shared" ref="I214:I237" si="195">E214-N214/Q214-AB214-Y214-O214-Z214-AA214</f>
        <v>19.4466371681416</v>
      </c>
      <c r="J214" s="60">
        <f t="shared" ref="J214:J237" si="196">I214/E214</f>
        <v>0.277809102402023</v>
      </c>
      <c r="K214" s="57">
        <f t="shared" ref="K214:K237" si="197">F214/1.2</f>
        <v>82.5</v>
      </c>
      <c r="L214" s="163">
        <f t="shared" ref="L214:L237" si="198">(K214-E214)/K214</f>
        <v>0.151515151515152</v>
      </c>
      <c r="M214" s="59">
        <f t="shared" ref="M214:M237" si="199">F214/1.2-E214</f>
        <v>12.5</v>
      </c>
      <c r="N214" s="57">
        <f t="shared" ref="N214:N237" si="200">AD214+AH214</f>
        <v>219.690265486726</v>
      </c>
      <c r="O214" s="57">
        <f t="shared" ref="O214:O237" si="201">IFERROR(IF(A214="UK",8.95/P214,IF(A214="DE",7.75/P214,IF(A214="FR",14.25/P214,IF(A214="IT",15.25/P214,IF(A214="ES",19.25/P214,IF(A214="NL",16.75/P214,IF(A214="PL",14.05/P214,IF(A214="SE",18.25/P214,IF(A214="BE",14.25/P214))))))))),0)</f>
        <v>2.98333333333333</v>
      </c>
      <c r="P214" s="53">
        <v>3</v>
      </c>
      <c r="Q214" s="62">
        <v>9</v>
      </c>
      <c r="R214" s="63">
        <f t="shared" ref="R214:R237" si="202">Y214/E214</f>
        <v>0.142857142857143</v>
      </c>
      <c r="S214" s="60">
        <f>Y214/H214</f>
        <v>0.121212121212121</v>
      </c>
      <c r="T214" s="63">
        <f t="shared" ref="T214:T237" si="203">Z214/E214</f>
        <v>0</v>
      </c>
      <c r="U214" s="63">
        <v>0.01</v>
      </c>
      <c r="V214" s="63">
        <f t="shared" ref="V214:V237" si="204">N214/(E214*Q214)</f>
        <v>0.348714707121787</v>
      </c>
      <c r="W214" s="63">
        <f t="shared" ref="W214:W237" si="205">O214/E214</f>
        <v>0.0426190476190476</v>
      </c>
      <c r="X214" s="61">
        <v>0.178</v>
      </c>
      <c r="Y214" s="64">
        <v>10</v>
      </c>
      <c r="Z214" s="64">
        <f>F214*0</f>
        <v>0</v>
      </c>
      <c r="AA214" s="64">
        <f t="shared" ref="AA214:AA237" si="206">E214*U214</f>
        <v>0.7</v>
      </c>
      <c r="AB214" s="57">
        <f t="shared" ref="AB214:AB237" si="207">E214*X214</f>
        <v>12.46</v>
      </c>
      <c r="AC214" s="57">
        <v>220</v>
      </c>
      <c r="AD214" s="65">
        <f t="shared" ref="AD214:AD237" si="208">AC214/1.13</f>
        <v>194.690265486726</v>
      </c>
      <c r="AE214" s="62">
        <f t="shared" ref="AE214:AE237" si="209">AH214/Q214</f>
        <v>2.77777777777778</v>
      </c>
      <c r="AF214" s="63">
        <f t="shared" ref="AF214:AF237" si="210">AD214/(E214*Q214)</f>
        <v>0.309032167439247</v>
      </c>
      <c r="AG214" s="63">
        <f t="shared" ref="AG214:AG237" si="211">AE214/E214</f>
        <v>0.0396825396825397</v>
      </c>
      <c r="AH214" s="62">
        <v>25</v>
      </c>
      <c r="AI214" s="63">
        <f t="shared" ref="AI214:AI224" si="212">(H214-E214+AB214)/H214</f>
        <v>0.302545454545455</v>
      </c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6" t="s">
        <v>600</v>
      </c>
      <c r="AU214" s="66" t="s">
        <v>600</v>
      </c>
      <c r="AV214" s="66" t="s">
        <v>600</v>
      </c>
      <c r="AW214" s="66" t="s">
        <v>600</v>
      </c>
      <c r="AX214" s="66" t="s">
        <v>600</v>
      </c>
      <c r="AY214" s="66" t="s">
        <v>600</v>
      </c>
      <c r="AZ214" s="66" t="s">
        <v>600</v>
      </c>
      <c r="BA214" s="66" t="s">
        <v>600</v>
      </c>
      <c r="BB214" s="66" t="s">
        <v>600</v>
      </c>
      <c r="BC214" s="66" t="s">
        <v>600</v>
      </c>
      <c r="BD214" s="66" t="s">
        <v>600</v>
      </c>
      <c r="BE214" s="66" t="s">
        <v>600</v>
      </c>
      <c r="BF214" s="66" t="s">
        <v>600</v>
      </c>
      <c r="BG214" s="66" t="s">
        <v>600</v>
      </c>
      <c r="BH214" s="66" t="s">
        <v>600</v>
      </c>
      <c r="BI214" s="66" t="s">
        <v>600</v>
      </c>
      <c r="BJ214" s="66" t="s">
        <v>600</v>
      </c>
      <c r="BK214" s="66" t="s">
        <v>600</v>
      </c>
      <c r="BL214" s="66" t="s">
        <v>600</v>
      </c>
      <c r="BM214" s="66" t="s">
        <v>600</v>
      </c>
      <c r="BN214" s="66" t="s">
        <v>600</v>
      </c>
      <c r="BO214" s="66" t="s">
        <v>600</v>
      </c>
      <c r="BP214" s="66" t="s">
        <v>600</v>
      </c>
      <c r="BQ214" s="66" t="s">
        <v>600</v>
      </c>
      <c r="BR214" s="164"/>
      <c r="BS214" s="68" t="s">
        <v>601</v>
      </c>
    </row>
    <row r="215" ht="15.6" spans="1:71">
      <c r="A215" s="68" t="s">
        <v>300</v>
      </c>
      <c r="B215" s="53" t="s">
        <v>30</v>
      </c>
      <c r="C215" s="53" t="s">
        <v>626</v>
      </c>
      <c r="D215" s="166" t="s">
        <v>614</v>
      </c>
      <c r="E215" s="58">
        <v>82</v>
      </c>
      <c r="F215" s="56">
        <v>119.99</v>
      </c>
      <c r="G215" s="59">
        <f t="shared" si="193"/>
        <v>113.9905</v>
      </c>
      <c r="H215" s="59">
        <f t="shared" si="194"/>
        <v>94.9920833333333</v>
      </c>
      <c r="I215" s="59">
        <f t="shared" si="195"/>
        <v>23.1911371681416</v>
      </c>
      <c r="J215" s="60">
        <f t="shared" si="196"/>
        <v>0.282818745952946</v>
      </c>
      <c r="K215" s="57">
        <f t="shared" si="197"/>
        <v>99.9916666666667</v>
      </c>
      <c r="L215" s="163">
        <f t="shared" si="198"/>
        <v>0.179931660971748</v>
      </c>
      <c r="M215" s="59">
        <f t="shared" si="199"/>
        <v>17.9916666666667</v>
      </c>
      <c r="N215" s="57">
        <f t="shared" si="200"/>
        <v>219.690265486726</v>
      </c>
      <c r="O215" s="57">
        <f t="shared" si="201"/>
        <v>2.98333333333333</v>
      </c>
      <c r="P215" s="53">
        <v>3</v>
      </c>
      <c r="Q215" s="62">
        <v>9</v>
      </c>
      <c r="R215" s="63">
        <f t="shared" si="202"/>
        <v>0.121951219512195</v>
      </c>
      <c r="S215" s="60">
        <f>Y215/H215</f>
        <v>0.105271930555616</v>
      </c>
      <c r="T215" s="63">
        <f t="shared" si="203"/>
        <v>0.0731646341463415</v>
      </c>
      <c r="U215" s="63">
        <v>0.01</v>
      </c>
      <c r="V215" s="63">
        <f t="shared" si="204"/>
        <v>0.297683286567379</v>
      </c>
      <c r="W215" s="63">
        <f t="shared" si="205"/>
        <v>0.0363821138211382</v>
      </c>
      <c r="X215" s="61">
        <v>0.178</v>
      </c>
      <c r="Y215" s="64">
        <v>10</v>
      </c>
      <c r="Z215" s="64">
        <f>F215*0.05</f>
        <v>5.9995</v>
      </c>
      <c r="AA215" s="64">
        <f t="shared" si="206"/>
        <v>0.82</v>
      </c>
      <c r="AB215" s="57">
        <f t="shared" si="207"/>
        <v>14.596</v>
      </c>
      <c r="AC215" s="57">
        <v>220</v>
      </c>
      <c r="AD215" s="65">
        <f t="shared" si="208"/>
        <v>194.690265486726</v>
      </c>
      <c r="AE215" s="62">
        <f t="shared" si="209"/>
        <v>2.77777777777778</v>
      </c>
      <c r="AF215" s="63">
        <f t="shared" si="210"/>
        <v>0.263807947813991</v>
      </c>
      <c r="AG215" s="63">
        <f t="shared" si="211"/>
        <v>0.0338753387533875</v>
      </c>
      <c r="AH215" s="62">
        <v>25</v>
      </c>
      <c r="AI215" s="63">
        <f t="shared" si="212"/>
        <v>0.290425079282923</v>
      </c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6" t="s">
        <v>600</v>
      </c>
      <c r="AU215" s="66" t="s">
        <v>600</v>
      </c>
      <c r="AV215" s="66" t="s">
        <v>600</v>
      </c>
      <c r="AW215" s="66" t="s">
        <v>600</v>
      </c>
      <c r="AX215" s="66" t="s">
        <v>600</v>
      </c>
      <c r="AY215" s="66" t="s">
        <v>600</v>
      </c>
      <c r="AZ215" s="66" t="s">
        <v>600</v>
      </c>
      <c r="BA215" s="66" t="s">
        <v>600</v>
      </c>
      <c r="BB215" s="66" t="s">
        <v>600</v>
      </c>
      <c r="BC215" s="66" t="s">
        <v>600</v>
      </c>
      <c r="BD215" s="66" t="s">
        <v>600</v>
      </c>
      <c r="BE215" s="66" t="s">
        <v>600</v>
      </c>
      <c r="BF215" s="66" t="s">
        <v>600</v>
      </c>
      <c r="BG215" s="66" t="s">
        <v>600</v>
      </c>
      <c r="BH215" s="66" t="s">
        <v>600</v>
      </c>
      <c r="BI215" s="66" t="s">
        <v>600</v>
      </c>
      <c r="BJ215" s="66" t="s">
        <v>600</v>
      </c>
      <c r="BK215" s="66" t="s">
        <v>600</v>
      </c>
      <c r="BL215" s="66" t="s">
        <v>600</v>
      </c>
      <c r="BM215" s="66" t="s">
        <v>600</v>
      </c>
      <c r="BN215" s="66" t="s">
        <v>600</v>
      </c>
      <c r="BO215" s="66" t="s">
        <v>600</v>
      </c>
      <c r="BP215" s="66" t="s">
        <v>600</v>
      </c>
      <c r="BQ215" s="66" t="s">
        <v>600</v>
      </c>
      <c r="BR215" s="164"/>
      <c r="BS215" s="68" t="s">
        <v>601</v>
      </c>
    </row>
    <row r="216" ht="15.6" spans="1:71">
      <c r="A216" s="68" t="s">
        <v>300</v>
      </c>
      <c r="B216" s="53" t="s">
        <v>30</v>
      </c>
      <c r="C216" s="53" t="s">
        <v>626</v>
      </c>
      <c r="D216" s="166" t="s">
        <v>615</v>
      </c>
      <c r="E216" s="58">
        <v>82</v>
      </c>
      <c r="F216" s="56">
        <v>119.99</v>
      </c>
      <c r="G216" s="59">
        <f t="shared" si="193"/>
        <v>107.991</v>
      </c>
      <c r="H216" s="59">
        <f t="shared" si="194"/>
        <v>89.9925</v>
      </c>
      <c r="I216" s="59">
        <f t="shared" si="195"/>
        <v>17.1916371681416</v>
      </c>
      <c r="J216" s="60">
        <f t="shared" si="196"/>
        <v>0.209654111806605</v>
      </c>
      <c r="K216" s="57">
        <f t="shared" si="197"/>
        <v>99.9916666666667</v>
      </c>
      <c r="L216" s="163">
        <f t="shared" si="198"/>
        <v>0.179931660971748</v>
      </c>
      <c r="M216" s="59">
        <f t="shared" si="199"/>
        <v>17.9916666666667</v>
      </c>
      <c r="N216" s="57">
        <f t="shared" si="200"/>
        <v>219.690265486726</v>
      </c>
      <c r="O216" s="57">
        <f t="shared" si="201"/>
        <v>2.98333333333333</v>
      </c>
      <c r="P216" s="53">
        <v>3</v>
      </c>
      <c r="Q216" s="62">
        <v>9</v>
      </c>
      <c r="R216" s="63">
        <f t="shared" si="202"/>
        <v>0.121951219512195</v>
      </c>
      <c r="S216" s="60">
        <f>Y216/H216</f>
        <v>0.11112037114204</v>
      </c>
      <c r="T216" s="63">
        <f t="shared" si="203"/>
        <v>0.146329268292683</v>
      </c>
      <c r="U216" s="63">
        <v>0.01</v>
      </c>
      <c r="V216" s="63">
        <f t="shared" si="204"/>
        <v>0.297683286567379</v>
      </c>
      <c r="W216" s="63">
        <f t="shared" si="205"/>
        <v>0.0363821138211382</v>
      </c>
      <c r="X216" s="61">
        <v>0.178</v>
      </c>
      <c r="Y216" s="64">
        <v>10</v>
      </c>
      <c r="Z216" s="64">
        <f>F216*0.1</f>
        <v>11.999</v>
      </c>
      <c r="AA216" s="64">
        <f t="shared" si="206"/>
        <v>0.82</v>
      </c>
      <c r="AB216" s="57">
        <f t="shared" si="207"/>
        <v>14.596</v>
      </c>
      <c r="AC216" s="57">
        <v>220</v>
      </c>
      <c r="AD216" s="65">
        <f t="shared" si="208"/>
        <v>194.690265486726</v>
      </c>
      <c r="AE216" s="62">
        <f t="shared" si="209"/>
        <v>2.77777777777778</v>
      </c>
      <c r="AF216" s="63">
        <f t="shared" si="210"/>
        <v>0.263807947813991</v>
      </c>
      <c r="AG216" s="63">
        <f t="shared" si="211"/>
        <v>0.0338753387533875</v>
      </c>
      <c r="AH216" s="62">
        <v>25</v>
      </c>
      <c r="AI216" s="63">
        <f t="shared" si="212"/>
        <v>0.251004250354196</v>
      </c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6" t="s">
        <v>600</v>
      </c>
      <c r="AU216" s="66" t="s">
        <v>600</v>
      </c>
      <c r="AV216" s="66" t="s">
        <v>600</v>
      </c>
      <c r="AW216" s="66" t="s">
        <v>600</v>
      </c>
      <c r="AX216" s="66" t="s">
        <v>600</v>
      </c>
      <c r="AY216" s="66" t="s">
        <v>600</v>
      </c>
      <c r="AZ216" s="66" t="s">
        <v>600</v>
      </c>
      <c r="BA216" s="66" t="s">
        <v>600</v>
      </c>
      <c r="BB216" s="66" t="s">
        <v>600</v>
      </c>
      <c r="BC216" s="66" t="s">
        <v>600</v>
      </c>
      <c r="BD216" s="66" t="s">
        <v>600</v>
      </c>
      <c r="BE216" s="66" t="s">
        <v>600</v>
      </c>
      <c r="BF216" s="66" t="s">
        <v>600</v>
      </c>
      <c r="BG216" s="66" t="s">
        <v>600</v>
      </c>
      <c r="BH216" s="66" t="s">
        <v>600</v>
      </c>
      <c r="BI216" s="66" t="s">
        <v>600</v>
      </c>
      <c r="BJ216" s="66" t="s">
        <v>600</v>
      </c>
      <c r="BK216" s="66" t="s">
        <v>600</v>
      </c>
      <c r="BL216" s="66" t="s">
        <v>600</v>
      </c>
      <c r="BM216" s="66" t="s">
        <v>600</v>
      </c>
      <c r="BN216" s="66" t="s">
        <v>600</v>
      </c>
      <c r="BO216" s="66" t="s">
        <v>600</v>
      </c>
      <c r="BP216" s="66" t="s">
        <v>600</v>
      </c>
      <c r="BQ216" s="66" t="s">
        <v>600</v>
      </c>
      <c r="BR216" s="164"/>
      <c r="BS216" s="68" t="s">
        <v>601</v>
      </c>
    </row>
    <row r="217" ht="15.6" spans="1:71">
      <c r="A217" s="68" t="s">
        <v>300</v>
      </c>
      <c r="B217" s="53" t="s">
        <v>30</v>
      </c>
      <c r="C217" s="53" t="s">
        <v>626</v>
      </c>
      <c r="D217" s="166" t="s">
        <v>616</v>
      </c>
      <c r="E217" s="58">
        <v>82</v>
      </c>
      <c r="F217" s="56">
        <v>119.99</v>
      </c>
      <c r="G217" s="59">
        <f t="shared" si="193"/>
        <v>101.9915</v>
      </c>
      <c r="H217" s="59">
        <f t="shared" si="194"/>
        <v>84.9929166666667</v>
      </c>
      <c r="I217" s="59">
        <f t="shared" si="195"/>
        <v>11.1921371681416</v>
      </c>
      <c r="J217" s="60">
        <f t="shared" si="196"/>
        <v>0.136489477660263</v>
      </c>
      <c r="K217" s="57">
        <f t="shared" si="197"/>
        <v>99.9916666666667</v>
      </c>
      <c r="L217" s="163">
        <f t="shared" si="198"/>
        <v>0.179931660971748</v>
      </c>
      <c r="M217" s="59">
        <f t="shared" si="199"/>
        <v>17.9916666666667</v>
      </c>
      <c r="N217" s="57">
        <f t="shared" si="200"/>
        <v>219.690265486726</v>
      </c>
      <c r="O217" s="57">
        <f t="shared" si="201"/>
        <v>2.98333333333333</v>
      </c>
      <c r="P217" s="53">
        <v>3</v>
      </c>
      <c r="Q217" s="62">
        <v>9</v>
      </c>
      <c r="R217" s="63">
        <f t="shared" si="202"/>
        <v>0.121951219512195</v>
      </c>
      <c r="S217" s="60">
        <f>Y217/H217</f>
        <v>0.11765686356216</v>
      </c>
      <c r="T217" s="63">
        <f t="shared" si="203"/>
        <v>0.219493902439024</v>
      </c>
      <c r="U217" s="63">
        <v>0.01</v>
      </c>
      <c r="V217" s="63">
        <f t="shared" si="204"/>
        <v>0.297683286567379</v>
      </c>
      <c r="W217" s="63">
        <f t="shared" si="205"/>
        <v>0.0363821138211382</v>
      </c>
      <c r="X217" s="61">
        <v>0.178</v>
      </c>
      <c r="Y217" s="64">
        <v>10</v>
      </c>
      <c r="Z217" s="64">
        <f>F217*0.15</f>
        <v>17.9985</v>
      </c>
      <c r="AA217" s="64">
        <f t="shared" si="206"/>
        <v>0.82</v>
      </c>
      <c r="AB217" s="57">
        <f t="shared" si="207"/>
        <v>14.596</v>
      </c>
      <c r="AC217" s="57">
        <v>220</v>
      </c>
      <c r="AD217" s="65">
        <f t="shared" si="208"/>
        <v>194.690265486726</v>
      </c>
      <c r="AE217" s="62">
        <f t="shared" si="209"/>
        <v>2.77777777777778</v>
      </c>
      <c r="AF217" s="63">
        <f t="shared" si="210"/>
        <v>0.263807947813991</v>
      </c>
      <c r="AG217" s="63">
        <f t="shared" si="211"/>
        <v>0.0338753387533875</v>
      </c>
      <c r="AH217" s="62">
        <v>25</v>
      </c>
      <c r="AI217" s="63">
        <f t="shared" si="212"/>
        <v>0.20694567684562</v>
      </c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6" t="s">
        <v>600</v>
      </c>
      <c r="AU217" s="66" t="s">
        <v>600</v>
      </c>
      <c r="AV217" s="66" t="s">
        <v>600</v>
      </c>
      <c r="AW217" s="66" t="s">
        <v>600</v>
      </c>
      <c r="AX217" s="66" t="s">
        <v>600</v>
      </c>
      <c r="AY217" s="66" t="s">
        <v>600</v>
      </c>
      <c r="AZ217" s="66" t="s">
        <v>600</v>
      </c>
      <c r="BA217" s="66" t="s">
        <v>600</v>
      </c>
      <c r="BB217" s="66" t="s">
        <v>600</v>
      </c>
      <c r="BC217" s="66" t="s">
        <v>600</v>
      </c>
      <c r="BD217" s="66" t="s">
        <v>600</v>
      </c>
      <c r="BE217" s="66" t="s">
        <v>600</v>
      </c>
      <c r="BF217" s="66" t="s">
        <v>600</v>
      </c>
      <c r="BG217" s="66" t="s">
        <v>600</v>
      </c>
      <c r="BH217" s="66" t="s">
        <v>600</v>
      </c>
      <c r="BI217" s="66" t="s">
        <v>600</v>
      </c>
      <c r="BJ217" s="66" t="s">
        <v>600</v>
      </c>
      <c r="BK217" s="66" t="s">
        <v>600</v>
      </c>
      <c r="BL217" s="66" t="s">
        <v>600</v>
      </c>
      <c r="BM217" s="66" t="s">
        <v>600</v>
      </c>
      <c r="BN217" s="66" t="s">
        <v>600</v>
      </c>
      <c r="BO217" s="66" t="s">
        <v>600</v>
      </c>
      <c r="BP217" s="66" t="s">
        <v>600</v>
      </c>
      <c r="BQ217" s="66" t="s">
        <v>600</v>
      </c>
      <c r="BR217" s="164"/>
      <c r="BS217" s="68" t="s">
        <v>601</v>
      </c>
    </row>
    <row r="218" ht="15.6" spans="1:71">
      <c r="A218" s="53" t="s">
        <v>277</v>
      </c>
      <c r="B218" s="53" t="s">
        <v>27</v>
      </c>
      <c r="C218" s="53" t="s">
        <v>626</v>
      </c>
      <c r="D218" s="166" t="s">
        <v>613</v>
      </c>
      <c r="E218" s="58">
        <v>89</v>
      </c>
      <c r="F218" s="56">
        <v>129.99</v>
      </c>
      <c r="G218" s="59">
        <f t="shared" si="193"/>
        <v>129.99</v>
      </c>
      <c r="H218" s="59">
        <f t="shared" si="194"/>
        <v>108.325</v>
      </c>
      <c r="I218" s="59">
        <f t="shared" si="195"/>
        <v>30.708383480826</v>
      </c>
      <c r="J218" s="60">
        <f t="shared" si="196"/>
        <v>0.345038016638494</v>
      </c>
      <c r="K218" s="57">
        <f t="shared" si="197"/>
        <v>108.325</v>
      </c>
      <c r="L218" s="163">
        <f t="shared" si="198"/>
        <v>0.178398338333718</v>
      </c>
      <c r="M218" s="59">
        <f t="shared" si="199"/>
        <v>19.325</v>
      </c>
      <c r="N218" s="57">
        <f t="shared" si="200"/>
        <v>224.690265486726</v>
      </c>
      <c r="O218" s="57">
        <f t="shared" si="201"/>
        <v>2.58333333333333</v>
      </c>
      <c r="P218" s="53">
        <v>3</v>
      </c>
      <c r="Q218" s="62">
        <v>8</v>
      </c>
      <c r="R218" s="63">
        <f t="shared" si="202"/>
        <v>0.112359550561798</v>
      </c>
      <c r="S218" s="60">
        <f t="shared" ref="S218:S237" si="213">Y218/F218</f>
        <v>0.0769289945380414</v>
      </c>
      <c r="T218" s="63">
        <f t="shared" si="203"/>
        <v>0</v>
      </c>
      <c r="U218" s="63">
        <v>0.01</v>
      </c>
      <c r="V218" s="63">
        <f t="shared" si="204"/>
        <v>0.315576215571244</v>
      </c>
      <c r="W218" s="63">
        <f t="shared" si="205"/>
        <v>0.0290262172284644</v>
      </c>
      <c r="X218" s="61">
        <v>0.188</v>
      </c>
      <c r="Y218" s="64">
        <v>10</v>
      </c>
      <c r="Z218" s="64">
        <v>0</v>
      </c>
      <c r="AA218" s="64">
        <f t="shared" si="206"/>
        <v>0.89</v>
      </c>
      <c r="AB218" s="57">
        <f t="shared" si="207"/>
        <v>16.732</v>
      </c>
      <c r="AC218" s="57">
        <v>220</v>
      </c>
      <c r="AD218" s="65">
        <f t="shared" si="208"/>
        <v>194.690265486726</v>
      </c>
      <c r="AE218" s="62">
        <f t="shared" si="209"/>
        <v>3.75</v>
      </c>
      <c r="AF218" s="63">
        <f t="shared" si="210"/>
        <v>0.27344138411057</v>
      </c>
      <c r="AG218" s="63">
        <f t="shared" si="211"/>
        <v>0.0421348314606742</v>
      </c>
      <c r="AH218" s="62">
        <v>30</v>
      </c>
      <c r="AI218" s="63">
        <f t="shared" si="212"/>
        <v>0.332859450726979</v>
      </c>
      <c r="AJ218" s="63"/>
      <c r="AK218" s="63"/>
      <c r="AL218" s="63"/>
      <c r="AM218" s="63"/>
      <c r="AN218" s="66"/>
      <c r="AO218" s="66"/>
      <c r="AP218" s="66"/>
      <c r="AQ218" s="66"/>
      <c r="AR218" s="66"/>
      <c r="AS218" s="66"/>
      <c r="AT218" s="66" t="s">
        <v>600</v>
      </c>
      <c r="AU218" s="66" t="s">
        <v>600</v>
      </c>
      <c r="AV218" s="66" t="s">
        <v>600</v>
      </c>
      <c r="AW218" s="66" t="s">
        <v>600</v>
      </c>
      <c r="AX218" s="66" t="s">
        <v>600</v>
      </c>
      <c r="AY218" s="66" t="s">
        <v>600</v>
      </c>
      <c r="AZ218" s="66" t="s">
        <v>600</v>
      </c>
      <c r="BA218" s="66" t="s">
        <v>600</v>
      </c>
      <c r="BB218" s="66" t="s">
        <v>600</v>
      </c>
      <c r="BC218" s="66" t="s">
        <v>600</v>
      </c>
      <c r="BD218" s="66" t="s">
        <v>600</v>
      </c>
      <c r="BE218" s="66" t="s">
        <v>600</v>
      </c>
      <c r="BF218" s="66" t="s">
        <v>600</v>
      </c>
      <c r="BG218" s="66" t="s">
        <v>600</v>
      </c>
      <c r="BH218" s="66" t="s">
        <v>600</v>
      </c>
      <c r="BI218" s="66" t="s">
        <v>600</v>
      </c>
      <c r="BJ218" s="66" t="s">
        <v>600</v>
      </c>
      <c r="BK218" s="66" t="s">
        <v>600</v>
      </c>
      <c r="BL218" s="66" t="s">
        <v>600</v>
      </c>
      <c r="BM218" s="66" t="s">
        <v>600</v>
      </c>
      <c r="BN218" s="66" t="s">
        <v>600</v>
      </c>
      <c r="BO218" s="66" t="s">
        <v>600</v>
      </c>
      <c r="BP218" s="66" t="s">
        <v>600</v>
      </c>
      <c r="BQ218" s="66" t="s">
        <v>600</v>
      </c>
      <c r="BR218" s="164"/>
      <c r="BS218" s="68" t="s">
        <v>601</v>
      </c>
    </row>
    <row r="219" ht="15.6" spans="1:71">
      <c r="A219" s="53" t="s">
        <v>277</v>
      </c>
      <c r="B219" s="53" t="s">
        <v>27</v>
      </c>
      <c r="C219" s="53" t="s">
        <v>626</v>
      </c>
      <c r="D219" s="166" t="s">
        <v>614</v>
      </c>
      <c r="E219" s="58">
        <v>89</v>
      </c>
      <c r="F219" s="56">
        <v>129.99</v>
      </c>
      <c r="G219" s="59">
        <f t="shared" si="193"/>
        <v>123.4905</v>
      </c>
      <c r="H219" s="59">
        <f t="shared" si="194"/>
        <v>102.90875</v>
      </c>
      <c r="I219" s="59">
        <f t="shared" si="195"/>
        <v>24.208883480826</v>
      </c>
      <c r="J219" s="60">
        <f t="shared" si="196"/>
        <v>0.272009926750853</v>
      </c>
      <c r="K219" s="57">
        <f t="shared" si="197"/>
        <v>108.325</v>
      </c>
      <c r="L219" s="163">
        <f t="shared" si="198"/>
        <v>0.178398338333718</v>
      </c>
      <c r="M219" s="59">
        <f t="shared" si="199"/>
        <v>19.325</v>
      </c>
      <c r="N219" s="57">
        <f t="shared" si="200"/>
        <v>224.690265486726</v>
      </c>
      <c r="O219" s="57">
        <f t="shared" si="201"/>
        <v>2.58333333333333</v>
      </c>
      <c r="P219" s="53">
        <v>3</v>
      </c>
      <c r="Q219" s="62">
        <v>8</v>
      </c>
      <c r="R219" s="63">
        <f t="shared" si="202"/>
        <v>0.112359550561798</v>
      </c>
      <c r="S219" s="60">
        <f t="shared" si="213"/>
        <v>0.0769289945380414</v>
      </c>
      <c r="T219" s="63">
        <f t="shared" si="203"/>
        <v>0.0730280898876405</v>
      </c>
      <c r="U219" s="63">
        <v>0.01</v>
      </c>
      <c r="V219" s="63">
        <f t="shared" si="204"/>
        <v>0.315576215571244</v>
      </c>
      <c r="W219" s="63">
        <f t="shared" si="205"/>
        <v>0.0290262172284644</v>
      </c>
      <c r="X219" s="61">
        <v>0.188</v>
      </c>
      <c r="Y219" s="64">
        <v>10</v>
      </c>
      <c r="Z219" s="64">
        <f>F219*0.05</f>
        <v>6.4995</v>
      </c>
      <c r="AA219" s="64">
        <f t="shared" si="206"/>
        <v>0.89</v>
      </c>
      <c r="AB219" s="57">
        <f t="shared" si="207"/>
        <v>16.732</v>
      </c>
      <c r="AC219" s="57">
        <v>220</v>
      </c>
      <c r="AD219" s="65">
        <f t="shared" si="208"/>
        <v>194.690265486726</v>
      </c>
      <c r="AE219" s="62">
        <f t="shared" si="209"/>
        <v>3.75</v>
      </c>
      <c r="AF219" s="63">
        <f t="shared" si="210"/>
        <v>0.27344138411057</v>
      </c>
      <c r="AG219" s="63">
        <f t="shared" si="211"/>
        <v>0.0421348314606742</v>
      </c>
      <c r="AH219" s="62">
        <v>30</v>
      </c>
      <c r="AI219" s="63">
        <f t="shared" si="212"/>
        <v>0.297746790238925</v>
      </c>
      <c r="AJ219" s="63"/>
      <c r="AK219" s="63"/>
      <c r="AL219" s="63"/>
      <c r="AM219" s="63"/>
      <c r="AN219" s="66"/>
      <c r="AO219" s="66"/>
      <c r="AP219" s="66"/>
      <c r="AQ219" s="66"/>
      <c r="AR219" s="66"/>
      <c r="AS219" s="66"/>
      <c r="AT219" s="66" t="s">
        <v>600</v>
      </c>
      <c r="AU219" s="66" t="s">
        <v>600</v>
      </c>
      <c r="AV219" s="66" t="s">
        <v>600</v>
      </c>
      <c r="AW219" s="66" t="s">
        <v>600</v>
      </c>
      <c r="AX219" s="66" t="s">
        <v>600</v>
      </c>
      <c r="AY219" s="66" t="s">
        <v>600</v>
      </c>
      <c r="AZ219" s="66" t="s">
        <v>600</v>
      </c>
      <c r="BA219" s="66" t="s">
        <v>600</v>
      </c>
      <c r="BB219" s="66" t="s">
        <v>600</v>
      </c>
      <c r="BC219" s="66" t="s">
        <v>600</v>
      </c>
      <c r="BD219" s="66" t="s">
        <v>600</v>
      </c>
      <c r="BE219" s="66" t="s">
        <v>600</v>
      </c>
      <c r="BF219" s="66" t="s">
        <v>600</v>
      </c>
      <c r="BG219" s="66" t="s">
        <v>600</v>
      </c>
      <c r="BH219" s="66" t="s">
        <v>600</v>
      </c>
      <c r="BI219" s="66" t="s">
        <v>600</v>
      </c>
      <c r="BJ219" s="66" t="s">
        <v>600</v>
      </c>
      <c r="BK219" s="66" t="s">
        <v>600</v>
      </c>
      <c r="BL219" s="66" t="s">
        <v>600</v>
      </c>
      <c r="BM219" s="66" t="s">
        <v>600</v>
      </c>
      <c r="BN219" s="66" t="s">
        <v>600</v>
      </c>
      <c r="BO219" s="66" t="s">
        <v>600</v>
      </c>
      <c r="BP219" s="66" t="s">
        <v>600</v>
      </c>
      <c r="BQ219" s="66" t="s">
        <v>600</v>
      </c>
      <c r="BR219" s="164"/>
      <c r="BS219" s="68" t="s">
        <v>601</v>
      </c>
    </row>
    <row r="220" ht="15.6" spans="1:71">
      <c r="A220" s="53" t="s">
        <v>277</v>
      </c>
      <c r="B220" s="53" t="s">
        <v>27</v>
      </c>
      <c r="C220" s="53" t="s">
        <v>626</v>
      </c>
      <c r="D220" s="166" t="s">
        <v>615</v>
      </c>
      <c r="E220" s="58">
        <v>89</v>
      </c>
      <c r="F220" s="56">
        <v>129.99</v>
      </c>
      <c r="G220" s="59">
        <f t="shared" si="193"/>
        <v>116.991</v>
      </c>
      <c r="H220" s="59">
        <f t="shared" si="194"/>
        <v>97.4925</v>
      </c>
      <c r="I220" s="59">
        <f t="shared" si="195"/>
        <v>17.709383480826</v>
      </c>
      <c r="J220" s="60">
        <f t="shared" si="196"/>
        <v>0.198981836863213</v>
      </c>
      <c r="K220" s="57">
        <f t="shared" si="197"/>
        <v>108.325</v>
      </c>
      <c r="L220" s="163">
        <f t="shared" si="198"/>
        <v>0.178398338333718</v>
      </c>
      <c r="M220" s="59">
        <f t="shared" si="199"/>
        <v>19.325</v>
      </c>
      <c r="N220" s="57">
        <f t="shared" si="200"/>
        <v>224.690265486726</v>
      </c>
      <c r="O220" s="57">
        <f t="shared" si="201"/>
        <v>2.58333333333333</v>
      </c>
      <c r="P220" s="53">
        <v>3</v>
      </c>
      <c r="Q220" s="62">
        <v>8</v>
      </c>
      <c r="R220" s="63">
        <f t="shared" si="202"/>
        <v>0.112359550561798</v>
      </c>
      <c r="S220" s="60">
        <f t="shared" si="213"/>
        <v>0.0769289945380414</v>
      </c>
      <c r="T220" s="63">
        <f t="shared" si="203"/>
        <v>0.146056179775281</v>
      </c>
      <c r="U220" s="63">
        <v>0.01</v>
      </c>
      <c r="V220" s="63">
        <f t="shared" si="204"/>
        <v>0.315576215571244</v>
      </c>
      <c r="W220" s="63">
        <f t="shared" si="205"/>
        <v>0.0290262172284644</v>
      </c>
      <c r="X220" s="61">
        <v>0.188</v>
      </c>
      <c r="Y220" s="64">
        <v>10</v>
      </c>
      <c r="Z220" s="64">
        <f>F220*0.1</f>
        <v>12.999</v>
      </c>
      <c r="AA220" s="64">
        <f t="shared" si="206"/>
        <v>0.89</v>
      </c>
      <c r="AB220" s="57">
        <f t="shared" si="207"/>
        <v>16.732</v>
      </c>
      <c r="AC220" s="57">
        <v>220</v>
      </c>
      <c r="AD220" s="65">
        <f t="shared" si="208"/>
        <v>194.690265486726</v>
      </c>
      <c r="AE220" s="62">
        <f t="shared" si="209"/>
        <v>3.75</v>
      </c>
      <c r="AF220" s="63">
        <f t="shared" si="210"/>
        <v>0.27344138411057</v>
      </c>
      <c r="AG220" s="63">
        <f t="shared" si="211"/>
        <v>0.0421348314606742</v>
      </c>
      <c r="AH220" s="62">
        <v>30</v>
      </c>
      <c r="AI220" s="63">
        <f t="shared" si="212"/>
        <v>0.258732723029977</v>
      </c>
      <c r="AJ220" s="63"/>
      <c r="AK220" s="63"/>
      <c r="AL220" s="63"/>
      <c r="AM220" s="63"/>
      <c r="AN220" s="66"/>
      <c r="AO220" s="66"/>
      <c r="AP220" s="66"/>
      <c r="AQ220" s="66"/>
      <c r="AR220" s="66"/>
      <c r="AS220" s="66"/>
      <c r="AT220" s="66" t="s">
        <v>600</v>
      </c>
      <c r="AU220" s="66" t="s">
        <v>600</v>
      </c>
      <c r="AV220" s="66" t="s">
        <v>600</v>
      </c>
      <c r="AW220" s="66" t="s">
        <v>600</v>
      </c>
      <c r="AX220" s="66" t="s">
        <v>600</v>
      </c>
      <c r="AY220" s="66" t="s">
        <v>600</v>
      </c>
      <c r="AZ220" s="66" t="s">
        <v>600</v>
      </c>
      <c r="BA220" s="66" t="s">
        <v>600</v>
      </c>
      <c r="BB220" s="66" t="s">
        <v>600</v>
      </c>
      <c r="BC220" s="66" t="s">
        <v>600</v>
      </c>
      <c r="BD220" s="66" t="s">
        <v>600</v>
      </c>
      <c r="BE220" s="66" t="s">
        <v>600</v>
      </c>
      <c r="BF220" s="66" t="s">
        <v>600</v>
      </c>
      <c r="BG220" s="66" t="s">
        <v>600</v>
      </c>
      <c r="BH220" s="66" t="s">
        <v>600</v>
      </c>
      <c r="BI220" s="66" t="s">
        <v>600</v>
      </c>
      <c r="BJ220" s="66" t="s">
        <v>600</v>
      </c>
      <c r="BK220" s="66" t="s">
        <v>600</v>
      </c>
      <c r="BL220" s="66" t="s">
        <v>600</v>
      </c>
      <c r="BM220" s="66" t="s">
        <v>600</v>
      </c>
      <c r="BN220" s="66" t="s">
        <v>600</v>
      </c>
      <c r="BO220" s="66" t="s">
        <v>600</v>
      </c>
      <c r="BP220" s="66" t="s">
        <v>600</v>
      </c>
      <c r="BQ220" s="66" t="s">
        <v>600</v>
      </c>
      <c r="BR220" s="164"/>
      <c r="BS220" s="68" t="s">
        <v>601</v>
      </c>
    </row>
    <row r="221" ht="15.6" spans="1:71">
      <c r="A221" s="53" t="s">
        <v>277</v>
      </c>
      <c r="B221" s="53" t="s">
        <v>27</v>
      </c>
      <c r="C221" s="53" t="s">
        <v>626</v>
      </c>
      <c r="D221" s="166" t="s">
        <v>616</v>
      </c>
      <c r="E221" s="58">
        <v>89</v>
      </c>
      <c r="F221" s="56">
        <v>129.99</v>
      </c>
      <c r="G221" s="59">
        <f t="shared" si="193"/>
        <v>110.4915</v>
      </c>
      <c r="H221" s="59">
        <f t="shared" si="194"/>
        <v>92.07625</v>
      </c>
      <c r="I221" s="59">
        <f t="shared" si="195"/>
        <v>11.209883480826</v>
      </c>
      <c r="J221" s="60">
        <f t="shared" si="196"/>
        <v>0.125953746975573</v>
      </c>
      <c r="K221" s="57">
        <f t="shared" si="197"/>
        <v>108.325</v>
      </c>
      <c r="L221" s="163">
        <f t="shared" si="198"/>
        <v>0.178398338333718</v>
      </c>
      <c r="M221" s="59">
        <f t="shared" si="199"/>
        <v>19.325</v>
      </c>
      <c r="N221" s="57">
        <f t="shared" si="200"/>
        <v>224.690265486726</v>
      </c>
      <c r="O221" s="57">
        <f t="shared" si="201"/>
        <v>2.58333333333333</v>
      </c>
      <c r="P221" s="53">
        <v>3</v>
      </c>
      <c r="Q221" s="62">
        <v>8</v>
      </c>
      <c r="R221" s="63">
        <f t="shared" si="202"/>
        <v>0.112359550561798</v>
      </c>
      <c r="S221" s="60">
        <f t="shared" si="213"/>
        <v>0.0769289945380414</v>
      </c>
      <c r="T221" s="63">
        <f t="shared" si="203"/>
        <v>0.219084269662921</v>
      </c>
      <c r="U221" s="63">
        <v>0.01</v>
      </c>
      <c r="V221" s="63">
        <f t="shared" si="204"/>
        <v>0.315576215571244</v>
      </c>
      <c r="W221" s="63">
        <f t="shared" si="205"/>
        <v>0.0290262172284644</v>
      </c>
      <c r="X221" s="61">
        <v>0.188</v>
      </c>
      <c r="Y221" s="64">
        <v>10</v>
      </c>
      <c r="Z221" s="64">
        <f>F221*0.15</f>
        <v>19.4985</v>
      </c>
      <c r="AA221" s="64">
        <f t="shared" si="206"/>
        <v>0.89</v>
      </c>
      <c r="AB221" s="57">
        <f t="shared" si="207"/>
        <v>16.732</v>
      </c>
      <c r="AC221" s="57">
        <v>220</v>
      </c>
      <c r="AD221" s="65">
        <f t="shared" si="208"/>
        <v>194.690265486726</v>
      </c>
      <c r="AE221" s="62">
        <f t="shared" si="209"/>
        <v>3.75</v>
      </c>
      <c r="AF221" s="63">
        <f t="shared" si="210"/>
        <v>0.27344138411057</v>
      </c>
      <c r="AG221" s="63">
        <f t="shared" si="211"/>
        <v>0.0421348314606742</v>
      </c>
      <c r="AH221" s="62">
        <v>30</v>
      </c>
      <c r="AI221" s="63">
        <f t="shared" si="212"/>
        <v>0.215128765561152</v>
      </c>
      <c r="AJ221" s="63"/>
      <c r="AK221" s="63"/>
      <c r="AL221" s="63"/>
      <c r="AM221" s="63"/>
      <c r="AN221" s="66"/>
      <c r="AO221" s="66"/>
      <c r="AP221" s="66"/>
      <c r="AQ221" s="66"/>
      <c r="AR221" s="66"/>
      <c r="AS221" s="66"/>
      <c r="AT221" s="66" t="s">
        <v>600</v>
      </c>
      <c r="AU221" s="66" t="s">
        <v>600</v>
      </c>
      <c r="AV221" s="66" t="s">
        <v>600</v>
      </c>
      <c r="AW221" s="66" t="s">
        <v>600</v>
      </c>
      <c r="AX221" s="66" t="s">
        <v>600</v>
      </c>
      <c r="AY221" s="66" t="s">
        <v>600</v>
      </c>
      <c r="AZ221" s="66" t="s">
        <v>600</v>
      </c>
      <c r="BA221" s="66" t="s">
        <v>600</v>
      </c>
      <c r="BB221" s="66" t="s">
        <v>600</v>
      </c>
      <c r="BC221" s="66" t="s">
        <v>600</v>
      </c>
      <c r="BD221" s="66" t="s">
        <v>600</v>
      </c>
      <c r="BE221" s="66" t="s">
        <v>600</v>
      </c>
      <c r="BF221" s="66" t="s">
        <v>600</v>
      </c>
      <c r="BG221" s="66" t="s">
        <v>600</v>
      </c>
      <c r="BH221" s="66" t="s">
        <v>600</v>
      </c>
      <c r="BI221" s="66" t="s">
        <v>600</v>
      </c>
      <c r="BJ221" s="66" t="s">
        <v>600</v>
      </c>
      <c r="BK221" s="66" t="s">
        <v>600</v>
      </c>
      <c r="BL221" s="66" t="s">
        <v>600</v>
      </c>
      <c r="BM221" s="66" t="s">
        <v>600</v>
      </c>
      <c r="BN221" s="66" t="s">
        <v>600</v>
      </c>
      <c r="BO221" s="66" t="s">
        <v>600</v>
      </c>
      <c r="BP221" s="66" t="s">
        <v>600</v>
      </c>
      <c r="BQ221" s="66" t="s">
        <v>600</v>
      </c>
      <c r="BR221" s="164"/>
      <c r="BS221" s="68" t="s">
        <v>601</v>
      </c>
    </row>
    <row r="222" ht="15.6" spans="1:71">
      <c r="A222" s="53" t="s">
        <v>511</v>
      </c>
      <c r="B222" s="53" t="s">
        <v>27</v>
      </c>
      <c r="C222" s="53" t="s">
        <v>626</v>
      </c>
      <c r="D222" s="166" t="s">
        <v>613</v>
      </c>
      <c r="E222" s="58">
        <v>93</v>
      </c>
      <c r="F222" s="56">
        <v>134.99</v>
      </c>
      <c r="G222" s="59">
        <f t="shared" si="193"/>
        <v>134.99</v>
      </c>
      <c r="H222" s="59">
        <f t="shared" si="194"/>
        <v>112.491666666667</v>
      </c>
      <c r="I222" s="59">
        <f t="shared" si="195"/>
        <v>31.7497168141593</v>
      </c>
      <c r="J222" s="60">
        <f t="shared" si="196"/>
        <v>0.341394804453326</v>
      </c>
      <c r="K222" s="57">
        <f t="shared" si="197"/>
        <v>112.491666666667</v>
      </c>
      <c r="L222" s="163">
        <f t="shared" si="198"/>
        <v>0.173272094229202</v>
      </c>
      <c r="M222" s="59">
        <f t="shared" si="199"/>
        <v>19.4916666666667</v>
      </c>
      <c r="N222" s="57">
        <f t="shared" si="200"/>
        <v>224.690265486726</v>
      </c>
      <c r="O222" s="57">
        <f t="shared" si="201"/>
        <v>4.75</v>
      </c>
      <c r="P222" s="53">
        <v>3</v>
      </c>
      <c r="Q222" s="62">
        <v>8</v>
      </c>
      <c r="R222" s="63">
        <f t="shared" si="202"/>
        <v>0.10752688172043</v>
      </c>
      <c r="S222" s="60">
        <f t="shared" si="213"/>
        <v>0.0740795614489962</v>
      </c>
      <c r="T222" s="63">
        <f t="shared" si="203"/>
        <v>0</v>
      </c>
      <c r="U222" s="63">
        <v>0.01</v>
      </c>
      <c r="V222" s="63">
        <f t="shared" si="204"/>
        <v>0.30200304500904</v>
      </c>
      <c r="W222" s="63">
        <f t="shared" si="205"/>
        <v>0.0510752688172043</v>
      </c>
      <c r="X222" s="61">
        <v>0.188</v>
      </c>
      <c r="Y222" s="64">
        <v>10</v>
      </c>
      <c r="Z222" s="64">
        <v>0</v>
      </c>
      <c r="AA222" s="64">
        <f t="shared" si="206"/>
        <v>0.93</v>
      </c>
      <c r="AB222" s="57">
        <f t="shared" si="207"/>
        <v>17.484</v>
      </c>
      <c r="AC222" s="57">
        <v>220</v>
      </c>
      <c r="AD222" s="65">
        <f t="shared" si="208"/>
        <v>194.690265486726</v>
      </c>
      <c r="AE222" s="62">
        <f t="shared" si="209"/>
        <v>3.75</v>
      </c>
      <c r="AF222" s="63">
        <f t="shared" si="210"/>
        <v>0.261680464363879</v>
      </c>
      <c r="AG222" s="63">
        <f t="shared" si="211"/>
        <v>0.0403225806451613</v>
      </c>
      <c r="AH222" s="62">
        <v>30</v>
      </c>
      <c r="AI222" s="63">
        <f t="shared" si="212"/>
        <v>0.328696940514112</v>
      </c>
      <c r="AJ222" s="63"/>
      <c r="AK222" s="63"/>
      <c r="AL222" s="63"/>
      <c r="AM222" s="63"/>
      <c r="AN222" s="66"/>
      <c r="AO222" s="66"/>
      <c r="AP222" s="66"/>
      <c r="AQ222" s="66"/>
      <c r="AR222" s="66"/>
      <c r="AS222" s="66"/>
      <c r="AT222" s="66" t="s">
        <v>600</v>
      </c>
      <c r="AU222" s="66" t="s">
        <v>600</v>
      </c>
      <c r="AV222" s="66" t="s">
        <v>600</v>
      </c>
      <c r="AW222" s="66" t="s">
        <v>600</v>
      </c>
      <c r="AX222" s="66" t="s">
        <v>600</v>
      </c>
      <c r="AY222" s="66" t="s">
        <v>600</v>
      </c>
      <c r="AZ222" s="66" t="s">
        <v>600</v>
      </c>
      <c r="BA222" s="66" t="s">
        <v>600</v>
      </c>
      <c r="BB222" s="66" t="s">
        <v>600</v>
      </c>
      <c r="BC222" s="66" t="s">
        <v>600</v>
      </c>
      <c r="BD222" s="66" t="s">
        <v>600</v>
      </c>
      <c r="BE222" s="66" t="s">
        <v>600</v>
      </c>
      <c r="BF222" s="66" t="s">
        <v>600</v>
      </c>
      <c r="BG222" s="66" t="s">
        <v>600</v>
      </c>
      <c r="BH222" s="66" t="s">
        <v>600</v>
      </c>
      <c r="BI222" s="66" t="s">
        <v>600</v>
      </c>
      <c r="BJ222" s="66" t="s">
        <v>600</v>
      </c>
      <c r="BK222" s="66" t="s">
        <v>600</v>
      </c>
      <c r="BL222" s="66" t="s">
        <v>600</v>
      </c>
      <c r="BM222" s="66" t="s">
        <v>600</v>
      </c>
      <c r="BN222" s="66" t="s">
        <v>600</v>
      </c>
      <c r="BO222" s="66" t="s">
        <v>600</v>
      </c>
      <c r="BP222" s="66" t="s">
        <v>600</v>
      </c>
      <c r="BQ222" s="66" t="s">
        <v>600</v>
      </c>
      <c r="BR222" s="164"/>
      <c r="BS222" s="68" t="s">
        <v>601</v>
      </c>
    </row>
    <row r="223" ht="15.6" spans="1:71">
      <c r="A223" s="53" t="s">
        <v>511</v>
      </c>
      <c r="B223" s="53" t="s">
        <v>27</v>
      </c>
      <c r="C223" s="53" t="s">
        <v>626</v>
      </c>
      <c r="D223" s="166" t="s">
        <v>614</v>
      </c>
      <c r="E223" s="58">
        <v>93</v>
      </c>
      <c r="F223" s="56">
        <v>134.99</v>
      </c>
      <c r="G223" s="59">
        <f t="shared" si="193"/>
        <v>128.2405</v>
      </c>
      <c r="H223" s="59">
        <f t="shared" si="194"/>
        <v>106.867083333333</v>
      </c>
      <c r="I223" s="59">
        <f t="shared" si="195"/>
        <v>25.0002168141593</v>
      </c>
      <c r="J223" s="60">
        <f t="shared" si="196"/>
        <v>0.268819535636121</v>
      </c>
      <c r="K223" s="57">
        <f t="shared" si="197"/>
        <v>112.491666666667</v>
      </c>
      <c r="L223" s="163">
        <f t="shared" si="198"/>
        <v>0.173272094229202</v>
      </c>
      <c r="M223" s="59">
        <f t="shared" si="199"/>
        <v>19.4916666666667</v>
      </c>
      <c r="N223" s="57">
        <f t="shared" si="200"/>
        <v>224.690265486726</v>
      </c>
      <c r="O223" s="57">
        <f t="shared" si="201"/>
        <v>4.75</v>
      </c>
      <c r="P223" s="53">
        <v>3</v>
      </c>
      <c r="Q223" s="62">
        <v>8</v>
      </c>
      <c r="R223" s="63">
        <f t="shared" si="202"/>
        <v>0.10752688172043</v>
      </c>
      <c r="S223" s="60">
        <f t="shared" si="213"/>
        <v>0.0740795614489962</v>
      </c>
      <c r="T223" s="63">
        <f t="shared" si="203"/>
        <v>0.0725752688172043</v>
      </c>
      <c r="U223" s="63">
        <v>0.01</v>
      </c>
      <c r="V223" s="63">
        <f t="shared" si="204"/>
        <v>0.30200304500904</v>
      </c>
      <c r="W223" s="63">
        <f t="shared" si="205"/>
        <v>0.0510752688172043</v>
      </c>
      <c r="X223" s="61">
        <v>0.188</v>
      </c>
      <c r="Y223" s="64">
        <v>10</v>
      </c>
      <c r="Z223" s="64">
        <f>F223*0.05</f>
        <v>6.7495</v>
      </c>
      <c r="AA223" s="64">
        <f t="shared" si="206"/>
        <v>0.93</v>
      </c>
      <c r="AB223" s="57">
        <f t="shared" si="207"/>
        <v>17.484</v>
      </c>
      <c r="AC223" s="57">
        <v>220</v>
      </c>
      <c r="AD223" s="65">
        <f t="shared" si="208"/>
        <v>194.690265486726</v>
      </c>
      <c r="AE223" s="62">
        <f t="shared" si="209"/>
        <v>3.75</v>
      </c>
      <c r="AF223" s="63">
        <f t="shared" si="210"/>
        <v>0.261680464363879</v>
      </c>
      <c r="AG223" s="63">
        <f t="shared" si="211"/>
        <v>0.0403225806451613</v>
      </c>
      <c r="AH223" s="62">
        <v>30</v>
      </c>
      <c r="AI223" s="63">
        <f t="shared" si="212"/>
        <v>0.293365200541171</v>
      </c>
      <c r="AJ223" s="63"/>
      <c r="AK223" s="63"/>
      <c r="AL223" s="63"/>
      <c r="AM223" s="63"/>
      <c r="AN223" s="66"/>
      <c r="AO223" s="66"/>
      <c r="AP223" s="66"/>
      <c r="AQ223" s="66"/>
      <c r="AR223" s="66"/>
      <c r="AS223" s="66"/>
      <c r="AT223" s="66" t="s">
        <v>600</v>
      </c>
      <c r="AU223" s="66" t="s">
        <v>600</v>
      </c>
      <c r="AV223" s="66" t="s">
        <v>600</v>
      </c>
      <c r="AW223" s="66" t="s">
        <v>600</v>
      </c>
      <c r="AX223" s="66" t="s">
        <v>600</v>
      </c>
      <c r="AY223" s="66" t="s">
        <v>600</v>
      </c>
      <c r="AZ223" s="66" t="s">
        <v>600</v>
      </c>
      <c r="BA223" s="66" t="s">
        <v>600</v>
      </c>
      <c r="BB223" s="66" t="s">
        <v>600</v>
      </c>
      <c r="BC223" s="66" t="s">
        <v>600</v>
      </c>
      <c r="BD223" s="66" t="s">
        <v>600</v>
      </c>
      <c r="BE223" s="66" t="s">
        <v>600</v>
      </c>
      <c r="BF223" s="66" t="s">
        <v>600</v>
      </c>
      <c r="BG223" s="66" t="s">
        <v>600</v>
      </c>
      <c r="BH223" s="66" t="s">
        <v>600</v>
      </c>
      <c r="BI223" s="66" t="s">
        <v>600</v>
      </c>
      <c r="BJ223" s="66" t="s">
        <v>600</v>
      </c>
      <c r="BK223" s="66" t="s">
        <v>600</v>
      </c>
      <c r="BL223" s="66" t="s">
        <v>600</v>
      </c>
      <c r="BM223" s="66" t="s">
        <v>600</v>
      </c>
      <c r="BN223" s="66" t="s">
        <v>600</v>
      </c>
      <c r="BO223" s="66" t="s">
        <v>600</v>
      </c>
      <c r="BP223" s="66" t="s">
        <v>600</v>
      </c>
      <c r="BQ223" s="66" t="s">
        <v>600</v>
      </c>
      <c r="BR223" s="164"/>
      <c r="BS223" s="68" t="s">
        <v>601</v>
      </c>
    </row>
    <row r="224" ht="15.6" spans="1:71">
      <c r="A224" s="53" t="s">
        <v>511</v>
      </c>
      <c r="B224" s="53" t="s">
        <v>27</v>
      </c>
      <c r="C224" s="53" t="s">
        <v>626</v>
      </c>
      <c r="D224" s="166" t="s">
        <v>615</v>
      </c>
      <c r="E224" s="58">
        <v>93</v>
      </c>
      <c r="F224" s="56">
        <v>134.99</v>
      </c>
      <c r="G224" s="59">
        <f t="shared" si="193"/>
        <v>121.491</v>
      </c>
      <c r="H224" s="59">
        <f t="shared" si="194"/>
        <v>101.2425</v>
      </c>
      <c r="I224" s="59">
        <f t="shared" si="195"/>
        <v>18.2507168141593</v>
      </c>
      <c r="J224" s="60">
        <f t="shared" si="196"/>
        <v>0.196244266818917</v>
      </c>
      <c r="K224" s="57">
        <f t="shared" si="197"/>
        <v>112.491666666667</v>
      </c>
      <c r="L224" s="163">
        <f t="shared" si="198"/>
        <v>0.173272094229202</v>
      </c>
      <c r="M224" s="59">
        <f t="shared" si="199"/>
        <v>19.4916666666667</v>
      </c>
      <c r="N224" s="57">
        <f t="shared" si="200"/>
        <v>224.690265486726</v>
      </c>
      <c r="O224" s="57">
        <f t="shared" si="201"/>
        <v>4.75</v>
      </c>
      <c r="P224" s="53">
        <v>3</v>
      </c>
      <c r="Q224" s="62">
        <v>8</v>
      </c>
      <c r="R224" s="63">
        <f t="shared" si="202"/>
        <v>0.10752688172043</v>
      </c>
      <c r="S224" s="60">
        <f t="shared" si="213"/>
        <v>0.0740795614489962</v>
      </c>
      <c r="T224" s="63">
        <f t="shared" si="203"/>
        <v>0.145150537634409</v>
      </c>
      <c r="U224" s="63">
        <v>0.01</v>
      </c>
      <c r="V224" s="63">
        <f t="shared" si="204"/>
        <v>0.30200304500904</v>
      </c>
      <c r="W224" s="63">
        <f t="shared" si="205"/>
        <v>0.0510752688172043</v>
      </c>
      <c r="X224" s="61">
        <v>0.188</v>
      </c>
      <c r="Y224" s="64">
        <v>10</v>
      </c>
      <c r="Z224" s="64">
        <f>F224*0.1</f>
        <v>13.499</v>
      </c>
      <c r="AA224" s="64">
        <f t="shared" si="206"/>
        <v>0.93</v>
      </c>
      <c r="AB224" s="57">
        <f t="shared" si="207"/>
        <v>17.484</v>
      </c>
      <c r="AC224" s="57">
        <v>220</v>
      </c>
      <c r="AD224" s="65">
        <f t="shared" si="208"/>
        <v>194.690265486726</v>
      </c>
      <c r="AE224" s="62">
        <f t="shared" si="209"/>
        <v>3.75</v>
      </c>
      <c r="AF224" s="63">
        <f t="shared" si="210"/>
        <v>0.261680464363879</v>
      </c>
      <c r="AG224" s="63">
        <f t="shared" si="211"/>
        <v>0.0403225806451613</v>
      </c>
      <c r="AH224" s="62">
        <v>30</v>
      </c>
      <c r="AI224" s="63">
        <f t="shared" si="212"/>
        <v>0.254107711682347</v>
      </c>
      <c r="AJ224" s="63"/>
      <c r="AK224" s="63"/>
      <c r="AL224" s="63"/>
      <c r="AM224" s="63"/>
      <c r="AN224" s="66"/>
      <c r="AO224" s="66"/>
      <c r="AP224" s="66"/>
      <c r="AQ224" s="66"/>
      <c r="AR224" s="66"/>
      <c r="AS224" s="66"/>
      <c r="AT224" s="66" t="s">
        <v>600</v>
      </c>
      <c r="AU224" s="66" t="s">
        <v>600</v>
      </c>
      <c r="AV224" s="66" t="s">
        <v>600</v>
      </c>
      <c r="AW224" s="66" t="s">
        <v>600</v>
      </c>
      <c r="AX224" s="66" t="s">
        <v>600</v>
      </c>
      <c r="AY224" s="66" t="s">
        <v>600</v>
      </c>
      <c r="AZ224" s="66" t="s">
        <v>600</v>
      </c>
      <c r="BA224" s="66" t="s">
        <v>600</v>
      </c>
      <c r="BB224" s="66" t="s">
        <v>600</v>
      </c>
      <c r="BC224" s="66" t="s">
        <v>600</v>
      </c>
      <c r="BD224" s="66" t="s">
        <v>600</v>
      </c>
      <c r="BE224" s="66" t="s">
        <v>600</v>
      </c>
      <c r="BF224" s="66" t="s">
        <v>600</v>
      </c>
      <c r="BG224" s="66" t="s">
        <v>600</v>
      </c>
      <c r="BH224" s="66" t="s">
        <v>600</v>
      </c>
      <c r="BI224" s="66" t="s">
        <v>600</v>
      </c>
      <c r="BJ224" s="66" t="s">
        <v>600</v>
      </c>
      <c r="BK224" s="66" t="s">
        <v>600</v>
      </c>
      <c r="BL224" s="66" t="s">
        <v>600</v>
      </c>
      <c r="BM224" s="66" t="s">
        <v>600</v>
      </c>
      <c r="BN224" s="66" t="s">
        <v>600</v>
      </c>
      <c r="BO224" s="66" t="s">
        <v>600</v>
      </c>
      <c r="BP224" s="66" t="s">
        <v>600</v>
      </c>
      <c r="BQ224" s="66" t="s">
        <v>600</v>
      </c>
      <c r="BR224" s="164"/>
      <c r="BS224" s="68" t="s">
        <v>601</v>
      </c>
    </row>
    <row r="225" ht="15.6" spans="1:71">
      <c r="A225" s="53" t="s">
        <v>511</v>
      </c>
      <c r="B225" s="53" t="s">
        <v>27</v>
      </c>
      <c r="C225" s="53" t="s">
        <v>626</v>
      </c>
      <c r="D225" s="166" t="s">
        <v>616</v>
      </c>
      <c r="E225" s="58">
        <v>93</v>
      </c>
      <c r="F225" s="56">
        <v>134.99</v>
      </c>
      <c r="G225" s="59">
        <f t="shared" si="193"/>
        <v>114.7415</v>
      </c>
      <c r="H225" s="59">
        <f t="shared" si="194"/>
        <v>95.6179166666667</v>
      </c>
      <c r="I225" s="59">
        <f t="shared" si="195"/>
        <v>11.5012168141593</v>
      </c>
      <c r="J225" s="60">
        <f t="shared" si="196"/>
        <v>0.123668998001713</v>
      </c>
      <c r="K225" s="57">
        <f t="shared" si="197"/>
        <v>112.491666666667</v>
      </c>
      <c r="L225" s="163">
        <f t="shared" si="198"/>
        <v>0.173272094229202</v>
      </c>
      <c r="M225" s="59">
        <f t="shared" si="199"/>
        <v>19.4916666666667</v>
      </c>
      <c r="N225" s="57">
        <f t="shared" si="200"/>
        <v>224.690265486726</v>
      </c>
      <c r="O225" s="57">
        <f t="shared" si="201"/>
        <v>4.75</v>
      </c>
      <c r="P225" s="53">
        <v>3</v>
      </c>
      <c r="Q225" s="62">
        <v>8</v>
      </c>
      <c r="R225" s="63">
        <f t="shared" si="202"/>
        <v>0.10752688172043</v>
      </c>
      <c r="S225" s="60">
        <f t="shared" si="213"/>
        <v>0.0740795614489962</v>
      </c>
      <c r="T225" s="63">
        <f t="shared" si="203"/>
        <v>0.217725806451613</v>
      </c>
      <c r="U225" s="63">
        <v>0.01</v>
      </c>
      <c r="V225" s="63">
        <f t="shared" si="204"/>
        <v>0.30200304500904</v>
      </c>
      <c r="W225" s="63">
        <f t="shared" si="205"/>
        <v>0.0510752688172043</v>
      </c>
      <c r="X225" s="61">
        <v>0.188</v>
      </c>
      <c r="Y225" s="64">
        <v>10</v>
      </c>
      <c r="Z225" s="64">
        <f>F225*0.15</f>
        <v>20.2485</v>
      </c>
      <c r="AA225" s="64">
        <f t="shared" si="206"/>
        <v>0.93</v>
      </c>
      <c r="AB225" s="57">
        <f t="shared" si="207"/>
        <v>17.484</v>
      </c>
      <c r="AC225" s="57">
        <v>220</v>
      </c>
      <c r="AD225" s="65">
        <f t="shared" si="208"/>
        <v>194.690265486726</v>
      </c>
      <c r="AE225" s="62">
        <f t="shared" si="209"/>
        <v>3.75</v>
      </c>
      <c r="AF225" s="63">
        <f t="shared" si="210"/>
        <v>0.261680464363879</v>
      </c>
      <c r="AG225" s="63">
        <f t="shared" si="211"/>
        <v>0.0403225806451613</v>
      </c>
      <c r="AH225" s="62">
        <v>30</v>
      </c>
      <c r="AI225" s="63">
        <f t="shared" ref="AI225:AI237" si="214">(K225-E225+AB225)/(K225-Z225)</f>
        <v>0.400849927456234</v>
      </c>
      <c r="AJ225" s="63"/>
      <c r="AK225" s="63"/>
      <c r="AL225" s="63"/>
      <c r="AM225" s="63"/>
      <c r="AN225" s="66"/>
      <c r="AO225" s="66"/>
      <c r="AP225" s="66"/>
      <c r="AQ225" s="66"/>
      <c r="AR225" s="66"/>
      <c r="AS225" s="66"/>
      <c r="AT225" s="66" t="s">
        <v>600</v>
      </c>
      <c r="AU225" s="66" t="s">
        <v>600</v>
      </c>
      <c r="AV225" s="66" t="s">
        <v>600</v>
      </c>
      <c r="AW225" s="66" t="s">
        <v>600</v>
      </c>
      <c r="AX225" s="66" t="s">
        <v>600</v>
      </c>
      <c r="AY225" s="66" t="s">
        <v>600</v>
      </c>
      <c r="AZ225" s="66" t="s">
        <v>600</v>
      </c>
      <c r="BA225" s="66" t="s">
        <v>600</v>
      </c>
      <c r="BB225" s="66" t="s">
        <v>600</v>
      </c>
      <c r="BC225" s="66" t="s">
        <v>600</v>
      </c>
      <c r="BD225" s="66" t="s">
        <v>600</v>
      </c>
      <c r="BE225" s="66" t="s">
        <v>600</v>
      </c>
      <c r="BF225" s="66" t="s">
        <v>600</v>
      </c>
      <c r="BG225" s="66" t="s">
        <v>600</v>
      </c>
      <c r="BH225" s="66" t="s">
        <v>600</v>
      </c>
      <c r="BI225" s="66" t="s">
        <v>600</v>
      </c>
      <c r="BJ225" s="66" t="s">
        <v>600</v>
      </c>
      <c r="BK225" s="66" t="s">
        <v>600</v>
      </c>
      <c r="BL225" s="66" t="s">
        <v>600</v>
      </c>
      <c r="BM225" s="66" t="s">
        <v>600</v>
      </c>
      <c r="BN225" s="66" t="s">
        <v>600</v>
      </c>
      <c r="BO225" s="66" t="s">
        <v>600</v>
      </c>
      <c r="BP225" s="66" t="s">
        <v>600</v>
      </c>
      <c r="BQ225" s="66" t="s">
        <v>600</v>
      </c>
      <c r="BR225" s="164"/>
      <c r="BS225" s="68" t="s">
        <v>601</v>
      </c>
    </row>
    <row r="226" ht="15.6" spans="1:71">
      <c r="A226" s="53" t="s">
        <v>513</v>
      </c>
      <c r="B226" s="53" t="s">
        <v>27</v>
      </c>
      <c r="C226" s="53" t="s">
        <v>626</v>
      </c>
      <c r="D226" s="166" t="s">
        <v>613</v>
      </c>
      <c r="E226" s="58">
        <v>93</v>
      </c>
      <c r="F226" s="56">
        <v>134.99</v>
      </c>
      <c r="G226" s="59">
        <f t="shared" si="193"/>
        <v>134.99</v>
      </c>
      <c r="H226" s="59">
        <f t="shared" si="194"/>
        <v>112.491666666667</v>
      </c>
      <c r="I226" s="59">
        <f t="shared" si="195"/>
        <v>31.4163834808259</v>
      </c>
      <c r="J226" s="60">
        <f t="shared" si="196"/>
        <v>0.337810575062645</v>
      </c>
      <c r="K226" s="57">
        <f t="shared" si="197"/>
        <v>112.491666666667</v>
      </c>
      <c r="L226" s="163">
        <f t="shared" si="198"/>
        <v>0.173272094229202</v>
      </c>
      <c r="M226" s="59">
        <f t="shared" si="199"/>
        <v>19.4916666666667</v>
      </c>
      <c r="N226" s="57">
        <f t="shared" si="200"/>
        <v>224.690265486726</v>
      </c>
      <c r="O226" s="57">
        <f t="shared" si="201"/>
        <v>5.08333333333333</v>
      </c>
      <c r="P226" s="53">
        <v>3</v>
      </c>
      <c r="Q226" s="62">
        <v>8</v>
      </c>
      <c r="R226" s="63">
        <f t="shared" si="202"/>
        <v>0.10752688172043</v>
      </c>
      <c r="S226" s="60">
        <f t="shared" si="213"/>
        <v>0.0740795614489962</v>
      </c>
      <c r="T226" s="63">
        <f t="shared" si="203"/>
        <v>0</v>
      </c>
      <c r="U226" s="63">
        <v>0.01</v>
      </c>
      <c r="V226" s="63">
        <f t="shared" si="204"/>
        <v>0.30200304500904</v>
      </c>
      <c r="W226" s="63">
        <f t="shared" si="205"/>
        <v>0.0546594982078853</v>
      </c>
      <c r="X226" s="61">
        <v>0.188</v>
      </c>
      <c r="Y226" s="64">
        <v>10</v>
      </c>
      <c r="Z226" s="64">
        <v>0</v>
      </c>
      <c r="AA226" s="64">
        <f t="shared" si="206"/>
        <v>0.93</v>
      </c>
      <c r="AB226" s="57">
        <f t="shared" si="207"/>
        <v>17.484</v>
      </c>
      <c r="AC226" s="57">
        <v>220</v>
      </c>
      <c r="AD226" s="65">
        <f t="shared" si="208"/>
        <v>194.690265486726</v>
      </c>
      <c r="AE226" s="62">
        <f t="shared" si="209"/>
        <v>3.75</v>
      </c>
      <c r="AF226" s="63">
        <f t="shared" si="210"/>
        <v>0.261680464363879</v>
      </c>
      <c r="AG226" s="63">
        <f t="shared" si="211"/>
        <v>0.0403225806451613</v>
      </c>
      <c r="AH226" s="62">
        <v>30</v>
      </c>
      <c r="AI226" s="60">
        <f t="shared" si="214"/>
        <v>0.328696940514112</v>
      </c>
      <c r="AJ226" s="60"/>
      <c r="AK226" s="60"/>
      <c r="AL226" s="60"/>
      <c r="AM226" s="60"/>
      <c r="AN226" s="66"/>
      <c r="AO226" s="66"/>
      <c r="AP226" s="66"/>
      <c r="AQ226" s="66"/>
      <c r="AR226" s="66"/>
      <c r="AS226" s="66"/>
      <c r="AT226" s="66" t="s">
        <v>600</v>
      </c>
      <c r="AU226" s="66" t="s">
        <v>600</v>
      </c>
      <c r="AV226" s="66" t="s">
        <v>600</v>
      </c>
      <c r="AW226" s="66" t="s">
        <v>600</v>
      </c>
      <c r="AX226" s="66" t="s">
        <v>600</v>
      </c>
      <c r="AY226" s="66" t="s">
        <v>600</v>
      </c>
      <c r="AZ226" s="66" t="s">
        <v>600</v>
      </c>
      <c r="BA226" s="66" t="s">
        <v>600</v>
      </c>
      <c r="BB226" s="66" t="s">
        <v>600</v>
      </c>
      <c r="BC226" s="66" t="s">
        <v>600</v>
      </c>
      <c r="BD226" s="66" t="s">
        <v>600</v>
      </c>
      <c r="BE226" s="66" t="s">
        <v>600</v>
      </c>
      <c r="BF226" s="66" t="s">
        <v>600</v>
      </c>
      <c r="BG226" s="66" t="s">
        <v>600</v>
      </c>
      <c r="BH226" s="66" t="s">
        <v>600</v>
      </c>
      <c r="BI226" s="66" t="s">
        <v>600</v>
      </c>
      <c r="BJ226" s="66" t="s">
        <v>600</v>
      </c>
      <c r="BK226" s="66" t="s">
        <v>600</v>
      </c>
      <c r="BL226" s="66" t="s">
        <v>600</v>
      </c>
      <c r="BM226" s="66" t="s">
        <v>600</v>
      </c>
      <c r="BN226" s="66" t="s">
        <v>600</v>
      </c>
      <c r="BO226" s="66" t="s">
        <v>600</v>
      </c>
      <c r="BP226" s="66" t="s">
        <v>600</v>
      </c>
      <c r="BQ226" s="66" t="s">
        <v>600</v>
      </c>
      <c r="BR226" s="164"/>
      <c r="BS226" s="68" t="s">
        <v>601</v>
      </c>
    </row>
    <row r="227" ht="15.6" spans="1:71">
      <c r="A227" s="53" t="s">
        <v>513</v>
      </c>
      <c r="B227" s="53" t="s">
        <v>27</v>
      </c>
      <c r="C227" s="53" t="s">
        <v>626</v>
      </c>
      <c r="D227" s="166" t="s">
        <v>614</v>
      </c>
      <c r="E227" s="58">
        <v>93</v>
      </c>
      <c r="F227" s="56">
        <v>134.99</v>
      </c>
      <c r="G227" s="59">
        <f t="shared" si="193"/>
        <v>128.2405</v>
      </c>
      <c r="H227" s="59">
        <f t="shared" si="194"/>
        <v>106.867083333333</v>
      </c>
      <c r="I227" s="59">
        <f t="shared" si="195"/>
        <v>24.6668834808259</v>
      </c>
      <c r="J227" s="60">
        <f t="shared" si="196"/>
        <v>0.26523530624544</v>
      </c>
      <c r="K227" s="57">
        <f t="shared" si="197"/>
        <v>112.491666666667</v>
      </c>
      <c r="L227" s="163">
        <f t="shared" si="198"/>
        <v>0.173272094229202</v>
      </c>
      <c r="M227" s="59">
        <f t="shared" si="199"/>
        <v>19.4916666666667</v>
      </c>
      <c r="N227" s="57">
        <f t="shared" si="200"/>
        <v>224.690265486726</v>
      </c>
      <c r="O227" s="57">
        <f t="shared" si="201"/>
        <v>5.08333333333333</v>
      </c>
      <c r="P227" s="53">
        <v>3</v>
      </c>
      <c r="Q227" s="62">
        <v>8</v>
      </c>
      <c r="R227" s="63">
        <f t="shared" si="202"/>
        <v>0.10752688172043</v>
      </c>
      <c r="S227" s="60">
        <f t="shared" si="213"/>
        <v>0.0740795614489962</v>
      </c>
      <c r="T227" s="63">
        <f t="shared" si="203"/>
        <v>0.0725752688172043</v>
      </c>
      <c r="U227" s="63">
        <v>0.01</v>
      </c>
      <c r="V227" s="63">
        <f t="shared" si="204"/>
        <v>0.30200304500904</v>
      </c>
      <c r="W227" s="63">
        <f t="shared" si="205"/>
        <v>0.0546594982078853</v>
      </c>
      <c r="X227" s="61">
        <v>0.188</v>
      </c>
      <c r="Y227" s="64">
        <v>10</v>
      </c>
      <c r="Z227" s="64">
        <f>F227*0.05</f>
        <v>6.7495</v>
      </c>
      <c r="AA227" s="64">
        <f t="shared" si="206"/>
        <v>0.93</v>
      </c>
      <c r="AB227" s="57">
        <f t="shared" si="207"/>
        <v>17.484</v>
      </c>
      <c r="AC227" s="57">
        <v>220</v>
      </c>
      <c r="AD227" s="65">
        <f t="shared" si="208"/>
        <v>194.690265486726</v>
      </c>
      <c r="AE227" s="62">
        <f t="shared" si="209"/>
        <v>3.75</v>
      </c>
      <c r="AF227" s="63">
        <f t="shared" si="210"/>
        <v>0.261680464363879</v>
      </c>
      <c r="AG227" s="63">
        <f t="shared" si="211"/>
        <v>0.0403225806451613</v>
      </c>
      <c r="AH227" s="62">
        <v>30</v>
      </c>
      <c r="AI227" s="60">
        <f t="shared" si="214"/>
        <v>0.349677596291609</v>
      </c>
      <c r="AJ227" s="60"/>
      <c r="AK227" s="60"/>
      <c r="AL227" s="60"/>
      <c r="AM227" s="60"/>
      <c r="AN227" s="66"/>
      <c r="AO227" s="66"/>
      <c r="AP227" s="66"/>
      <c r="AQ227" s="66"/>
      <c r="AR227" s="66"/>
      <c r="AS227" s="66"/>
      <c r="AT227" s="66" t="s">
        <v>600</v>
      </c>
      <c r="AU227" s="66" t="s">
        <v>600</v>
      </c>
      <c r="AV227" s="66" t="s">
        <v>600</v>
      </c>
      <c r="AW227" s="66" t="s">
        <v>600</v>
      </c>
      <c r="AX227" s="66" t="s">
        <v>600</v>
      </c>
      <c r="AY227" s="66" t="s">
        <v>600</v>
      </c>
      <c r="AZ227" s="66" t="s">
        <v>600</v>
      </c>
      <c r="BA227" s="66" t="s">
        <v>600</v>
      </c>
      <c r="BB227" s="66" t="s">
        <v>600</v>
      </c>
      <c r="BC227" s="66" t="s">
        <v>600</v>
      </c>
      <c r="BD227" s="66" t="s">
        <v>600</v>
      </c>
      <c r="BE227" s="66" t="s">
        <v>600</v>
      </c>
      <c r="BF227" s="66" t="s">
        <v>600</v>
      </c>
      <c r="BG227" s="66" t="s">
        <v>600</v>
      </c>
      <c r="BH227" s="66" t="s">
        <v>600</v>
      </c>
      <c r="BI227" s="66" t="s">
        <v>600</v>
      </c>
      <c r="BJ227" s="66" t="s">
        <v>600</v>
      </c>
      <c r="BK227" s="66" t="s">
        <v>600</v>
      </c>
      <c r="BL227" s="66" t="s">
        <v>600</v>
      </c>
      <c r="BM227" s="66" t="s">
        <v>600</v>
      </c>
      <c r="BN227" s="66" t="s">
        <v>600</v>
      </c>
      <c r="BO227" s="66" t="s">
        <v>600</v>
      </c>
      <c r="BP227" s="66" t="s">
        <v>600</v>
      </c>
      <c r="BQ227" s="66" t="s">
        <v>600</v>
      </c>
      <c r="BR227" s="164"/>
      <c r="BS227" s="68" t="s">
        <v>601</v>
      </c>
    </row>
    <row r="228" ht="15.6" spans="1:71">
      <c r="A228" s="53" t="s">
        <v>513</v>
      </c>
      <c r="B228" s="53" t="s">
        <v>27</v>
      </c>
      <c r="C228" s="53" t="s">
        <v>626</v>
      </c>
      <c r="D228" s="166" t="s">
        <v>615</v>
      </c>
      <c r="E228" s="58">
        <v>93</v>
      </c>
      <c r="F228" s="56">
        <v>134.99</v>
      </c>
      <c r="G228" s="59">
        <f t="shared" si="193"/>
        <v>121.491</v>
      </c>
      <c r="H228" s="59">
        <f t="shared" si="194"/>
        <v>101.2425</v>
      </c>
      <c r="I228" s="59">
        <f t="shared" si="195"/>
        <v>17.9173834808259</v>
      </c>
      <c r="J228" s="60">
        <f t="shared" si="196"/>
        <v>0.192660037428236</v>
      </c>
      <c r="K228" s="57">
        <f t="shared" si="197"/>
        <v>112.491666666667</v>
      </c>
      <c r="L228" s="163">
        <f t="shared" si="198"/>
        <v>0.173272094229202</v>
      </c>
      <c r="M228" s="59">
        <f t="shared" si="199"/>
        <v>19.4916666666667</v>
      </c>
      <c r="N228" s="57">
        <f t="shared" si="200"/>
        <v>224.690265486726</v>
      </c>
      <c r="O228" s="57">
        <f t="shared" si="201"/>
        <v>5.08333333333333</v>
      </c>
      <c r="P228" s="53">
        <v>3</v>
      </c>
      <c r="Q228" s="62">
        <v>8</v>
      </c>
      <c r="R228" s="63">
        <f t="shared" si="202"/>
        <v>0.10752688172043</v>
      </c>
      <c r="S228" s="60">
        <f t="shared" si="213"/>
        <v>0.0740795614489962</v>
      </c>
      <c r="T228" s="63">
        <f t="shared" si="203"/>
        <v>0.145150537634409</v>
      </c>
      <c r="U228" s="63">
        <v>0.01</v>
      </c>
      <c r="V228" s="63">
        <f t="shared" si="204"/>
        <v>0.30200304500904</v>
      </c>
      <c r="W228" s="63">
        <f t="shared" si="205"/>
        <v>0.0546594982078853</v>
      </c>
      <c r="X228" s="61">
        <v>0.188</v>
      </c>
      <c r="Y228" s="64">
        <v>10</v>
      </c>
      <c r="Z228" s="64">
        <f>F228*0.1</f>
        <v>13.499</v>
      </c>
      <c r="AA228" s="64">
        <f t="shared" si="206"/>
        <v>0.93</v>
      </c>
      <c r="AB228" s="57">
        <f t="shared" si="207"/>
        <v>17.484</v>
      </c>
      <c r="AC228" s="57">
        <v>220</v>
      </c>
      <c r="AD228" s="65">
        <f t="shared" si="208"/>
        <v>194.690265486726</v>
      </c>
      <c r="AE228" s="62">
        <f t="shared" si="209"/>
        <v>3.75</v>
      </c>
      <c r="AF228" s="63">
        <f t="shared" si="210"/>
        <v>0.261680464363879</v>
      </c>
      <c r="AG228" s="63">
        <f t="shared" si="211"/>
        <v>0.0403225806451613</v>
      </c>
      <c r="AH228" s="62">
        <v>30</v>
      </c>
      <c r="AI228" s="60">
        <f t="shared" si="214"/>
        <v>0.373519250584218</v>
      </c>
      <c r="AJ228" s="60"/>
      <c r="AK228" s="60"/>
      <c r="AL228" s="60"/>
      <c r="AM228" s="60"/>
      <c r="AN228" s="66"/>
      <c r="AO228" s="66"/>
      <c r="AP228" s="66"/>
      <c r="AQ228" s="66"/>
      <c r="AR228" s="66"/>
      <c r="AS228" s="66"/>
      <c r="AT228" s="66" t="s">
        <v>600</v>
      </c>
      <c r="AU228" s="66" t="s">
        <v>600</v>
      </c>
      <c r="AV228" s="66" t="s">
        <v>600</v>
      </c>
      <c r="AW228" s="66" t="s">
        <v>600</v>
      </c>
      <c r="AX228" s="66" t="s">
        <v>600</v>
      </c>
      <c r="AY228" s="66" t="s">
        <v>600</v>
      </c>
      <c r="AZ228" s="66" t="s">
        <v>600</v>
      </c>
      <c r="BA228" s="66" t="s">
        <v>600</v>
      </c>
      <c r="BB228" s="66" t="s">
        <v>600</v>
      </c>
      <c r="BC228" s="66" t="s">
        <v>600</v>
      </c>
      <c r="BD228" s="66" t="s">
        <v>600</v>
      </c>
      <c r="BE228" s="66" t="s">
        <v>600</v>
      </c>
      <c r="BF228" s="66" t="s">
        <v>600</v>
      </c>
      <c r="BG228" s="66" t="s">
        <v>600</v>
      </c>
      <c r="BH228" s="66" t="s">
        <v>600</v>
      </c>
      <c r="BI228" s="66" t="s">
        <v>600</v>
      </c>
      <c r="BJ228" s="66" t="s">
        <v>600</v>
      </c>
      <c r="BK228" s="66" t="s">
        <v>600</v>
      </c>
      <c r="BL228" s="66" t="s">
        <v>600</v>
      </c>
      <c r="BM228" s="66" t="s">
        <v>600</v>
      </c>
      <c r="BN228" s="66" t="s">
        <v>600</v>
      </c>
      <c r="BO228" s="66" t="s">
        <v>600</v>
      </c>
      <c r="BP228" s="66" t="s">
        <v>600</v>
      </c>
      <c r="BQ228" s="66" t="s">
        <v>600</v>
      </c>
      <c r="BR228" s="164"/>
      <c r="BS228" s="68" t="s">
        <v>601</v>
      </c>
    </row>
    <row r="229" ht="15.6" spans="1:71">
      <c r="A229" s="53" t="s">
        <v>513</v>
      </c>
      <c r="B229" s="53" t="s">
        <v>27</v>
      </c>
      <c r="C229" s="53" t="s">
        <v>626</v>
      </c>
      <c r="D229" s="166" t="s">
        <v>616</v>
      </c>
      <c r="E229" s="58">
        <v>93</v>
      </c>
      <c r="F229" s="56">
        <v>134.99</v>
      </c>
      <c r="G229" s="59">
        <f t="shared" si="193"/>
        <v>114.7415</v>
      </c>
      <c r="H229" s="59">
        <f t="shared" si="194"/>
        <v>95.6179166666667</v>
      </c>
      <c r="I229" s="59">
        <f t="shared" si="195"/>
        <v>11.1678834808259</v>
      </c>
      <c r="J229" s="60">
        <f t="shared" si="196"/>
        <v>0.120084768611032</v>
      </c>
      <c r="K229" s="57">
        <f t="shared" si="197"/>
        <v>112.491666666667</v>
      </c>
      <c r="L229" s="163">
        <f t="shared" si="198"/>
        <v>0.173272094229202</v>
      </c>
      <c r="M229" s="59">
        <f t="shared" si="199"/>
        <v>19.4916666666667</v>
      </c>
      <c r="N229" s="57">
        <f t="shared" si="200"/>
        <v>224.690265486726</v>
      </c>
      <c r="O229" s="57">
        <f t="shared" si="201"/>
        <v>5.08333333333333</v>
      </c>
      <c r="P229" s="53">
        <v>3</v>
      </c>
      <c r="Q229" s="62">
        <v>8</v>
      </c>
      <c r="R229" s="63">
        <f t="shared" si="202"/>
        <v>0.10752688172043</v>
      </c>
      <c r="S229" s="60">
        <f t="shared" si="213"/>
        <v>0.0740795614489962</v>
      </c>
      <c r="T229" s="63">
        <f t="shared" si="203"/>
        <v>0.217725806451613</v>
      </c>
      <c r="U229" s="63">
        <v>0.01</v>
      </c>
      <c r="V229" s="63">
        <f t="shared" si="204"/>
        <v>0.30200304500904</v>
      </c>
      <c r="W229" s="63">
        <f t="shared" si="205"/>
        <v>0.0546594982078853</v>
      </c>
      <c r="X229" s="61">
        <v>0.188</v>
      </c>
      <c r="Y229" s="64">
        <v>10</v>
      </c>
      <c r="Z229" s="64">
        <f>F229*0.15</f>
        <v>20.2485</v>
      </c>
      <c r="AA229" s="64">
        <f t="shared" si="206"/>
        <v>0.93</v>
      </c>
      <c r="AB229" s="57">
        <f t="shared" si="207"/>
        <v>17.484</v>
      </c>
      <c r="AC229" s="57">
        <v>220</v>
      </c>
      <c r="AD229" s="65">
        <f t="shared" si="208"/>
        <v>194.690265486726</v>
      </c>
      <c r="AE229" s="62">
        <f t="shared" si="209"/>
        <v>3.75</v>
      </c>
      <c r="AF229" s="63">
        <f t="shared" si="210"/>
        <v>0.261680464363879</v>
      </c>
      <c r="AG229" s="63">
        <f t="shared" si="211"/>
        <v>0.0403225806451613</v>
      </c>
      <c r="AH229" s="62">
        <v>30</v>
      </c>
      <c r="AI229" s="60">
        <f t="shared" si="214"/>
        <v>0.400849927456234</v>
      </c>
      <c r="AJ229" s="60"/>
      <c r="AK229" s="60"/>
      <c r="AL229" s="60"/>
      <c r="AM229" s="60"/>
      <c r="AN229" s="66"/>
      <c r="AO229" s="66"/>
      <c r="AP229" s="66"/>
      <c r="AQ229" s="66"/>
      <c r="AR229" s="66"/>
      <c r="AS229" s="66"/>
      <c r="AT229" s="66" t="s">
        <v>600</v>
      </c>
      <c r="AU229" s="66" t="s">
        <v>600</v>
      </c>
      <c r="AV229" s="66" t="s">
        <v>600</v>
      </c>
      <c r="AW229" s="66" t="s">
        <v>600</v>
      </c>
      <c r="AX229" s="66" t="s">
        <v>600</v>
      </c>
      <c r="AY229" s="66" t="s">
        <v>600</v>
      </c>
      <c r="AZ229" s="66" t="s">
        <v>600</v>
      </c>
      <c r="BA229" s="66" t="s">
        <v>600</v>
      </c>
      <c r="BB229" s="66" t="s">
        <v>600</v>
      </c>
      <c r="BC229" s="66" t="s">
        <v>600</v>
      </c>
      <c r="BD229" s="66" t="s">
        <v>600</v>
      </c>
      <c r="BE229" s="66" t="s">
        <v>600</v>
      </c>
      <c r="BF229" s="66" t="s">
        <v>600</v>
      </c>
      <c r="BG229" s="66" t="s">
        <v>600</v>
      </c>
      <c r="BH229" s="66" t="s">
        <v>600</v>
      </c>
      <c r="BI229" s="66" t="s">
        <v>600</v>
      </c>
      <c r="BJ229" s="66" t="s">
        <v>600</v>
      </c>
      <c r="BK229" s="66" t="s">
        <v>600</v>
      </c>
      <c r="BL229" s="66" t="s">
        <v>600</v>
      </c>
      <c r="BM229" s="66" t="s">
        <v>600</v>
      </c>
      <c r="BN229" s="66" t="s">
        <v>600</v>
      </c>
      <c r="BO229" s="66" t="s">
        <v>600</v>
      </c>
      <c r="BP229" s="66" t="s">
        <v>600</v>
      </c>
      <c r="BQ229" s="66" t="s">
        <v>600</v>
      </c>
      <c r="BR229" s="164"/>
      <c r="BS229" s="68" t="s">
        <v>601</v>
      </c>
    </row>
    <row r="230" ht="15.6" spans="1:71">
      <c r="A230" s="53" t="s">
        <v>516</v>
      </c>
      <c r="B230" s="53" t="s">
        <v>27</v>
      </c>
      <c r="C230" s="53" t="s">
        <v>626</v>
      </c>
      <c r="D230" s="166" t="s">
        <v>613</v>
      </c>
      <c r="E230" s="58">
        <v>93</v>
      </c>
      <c r="F230" s="56">
        <v>134.99</v>
      </c>
      <c r="G230" s="59">
        <f t="shared" si="193"/>
        <v>134.99</v>
      </c>
      <c r="H230" s="59">
        <f t="shared" si="194"/>
        <v>112.491666666667</v>
      </c>
      <c r="I230" s="59">
        <f t="shared" si="195"/>
        <v>30.0830501474926</v>
      </c>
      <c r="J230" s="60">
        <f t="shared" si="196"/>
        <v>0.323473657499921</v>
      </c>
      <c r="K230" s="57">
        <f t="shared" si="197"/>
        <v>112.491666666667</v>
      </c>
      <c r="L230" s="163">
        <f t="shared" si="198"/>
        <v>0.173272094229202</v>
      </c>
      <c r="M230" s="59">
        <f t="shared" si="199"/>
        <v>19.4916666666667</v>
      </c>
      <c r="N230" s="57">
        <f t="shared" si="200"/>
        <v>224.690265486726</v>
      </c>
      <c r="O230" s="57">
        <f t="shared" si="201"/>
        <v>6.41666666666667</v>
      </c>
      <c r="P230" s="53">
        <v>3</v>
      </c>
      <c r="Q230" s="62">
        <v>8</v>
      </c>
      <c r="R230" s="63">
        <f t="shared" si="202"/>
        <v>0.10752688172043</v>
      </c>
      <c r="S230" s="60">
        <f t="shared" si="213"/>
        <v>0.0740795614489962</v>
      </c>
      <c r="T230" s="63">
        <f t="shared" si="203"/>
        <v>0</v>
      </c>
      <c r="U230" s="63">
        <v>0.01</v>
      </c>
      <c r="V230" s="63">
        <f t="shared" si="204"/>
        <v>0.30200304500904</v>
      </c>
      <c r="W230" s="63">
        <f t="shared" si="205"/>
        <v>0.0689964157706093</v>
      </c>
      <c r="X230" s="61">
        <v>0.188</v>
      </c>
      <c r="Y230" s="64">
        <v>10</v>
      </c>
      <c r="Z230" s="64">
        <v>0</v>
      </c>
      <c r="AA230" s="64">
        <f t="shared" si="206"/>
        <v>0.93</v>
      </c>
      <c r="AB230" s="57">
        <f t="shared" si="207"/>
        <v>17.484</v>
      </c>
      <c r="AC230" s="57">
        <v>220</v>
      </c>
      <c r="AD230" s="65">
        <f t="shared" si="208"/>
        <v>194.690265486726</v>
      </c>
      <c r="AE230" s="62">
        <f t="shared" si="209"/>
        <v>3.75</v>
      </c>
      <c r="AF230" s="63">
        <f t="shared" si="210"/>
        <v>0.261680464363879</v>
      </c>
      <c r="AG230" s="63">
        <f t="shared" si="211"/>
        <v>0.0403225806451613</v>
      </c>
      <c r="AH230" s="62">
        <v>30</v>
      </c>
      <c r="AI230" s="63">
        <f t="shared" si="214"/>
        <v>0.328696940514112</v>
      </c>
      <c r="AJ230" s="63"/>
      <c r="AK230" s="63"/>
      <c r="AL230" s="63"/>
      <c r="AM230" s="63"/>
      <c r="AN230" s="66"/>
      <c r="AO230" s="66"/>
      <c r="AP230" s="66"/>
      <c r="AQ230" s="66"/>
      <c r="AR230" s="66"/>
      <c r="AS230" s="66"/>
      <c r="AT230" s="66" t="s">
        <v>600</v>
      </c>
      <c r="AU230" s="66" t="s">
        <v>600</v>
      </c>
      <c r="AV230" s="66" t="s">
        <v>600</v>
      </c>
      <c r="AW230" s="66" t="s">
        <v>600</v>
      </c>
      <c r="AX230" s="66" t="s">
        <v>600</v>
      </c>
      <c r="AY230" s="66" t="s">
        <v>600</v>
      </c>
      <c r="AZ230" s="66" t="s">
        <v>600</v>
      </c>
      <c r="BA230" s="66" t="s">
        <v>600</v>
      </c>
      <c r="BB230" s="66" t="s">
        <v>600</v>
      </c>
      <c r="BC230" s="66" t="s">
        <v>600</v>
      </c>
      <c r="BD230" s="66" t="s">
        <v>600</v>
      </c>
      <c r="BE230" s="66" t="s">
        <v>600</v>
      </c>
      <c r="BF230" s="66" t="s">
        <v>600</v>
      </c>
      <c r="BG230" s="66" t="s">
        <v>600</v>
      </c>
      <c r="BH230" s="66" t="s">
        <v>600</v>
      </c>
      <c r="BI230" s="66" t="s">
        <v>600</v>
      </c>
      <c r="BJ230" s="66" t="s">
        <v>600</v>
      </c>
      <c r="BK230" s="66" t="s">
        <v>600</v>
      </c>
      <c r="BL230" s="66" t="s">
        <v>600</v>
      </c>
      <c r="BM230" s="66" t="s">
        <v>600</v>
      </c>
      <c r="BN230" s="66" t="s">
        <v>600</v>
      </c>
      <c r="BO230" s="66" t="s">
        <v>600</v>
      </c>
      <c r="BP230" s="66" t="s">
        <v>600</v>
      </c>
      <c r="BQ230" s="66" t="s">
        <v>600</v>
      </c>
      <c r="BR230" s="164"/>
      <c r="BS230" s="68" t="s">
        <v>601</v>
      </c>
    </row>
    <row r="231" ht="15.6" spans="1:71">
      <c r="A231" s="53" t="s">
        <v>516</v>
      </c>
      <c r="B231" s="53" t="s">
        <v>27</v>
      </c>
      <c r="C231" s="53" t="s">
        <v>626</v>
      </c>
      <c r="D231" s="166" t="s">
        <v>614</v>
      </c>
      <c r="E231" s="58">
        <v>93</v>
      </c>
      <c r="F231" s="56">
        <v>134.99</v>
      </c>
      <c r="G231" s="59">
        <f t="shared" si="193"/>
        <v>128.2405</v>
      </c>
      <c r="H231" s="59">
        <f t="shared" si="194"/>
        <v>106.867083333333</v>
      </c>
      <c r="I231" s="59">
        <f t="shared" si="195"/>
        <v>23.3335501474926</v>
      </c>
      <c r="J231" s="60">
        <f t="shared" si="196"/>
        <v>0.250898388682716</v>
      </c>
      <c r="K231" s="57">
        <f t="shared" si="197"/>
        <v>112.491666666667</v>
      </c>
      <c r="L231" s="163">
        <f t="shared" si="198"/>
        <v>0.173272094229202</v>
      </c>
      <c r="M231" s="59">
        <f t="shared" si="199"/>
        <v>19.4916666666667</v>
      </c>
      <c r="N231" s="57">
        <f t="shared" si="200"/>
        <v>224.690265486726</v>
      </c>
      <c r="O231" s="57">
        <f t="shared" si="201"/>
        <v>6.41666666666667</v>
      </c>
      <c r="P231" s="53">
        <v>3</v>
      </c>
      <c r="Q231" s="62">
        <v>8</v>
      </c>
      <c r="R231" s="63">
        <f t="shared" si="202"/>
        <v>0.10752688172043</v>
      </c>
      <c r="S231" s="60">
        <f t="shared" si="213"/>
        <v>0.0740795614489962</v>
      </c>
      <c r="T231" s="63">
        <f t="shared" si="203"/>
        <v>0.0725752688172043</v>
      </c>
      <c r="U231" s="63">
        <v>0.01</v>
      </c>
      <c r="V231" s="63">
        <f t="shared" si="204"/>
        <v>0.30200304500904</v>
      </c>
      <c r="W231" s="63">
        <f t="shared" si="205"/>
        <v>0.0689964157706093</v>
      </c>
      <c r="X231" s="61">
        <v>0.188</v>
      </c>
      <c r="Y231" s="64">
        <v>10</v>
      </c>
      <c r="Z231" s="64">
        <f>F231*0.05</f>
        <v>6.7495</v>
      </c>
      <c r="AA231" s="64">
        <f t="shared" si="206"/>
        <v>0.93</v>
      </c>
      <c r="AB231" s="57">
        <f t="shared" si="207"/>
        <v>17.484</v>
      </c>
      <c r="AC231" s="57">
        <v>220</v>
      </c>
      <c r="AD231" s="65">
        <f t="shared" si="208"/>
        <v>194.690265486726</v>
      </c>
      <c r="AE231" s="62">
        <f t="shared" si="209"/>
        <v>3.75</v>
      </c>
      <c r="AF231" s="63">
        <f t="shared" si="210"/>
        <v>0.261680464363879</v>
      </c>
      <c r="AG231" s="63">
        <f t="shared" si="211"/>
        <v>0.0403225806451613</v>
      </c>
      <c r="AH231" s="62">
        <v>30</v>
      </c>
      <c r="AI231" s="63">
        <f t="shared" si="214"/>
        <v>0.349677596291609</v>
      </c>
      <c r="AJ231" s="63"/>
      <c r="AK231" s="63"/>
      <c r="AL231" s="63"/>
      <c r="AM231" s="63"/>
      <c r="AN231" s="66"/>
      <c r="AO231" s="66"/>
      <c r="AP231" s="66"/>
      <c r="AQ231" s="66"/>
      <c r="AR231" s="66"/>
      <c r="AS231" s="66"/>
      <c r="AT231" s="66" t="s">
        <v>600</v>
      </c>
      <c r="AU231" s="66" t="s">
        <v>600</v>
      </c>
      <c r="AV231" s="66" t="s">
        <v>600</v>
      </c>
      <c r="AW231" s="66" t="s">
        <v>600</v>
      </c>
      <c r="AX231" s="66" t="s">
        <v>600</v>
      </c>
      <c r="AY231" s="66" t="s">
        <v>600</v>
      </c>
      <c r="AZ231" s="66" t="s">
        <v>600</v>
      </c>
      <c r="BA231" s="66" t="s">
        <v>600</v>
      </c>
      <c r="BB231" s="66" t="s">
        <v>600</v>
      </c>
      <c r="BC231" s="66" t="s">
        <v>600</v>
      </c>
      <c r="BD231" s="66" t="s">
        <v>600</v>
      </c>
      <c r="BE231" s="66" t="s">
        <v>600</v>
      </c>
      <c r="BF231" s="66" t="s">
        <v>600</v>
      </c>
      <c r="BG231" s="66" t="s">
        <v>600</v>
      </c>
      <c r="BH231" s="66" t="s">
        <v>600</v>
      </c>
      <c r="BI231" s="66" t="s">
        <v>600</v>
      </c>
      <c r="BJ231" s="66" t="s">
        <v>600</v>
      </c>
      <c r="BK231" s="66" t="s">
        <v>600</v>
      </c>
      <c r="BL231" s="66" t="s">
        <v>600</v>
      </c>
      <c r="BM231" s="66" t="s">
        <v>600</v>
      </c>
      <c r="BN231" s="66" t="s">
        <v>600</v>
      </c>
      <c r="BO231" s="66" t="s">
        <v>600</v>
      </c>
      <c r="BP231" s="66" t="s">
        <v>600</v>
      </c>
      <c r="BQ231" s="66" t="s">
        <v>600</v>
      </c>
      <c r="BR231" s="164"/>
      <c r="BS231" s="68" t="s">
        <v>601</v>
      </c>
    </row>
    <row r="232" ht="15.6" spans="1:71">
      <c r="A232" s="53" t="s">
        <v>516</v>
      </c>
      <c r="B232" s="53" t="s">
        <v>27</v>
      </c>
      <c r="C232" s="53" t="s">
        <v>626</v>
      </c>
      <c r="D232" s="166" t="s">
        <v>615</v>
      </c>
      <c r="E232" s="58">
        <v>93</v>
      </c>
      <c r="F232" s="56">
        <v>134.99</v>
      </c>
      <c r="G232" s="59">
        <f t="shared" si="193"/>
        <v>121.491</v>
      </c>
      <c r="H232" s="59">
        <f t="shared" si="194"/>
        <v>101.2425</v>
      </c>
      <c r="I232" s="59">
        <f t="shared" si="195"/>
        <v>16.5840501474926</v>
      </c>
      <c r="J232" s="60">
        <f t="shared" si="196"/>
        <v>0.178323119865512</v>
      </c>
      <c r="K232" s="57">
        <f t="shared" si="197"/>
        <v>112.491666666667</v>
      </c>
      <c r="L232" s="163">
        <f t="shared" si="198"/>
        <v>0.173272094229202</v>
      </c>
      <c r="M232" s="59">
        <f t="shared" si="199"/>
        <v>19.4916666666667</v>
      </c>
      <c r="N232" s="57">
        <f t="shared" si="200"/>
        <v>224.690265486726</v>
      </c>
      <c r="O232" s="57">
        <f t="shared" si="201"/>
        <v>6.41666666666667</v>
      </c>
      <c r="P232" s="53">
        <v>3</v>
      </c>
      <c r="Q232" s="62">
        <v>8</v>
      </c>
      <c r="R232" s="63">
        <f t="shared" si="202"/>
        <v>0.10752688172043</v>
      </c>
      <c r="S232" s="60">
        <f t="shared" si="213"/>
        <v>0.0740795614489962</v>
      </c>
      <c r="T232" s="63">
        <f t="shared" si="203"/>
        <v>0.145150537634409</v>
      </c>
      <c r="U232" s="63">
        <v>0.01</v>
      </c>
      <c r="V232" s="63">
        <f t="shared" si="204"/>
        <v>0.30200304500904</v>
      </c>
      <c r="W232" s="63">
        <f t="shared" si="205"/>
        <v>0.0689964157706093</v>
      </c>
      <c r="X232" s="61">
        <v>0.188</v>
      </c>
      <c r="Y232" s="64">
        <v>10</v>
      </c>
      <c r="Z232" s="64">
        <f>F232*0.1</f>
        <v>13.499</v>
      </c>
      <c r="AA232" s="64">
        <f t="shared" si="206"/>
        <v>0.93</v>
      </c>
      <c r="AB232" s="57">
        <f t="shared" si="207"/>
        <v>17.484</v>
      </c>
      <c r="AC232" s="57">
        <v>220</v>
      </c>
      <c r="AD232" s="65">
        <f t="shared" si="208"/>
        <v>194.690265486726</v>
      </c>
      <c r="AE232" s="62">
        <f t="shared" si="209"/>
        <v>3.75</v>
      </c>
      <c r="AF232" s="63">
        <f t="shared" si="210"/>
        <v>0.261680464363879</v>
      </c>
      <c r="AG232" s="63">
        <f t="shared" si="211"/>
        <v>0.0403225806451613</v>
      </c>
      <c r="AH232" s="62">
        <v>30</v>
      </c>
      <c r="AI232" s="63">
        <f t="shared" si="214"/>
        <v>0.373519250584218</v>
      </c>
      <c r="AJ232" s="63"/>
      <c r="AK232" s="63"/>
      <c r="AL232" s="63"/>
      <c r="AM232" s="63"/>
      <c r="AN232" s="66"/>
      <c r="AO232" s="66"/>
      <c r="AP232" s="66"/>
      <c r="AQ232" s="66"/>
      <c r="AR232" s="66"/>
      <c r="AS232" s="66"/>
      <c r="AT232" s="66" t="s">
        <v>600</v>
      </c>
      <c r="AU232" s="66" t="s">
        <v>600</v>
      </c>
      <c r="AV232" s="66" t="s">
        <v>600</v>
      </c>
      <c r="AW232" s="66" t="s">
        <v>600</v>
      </c>
      <c r="AX232" s="66" t="s">
        <v>600</v>
      </c>
      <c r="AY232" s="66" t="s">
        <v>600</v>
      </c>
      <c r="AZ232" s="66" t="s">
        <v>600</v>
      </c>
      <c r="BA232" s="66" t="s">
        <v>600</v>
      </c>
      <c r="BB232" s="66" t="s">
        <v>600</v>
      </c>
      <c r="BC232" s="66" t="s">
        <v>600</v>
      </c>
      <c r="BD232" s="66" t="s">
        <v>600</v>
      </c>
      <c r="BE232" s="66" t="s">
        <v>600</v>
      </c>
      <c r="BF232" s="66" t="s">
        <v>600</v>
      </c>
      <c r="BG232" s="66" t="s">
        <v>600</v>
      </c>
      <c r="BH232" s="66" t="s">
        <v>600</v>
      </c>
      <c r="BI232" s="66" t="s">
        <v>600</v>
      </c>
      <c r="BJ232" s="66" t="s">
        <v>600</v>
      </c>
      <c r="BK232" s="66" t="s">
        <v>600</v>
      </c>
      <c r="BL232" s="66" t="s">
        <v>600</v>
      </c>
      <c r="BM232" s="66" t="s">
        <v>600</v>
      </c>
      <c r="BN232" s="66" t="s">
        <v>600</v>
      </c>
      <c r="BO232" s="66" t="s">
        <v>600</v>
      </c>
      <c r="BP232" s="66" t="s">
        <v>600</v>
      </c>
      <c r="BQ232" s="66" t="s">
        <v>600</v>
      </c>
      <c r="BR232" s="164"/>
      <c r="BS232" s="68" t="s">
        <v>601</v>
      </c>
    </row>
    <row r="233" ht="15.6" spans="1:71">
      <c r="A233" s="53" t="s">
        <v>516</v>
      </c>
      <c r="B233" s="53" t="s">
        <v>27</v>
      </c>
      <c r="C233" s="53" t="s">
        <v>626</v>
      </c>
      <c r="D233" s="166" t="s">
        <v>616</v>
      </c>
      <c r="E233" s="58">
        <v>93</v>
      </c>
      <c r="F233" s="56">
        <v>134.99</v>
      </c>
      <c r="G233" s="59">
        <f t="shared" si="193"/>
        <v>114.7415</v>
      </c>
      <c r="H233" s="59">
        <f t="shared" si="194"/>
        <v>95.6179166666667</v>
      </c>
      <c r="I233" s="59">
        <f t="shared" si="195"/>
        <v>9.83455014749262</v>
      </c>
      <c r="J233" s="60">
        <f t="shared" si="196"/>
        <v>0.105747851048308</v>
      </c>
      <c r="K233" s="57">
        <f t="shared" si="197"/>
        <v>112.491666666667</v>
      </c>
      <c r="L233" s="163">
        <f t="shared" si="198"/>
        <v>0.173272094229202</v>
      </c>
      <c r="M233" s="59">
        <f t="shared" si="199"/>
        <v>19.4916666666667</v>
      </c>
      <c r="N233" s="57">
        <f t="shared" si="200"/>
        <v>224.690265486726</v>
      </c>
      <c r="O233" s="57">
        <f t="shared" si="201"/>
        <v>6.41666666666667</v>
      </c>
      <c r="P233" s="53">
        <v>3</v>
      </c>
      <c r="Q233" s="62">
        <v>8</v>
      </c>
      <c r="R233" s="63">
        <f t="shared" si="202"/>
        <v>0.10752688172043</v>
      </c>
      <c r="S233" s="60">
        <f t="shared" si="213"/>
        <v>0.0740795614489962</v>
      </c>
      <c r="T233" s="63">
        <f t="shared" si="203"/>
        <v>0.217725806451613</v>
      </c>
      <c r="U233" s="63">
        <v>0.01</v>
      </c>
      <c r="V233" s="63">
        <f t="shared" si="204"/>
        <v>0.30200304500904</v>
      </c>
      <c r="W233" s="63">
        <f t="shared" si="205"/>
        <v>0.0689964157706093</v>
      </c>
      <c r="X233" s="61">
        <v>0.188</v>
      </c>
      <c r="Y233" s="64">
        <v>10</v>
      </c>
      <c r="Z233" s="64">
        <f>F233*0.15</f>
        <v>20.2485</v>
      </c>
      <c r="AA233" s="64">
        <f t="shared" si="206"/>
        <v>0.93</v>
      </c>
      <c r="AB233" s="57">
        <f t="shared" si="207"/>
        <v>17.484</v>
      </c>
      <c r="AC233" s="57">
        <v>220</v>
      </c>
      <c r="AD233" s="65">
        <f t="shared" si="208"/>
        <v>194.690265486726</v>
      </c>
      <c r="AE233" s="62">
        <f t="shared" si="209"/>
        <v>3.75</v>
      </c>
      <c r="AF233" s="63">
        <f t="shared" si="210"/>
        <v>0.261680464363879</v>
      </c>
      <c r="AG233" s="63">
        <f t="shared" si="211"/>
        <v>0.0403225806451613</v>
      </c>
      <c r="AH233" s="62">
        <v>30</v>
      </c>
      <c r="AI233" s="63">
        <f t="shared" si="214"/>
        <v>0.400849927456234</v>
      </c>
      <c r="AJ233" s="63"/>
      <c r="AK233" s="63"/>
      <c r="AL233" s="63"/>
      <c r="AM233" s="63"/>
      <c r="AN233" s="66"/>
      <c r="AO233" s="66"/>
      <c r="AP233" s="66"/>
      <c r="AQ233" s="66"/>
      <c r="AR233" s="66"/>
      <c r="AS233" s="66"/>
      <c r="AT233" s="66" t="s">
        <v>600</v>
      </c>
      <c r="AU233" s="66" t="s">
        <v>600</v>
      </c>
      <c r="AV233" s="66" t="s">
        <v>600</v>
      </c>
      <c r="AW233" s="66" t="s">
        <v>600</v>
      </c>
      <c r="AX233" s="66" t="s">
        <v>600</v>
      </c>
      <c r="AY233" s="66" t="s">
        <v>600</v>
      </c>
      <c r="AZ233" s="66" t="s">
        <v>600</v>
      </c>
      <c r="BA233" s="66" t="s">
        <v>600</v>
      </c>
      <c r="BB233" s="66" t="s">
        <v>600</v>
      </c>
      <c r="BC233" s="66" t="s">
        <v>600</v>
      </c>
      <c r="BD233" s="66" t="s">
        <v>600</v>
      </c>
      <c r="BE233" s="66" t="s">
        <v>600</v>
      </c>
      <c r="BF233" s="66" t="s">
        <v>600</v>
      </c>
      <c r="BG233" s="66" t="s">
        <v>600</v>
      </c>
      <c r="BH233" s="66" t="s">
        <v>600</v>
      </c>
      <c r="BI233" s="66" t="s">
        <v>600</v>
      </c>
      <c r="BJ233" s="66" t="s">
        <v>600</v>
      </c>
      <c r="BK233" s="66" t="s">
        <v>600</v>
      </c>
      <c r="BL233" s="66" t="s">
        <v>600</v>
      </c>
      <c r="BM233" s="66" t="s">
        <v>600</v>
      </c>
      <c r="BN233" s="66" t="s">
        <v>600</v>
      </c>
      <c r="BO233" s="66" t="s">
        <v>600</v>
      </c>
      <c r="BP233" s="66" t="s">
        <v>600</v>
      </c>
      <c r="BQ233" s="66" t="s">
        <v>600</v>
      </c>
      <c r="BR233" s="164"/>
      <c r="BS233" s="68" t="s">
        <v>601</v>
      </c>
    </row>
    <row r="234" ht="15.6" spans="1:71">
      <c r="A234" s="53" t="s">
        <v>605</v>
      </c>
      <c r="B234" s="53" t="s">
        <v>27</v>
      </c>
      <c r="C234" s="53" t="s">
        <v>626</v>
      </c>
      <c r="D234" s="54" t="s">
        <v>617</v>
      </c>
      <c r="E234" s="58">
        <v>89</v>
      </c>
      <c r="F234" s="56">
        <v>129.99</v>
      </c>
      <c r="G234" s="59">
        <f t="shared" si="193"/>
        <v>129.99</v>
      </c>
      <c r="H234" s="59">
        <f t="shared" si="194"/>
        <v>108.325</v>
      </c>
      <c r="I234" s="59">
        <f t="shared" si="195"/>
        <v>37.708383480826</v>
      </c>
      <c r="J234" s="60">
        <f t="shared" si="196"/>
        <v>0.423689702031752</v>
      </c>
      <c r="K234" s="57">
        <f t="shared" si="197"/>
        <v>108.325</v>
      </c>
      <c r="L234" s="163">
        <f t="shared" si="198"/>
        <v>0.178398338333718</v>
      </c>
      <c r="M234" s="59">
        <f t="shared" si="199"/>
        <v>19.325</v>
      </c>
      <c r="N234" s="57">
        <f t="shared" si="200"/>
        <v>224.690265486726</v>
      </c>
      <c r="O234" s="57">
        <f t="shared" si="201"/>
        <v>5.58333333333333</v>
      </c>
      <c r="P234" s="53">
        <v>3</v>
      </c>
      <c r="Q234" s="62">
        <v>8</v>
      </c>
      <c r="R234" s="63">
        <f t="shared" si="202"/>
        <v>0</v>
      </c>
      <c r="S234" s="60">
        <f t="shared" si="213"/>
        <v>0</v>
      </c>
      <c r="T234" s="63">
        <f t="shared" si="203"/>
        <v>0</v>
      </c>
      <c r="U234" s="63">
        <v>0.01</v>
      </c>
      <c r="V234" s="63">
        <f t="shared" si="204"/>
        <v>0.315576215571244</v>
      </c>
      <c r="W234" s="63">
        <f t="shared" si="205"/>
        <v>0.0627340823970037</v>
      </c>
      <c r="X234" s="61">
        <v>0.188</v>
      </c>
      <c r="Y234" s="64">
        <v>0</v>
      </c>
      <c r="Z234" s="64">
        <f>F234*0</f>
        <v>0</v>
      </c>
      <c r="AA234" s="64">
        <f t="shared" si="206"/>
        <v>0.89</v>
      </c>
      <c r="AB234" s="57">
        <f t="shared" si="207"/>
        <v>16.732</v>
      </c>
      <c r="AC234" s="57">
        <v>220</v>
      </c>
      <c r="AD234" s="65">
        <f t="shared" si="208"/>
        <v>194.690265486726</v>
      </c>
      <c r="AE234" s="62">
        <f t="shared" si="209"/>
        <v>3.75</v>
      </c>
      <c r="AF234" s="63">
        <f t="shared" si="210"/>
        <v>0.27344138411057</v>
      </c>
      <c r="AG234" s="63">
        <f t="shared" si="211"/>
        <v>0.0421348314606742</v>
      </c>
      <c r="AH234" s="62">
        <v>30</v>
      </c>
      <c r="AI234" s="63">
        <f t="shared" si="214"/>
        <v>0.332859450726979</v>
      </c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 t="s">
        <v>600</v>
      </c>
      <c r="AU234" s="66" t="s">
        <v>600</v>
      </c>
      <c r="AV234" s="66" t="s">
        <v>600</v>
      </c>
      <c r="AW234" s="66" t="s">
        <v>600</v>
      </c>
      <c r="AX234" s="66" t="s">
        <v>600</v>
      </c>
      <c r="AY234" s="66" t="s">
        <v>600</v>
      </c>
      <c r="AZ234" s="66" t="s">
        <v>600</v>
      </c>
      <c r="BA234" s="66" t="s">
        <v>600</v>
      </c>
      <c r="BB234" s="66" t="s">
        <v>600</v>
      </c>
      <c r="BC234" s="66" t="s">
        <v>600</v>
      </c>
      <c r="BD234" s="66" t="s">
        <v>600</v>
      </c>
      <c r="BE234" s="66" t="s">
        <v>600</v>
      </c>
      <c r="BF234" s="66" t="s">
        <v>600</v>
      </c>
      <c r="BG234" s="66" t="s">
        <v>600</v>
      </c>
      <c r="BH234" s="66" t="s">
        <v>600</v>
      </c>
      <c r="BI234" s="66" t="s">
        <v>600</v>
      </c>
      <c r="BJ234" s="66" t="s">
        <v>600</v>
      </c>
      <c r="BK234" s="66" t="s">
        <v>600</v>
      </c>
      <c r="BL234" s="66" t="s">
        <v>600</v>
      </c>
      <c r="BM234" s="66" t="s">
        <v>600</v>
      </c>
      <c r="BN234" s="66" t="s">
        <v>600</v>
      </c>
      <c r="BO234" s="66" t="s">
        <v>600</v>
      </c>
      <c r="BP234" s="66" t="s">
        <v>600</v>
      </c>
      <c r="BQ234" s="66" t="s">
        <v>600</v>
      </c>
      <c r="BR234" s="70" t="e">
        <f>IF(E234&lt;#REF!,1,0)</f>
        <v>#REF!</v>
      </c>
      <c r="BS234" s="68" t="s">
        <v>601</v>
      </c>
    </row>
    <row r="235" ht="15.6" spans="1:71">
      <c r="A235" s="53" t="s">
        <v>607</v>
      </c>
      <c r="B235" s="53" t="s">
        <v>27</v>
      </c>
      <c r="C235" s="53" t="s">
        <v>626</v>
      </c>
      <c r="D235" s="54" t="s">
        <v>618</v>
      </c>
      <c r="E235" s="58">
        <v>89</v>
      </c>
      <c r="F235" s="56">
        <v>129.99</v>
      </c>
      <c r="G235" s="59">
        <f t="shared" si="193"/>
        <v>129.99</v>
      </c>
      <c r="H235" s="59">
        <f t="shared" si="194"/>
        <v>108.325</v>
      </c>
      <c r="I235" s="59">
        <f t="shared" si="195"/>
        <v>38.6083834808259</v>
      </c>
      <c r="J235" s="60">
        <f t="shared" si="196"/>
        <v>0.433802061582314</v>
      </c>
      <c r="K235" s="57">
        <f t="shared" si="197"/>
        <v>108.325</v>
      </c>
      <c r="L235" s="163">
        <f t="shared" si="198"/>
        <v>0.178398338333718</v>
      </c>
      <c r="M235" s="59">
        <f t="shared" si="199"/>
        <v>19.325</v>
      </c>
      <c r="N235" s="57">
        <f t="shared" si="200"/>
        <v>224.690265486726</v>
      </c>
      <c r="O235" s="57">
        <f t="shared" si="201"/>
        <v>4.68333333333333</v>
      </c>
      <c r="P235" s="53">
        <v>3</v>
      </c>
      <c r="Q235" s="62">
        <v>8</v>
      </c>
      <c r="R235" s="63">
        <f t="shared" si="202"/>
        <v>0</v>
      </c>
      <c r="S235" s="60">
        <f t="shared" si="213"/>
        <v>0</v>
      </c>
      <c r="T235" s="63">
        <f t="shared" si="203"/>
        <v>0</v>
      </c>
      <c r="U235" s="63">
        <v>0.01</v>
      </c>
      <c r="V235" s="63">
        <f t="shared" si="204"/>
        <v>0.315576215571244</v>
      </c>
      <c r="W235" s="63">
        <f t="shared" si="205"/>
        <v>0.0526217228464419</v>
      </c>
      <c r="X235" s="61">
        <v>0.188</v>
      </c>
      <c r="Y235" s="64">
        <v>0</v>
      </c>
      <c r="Z235" s="64">
        <f>F235*0</f>
        <v>0</v>
      </c>
      <c r="AA235" s="64">
        <f t="shared" si="206"/>
        <v>0.89</v>
      </c>
      <c r="AB235" s="57">
        <f t="shared" si="207"/>
        <v>16.732</v>
      </c>
      <c r="AC235" s="57">
        <v>220</v>
      </c>
      <c r="AD235" s="65">
        <f t="shared" si="208"/>
        <v>194.690265486726</v>
      </c>
      <c r="AE235" s="62">
        <f t="shared" si="209"/>
        <v>3.75</v>
      </c>
      <c r="AF235" s="63">
        <f t="shared" si="210"/>
        <v>0.27344138411057</v>
      </c>
      <c r="AG235" s="63">
        <f t="shared" si="211"/>
        <v>0.0421348314606742</v>
      </c>
      <c r="AH235" s="62">
        <v>30</v>
      </c>
      <c r="AI235" s="63">
        <f t="shared" si="214"/>
        <v>0.332859450726979</v>
      </c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 t="s">
        <v>600</v>
      </c>
      <c r="AU235" s="66" t="s">
        <v>600</v>
      </c>
      <c r="AV235" s="66" t="s">
        <v>600</v>
      </c>
      <c r="AW235" s="66" t="s">
        <v>600</v>
      </c>
      <c r="AX235" s="66" t="s">
        <v>600</v>
      </c>
      <c r="AY235" s="66" t="s">
        <v>600</v>
      </c>
      <c r="AZ235" s="66" t="s">
        <v>600</v>
      </c>
      <c r="BA235" s="66" t="s">
        <v>600</v>
      </c>
      <c r="BB235" s="66" t="s">
        <v>600</v>
      </c>
      <c r="BC235" s="66" t="s">
        <v>600</v>
      </c>
      <c r="BD235" s="66" t="s">
        <v>600</v>
      </c>
      <c r="BE235" s="66" t="s">
        <v>600</v>
      </c>
      <c r="BF235" s="66" t="s">
        <v>600</v>
      </c>
      <c r="BG235" s="66" t="s">
        <v>600</v>
      </c>
      <c r="BH235" s="66" t="s">
        <v>600</v>
      </c>
      <c r="BI235" s="66" t="s">
        <v>600</v>
      </c>
      <c r="BJ235" s="66" t="s">
        <v>600</v>
      </c>
      <c r="BK235" s="66" t="s">
        <v>600</v>
      </c>
      <c r="BL235" s="66" t="s">
        <v>600</v>
      </c>
      <c r="BM235" s="66" t="s">
        <v>600</v>
      </c>
      <c r="BN235" s="66" t="s">
        <v>600</v>
      </c>
      <c r="BO235" s="66" t="s">
        <v>600</v>
      </c>
      <c r="BP235" s="66" t="s">
        <v>600</v>
      </c>
      <c r="BQ235" s="66" t="s">
        <v>600</v>
      </c>
      <c r="BR235" s="70" t="e">
        <f>IF(E235&lt;#REF!,1,0)</f>
        <v>#REF!</v>
      </c>
      <c r="BS235" s="68" t="s">
        <v>601</v>
      </c>
    </row>
    <row r="236" ht="15.6" spans="1:71">
      <c r="A236" s="53" t="s">
        <v>609</v>
      </c>
      <c r="B236" s="53" t="s">
        <v>27</v>
      </c>
      <c r="C236" s="53" t="s">
        <v>626</v>
      </c>
      <c r="D236" s="54" t="s">
        <v>619</v>
      </c>
      <c r="E236" s="58">
        <v>89</v>
      </c>
      <c r="F236" s="56">
        <v>129.99</v>
      </c>
      <c r="G236" s="59">
        <f t="shared" si="193"/>
        <v>129.99</v>
      </c>
      <c r="H236" s="59">
        <f t="shared" si="194"/>
        <v>108.325</v>
      </c>
      <c r="I236" s="59">
        <f t="shared" si="195"/>
        <v>37.208383480826</v>
      </c>
      <c r="J236" s="60">
        <f t="shared" si="196"/>
        <v>0.418071724503662</v>
      </c>
      <c r="K236" s="57">
        <f t="shared" si="197"/>
        <v>108.325</v>
      </c>
      <c r="L236" s="163">
        <f t="shared" si="198"/>
        <v>0.178398338333718</v>
      </c>
      <c r="M236" s="59">
        <f t="shared" si="199"/>
        <v>19.325</v>
      </c>
      <c r="N236" s="57">
        <f t="shared" si="200"/>
        <v>224.690265486726</v>
      </c>
      <c r="O236" s="57">
        <f t="shared" si="201"/>
        <v>6.08333333333333</v>
      </c>
      <c r="P236" s="53">
        <v>3</v>
      </c>
      <c r="Q236" s="62">
        <v>8</v>
      </c>
      <c r="R236" s="63">
        <f t="shared" si="202"/>
        <v>0</v>
      </c>
      <c r="S236" s="60">
        <f t="shared" si="213"/>
        <v>0</v>
      </c>
      <c r="T236" s="63">
        <f t="shared" si="203"/>
        <v>0</v>
      </c>
      <c r="U236" s="63">
        <v>0.01</v>
      </c>
      <c r="V236" s="63">
        <f t="shared" si="204"/>
        <v>0.315576215571244</v>
      </c>
      <c r="W236" s="63">
        <f t="shared" si="205"/>
        <v>0.0683520599250936</v>
      </c>
      <c r="X236" s="61">
        <v>0.188</v>
      </c>
      <c r="Y236" s="64">
        <v>0</v>
      </c>
      <c r="Z236" s="64">
        <f>F236*0</f>
        <v>0</v>
      </c>
      <c r="AA236" s="64">
        <f t="shared" si="206"/>
        <v>0.89</v>
      </c>
      <c r="AB236" s="57">
        <f t="shared" si="207"/>
        <v>16.732</v>
      </c>
      <c r="AC236" s="57">
        <v>220</v>
      </c>
      <c r="AD236" s="65">
        <f t="shared" si="208"/>
        <v>194.690265486726</v>
      </c>
      <c r="AE236" s="62">
        <f t="shared" si="209"/>
        <v>3.75</v>
      </c>
      <c r="AF236" s="63">
        <f t="shared" si="210"/>
        <v>0.27344138411057</v>
      </c>
      <c r="AG236" s="63">
        <f t="shared" si="211"/>
        <v>0.0421348314606742</v>
      </c>
      <c r="AH236" s="62">
        <v>30</v>
      </c>
      <c r="AI236" s="63">
        <f t="shared" si="214"/>
        <v>0.332859450726979</v>
      </c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 t="s">
        <v>600</v>
      </c>
      <c r="AU236" s="66" t="s">
        <v>600</v>
      </c>
      <c r="AV236" s="66" t="s">
        <v>600</v>
      </c>
      <c r="AW236" s="66" t="s">
        <v>600</v>
      </c>
      <c r="AX236" s="66" t="s">
        <v>600</v>
      </c>
      <c r="AY236" s="66" t="s">
        <v>600</v>
      </c>
      <c r="AZ236" s="66" t="s">
        <v>600</v>
      </c>
      <c r="BA236" s="66" t="s">
        <v>600</v>
      </c>
      <c r="BB236" s="66" t="s">
        <v>600</v>
      </c>
      <c r="BC236" s="66" t="s">
        <v>600</v>
      </c>
      <c r="BD236" s="66" t="s">
        <v>600</v>
      </c>
      <c r="BE236" s="66" t="s">
        <v>600</v>
      </c>
      <c r="BF236" s="66" t="s">
        <v>600</v>
      </c>
      <c r="BG236" s="66" t="s">
        <v>600</v>
      </c>
      <c r="BH236" s="66" t="s">
        <v>600</v>
      </c>
      <c r="BI236" s="66" t="s">
        <v>600</v>
      </c>
      <c r="BJ236" s="66" t="s">
        <v>600</v>
      </c>
      <c r="BK236" s="66" t="s">
        <v>600</v>
      </c>
      <c r="BL236" s="66" t="s">
        <v>600</v>
      </c>
      <c r="BM236" s="66" t="s">
        <v>600</v>
      </c>
      <c r="BN236" s="66" t="s">
        <v>600</v>
      </c>
      <c r="BO236" s="66" t="s">
        <v>600</v>
      </c>
      <c r="BP236" s="66" t="s">
        <v>600</v>
      </c>
      <c r="BQ236" s="66" t="s">
        <v>600</v>
      </c>
      <c r="BR236" s="70" t="e">
        <f>IF(E236&lt;#REF!,1,0)</f>
        <v>#REF!</v>
      </c>
      <c r="BS236" s="68" t="s">
        <v>601</v>
      </c>
    </row>
    <row r="237" ht="15.6" spans="1:71">
      <c r="A237" s="53" t="s">
        <v>611</v>
      </c>
      <c r="B237" s="53" t="s">
        <v>27</v>
      </c>
      <c r="C237" s="53" t="s">
        <v>626</v>
      </c>
      <c r="D237" s="54" t="s">
        <v>620</v>
      </c>
      <c r="E237" s="58">
        <v>89</v>
      </c>
      <c r="F237" s="56">
        <v>129.99</v>
      </c>
      <c r="G237" s="59">
        <f t="shared" si="193"/>
        <v>129.99</v>
      </c>
      <c r="H237" s="59">
        <f t="shared" si="194"/>
        <v>108.325</v>
      </c>
      <c r="I237" s="59">
        <f t="shared" si="195"/>
        <v>38.5417168141593</v>
      </c>
      <c r="J237" s="60">
        <f t="shared" si="196"/>
        <v>0.433052997911902</v>
      </c>
      <c r="K237" s="57">
        <f t="shared" si="197"/>
        <v>108.325</v>
      </c>
      <c r="L237" s="163">
        <f t="shared" si="198"/>
        <v>0.178398338333718</v>
      </c>
      <c r="M237" s="59">
        <f t="shared" si="199"/>
        <v>19.325</v>
      </c>
      <c r="N237" s="57">
        <f t="shared" si="200"/>
        <v>224.690265486726</v>
      </c>
      <c r="O237" s="57">
        <f t="shared" si="201"/>
        <v>4.75</v>
      </c>
      <c r="P237" s="53">
        <v>3</v>
      </c>
      <c r="Q237" s="62">
        <v>8</v>
      </c>
      <c r="R237" s="63">
        <f t="shared" si="202"/>
        <v>0</v>
      </c>
      <c r="S237" s="60">
        <f t="shared" si="213"/>
        <v>0</v>
      </c>
      <c r="T237" s="63">
        <f t="shared" si="203"/>
        <v>0</v>
      </c>
      <c r="U237" s="63">
        <v>0.01</v>
      </c>
      <c r="V237" s="63">
        <f t="shared" si="204"/>
        <v>0.315576215571244</v>
      </c>
      <c r="W237" s="63">
        <f t="shared" si="205"/>
        <v>0.0533707865168539</v>
      </c>
      <c r="X237" s="61">
        <v>0.188</v>
      </c>
      <c r="Y237" s="64">
        <v>0</v>
      </c>
      <c r="Z237" s="64">
        <f>F237*0</f>
        <v>0</v>
      </c>
      <c r="AA237" s="64">
        <f t="shared" si="206"/>
        <v>0.89</v>
      </c>
      <c r="AB237" s="57">
        <f t="shared" si="207"/>
        <v>16.732</v>
      </c>
      <c r="AC237" s="57">
        <v>220</v>
      </c>
      <c r="AD237" s="65">
        <f t="shared" si="208"/>
        <v>194.690265486726</v>
      </c>
      <c r="AE237" s="62">
        <f t="shared" si="209"/>
        <v>3.75</v>
      </c>
      <c r="AF237" s="63">
        <f t="shared" si="210"/>
        <v>0.27344138411057</v>
      </c>
      <c r="AG237" s="63">
        <f t="shared" si="211"/>
        <v>0.0421348314606742</v>
      </c>
      <c r="AH237" s="62">
        <v>30</v>
      </c>
      <c r="AI237" s="63">
        <f t="shared" si="214"/>
        <v>0.332859450726979</v>
      </c>
      <c r="AJ237" s="63"/>
      <c r="AK237" s="63"/>
      <c r="AL237" s="63"/>
      <c r="AM237" s="63"/>
      <c r="AN237" s="66"/>
      <c r="AO237" s="66"/>
      <c r="AP237" s="66"/>
      <c r="AQ237" s="66"/>
      <c r="AR237" s="66"/>
      <c r="AS237" s="66"/>
      <c r="AT237" s="66" t="s">
        <v>600</v>
      </c>
      <c r="AU237" s="66" t="s">
        <v>600</v>
      </c>
      <c r="AV237" s="66" t="s">
        <v>600</v>
      </c>
      <c r="AW237" s="66" t="s">
        <v>600</v>
      </c>
      <c r="AX237" s="66" t="s">
        <v>600</v>
      </c>
      <c r="AY237" s="66" t="s">
        <v>600</v>
      </c>
      <c r="AZ237" s="66" t="s">
        <v>600</v>
      </c>
      <c r="BA237" s="66" t="s">
        <v>600</v>
      </c>
      <c r="BB237" s="66" t="s">
        <v>600</v>
      </c>
      <c r="BC237" s="66" t="s">
        <v>600</v>
      </c>
      <c r="BD237" s="66" t="s">
        <v>600</v>
      </c>
      <c r="BE237" s="66" t="s">
        <v>600</v>
      </c>
      <c r="BF237" s="66" t="s">
        <v>600</v>
      </c>
      <c r="BG237" s="66" t="s">
        <v>600</v>
      </c>
      <c r="BH237" s="66" t="s">
        <v>600</v>
      </c>
      <c r="BI237" s="66" t="s">
        <v>600</v>
      </c>
      <c r="BJ237" s="66" t="s">
        <v>600</v>
      </c>
      <c r="BK237" s="66" t="s">
        <v>600</v>
      </c>
      <c r="BL237" s="66" t="s">
        <v>600</v>
      </c>
      <c r="BM237" s="66" t="s">
        <v>600</v>
      </c>
      <c r="BN237" s="66" t="s">
        <v>600</v>
      </c>
      <c r="BO237" s="66" t="s">
        <v>600</v>
      </c>
      <c r="BP237" s="66" t="s">
        <v>600</v>
      </c>
      <c r="BQ237" s="66" t="s">
        <v>600</v>
      </c>
      <c r="BR237" s="70" t="e">
        <f>IF(E237&lt;#REF!,1,0)</f>
        <v>#REF!</v>
      </c>
      <c r="BS237" s="68" t="s">
        <v>601</v>
      </c>
    </row>
    <row r="238" spans="1:71">
      <c r="G238" s="15"/>
      <c r="H238" s="15"/>
      <c r="S238" s="15"/>
      <c r="AE238" s="14"/>
      <c r="AI238" s="15"/>
    </row>
    <row r="239" ht="15.6" spans="1:71">
      <c r="A239" s="68" t="s">
        <v>300</v>
      </c>
      <c r="B239" s="53" t="s">
        <v>27</v>
      </c>
      <c r="C239" s="175" t="s">
        <v>80</v>
      </c>
      <c r="D239" s="182" t="s">
        <v>665</v>
      </c>
      <c r="E239" s="179">
        <v>8.9</v>
      </c>
      <c r="F239" s="56">
        <v>12.99</v>
      </c>
      <c r="G239" s="59">
        <f t="shared" ref="G239:G257" si="215">(F239-Z239)</f>
        <v>12.99</v>
      </c>
      <c r="H239" s="59">
        <f t="shared" ref="H239:H257" si="216">(F239-Z239)/1.2</f>
        <v>10.825</v>
      </c>
      <c r="I239" s="59">
        <f t="shared" ref="I239:I257" si="217">E239-N239/Q239-AB239-Y239-O239-Z239-AA239</f>
        <v>2.34565140117994</v>
      </c>
      <c r="J239" s="60">
        <f t="shared" ref="J239:J257" si="218">I239/E239</f>
        <v>0.263556337211229</v>
      </c>
      <c r="K239" s="57">
        <f t="shared" ref="K239:K257" si="219">F239/1.2</f>
        <v>10.825</v>
      </c>
      <c r="L239" s="163">
        <f t="shared" ref="L239:L257" si="220">(K239-E239)/K239</f>
        <v>0.177829099307159</v>
      </c>
      <c r="M239" s="59">
        <f t="shared" ref="M239:M257" si="221">F239/1.2-E239</f>
        <v>1.925</v>
      </c>
      <c r="N239" s="57">
        <f>AD239+AH240</f>
        <v>19.7522123893805</v>
      </c>
      <c r="O239" s="57">
        <f t="shared" ref="O239:O257" si="222">IFERROR(IF(A239="UK",8.95/P239,IF(A239="DE",7.75/P239,IF(A239="FR",14.25/P239,IF(A239="IT",15.25/P239,IF(A239="ES",19.25/P239,IF(A239="NL",16.75/P239,IF(A239="PL",14.05/P239,IF(A239="SE",18.25/P239,IF(A239="BE",14.25/P239))))))))),0)</f>
        <v>0.186458333333333</v>
      </c>
      <c r="P239" s="68">
        <v>48</v>
      </c>
      <c r="Q239" s="62">
        <v>9</v>
      </c>
      <c r="R239" s="63">
        <f t="shared" ref="R239:R257" si="223">Y239/E239</f>
        <v>0.280898876404494</v>
      </c>
      <c r="S239" s="60">
        <f t="shared" ref="S239:S257" si="224">Y239/F239</f>
        <v>0.192455735180908</v>
      </c>
      <c r="T239" s="63">
        <f t="shared" ref="T239:T257" si="225">Z239/E239</f>
        <v>0</v>
      </c>
      <c r="U239" s="63">
        <v>0.01</v>
      </c>
      <c r="V239" s="63">
        <f t="shared" ref="V239:V257" si="226">N239/(E239*Q239)</f>
        <v>0.246594411852441</v>
      </c>
      <c r="W239" s="63">
        <f t="shared" ref="W239:W257" si="227">O239/E239</f>
        <v>0.0209503745318352</v>
      </c>
      <c r="X239" s="61">
        <v>0.178</v>
      </c>
      <c r="Y239" s="64">
        <v>2.5</v>
      </c>
      <c r="Z239" s="64">
        <v>0</v>
      </c>
      <c r="AA239" s="64">
        <f t="shared" ref="AA239:AA257" si="228">E239*U239</f>
        <v>0.089</v>
      </c>
      <c r="AB239" s="57">
        <f t="shared" ref="AB239:AB257" si="229">E239*X239</f>
        <v>1.5842</v>
      </c>
      <c r="AC239" s="57">
        <v>17.8</v>
      </c>
      <c r="AD239" s="65">
        <f t="shared" ref="AD239:AD257" si="230">AC239/1.13</f>
        <v>15.7522123893805</v>
      </c>
      <c r="AE239" s="62">
        <f>AH240/Q239</f>
        <v>0.444444444444444</v>
      </c>
      <c r="AF239" s="63">
        <f t="shared" ref="AF239:AF257" si="231">AD239/(E239*Q239)</f>
        <v>0.196656833824975</v>
      </c>
      <c r="AG239" s="63">
        <f t="shared" ref="AG239:AG257" si="232">AE239/Q239/E239</f>
        <v>0.00554861978082952</v>
      </c>
      <c r="AH239" s="62">
        <v>4</v>
      </c>
      <c r="AI239" s="63">
        <f t="shared" ref="AI239:AI257" si="233">(H239-E239+AB239)/H239</f>
        <v>0.324175519630485</v>
      </c>
      <c r="AJ239" s="63"/>
      <c r="AK239" s="63"/>
      <c r="AL239" s="63"/>
      <c r="AM239" s="63"/>
      <c r="AN239" s="66"/>
      <c r="AO239" s="66"/>
      <c r="AP239" s="66"/>
      <c r="AQ239" s="66"/>
      <c r="AR239" s="66"/>
      <c r="AS239" s="66"/>
      <c r="AT239" s="66" t="s">
        <v>600</v>
      </c>
      <c r="AU239" s="66" t="s">
        <v>600</v>
      </c>
      <c r="AV239" s="66" t="s">
        <v>600</v>
      </c>
      <c r="AW239" s="66" t="s">
        <v>600</v>
      </c>
      <c r="AX239" s="66" t="s">
        <v>600</v>
      </c>
      <c r="AY239" s="66" t="s">
        <v>600</v>
      </c>
      <c r="AZ239" s="66" t="s">
        <v>600</v>
      </c>
      <c r="BA239" s="66" t="s">
        <v>600</v>
      </c>
      <c r="BB239" s="66" t="s">
        <v>600</v>
      </c>
      <c r="BC239" s="66" t="s">
        <v>600</v>
      </c>
      <c r="BD239" s="66" t="s">
        <v>600</v>
      </c>
      <c r="BE239" s="66" t="s">
        <v>600</v>
      </c>
      <c r="BF239" s="66" t="s">
        <v>600</v>
      </c>
      <c r="BG239" s="66" t="s">
        <v>600</v>
      </c>
      <c r="BH239" s="66" t="s">
        <v>600</v>
      </c>
      <c r="BI239" s="66" t="s">
        <v>600</v>
      </c>
      <c r="BJ239" s="66" t="s">
        <v>600</v>
      </c>
      <c r="BK239" s="66" t="s">
        <v>600</v>
      </c>
      <c r="BL239" s="66" t="s">
        <v>600</v>
      </c>
      <c r="BM239" s="66" t="s">
        <v>600</v>
      </c>
      <c r="BN239" s="66" t="s">
        <v>600</v>
      </c>
      <c r="BO239" s="66" t="s">
        <v>600</v>
      </c>
      <c r="BP239" s="66" t="s">
        <v>600</v>
      </c>
      <c r="BQ239" s="66" t="s">
        <v>600</v>
      </c>
      <c r="BR239" s="164"/>
      <c r="BS239" s="68" t="s">
        <v>601</v>
      </c>
    </row>
    <row r="240" ht="15.6" spans="1:71">
      <c r="A240" s="68" t="s">
        <v>300</v>
      </c>
      <c r="B240" s="53" t="s">
        <v>27</v>
      </c>
      <c r="C240" s="171" t="s">
        <v>80</v>
      </c>
      <c r="D240" s="182" t="s">
        <v>666</v>
      </c>
      <c r="E240" s="179">
        <v>8.9</v>
      </c>
      <c r="F240" s="56">
        <v>12.99</v>
      </c>
      <c r="G240" s="59">
        <f t="shared" si="215"/>
        <v>11.691</v>
      </c>
      <c r="H240" s="59">
        <f t="shared" si="216"/>
        <v>9.7425</v>
      </c>
      <c r="I240" s="165">
        <f t="shared" si="217"/>
        <v>1.04665140117994</v>
      </c>
      <c r="J240" s="60">
        <f t="shared" si="218"/>
        <v>0.117601281031454</v>
      </c>
      <c r="K240" s="57">
        <f t="shared" si="219"/>
        <v>10.825</v>
      </c>
      <c r="L240" s="163">
        <f t="shared" si="220"/>
        <v>0.177829099307159</v>
      </c>
      <c r="M240" s="59">
        <f t="shared" si="221"/>
        <v>1.925</v>
      </c>
      <c r="N240" s="57">
        <f>AD240+AH240</f>
        <v>19.7522123893805</v>
      </c>
      <c r="O240" s="57">
        <f t="shared" si="222"/>
        <v>0.186458333333333</v>
      </c>
      <c r="P240" s="53">
        <v>48</v>
      </c>
      <c r="Q240" s="62">
        <v>9</v>
      </c>
      <c r="R240" s="63">
        <f t="shared" si="223"/>
        <v>0.280898876404494</v>
      </c>
      <c r="S240" s="60">
        <f t="shared" si="224"/>
        <v>0.192455735180908</v>
      </c>
      <c r="T240" s="63">
        <f t="shared" si="225"/>
        <v>0.145955056179775</v>
      </c>
      <c r="U240" s="63">
        <v>0.01</v>
      </c>
      <c r="V240" s="63">
        <f t="shared" si="226"/>
        <v>0.246594411852441</v>
      </c>
      <c r="W240" s="63">
        <f t="shared" si="227"/>
        <v>0.0209503745318352</v>
      </c>
      <c r="X240" s="61">
        <v>0.178</v>
      </c>
      <c r="Y240" s="64">
        <v>2.5</v>
      </c>
      <c r="Z240" s="64">
        <f>F240*0.1</f>
        <v>1.299</v>
      </c>
      <c r="AA240" s="64">
        <f t="shared" si="228"/>
        <v>0.089</v>
      </c>
      <c r="AB240" s="57">
        <f t="shared" si="229"/>
        <v>1.5842</v>
      </c>
      <c r="AC240" s="57">
        <v>17.8</v>
      </c>
      <c r="AD240" s="65">
        <f t="shared" si="230"/>
        <v>15.7522123893805</v>
      </c>
      <c r="AE240" s="62">
        <f>AH240/Q240</f>
        <v>0.444444444444444</v>
      </c>
      <c r="AF240" s="63">
        <f t="shared" si="231"/>
        <v>0.196656833824975</v>
      </c>
      <c r="AG240" s="63">
        <f t="shared" si="232"/>
        <v>0.00554861978082952</v>
      </c>
      <c r="AH240" s="62">
        <v>4</v>
      </c>
      <c r="AI240" s="63">
        <f t="shared" si="233"/>
        <v>0.249083910700539</v>
      </c>
      <c r="AJ240" s="63"/>
      <c r="AK240" s="63"/>
      <c r="AL240" s="63"/>
      <c r="AM240" s="63"/>
      <c r="AN240" s="66"/>
      <c r="AO240" s="66"/>
      <c r="AP240" s="66"/>
      <c r="AQ240" s="66"/>
      <c r="AR240" s="66"/>
      <c r="AS240" s="66"/>
      <c r="AT240" s="66" t="s">
        <v>600</v>
      </c>
      <c r="AU240" s="66" t="s">
        <v>600</v>
      </c>
      <c r="AV240" s="66" t="s">
        <v>600</v>
      </c>
      <c r="AW240" s="66" t="s">
        <v>600</v>
      </c>
      <c r="AX240" s="66" t="s">
        <v>600</v>
      </c>
      <c r="AY240" s="66" t="s">
        <v>600</v>
      </c>
      <c r="AZ240" s="66" t="s">
        <v>600</v>
      </c>
      <c r="BA240" s="66" t="s">
        <v>600</v>
      </c>
      <c r="BB240" s="66" t="s">
        <v>600</v>
      </c>
      <c r="BC240" s="66" t="s">
        <v>600</v>
      </c>
      <c r="BD240" s="66" t="s">
        <v>600</v>
      </c>
      <c r="BE240" s="66" t="s">
        <v>600</v>
      </c>
      <c r="BF240" s="66" t="s">
        <v>600</v>
      </c>
      <c r="BG240" s="66" t="s">
        <v>600</v>
      </c>
      <c r="BH240" s="66" t="s">
        <v>600</v>
      </c>
      <c r="BI240" s="66" t="s">
        <v>600</v>
      </c>
      <c r="BJ240" s="66" t="s">
        <v>600</v>
      </c>
      <c r="BK240" s="66" t="s">
        <v>600</v>
      </c>
      <c r="BL240" s="66" t="s">
        <v>600</v>
      </c>
      <c r="BM240" s="66" t="s">
        <v>600</v>
      </c>
      <c r="BN240" s="66" t="s">
        <v>600</v>
      </c>
      <c r="BO240" s="66" t="s">
        <v>600</v>
      </c>
      <c r="BP240" s="66" t="s">
        <v>600</v>
      </c>
      <c r="BQ240" s="66" t="s">
        <v>600</v>
      </c>
      <c r="BR240" s="164"/>
      <c r="BS240" s="68" t="s">
        <v>601</v>
      </c>
    </row>
    <row r="241" ht="15.6" spans="1:71">
      <c r="A241" s="68" t="s">
        <v>300</v>
      </c>
      <c r="B241" s="53" t="s">
        <v>27</v>
      </c>
      <c r="C241" s="171" t="s">
        <v>80</v>
      </c>
      <c r="D241" s="182" t="s">
        <v>667</v>
      </c>
      <c r="E241" s="179">
        <v>8.9</v>
      </c>
      <c r="F241" s="56">
        <v>12.99</v>
      </c>
      <c r="G241" s="59">
        <f t="shared" si="215"/>
        <v>11.0415</v>
      </c>
      <c r="H241" s="59">
        <f t="shared" si="216"/>
        <v>9.20125</v>
      </c>
      <c r="I241" s="59">
        <f t="shared" si="217"/>
        <v>0.397151401179941</v>
      </c>
      <c r="J241" s="60">
        <f t="shared" si="218"/>
        <v>0.0446237529415665</v>
      </c>
      <c r="K241" s="57">
        <f t="shared" si="219"/>
        <v>10.825</v>
      </c>
      <c r="L241" s="163">
        <f t="shared" si="220"/>
        <v>0.177829099307159</v>
      </c>
      <c r="M241" s="59">
        <f t="shared" si="221"/>
        <v>1.925</v>
      </c>
      <c r="N241" s="57">
        <f>AD241+AH241</f>
        <v>19.7522123893805</v>
      </c>
      <c r="O241" s="57">
        <f t="shared" si="222"/>
        <v>0.186458333333333</v>
      </c>
      <c r="P241" s="53">
        <v>48</v>
      </c>
      <c r="Q241" s="62">
        <v>9</v>
      </c>
      <c r="R241" s="63">
        <f t="shared" si="223"/>
        <v>0.280898876404494</v>
      </c>
      <c r="S241" s="60">
        <f t="shared" si="224"/>
        <v>0.192455735180908</v>
      </c>
      <c r="T241" s="63">
        <f t="shared" si="225"/>
        <v>0.218932584269663</v>
      </c>
      <c r="U241" s="63">
        <v>0.01</v>
      </c>
      <c r="V241" s="63">
        <f t="shared" si="226"/>
        <v>0.246594411852441</v>
      </c>
      <c r="W241" s="63">
        <f t="shared" si="227"/>
        <v>0.0209503745318352</v>
      </c>
      <c r="X241" s="61">
        <v>0.178</v>
      </c>
      <c r="Y241" s="64">
        <v>2.5</v>
      </c>
      <c r="Z241" s="64">
        <f>F241*0.15</f>
        <v>1.9485</v>
      </c>
      <c r="AA241" s="64">
        <f t="shared" si="228"/>
        <v>0.089</v>
      </c>
      <c r="AB241" s="57">
        <f t="shared" si="229"/>
        <v>1.5842</v>
      </c>
      <c r="AC241" s="57">
        <v>17.8</v>
      </c>
      <c r="AD241" s="65">
        <f t="shared" si="230"/>
        <v>15.7522123893805</v>
      </c>
      <c r="AE241" s="62">
        <f>AH241/Q241</f>
        <v>0.444444444444444</v>
      </c>
      <c r="AF241" s="63">
        <f t="shared" si="231"/>
        <v>0.196656833824975</v>
      </c>
      <c r="AG241" s="63">
        <f t="shared" si="232"/>
        <v>0.00554861978082952</v>
      </c>
      <c r="AH241" s="62">
        <v>4</v>
      </c>
      <c r="AI241" s="63">
        <f t="shared" si="233"/>
        <v>0.204912376035865</v>
      </c>
      <c r="AJ241" s="63"/>
      <c r="AK241" s="63"/>
      <c r="AL241" s="63"/>
      <c r="AM241" s="63"/>
      <c r="AN241" s="66"/>
      <c r="AO241" s="66"/>
      <c r="AP241" s="66"/>
      <c r="AQ241" s="66"/>
      <c r="AR241" s="66"/>
      <c r="AS241" s="66"/>
      <c r="AT241" s="66" t="s">
        <v>600</v>
      </c>
      <c r="AU241" s="66" t="s">
        <v>600</v>
      </c>
      <c r="AV241" s="66" t="s">
        <v>600</v>
      </c>
      <c r="AW241" s="66" t="s">
        <v>600</v>
      </c>
      <c r="AX241" s="66" t="s">
        <v>600</v>
      </c>
      <c r="AY241" s="66" t="s">
        <v>600</v>
      </c>
      <c r="AZ241" s="66" t="s">
        <v>600</v>
      </c>
      <c r="BA241" s="66" t="s">
        <v>600</v>
      </c>
      <c r="BB241" s="66" t="s">
        <v>600</v>
      </c>
      <c r="BC241" s="66" t="s">
        <v>600</v>
      </c>
      <c r="BD241" s="66" t="s">
        <v>600</v>
      </c>
      <c r="BE241" s="66" t="s">
        <v>600</v>
      </c>
      <c r="BF241" s="66" t="s">
        <v>600</v>
      </c>
      <c r="BG241" s="66" t="s">
        <v>600</v>
      </c>
      <c r="BH241" s="66" t="s">
        <v>600</v>
      </c>
      <c r="BI241" s="66" t="s">
        <v>600</v>
      </c>
      <c r="BJ241" s="66" t="s">
        <v>600</v>
      </c>
      <c r="BK241" s="66" t="s">
        <v>600</v>
      </c>
      <c r="BL241" s="66" t="s">
        <v>600</v>
      </c>
      <c r="BM241" s="66" t="s">
        <v>600</v>
      </c>
      <c r="BN241" s="66" t="s">
        <v>600</v>
      </c>
      <c r="BO241" s="66" t="s">
        <v>600</v>
      </c>
      <c r="BP241" s="66" t="s">
        <v>600</v>
      </c>
      <c r="BQ241" s="66" t="s">
        <v>600</v>
      </c>
      <c r="BR241" s="164"/>
      <c r="BS241" s="68" t="s">
        <v>601</v>
      </c>
    </row>
    <row r="242" ht="15.6" spans="1:71">
      <c r="A242" s="53" t="s">
        <v>277</v>
      </c>
      <c r="B242" s="53" t="s">
        <v>27</v>
      </c>
      <c r="C242" s="171" t="s">
        <v>80</v>
      </c>
      <c r="D242" s="183" t="s">
        <v>665</v>
      </c>
      <c r="E242" s="179">
        <v>9.6</v>
      </c>
      <c r="F242" s="167">
        <v>13.99</v>
      </c>
      <c r="G242" s="59">
        <f t="shared" si="215"/>
        <v>13.99</v>
      </c>
      <c r="H242" s="59">
        <f t="shared" si="216"/>
        <v>11.6583333333333</v>
      </c>
      <c r="I242" s="59">
        <f t="shared" si="217"/>
        <v>2.5687151179941</v>
      </c>
      <c r="J242" s="60">
        <f t="shared" si="218"/>
        <v>0.267574491457719</v>
      </c>
      <c r="K242" s="57">
        <f t="shared" si="219"/>
        <v>11.6583333333333</v>
      </c>
      <c r="L242" s="163">
        <f t="shared" si="220"/>
        <v>0.176554681915654</v>
      </c>
      <c r="M242" s="59">
        <f t="shared" si="221"/>
        <v>2.05833333333333</v>
      </c>
      <c r="N242" s="57">
        <f>AD242+AH243</f>
        <v>19.7522123893805</v>
      </c>
      <c r="O242" s="57">
        <f t="shared" si="222"/>
        <v>0.161458333333333</v>
      </c>
      <c r="P242" s="53">
        <v>48</v>
      </c>
      <c r="Q242" s="62">
        <v>8</v>
      </c>
      <c r="R242" s="63">
        <f t="shared" si="223"/>
        <v>0.260416666666667</v>
      </c>
      <c r="S242" s="60">
        <f t="shared" si="224"/>
        <v>0.178699070764832</v>
      </c>
      <c r="T242" s="63">
        <f t="shared" si="225"/>
        <v>0</v>
      </c>
      <c r="U242" s="63">
        <v>0.01</v>
      </c>
      <c r="V242" s="63">
        <f t="shared" si="226"/>
        <v>0.257190265486726</v>
      </c>
      <c r="W242" s="63">
        <f t="shared" si="227"/>
        <v>0.0168185763888889</v>
      </c>
      <c r="X242" s="61">
        <v>0.188</v>
      </c>
      <c r="Y242" s="64">
        <v>2.5</v>
      </c>
      <c r="Z242" s="64">
        <v>0</v>
      </c>
      <c r="AA242" s="64">
        <f t="shared" si="228"/>
        <v>0.096</v>
      </c>
      <c r="AB242" s="57">
        <f t="shared" si="229"/>
        <v>1.8048</v>
      </c>
      <c r="AC242" s="57">
        <v>17.8</v>
      </c>
      <c r="AD242" s="65">
        <f t="shared" si="230"/>
        <v>15.7522123893805</v>
      </c>
      <c r="AE242" s="62">
        <f>AH243/Q242</f>
        <v>0.5</v>
      </c>
      <c r="AF242" s="63">
        <f t="shared" si="231"/>
        <v>0.205106932153392</v>
      </c>
      <c r="AG242" s="63">
        <f t="shared" si="232"/>
        <v>0.00651041666666667</v>
      </c>
      <c r="AH242" s="62">
        <v>4</v>
      </c>
      <c r="AI242" s="63">
        <f t="shared" si="233"/>
        <v>0.331362401715511</v>
      </c>
      <c r="AJ242" s="63"/>
      <c r="AK242" s="63"/>
      <c r="AL242" s="63"/>
      <c r="AM242" s="63"/>
      <c r="AN242" s="66"/>
      <c r="AO242" s="66"/>
      <c r="AP242" s="66"/>
      <c r="AQ242" s="66"/>
      <c r="AR242" s="66"/>
      <c r="AS242" s="66"/>
      <c r="AT242" s="66" t="s">
        <v>600</v>
      </c>
      <c r="AU242" s="66" t="s">
        <v>600</v>
      </c>
      <c r="AV242" s="66" t="s">
        <v>600</v>
      </c>
      <c r="AW242" s="66" t="s">
        <v>600</v>
      </c>
      <c r="AX242" s="66" t="s">
        <v>600</v>
      </c>
      <c r="AY242" s="66" t="s">
        <v>600</v>
      </c>
      <c r="AZ242" s="66" t="s">
        <v>600</v>
      </c>
      <c r="BA242" s="66" t="s">
        <v>600</v>
      </c>
      <c r="BB242" s="66" t="s">
        <v>600</v>
      </c>
      <c r="BC242" s="66" t="s">
        <v>600</v>
      </c>
      <c r="BD242" s="66" t="s">
        <v>600</v>
      </c>
      <c r="BE242" s="66" t="s">
        <v>600</v>
      </c>
      <c r="BF242" s="66" t="s">
        <v>600</v>
      </c>
      <c r="BG242" s="66" t="s">
        <v>600</v>
      </c>
      <c r="BH242" s="66" t="s">
        <v>600</v>
      </c>
      <c r="BI242" s="66" t="s">
        <v>600</v>
      </c>
      <c r="BJ242" s="66" t="s">
        <v>600</v>
      </c>
      <c r="BK242" s="66" t="s">
        <v>600</v>
      </c>
      <c r="BL242" s="66" t="s">
        <v>600</v>
      </c>
      <c r="BM242" s="66" t="s">
        <v>600</v>
      </c>
      <c r="BN242" s="66" t="s">
        <v>600</v>
      </c>
      <c r="BO242" s="66" t="s">
        <v>600</v>
      </c>
      <c r="BP242" s="66" t="s">
        <v>600</v>
      </c>
      <c r="BQ242" s="66" t="s">
        <v>600</v>
      </c>
      <c r="BR242" s="164"/>
      <c r="BS242" s="68" t="s">
        <v>601</v>
      </c>
    </row>
    <row r="243" ht="15.6" spans="1:71">
      <c r="A243" s="53" t="s">
        <v>277</v>
      </c>
      <c r="B243" s="53" t="s">
        <v>27</v>
      </c>
      <c r="C243" s="171" t="s">
        <v>80</v>
      </c>
      <c r="D243" s="183" t="s">
        <v>666</v>
      </c>
      <c r="E243" s="179">
        <v>9.6</v>
      </c>
      <c r="F243" s="56">
        <v>13.99</v>
      </c>
      <c r="G243" s="59">
        <f t="shared" si="215"/>
        <v>12.591</v>
      </c>
      <c r="H243" s="59">
        <f t="shared" si="216"/>
        <v>10.4925</v>
      </c>
      <c r="I243" s="165">
        <f t="shared" si="217"/>
        <v>1.1697151179941</v>
      </c>
      <c r="J243" s="60">
        <f t="shared" si="218"/>
        <v>0.121845324791052</v>
      </c>
      <c r="K243" s="57">
        <f t="shared" si="219"/>
        <v>11.6583333333333</v>
      </c>
      <c r="L243" s="163">
        <f t="shared" si="220"/>
        <v>0.176554681915654</v>
      </c>
      <c r="M243" s="59">
        <f t="shared" si="221"/>
        <v>2.05833333333333</v>
      </c>
      <c r="N243" s="57">
        <f t="shared" ref="N243:N257" si="234">AD243+AH243</f>
        <v>19.7522123893805</v>
      </c>
      <c r="O243" s="57">
        <f t="shared" si="222"/>
        <v>0.161458333333333</v>
      </c>
      <c r="P243" s="53">
        <v>48</v>
      </c>
      <c r="Q243" s="62">
        <v>8</v>
      </c>
      <c r="R243" s="63">
        <f t="shared" si="223"/>
        <v>0.260416666666667</v>
      </c>
      <c r="S243" s="60">
        <f t="shared" si="224"/>
        <v>0.178699070764832</v>
      </c>
      <c r="T243" s="63">
        <f t="shared" si="225"/>
        <v>0.145729166666667</v>
      </c>
      <c r="U243" s="63">
        <v>0.01</v>
      </c>
      <c r="V243" s="63">
        <f t="shared" si="226"/>
        <v>0.257190265486726</v>
      </c>
      <c r="W243" s="63">
        <f t="shared" si="227"/>
        <v>0.0168185763888889</v>
      </c>
      <c r="X243" s="61">
        <v>0.188</v>
      </c>
      <c r="Y243" s="64">
        <v>2.5</v>
      </c>
      <c r="Z243" s="64">
        <f>F243*0.1</f>
        <v>1.399</v>
      </c>
      <c r="AA243" s="64">
        <f t="shared" si="228"/>
        <v>0.096</v>
      </c>
      <c r="AB243" s="57">
        <f t="shared" si="229"/>
        <v>1.8048</v>
      </c>
      <c r="AC243" s="57">
        <v>17.8</v>
      </c>
      <c r="AD243" s="65">
        <f t="shared" si="230"/>
        <v>15.7522123893805</v>
      </c>
      <c r="AE243" s="62">
        <f t="shared" ref="AE243:AE257" si="235">AH243/Q243</f>
        <v>0.5</v>
      </c>
      <c r="AF243" s="63">
        <f t="shared" si="231"/>
        <v>0.205106932153392</v>
      </c>
      <c r="AG243" s="63">
        <f t="shared" si="232"/>
        <v>0.00651041666666667</v>
      </c>
      <c r="AH243" s="62">
        <v>4</v>
      </c>
      <c r="AI243" s="63">
        <f t="shared" si="233"/>
        <v>0.257069335239457</v>
      </c>
      <c r="AJ243" s="63"/>
      <c r="AK243" s="63"/>
      <c r="AL243" s="63"/>
      <c r="AM243" s="63"/>
      <c r="AN243" s="66"/>
      <c r="AO243" s="66"/>
      <c r="AP243" s="66"/>
      <c r="AQ243" s="66"/>
      <c r="AR243" s="66"/>
      <c r="AS243" s="66"/>
      <c r="AT243" s="66" t="s">
        <v>600</v>
      </c>
      <c r="AU243" s="66" t="s">
        <v>600</v>
      </c>
      <c r="AV243" s="66" t="s">
        <v>600</v>
      </c>
      <c r="AW243" s="66" t="s">
        <v>600</v>
      </c>
      <c r="AX243" s="66" t="s">
        <v>600</v>
      </c>
      <c r="AY243" s="66" t="s">
        <v>600</v>
      </c>
      <c r="AZ243" s="66" t="s">
        <v>600</v>
      </c>
      <c r="BA243" s="66" t="s">
        <v>600</v>
      </c>
      <c r="BB243" s="66" t="s">
        <v>600</v>
      </c>
      <c r="BC243" s="66" t="s">
        <v>600</v>
      </c>
      <c r="BD243" s="66" t="s">
        <v>600</v>
      </c>
      <c r="BE243" s="66" t="s">
        <v>600</v>
      </c>
      <c r="BF243" s="66" t="s">
        <v>600</v>
      </c>
      <c r="BG243" s="66" t="s">
        <v>600</v>
      </c>
      <c r="BH243" s="66" t="s">
        <v>600</v>
      </c>
      <c r="BI243" s="66" t="s">
        <v>600</v>
      </c>
      <c r="BJ243" s="66" t="s">
        <v>600</v>
      </c>
      <c r="BK243" s="66" t="s">
        <v>600</v>
      </c>
      <c r="BL243" s="66" t="s">
        <v>600</v>
      </c>
      <c r="BM243" s="66" t="s">
        <v>600</v>
      </c>
      <c r="BN243" s="66" t="s">
        <v>600</v>
      </c>
      <c r="BO243" s="66" t="s">
        <v>600</v>
      </c>
      <c r="BP243" s="66" t="s">
        <v>600</v>
      </c>
      <c r="BQ243" s="66" t="s">
        <v>600</v>
      </c>
      <c r="BR243" s="164"/>
      <c r="BS243" s="68" t="s">
        <v>601</v>
      </c>
    </row>
    <row r="244" ht="15.6" spans="1:71">
      <c r="A244" s="53" t="s">
        <v>277</v>
      </c>
      <c r="B244" s="53" t="s">
        <v>27</v>
      </c>
      <c r="C244" s="171" t="s">
        <v>80</v>
      </c>
      <c r="D244" s="183" t="s">
        <v>667</v>
      </c>
      <c r="E244" s="179">
        <v>9.6</v>
      </c>
      <c r="F244" s="56">
        <v>13.99</v>
      </c>
      <c r="G244" s="59">
        <f t="shared" si="215"/>
        <v>11.8915</v>
      </c>
      <c r="H244" s="59">
        <f t="shared" si="216"/>
        <v>9.90958333333333</v>
      </c>
      <c r="I244" s="59">
        <f t="shared" si="217"/>
        <v>0.4702151179941</v>
      </c>
      <c r="J244" s="60">
        <f t="shared" si="218"/>
        <v>0.0489807414577187</v>
      </c>
      <c r="K244" s="57">
        <f t="shared" si="219"/>
        <v>11.6583333333333</v>
      </c>
      <c r="L244" s="163">
        <f t="shared" si="220"/>
        <v>0.176554681915654</v>
      </c>
      <c r="M244" s="59">
        <f t="shared" si="221"/>
        <v>2.05833333333333</v>
      </c>
      <c r="N244" s="57">
        <f t="shared" si="234"/>
        <v>19.7522123893805</v>
      </c>
      <c r="O244" s="57">
        <f t="shared" si="222"/>
        <v>0.161458333333333</v>
      </c>
      <c r="P244" s="53">
        <v>48</v>
      </c>
      <c r="Q244" s="62">
        <v>8</v>
      </c>
      <c r="R244" s="63">
        <f t="shared" si="223"/>
        <v>0.260416666666667</v>
      </c>
      <c r="S244" s="60">
        <f t="shared" si="224"/>
        <v>0.178699070764832</v>
      </c>
      <c r="T244" s="63">
        <f t="shared" si="225"/>
        <v>0.21859375</v>
      </c>
      <c r="U244" s="63">
        <v>0.01</v>
      </c>
      <c r="V244" s="63">
        <f t="shared" si="226"/>
        <v>0.257190265486726</v>
      </c>
      <c r="W244" s="63">
        <f t="shared" si="227"/>
        <v>0.0168185763888889</v>
      </c>
      <c r="X244" s="61">
        <v>0.188</v>
      </c>
      <c r="Y244" s="64">
        <v>2.5</v>
      </c>
      <c r="Z244" s="64">
        <f>F244*0.15</f>
        <v>2.0985</v>
      </c>
      <c r="AA244" s="64">
        <f t="shared" si="228"/>
        <v>0.096</v>
      </c>
      <c r="AB244" s="57">
        <f t="shared" si="229"/>
        <v>1.8048</v>
      </c>
      <c r="AC244" s="57">
        <v>17.8</v>
      </c>
      <c r="AD244" s="65">
        <f t="shared" si="230"/>
        <v>15.7522123893805</v>
      </c>
      <c r="AE244" s="62">
        <f t="shared" si="235"/>
        <v>0.5</v>
      </c>
      <c r="AF244" s="63">
        <f t="shared" si="231"/>
        <v>0.205106932153392</v>
      </c>
      <c r="AG244" s="63">
        <f t="shared" si="232"/>
        <v>0.00651041666666667</v>
      </c>
      <c r="AH244" s="62">
        <v>4</v>
      </c>
      <c r="AI244" s="63">
        <f t="shared" si="233"/>
        <v>0.213367531430013</v>
      </c>
      <c r="AJ244" s="63"/>
      <c r="AK244" s="63"/>
      <c r="AL244" s="63"/>
      <c r="AM244" s="63"/>
      <c r="AN244" s="66"/>
      <c r="AO244" s="66"/>
      <c r="AP244" s="66"/>
      <c r="AQ244" s="66"/>
      <c r="AR244" s="66"/>
      <c r="AS244" s="66"/>
      <c r="AT244" s="66" t="s">
        <v>600</v>
      </c>
      <c r="AU244" s="66" t="s">
        <v>600</v>
      </c>
      <c r="AV244" s="66" t="s">
        <v>600</v>
      </c>
      <c r="AW244" s="66" t="s">
        <v>600</v>
      </c>
      <c r="AX244" s="66" t="s">
        <v>600</v>
      </c>
      <c r="AY244" s="66" t="s">
        <v>600</v>
      </c>
      <c r="AZ244" s="66" t="s">
        <v>600</v>
      </c>
      <c r="BA244" s="66" t="s">
        <v>600</v>
      </c>
      <c r="BB244" s="66" t="s">
        <v>600</v>
      </c>
      <c r="BC244" s="66" t="s">
        <v>600</v>
      </c>
      <c r="BD244" s="66" t="s">
        <v>600</v>
      </c>
      <c r="BE244" s="66" t="s">
        <v>600</v>
      </c>
      <c r="BF244" s="66" t="s">
        <v>600</v>
      </c>
      <c r="BG244" s="66" t="s">
        <v>600</v>
      </c>
      <c r="BH244" s="66" t="s">
        <v>600</v>
      </c>
      <c r="BI244" s="66" t="s">
        <v>600</v>
      </c>
      <c r="BJ244" s="66" t="s">
        <v>600</v>
      </c>
      <c r="BK244" s="66" t="s">
        <v>600</v>
      </c>
      <c r="BL244" s="66" t="s">
        <v>600</v>
      </c>
      <c r="BM244" s="66" t="s">
        <v>600</v>
      </c>
      <c r="BN244" s="66" t="s">
        <v>600</v>
      </c>
      <c r="BO244" s="66" t="s">
        <v>600</v>
      </c>
      <c r="BP244" s="66" t="s">
        <v>600</v>
      </c>
      <c r="BQ244" s="66" t="s">
        <v>600</v>
      </c>
      <c r="BR244" s="164"/>
      <c r="BS244" s="68" t="s">
        <v>601</v>
      </c>
    </row>
    <row r="245" ht="15.6" spans="1:71">
      <c r="A245" s="53" t="s">
        <v>511</v>
      </c>
      <c r="B245" s="53" t="s">
        <v>27</v>
      </c>
      <c r="C245" s="171" t="s">
        <v>80</v>
      </c>
      <c r="D245" s="183" t="s">
        <v>665</v>
      </c>
      <c r="E245" s="179">
        <v>9.6</v>
      </c>
      <c r="F245" s="56">
        <v>13.99</v>
      </c>
      <c r="G245" s="59">
        <f t="shared" si="215"/>
        <v>13.99</v>
      </c>
      <c r="H245" s="59">
        <f t="shared" si="216"/>
        <v>11.6583333333333</v>
      </c>
      <c r="I245" s="59">
        <f t="shared" si="217"/>
        <v>2.43329845132743</v>
      </c>
      <c r="J245" s="60">
        <f t="shared" si="218"/>
        <v>0.253468588679941</v>
      </c>
      <c r="K245" s="57">
        <f t="shared" si="219"/>
        <v>11.6583333333333</v>
      </c>
      <c r="L245" s="163">
        <f t="shared" si="220"/>
        <v>0.176554681915654</v>
      </c>
      <c r="M245" s="59">
        <f t="shared" si="221"/>
        <v>2.05833333333333</v>
      </c>
      <c r="N245" s="57">
        <f t="shared" si="234"/>
        <v>19.7522123893805</v>
      </c>
      <c r="O245" s="57">
        <f t="shared" si="222"/>
        <v>0.296875</v>
      </c>
      <c r="P245" s="53">
        <v>48</v>
      </c>
      <c r="Q245" s="62">
        <v>8</v>
      </c>
      <c r="R245" s="63">
        <f t="shared" si="223"/>
        <v>0.260416666666667</v>
      </c>
      <c r="S245" s="60">
        <f t="shared" si="224"/>
        <v>0.178699070764832</v>
      </c>
      <c r="T245" s="63">
        <f t="shared" si="225"/>
        <v>0</v>
      </c>
      <c r="U245" s="63">
        <v>0.01</v>
      </c>
      <c r="V245" s="63">
        <f t="shared" si="226"/>
        <v>0.257190265486726</v>
      </c>
      <c r="W245" s="63">
        <f t="shared" si="227"/>
        <v>0.0309244791666667</v>
      </c>
      <c r="X245" s="61">
        <v>0.188</v>
      </c>
      <c r="Y245" s="64">
        <v>2.5</v>
      </c>
      <c r="Z245" s="64">
        <v>0</v>
      </c>
      <c r="AA245" s="64">
        <f t="shared" si="228"/>
        <v>0.096</v>
      </c>
      <c r="AB245" s="57">
        <f t="shared" si="229"/>
        <v>1.8048</v>
      </c>
      <c r="AC245" s="57">
        <v>17.8</v>
      </c>
      <c r="AD245" s="65">
        <f t="shared" si="230"/>
        <v>15.7522123893805</v>
      </c>
      <c r="AE245" s="62">
        <f t="shared" si="235"/>
        <v>0.5</v>
      </c>
      <c r="AF245" s="63">
        <f t="shared" si="231"/>
        <v>0.205106932153392</v>
      </c>
      <c r="AG245" s="63">
        <f t="shared" si="232"/>
        <v>0.00651041666666667</v>
      </c>
      <c r="AH245" s="62">
        <v>4</v>
      </c>
      <c r="AI245" s="63">
        <f t="shared" si="233"/>
        <v>0.331362401715511</v>
      </c>
      <c r="AJ245" s="63"/>
      <c r="AK245" s="63"/>
      <c r="AL245" s="63"/>
      <c r="AM245" s="63"/>
      <c r="AN245" s="66"/>
      <c r="AO245" s="66"/>
      <c r="AP245" s="66"/>
      <c r="AQ245" s="66"/>
      <c r="AR245" s="66"/>
      <c r="AS245" s="66"/>
      <c r="AT245" s="66" t="s">
        <v>600</v>
      </c>
      <c r="AU245" s="66" t="s">
        <v>600</v>
      </c>
      <c r="AV245" s="66" t="s">
        <v>600</v>
      </c>
      <c r="AW245" s="66" t="s">
        <v>600</v>
      </c>
      <c r="AX245" s="66" t="s">
        <v>600</v>
      </c>
      <c r="AY245" s="66" t="s">
        <v>600</v>
      </c>
      <c r="AZ245" s="66" t="s">
        <v>600</v>
      </c>
      <c r="BA245" s="66" t="s">
        <v>600</v>
      </c>
      <c r="BB245" s="66" t="s">
        <v>600</v>
      </c>
      <c r="BC245" s="66" t="s">
        <v>600</v>
      </c>
      <c r="BD245" s="66" t="s">
        <v>600</v>
      </c>
      <c r="BE245" s="66" t="s">
        <v>600</v>
      </c>
      <c r="BF245" s="66" t="s">
        <v>600</v>
      </c>
      <c r="BG245" s="66" t="s">
        <v>600</v>
      </c>
      <c r="BH245" s="66" t="s">
        <v>600</v>
      </c>
      <c r="BI245" s="66" t="s">
        <v>600</v>
      </c>
      <c r="BJ245" s="66" t="s">
        <v>600</v>
      </c>
      <c r="BK245" s="66" t="s">
        <v>600</v>
      </c>
      <c r="BL245" s="66" t="s">
        <v>600</v>
      </c>
      <c r="BM245" s="66" t="s">
        <v>600</v>
      </c>
      <c r="BN245" s="66" t="s">
        <v>600</v>
      </c>
      <c r="BO245" s="66" t="s">
        <v>600</v>
      </c>
      <c r="BP245" s="66" t="s">
        <v>600</v>
      </c>
      <c r="BQ245" s="66" t="s">
        <v>600</v>
      </c>
      <c r="BR245" s="164"/>
      <c r="BS245" s="68" t="s">
        <v>601</v>
      </c>
    </row>
    <row r="246" ht="15.6" spans="1:71">
      <c r="A246" s="53" t="s">
        <v>511</v>
      </c>
      <c r="B246" s="53" t="s">
        <v>27</v>
      </c>
      <c r="C246" s="171" t="s">
        <v>80</v>
      </c>
      <c r="D246" s="183" t="s">
        <v>666</v>
      </c>
      <c r="E246" s="179">
        <v>9.6</v>
      </c>
      <c r="F246" s="56">
        <v>13.99</v>
      </c>
      <c r="G246" s="59">
        <f t="shared" si="215"/>
        <v>12.591</v>
      </c>
      <c r="H246" s="59">
        <f t="shared" si="216"/>
        <v>10.4925</v>
      </c>
      <c r="I246" s="165">
        <f t="shared" si="217"/>
        <v>1.03429845132743</v>
      </c>
      <c r="J246" s="60">
        <f t="shared" si="218"/>
        <v>0.107739422013274</v>
      </c>
      <c r="K246" s="57">
        <f t="shared" si="219"/>
        <v>11.6583333333333</v>
      </c>
      <c r="L246" s="163">
        <f t="shared" si="220"/>
        <v>0.176554681915654</v>
      </c>
      <c r="M246" s="59">
        <f t="shared" si="221"/>
        <v>2.05833333333333</v>
      </c>
      <c r="N246" s="57">
        <f t="shared" si="234"/>
        <v>19.7522123893805</v>
      </c>
      <c r="O246" s="57">
        <f t="shared" si="222"/>
        <v>0.296875</v>
      </c>
      <c r="P246" s="53">
        <v>48</v>
      </c>
      <c r="Q246" s="62">
        <v>8</v>
      </c>
      <c r="R246" s="63">
        <f t="shared" si="223"/>
        <v>0.260416666666667</v>
      </c>
      <c r="S246" s="60">
        <f t="shared" si="224"/>
        <v>0.178699070764832</v>
      </c>
      <c r="T246" s="63">
        <f t="shared" si="225"/>
        <v>0.145729166666667</v>
      </c>
      <c r="U246" s="63">
        <v>0.01</v>
      </c>
      <c r="V246" s="63">
        <f t="shared" si="226"/>
        <v>0.257190265486726</v>
      </c>
      <c r="W246" s="63">
        <f t="shared" si="227"/>
        <v>0.0309244791666667</v>
      </c>
      <c r="X246" s="61">
        <v>0.188</v>
      </c>
      <c r="Y246" s="64">
        <v>2.5</v>
      </c>
      <c r="Z246" s="64">
        <f>F246*0.1</f>
        <v>1.399</v>
      </c>
      <c r="AA246" s="64">
        <f t="shared" si="228"/>
        <v>0.096</v>
      </c>
      <c r="AB246" s="57">
        <f t="shared" si="229"/>
        <v>1.8048</v>
      </c>
      <c r="AC246" s="57">
        <v>17.8</v>
      </c>
      <c r="AD246" s="65">
        <f t="shared" si="230"/>
        <v>15.7522123893805</v>
      </c>
      <c r="AE246" s="62">
        <f t="shared" si="235"/>
        <v>0.5</v>
      </c>
      <c r="AF246" s="63">
        <f t="shared" si="231"/>
        <v>0.205106932153392</v>
      </c>
      <c r="AG246" s="63">
        <f t="shared" si="232"/>
        <v>0.00651041666666667</v>
      </c>
      <c r="AH246" s="62">
        <v>4</v>
      </c>
      <c r="AI246" s="63">
        <f t="shared" si="233"/>
        <v>0.257069335239457</v>
      </c>
      <c r="AJ246" s="63"/>
      <c r="AK246" s="63"/>
      <c r="AL246" s="63"/>
      <c r="AM246" s="63"/>
      <c r="AN246" s="66"/>
      <c r="AO246" s="66"/>
      <c r="AP246" s="66"/>
      <c r="AQ246" s="66"/>
      <c r="AR246" s="66"/>
      <c r="AS246" s="66"/>
      <c r="AT246" s="66" t="s">
        <v>600</v>
      </c>
      <c r="AU246" s="66" t="s">
        <v>600</v>
      </c>
      <c r="AV246" s="66" t="s">
        <v>600</v>
      </c>
      <c r="AW246" s="66" t="s">
        <v>600</v>
      </c>
      <c r="AX246" s="66" t="s">
        <v>600</v>
      </c>
      <c r="AY246" s="66" t="s">
        <v>600</v>
      </c>
      <c r="AZ246" s="66" t="s">
        <v>600</v>
      </c>
      <c r="BA246" s="66" t="s">
        <v>600</v>
      </c>
      <c r="BB246" s="66" t="s">
        <v>600</v>
      </c>
      <c r="BC246" s="66" t="s">
        <v>600</v>
      </c>
      <c r="BD246" s="66" t="s">
        <v>600</v>
      </c>
      <c r="BE246" s="66" t="s">
        <v>600</v>
      </c>
      <c r="BF246" s="66" t="s">
        <v>600</v>
      </c>
      <c r="BG246" s="66" t="s">
        <v>600</v>
      </c>
      <c r="BH246" s="66" t="s">
        <v>600</v>
      </c>
      <c r="BI246" s="66" t="s">
        <v>600</v>
      </c>
      <c r="BJ246" s="66" t="s">
        <v>600</v>
      </c>
      <c r="BK246" s="66" t="s">
        <v>600</v>
      </c>
      <c r="BL246" s="66" t="s">
        <v>600</v>
      </c>
      <c r="BM246" s="66" t="s">
        <v>600</v>
      </c>
      <c r="BN246" s="66" t="s">
        <v>600</v>
      </c>
      <c r="BO246" s="66" t="s">
        <v>600</v>
      </c>
      <c r="BP246" s="66" t="s">
        <v>600</v>
      </c>
      <c r="BQ246" s="66" t="s">
        <v>600</v>
      </c>
      <c r="BR246" s="164"/>
      <c r="BS246" s="68" t="s">
        <v>601</v>
      </c>
    </row>
    <row r="247" ht="15.6" spans="1:71">
      <c r="A247" s="53" t="s">
        <v>511</v>
      </c>
      <c r="B247" s="53" t="s">
        <v>27</v>
      </c>
      <c r="C247" s="171" t="s">
        <v>80</v>
      </c>
      <c r="D247" s="183" t="s">
        <v>667</v>
      </c>
      <c r="E247" s="179">
        <v>9.6</v>
      </c>
      <c r="F247" s="56">
        <v>13.99</v>
      </c>
      <c r="G247" s="59">
        <f t="shared" si="215"/>
        <v>11.8915</v>
      </c>
      <c r="H247" s="59">
        <f t="shared" si="216"/>
        <v>9.90958333333333</v>
      </c>
      <c r="I247" s="59">
        <f t="shared" si="217"/>
        <v>0.334798451327433</v>
      </c>
      <c r="J247" s="60">
        <f t="shared" si="218"/>
        <v>0.0348748386799409</v>
      </c>
      <c r="K247" s="57">
        <f t="shared" si="219"/>
        <v>11.6583333333333</v>
      </c>
      <c r="L247" s="163">
        <f t="shared" si="220"/>
        <v>0.176554681915654</v>
      </c>
      <c r="M247" s="59">
        <f t="shared" si="221"/>
        <v>2.05833333333333</v>
      </c>
      <c r="N247" s="57">
        <f t="shared" si="234"/>
        <v>19.7522123893805</v>
      </c>
      <c r="O247" s="57">
        <f t="shared" si="222"/>
        <v>0.296875</v>
      </c>
      <c r="P247" s="53">
        <v>48</v>
      </c>
      <c r="Q247" s="62">
        <v>8</v>
      </c>
      <c r="R247" s="63">
        <f t="shared" si="223"/>
        <v>0.260416666666667</v>
      </c>
      <c r="S247" s="60">
        <f t="shared" si="224"/>
        <v>0.178699070764832</v>
      </c>
      <c r="T247" s="63">
        <f t="shared" si="225"/>
        <v>0.21859375</v>
      </c>
      <c r="U247" s="63">
        <v>0.01</v>
      </c>
      <c r="V247" s="63">
        <f t="shared" si="226"/>
        <v>0.257190265486726</v>
      </c>
      <c r="W247" s="63">
        <f t="shared" si="227"/>
        <v>0.0309244791666667</v>
      </c>
      <c r="X247" s="61">
        <v>0.188</v>
      </c>
      <c r="Y247" s="64">
        <v>2.5</v>
      </c>
      <c r="Z247" s="64">
        <f>F247*0.15</f>
        <v>2.0985</v>
      </c>
      <c r="AA247" s="64">
        <f t="shared" si="228"/>
        <v>0.096</v>
      </c>
      <c r="AB247" s="57">
        <f t="shared" si="229"/>
        <v>1.8048</v>
      </c>
      <c r="AC247" s="57">
        <v>17.8</v>
      </c>
      <c r="AD247" s="65">
        <f t="shared" si="230"/>
        <v>15.7522123893805</v>
      </c>
      <c r="AE247" s="62">
        <f t="shared" si="235"/>
        <v>0.5</v>
      </c>
      <c r="AF247" s="63">
        <f t="shared" si="231"/>
        <v>0.205106932153392</v>
      </c>
      <c r="AG247" s="63">
        <f t="shared" si="232"/>
        <v>0.00651041666666667</v>
      </c>
      <c r="AH247" s="62">
        <v>4</v>
      </c>
      <c r="AI247" s="63">
        <f t="shared" si="233"/>
        <v>0.213367531430013</v>
      </c>
      <c r="AJ247" s="63"/>
      <c r="AK247" s="63"/>
      <c r="AL247" s="63"/>
      <c r="AM247" s="63"/>
      <c r="AN247" s="66"/>
      <c r="AO247" s="66"/>
      <c r="AP247" s="66"/>
      <c r="AQ247" s="66"/>
      <c r="AR247" s="66"/>
      <c r="AS247" s="66"/>
      <c r="AT247" s="66" t="s">
        <v>600</v>
      </c>
      <c r="AU247" s="66" t="s">
        <v>600</v>
      </c>
      <c r="AV247" s="66" t="s">
        <v>600</v>
      </c>
      <c r="AW247" s="66" t="s">
        <v>600</v>
      </c>
      <c r="AX247" s="66" t="s">
        <v>600</v>
      </c>
      <c r="AY247" s="66" t="s">
        <v>600</v>
      </c>
      <c r="AZ247" s="66" t="s">
        <v>600</v>
      </c>
      <c r="BA247" s="66" t="s">
        <v>600</v>
      </c>
      <c r="BB247" s="66" t="s">
        <v>600</v>
      </c>
      <c r="BC247" s="66" t="s">
        <v>600</v>
      </c>
      <c r="BD247" s="66" t="s">
        <v>600</v>
      </c>
      <c r="BE247" s="66" t="s">
        <v>600</v>
      </c>
      <c r="BF247" s="66" t="s">
        <v>600</v>
      </c>
      <c r="BG247" s="66" t="s">
        <v>600</v>
      </c>
      <c r="BH247" s="66" t="s">
        <v>600</v>
      </c>
      <c r="BI247" s="66" t="s">
        <v>600</v>
      </c>
      <c r="BJ247" s="66" t="s">
        <v>600</v>
      </c>
      <c r="BK247" s="66" t="s">
        <v>600</v>
      </c>
      <c r="BL247" s="66" t="s">
        <v>600</v>
      </c>
      <c r="BM247" s="66" t="s">
        <v>600</v>
      </c>
      <c r="BN247" s="66" t="s">
        <v>600</v>
      </c>
      <c r="BO247" s="66" t="s">
        <v>600</v>
      </c>
      <c r="BP247" s="66" t="s">
        <v>600</v>
      </c>
      <c r="BQ247" s="66" t="s">
        <v>600</v>
      </c>
      <c r="BR247" s="164"/>
      <c r="BS247" s="68" t="s">
        <v>601</v>
      </c>
    </row>
    <row r="248" ht="15.6" spans="1:71">
      <c r="A248" s="53" t="s">
        <v>513</v>
      </c>
      <c r="B248" s="53" t="s">
        <v>27</v>
      </c>
      <c r="C248" s="171" t="s">
        <v>80</v>
      </c>
      <c r="D248" s="183" t="s">
        <v>665</v>
      </c>
      <c r="E248" s="179">
        <v>9.6</v>
      </c>
      <c r="F248" s="56">
        <v>13.99</v>
      </c>
      <c r="G248" s="59">
        <f t="shared" si="215"/>
        <v>13.99</v>
      </c>
      <c r="H248" s="59">
        <f t="shared" si="216"/>
        <v>11.6583333333333</v>
      </c>
      <c r="I248" s="59">
        <f t="shared" si="217"/>
        <v>2.4124651179941</v>
      </c>
      <c r="J248" s="60">
        <f t="shared" si="218"/>
        <v>0.251298449791052</v>
      </c>
      <c r="K248" s="57">
        <f t="shared" si="219"/>
        <v>11.6583333333333</v>
      </c>
      <c r="L248" s="163">
        <f t="shared" si="220"/>
        <v>0.176554681915654</v>
      </c>
      <c r="M248" s="59">
        <f t="shared" si="221"/>
        <v>2.05833333333333</v>
      </c>
      <c r="N248" s="57">
        <f t="shared" si="234"/>
        <v>19.7522123893805</v>
      </c>
      <c r="O248" s="57">
        <f t="shared" si="222"/>
        <v>0.317708333333333</v>
      </c>
      <c r="P248" s="53">
        <v>48</v>
      </c>
      <c r="Q248" s="62">
        <v>8</v>
      </c>
      <c r="R248" s="63">
        <f t="shared" si="223"/>
        <v>0.260416666666667</v>
      </c>
      <c r="S248" s="60">
        <f t="shared" si="224"/>
        <v>0.178699070764832</v>
      </c>
      <c r="T248" s="63">
        <f t="shared" si="225"/>
        <v>0</v>
      </c>
      <c r="U248" s="63">
        <v>0.01</v>
      </c>
      <c r="V248" s="63">
        <f t="shared" si="226"/>
        <v>0.257190265486726</v>
      </c>
      <c r="W248" s="63">
        <f t="shared" si="227"/>
        <v>0.0330946180555556</v>
      </c>
      <c r="X248" s="61">
        <v>0.188</v>
      </c>
      <c r="Y248" s="64">
        <v>2.5</v>
      </c>
      <c r="Z248" s="64">
        <v>0</v>
      </c>
      <c r="AA248" s="64">
        <f t="shared" si="228"/>
        <v>0.096</v>
      </c>
      <c r="AB248" s="57">
        <f t="shared" si="229"/>
        <v>1.8048</v>
      </c>
      <c r="AC248" s="57">
        <v>17.8</v>
      </c>
      <c r="AD248" s="65">
        <f t="shared" si="230"/>
        <v>15.7522123893805</v>
      </c>
      <c r="AE248" s="62">
        <f t="shared" si="235"/>
        <v>0.5</v>
      </c>
      <c r="AF248" s="63">
        <f t="shared" si="231"/>
        <v>0.205106932153392</v>
      </c>
      <c r="AG248" s="63">
        <f t="shared" si="232"/>
        <v>0.00651041666666667</v>
      </c>
      <c r="AH248" s="62">
        <v>4</v>
      </c>
      <c r="AI248" s="60">
        <f t="shared" si="233"/>
        <v>0.331362401715511</v>
      </c>
      <c r="AJ248" s="60"/>
      <c r="AK248" s="60"/>
      <c r="AL248" s="60"/>
      <c r="AM248" s="60"/>
      <c r="AN248" s="66"/>
      <c r="AO248" s="66"/>
      <c r="AP248" s="66"/>
      <c r="AQ248" s="66"/>
      <c r="AR248" s="66"/>
      <c r="AS248" s="66"/>
      <c r="AT248" s="66" t="s">
        <v>600</v>
      </c>
      <c r="AU248" s="66" t="s">
        <v>600</v>
      </c>
      <c r="AV248" s="66" t="s">
        <v>600</v>
      </c>
      <c r="AW248" s="66" t="s">
        <v>600</v>
      </c>
      <c r="AX248" s="66" t="s">
        <v>600</v>
      </c>
      <c r="AY248" s="66" t="s">
        <v>600</v>
      </c>
      <c r="AZ248" s="66" t="s">
        <v>600</v>
      </c>
      <c r="BA248" s="66" t="s">
        <v>600</v>
      </c>
      <c r="BB248" s="66" t="s">
        <v>600</v>
      </c>
      <c r="BC248" s="66" t="s">
        <v>600</v>
      </c>
      <c r="BD248" s="66" t="s">
        <v>600</v>
      </c>
      <c r="BE248" s="66" t="s">
        <v>600</v>
      </c>
      <c r="BF248" s="66" t="s">
        <v>600</v>
      </c>
      <c r="BG248" s="66" t="s">
        <v>600</v>
      </c>
      <c r="BH248" s="66" t="s">
        <v>600</v>
      </c>
      <c r="BI248" s="66" t="s">
        <v>600</v>
      </c>
      <c r="BJ248" s="66" t="s">
        <v>600</v>
      </c>
      <c r="BK248" s="66" t="s">
        <v>600</v>
      </c>
      <c r="BL248" s="66" t="s">
        <v>600</v>
      </c>
      <c r="BM248" s="66" t="s">
        <v>600</v>
      </c>
      <c r="BN248" s="66" t="s">
        <v>600</v>
      </c>
      <c r="BO248" s="66" t="s">
        <v>600</v>
      </c>
      <c r="BP248" s="66" t="s">
        <v>600</v>
      </c>
      <c r="BQ248" s="66" t="s">
        <v>600</v>
      </c>
      <c r="BR248" s="164"/>
      <c r="BS248" s="68" t="s">
        <v>601</v>
      </c>
    </row>
    <row r="249" ht="15.6" spans="1:71">
      <c r="A249" s="53" t="s">
        <v>513</v>
      </c>
      <c r="B249" s="53" t="s">
        <v>27</v>
      </c>
      <c r="C249" s="171" t="s">
        <v>80</v>
      </c>
      <c r="D249" s="183" t="s">
        <v>666</v>
      </c>
      <c r="E249" s="179">
        <v>9.6</v>
      </c>
      <c r="F249" s="56">
        <v>13.99</v>
      </c>
      <c r="G249" s="59">
        <f t="shared" si="215"/>
        <v>12.591</v>
      </c>
      <c r="H249" s="59">
        <f t="shared" si="216"/>
        <v>10.4925</v>
      </c>
      <c r="I249" s="165">
        <f t="shared" si="217"/>
        <v>1.0134651179941</v>
      </c>
      <c r="J249" s="60">
        <f t="shared" si="218"/>
        <v>0.105569283124385</v>
      </c>
      <c r="K249" s="57">
        <f t="shared" si="219"/>
        <v>11.6583333333333</v>
      </c>
      <c r="L249" s="163">
        <f t="shared" si="220"/>
        <v>0.176554681915654</v>
      </c>
      <c r="M249" s="59">
        <f t="shared" si="221"/>
        <v>2.05833333333333</v>
      </c>
      <c r="N249" s="57">
        <f t="shared" si="234"/>
        <v>19.7522123893805</v>
      </c>
      <c r="O249" s="57">
        <f t="shared" si="222"/>
        <v>0.317708333333333</v>
      </c>
      <c r="P249" s="53">
        <v>48</v>
      </c>
      <c r="Q249" s="62">
        <v>8</v>
      </c>
      <c r="R249" s="63">
        <f t="shared" si="223"/>
        <v>0.260416666666667</v>
      </c>
      <c r="S249" s="60">
        <f t="shared" si="224"/>
        <v>0.178699070764832</v>
      </c>
      <c r="T249" s="63">
        <f t="shared" si="225"/>
        <v>0.145729166666667</v>
      </c>
      <c r="U249" s="63">
        <v>0.01</v>
      </c>
      <c r="V249" s="63">
        <f t="shared" si="226"/>
        <v>0.257190265486726</v>
      </c>
      <c r="W249" s="63">
        <f t="shared" si="227"/>
        <v>0.0330946180555556</v>
      </c>
      <c r="X249" s="61">
        <v>0.188</v>
      </c>
      <c r="Y249" s="64">
        <v>2.5</v>
      </c>
      <c r="Z249" s="64">
        <f>F249*0.1</f>
        <v>1.399</v>
      </c>
      <c r="AA249" s="64">
        <f t="shared" si="228"/>
        <v>0.096</v>
      </c>
      <c r="AB249" s="57">
        <f t="shared" si="229"/>
        <v>1.8048</v>
      </c>
      <c r="AC249" s="57">
        <v>17.8</v>
      </c>
      <c r="AD249" s="65">
        <f t="shared" si="230"/>
        <v>15.7522123893805</v>
      </c>
      <c r="AE249" s="62">
        <f t="shared" si="235"/>
        <v>0.5</v>
      </c>
      <c r="AF249" s="63">
        <f t="shared" si="231"/>
        <v>0.205106932153392</v>
      </c>
      <c r="AG249" s="63">
        <f t="shared" si="232"/>
        <v>0.00651041666666667</v>
      </c>
      <c r="AH249" s="62">
        <v>4</v>
      </c>
      <c r="AI249" s="60">
        <f t="shared" si="233"/>
        <v>0.257069335239457</v>
      </c>
      <c r="AJ249" s="60"/>
      <c r="AK249" s="60"/>
      <c r="AL249" s="60"/>
      <c r="AM249" s="60"/>
      <c r="AN249" s="66"/>
      <c r="AO249" s="66"/>
      <c r="AP249" s="66"/>
      <c r="AQ249" s="66"/>
      <c r="AR249" s="66"/>
      <c r="AS249" s="66"/>
      <c r="AT249" s="66" t="s">
        <v>600</v>
      </c>
      <c r="AU249" s="66" t="s">
        <v>600</v>
      </c>
      <c r="AV249" s="66" t="s">
        <v>600</v>
      </c>
      <c r="AW249" s="66" t="s">
        <v>600</v>
      </c>
      <c r="AX249" s="66" t="s">
        <v>600</v>
      </c>
      <c r="AY249" s="66" t="s">
        <v>600</v>
      </c>
      <c r="AZ249" s="66" t="s">
        <v>600</v>
      </c>
      <c r="BA249" s="66" t="s">
        <v>600</v>
      </c>
      <c r="BB249" s="66" t="s">
        <v>600</v>
      </c>
      <c r="BC249" s="66" t="s">
        <v>600</v>
      </c>
      <c r="BD249" s="66" t="s">
        <v>600</v>
      </c>
      <c r="BE249" s="66" t="s">
        <v>600</v>
      </c>
      <c r="BF249" s="66" t="s">
        <v>600</v>
      </c>
      <c r="BG249" s="66" t="s">
        <v>600</v>
      </c>
      <c r="BH249" s="66" t="s">
        <v>600</v>
      </c>
      <c r="BI249" s="66" t="s">
        <v>600</v>
      </c>
      <c r="BJ249" s="66" t="s">
        <v>600</v>
      </c>
      <c r="BK249" s="66" t="s">
        <v>600</v>
      </c>
      <c r="BL249" s="66" t="s">
        <v>600</v>
      </c>
      <c r="BM249" s="66" t="s">
        <v>600</v>
      </c>
      <c r="BN249" s="66" t="s">
        <v>600</v>
      </c>
      <c r="BO249" s="66" t="s">
        <v>600</v>
      </c>
      <c r="BP249" s="66" t="s">
        <v>600</v>
      </c>
      <c r="BQ249" s="66" t="s">
        <v>600</v>
      </c>
      <c r="BR249" s="164"/>
      <c r="BS249" s="68" t="s">
        <v>601</v>
      </c>
    </row>
    <row r="250" ht="15.6" spans="1:71">
      <c r="A250" s="53" t="s">
        <v>513</v>
      </c>
      <c r="B250" s="53" t="s">
        <v>27</v>
      </c>
      <c r="C250" s="171" t="s">
        <v>80</v>
      </c>
      <c r="D250" s="183" t="s">
        <v>667</v>
      </c>
      <c r="E250" s="179">
        <v>9.6</v>
      </c>
      <c r="F250" s="56">
        <v>13.99</v>
      </c>
      <c r="G250" s="59">
        <f t="shared" si="215"/>
        <v>11.8915</v>
      </c>
      <c r="H250" s="59">
        <f t="shared" si="216"/>
        <v>9.90958333333333</v>
      </c>
      <c r="I250" s="59">
        <f t="shared" si="217"/>
        <v>0.3139651179941</v>
      </c>
      <c r="J250" s="60">
        <f t="shared" si="218"/>
        <v>0.032704699791052</v>
      </c>
      <c r="K250" s="57">
        <f t="shared" si="219"/>
        <v>11.6583333333333</v>
      </c>
      <c r="L250" s="163">
        <f t="shared" si="220"/>
        <v>0.176554681915654</v>
      </c>
      <c r="M250" s="59">
        <f t="shared" si="221"/>
        <v>2.05833333333333</v>
      </c>
      <c r="N250" s="57">
        <f t="shared" si="234"/>
        <v>19.7522123893805</v>
      </c>
      <c r="O250" s="57">
        <f t="shared" si="222"/>
        <v>0.317708333333333</v>
      </c>
      <c r="P250" s="53">
        <v>48</v>
      </c>
      <c r="Q250" s="62">
        <v>8</v>
      </c>
      <c r="R250" s="63">
        <f t="shared" si="223"/>
        <v>0.260416666666667</v>
      </c>
      <c r="S250" s="60">
        <f t="shared" si="224"/>
        <v>0.178699070764832</v>
      </c>
      <c r="T250" s="63">
        <f t="shared" si="225"/>
        <v>0.21859375</v>
      </c>
      <c r="U250" s="63">
        <v>0.01</v>
      </c>
      <c r="V250" s="63">
        <f t="shared" si="226"/>
        <v>0.257190265486726</v>
      </c>
      <c r="W250" s="63">
        <f t="shared" si="227"/>
        <v>0.0330946180555556</v>
      </c>
      <c r="X250" s="61">
        <v>0.188</v>
      </c>
      <c r="Y250" s="64">
        <v>2.5</v>
      </c>
      <c r="Z250" s="64">
        <f>F250*0.15</f>
        <v>2.0985</v>
      </c>
      <c r="AA250" s="64">
        <f t="shared" si="228"/>
        <v>0.096</v>
      </c>
      <c r="AB250" s="57">
        <f t="shared" si="229"/>
        <v>1.8048</v>
      </c>
      <c r="AC250" s="57">
        <v>17.8</v>
      </c>
      <c r="AD250" s="65">
        <f t="shared" si="230"/>
        <v>15.7522123893805</v>
      </c>
      <c r="AE250" s="62">
        <f t="shared" si="235"/>
        <v>0.5</v>
      </c>
      <c r="AF250" s="63">
        <f t="shared" si="231"/>
        <v>0.205106932153392</v>
      </c>
      <c r="AG250" s="63">
        <f t="shared" si="232"/>
        <v>0.00651041666666667</v>
      </c>
      <c r="AH250" s="62">
        <v>4</v>
      </c>
      <c r="AI250" s="60">
        <f t="shared" si="233"/>
        <v>0.213367531430013</v>
      </c>
      <c r="AJ250" s="60"/>
      <c r="AK250" s="60"/>
      <c r="AL250" s="60"/>
      <c r="AM250" s="60"/>
      <c r="AN250" s="66"/>
      <c r="AO250" s="66"/>
      <c r="AP250" s="66"/>
      <c r="AQ250" s="66"/>
      <c r="AR250" s="66"/>
      <c r="AS250" s="66"/>
      <c r="AT250" s="66" t="s">
        <v>600</v>
      </c>
      <c r="AU250" s="66" t="s">
        <v>600</v>
      </c>
      <c r="AV250" s="66" t="s">
        <v>600</v>
      </c>
      <c r="AW250" s="66" t="s">
        <v>600</v>
      </c>
      <c r="AX250" s="66" t="s">
        <v>600</v>
      </c>
      <c r="AY250" s="66" t="s">
        <v>600</v>
      </c>
      <c r="AZ250" s="66" t="s">
        <v>600</v>
      </c>
      <c r="BA250" s="66" t="s">
        <v>600</v>
      </c>
      <c r="BB250" s="66" t="s">
        <v>600</v>
      </c>
      <c r="BC250" s="66" t="s">
        <v>600</v>
      </c>
      <c r="BD250" s="66" t="s">
        <v>600</v>
      </c>
      <c r="BE250" s="66" t="s">
        <v>600</v>
      </c>
      <c r="BF250" s="66" t="s">
        <v>600</v>
      </c>
      <c r="BG250" s="66" t="s">
        <v>600</v>
      </c>
      <c r="BH250" s="66" t="s">
        <v>600</v>
      </c>
      <c r="BI250" s="66" t="s">
        <v>600</v>
      </c>
      <c r="BJ250" s="66" t="s">
        <v>600</v>
      </c>
      <c r="BK250" s="66" t="s">
        <v>600</v>
      </c>
      <c r="BL250" s="66" t="s">
        <v>600</v>
      </c>
      <c r="BM250" s="66" t="s">
        <v>600</v>
      </c>
      <c r="BN250" s="66" t="s">
        <v>600</v>
      </c>
      <c r="BO250" s="66" t="s">
        <v>600</v>
      </c>
      <c r="BP250" s="66" t="s">
        <v>600</v>
      </c>
      <c r="BQ250" s="66" t="s">
        <v>600</v>
      </c>
      <c r="BR250" s="164"/>
      <c r="BS250" s="68" t="s">
        <v>601</v>
      </c>
    </row>
    <row r="251" ht="15.6" spans="1:71">
      <c r="A251" s="53" t="s">
        <v>516</v>
      </c>
      <c r="B251" s="53" t="s">
        <v>27</v>
      </c>
      <c r="C251" s="171" t="s">
        <v>80</v>
      </c>
      <c r="D251" s="183" t="s">
        <v>665</v>
      </c>
      <c r="E251" s="179">
        <v>9.6</v>
      </c>
      <c r="F251" s="56">
        <v>13.99</v>
      </c>
      <c r="G251" s="59">
        <f t="shared" si="215"/>
        <v>13.99</v>
      </c>
      <c r="H251" s="59">
        <f t="shared" si="216"/>
        <v>11.6583333333333</v>
      </c>
      <c r="I251" s="59">
        <f t="shared" si="217"/>
        <v>2.32913178466077</v>
      </c>
      <c r="J251" s="60">
        <f t="shared" si="218"/>
        <v>0.242617894235497</v>
      </c>
      <c r="K251" s="57">
        <f t="shared" si="219"/>
        <v>11.6583333333333</v>
      </c>
      <c r="L251" s="163">
        <f t="shared" si="220"/>
        <v>0.176554681915654</v>
      </c>
      <c r="M251" s="59">
        <f t="shared" si="221"/>
        <v>2.05833333333333</v>
      </c>
      <c r="N251" s="57">
        <f t="shared" si="234"/>
        <v>19.7522123893805</v>
      </c>
      <c r="O251" s="57">
        <f t="shared" si="222"/>
        <v>0.401041666666667</v>
      </c>
      <c r="P251" s="53">
        <v>48</v>
      </c>
      <c r="Q251" s="62">
        <v>8</v>
      </c>
      <c r="R251" s="63">
        <f t="shared" si="223"/>
        <v>0.260416666666667</v>
      </c>
      <c r="S251" s="60">
        <f t="shared" si="224"/>
        <v>0.178699070764832</v>
      </c>
      <c r="T251" s="63">
        <f t="shared" si="225"/>
        <v>0</v>
      </c>
      <c r="U251" s="63">
        <v>0.01</v>
      </c>
      <c r="V251" s="63">
        <f t="shared" si="226"/>
        <v>0.257190265486726</v>
      </c>
      <c r="W251" s="63">
        <f t="shared" si="227"/>
        <v>0.0417751736111111</v>
      </c>
      <c r="X251" s="61">
        <v>0.188</v>
      </c>
      <c r="Y251" s="64">
        <v>2.5</v>
      </c>
      <c r="Z251" s="64">
        <v>0</v>
      </c>
      <c r="AA251" s="64">
        <f t="shared" si="228"/>
        <v>0.096</v>
      </c>
      <c r="AB251" s="57">
        <f t="shared" si="229"/>
        <v>1.8048</v>
      </c>
      <c r="AC251" s="57">
        <v>17.8</v>
      </c>
      <c r="AD251" s="65">
        <f t="shared" si="230"/>
        <v>15.7522123893805</v>
      </c>
      <c r="AE251" s="62">
        <f t="shared" si="235"/>
        <v>0.5</v>
      </c>
      <c r="AF251" s="63">
        <f t="shared" si="231"/>
        <v>0.205106932153392</v>
      </c>
      <c r="AG251" s="63">
        <f t="shared" si="232"/>
        <v>0.00651041666666667</v>
      </c>
      <c r="AH251" s="62">
        <v>4</v>
      </c>
      <c r="AI251" s="63">
        <f t="shared" si="233"/>
        <v>0.331362401715511</v>
      </c>
      <c r="AJ251" s="63"/>
      <c r="AK251" s="63"/>
      <c r="AL251" s="63"/>
      <c r="AM251" s="63"/>
      <c r="AN251" s="66"/>
      <c r="AO251" s="66"/>
      <c r="AP251" s="66"/>
      <c r="AQ251" s="66"/>
      <c r="AR251" s="66"/>
      <c r="AS251" s="66"/>
      <c r="AT251" s="66" t="s">
        <v>600</v>
      </c>
      <c r="AU251" s="66" t="s">
        <v>600</v>
      </c>
      <c r="AV251" s="66" t="s">
        <v>600</v>
      </c>
      <c r="AW251" s="66" t="s">
        <v>600</v>
      </c>
      <c r="AX251" s="66" t="s">
        <v>600</v>
      </c>
      <c r="AY251" s="66" t="s">
        <v>600</v>
      </c>
      <c r="AZ251" s="66" t="s">
        <v>600</v>
      </c>
      <c r="BA251" s="66" t="s">
        <v>600</v>
      </c>
      <c r="BB251" s="66" t="s">
        <v>600</v>
      </c>
      <c r="BC251" s="66" t="s">
        <v>600</v>
      </c>
      <c r="BD251" s="66" t="s">
        <v>600</v>
      </c>
      <c r="BE251" s="66" t="s">
        <v>600</v>
      </c>
      <c r="BF251" s="66" t="s">
        <v>600</v>
      </c>
      <c r="BG251" s="66" t="s">
        <v>600</v>
      </c>
      <c r="BH251" s="66" t="s">
        <v>600</v>
      </c>
      <c r="BI251" s="66" t="s">
        <v>600</v>
      </c>
      <c r="BJ251" s="66" t="s">
        <v>600</v>
      </c>
      <c r="BK251" s="66" t="s">
        <v>600</v>
      </c>
      <c r="BL251" s="66" t="s">
        <v>600</v>
      </c>
      <c r="BM251" s="66" t="s">
        <v>600</v>
      </c>
      <c r="BN251" s="66" t="s">
        <v>600</v>
      </c>
      <c r="BO251" s="66" t="s">
        <v>600</v>
      </c>
      <c r="BP251" s="66" t="s">
        <v>600</v>
      </c>
      <c r="BQ251" s="66" t="s">
        <v>600</v>
      </c>
      <c r="BR251" s="164"/>
      <c r="BS251" s="68" t="s">
        <v>601</v>
      </c>
    </row>
    <row r="252" ht="15.6" spans="1:71">
      <c r="A252" s="53" t="s">
        <v>516</v>
      </c>
      <c r="B252" s="53" t="s">
        <v>27</v>
      </c>
      <c r="C252" s="171" t="s">
        <v>80</v>
      </c>
      <c r="D252" s="183" t="s">
        <v>666</v>
      </c>
      <c r="E252" s="179">
        <v>9.6</v>
      </c>
      <c r="F252" s="56">
        <v>13.99</v>
      </c>
      <c r="G252" s="59">
        <f t="shared" si="215"/>
        <v>12.591</v>
      </c>
      <c r="H252" s="59">
        <f t="shared" si="216"/>
        <v>10.4925</v>
      </c>
      <c r="I252" s="165">
        <f t="shared" si="217"/>
        <v>0.930131784660767</v>
      </c>
      <c r="J252" s="60">
        <f t="shared" si="218"/>
        <v>0.0968887275688299</v>
      </c>
      <c r="K252" s="57">
        <f t="shared" si="219"/>
        <v>11.6583333333333</v>
      </c>
      <c r="L252" s="163">
        <f t="shared" si="220"/>
        <v>0.176554681915654</v>
      </c>
      <c r="M252" s="59">
        <f t="shared" si="221"/>
        <v>2.05833333333333</v>
      </c>
      <c r="N252" s="57">
        <f t="shared" si="234"/>
        <v>19.7522123893805</v>
      </c>
      <c r="O252" s="57">
        <f t="shared" si="222"/>
        <v>0.401041666666667</v>
      </c>
      <c r="P252" s="53">
        <v>48</v>
      </c>
      <c r="Q252" s="62">
        <v>8</v>
      </c>
      <c r="R252" s="63">
        <f t="shared" si="223"/>
        <v>0.260416666666667</v>
      </c>
      <c r="S252" s="60">
        <f t="shared" si="224"/>
        <v>0.178699070764832</v>
      </c>
      <c r="T252" s="63">
        <f t="shared" si="225"/>
        <v>0.145729166666667</v>
      </c>
      <c r="U252" s="63">
        <v>0.01</v>
      </c>
      <c r="V252" s="63">
        <f t="shared" si="226"/>
        <v>0.257190265486726</v>
      </c>
      <c r="W252" s="63">
        <f t="shared" si="227"/>
        <v>0.0417751736111111</v>
      </c>
      <c r="X252" s="61">
        <v>0.188</v>
      </c>
      <c r="Y252" s="64">
        <v>2.5</v>
      </c>
      <c r="Z252" s="64">
        <f>F252*0.1</f>
        <v>1.399</v>
      </c>
      <c r="AA252" s="64">
        <f t="shared" si="228"/>
        <v>0.096</v>
      </c>
      <c r="AB252" s="57">
        <f t="shared" si="229"/>
        <v>1.8048</v>
      </c>
      <c r="AC252" s="57">
        <v>17.8</v>
      </c>
      <c r="AD252" s="65">
        <f t="shared" si="230"/>
        <v>15.7522123893805</v>
      </c>
      <c r="AE252" s="62">
        <f t="shared" si="235"/>
        <v>0.5</v>
      </c>
      <c r="AF252" s="63">
        <f t="shared" si="231"/>
        <v>0.205106932153392</v>
      </c>
      <c r="AG252" s="63">
        <f t="shared" si="232"/>
        <v>0.00651041666666667</v>
      </c>
      <c r="AH252" s="62">
        <v>4</v>
      </c>
      <c r="AI252" s="63">
        <f t="shared" si="233"/>
        <v>0.257069335239457</v>
      </c>
      <c r="AJ252" s="63"/>
      <c r="AK252" s="63"/>
      <c r="AL252" s="63"/>
      <c r="AM252" s="63"/>
      <c r="AN252" s="66"/>
      <c r="AO252" s="66"/>
      <c r="AP252" s="66"/>
      <c r="AQ252" s="66"/>
      <c r="AR252" s="66"/>
      <c r="AS252" s="66"/>
      <c r="AT252" s="66" t="s">
        <v>600</v>
      </c>
      <c r="AU252" s="66" t="s">
        <v>600</v>
      </c>
      <c r="AV252" s="66" t="s">
        <v>600</v>
      </c>
      <c r="AW252" s="66" t="s">
        <v>600</v>
      </c>
      <c r="AX252" s="66" t="s">
        <v>600</v>
      </c>
      <c r="AY252" s="66" t="s">
        <v>600</v>
      </c>
      <c r="AZ252" s="66" t="s">
        <v>600</v>
      </c>
      <c r="BA252" s="66" t="s">
        <v>600</v>
      </c>
      <c r="BB252" s="66" t="s">
        <v>600</v>
      </c>
      <c r="BC252" s="66" t="s">
        <v>600</v>
      </c>
      <c r="BD252" s="66" t="s">
        <v>600</v>
      </c>
      <c r="BE252" s="66" t="s">
        <v>600</v>
      </c>
      <c r="BF252" s="66" t="s">
        <v>600</v>
      </c>
      <c r="BG252" s="66" t="s">
        <v>600</v>
      </c>
      <c r="BH252" s="66" t="s">
        <v>600</v>
      </c>
      <c r="BI252" s="66" t="s">
        <v>600</v>
      </c>
      <c r="BJ252" s="66" t="s">
        <v>600</v>
      </c>
      <c r="BK252" s="66" t="s">
        <v>600</v>
      </c>
      <c r="BL252" s="66" t="s">
        <v>600</v>
      </c>
      <c r="BM252" s="66" t="s">
        <v>600</v>
      </c>
      <c r="BN252" s="66" t="s">
        <v>600</v>
      </c>
      <c r="BO252" s="66" t="s">
        <v>600</v>
      </c>
      <c r="BP252" s="66" t="s">
        <v>600</v>
      </c>
      <c r="BQ252" s="66" t="s">
        <v>600</v>
      </c>
      <c r="BR252" s="164"/>
      <c r="BS252" s="68" t="s">
        <v>601</v>
      </c>
    </row>
    <row r="253" ht="15.6" spans="1:71">
      <c r="A253" s="53" t="s">
        <v>516</v>
      </c>
      <c r="B253" s="53" t="s">
        <v>27</v>
      </c>
      <c r="C253" s="171" t="s">
        <v>80</v>
      </c>
      <c r="D253" s="183" t="s">
        <v>667</v>
      </c>
      <c r="E253" s="179">
        <v>9.6</v>
      </c>
      <c r="F253" s="56">
        <v>13.99</v>
      </c>
      <c r="G253" s="59">
        <f t="shared" si="215"/>
        <v>11.8915</v>
      </c>
      <c r="H253" s="59">
        <f t="shared" si="216"/>
        <v>9.90958333333333</v>
      </c>
      <c r="I253" s="59">
        <f t="shared" si="217"/>
        <v>0.230631784660766</v>
      </c>
      <c r="J253" s="60">
        <f t="shared" si="218"/>
        <v>0.0240241442354965</v>
      </c>
      <c r="K253" s="57">
        <f t="shared" si="219"/>
        <v>11.6583333333333</v>
      </c>
      <c r="L253" s="163">
        <f t="shared" si="220"/>
        <v>0.176554681915654</v>
      </c>
      <c r="M253" s="59">
        <f t="shared" si="221"/>
        <v>2.05833333333333</v>
      </c>
      <c r="N253" s="57">
        <f t="shared" si="234"/>
        <v>19.7522123893805</v>
      </c>
      <c r="O253" s="57">
        <f t="shared" si="222"/>
        <v>0.401041666666667</v>
      </c>
      <c r="P253" s="53">
        <v>48</v>
      </c>
      <c r="Q253" s="62">
        <v>8</v>
      </c>
      <c r="R253" s="63">
        <f t="shared" si="223"/>
        <v>0.260416666666667</v>
      </c>
      <c r="S253" s="60">
        <f t="shared" si="224"/>
        <v>0.178699070764832</v>
      </c>
      <c r="T253" s="63">
        <f t="shared" si="225"/>
        <v>0.21859375</v>
      </c>
      <c r="U253" s="63">
        <v>0.01</v>
      </c>
      <c r="V253" s="63">
        <f t="shared" si="226"/>
        <v>0.257190265486726</v>
      </c>
      <c r="W253" s="63">
        <f t="shared" si="227"/>
        <v>0.0417751736111111</v>
      </c>
      <c r="X253" s="61">
        <v>0.188</v>
      </c>
      <c r="Y253" s="64">
        <v>2.5</v>
      </c>
      <c r="Z253" s="64">
        <f>F253*0.15</f>
        <v>2.0985</v>
      </c>
      <c r="AA253" s="64">
        <f t="shared" si="228"/>
        <v>0.096</v>
      </c>
      <c r="AB253" s="57">
        <f t="shared" si="229"/>
        <v>1.8048</v>
      </c>
      <c r="AC253" s="57">
        <v>17.8</v>
      </c>
      <c r="AD253" s="65">
        <f t="shared" si="230"/>
        <v>15.7522123893805</v>
      </c>
      <c r="AE253" s="62">
        <f t="shared" si="235"/>
        <v>0.5</v>
      </c>
      <c r="AF253" s="63">
        <f t="shared" si="231"/>
        <v>0.205106932153392</v>
      </c>
      <c r="AG253" s="63">
        <f t="shared" si="232"/>
        <v>0.00651041666666667</v>
      </c>
      <c r="AH253" s="62">
        <v>4</v>
      </c>
      <c r="AI253" s="63">
        <f t="shared" si="233"/>
        <v>0.213367531430013</v>
      </c>
      <c r="AJ253" s="63"/>
      <c r="AK253" s="63"/>
      <c r="AL253" s="63"/>
      <c r="AM253" s="63"/>
      <c r="AN253" s="66"/>
      <c r="AO253" s="66"/>
      <c r="AP253" s="66"/>
      <c r="AQ253" s="66"/>
      <c r="AR253" s="66"/>
      <c r="AS253" s="66"/>
      <c r="AT253" s="66" t="s">
        <v>600</v>
      </c>
      <c r="AU253" s="66" t="s">
        <v>600</v>
      </c>
      <c r="AV253" s="66" t="s">
        <v>600</v>
      </c>
      <c r="AW253" s="66" t="s">
        <v>600</v>
      </c>
      <c r="AX253" s="66" t="s">
        <v>600</v>
      </c>
      <c r="AY253" s="66" t="s">
        <v>600</v>
      </c>
      <c r="AZ253" s="66" t="s">
        <v>600</v>
      </c>
      <c r="BA253" s="66" t="s">
        <v>600</v>
      </c>
      <c r="BB253" s="66" t="s">
        <v>600</v>
      </c>
      <c r="BC253" s="66" t="s">
        <v>600</v>
      </c>
      <c r="BD253" s="66" t="s">
        <v>600</v>
      </c>
      <c r="BE253" s="66" t="s">
        <v>600</v>
      </c>
      <c r="BF253" s="66" t="s">
        <v>600</v>
      </c>
      <c r="BG253" s="66" t="s">
        <v>600</v>
      </c>
      <c r="BH253" s="66" t="s">
        <v>600</v>
      </c>
      <c r="BI253" s="66" t="s">
        <v>600</v>
      </c>
      <c r="BJ253" s="66" t="s">
        <v>600</v>
      </c>
      <c r="BK253" s="66" t="s">
        <v>600</v>
      </c>
      <c r="BL253" s="66" t="s">
        <v>600</v>
      </c>
      <c r="BM253" s="66" t="s">
        <v>600</v>
      </c>
      <c r="BN253" s="66" t="s">
        <v>600</v>
      </c>
      <c r="BO253" s="66" t="s">
        <v>600</v>
      </c>
      <c r="BP253" s="66" t="s">
        <v>600</v>
      </c>
      <c r="BQ253" s="66" t="s">
        <v>600</v>
      </c>
      <c r="BR253" s="164"/>
      <c r="BS253" s="68" t="s">
        <v>601</v>
      </c>
    </row>
    <row r="254" ht="15.6" spans="1:71">
      <c r="A254" s="53" t="s">
        <v>605</v>
      </c>
      <c r="B254" s="53" t="s">
        <v>27</v>
      </c>
      <c r="C254" s="171" t="s">
        <v>80</v>
      </c>
      <c r="D254" s="170" t="s">
        <v>668</v>
      </c>
      <c r="E254" s="179">
        <v>10.3</v>
      </c>
      <c r="F254" s="167">
        <v>14.99</v>
      </c>
      <c r="G254" s="59">
        <f t="shared" si="215"/>
        <v>14.99</v>
      </c>
      <c r="H254" s="59">
        <f t="shared" si="216"/>
        <v>12.4916666666667</v>
      </c>
      <c r="I254" s="59">
        <f t="shared" si="217"/>
        <v>2.9426151179941</v>
      </c>
      <c r="J254" s="60">
        <f t="shared" si="218"/>
        <v>0.285690788154767</v>
      </c>
      <c r="K254" s="57">
        <f t="shared" si="219"/>
        <v>12.4916666666667</v>
      </c>
      <c r="L254" s="163">
        <f t="shared" si="220"/>
        <v>0.175450300200133</v>
      </c>
      <c r="M254" s="59">
        <f t="shared" si="221"/>
        <v>2.19166666666667</v>
      </c>
      <c r="N254" s="57">
        <f t="shared" si="234"/>
        <v>19.7522123893805</v>
      </c>
      <c r="O254" s="57">
        <f t="shared" si="222"/>
        <v>0.348958333333333</v>
      </c>
      <c r="P254" s="53">
        <v>48</v>
      </c>
      <c r="Q254" s="62">
        <v>8</v>
      </c>
      <c r="R254" s="63">
        <f t="shared" si="223"/>
        <v>0.242718446601942</v>
      </c>
      <c r="S254" s="60">
        <f t="shared" si="224"/>
        <v>0.166777851901268</v>
      </c>
      <c r="T254" s="63">
        <f t="shared" si="225"/>
        <v>0</v>
      </c>
      <c r="U254" s="63">
        <v>0.01</v>
      </c>
      <c r="V254" s="63">
        <f t="shared" si="226"/>
        <v>0.239711315405104</v>
      </c>
      <c r="W254" s="63">
        <f t="shared" si="227"/>
        <v>0.0338794498381877</v>
      </c>
      <c r="X254" s="61">
        <v>0.188</v>
      </c>
      <c r="Y254" s="64">
        <v>2.5</v>
      </c>
      <c r="Z254" s="64">
        <f>F254*0</f>
        <v>0</v>
      </c>
      <c r="AA254" s="64">
        <f t="shared" si="228"/>
        <v>0.103</v>
      </c>
      <c r="AB254" s="57">
        <f t="shared" si="229"/>
        <v>1.9364</v>
      </c>
      <c r="AC254" s="57">
        <v>17.8</v>
      </c>
      <c r="AD254" s="65">
        <f t="shared" si="230"/>
        <v>15.7522123893805</v>
      </c>
      <c r="AE254" s="62">
        <f t="shared" si="235"/>
        <v>0.5</v>
      </c>
      <c r="AF254" s="63">
        <f t="shared" si="231"/>
        <v>0.191167626084715</v>
      </c>
      <c r="AG254" s="63">
        <f t="shared" si="232"/>
        <v>0.00606796116504854</v>
      </c>
      <c r="AH254" s="62">
        <v>4</v>
      </c>
      <c r="AI254" s="63">
        <f t="shared" si="233"/>
        <v>0.330465643762508</v>
      </c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 t="s">
        <v>600</v>
      </c>
      <c r="AU254" s="66" t="s">
        <v>600</v>
      </c>
      <c r="AV254" s="66" t="s">
        <v>600</v>
      </c>
      <c r="AW254" s="66" t="s">
        <v>600</v>
      </c>
      <c r="AX254" s="66" t="s">
        <v>600</v>
      </c>
      <c r="AY254" s="66" t="s">
        <v>600</v>
      </c>
      <c r="AZ254" s="66" t="s">
        <v>600</v>
      </c>
      <c r="BA254" s="66" t="s">
        <v>600</v>
      </c>
      <c r="BB254" s="66" t="s">
        <v>600</v>
      </c>
      <c r="BC254" s="66" t="s">
        <v>600</v>
      </c>
      <c r="BD254" s="66" t="s">
        <v>600</v>
      </c>
      <c r="BE254" s="66" t="s">
        <v>600</v>
      </c>
      <c r="BF254" s="66" t="s">
        <v>600</v>
      </c>
      <c r="BG254" s="66" t="s">
        <v>600</v>
      </c>
      <c r="BH254" s="66" t="s">
        <v>600</v>
      </c>
      <c r="BI254" s="66" t="s">
        <v>600</v>
      </c>
      <c r="BJ254" s="66" t="s">
        <v>600</v>
      </c>
      <c r="BK254" s="66" t="s">
        <v>600</v>
      </c>
      <c r="BL254" s="66" t="s">
        <v>600</v>
      </c>
      <c r="BM254" s="66" t="s">
        <v>600</v>
      </c>
      <c r="BN254" s="66" t="s">
        <v>600</v>
      </c>
      <c r="BO254" s="66" t="s">
        <v>600</v>
      </c>
      <c r="BP254" s="66" t="s">
        <v>600</v>
      </c>
      <c r="BQ254" s="66" t="s">
        <v>600</v>
      </c>
      <c r="BR254" s="70" t="e">
        <f>IF(E254&lt;#REF!,1,0)</f>
        <v>#REF!</v>
      </c>
      <c r="BS254" s="68" t="s">
        <v>601</v>
      </c>
    </row>
    <row r="255" ht="15.6" spans="1:71">
      <c r="A255" s="53" t="s">
        <v>607</v>
      </c>
      <c r="B255" s="53" t="s">
        <v>27</v>
      </c>
      <c r="C255" s="171" t="s">
        <v>80</v>
      </c>
      <c r="D255" s="170" t="s">
        <v>669</v>
      </c>
      <c r="E255" s="179">
        <v>11</v>
      </c>
      <c r="F255" s="167">
        <v>15.99</v>
      </c>
      <c r="G255" s="59">
        <f t="shared" si="215"/>
        <v>15.99</v>
      </c>
      <c r="H255" s="59">
        <f t="shared" si="216"/>
        <v>13.325</v>
      </c>
      <c r="I255" s="59">
        <f t="shared" si="217"/>
        <v>3.5602651179941</v>
      </c>
      <c r="J255" s="60">
        <f t="shared" si="218"/>
        <v>0.323660465272191</v>
      </c>
      <c r="K255" s="57">
        <f t="shared" si="219"/>
        <v>13.325</v>
      </c>
      <c r="L255" s="163">
        <f t="shared" si="220"/>
        <v>0.174484052532833</v>
      </c>
      <c r="M255" s="59">
        <f t="shared" si="221"/>
        <v>2.325</v>
      </c>
      <c r="N255" s="57">
        <f t="shared" si="234"/>
        <v>19.7522123893805</v>
      </c>
      <c r="O255" s="57">
        <f t="shared" si="222"/>
        <v>0.292708333333333</v>
      </c>
      <c r="P255" s="53">
        <v>48</v>
      </c>
      <c r="Q255" s="62">
        <v>8</v>
      </c>
      <c r="R255" s="63">
        <f t="shared" si="223"/>
        <v>0.227272727272727</v>
      </c>
      <c r="S255" s="60">
        <f t="shared" si="224"/>
        <v>0.156347717323327</v>
      </c>
      <c r="T255" s="63">
        <f t="shared" si="225"/>
        <v>0</v>
      </c>
      <c r="U255" s="63">
        <v>0.01</v>
      </c>
      <c r="V255" s="63">
        <f t="shared" si="226"/>
        <v>0.224456958970233</v>
      </c>
      <c r="W255" s="63">
        <f t="shared" si="227"/>
        <v>0.0266098484848485</v>
      </c>
      <c r="X255" s="61">
        <v>0.188</v>
      </c>
      <c r="Y255" s="64">
        <v>2.5</v>
      </c>
      <c r="Z255" s="64">
        <f>F255*0</f>
        <v>0</v>
      </c>
      <c r="AA255" s="64">
        <f t="shared" si="228"/>
        <v>0.11</v>
      </c>
      <c r="AB255" s="57">
        <f t="shared" si="229"/>
        <v>2.068</v>
      </c>
      <c r="AC255" s="57">
        <v>17.8</v>
      </c>
      <c r="AD255" s="65">
        <f t="shared" si="230"/>
        <v>15.7522123893805</v>
      </c>
      <c r="AE255" s="62">
        <f t="shared" si="235"/>
        <v>0.5</v>
      </c>
      <c r="AF255" s="63">
        <f t="shared" si="231"/>
        <v>0.179002413515688</v>
      </c>
      <c r="AG255" s="63">
        <f t="shared" si="232"/>
        <v>0.00568181818181818</v>
      </c>
      <c r="AH255" s="62">
        <v>4</v>
      </c>
      <c r="AI255" s="63">
        <f t="shared" si="233"/>
        <v>0.32968105065666</v>
      </c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 t="s">
        <v>600</v>
      </c>
      <c r="AU255" s="66" t="s">
        <v>600</v>
      </c>
      <c r="AV255" s="66" t="s">
        <v>600</v>
      </c>
      <c r="AW255" s="66" t="s">
        <v>600</v>
      </c>
      <c r="AX255" s="66" t="s">
        <v>600</v>
      </c>
      <c r="AY255" s="66" t="s">
        <v>600</v>
      </c>
      <c r="AZ255" s="66" t="s">
        <v>600</v>
      </c>
      <c r="BA255" s="66" t="s">
        <v>600</v>
      </c>
      <c r="BB255" s="66" t="s">
        <v>600</v>
      </c>
      <c r="BC255" s="66" t="s">
        <v>600</v>
      </c>
      <c r="BD255" s="66" t="s">
        <v>600</v>
      </c>
      <c r="BE255" s="66" t="s">
        <v>600</v>
      </c>
      <c r="BF255" s="66" t="s">
        <v>600</v>
      </c>
      <c r="BG255" s="66" t="s">
        <v>600</v>
      </c>
      <c r="BH255" s="66" t="s">
        <v>600</v>
      </c>
      <c r="BI255" s="66" t="s">
        <v>600</v>
      </c>
      <c r="BJ255" s="66" t="s">
        <v>600</v>
      </c>
      <c r="BK255" s="66" t="s">
        <v>600</v>
      </c>
      <c r="BL255" s="66" t="s">
        <v>600</v>
      </c>
      <c r="BM255" s="66" t="s">
        <v>600</v>
      </c>
      <c r="BN255" s="66" t="s">
        <v>600</v>
      </c>
      <c r="BO255" s="66" t="s">
        <v>600</v>
      </c>
      <c r="BP255" s="66" t="s">
        <v>600</v>
      </c>
      <c r="BQ255" s="66" t="s">
        <v>600</v>
      </c>
      <c r="BR255" s="70" t="e">
        <f>IF(E255&lt;#REF!,1,0)</f>
        <v>#REF!</v>
      </c>
      <c r="BS255" s="68" t="s">
        <v>601</v>
      </c>
    </row>
    <row r="256" ht="15.6" spans="1:71">
      <c r="A256" s="53" t="s">
        <v>609</v>
      </c>
      <c r="B256" s="53" t="s">
        <v>27</v>
      </c>
      <c r="C256" s="171" t="s">
        <v>80</v>
      </c>
      <c r="D256" s="170" t="s">
        <v>670</v>
      </c>
      <c r="E256" s="179">
        <v>11</v>
      </c>
      <c r="F256" s="56">
        <v>15.99</v>
      </c>
      <c r="G256" s="59">
        <f t="shared" si="215"/>
        <v>15.99</v>
      </c>
      <c r="H256" s="59">
        <f t="shared" si="216"/>
        <v>13.325</v>
      </c>
      <c r="I256" s="59">
        <f t="shared" si="217"/>
        <v>3.4727651179941</v>
      </c>
      <c r="J256" s="60">
        <f t="shared" si="218"/>
        <v>0.315705919817646</v>
      </c>
      <c r="K256" s="57">
        <f t="shared" si="219"/>
        <v>13.325</v>
      </c>
      <c r="L256" s="163">
        <f t="shared" si="220"/>
        <v>0.174484052532833</v>
      </c>
      <c r="M256" s="59">
        <f t="shared" si="221"/>
        <v>2.325</v>
      </c>
      <c r="N256" s="57">
        <f t="shared" si="234"/>
        <v>19.7522123893805</v>
      </c>
      <c r="O256" s="57">
        <f t="shared" si="222"/>
        <v>0.380208333333333</v>
      </c>
      <c r="P256" s="53">
        <v>48</v>
      </c>
      <c r="Q256" s="62">
        <v>8</v>
      </c>
      <c r="R256" s="63">
        <f t="shared" si="223"/>
        <v>0.227272727272727</v>
      </c>
      <c r="S256" s="60">
        <f t="shared" si="224"/>
        <v>0.156347717323327</v>
      </c>
      <c r="T256" s="63">
        <f t="shared" si="225"/>
        <v>0</v>
      </c>
      <c r="U256" s="63">
        <v>0.01</v>
      </c>
      <c r="V256" s="63">
        <f t="shared" si="226"/>
        <v>0.224456958970233</v>
      </c>
      <c r="W256" s="63">
        <f t="shared" si="227"/>
        <v>0.0345643939393939</v>
      </c>
      <c r="X256" s="61">
        <v>0.188</v>
      </c>
      <c r="Y256" s="64">
        <v>2.5</v>
      </c>
      <c r="Z256" s="64">
        <f>F256*0</f>
        <v>0</v>
      </c>
      <c r="AA256" s="64">
        <f t="shared" si="228"/>
        <v>0.11</v>
      </c>
      <c r="AB256" s="57">
        <f t="shared" si="229"/>
        <v>2.068</v>
      </c>
      <c r="AC256" s="57">
        <v>17.8</v>
      </c>
      <c r="AD256" s="65">
        <f t="shared" si="230"/>
        <v>15.7522123893805</v>
      </c>
      <c r="AE256" s="62">
        <f t="shared" si="235"/>
        <v>0.5</v>
      </c>
      <c r="AF256" s="63">
        <f t="shared" si="231"/>
        <v>0.179002413515688</v>
      </c>
      <c r="AG256" s="63">
        <f t="shared" si="232"/>
        <v>0.00568181818181818</v>
      </c>
      <c r="AH256" s="62">
        <v>4</v>
      </c>
      <c r="AI256" s="63">
        <f t="shared" si="233"/>
        <v>0.32968105065666</v>
      </c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 t="s">
        <v>600</v>
      </c>
      <c r="AU256" s="66" t="s">
        <v>600</v>
      </c>
      <c r="AV256" s="66" t="s">
        <v>600</v>
      </c>
      <c r="AW256" s="66" t="s">
        <v>600</v>
      </c>
      <c r="AX256" s="66" t="s">
        <v>600</v>
      </c>
      <c r="AY256" s="66" t="s">
        <v>600</v>
      </c>
      <c r="AZ256" s="66" t="s">
        <v>600</v>
      </c>
      <c r="BA256" s="66" t="s">
        <v>600</v>
      </c>
      <c r="BB256" s="66" t="s">
        <v>600</v>
      </c>
      <c r="BC256" s="66" t="s">
        <v>600</v>
      </c>
      <c r="BD256" s="66" t="s">
        <v>600</v>
      </c>
      <c r="BE256" s="66" t="s">
        <v>600</v>
      </c>
      <c r="BF256" s="66" t="s">
        <v>600</v>
      </c>
      <c r="BG256" s="66" t="s">
        <v>600</v>
      </c>
      <c r="BH256" s="66" t="s">
        <v>600</v>
      </c>
      <c r="BI256" s="66" t="s">
        <v>600</v>
      </c>
      <c r="BJ256" s="66" t="s">
        <v>600</v>
      </c>
      <c r="BK256" s="66" t="s">
        <v>600</v>
      </c>
      <c r="BL256" s="66" t="s">
        <v>600</v>
      </c>
      <c r="BM256" s="66" t="s">
        <v>600</v>
      </c>
      <c r="BN256" s="66" t="s">
        <v>600</v>
      </c>
      <c r="BO256" s="66" t="s">
        <v>600</v>
      </c>
      <c r="BP256" s="66" t="s">
        <v>600</v>
      </c>
      <c r="BQ256" s="66" t="s">
        <v>600</v>
      </c>
      <c r="BR256" s="70" t="e">
        <f>IF(E256&lt;#REF!,1,0)</f>
        <v>#REF!</v>
      </c>
      <c r="BS256" s="68" t="s">
        <v>601</v>
      </c>
    </row>
    <row r="257" ht="15.6" spans="1:71">
      <c r="A257" s="53" t="s">
        <v>611</v>
      </c>
      <c r="B257" s="53" t="s">
        <v>27</v>
      </c>
      <c r="C257" s="171" t="s">
        <v>80</v>
      </c>
      <c r="D257" s="170" t="s">
        <v>671</v>
      </c>
      <c r="E257" s="179">
        <v>10.3</v>
      </c>
      <c r="F257" s="56">
        <v>14.99</v>
      </c>
      <c r="G257" s="59">
        <f t="shared" si="215"/>
        <v>14.99</v>
      </c>
      <c r="H257" s="59">
        <f t="shared" si="216"/>
        <v>12.4916666666667</v>
      </c>
      <c r="I257" s="59">
        <f t="shared" si="217"/>
        <v>2.99469845132743</v>
      </c>
      <c r="J257" s="60">
        <f t="shared" si="218"/>
        <v>0.290747422458974</v>
      </c>
      <c r="K257" s="57">
        <f t="shared" si="219"/>
        <v>12.4916666666667</v>
      </c>
      <c r="L257" s="163">
        <f t="shared" si="220"/>
        <v>0.175450300200133</v>
      </c>
      <c r="M257" s="59">
        <f t="shared" si="221"/>
        <v>2.19166666666667</v>
      </c>
      <c r="N257" s="57">
        <f t="shared" si="234"/>
        <v>19.7522123893805</v>
      </c>
      <c r="O257" s="57">
        <f t="shared" si="222"/>
        <v>0.296875</v>
      </c>
      <c r="P257" s="53">
        <v>48</v>
      </c>
      <c r="Q257" s="62">
        <v>8</v>
      </c>
      <c r="R257" s="63">
        <f t="shared" si="223"/>
        <v>0.242718446601942</v>
      </c>
      <c r="S257" s="60">
        <f t="shared" si="224"/>
        <v>0.166777851901268</v>
      </c>
      <c r="T257" s="63">
        <f t="shared" si="225"/>
        <v>0</v>
      </c>
      <c r="U257" s="63">
        <v>0.01</v>
      </c>
      <c r="V257" s="63">
        <f t="shared" si="226"/>
        <v>0.239711315405104</v>
      </c>
      <c r="W257" s="63">
        <f t="shared" si="227"/>
        <v>0.0288228155339806</v>
      </c>
      <c r="X257" s="61">
        <v>0.188</v>
      </c>
      <c r="Y257" s="64">
        <v>2.5</v>
      </c>
      <c r="Z257" s="64">
        <f>F257*0</f>
        <v>0</v>
      </c>
      <c r="AA257" s="64">
        <f t="shared" si="228"/>
        <v>0.103</v>
      </c>
      <c r="AB257" s="57">
        <f t="shared" si="229"/>
        <v>1.9364</v>
      </c>
      <c r="AC257" s="57">
        <v>17.8</v>
      </c>
      <c r="AD257" s="65">
        <f t="shared" si="230"/>
        <v>15.7522123893805</v>
      </c>
      <c r="AE257" s="62">
        <f t="shared" si="235"/>
        <v>0.5</v>
      </c>
      <c r="AF257" s="63">
        <f t="shared" si="231"/>
        <v>0.191167626084715</v>
      </c>
      <c r="AG257" s="63">
        <f t="shared" si="232"/>
        <v>0.00606796116504854</v>
      </c>
      <c r="AH257" s="62">
        <v>4</v>
      </c>
      <c r="AI257" s="63">
        <f t="shared" si="233"/>
        <v>0.330465643762508</v>
      </c>
      <c r="AJ257" s="63"/>
      <c r="AK257" s="63"/>
      <c r="AL257" s="63"/>
      <c r="AM257" s="63"/>
      <c r="AN257" s="66"/>
      <c r="AO257" s="66"/>
      <c r="AP257" s="66"/>
      <c r="AQ257" s="66"/>
      <c r="AR257" s="66"/>
      <c r="AS257" s="66"/>
      <c r="AT257" s="66" t="s">
        <v>600</v>
      </c>
      <c r="AU257" s="66" t="s">
        <v>600</v>
      </c>
      <c r="AV257" s="66" t="s">
        <v>600</v>
      </c>
      <c r="AW257" s="66" t="s">
        <v>600</v>
      </c>
      <c r="AX257" s="66" t="s">
        <v>600</v>
      </c>
      <c r="AY257" s="66" t="s">
        <v>600</v>
      </c>
      <c r="AZ257" s="66" t="s">
        <v>600</v>
      </c>
      <c r="BA257" s="66" t="s">
        <v>600</v>
      </c>
      <c r="BB257" s="66" t="s">
        <v>600</v>
      </c>
      <c r="BC257" s="66" t="s">
        <v>600</v>
      </c>
      <c r="BD257" s="66" t="s">
        <v>600</v>
      </c>
      <c r="BE257" s="66" t="s">
        <v>600</v>
      </c>
      <c r="BF257" s="66" t="s">
        <v>600</v>
      </c>
      <c r="BG257" s="66" t="s">
        <v>600</v>
      </c>
      <c r="BH257" s="66" t="s">
        <v>600</v>
      </c>
      <c r="BI257" s="66" t="s">
        <v>600</v>
      </c>
      <c r="BJ257" s="66" t="s">
        <v>600</v>
      </c>
      <c r="BK257" s="66" t="s">
        <v>600</v>
      </c>
      <c r="BL257" s="66" t="s">
        <v>600</v>
      </c>
      <c r="BM257" s="66" t="s">
        <v>600</v>
      </c>
      <c r="BN257" s="66" t="s">
        <v>600</v>
      </c>
      <c r="BO257" s="66" t="s">
        <v>600</v>
      </c>
      <c r="BP257" s="66" t="s">
        <v>600</v>
      </c>
      <c r="BQ257" s="66" t="s">
        <v>600</v>
      </c>
      <c r="BR257" s="70" t="e">
        <f>IF(E257&lt;#REF!,1,0)</f>
        <v>#REF!</v>
      </c>
      <c r="BS257" s="68" t="s">
        <v>601</v>
      </c>
    </row>
    <row r="258" ht="15.6" spans="1:71">
      <c r="A258" s="68"/>
      <c r="B258" s="53"/>
      <c r="C258" s="171"/>
      <c r="D258" s="54"/>
      <c r="E258" s="179"/>
      <c r="F258" s="167"/>
      <c r="G258" s="59"/>
      <c r="H258" s="59"/>
      <c r="I258" s="59"/>
      <c r="J258" s="60"/>
      <c r="K258" s="57"/>
      <c r="L258" s="163"/>
      <c r="M258" s="59"/>
      <c r="N258" s="57"/>
      <c r="O258" s="57"/>
      <c r="P258" s="68"/>
      <c r="Q258" s="62"/>
      <c r="R258" s="63"/>
      <c r="S258" s="60"/>
      <c r="T258" s="63"/>
      <c r="U258" s="63"/>
      <c r="V258" s="63"/>
      <c r="W258" s="63"/>
      <c r="X258" s="61"/>
      <c r="Y258" s="64"/>
      <c r="Z258" s="64"/>
      <c r="AA258" s="64"/>
      <c r="AB258" s="57"/>
      <c r="AC258" s="57"/>
      <c r="AD258" s="65"/>
      <c r="AE258" s="62"/>
      <c r="AF258" s="63"/>
      <c r="AG258" s="63"/>
      <c r="AH258" s="62"/>
      <c r="AI258" s="63"/>
      <c r="AJ258" s="63"/>
      <c r="AK258" s="63"/>
      <c r="AL258" s="63"/>
      <c r="AM258" s="63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  <c r="AZ258" s="66"/>
      <c r="BA258" s="66"/>
      <c r="BB258" s="66"/>
      <c r="BC258" s="66"/>
      <c r="BD258" s="66"/>
      <c r="BE258" s="66"/>
      <c r="BF258" s="66"/>
      <c r="BG258" s="66"/>
      <c r="BH258" s="66"/>
      <c r="BI258" s="66"/>
      <c r="BJ258" s="66"/>
      <c r="BK258" s="66"/>
      <c r="BL258" s="66"/>
      <c r="BM258" s="66"/>
      <c r="BN258" s="66"/>
      <c r="BO258" s="66"/>
      <c r="BP258" s="66"/>
      <c r="BQ258" s="66"/>
      <c r="BR258" s="164"/>
      <c r="BS258" s="68"/>
    </row>
    <row r="259" ht="15.6" spans="1:71">
      <c r="A259" s="68" t="s">
        <v>300</v>
      </c>
      <c r="B259" s="53" t="s">
        <v>27</v>
      </c>
      <c r="C259" s="175" t="s">
        <v>100</v>
      </c>
      <c r="D259" s="182" t="s">
        <v>672</v>
      </c>
      <c r="E259" s="179">
        <v>11</v>
      </c>
      <c r="F259" s="167">
        <v>15.99</v>
      </c>
      <c r="G259" s="59">
        <f t="shared" ref="G259:G277" si="236">(F259-Z259)</f>
        <v>15.99</v>
      </c>
      <c r="H259" s="59">
        <f t="shared" ref="H259:H277" si="237">(F259-Z259)/1.2</f>
        <v>13.325</v>
      </c>
      <c r="I259" s="59">
        <f t="shared" ref="I259:I277" si="238">E259-N259/Q259-AB259-Y259-O259-Z259-AA259</f>
        <v>2.92934267453294</v>
      </c>
      <c r="J259" s="60">
        <f t="shared" ref="J259:J277" si="239">I259/E259</f>
        <v>0.266303879502995</v>
      </c>
      <c r="K259" s="57">
        <f t="shared" ref="K259:K277" si="240">F259/1.2</f>
        <v>13.325</v>
      </c>
      <c r="L259" s="163">
        <f t="shared" ref="L259:L277" si="241">(K259-E259)/K259</f>
        <v>0.174484052532833</v>
      </c>
      <c r="M259" s="59">
        <f t="shared" ref="M259:M277" si="242">F259/1.2-E259</f>
        <v>2.325</v>
      </c>
      <c r="N259" s="57">
        <f>AD259+AH260</f>
        <v>25.6814159292035</v>
      </c>
      <c r="O259" s="57">
        <f t="shared" ref="O259:O277" si="243">IFERROR(IF(A259="UK",8.95/P259,IF(A259="DE",7.75/P259,IF(A259="FR",14.25/P259,IF(A259="IT",15.25/P259,IF(A259="ES",19.25/P259,IF(A259="NL",16.75/P259,IF(A259="PL",14.05/P259,IF(A259="SE",18.25/P259,IF(A259="BE",14.25/P259))))))))),0)</f>
        <v>0.149166666666667</v>
      </c>
      <c r="P259" s="68">
        <v>60</v>
      </c>
      <c r="Q259" s="62">
        <v>9</v>
      </c>
      <c r="R259" s="63">
        <f t="shared" ref="R259:R277" si="244">Y259/E259</f>
        <v>0.272727272727273</v>
      </c>
      <c r="S259" s="60">
        <f t="shared" ref="S259:S277" si="245">Y259/F259</f>
        <v>0.187617260787992</v>
      </c>
      <c r="T259" s="63">
        <f t="shared" ref="T259:T277" si="246">Z259/E259</f>
        <v>0</v>
      </c>
      <c r="U259" s="63">
        <v>0.01</v>
      </c>
      <c r="V259" s="63">
        <f t="shared" ref="V259:V277" si="247">N259/(E259*Q259)</f>
        <v>0.259408241709127</v>
      </c>
      <c r="W259" s="63">
        <f t="shared" ref="W259:W277" si="248">O259/E259</f>
        <v>0.0135606060606061</v>
      </c>
      <c r="X259" s="61">
        <v>0.178</v>
      </c>
      <c r="Y259" s="64">
        <v>3</v>
      </c>
      <c r="Z259" s="64">
        <v>0</v>
      </c>
      <c r="AA259" s="64">
        <f t="shared" ref="AA259:AA277" si="249">E259*U259</f>
        <v>0.11</v>
      </c>
      <c r="AB259" s="57">
        <f t="shared" ref="AB259:AB277" si="250">E259*X259</f>
        <v>1.958</v>
      </c>
      <c r="AC259" s="57">
        <v>24.5</v>
      </c>
      <c r="AD259" s="65">
        <f t="shared" ref="AD259:AD277" si="251">AC259/1.13</f>
        <v>21.6814159292035</v>
      </c>
      <c r="AE259" s="62">
        <f>AH260/Q259</f>
        <v>0.444444444444444</v>
      </c>
      <c r="AF259" s="63">
        <f t="shared" ref="AF259:AF277" si="252">AD259/(E259*Q259)</f>
        <v>0.219004201305086</v>
      </c>
      <c r="AG259" s="63">
        <f t="shared" ref="AG259:AG277" si="253">AE259/Q259/E259</f>
        <v>0.00448933782267116</v>
      </c>
      <c r="AH259" s="62">
        <v>4</v>
      </c>
      <c r="AI259" s="63">
        <f t="shared" ref="AI259:AI277" si="254">(H259-E259+AB259)/H259</f>
        <v>0.321425891181989</v>
      </c>
      <c r="AJ259" s="63"/>
      <c r="AK259" s="63"/>
      <c r="AL259" s="63"/>
      <c r="AM259" s="63"/>
      <c r="AN259" s="66"/>
      <c r="AO259" s="66"/>
      <c r="AP259" s="66"/>
      <c r="AQ259" s="66"/>
      <c r="AR259" s="66"/>
      <c r="AS259" s="66"/>
      <c r="AT259" s="66" t="s">
        <v>600</v>
      </c>
      <c r="AU259" s="66" t="s">
        <v>600</v>
      </c>
      <c r="AV259" s="66" t="s">
        <v>600</v>
      </c>
      <c r="AW259" s="66" t="s">
        <v>600</v>
      </c>
      <c r="AX259" s="66" t="s">
        <v>600</v>
      </c>
      <c r="AY259" s="66" t="s">
        <v>600</v>
      </c>
      <c r="AZ259" s="66" t="s">
        <v>600</v>
      </c>
      <c r="BA259" s="66" t="s">
        <v>600</v>
      </c>
      <c r="BB259" s="66" t="s">
        <v>600</v>
      </c>
      <c r="BC259" s="66" t="s">
        <v>600</v>
      </c>
      <c r="BD259" s="66" t="s">
        <v>600</v>
      </c>
      <c r="BE259" s="66" t="s">
        <v>600</v>
      </c>
      <c r="BF259" s="66" t="s">
        <v>600</v>
      </c>
      <c r="BG259" s="66" t="s">
        <v>600</v>
      </c>
      <c r="BH259" s="66" t="s">
        <v>600</v>
      </c>
      <c r="BI259" s="66" t="s">
        <v>600</v>
      </c>
      <c r="BJ259" s="66" t="s">
        <v>600</v>
      </c>
      <c r="BK259" s="66" t="s">
        <v>600</v>
      </c>
      <c r="BL259" s="66" t="s">
        <v>600</v>
      </c>
      <c r="BM259" s="66" t="s">
        <v>600</v>
      </c>
      <c r="BN259" s="66" t="s">
        <v>600</v>
      </c>
      <c r="BO259" s="66" t="s">
        <v>600</v>
      </c>
      <c r="BP259" s="66" t="s">
        <v>600</v>
      </c>
      <c r="BQ259" s="66" t="s">
        <v>600</v>
      </c>
      <c r="BR259" s="164"/>
      <c r="BS259" s="68" t="s">
        <v>601</v>
      </c>
    </row>
    <row r="260" ht="15.6" spans="1:71">
      <c r="A260" s="68" t="s">
        <v>300</v>
      </c>
      <c r="B260" s="53" t="s">
        <v>27</v>
      </c>
      <c r="C260" s="171" t="s">
        <v>100</v>
      </c>
      <c r="D260" s="182" t="s">
        <v>673</v>
      </c>
      <c r="E260" s="179">
        <v>11</v>
      </c>
      <c r="F260" s="56">
        <v>15.99</v>
      </c>
      <c r="G260" s="59">
        <f t="shared" si="236"/>
        <v>14.391</v>
      </c>
      <c r="H260" s="59">
        <f t="shared" si="237"/>
        <v>11.9925</v>
      </c>
      <c r="I260" s="165">
        <f t="shared" si="238"/>
        <v>1.33034267453294</v>
      </c>
      <c r="J260" s="60">
        <f t="shared" si="239"/>
        <v>0.120940243139358</v>
      </c>
      <c r="K260" s="57">
        <f t="shared" si="240"/>
        <v>13.325</v>
      </c>
      <c r="L260" s="163">
        <f t="shared" si="241"/>
        <v>0.174484052532833</v>
      </c>
      <c r="M260" s="59">
        <f t="shared" si="242"/>
        <v>2.325</v>
      </c>
      <c r="N260" s="57">
        <f>AD260+AH260</f>
        <v>25.6814159292035</v>
      </c>
      <c r="O260" s="57">
        <f t="shared" si="243"/>
        <v>0.149166666666667</v>
      </c>
      <c r="P260" s="53">
        <v>60</v>
      </c>
      <c r="Q260" s="62">
        <v>9</v>
      </c>
      <c r="R260" s="63">
        <f t="shared" si="244"/>
        <v>0.272727272727273</v>
      </c>
      <c r="S260" s="60">
        <f t="shared" si="245"/>
        <v>0.187617260787992</v>
      </c>
      <c r="T260" s="63">
        <f t="shared" si="246"/>
        <v>0.145363636363636</v>
      </c>
      <c r="U260" s="63">
        <v>0.01</v>
      </c>
      <c r="V260" s="63">
        <f t="shared" si="247"/>
        <v>0.259408241709127</v>
      </c>
      <c r="W260" s="63">
        <f t="shared" si="248"/>
        <v>0.0135606060606061</v>
      </c>
      <c r="X260" s="61">
        <v>0.178</v>
      </c>
      <c r="Y260" s="64">
        <v>3</v>
      </c>
      <c r="Z260" s="64">
        <f>F260*0.1</f>
        <v>1.599</v>
      </c>
      <c r="AA260" s="64">
        <f t="shared" si="249"/>
        <v>0.11</v>
      </c>
      <c r="AB260" s="57">
        <f t="shared" si="250"/>
        <v>1.958</v>
      </c>
      <c r="AC260" s="57">
        <v>24.5</v>
      </c>
      <c r="AD260" s="65">
        <f t="shared" si="251"/>
        <v>21.6814159292035</v>
      </c>
      <c r="AE260" s="62">
        <f>AH260/Q260</f>
        <v>0.444444444444444</v>
      </c>
      <c r="AF260" s="63">
        <f t="shared" si="252"/>
        <v>0.219004201305086</v>
      </c>
      <c r="AG260" s="63">
        <f t="shared" si="253"/>
        <v>0.00448933782267116</v>
      </c>
      <c r="AH260" s="62">
        <v>4</v>
      </c>
      <c r="AI260" s="63">
        <f t="shared" si="254"/>
        <v>0.246028767979987</v>
      </c>
      <c r="AJ260" s="63"/>
      <c r="AK260" s="63"/>
      <c r="AL260" s="63"/>
      <c r="AM260" s="63"/>
      <c r="AN260" s="66"/>
      <c r="AO260" s="66"/>
      <c r="AP260" s="66"/>
      <c r="AQ260" s="66"/>
      <c r="AR260" s="66"/>
      <c r="AS260" s="66"/>
      <c r="AT260" s="66" t="s">
        <v>600</v>
      </c>
      <c r="AU260" s="66" t="s">
        <v>600</v>
      </c>
      <c r="AV260" s="66" t="s">
        <v>600</v>
      </c>
      <c r="AW260" s="66" t="s">
        <v>600</v>
      </c>
      <c r="AX260" s="66" t="s">
        <v>600</v>
      </c>
      <c r="AY260" s="66" t="s">
        <v>600</v>
      </c>
      <c r="AZ260" s="66" t="s">
        <v>600</v>
      </c>
      <c r="BA260" s="66" t="s">
        <v>600</v>
      </c>
      <c r="BB260" s="66" t="s">
        <v>600</v>
      </c>
      <c r="BC260" s="66" t="s">
        <v>600</v>
      </c>
      <c r="BD260" s="66" t="s">
        <v>600</v>
      </c>
      <c r="BE260" s="66" t="s">
        <v>600</v>
      </c>
      <c r="BF260" s="66" t="s">
        <v>600</v>
      </c>
      <c r="BG260" s="66" t="s">
        <v>600</v>
      </c>
      <c r="BH260" s="66" t="s">
        <v>600</v>
      </c>
      <c r="BI260" s="66" t="s">
        <v>600</v>
      </c>
      <c r="BJ260" s="66" t="s">
        <v>600</v>
      </c>
      <c r="BK260" s="66" t="s">
        <v>600</v>
      </c>
      <c r="BL260" s="66" t="s">
        <v>600</v>
      </c>
      <c r="BM260" s="66" t="s">
        <v>600</v>
      </c>
      <c r="BN260" s="66" t="s">
        <v>600</v>
      </c>
      <c r="BO260" s="66" t="s">
        <v>600</v>
      </c>
      <c r="BP260" s="66" t="s">
        <v>600</v>
      </c>
      <c r="BQ260" s="66" t="s">
        <v>600</v>
      </c>
      <c r="BR260" s="164"/>
      <c r="BS260" s="68" t="s">
        <v>601</v>
      </c>
    </row>
    <row r="261" ht="15.6" spans="1:71">
      <c r="A261" s="68" t="s">
        <v>300</v>
      </c>
      <c r="B261" s="53" t="s">
        <v>27</v>
      </c>
      <c r="C261" s="171" t="s">
        <v>100</v>
      </c>
      <c r="D261" s="182" t="s">
        <v>674</v>
      </c>
      <c r="E261" s="179">
        <v>11</v>
      </c>
      <c r="F261" s="56">
        <v>15.99</v>
      </c>
      <c r="G261" s="59">
        <f t="shared" si="236"/>
        <v>13.5915</v>
      </c>
      <c r="H261" s="59">
        <f t="shared" si="237"/>
        <v>11.32625</v>
      </c>
      <c r="I261" s="59">
        <f t="shared" si="238"/>
        <v>0.530842674532941</v>
      </c>
      <c r="J261" s="60">
        <f t="shared" si="239"/>
        <v>0.0482584249575401</v>
      </c>
      <c r="K261" s="57">
        <f t="shared" si="240"/>
        <v>13.325</v>
      </c>
      <c r="L261" s="163">
        <f t="shared" si="241"/>
        <v>0.174484052532833</v>
      </c>
      <c r="M261" s="59">
        <f t="shared" si="242"/>
        <v>2.325</v>
      </c>
      <c r="N261" s="57">
        <f>AD261+AH261</f>
        <v>25.6814159292035</v>
      </c>
      <c r="O261" s="57">
        <f t="shared" si="243"/>
        <v>0.149166666666667</v>
      </c>
      <c r="P261" s="53">
        <v>60</v>
      </c>
      <c r="Q261" s="62">
        <v>9</v>
      </c>
      <c r="R261" s="63">
        <f t="shared" si="244"/>
        <v>0.272727272727273</v>
      </c>
      <c r="S261" s="60">
        <f t="shared" si="245"/>
        <v>0.187617260787992</v>
      </c>
      <c r="T261" s="63">
        <f t="shared" si="246"/>
        <v>0.218045454545455</v>
      </c>
      <c r="U261" s="63">
        <v>0.01</v>
      </c>
      <c r="V261" s="63">
        <f t="shared" si="247"/>
        <v>0.259408241709127</v>
      </c>
      <c r="W261" s="63">
        <f t="shared" si="248"/>
        <v>0.0135606060606061</v>
      </c>
      <c r="X261" s="61">
        <v>0.178</v>
      </c>
      <c r="Y261" s="64">
        <v>3</v>
      </c>
      <c r="Z261" s="64">
        <f>F261*0.15</f>
        <v>2.3985</v>
      </c>
      <c r="AA261" s="64">
        <f t="shared" si="249"/>
        <v>0.11</v>
      </c>
      <c r="AB261" s="57">
        <f t="shared" si="250"/>
        <v>1.958</v>
      </c>
      <c r="AC261" s="57">
        <v>24.5</v>
      </c>
      <c r="AD261" s="65">
        <f t="shared" si="251"/>
        <v>21.6814159292035</v>
      </c>
      <c r="AE261" s="62">
        <f>AH261/Q261</f>
        <v>0.444444444444444</v>
      </c>
      <c r="AF261" s="63">
        <f t="shared" si="252"/>
        <v>0.219004201305086</v>
      </c>
      <c r="AG261" s="63">
        <f t="shared" si="253"/>
        <v>0.00448933782267116</v>
      </c>
      <c r="AH261" s="62">
        <v>4</v>
      </c>
      <c r="AI261" s="63">
        <f t="shared" si="254"/>
        <v>0.201677519037634</v>
      </c>
      <c r="AJ261" s="63"/>
      <c r="AK261" s="63"/>
      <c r="AL261" s="63"/>
      <c r="AM261" s="63"/>
      <c r="AN261" s="66"/>
      <c r="AO261" s="66"/>
      <c r="AP261" s="66"/>
      <c r="AQ261" s="66"/>
      <c r="AR261" s="66"/>
      <c r="AS261" s="66"/>
      <c r="AT261" s="66" t="s">
        <v>600</v>
      </c>
      <c r="AU261" s="66" t="s">
        <v>600</v>
      </c>
      <c r="AV261" s="66" t="s">
        <v>600</v>
      </c>
      <c r="AW261" s="66" t="s">
        <v>600</v>
      </c>
      <c r="AX261" s="66" t="s">
        <v>600</v>
      </c>
      <c r="AY261" s="66" t="s">
        <v>600</v>
      </c>
      <c r="AZ261" s="66" t="s">
        <v>600</v>
      </c>
      <c r="BA261" s="66" t="s">
        <v>600</v>
      </c>
      <c r="BB261" s="66" t="s">
        <v>600</v>
      </c>
      <c r="BC261" s="66" t="s">
        <v>600</v>
      </c>
      <c r="BD261" s="66" t="s">
        <v>600</v>
      </c>
      <c r="BE261" s="66" t="s">
        <v>600</v>
      </c>
      <c r="BF261" s="66" t="s">
        <v>600</v>
      </c>
      <c r="BG261" s="66" t="s">
        <v>600</v>
      </c>
      <c r="BH261" s="66" t="s">
        <v>600</v>
      </c>
      <c r="BI261" s="66" t="s">
        <v>600</v>
      </c>
      <c r="BJ261" s="66" t="s">
        <v>600</v>
      </c>
      <c r="BK261" s="66" t="s">
        <v>600</v>
      </c>
      <c r="BL261" s="66" t="s">
        <v>600</v>
      </c>
      <c r="BM261" s="66" t="s">
        <v>600</v>
      </c>
      <c r="BN261" s="66" t="s">
        <v>600</v>
      </c>
      <c r="BO261" s="66" t="s">
        <v>600</v>
      </c>
      <c r="BP261" s="66" t="s">
        <v>600</v>
      </c>
      <c r="BQ261" s="66" t="s">
        <v>600</v>
      </c>
      <c r="BR261" s="164"/>
      <c r="BS261" s="68" t="s">
        <v>601</v>
      </c>
    </row>
    <row r="262" ht="15.6" spans="1:71">
      <c r="A262" s="53" t="s">
        <v>277</v>
      </c>
      <c r="B262" s="53" t="s">
        <v>27</v>
      </c>
      <c r="C262" s="171" t="s">
        <v>100</v>
      </c>
      <c r="D262" s="183" t="s">
        <v>672</v>
      </c>
      <c r="E262" s="179">
        <v>11.7</v>
      </c>
      <c r="F262" s="167">
        <v>16.99</v>
      </c>
      <c r="G262" s="59">
        <f t="shared" si="236"/>
        <v>16.99</v>
      </c>
      <c r="H262" s="59">
        <f t="shared" si="237"/>
        <v>14.1583333333333</v>
      </c>
      <c r="I262" s="59">
        <f t="shared" si="238"/>
        <v>3.04405634218289</v>
      </c>
      <c r="J262" s="60">
        <f t="shared" si="239"/>
        <v>0.260175755742127</v>
      </c>
      <c r="K262" s="57">
        <f t="shared" si="240"/>
        <v>14.1583333333333</v>
      </c>
      <c r="L262" s="163">
        <f t="shared" si="241"/>
        <v>0.173631547969394</v>
      </c>
      <c r="M262" s="59">
        <f t="shared" si="242"/>
        <v>2.45833333333333</v>
      </c>
      <c r="N262" s="57">
        <f>AD262+AH263</f>
        <v>25.6814159292035</v>
      </c>
      <c r="O262" s="57">
        <f t="shared" si="243"/>
        <v>0.129166666666667</v>
      </c>
      <c r="P262" s="53">
        <v>60</v>
      </c>
      <c r="Q262" s="62">
        <v>8</v>
      </c>
      <c r="R262" s="63">
        <f t="shared" si="244"/>
        <v>0.256410256410256</v>
      </c>
      <c r="S262" s="60">
        <f t="shared" si="245"/>
        <v>0.176574455562095</v>
      </c>
      <c r="T262" s="63">
        <f t="shared" si="246"/>
        <v>0</v>
      </c>
      <c r="U262" s="63">
        <v>0.01</v>
      </c>
      <c r="V262" s="63">
        <f t="shared" si="247"/>
        <v>0.27437410180773</v>
      </c>
      <c r="W262" s="63">
        <f t="shared" si="248"/>
        <v>0.011039886039886</v>
      </c>
      <c r="X262" s="61">
        <v>0.188</v>
      </c>
      <c r="Y262" s="64">
        <v>3</v>
      </c>
      <c r="Z262" s="64">
        <v>0</v>
      </c>
      <c r="AA262" s="64">
        <f t="shared" si="249"/>
        <v>0.117</v>
      </c>
      <c r="AB262" s="57">
        <f t="shared" si="250"/>
        <v>2.1996</v>
      </c>
      <c r="AC262" s="57">
        <v>24.5</v>
      </c>
      <c r="AD262" s="65">
        <f t="shared" si="251"/>
        <v>21.6814159292035</v>
      </c>
      <c r="AE262" s="62">
        <f>AH263/Q262</f>
        <v>0.5</v>
      </c>
      <c r="AF262" s="63">
        <f t="shared" si="252"/>
        <v>0.231639059072687</v>
      </c>
      <c r="AG262" s="63">
        <f t="shared" si="253"/>
        <v>0.00534188034188034</v>
      </c>
      <c r="AH262" s="62">
        <v>4</v>
      </c>
      <c r="AI262" s="63">
        <f t="shared" si="254"/>
        <v>0.328988816951148</v>
      </c>
      <c r="AJ262" s="63"/>
      <c r="AK262" s="63"/>
      <c r="AL262" s="63"/>
      <c r="AM262" s="63"/>
      <c r="AN262" s="66"/>
      <c r="AO262" s="66"/>
      <c r="AP262" s="66"/>
      <c r="AQ262" s="66"/>
      <c r="AR262" s="66"/>
      <c r="AS262" s="66"/>
      <c r="AT262" s="66" t="s">
        <v>600</v>
      </c>
      <c r="AU262" s="66" t="s">
        <v>600</v>
      </c>
      <c r="AV262" s="66" t="s">
        <v>600</v>
      </c>
      <c r="AW262" s="66" t="s">
        <v>600</v>
      </c>
      <c r="AX262" s="66" t="s">
        <v>600</v>
      </c>
      <c r="AY262" s="66" t="s">
        <v>600</v>
      </c>
      <c r="AZ262" s="66" t="s">
        <v>600</v>
      </c>
      <c r="BA262" s="66" t="s">
        <v>600</v>
      </c>
      <c r="BB262" s="66" t="s">
        <v>600</v>
      </c>
      <c r="BC262" s="66" t="s">
        <v>600</v>
      </c>
      <c r="BD262" s="66" t="s">
        <v>600</v>
      </c>
      <c r="BE262" s="66" t="s">
        <v>600</v>
      </c>
      <c r="BF262" s="66" t="s">
        <v>600</v>
      </c>
      <c r="BG262" s="66" t="s">
        <v>600</v>
      </c>
      <c r="BH262" s="66" t="s">
        <v>600</v>
      </c>
      <c r="BI262" s="66" t="s">
        <v>600</v>
      </c>
      <c r="BJ262" s="66" t="s">
        <v>600</v>
      </c>
      <c r="BK262" s="66" t="s">
        <v>600</v>
      </c>
      <c r="BL262" s="66" t="s">
        <v>600</v>
      </c>
      <c r="BM262" s="66" t="s">
        <v>600</v>
      </c>
      <c r="BN262" s="66" t="s">
        <v>600</v>
      </c>
      <c r="BO262" s="66" t="s">
        <v>600</v>
      </c>
      <c r="BP262" s="66" t="s">
        <v>600</v>
      </c>
      <c r="BQ262" s="66" t="s">
        <v>600</v>
      </c>
      <c r="BR262" s="164"/>
      <c r="BS262" s="68" t="s">
        <v>601</v>
      </c>
    </row>
    <row r="263" ht="15.6" spans="1:71">
      <c r="A263" s="53" t="s">
        <v>277</v>
      </c>
      <c r="B263" s="53" t="s">
        <v>27</v>
      </c>
      <c r="C263" s="171" t="s">
        <v>100</v>
      </c>
      <c r="D263" s="183" t="s">
        <v>673</v>
      </c>
      <c r="E263" s="179">
        <v>11.7</v>
      </c>
      <c r="F263" s="56">
        <v>16.99</v>
      </c>
      <c r="G263" s="59">
        <f t="shared" si="236"/>
        <v>15.291</v>
      </c>
      <c r="H263" s="59">
        <f t="shared" si="237"/>
        <v>12.7425</v>
      </c>
      <c r="I263" s="165">
        <f t="shared" si="238"/>
        <v>1.34505634218289</v>
      </c>
      <c r="J263" s="60">
        <f t="shared" si="239"/>
        <v>0.114962080528452</v>
      </c>
      <c r="K263" s="57">
        <f t="shared" si="240"/>
        <v>14.1583333333333</v>
      </c>
      <c r="L263" s="163">
        <f t="shared" si="241"/>
        <v>0.173631547969394</v>
      </c>
      <c r="M263" s="59">
        <f t="shared" si="242"/>
        <v>2.45833333333333</v>
      </c>
      <c r="N263" s="57">
        <f t="shared" ref="N263:N277" si="255">AD263+AH263</f>
        <v>25.6814159292035</v>
      </c>
      <c r="O263" s="57">
        <f t="shared" si="243"/>
        <v>0.129166666666667</v>
      </c>
      <c r="P263" s="53">
        <v>60</v>
      </c>
      <c r="Q263" s="62">
        <v>8</v>
      </c>
      <c r="R263" s="63">
        <f t="shared" si="244"/>
        <v>0.256410256410256</v>
      </c>
      <c r="S263" s="60">
        <f t="shared" si="245"/>
        <v>0.176574455562095</v>
      </c>
      <c r="T263" s="63">
        <f t="shared" si="246"/>
        <v>0.145213675213675</v>
      </c>
      <c r="U263" s="63">
        <v>0.01</v>
      </c>
      <c r="V263" s="63">
        <f t="shared" si="247"/>
        <v>0.27437410180773</v>
      </c>
      <c r="W263" s="63">
        <f t="shared" si="248"/>
        <v>0.011039886039886</v>
      </c>
      <c r="X263" s="61">
        <v>0.188</v>
      </c>
      <c r="Y263" s="64">
        <v>3</v>
      </c>
      <c r="Z263" s="64">
        <f>F263*0.1</f>
        <v>1.699</v>
      </c>
      <c r="AA263" s="64">
        <f t="shared" si="249"/>
        <v>0.117</v>
      </c>
      <c r="AB263" s="57">
        <f t="shared" si="250"/>
        <v>2.1996</v>
      </c>
      <c r="AC263" s="57">
        <v>24.5</v>
      </c>
      <c r="AD263" s="65">
        <f t="shared" si="251"/>
        <v>21.6814159292035</v>
      </c>
      <c r="AE263" s="62">
        <f t="shared" ref="AE263:AE277" si="256">AH263/Q263</f>
        <v>0.5</v>
      </c>
      <c r="AF263" s="63">
        <f t="shared" si="252"/>
        <v>0.231639059072687</v>
      </c>
      <c r="AG263" s="63">
        <f t="shared" si="253"/>
        <v>0.00534188034188034</v>
      </c>
      <c r="AH263" s="62">
        <v>4</v>
      </c>
      <c r="AI263" s="63">
        <f t="shared" si="254"/>
        <v>0.254432018834609</v>
      </c>
      <c r="AJ263" s="63"/>
      <c r="AK263" s="63"/>
      <c r="AL263" s="63"/>
      <c r="AM263" s="63"/>
      <c r="AN263" s="66"/>
      <c r="AO263" s="66"/>
      <c r="AP263" s="66"/>
      <c r="AQ263" s="66"/>
      <c r="AR263" s="66"/>
      <c r="AS263" s="66"/>
      <c r="AT263" s="66" t="s">
        <v>600</v>
      </c>
      <c r="AU263" s="66" t="s">
        <v>600</v>
      </c>
      <c r="AV263" s="66" t="s">
        <v>600</v>
      </c>
      <c r="AW263" s="66" t="s">
        <v>600</v>
      </c>
      <c r="AX263" s="66" t="s">
        <v>600</v>
      </c>
      <c r="AY263" s="66" t="s">
        <v>600</v>
      </c>
      <c r="AZ263" s="66" t="s">
        <v>600</v>
      </c>
      <c r="BA263" s="66" t="s">
        <v>600</v>
      </c>
      <c r="BB263" s="66" t="s">
        <v>600</v>
      </c>
      <c r="BC263" s="66" t="s">
        <v>600</v>
      </c>
      <c r="BD263" s="66" t="s">
        <v>600</v>
      </c>
      <c r="BE263" s="66" t="s">
        <v>600</v>
      </c>
      <c r="BF263" s="66" t="s">
        <v>600</v>
      </c>
      <c r="BG263" s="66" t="s">
        <v>600</v>
      </c>
      <c r="BH263" s="66" t="s">
        <v>600</v>
      </c>
      <c r="BI263" s="66" t="s">
        <v>600</v>
      </c>
      <c r="BJ263" s="66" t="s">
        <v>600</v>
      </c>
      <c r="BK263" s="66" t="s">
        <v>600</v>
      </c>
      <c r="BL263" s="66" t="s">
        <v>600</v>
      </c>
      <c r="BM263" s="66" t="s">
        <v>600</v>
      </c>
      <c r="BN263" s="66" t="s">
        <v>600</v>
      </c>
      <c r="BO263" s="66" t="s">
        <v>600</v>
      </c>
      <c r="BP263" s="66" t="s">
        <v>600</v>
      </c>
      <c r="BQ263" s="66" t="s">
        <v>600</v>
      </c>
      <c r="BR263" s="164"/>
      <c r="BS263" s="68" t="s">
        <v>601</v>
      </c>
    </row>
    <row r="264" ht="15.6" spans="1:71">
      <c r="A264" s="53" t="s">
        <v>277</v>
      </c>
      <c r="B264" s="53" t="s">
        <v>27</v>
      </c>
      <c r="C264" s="171" t="s">
        <v>100</v>
      </c>
      <c r="D264" s="183" t="s">
        <v>674</v>
      </c>
      <c r="E264" s="179">
        <v>11.7</v>
      </c>
      <c r="F264" s="56">
        <v>16.99</v>
      </c>
      <c r="G264" s="59">
        <f t="shared" si="236"/>
        <v>14.4415</v>
      </c>
      <c r="H264" s="59">
        <f t="shared" si="237"/>
        <v>12.0345833333333</v>
      </c>
      <c r="I264" s="59">
        <f t="shared" si="238"/>
        <v>0.49555634218289</v>
      </c>
      <c r="J264" s="60">
        <f t="shared" si="239"/>
        <v>0.0423552429216145</v>
      </c>
      <c r="K264" s="57">
        <f t="shared" si="240"/>
        <v>14.1583333333333</v>
      </c>
      <c r="L264" s="163">
        <f t="shared" si="241"/>
        <v>0.173631547969394</v>
      </c>
      <c r="M264" s="59">
        <f t="shared" si="242"/>
        <v>2.45833333333333</v>
      </c>
      <c r="N264" s="57">
        <f t="shared" si="255"/>
        <v>25.6814159292035</v>
      </c>
      <c r="O264" s="57">
        <f t="shared" si="243"/>
        <v>0.129166666666667</v>
      </c>
      <c r="P264" s="53">
        <v>60</v>
      </c>
      <c r="Q264" s="62">
        <v>8</v>
      </c>
      <c r="R264" s="63">
        <f t="shared" si="244"/>
        <v>0.256410256410256</v>
      </c>
      <c r="S264" s="60">
        <f t="shared" si="245"/>
        <v>0.176574455562095</v>
      </c>
      <c r="T264" s="63">
        <f t="shared" si="246"/>
        <v>0.217820512820513</v>
      </c>
      <c r="U264" s="63">
        <v>0.01</v>
      </c>
      <c r="V264" s="63">
        <f t="shared" si="247"/>
        <v>0.27437410180773</v>
      </c>
      <c r="W264" s="63">
        <f t="shared" si="248"/>
        <v>0.011039886039886</v>
      </c>
      <c r="X264" s="61">
        <v>0.188</v>
      </c>
      <c r="Y264" s="64">
        <v>3</v>
      </c>
      <c r="Z264" s="64">
        <f>F264*0.15</f>
        <v>2.5485</v>
      </c>
      <c r="AA264" s="64">
        <f t="shared" si="249"/>
        <v>0.117</v>
      </c>
      <c r="AB264" s="57">
        <f t="shared" si="250"/>
        <v>2.1996</v>
      </c>
      <c r="AC264" s="57">
        <v>24.5</v>
      </c>
      <c r="AD264" s="65">
        <f t="shared" si="251"/>
        <v>21.6814159292035</v>
      </c>
      <c r="AE264" s="62">
        <f t="shared" si="256"/>
        <v>0.5</v>
      </c>
      <c r="AF264" s="63">
        <f t="shared" si="252"/>
        <v>0.231639059072687</v>
      </c>
      <c r="AG264" s="63">
        <f t="shared" si="253"/>
        <v>0.00534188034188034</v>
      </c>
      <c r="AH264" s="62">
        <v>4</v>
      </c>
      <c r="AI264" s="63">
        <f t="shared" si="254"/>
        <v>0.210575078766056</v>
      </c>
      <c r="AJ264" s="63"/>
      <c r="AK264" s="63"/>
      <c r="AL264" s="63"/>
      <c r="AM264" s="63"/>
      <c r="AN264" s="66"/>
      <c r="AO264" s="66"/>
      <c r="AP264" s="66"/>
      <c r="AQ264" s="66"/>
      <c r="AR264" s="66"/>
      <c r="AS264" s="66"/>
      <c r="AT264" s="66" t="s">
        <v>600</v>
      </c>
      <c r="AU264" s="66" t="s">
        <v>600</v>
      </c>
      <c r="AV264" s="66" t="s">
        <v>600</v>
      </c>
      <c r="AW264" s="66" t="s">
        <v>600</v>
      </c>
      <c r="AX264" s="66" t="s">
        <v>600</v>
      </c>
      <c r="AY264" s="66" t="s">
        <v>600</v>
      </c>
      <c r="AZ264" s="66" t="s">
        <v>600</v>
      </c>
      <c r="BA264" s="66" t="s">
        <v>600</v>
      </c>
      <c r="BB264" s="66" t="s">
        <v>600</v>
      </c>
      <c r="BC264" s="66" t="s">
        <v>600</v>
      </c>
      <c r="BD264" s="66" t="s">
        <v>600</v>
      </c>
      <c r="BE264" s="66" t="s">
        <v>600</v>
      </c>
      <c r="BF264" s="66" t="s">
        <v>600</v>
      </c>
      <c r="BG264" s="66" t="s">
        <v>600</v>
      </c>
      <c r="BH264" s="66" t="s">
        <v>600</v>
      </c>
      <c r="BI264" s="66" t="s">
        <v>600</v>
      </c>
      <c r="BJ264" s="66" t="s">
        <v>600</v>
      </c>
      <c r="BK264" s="66" t="s">
        <v>600</v>
      </c>
      <c r="BL264" s="66" t="s">
        <v>600</v>
      </c>
      <c r="BM264" s="66" t="s">
        <v>600</v>
      </c>
      <c r="BN264" s="66" t="s">
        <v>600</v>
      </c>
      <c r="BO264" s="66" t="s">
        <v>600</v>
      </c>
      <c r="BP264" s="66" t="s">
        <v>600</v>
      </c>
      <c r="BQ264" s="66" t="s">
        <v>600</v>
      </c>
      <c r="BR264" s="164"/>
      <c r="BS264" s="68" t="s">
        <v>601</v>
      </c>
    </row>
    <row r="265" ht="15.6" spans="1:71">
      <c r="A265" s="53" t="s">
        <v>511</v>
      </c>
      <c r="B265" s="53" t="s">
        <v>27</v>
      </c>
      <c r="C265" s="171" t="s">
        <v>100</v>
      </c>
      <c r="D265" s="183" t="s">
        <v>672</v>
      </c>
      <c r="E265" s="179">
        <v>11.7</v>
      </c>
      <c r="F265" s="56">
        <v>16.99</v>
      </c>
      <c r="G265" s="59">
        <f t="shared" si="236"/>
        <v>16.99</v>
      </c>
      <c r="H265" s="59">
        <f t="shared" si="237"/>
        <v>14.1583333333333</v>
      </c>
      <c r="I265" s="59">
        <f t="shared" si="238"/>
        <v>2.93572300884956</v>
      </c>
      <c r="J265" s="60">
        <f t="shared" si="239"/>
        <v>0.250916496482868</v>
      </c>
      <c r="K265" s="57">
        <f t="shared" si="240"/>
        <v>14.1583333333333</v>
      </c>
      <c r="L265" s="163">
        <f t="shared" si="241"/>
        <v>0.173631547969394</v>
      </c>
      <c r="M265" s="59">
        <f t="shared" si="242"/>
        <v>2.45833333333333</v>
      </c>
      <c r="N265" s="57">
        <f t="shared" si="255"/>
        <v>25.6814159292035</v>
      </c>
      <c r="O265" s="57">
        <f t="shared" si="243"/>
        <v>0.2375</v>
      </c>
      <c r="P265" s="53">
        <v>60</v>
      </c>
      <c r="Q265" s="62">
        <v>8</v>
      </c>
      <c r="R265" s="63">
        <f t="shared" si="244"/>
        <v>0.256410256410256</v>
      </c>
      <c r="S265" s="60">
        <f t="shared" si="245"/>
        <v>0.176574455562095</v>
      </c>
      <c r="T265" s="63">
        <f t="shared" si="246"/>
        <v>0</v>
      </c>
      <c r="U265" s="63">
        <v>0.01</v>
      </c>
      <c r="V265" s="63">
        <f t="shared" si="247"/>
        <v>0.27437410180773</v>
      </c>
      <c r="W265" s="63">
        <f t="shared" si="248"/>
        <v>0.0202991452991453</v>
      </c>
      <c r="X265" s="61">
        <v>0.188</v>
      </c>
      <c r="Y265" s="64">
        <v>3</v>
      </c>
      <c r="Z265" s="64">
        <v>0</v>
      </c>
      <c r="AA265" s="64">
        <f t="shared" si="249"/>
        <v>0.117</v>
      </c>
      <c r="AB265" s="57">
        <f t="shared" si="250"/>
        <v>2.1996</v>
      </c>
      <c r="AC265" s="57">
        <v>24.5</v>
      </c>
      <c r="AD265" s="65">
        <f t="shared" si="251"/>
        <v>21.6814159292035</v>
      </c>
      <c r="AE265" s="62">
        <f t="shared" si="256"/>
        <v>0.5</v>
      </c>
      <c r="AF265" s="63">
        <f t="shared" si="252"/>
        <v>0.231639059072687</v>
      </c>
      <c r="AG265" s="63">
        <f t="shared" si="253"/>
        <v>0.00534188034188034</v>
      </c>
      <c r="AH265" s="62">
        <v>4</v>
      </c>
      <c r="AI265" s="63">
        <f t="shared" si="254"/>
        <v>0.328988816951148</v>
      </c>
      <c r="AJ265" s="63"/>
      <c r="AK265" s="63"/>
      <c r="AL265" s="63"/>
      <c r="AM265" s="63"/>
      <c r="AN265" s="66"/>
      <c r="AO265" s="66"/>
      <c r="AP265" s="66"/>
      <c r="AQ265" s="66"/>
      <c r="AR265" s="66"/>
      <c r="AS265" s="66"/>
      <c r="AT265" s="66" t="s">
        <v>600</v>
      </c>
      <c r="AU265" s="66" t="s">
        <v>600</v>
      </c>
      <c r="AV265" s="66" t="s">
        <v>600</v>
      </c>
      <c r="AW265" s="66" t="s">
        <v>600</v>
      </c>
      <c r="AX265" s="66" t="s">
        <v>600</v>
      </c>
      <c r="AY265" s="66" t="s">
        <v>600</v>
      </c>
      <c r="AZ265" s="66" t="s">
        <v>600</v>
      </c>
      <c r="BA265" s="66" t="s">
        <v>600</v>
      </c>
      <c r="BB265" s="66" t="s">
        <v>600</v>
      </c>
      <c r="BC265" s="66" t="s">
        <v>600</v>
      </c>
      <c r="BD265" s="66" t="s">
        <v>600</v>
      </c>
      <c r="BE265" s="66" t="s">
        <v>600</v>
      </c>
      <c r="BF265" s="66" t="s">
        <v>600</v>
      </c>
      <c r="BG265" s="66" t="s">
        <v>600</v>
      </c>
      <c r="BH265" s="66" t="s">
        <v>600</v>
      </c>
      <c r="BI265" s="66" t="s">
        <v>600</v>
      </c>
      <c r="BJ265" s="66" t="s">
        <v>600</v>
      </c>
      <c r="BK265" s="66" t="s">
        <v>600</v>
      </c>
      <c r="BL265" s="66" t="s">
        <v>600</v>
      </c>
      <c r="BM265" s="66" t="s">
        <v>600</v>
      </c>
      <c r="BN265" s="66" t="s">
        <v>600</v>
      </c>
      <c r="BO265" s="66" t="s">
        <v>600</v>
      </c>
      <c r="BP265" s="66" t="s">
        <v>600</v>
      </c>
      <c r="BQ265" s="66" t="s">
        <v>600</v>
      </c>
      <c r="BR265" s="164"/>
      <c r="BS265" s="68" t="s">
        <v>601</v>
      </c>
    </row>
    <row r="266" ht="15.6" spans="1:71">
      <c r="A266" s="53" t="s">
        <v>511</v>
      </c>
      <c r="B266" s="53" t="s">
        <v>27</v>
      </c>
      <c r="C266" s="171" t="s">
        <v>100</v>
      </c>
      <c r="D266" s="183" t="s">
        <v>673</v>
      </c>
      <c r="E266" s="179">
        <v>11.7</v>
      </c>
      <c r="F266" s="56">
        <v>16.99</v>
      </c>
      <c r="G266" s="59">
        <f t="shared" si="236"/>
        <v>15.291</v>
      </c>
      <c r="H266" s="59">
        <f t="shared" si="237"/>
        <v>12.7425</v>
      </c>
      <c r="I266" s="165">
        <f t="shared" si="238"/>
        <v>1.23672300884956</v>
      </c>
      <c r="J266" s="60">
        <f t="shared" si="239"/>
        <v>0.105702821269193</v>
      </c>
      <c r="K266" s="57">
        <f t="shared" si="240"/>
        <v>14.1583333333333</v>
      </c>
      <c r="L266" s="163">
        <f t="shared" si="241"/>
        <v>0.173631547969394</v>
      </c>
      <c r="M266" s="59">
        <f t="shared" si="242"/>
        <v>2.45833333333333</v>
      </c>
      <c r="N266" s="57">
        <f t="shared" si="255"/>
        <v>25.6814159292035</v>
      </c>
      <c r="O266" s="57">
        <f t="shared" si="243"/>
        <v>0.2375</v>
      </c>
      <c r="P266" s="53">
        <v>60</v>
      </c>
      <c r="Q266" s="62">
        <v>8</v>
      </c>
      <c r="R266" s="63">
        <f t="shared" si="244"/>
        <v>0.256410256410256</v>
      </c>
      <c r="S266" s="60">
        <f t="shared" si="245"/>
        <v>0.176574455562095</v>
      </c>
      <c r="T266" s="63">
        <f t="shared" si="246"/>
        <v>0.145213675213675</v>
      </c>
      <c r="U266" s="63">
        <v>0.01</v>
      </c>
      <c r="V266" s="63">
        <f t="shared" si="247"/>
        <v>0.27437410180773</v>
      </c>
      <c r="W266" s="63">
        <f t="shared" si="248"/>
        <v>0.0202991452991453</v>
      </c>
      <c r="X266" s="61">
        <v>0.188</v>
      </c>
      <c r="Y266" s="64">
        <v>3</v>
      </c>
      <c r="Z266" s="64">
        <f>F266*0.1</f>
        <v>1.699</v>
      </c>
      <c r="AA266" s="64">
        <f t="shared" si="249"/>
        <v>0.117</v>
      </c>
      <c r="AB266" s="57">
        <f t="shared" si="250"/>
        <v>2.1996</v>
      </c>
      <c r="AC266" s="57">
        <v>24.5</v>
      </c>
      <c r="AD266" s="65">
        <f t="shared" si="251"/>
        <v>21.6814159292035</v>
      </c>
      <c r="AE266" s="62">
        <f t="shared" si="256"/>
        <v>0.5</v>
      </c>
      <c r="AF266" s="63">
        <f t="shared" si="252"/>
        <v>0.231639059072687</v>
      </c>
      <c r="AG266" s="63">
        <f t="shared" si="253"/>
        <v>0.00534188034188034</v>
      </c>
      <c r="AH266" s="62">
        <v>4</v>
      </c>
      <c r="AI266" s="63">
        <f t="shared" si="254"/>
        <v>0.254432018834609</v>
      </c>
      <c r="AJ266" s="63"/>
      <c r="AK266" s="63"/>
      <c r="AL266" s="63"/>
      <c r="AM266" s="63"/>
      <c r="AN266" s="66"/>
      <c r="AO266" s="66"/>
      <c r="AP266" s="66"/>
      <c r="AQ266" s="66"/>
      <c r="AR266" s="66"/>
      <c r="AS266" s="66"/>
      <c r="AT266" s="66" t="s">
        <v>600</v>
      </c>
      <c r="AU266" s="66" t="s">
        <v>600</v>
      </c>
      <c r="AV266" s="66" t="s">
        <v>600</v>
      </c>
      <c r="AW266" s="66" t="s">
        <v>600</v>
      </c>
      <c r="AX266" s="66" t="s">
        <v>600</v>
      </c>
      <c r="AY266" s="66" t="s">
        <v>600</v>
      </c>
      <c r="AZ266" s="66" t="s">
        <v>600</v>
      </c>
      <c r="BA266" s="66" t="s">
        <v>600</v>
      </c>
      <c r="BB266" s="66" t="s">
        <v>600</v>
      </c>
      <c r="BC266" s="66" t="s">
        <v>600</v>
      </c>
      <c r="BD266" s="66" t="s">
        <v>600</v>
      </c>
      <c r="BE266" s="66" t="s">
        <v>600</v>
      </c>
      <c r="BF266" s="66" t="s">
        <v>600</v>
      </c>
      <c r="BG266" s="66" t="s">
        <v>600</v>
      </c>
      <c r="BH266" s="66" t="s">
        <v>600</v>
      </c>
      <c r="BI266" s="66" t="s">
        <v>600</v>
      </c>
      <c r="BJ266" s="66" t="s">
        <v>600</v>
      </c>
      <c r="BK266" s="66" t="s">
        <v>600</v>
      </c>
      <c r="BL266" s="66" t="s">
        <v>600</v>
      </c>
      <c r="BM266" s="66" t="s">
        <v>600</v>
      </c>
      <c r="BN266" s="66" t="s">
        <v>600</v>
      </c>
      <c r="BO266" s="66" t="s">
        <v>600</v>
      </c>
      <c r="BP266" s="66" t="s">
        <v>600</v>
      </c>
      <c r="BQ266" s="66" t="s">
        <v>600</v>
      </c>
      <c r="BR266" s="164"/>
      <c r="BS266" s="68" t="s">
        <v>601</v>
      </c>
    </row>
    <row r="267" ht="15.6" spans="1:71">
      <c r="A267" s="53" t="s">
        <v>511</v>
      </c>
      <c r="B267" s="53" t="s">
        <v>27</v>
      </c>
      <c r="C267" s="171" t="s">
        <v>100</v>
      </c>
      <c r="D267" s="183" t="s">
        <v>674</v>
      </c>
      <c r="E267" s="179">
        <v>11.7</v>
      </c>
      <c r="F267" s="56">
        <v>16.99</v>
      </c>
      <c r="G267" s="59">
        <f t="shared" si="236"/>
        <v>14.4415</v>
      </c>
      <c r="H267" s="59">
        <f t="shared" si="237"/>
        <v>12.0345833333333</v>
      </c>
      <c r="I267" s="59">
        <f t="shared" si="238"/>
        <v>0.387223008849557</v>
      </c>
      <c r="J267" s="60">
        <f t="shared" si="239"/>
        <v>0.0330959836623553</v>
      </c>
      <c r="K267" s="57">
        <f t="shared" si="240"/>
        <v>14.1583333333333</v>
      </c>
      <c r="L267" s="163">
        <f t="shared" si="241"/>
        <v>0.173631547969394</v>
      </c>
      <c r="M267" s="59">
        <f t="shared" si="242"/>
        <v>2.45833333333333</v>
      </c>
      <c r="N267" s="57">
        <f t="shared" si="255"/>
        <v>25.6814159292035</v>
      </c>
      <c r="O267" s="57">
        <f t="shared" si="243"/>
        <v>0.2375</v>
      </c>
      <c r="P267" s="53">
        <v>60</v>
      </c>
      <c r="Q267" s="62">
        <v>8</v>
      </c>
      <c r="R267" s="63">
        <f t="shared" si="244"/>
        <v>0.256410256410256</v>
      </c>
      <c r="S267" s="60">
        <f t="shared" si="245"/>
        <v>0.176574455562095</v>
      </c>
      <c r="T267" s="63">
        <f t="shared" si="246"/>
        <v>0.217820512820513</v>
      </c>
      <c r="U267" s="63">
        <v>0.01</v>
      </c>
      <c r="V267" s="63">
        <f t="shared" si="247"/>
        <v>0.27437410180773</v>
      </c>
      <c r="W267" s="63">
        <f t="shared" si="248"/>
        <v>0.0202991452991453</v>
      </c>
      <c r="X267" s="61">
        <v>0.188</v>
      </c>
      <c r="Y267" s="64">
        <v>3</v>
      </c>
      <c r="Z267" s="64">
        <f>F267*0.15</f>
        <v>2.5485</v>
      </c>
      <c r="AA267" s="64">
        <f t="shared" si="249"/>
        <v>0.117</v>
      </c>
      <c r="AB267" s="57">
        <f t="shared" si="250"/>
        <v>2.1996</v>
      </c>
      <c r="AC267" s="57">
        <v>24.5</v>
      </c>
      <c r="AD267" s="65">
        <f t="shared" si="251"/>
        <v>21.6814159292035</v>
      </c>
      <c r="AE267" s="62">
        <f t="shared" si="256"/>
        <v>0.5</v>
      </c>
      <c r="AF267" s="63">
        <f t="shared" si="252"/>
        <v>0.231639059072687</v>
      </c>
      <c r="AG267" s="63">
        <f t="shared" si="253"/>
        <v>0.00534188034188034</v>
      </c>
      <c r="AH267" s="62">
        <v>4</v>
      </c>
      <c r="AI267" s="63">
        <f t="shared" si="254"/>
        <v>0.210575078766056</v>
      </c>
      <c r="AJ267" s="63"/>
      <c r="AK267" s="63"/>
      <c r="AL267" s="63"/>
      <c r="AM267" s="63"/>
      <c r="AN267" s="66"/>
      <c r="AO267" s="66"/>
      <c r="AP267" s="66"/>
      <c r="AQ267" s="66"/>
      <c r="AR267" s="66"/>
      <c r="AS267" s="66"/>
      <c r="AT267" s="66" t="s">
        <v>600</v>
      </c>
      <c r="AU267" s="66" t="s">
        <v>600</v>
      </c>
      <c r="AV267" s="66" t="s">
        <v>600</v>
      </c>
      <c r="AW267" s="66" t="s">
        <v>600</v>
      </c>
      <c r="AX267" s="66" t="s">
        <v>600</v>
      </c>
      <c r="AY267" s="66" t="s">
        <v>600</v>
      </c>
      <c r="AZ267" s="66" t="s">
        <v>600</v>
      </c>
      <c r="BA267" s="66" t="s">
        <v>600</v>
      </c>
      <c r="BB267" s="66" t="s">
        <v>600</v>
      </c>
      <c r="BC267" s="66" t="s">
        <v>600</v>
      </c>
      <c r="BD267" s="66" t="s">
        <v>600</v>
      </c>
      <c r="BE267" s="66" t="s">
        <v>600</v>
      </c>
      <c r="BF267" s="66" t="s">
        <v>600</v>
      </c>
      <c r="BG267" s="66" t="s">
        <v>600</v>
      </c>
      <c r="BH267" s="66" t="s">
        <v>600</v>
      </c>
      <c r="BI267" s="66" t="s">
        <v>600</v>
      </c>
      <c r="BJ267" s="66" t="s">
        <v>600</v>
      </c>
      <c r="BK267" s="66" t="s">
        <v>600</v>
      </c>
      <c r="BL267" s="66" t="s">
        <v>600</v>
      </c>
      <c r="BM267" s="66" t="s">
        <v>600</v>
      </c>
      <c r="BN267" s="66" t="s">
        <v>600</v>
      </c>
      <c r="BO267" s="66" t="s">
        <v>600</v>
      </c>
      <c r="BP267" s="66" t="s">
        <v>600</v>
      </c>
      <c r="BQ267" s="66" t="s">
        <v>600</v>
      </c>
      <c r="BR267" s="164"/>
      <c r="BS267" s="68" t="s">
        <v>601</v>
      </c>
    </row>
    <row r="268" ht="15.6" spans="1:71">
      <c r="A268" s="53" t="s">
        <v>513</v>
      </c>
      <c r="B268" s="53" t="s">
        <v>27</v>
      </c>
      <c r="C268" s="171" t="s">
        <v>100</v>
      </c>
      <c r="D268" s="183" t="s">
        <v>672</v>
      </c>
      <c r="E268" s="179">
        <v>11.7</v>
      </c>
      <c r="F268" s="56">
        <v>16.99</v>
      </c>
      <c r="G268" s="59">
        <f t="shared" si="236"/>
        <v>16.99</v>
      </c>
      <c r="H268" s="59">
        <f t="shared" si="237"/>
        <v>14.1583333333333</v>
      </c>
      <c r="I268" s="59">
        <f t="shared" si="238"/>
        <v>2.91905634218289</v>
      </c>
      <c r="J268" s="60">
        <f t="shared" si="239"/>
        <v>0.249491995058367</v>
      </c>
      <c r="K268" s="57">
        <f t="shared" si="240"/>
        <v>14.1583333333333</v>
      </c>
      <c r="L268" s="163">
        <f t="shared" si="241"/>
        <v>0.173631547969394</v>
      </c>
      <c r="M268" s="59">
        <f t="shared" si="242"/>
        <v>2.45833333333333</v>
      </c>
      <c r="N268" s="57">
        <f t="shared" si="255"/>
        <v>25.6814159292035</v>
      </c>
      <c r="O268" s="57">
        <f t="shared" si="243"/>
        <v>0.254166666666667</v>
      </c>
      <c r="P268" s="53">
        <v>60</v>
      </c>
      <c r="Q268" s="62">
        <v>8</v>
      </c>
      <c r="R268" s="63">
        <f t="shared" si="244"/>
        <v>0.256410256410256</v>
      </c>
      <c r="S268" s="60">
        <f t="shared" si="245"/>
        <v>0.176574455562095</v>
      </c>
      <c r="T268" s="63">
        <f t="shared" si="246"/>
        <v>0</v>
      </c>
      <c r="U268" s="63">
        <v>0.01</v>
      </c>
      <c r="V268" s="63">
        <f t="shared" si="247"/>
        <v>0.27437410180773</v>
      </c>
      <c r="W268" s="63">
        <f t="shared" si="248"/>
        <v>0.0217236467236467</v>
      </c>
      <c r="X268" s="61">
        <v>0.188</v>
      </c>
      <c r="Y268" s="64">
        <v>3</v>
      </c>
      <c r="Z268" s="64">
        <v>0</v>
      </c>
      <c r="AA268" s="64">
        <f t="shared" si="249"/>
        <v>0.117</v>
      </c>
      <c r="AB268" s="57">
        <f t="shared" si="250"/>
        <v>2.1996</v>
      </c>
      <c r="AC268" s="57">
        <v>24.5</v>
      </c>
      <c r="AD268" s="65">
        <f t="shared" si="251"/>
        <v>21.6814159292035</v>
      </c>
      <c r="AE268" s="62">
        <f t="shared" si="256"/>
        <v>0.5</v>
      </c>
      <c r="AF268" s="63">
        <f t="shared" si="252"/>
        <v>0.231639059072687</v>
      </c>
      <c r="AG268" s="63">
        <f t="shared" si="253"/>
        <v>0.00534188034188034</v>
      </c>
      <c r="AH268" s="62">
        <v>4</v>
      </c>
      <c r="AI268" s="60">
        <f t="shared" si="254"/>
        <v>0.328988816951148</v>
      </c>
      <c r="AJ268" s="60"/>
      <c r="AK268" s="60"/>
      <c r="AL268" s="60"/>
      <c r="AM268" s="60"/>
      <c r="AN268" s="66"/>
      <c r="AO268" s="66"/>
      <c r="AP268" s="66"/>
      <c r="AQ268" s="66"/>
      <c r="AR268" s="66"/>
      <c r="AS268" s="66"/>
      <c r="AT268" s="66" t="s">
        <v>600</v>
      </c>
      <c r="AU268" s="66" t="s">
        <v>600</v>
      </c>
      <c r="AV268" s="66" t="s">
        <v>600</v>
      </c>
      <c r="AW268" s="66" t="s">
        <v>600</v>
      </c>
      <c r="AX268" s="66" t="s">
        <v>600</v>
      </c>
      <c r="AY268" s="66" t="s">
        <v>600</v>
      </c>
      <c r="AZ268" s="66" t="s">
        <v>600</v>
      </c>
      <c r="BA268" s="66" t="s">
        <v>600</v>
      </c>
      <c r="BB268" s="66" t="s">
        <v>600</v>
      </c>
      <c r="BC268" s="66" t="s">
        <v>600</v>
      </c>
      <c r="BD268" s="66" t="s">
        <v>600</v>
      </c>
      <c r="BE268" s="66" t="s">
        <v>600</v>
      </c>
      <c r="BF268" s="66" t="s">
        <v>600</v>
      </c>
      <c r="BG268" s="66" t="s">
        <v>600</v>
      </c>
      <c r="BH268" s="66" t="s">
        <v>600</v>
      </c>
      <c r="BI268" s="66" t="s">
        <v>600</v>
      </c>
      <c r="BJ268" s="66" t="s">
        <v>600</v>
      </c>
      <c r="BK268" s="66" t="s">
        <v>600</v>
      </c>
      <c r="BL268" s="66" t="s">
        <v>600</v>
      </c>
      <c r="BM268" s="66" t="s">
        <v>600</v>
      </c>
      <c r="BN268" s="66" t="s">
        <v>600</v>
      </c>
      <c r="BO268" s="66" t="s">
        <v>600</v>
      </c>
      <c r="BP268" s="66" t="s">
        <v>600</v>
      </c>
      <c r="BQ268" s="66" t="s">
        <v>600</v>
      </c>
      <c r="BR268" s="164"/>
      <c r="BS268" s="68" t="s">
        <v>601</v>
      </c>
    </row>
    <row r="269" ht="15.6" spans="1:71">
      <c r="A269" s="53" t="s">
        <v>513</v>
      </c>
      <c r="B269" s="53" t="s">
        <v>27</v>
      </c>
      <c r="C269" s="171" t="s">
        <v>100</v>
      </c>
      <c r="D269" s="183" t="s">
        <v>673</v>
      </c>
      <c r="E269" s="179">
        <v>11.7</v>
      </c>
      <c r="F269" s="56">
        <v>16.99</v>
      </c>
      <c r="G269" s="59">
        <f t="shared" si="236"/>
        <v>15.291</v>
      </c>
      <c r="H269" s="59">
        <f t="shared" si="237"/>
        <v>12.7425</v>
      </c>
      <c r="I269" s="165">
        <f t="shared" si="238"/>
        <v>1.22005634218289</v>
      </c>
      <c r="J269" s="60">
        <f t="shared" si="239"/>
        <v>0.104278319844692</v>
      </c>
      <c r="K269" s="57">
        <f t="shared" si="240"/>
        <v>14.1583333333333</v>
      </c>
      <c r="L269" s="163">
        <f t="shared" si="241"/>
        <v>0.173631547969394</v>
      </c>
      <c r="M269" s="59">
        <f t="shared" si="242"/>
        <v>2.45833333333333</v>
      </c>
      <c r="N269" s="57">
        <f t="shared" si="255"/>
        <v>25.6814159292035</v>
      </c>
      <c r="O269" s="57">
        <f t="shared" si="243"/>
        <v>0.254166666666667</v>
      </c>
      <c r="P269" s="53">
        <v>60</v>
      </c>
      <c r="Q269" s="62">
        <v>8</v>
      </c>
      <c r="R269" s="63">
        <f t="shared" si="244"/>
        <v>0.256410256410256</v>
      </c>
      <c r="S269" s="60">
        <f t="shared" si="245"/>
        <v>0.176574455562095</v>
      </c>
      <c r="T269" s="63">
        <f t="shared" si="246"/>
        <v>0.145213675213675</v>
      </c>
      <c r="U269" s="63">
        <v>0.01</v>
      </c>
      <c r="V269" s="63">
        <f t="shared" si="247"/>
        <v>0.27437410180773</v>
      </c>
      <c r="W269" s="63">
        <f t="shared" si="248"/>
        <v>0.0217236467236467</v>
      </c>
      <c r="X269" s="61">
        <v>0.188</v>
      </c>
      <c r="Y269" s="64">
        <v>3</v>
      </c>
      <c r="Z269" s="64">
        <f>F269*0.1</f>
        <v>1.699</v>
      </c>
      <c r="AA269" s="64">
        <f t="shared" si="249"/>
        <v>0.117</v>
      </c>
      <c r="AB269" s="57">
        <f t="shared" si="250"/>
        <v>2.1996</v>
      </c>
      <c r="AC269" s="57">
        <v>24.5</v>
      </c>
      <c r="AD269" s="65">
        <f t="shared" si="251"/>
        <v>21.6814159292035</v>
      </c>
      <c r="AE269" s="62">
        <f t="shared" si="256"/>
        <v>0.5</v>
      </c>
      <c r="AF269" s="63">
        <f t="shared" si="252"/>
        <v>0.231639059072687</v>
      </c>
      <c r="AG269" s="63">
        <f t="shared" si="253"/>
        <v>0.00534188034188034</v>
      </c>
      <c r="AH269" s="62">
        <v>4</v>
      </c>
      <c r="AI269" s="60">
        <f t="shared" si="254"/>
        <v>0.254432018834609</v>
      </c>
      <c r="AJ269" s="60"/>
      <c r="AK269" s="60"/>
      <c r="AL269" s="60"/>
      <c r="AM269" s="60"/>
      <c r="AN269" s="66"/>
      <c r="AO269" s="66"/>
      <c r="AP269" s="66"/>
      <c r="AQ269" s="66"/>
      <c r="AR269" s="66"/>
      <c r="AS269" s="66"/>
      <c r="AT269" s="66" t="s">
        <v>600</v>
      </c>
      <c r="AU269" s="66" t="s">
        <v>600</v>
      </c>
      <c r="AV269" s="66" t="s">
        <v>600</v>
      </c>
      <c r="AW269" s="66" t="s">
        <v>600</v>
      </c>
      <c r="AX269" s="66" t="s">
        <v>600</v>
      </c>
      <c r="AY269" s="66" t="s">
        <v>600</v>
      </c>
      <c r="AZ269" s="66" t="s">
        <v>600</v>
      </c>
      <c r="BA269" s="66" t="s">
        <v>600</v>
      </c>
      <c r="BB269" s="66" t="s">
        <v>600</v>
      </c>
      <c r="BC269" s="66" t="s">
        <v>600</v>
      </c>
      <c r="BD269" s="66" t="s">
        <v>600</v>
      </c>
      <c r="BE269" s="66" t="s">
        <v>600</v>
      </c>
      <c r="BF269" s="66" t="s">
        <v>600</v>
      </c>
      <c r="BG269" s="66" t="s">
        <v>600</v>
      </c>
      <c r="BH269" s="66" t="s">
        <v>600</v>
      </c>
      <c r="BI269" s="66" t="s">
        <v>600</v>
      </c>
      <c r="BJ269" s="66" t="s">
        <v>600</v>
      </c>
      <c r="BK269" s="66" t="s">
        <v>600</v>
      </c>
      <c r="BL269" s="66" t="s">
        <v>600</v>
      </c>
      <c r="BM269" s="66" t="s">
        <v>600</v>
      </c>
      <c r="BN269" s="66" t="s">
        <v>600</v>
      </c>
      <c r="BO269" s="66" t="s">
        <v>600</v>
      </c>
      <c r="BP269" s="66" t="s">
        <v>600</v>
      </c>
      <c r="BQ269" s="66" t="s">
        <v>600</v>
      </c>
      <c r="BR269" s="164"/>
      <c r="BS269" s="68" t="s">
        <v>601</v>
      </c>
    </row>
    <row r="270" ht="15.6" spans="1:71">
      <c r="A270" s="53" t="s">
        <v>513</v>
      </c>
      <c r="B270" s="53" t="s">
        <v>27</v>
      </c>
      <c r="C270" s="171" t="s">
        <v>100</v>
      </c>
      <c r="D270" s="183" t="s">
        <v>674</v>
      </c>
      <c r="E270" s="179">
        <v>11.7</v>
      </c>
      <c r="F270" s="56">
        <v>16.99</v>
      </c>
      <c r="G270" s="59">
        <f t="shared" si="236"/>
        <v>14.4415</v>
      </c>
      <c r="H270" s="59">
        <f t="shared" si="237"/>
        <v>12.0345833333333</v>
      </c>
      <c r="I270" s="59">
        <f t="shared" si="238"/>
        <v>0.370556342182891</v>
      </c>
      <c r="J270" s="60">
        <f t="shared" si="239"/>
        <v>0.0316714822378539</v>
      </c>
      <c r="K270" s="57">
        <f t="shared" si="240"/>
        <v>14.1583333333333</v>
      </c>
      <c r="L270" s="163">
        <f t="shared" si="241"/>
        <v>0.173631547969394</v>
      </c>
      <c r="M270" s="59">
        <f t="shared" si="242"/>
        <v>2.45833333333333</v>
      </c>
      <c r="N270" s="57">
        <f t="shared" si="255"/>
        <v>25.6814159292035</v>
      </c>
      <c r="O270" s="57">
        <f t="shared" si="243"/>
        <v>0.254166666666667</v>
      </c>
      <c r="P270" s="53">
        <v>60</v>
      </c>
      <c r="Q270" s="62">
        <v>8</v>
      </c>
      <c r="R270" s="63">
        <f t="shared" si="244"/>
        <v>0.256410256410256</v>
      </c>
      <c r="S270" s="60">
        <f t="shared" si="245"/>
        <v>0.176574455562095</v>
      </c>
      <c r="T270" s="63">
        <f t="shared" si="246"/>
        <v>0.217820512820513</v>
      </c>
      <c r="U270" s="63">
        <v>0.01</v>
      </c>
      <c r="V270" s="63">
        <f t="shared" si="247"/>
        <v>0.27437410180773</v>
      </c>
      <c r="W270" s="63">
        <f t="shared" si="248"/>
        <v>0.0217236467236467</v>
      </c>
      <c r="X270" s="61">
        <v>0.188</v>
      </c>
      <c r="Y270" s="64">
        <v>3</v>
      </c>
      <c r="Z270" s="64">
        <f>F270*0.15</f>
        <v>2.5485</v>
      </c>
      <c r="AA270" s="64">
        <f t="shared" si="249"/>
        <v>0.117</v>
      </c>
      <c r="AB270" s="57">
        <f t="shared" si="250"/>
        <v>2.1996</v>
      </c>
      <c r="AC270" s="57">
        <v>24.5</v>
      </c>
      <c r="AD270" s="65">
        <f t="shared" si="251"/>
        <v>21.6814159292035</v>
      </c>
      <c r="AE270" s="62">
        <f t="shared" si="256"/>
        <v>0.5</v>
      </c>
      <c r="AF270" s="63">
        <f t="shared" si="252"/>
        <v>0.231639059072687</v>
      </c>
      <c r="AG270" s="63">
        <f t="shared" si="253"/>
        <v>0.00534188034188034</v>
      </c>
      <c r="AH270" s="62">
        <v>4</v>
      </c>
      <c r="AI270" s="60">
        <f t="shared" si="254"/>
        <v>0.210575078766056</v>
      </c>
      <c r="AJ270" s="60"/>
      <c r="AK270" s="60"/>
      <c r="AL270" s="60"/>
      <c r="AM270" s="60"/>
      <c r="AN270" s="66"/>
      <c r="AO270" s="66"/>
      <c r="AP270" s="66"/>
      <c r="AQ270" s="66"/>
      <c r="AR270" s="66"/>
      <c r="AS270" s="66"/>
      <c r="AT270" s="66" t="s">
        <v>600</v>
      </c>
      <c r="AU270" s="66" t="s">
        <v>600</v>
      </c>
      <c r="AV270" s="66" t="s">
        <v>600</v>
      </c>
      <c r="AW270" s="66" t="s">
        <v>600</v>
      </c>
      <c r="AX270" s="66" t="s">
        <v>600</v>
      </c>
      <c r="AY270" s="66" t="s">
        <v>600</v>
      </c>
      <c r="AZ270" s="66" t="s">
        <v>600</v>
      </c>
      <c r="BA270" s="66" t="s">
        <v>600</v>
      </c>
      <c r="BB270" s="66" t="s">
        <v>600</v>
      </c>
      <c r="BC270" s="66" t="s">
        <v>600</v>
      </c>
      <c r="BD270" s="66" t="s">
        <v>600</v>
      </c>
      <c r="BE270" s="66" t="s">
        <v>600</v>
      </c>
      <c r="BF270" s="66" t="s">
        <v>600</v>
      </c>
      <c r="BG270" s="66" t="s">
        <v>600</v>
      </c>
      <c r="BH270" s="66" t="s">
        <v>600</v>
      </c>
      <c r="BI270" s="66" t="s">
        <v>600</v>
      </c>
      <c r="BJ270" s="66" t="s">
        <v>600</v>
      </c>
      <c r="BK270" s="66" t="s">
        <v>600</v>
      </c>
      <c r="BL270" s="66" t="s">
        <v>600</v>
      </c>
      <c r="BM270" s="66" t="s">
        <v>600</v>
      </c>
      <c r="BN270" s="66" t="s">
        <v>600</v>
      </c>
      <c r="BO270" s="66" t="s">
        <v>600</v>
      </c>
      <c r="BP270" s="66" t="s">
        <v>600</v>
      </c>
      <c r="BQ270" s="66" t="s">
        <v>600</v>
      </c>
      <c r="BR270" s="164"/>
      <c r="BS270" s="68" t="s">
        <v>601</v>
      </c>
    </row>
    <row r="271" ht="15.6" spans="1:71">
      <c r="A271" s="53" t="s">
        <v>516</v>
      </c>
      <c r="B271" s="53" t="s">
        <v>27</v>
      </c>
      <c r="C271" s="171" t="s">
        <v>100</v>
      </c>
      <c r="D271" s="183" t="s">
        <v>672</v>
      </c>
      <c r="E271" s="179">
        <v>11.7</v>
      </c>
      <c r="F271" s="56">
        <v>16.99</v>
      </c>
      <c r="G271" s="59">
        <f t="shared" si="236"/>
        <v>16.99</v>
      </c>
      <c r="H271" s="59">
        <f t="shared" si="237"/>
        <v>14.1583333333333</v>
      </c>
      <c r="I271" s="59">
        <f t="shared" si="238"/>
        <v>2.85238967551622</v>
      </c>
      <c r="J271" s="60">
        <f t="shared" si="239"/>
        <v>0.243793989360361</v>
      </c>
      <c r="K271" s="57">
        <f t="shared" si="240"/>
        <v>14.1583333333333</v>
      </c>
      <c r="L271" s="163">
        <f t="shared" si="241"/>
        <v>0.173631547969394</v>
      </c>
      <c r="M271" s="59">
        <f t="shared" si="242"/>
        <v>2.45833333333333</v>
      </c>
      <c r="N271" s="57">
        <f t="shared" si="255"/>
        <v>25.6814159292035</v>
      </c>
      <c r="O271" s="57">
        <f t="shared" si="243"/>
        <v>0.320833333333333</v>
      </c>
      <c r="P271" s="53">
        <v>60</v>
      </c>
      <c r="Q271" s="62">
        <v>8</v>
      </c>
      <c r="R271" s="63">
        <f t="shared" si="244"/>
        <v>0.256410256410256</v>
      </c>
      <c r="S271" s="60">
        <f t="shared" si="245"/>
        <v>0.176574455562095</v>
      </c>
      <c r="T271" s="63">
        <f t="shared" si="246"/>
        <v>0</v>
      </c>
      <c r="U271" s="63">
        <v>0.01</v>
      </c>
      <c r="V271" s="63">
        <f t="shared" si="247"/>
        <v>0.27437410180773</v>
      </c>
      <c r="W271" s="63">
        <f t="shared" si="248"/>
        <v>0.0274216524216524</v>
      </c>
      <c r="X271" s="61">
        <v>0.188</v>
      </c>
      <c r="Y271" s="64">
        <v>3</v>
      </c>
      <c r="Z271" s="64">
        <v>0</v>
      </c>
      <c r="AA271" s="64">
        <f t="shared" si="249"/>
        <v>0.117</v>
      </c>
      <c r="AB271" s="57">
        <f t="shared" si="250"/>
        <v>2.1996</v>
      </c>
      <c r="AC271" s="57">
        <v>24.5</v>
      </c>
      <c r="AD271" s="65">
        <f t="shared" si="251"/>
        <v>21.6814159292035</v>
      </c>
      <c r="AE271" s="62">
        <f t="shared" si="256"/>
        <v>0.5</v>
      </c>
      <c r="AF271" s="63">
        <f t="shared" si="252"/>
        <v>0.231639059072687</v>
      </c>
      <c r="AG271" s="63">
        <f t="shared" si="253"/>
        <v>0.00534188034188034</v>
      </c>
      <c r="AH271" s="62">
        <v>4</v>
      </c>
      <c r="AI271" s="63">
        <f t="shared" si="254"/>
        <v>0.328988816951148</v>
      </c>
      <c r="AJ271" s="63"/>
      <c r="AK271" s="63"/>
      <c r="AL271" s="63"/>
      <c r="AM271" s="63"/>
      <c r="AN271" s="66"/>
      <c r="AO271" s="66"/>
      <c r="AP271" s="66"/>
      <c r="AQ271" s="66"/>
      <c r="AR271" s="66"/>
      <c r="AS271" s="66"/>
      <c r="AT271" s="66" t="s">
        <v>600</v>
      </c>
      <c r="AU271" s="66" t="s">
        <v>600</v>
      </c>
      <c r="AV271" s="66" t="s">
        <v>600</v>
      </c>
      <c r="AW271" s="66" t="s">
        <v>600</v>
      </c>
      <c r="AX271" s="66" t="s">
        <v>600</v>
      </c>
      <c r="AY271" s="66" t="s">
        <v>600</v>
      </c>
      <c r="AZ271" s="66" t="s">
        <v>600</v>
      </c>
      <c r="BA271" s="66" t="s">
        <v>600</v>
      </c>
      <c r="BB271" s="66" t="s">
        <v>600</v>
      </c>
      <c r="BC271" s="66" t="s">
        <v>600</v>
      </c>
      <c r="BD271" s="66" t="s">
        <v>600</v>
      </c>
      <c r="BE271" s="66" t="s">
        <v>600</v>
      </c>
      <c r="BF271" s="66" t="s">
        <v>600</v>
      </c>
      <c r="BG271" s="66" t="s">
        <v>600</v>
      </c>
      <c r="BH271" s="66" t="s">
        <v>600</v>
      </c>
      <c r="BI271" s="66" t="s">
        <v>600</v>
      </c>
      <c r="BJ271" s="66" t="s">
        <v>600</v>
      </c>
      <c r="BK271" s="66" t="s">
        <v>600</v>
      </c>
      <c r="BL271" s="66" t="s">
        <v>600</v>
      </c>
      <c r="BM271" s="66" t="s">
        <v>600</v>
      </c>
      <c r="BN271" s="66" t="s">
        <v>600</v>
      </c>
      <c r="BO271" s="66" t="s">
        <v>600</v>
      </c>
      <c r="BP271" s="66" t="s">
        <v>600</v>
      </c>
      <c r="BQ271" s="66" t="s">
        <v>600</v>
      </c>
      <c r="BR271" s="164"/>
      <c r="BS271" s="68" t="s">
        <v>601</v>
      </c>
    </row>
    <row r="272" ht="15.6" spans="1:71">
      <c r="A272" s="53" t="s">
        <v>516</v>
      </c>
      <c r="B272" s="53" t="s">
        <v>27</v>
      </c>
      <c r="C272" s="171" t="s">
        <v>100</v>
      </c>
      <c r="D272" s="183" t="s">
        <v>673</v>
      </c>
      <c r="E272" s="179">
        <v>11.7</v>
      </c>
      <c r="F272" s="56">
        <v>16.99</v>
      </c>
      <c r="G272" s="59">
        <f t="shared" si="236"/>
        <v>15.291</v>
      </c>
      <c r="H272" s="59">
        <f t="shared" si="237"/>
        <v>12.7425</v>
      </c>
      <c r="I272" s="165">
        <f t="shared" si="238"/>
        <v>1.15338967551622</v>
      </c>
      <c r="J272" s="60">
        <f t="shared" si="239"/>
        <v>0.0985803141466858</v>
      </c>
      <c r="K272" s="57">
        <f t="shared" si="240"/>
        <v>14.1583333333333</v>
      </c>
      <c r="L272" s="163">
        <f t="shared" si="241"/>
        <v>0.173631547969394</v>
      </c>
      <c r="M272" s="59">
        <f t="shared" si="242"/>
        <v>2.45833333333333</v>
      </c>
      <c r="N272" s="57">
        <f t="shared" si="255"/>
        <v>25.6814159292035</v>
      </c>
      <c r="O272" s="57">
        <f t="shared" si="243"/>
        <v>0.320833333333333</v>
      </c>
      <c r="P272" s="53">
        <v>60</v>
      </c>
      <c r="Q272" s="62">
        <v>8</v>
      </c>
      <c r="R272" s="63">
        <f t="shared" si="244"/>
        <v>0.256410256410256</v>
      </c>
      <c r="S272" s="60">
        <f t="shared" si="245"/>
        <v>0.176574455562095</v>
      </c>
      <c r="T272" s="63">
        <f t="shared" si="246"/>
        <v>0.145213675213675</v>
      </c>
      <c r="U272" s="63">
        <v>0.01</v>
      </c>
      <c r="V272" s="63">
        <f t="shared" si="247"/>
        <v>0.27437410180773</v>
      </c>
      <c r="W272" s="63">
        <f t="shared" si="248"/>
        <v>0.0274216524216524</v>
      </c>
      <c r="X272" s="61">
        <v>0.188</v>
      </c>
      <c r="Y272" s="64">
        <v>3</v>
      </c>
      <c r="Z272" s="64">
        <f>F272*0.1</f>
        <v>1.699</v>
      </c>
      <c r="AA272" s="64">
        <f t="shared" si="249"/>
        <v>0.117</v>
      </c>
      <c r="AB272" s="57">
        <f t="shared" si="250"/>
        <v>2.1996</v>
      </c>
      <c r="AC272" s="57">
        <v>24.5</v>
      </c>
      <c r="AD272" s="65">
        <f t="shared" si="251"/>
        <v>21.6814159292035</v>
      </c>
      <c r="AE272" s="62">
        <f t="shared" si="256"/>
        <v>0.5</v>
      </c>
      <c r="AF272" s="63">
        <f t="shared" si="252"/>
        <v>0.231639059072687</v>
      </c>
      <c r="AG272" s="63">
        <f t="shared" si="253"/>
        <v>0.00534188034188034</v>
      </c>
      <c r="AH272" s="62">
        <v>4</v>
      </c>
      <c r="AI272" s="63">
        <f t="shared" si="254"/>
        <v>0.254432018834609</v>
      </c>
      <c r="AJ272" s="63"/>
      <c r="AK272" s="63"/>
      <c r="AL272" s="63"/>
      <c r="AM272" s="63"/>
      <c r="AN272" s="66"/>
      <c r="AO272" s="66"/>
      <c r="AP272" s="66"/>
      <c r="AQ272" s="66"/>
      <c r="AR272" s="66"/>
      <c r="AS272" s="66"/>
      <c r="AT272" s="66" t="s">
        <v>600</v>
      </c>
      <c r="AU272" s="66" t="s">
        <v>600</v>
      </c>
      <c r="AV272" s="66" t="s">
        <v>600</v>
      </c>
      <c r="AW272" s="66" t="s">
        <v>600</v>
      </c>
      <c r="AX272" s="66" t="s">
        <v>600</v>
      </c>
      <c r="AY272" s="66" t="s">
        <v>600</v>
      </c>
      <c r="AZ272" s="66" t="s">
        <v>600</v>
      </c>
      <c r="BA272" s="66" t="s">
        <v>600</v>
      </c>
      <c r="BB272" s="66" t="s">
        <v>600</v>
      </c>
      <c r="BC272" s="66" t="s">
        <v>600</v>
      </c>
      <c r="BD272" s="66" t="s">
        <v>600</v>
      </c>
      <c r="BE272" s="66" t="s">
        <v>600</v>
      </c>
      <c r="BF272" s="66" t="s">
        <v>600</v>
      </c>
      <c r="BG272" s="66" t="s">
        <v>600</v>
      </c>
      <c r="BH272" s="66" t="s">
        <v>600</v>
      </c>
      <c r="BI272" s="66" t="s">
        <v>600</v>
      </c>
      <c r="BJ272" s="66" t="s">
        <v>600</v>
      </c>
      <c r="BK272" s="66" t="s">
        <v>600</v>
      </c>
      <c r="BL272" s="66" t="s">
        <v>600</v>
      </c>
      <c r="BM272" s="66" t="s">
        <v>600</v>
      </c>
      <c r="BN272" s="66" t="s">
        <v>600</v>
      </c>
      <c r="BO272" s="66" t="s">
        <v>600</v>
      </c>
      <c r="BP272" s="66" t="s">
        <v>600</v>
      </c>
      <c r="BQ272" s="66" t="s">
        <v>600</v>
      </c>
      <c r="BR272" s="164"/>
      <c r="BS272" s="68" t="s">
        <v>601</v>
      </c>
    </row>
    <row r="273" ht="15.6" spans="1:71">
      <c r="A273" s="53" t="s">
        <v>516</v>
      </c>
      <c r="B273" s="53" t="s">
        <v>27</v>
      </c>
      <c r="C273" s="171" t="s">
        <v>100</v>
      </c>
      <c r="D273" s="183" t="s">
        <v>674</v>
      </c>
      <c r="E273" s="179">
        <v>11.7</v>
      </c>
      <c r="F273" s="56">
        <v>16.99</v>
      </c>
      <c r="G273" s="59">
        <f t="shared" si="236"/>
        <v>14.4415</v>
      </c>
      <c r="H273" s="59">
        <f t="shared" si="237"/>
        <v>12.0345833333333</v>
      </c>
      <c r="I273" s="59">
        <f t="shared" si="238"/>
        <v>0.303889675516224</v>
      </c>
      <c r="J273" s="60">
        <f t="shared" si="239"/>
        <v>0.0259734765398482</v>
      </c>
      <c r="K273" s="57">
        <f t="shared" si="240"/>
        <v>14.1583333333333</v>
      </c>
      <c r="L273" s="163">
        <f t="shared" si="241"/>
        <v>0.173631547969394</v>
      </c>
      <c r="M273" s="59">
        <f t="shared" si="242"/>
        <v>2.45833333333333</v>
      </c>
      <c r="N273" s="57">
        <f t="shared" si="255"/>
        <v>25.6814159292035</v>
      </c>
      <c r="O273" s="57">
        <f t="shared" si="243"/>
        <v>0.320833333333333</v>
      </c>
      <c r="P273" s="53">
        <v>60</v>
      </c>
      <c r="Q273" s="62">
        <v>8</v>
      </c>
      <c r="R273" s="63">
        <f t="shared" si="244"/>
        <v>0.256410256410256</v>
      </c>
      <c r="S273" s="60">
        <f t="shared" si="245"/>
        <v>0.176574455562095</v>
      </c>
      <c r="T273" s="63">
        <f t="shared" si="246"/>
        <v>0.217820512820513</v>
      </c>
      <c r="U273" s="63">
        <v>0.01</v>
      </c>
      <c r="V273" s="63">
        <f t="shared" si="247"/>
        <v>0.27437410180773</v>
      </c>
      <c r="W273" s="63">
        <f t="shared" si="248"/>
        <v>0.0274216524216524</v>
      </c>
      <c r="X273" s="61">
        <v>0.188</v>
      </c>
      <c r="Y273" s="64">
        <v>3</v>
      </c>
      <c r="Z273" s="64">
        <f>F273*0.15</f>
        <v>2.5485</v>
      </c>
      <c r="AA273" s="64">
        <f t="shared" si="249"/>
        <v>0.117</v>
      </c>
      <c r="AB273" s="57">
        <f t="shared" si="250"/>
        <v>2.1996</v>
      </c>
      <c r="AC273" s="57">
        <v>24.5</v>
      </c>
      <c r="AD273" s="65">
        <f t="shared" si="251"/>
        <v>21.6814159292035</v>
      </c>
      <c r="AE273" s="62">
        <f t="shared" si="256"/>
        <v>0.5</v>
      </c>
      <c r="AF273" s="63">
        <f t="shared" si="252"/>
        <v>0.231639059072687</v>
      </c>
      <c r="AG273" s="63">
        <f t="shared" si="253"/>
        <v>0.00534188034188034</v>
      </c>
      <c r="AH273" s="62">
        <v>4</v>
      </c>
      <c r="AI273" s="63">
        <f t="shared" si="254"/>
        <v>0.210575078766056</v>
      </c>
      <c r="AJ273" s="63"/>
      <c r="AK273" s="63"/>
      <c r="AL273" s="63"/>
      <c r="AM273" s="63"/>
      <c r="AN273" s="66"/>
      <c r="AO273" s="66"/>
      <c r="AP273" s="66"/>
      <c r="AQ273" s="66"/>
      <c r="AR273" s="66"/>
      <c r="AS273" s="66"/>
      <c r="AT273" s="66" t="s">
        <v>600</v>
      </c>
      <c r="AU273" s="66" t="s">
        <v>600</v>
      </c>
      <c r="AV273" s="66" t="s">
        <v>600</v>
      </c>
      <c r="AW273" s="66" t="s">
        <v>600</v>
      </c>
      <c r="AX273" s="66" t="s">
        <v>600</v>
      </c>
      <c r="AY273" s="66" t="s">
        <v>600</v>
      </c>
      <c r="AZ273" s="66" t="s">
        <v>600</v>
      </c>
      <c r="BA273" s="66" t="s">
        <v>600</v>
      </c>
      <c r="BB273" s="66" t="s">
        <v>600</v>
      </c>
      <c r="BC273" s="66" t="s">
        <v>600</v>
      </c>
      <c r="BD273" s="66" t="s">
        <v>600</v>
      </c>
      <c r="BE273" s="66" t="s">
        <v>600</v>
      </c>
      <c r="BF273" s="66" t="s">
        <v>600</v>
      </c>
      <c r="BG273" s="66" t="s">
        <v>600</v>
      </c>
      <c r="BH273" s="66" t="s">
        <v>600</v>
      </c>
      <c r="BI273" s="66" t="s">
        <v>600</v>
      </c>
      <c r="BJ273" s="66" t="s">
        <v>600</v>
      </c>
      <c r="BK273" s="66" t="s">
        <v>600</v>
      </c>
      <c r="BL273" s="66" t="s">
        <v>600</v>
      </c>
      <c r="BM273" s="66" t="s">
        <v>600</v>
      </c>
      <c r="BN273" s="66" t="s">
        <v>600</v>
      </c>
      <c r="BO273" s="66" t="s">
        <v>600</v>
      </c>
      <c r="BP273" s="66" t="s">
        <v>600</v>
      </c>
      <c r="BQ273" s="66" t="s">
        <v>600</v>
      </c>
      <c r="BR273" s="164"/>
      <c r="BS273" s="68" t="s">
        <v>601</v>
      </c>
    </row>
    <row r="274" ht="15.6" spans="1:71">
      <c r="A274" s="53" t="s">
        <v>605</v>
      </c>
      <c r="B274" s="53" t="s">
        <v>27</v>
      </c>
      <c r="C274" s="171" t="s">
        <v>100</v>
      </c>
      <c r="D274" s="170" t="s">
        <v>675</v>
      </c>
      <c r="E274" s="179">
        <v>11.7</v>
      </c>
      <c r="F274" s="56">
        <v>16.99</v>
      </c>
      <c r="G274" s="59">
        <f t="shared" si="236"/>
        <v>16.99</v>
      </c>
      <c r="H274" s="59">
        <f t="shared" si="237"/>
        <v>14.1583333333333</v>
      </c>
      <c r="I274" s="59">
        <f t="shared" si="238"/>
        <v>2.89405634218289</v>
      </c>
      <c r="J274" s="60">
        <f t="shared" si="239"/>
        <v>0.247355242921615</v>
      </c>
      <c r="K274" s="57">
        <f t="shared" si="240"/>
        <v>14.1583333333333</v>
      </c>
      <c r="L274" s="163">
        <f t="shared" si="241"/>
        <v>0.173631547969394</v>
      </c>
      <c r="M274" s="59">
        <f t="shared" si="242"/>
        <v>2.45833333333333</v>
      </c>
      <c r="N274" s="57">
        <f t="shared" si="255"/>
        <v>25.6814159292035</v>
      </c>
      <c r="O274" s="57">
        <f t="shared" si="243"/>
        <v>0.279166666666667</v>
      </c>
      <c r="P274" s="53">
        <v>60</v>
      </c>
      <c r="Q274" s="62">
        <v>8</v>
      </c>
      <c r="R274" s="63">
        <f t="shared" si="244"/>
        <v>0.256410256410256</v>
      </c>
      <c r="S274" s="60">
        <f t="shared" si="245"/>
        <v>0.176574455562095</v>
      </c>
      <c r="T274" s="63">
        <f t="shared" si="246"/>
        <v>0</v>
      </c>
      <c r="U274" s="63">
        <v>0.01</v>
      </c>
      <c r="V274" s="63">
        <f t="shared" si="247"/>
        <v>0.27437410180773</v>
      </c>
      <c r="W274" s="63">
        <f t="shared" si="248"/>
        <v>0.0238603988603989</v>
      </c>
      <c r="X274" s="61">
        <v>0.188</v>
      </c>
      <c r="Y274" s="64">
        <v>3</v>
      </c>
      <c r="Z274" s="64">
        <f>F274*0</f>
        <v>0</v>
      </c>
      <c r="AA274" s="64">
        <f t="shared" si="249"/>
        <v>0.117</v>
      </c>
      <c r="AB274" s="57">
        <f t="shared" si="250"/>
        <v>2.1996</v>
      </c>
      <c r="AC274" s="57">
        <v>24.5</v>
      </c>
      <c r="AD274" s="65">
        <f t="shared" si="251"/>
        <v>21.6814159292035</v>
      </c>
      <c r="AE274" s="62">
        <f t="shared" si="256"/>
        <v>0.5</v>
      </c>
      <c r="AF274" s="63">
        <f t="shared" si="252"/>
        <v>0.231639059072687</v>
      </c>
      <c r="AG274" s="63">
        <f t="shared" si="253"/>
        <v>0.00534188034188034</v>
      </c>
      <c r="AH274" s="62">
        <v>4</v>
      </c>
      <c r="AI274" s="63">
        <f t="shared" si="254"/>
        <v>0.328988816951148</v>
      </c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 t="s">
        <v>600</v>
      </c>
      <c r="AU274" s="66" t="s">
        <v>600</v>
      </c>
      <c r="AV274" s="66" t="s">
        <v>600</v>
      </c>
      <c r="AW274" s="66" t="s">
        <v>600</v>
      </c>
      <c r="AX274" s="66" t="s">
        <v>600</v>
      </c>
      <c r="AY274" s="66" t="s">
        <v>600</v>
      </c>
      <c r="AZ274" s="66" t="s">
        <v>600</v>
      </c>
      <c r="BA274" s="66" t="s">
        <v>600</v>
      </c>
      <c r="BB274" s="66" t="s">
        <v>600</v>
      </c>
      <c r="BC274" s="66" t="s">
        <v>600</v>
      </c>
      <c r="BD274" s="66" t="s">
        <v>600</v>
      </c>
      <c r="BE274" s="66" t="s">
        <v>600</v>
      </c>
      <c r="BF274" s="66" t="s">
        <v>600</v>
      </c>
      <c r="BG274" s="66" t="s">
        <v>600</v>
      </c>
      <c r="BH274" s="66" t="s">
        <v>600</v>
      </c>
      <c r="BI274" s="66" t="s">
        <v>600</v>
      </c>
      <c r="BJ274" s="66" t="s">
        <v>600</v>
      </c>
      <c r="BK274" s="66" t="s">
        <v>600</v>
      </c>
      <c r="BL274" s="66" t="s">
        <v>600</v>
      </c>
      <c r="BM274" s="66" t="s">
        <v>600</v>
      </c>
      <c r="BN274" s="66" t="s">
        <v>600</v>
      </c>
      <c r="BO274" s="66" t="s">
        <v>600</v>
      </c>
      <c r="BP274" s="66" t="s">
        <v>600</v>
      </c>
      <c r="BQ274" s="66" t="s">
        <v>600</v>
      </c>
      <c r="BR274" s="70" t="e">
        <f>IF(E274&lt;#REF!,1,0)</f>
        <v>#REF!</v>
      </c>
      <c r="BS274" s="68" t="s">
        <v>601</v>
      </c>
    </row>
    <row r="275" ht="15.6" spans="1:71">
      <c r="A275" s="53" t="s">
        <v>607</v>
      </c>
      <c r="B275" s="53" t="s">
        <v>27</v>
      </c>
      <c r="C275" s="171" t="s">
        <v>100</v>
      </c>
      <c r="D275" s="170" t="s">
        <v>676</v>
      </c>
      <c r="E275" s="179">
        <v>12.4</v>
      </c>
      <c r="F275" s="167">
        <v>17.99</v>
      </c>
      <c r="G275" s="59">
        <f t="shared" si="236"/>
        <v>17.99</v>
      </c>
      <c r="H275" s="59">
        <f t="shared" si="237"/>
        <v>14.9916666666667</v>
      </c>
      <c r="I275" s="59">
        <f t="shared" si="238"/>
        <v>3.50045634218289</v>
      </c>
      <c r="J275" s="60">
        <f t="shared" si="239"/>
        <v>0.282294866305072</v>
      </c>
      <c r="K275" s="57">
        <f t="shared" si="240"/>
        <v>14.9916666666667</v>
      </c>
      <c r="L275" s="163">
        <f t="shared" si="241"/>
        <v>0.172873818788216</v>
      </c>
      <c r="M275" s="59">
        <f t="shared" si="242"/>
        <v>2.59166666666666</v>
      </c>
      <c r="N275" s="57">
        <f t="shared" si="255"/>
        <v>25.6814159292035</v>
      </c>
      <c r="O275" s="57">
        <f t="shared" si="243"/>
        <v>0.234166666666667</v>
      </c>
      <c r="P275" s="53">
        <v>60</v>
      </c>
      <c r="Q275" s="62">
        <v>8</v>
      </c>
      <c r="R275" s="63">
        <f t="shared" si="244"/>
        <v>0.241935483870968</v>
      </c>
      <c r="S275" s="60">
        <f t="shared" si="245"/>
        <v>0.166759310728182</v>
      </c>
      <c r="T275" s="63">
        <f t="shared" si="246"/>
        <v>0</v>
      </c>
      <c r="U275" s="63">
        <v>0.01</v>
      </c>
      <c r="V275" s="63">
        <f t="shared" si="247"/>
        <v>0.25888524122181</v>
      </c>
      <c r="W275" s="63">
        <f t="shared" si="248"/>
        <v>0.0188844086021505</v>
      </c>
      <c r="X275" s="61">
        <v>0.188</v>
      </c>
      <c r="Y275" s="64">
        <v>3</v>
      </c>
      <c r="Z275" s="64">
        <f>F275*0</f>
        <v>0</v>
      </c>
      <c r="AA275" s="64">
        <f t="shared" si="249"/>
        <v>0.124</v>
      </c>
      <c r="AB275" s="57">
        <f t="shared" si="250"/>
        <v>2.3312</v>
      </c>
      <c r="AC275" s="57">
        <v>24.5</v>
      </c>
      <c r="AD275" s="65">
        <f t="shared" si="251"/>
        <v>21.6814159292035</v>
      </c>
      <c r="AE275" s="62">
        <f t="shared" si="256"/>
        <v>0.5</v>
      </c>
      <c r="AF275" s="63">
        <f t="shared" si="252"/>
        <v>0.218562660576649</v>
      </c>
      <c r="AG275" s="63">
        <f t="shared" si="253"/>
        <v>0.00504032258064516</v>
      </c>
      <c r="AH275" s="62">
        <v>4</v>
      </c>
      <c r="AI275" s="63">
        <f t="shared" si="254"/>
        <v>0.328373540856031</v>
      </c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 t="s">
        <v>600</v>
      </c>
      <c r="AU275" s="66" t="s">
        <v>600</v>
      </c>
      <c r="AV275" s="66" t="s">
        <v>600</v>
      </c>
      <c r="AW275" s="66" t="s">
        <v>600</v>
      </c>
      <c r="AX275" s="66" t="s">
        <v>600</v>
      </c>
      <c r="AY275" s="66" t="s">
        <v>600</v>
      </c>
      <c r="AZ275" s="66" t="s">
        <v>600</v>
      </c>
      <c r="BA275" s="66" t="s">
        <v>600</v>
      </c>
      <c r="BB275" s="66" t="s">
        <v>600</v>
      </c>
      <c r="BC275" s="66" t="s">
        <v>600</v>
      </c>
      <c r="BD275" s="66" t="s">
        <v>600</v>
      </c>
      <c r="BE275" s="66" t="s">
        <v>600</v>
      </c>
      <c r="BF275" s="66" t="s">
        <v>600</v>
      </c>
      <c r="BG275" s="66" t="s">
        <v>600</v>
      </c>
      <c r="BH275" s="66" t="s">
        <v>600</v>
      </c>
      <c r="BI275" s="66" t="s">
        <v>600</v>
      </c>
      <c r="BJ275" s="66" t="s">
        <v>600</v>
      </c>
      <c r="BK275" s="66" t="s">
        <v>600</v>
      </c>
      <c r="BL275" s="66" t="s">
        <v>600</v>
      </c>
      <c r="BM275" s="66" t="s">
        <v>600</v>
      </c>
      <c r="BN275" s="66" t="s">
        <v>600</v>
      </c>
      <c r="BO275" s="66" t="s">
        <v>600</v>
      </c>
      <c r="BP275" s="66" t="s">
        <v>600</v>
      </c>
      <c r="BQ275" s="66" t="s">
        <v>600</v>
      </c>
      <c r="BR275" s="70" t="e">
        <f>IF(E275&lt;#REF!,1,0)</f>
        <v>#REF!</v>
      </c>
      <c r="BS275" s="68" t="s">
        <v>601</v>
      </c>
    </row>
    <row r="276" ht="15.6" spans="1:71">
      <c r="A276" s="53" t="s">
        <v>609</v>
      </c>
      <c r="B276" s="53" t="s">
        <v>27</v>
      </c>
      <c r="C276" s="171" t="s">
        <v>100</v>
      </c>
      <c r="D276" s="170" t="s">
        <v>677</v>
      </c>
      <c r="E276" s="179">
        <v>12.4</v>
      </c>
      <c r="F276" s="56">
        <v>17.99</v>
      </c>
      <c r="G276" s="59">
        <f t="shared" si="236"/>
        <v>17.99</v>
      </c>
      <c r="H276" s="59">
        <f t="shared" si="237"/>
        <v>14.9916666666667</v>
      </c>
      <c r="I276" s="59">
        <f t="shared" si="238"/>
        <v>3.43045634218289</v>
      </c>
      <c r="J276" s="60">
        <f t="shared" si="239"/>
        <v>0.276649705014749</v>
      </c>
      <c r="K276" s="57">
        <f t="shared" si="240"/>
        <v>14.9916666666667</v>
      </c>
      <c r="L276" s="163">
        <f t="shared" si="241"/>
        <v>0.172873818788216</v>
      </c>
      <c r="M276" s="59">
        <f t="shared" si="242"/>
        <v>2.59166666666666</v>
      </c>
      <c r="N276" s="57">
        <f t="shared" si="255"/>
        <v>25.6814159292035</v>
      </c>
      <c r="O276" s="57">
        <f t="shared" si="243"/>
        <v>0.304166666666667</v>
      </c>
      <c r="P276" s="53">
        <v>60</v>
      </c>
      <c r="Q276" s="62">
        <v>8</v>
      </c>
      <c r="R276" s="63">
        <f t="shared" si="244"/>
        <v>0.241935483870968</v>
      </c>
      <c r="S276" s="60">
        <f t="shared" si="245"/>
        <v>0.166759310728182</v>
      </c>
      <c r="T276" s="63">
        <f t="shared" si="246"/>
        <v>0</v>
      </c>
      <c r="U276" s="63">
        <v>0.01</v>
      </c>
      <c r="V276" s="63">
        <f t="shared" si="247"/>
        <v>0.25888524122181</v>
      </c>
      <c r="W276" s="63">
        <f t="shared" si="248"/>
        <v>0.0245295698924731</v>
      </c>
      <c r="X276" s="61">
        <v>0.188</v>
      </c>
      <c r="Y276" s="64">
        <v>3</v>
      </c>
      <c r="Z276" s="64">
        <f>F276*0</f>
        <v>0</v>
      </c>
      <c r="AA276" s="64">
        <f t="shared" si="249"/>
        <v>0.124</v>
      </c>
      <c r="AB276" s="57">
        <f t="shared" si="250"/>
        <v>2.3312</v>
      </c>
      <c r="AC276" s="57">
        <v>24.5</v>
      </c>
      <c r="AD276" s="65">
        <f t="shared" si="251"/>
        <v>21.6814159292035</v>
      </c>
      <c r="AE276" s="62">
        <f t="shared" si="256"/>
        <v>0.5</v>
      </c>
      <c r="AF276" s="63">
        <f t="shared" si="252"/>
        <v>0.218562660576649</v>
      </c>
      <c r="AG276" s="63">
        <f t="shared" si="253"/>
        <v>0.00504032258064516</v>
      </c>
      <c r="AH276" s="62">
        <v>4</v>
      </c>
      <c r="AI276" s="63">
        <f t="shared" si="254"/>
        <v>0.328373540856031</v>
      </c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 t="s">
        <v>600</v>
      </c>
      <c r="AU276" s="66" t="s">
        <v>600</v>
      </c>
      <c r="AV276" s="66" t="s">
        <v>600</v>
      </c>
      <c r="AW276" s="66" t="s">
        <v>600</v>
      </c>
      <c r="AX276" s="66" t="s">
        <v>600</v>
      </c>
      <c r="AY276" s="66" t="s">
        <v>600</v>
      </c>
      <c r="AZ276" s="66" t="s">
        <v>600</v>
      </c>
      <c r="BA276" s="66" t="s">
        <v>600</v>
      </c>
      <c r="BB276" s="66" t="s">
        <v>600</v>
      </c>
      <c r="BC276" s="66" t="s">
        <v>600</v>
      </c>
      <c r="BD276" s="66" t="s">
        <v>600</v>
      </c>
      <c r="BE276" s="66" t="s">
        <v>600</v>
      </c>
      <c r="BF276" s="66" t="s">
        <v>600</v>
      </c>
      <c r="BG276" s="66" t="s">
        <v>600</v>
      </c>
      <c r="BH276" s="66" t="s">
        <v>600</v>
      </c>
      <c r="BI276" s="66" t="s">
        <v>600</v>
      </c>
      <c r="BJ276" s="66" t="s">
        <v>600</v>
      </c>
      <c r="BK276" s="66" t="s">
        <v>600</v>
      </c>
      <c r="BL276" s="66" t="s">
        <v>600</v>
      </c>
      <c r="BM276" s="66" t="s">
        <v>600</v>
      </c>
      <c r="BN276" s="66" t="s">
        <v>600</v>
      </c>
      <c r="BO276" s="66" t="s">
        <v>600</v>
      </c>
      <c r="BP276" s="66" t="s">
        <v>600</v>
      </c>
      <c r="BQ276" s="66" t="s">
        <v>600</v>
      </c>
      <c r="BR276" s="70" t="e">
        <f>IF(E276&lt;#REF!,1,0)</f>
        <v>#REF!</v>
      </c>
      <c r="BS276" s="68" t="s">
        <v>601</v>
      </c>
    </row>
    <row r="277" ht="15.6" spans="1:71">
      <c r="A277" s="53" t="s">
        <v>611</v>
      </c>
      <c r="B277" s="53" t="s">
        <v>27</v>
      </c>
      <c r="C277" s="171" t="s">
        <v>100</v>
      </c>
      <c r="D277" s="170" t="s">
        <v>678</v>
      </c>
      <c r="E277" s="179">
        <v>11.7</v>
      </c>
      <c r="F277" s="56">
        <v>16.99</v>
      </c>
      <c r="G277" s="59">
        <f t="shared" si="236"/>
        <v>16.99</v>
      </c>
      <c r="H277" s="59">
        <f t="shared" si="237"/>
        <v>14.1583333333333</v>
      </c>
      <c r="I277" s="59">
        <f t="shared" si="238"/>
        <v>2.93572300884956</v>
      </c>
      <c r="J277" s="60">
        <f t="shared" si="239"/>
        <v>0.250916496482868</v>
      </c>
      <c r="K277" s="57">
        <f t="shared" si="240"/>
        <v>14.1583333333333</v>
      </c>
      <c r="L277" s="163">
        <f t="shared" si="241"/>
        <v>0.173631547969394</v>
      </c>
      <c r="M277" s="59">
        <f t="shared" si="242"/>
        <v>2.45833333333333</v>
      </c>
      <c r="N277" s="57">
        <f t="shared" si="255"/>
        <v>25.6814159292035</v>
      </c>
      <c r="O277" s="57">
        <f t="shared" si="243"/>
        <v>0.2375</v>
      </c>
      <c r="P277" s="53">
        <v>60</v>
      </c>
      <c r="Q277" s="62">
        <v>8</v>
      </c>
      <c r="R277" s="63">
        <f t="shared" si="244"/>
        <v>0.256410256410256</v>
      </c>
      <c r="S277" s="60">
        <f t="shared" si="245"/>
        <v>0.176574455562095</v>
      </c>
      <c r="T277" s="63">
        <f t="shared" si="246"/>
        <v>0</v>
      </c>
      <c r="U277" s="63">
        <v>0.01</v>
      </c>
      <c r="V277" s="63">
        <f t="shared" si="247"/>
        <v>0.27437410180773</v>
      </c>
      <c r="W277" s="63">
        <f t="shared" si="248"/>
        <v>0.0202991452991453</v>
      </c>
      <c r="X277" s="61">
        <v>0.188</v>
      </c>
      <c r="Y277" s="64">
        <v>3</v>
      </c>
      <c r="Z277" s="64">
        <f>F277*0</f>
        <v>0</v>
      </c>
      <c r="AA277" s="64">
        <f t="shared" si="249"/>
        <v>0.117</v>
      </c>
      <c r="AB277" s="57">
        <f t="shared" si="250"/>
        <v>2.1996</v>
      </c>
      <c r="AC277" s="57">
        <v>24.5</v>
      </c>
      <c r="AD277" s="65">
        <f t="shared" si="251"/>
        <v>21.6814159292035</v>
      </c>
      <c r="AE277" s="62">
        <f t="shared" si="256"/>
        <v>0.5</v>
      </c>
      <c r="AF277" s="63">
        <f t="shared" si="252"/>
        <v>0.231639059072687</v>
      </c>
      <c r="AG277" s="63">
        <f t="shared" si="253"/>
        <v>0.00534188034188034</v>
      </c>
      <c r="AH277" s="62">
        <v>4</v>
      </c>
      <c r="AI277" s="63">
        <f t="shared" si="254"/>
        <v>0.328988816951148</v>
      </c>
      <c r="AJ277" s="63"/>
      <c r="AK277" s="63"/>
      <c r="AL277" s="63"/>
      <c r="AM277" s="63"/>
      <c r="AN277" s="66"/>
      <c r="AO277" s="66"/>
      <c r="AP277" s="66"/>
      <c r="AQ277" s="66"/>
      <c r="AR277" s="66"/>
      <c r="AS277" s="66"/>
      <c r="AT277" s="66" t="s">
        <v>600</v>
      </c>
      <c r="AU277" s="66" t="s">
        <v>600</v>
      </c>
      <c r="AV277" s="66" t="s">
        <v>600</v>
      </c>
      <c r="AW277" s="66" t="s">
        <v>600</v>
      </c>
      <c r="AX277" s="66" t="s">
        <v>600</v>
      </c>
      <c r="AY277" s="66" t="s">
        <v>600</v>
      </c>
      <c r="AZ277" s="66" t="s">
        <v>600</v>
      </c>
      <c r="BA277" s="66" t="s">
        <v>600</v>
      </c>
      <c r="BB277" s="66" t="s">
        <v>600</v>
      </c>
      <c r="BC277" s="66" t="s">
        <v>600</v>
      </c>
      <c r="BD277" s="66" t="s">
        <v>600</v>
      </c>
      <c r="BE277" s="66" t="s">
        <v>600</v>
      </c>
      <c r="BF277" s="66" t="s">
        <v>600</v>
      </c>
      <c r="BG277" s="66" t="s">
        <v>600</v>
      </c>
      <c r="BH277" s="66" t="s">
        <v>600</v>
      </c>
      <c r="BI277" s="66" t="s">
        <v>600</v>
      </c>
      <c r="BJ277" s="66" t="s">
        <v>600</v>
      </c>
      <c r="BK277" s="66" t="s">
        <v>600</v>
      </c>
      <c r="BL277" s="66" t="s">
        <v>600</v>
      </c>
      <c r="BM277" s="66" t="s">
        <v>600</v>
      </c>
      <c r="BN277" s="66" t="s">
        <v>600</v>
      </c>
      <c r="BO277" s="66" t="s">
        <v>600</v>
      </c>
      <c r="BP277" s="66" t="s">
        <v>600</v>
      </c>
      <c r="BQ277" s="66" t="s">
        <v>600</v>
      </c>
      <c r="BR277" s="70" t="e">
        <f>IF(E277&lt;#REF!,1,0)</f>
        <v>#REF!</v>
      </c>
      <c r="BS277" s="68" t="s">
        <v>601</v>
      </c>
    </row>
    <row r="278" ht="15.6" spans="1:71">
      <c r="A278" s="68"/>
      <c r="B278" s="53"/>
      <c r="C278" s="171"/>
      <c r="D278" s="54"/>
      <c r="E278" s="179"/>
      <c r="F278" s="167"/>
      <c r="G278" s="59"/>
      <c r="H278" s="59"/>
      <c r="I278" s="59"/>
      <c r="J278" s="60"/>
      <c r="K278" s="57"/>
      <c r="L278" s="163"/>
      <c r="M278" s="59"/>
      <c r="N278" s="57"/>
      <c r="O278" s="57"/>
      <c r="P278" s="68"/>
      <c r="Q278" s="62"/>
      <c r="R278" s="63"/>
      <c r="S278" s="60"/>
      <c r="T278" s="63"/>
      <c r="U278" s="63"/>
      <c r="V278" s="63"/>
      <c r="W278" s="63"/>
      <c r="X278" s="61"/>
      <c r="Y278" s="64"/>
      <c r="Z278" s="64"/>
      <c r="AA278" s="64"/>
      <c r="AB278" s="57"/>
      <c r="AC278" s="57"/>
      <c r="AD278" s="65"/>
      <c r="AE278" s="62"/>
      <c r="AF278" s="63"/>
      <c r="AG278" s="63"/>
      <c r="AH278" s="62"/>
      <c r="AI278" s="63"/>
      <c r="AJ278" s="63"/>
      <c r="AK278" s="63"/>
      <c r="AL278" s="63"/>
      <c r="AM278" s="63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  <c r="BD278" s="66"/>
      <c r="BE278" s="66"/>
      <c r="BF278" s="66"/>
      <c r="BG278" s="66"/>
      <c r="BH278" s="66"/>
      <c r="BI278" s="66"/>
      <c r="BJ278" s="66"/>
      <c r="BK278" s="66"/>
      <c r="BL278" s="66"/>
      <c r="BM278" s="66"/>
      <c r="BN278" s="66"/>
      <c r="BO278" s="66"/>
      <c r="BP278" s="66"/>
      <c r="BQ278" s="66"/>
      <c r="BR278" s="164"/>
      <c r="BS278" s="68"/>
    </row>
    <row r="279" ht="15.6" spans="1:71">
      <c r="A279" s="68" t="s">
        <v>300</v>
      </c>
      <c r="B279" s="53" t="s">
        <v>27</v>
      </c>
      <c r="C279" s="175" t="s">
        <v>103</v>
      </c>
      <c r="D279" s="182" t="s">
        <v>679</v>
      </c>
      <c r="E279" s="179">
        <v>27.6</v>
      </c>
      <c r="F279" s="167">
        <v>39.99</v>
      </c>
      <c r="G279" s="59">
        <f t="shared" ref="G279:G297" si="257">(F279-Z279)</f>
        <v>39.99</v>
      </c>
      <c r="H279" s="59">
        <f t="shared" ref="H279:H297" si="258">(F279-Z279)/1.2</f>
        <v>33.325</v>
      </c>
      <c r="I279" s="59">
        <f t="shared" ref="I279:I297" si="259">E279-N279/Q279-AB279-Y279-O279-Z279-AA279</f>
        <v>7.37442025565389</v>
      </c>
      <c r="J279" s="60">
        <f t="shared" ref="J279:J297" si="260">I279/E279</f>
        <v>0.267189139697605</v>
      </c>
      <c r="K279" s="57">
        <f t="shared" ref="K279:K297" si="261">F279/1.2</f>
        <v>33.325</v>
      </c>
      <c r="L279" s="163">
        <f t="shared" ref="L279:L297" si="262">(K279-E279)/K279</f>
        <v>0.171792948237059</v>
      </c>
      <c r="M279" s="59">
        <f t="shared" ref="M279:M297" si="263">F279/1.2-E279</f>
        <v>5.725</v>
      </c>
      <c r="N279" s="57">
        <f>AD279+AH280</f>
        <v>87.646017699115</v>
      </c>
      <c r="O279" s="57">
        <f t="shared" ref="O279:O297" si="264">IFERROR(IF(A279="UK",8.95/P279,IF(A279="DE",7.75/P279,IF(A279="FR",14.25/P279,IF(A279="IT",15.25/P279,IF(A279="ES",19.25/P279,IF(A279="NL",16.75/P279,IF(A279="PL",14.05/P279,IF(A279="SE",18.25/P279,IF(A279="BE",14.25/P279))))))))),0)</f>
        <v>0.298333333333333</v>
      </c>
      <c r="P279" s="68">
        <v>30</v>
      </c>
      <c r="Q279" s="62">
        <v>9</v>
      </c>
      <c r="R279" s="63">
        <f t="shared" ref="R279:R297" si="265">Y279/E279</f>
        <v>0.181159420289855</v>
      </c>
      <c r="S279" s="60">
        <f t="shared" ref="S279:S297" si="266">Y279/F279</f>
        <v>0.125031257814454</v>
      </c>
      <c r="T279" s="63">
        <f t="shared" ref="T279:T297" si="267">Z279/E279</f>
        <v>0</v>
      </c>
      <c r="U279" s="63">
        <v>0.01</v>
      </c>
      <c r="V279" s="63">
        <f t="shared" ref="V279:V297" si="268">N279/(E279*Q279)</f>
        <v>0.352842261268579</v>
      </c>
      <c r="W279" s="63">
        <f t="shared" ref="W279:W297" si="269">O279/E279</f>
        <v>0.0108091787439613</v>
      </c>
      <c r="X279" s="61">
        <v>0.178</v>
      </c>
      <c r="Y279" s="64">
        <v>5</v>
      </c>
      <c r="Z279" s="64">
        <v>0</v>
      </c>
      <c r="AA279" s="64">
        <f t="shared" ref="AA279:AA297" si="270">E279*U279</f>
        <v>0.276</v>
      </c>
      <c r="AB279" s="57">
        <f t="shared" ref="AB279:AB297" si="271">E279*X279</f>
        <v>4.9128</v>
      </c>
      <c r="AC279" s="57">
        <v>90</v>
      </c>
      <c r="AD279" s="65">
        <f t="shared" ref="AD279:AD297" si="272">AC279/1.13</f>
        <v>79.646017699115</v>
      </c>
      <c r="AE279" s="62">
        <f>AH280/Q279</f>
        <v>0.888888888888889</v>
      </c>
      <c r="AF279" s="63">
        <f t="shared" ref="AF279:AF297" si="273">AD279/(E279*Q279)</f>
        <v>0.320636142105938</v>
      </c>
      <c r="AG279" s="63">
        <f t="shared" ref="AG279:AG297" si="274">AE279/Q279/E279</f>
        <v>0.00357845768473788</v>
      </c>
      <c r="AH279" s="62">
        <v>8</v>
      </c>
      <c r="AI279" s="63">
        <f t="shared" ref="AI279:AI297" si="275">(H279-E279+AB279)/H279</f>
        <v>0.319213803450863</v>
      </c>
      <c r="AJ279" s="63"/>
      <c r="AK279" s="63"/>
      <c r="AL279" s="63"/>
      <c r="AM279" s="63"/>
      <c r="AN279" s="66"/>
      <c r="AO279" s="66"/>
      <c r="AP279" s="66"/>
      <c r="AQ279" s="66"/>
      <c r="AR279" s="66"/>
      <c r="AS279" s="66"/>
      <c r="AT279" s="66" t="s">
        <v>600</v>
      </c>
      <c r="AU279" s="66" t="s">
        <v>600</v>
      </c>
      <c r="AV279" s="66" t="s">
        <v>600</v>
      </c>
      <c r="AW279" s="66" t="s">
        <v>600</v>
      </c>
      <c r="AX279" s="66" t="s">
        <v>600</v>
      </c>
      <c r="AY279" s="66" t="s">
        <v>600</v>
      </c>
      <c r="AZ279" s="66" t="s">
        <v>600</v>
      </c>
      <c r="BA279" s="66" t="s">
        <v>600</v>
      </c>
      <c r="BB279" s="66" t="s">
        <v>600</v>
      </c>
      <c r="BC279" s="66" t="s">
        <v>600</v>
      </c>
      <c r="BD279" s="66" t="s">
        <v>600</v>
      </c>
      <c r="BE279" s="66" t="s">
        <v>600</v>
      </c>
      <c r="BF279" s="66" t="s">
        <v>600</v>
      </c>
      <c r="BG279" s="66" t="s">
        <v>600</v>
      </c>
      <c r="BH279" s="66" t="s">
        <v>600</v>
      </c>
      <c r="BI279" s="66" t="s">
        <v>600</v>
      </c>
      <c r="BJ279" s="66" t="s">
        <v>600</v>
      </c>
      <c r="BK279" s="66" t="s">
        <v>600</v>
      </c>
      <c r="BL279" s="66" t="s">
        <v>600</v>
      </c>
      <c r="BM279" s="66" t="s">
        <v>600</v>
      </c>
      <c r="BN279" s="66" t="s">
        <v>600</v>
      </c>
      <c r="BO279" s="66" t="s">
        <v>600</v>
      </c>
      <c r="BP279" s="66" t="s">
        <v>600</v>
      </c>
      <c r="BQ279" s="66" t="s">
        <v>600</v>
      </c>
      <c r="BR279" s="164"/>
      <c r="BS279" s="68" t="s">
        <v>601</v>
      </c>
    </row>
    <row r="280" ht="15.6" spans="1:71">
      <c r="A280" s="68" t="s">
        <v>300</v>
      </c>
      <c r="B280" s="53" t="s">
        <v>27</v>
      </c>
      <c r="C280" s="171" t="s">
        <v>103</v>
      </c>
      <c r="D280" s="182" t="s">
        <v>680</v>
      </c>
      <c r="E280" s="179">
        <v>27.6</v>
      </c>
      <c r="F280" s="56">
        <v>39.99</v>
      </c>
      <c r="G280" s="59">
        <f t="shared" si="257"/>
        <v>35.991</v>
      </c>
      <c r="H280" s="59">
        <f t="shared" si="258"/>
        <v>29.9925</v>
      </c>
      <c r="I280" s="165">
        <f t="shared" si="259"/>
        <v>3.37542025565389</v>
      </c>
      <c r="J280" s="60">
        <f t="shared" si="260"/>
        <v>0.122297835349778</v>
      </c>
      <c r="K280" s="57">
        <f t="shared" si="261"/>
        <v>33.325</v>
      </c>
      <c r="L280" s="163">
        <f t="shared" si="262"/>
        <v>0.171792948237059</v>
      </c>
      <c r="M280" s="59">
        <f t="shared" si="263"/>
        <v>5.725</v>
      </c>
      <c r="N280" s="57">
        <f>AD280+AH280</f>
        <v>87.646017699115</v>
      </c>
      <c r="O280" s="57">
        <f t="shared" si="264"/>
        <v>0.298333333333333</v>
      </c>
      <c r="P280" s="53">
        <v>30</v>
      </c>
      <c r="Q280" s="62">
        <v>9</v>
      </c>
      <c r="R280" s="63">
        <f t="shared" si="265"/>
        <v>0.181159420289855</v>
      </c>
      <c r="S280" s="60">
        <f t="shared" si="266"/>
        <v>0.125031257814454</v>
      </c>
      <c r="T280" s="63">
        <f t="shared" si="267"/>
        <v>0.144891304347826</v>
      </c>
      <c r="U280" s="63">
        <v>0.01</v>
      </c>
      <c r="V280" s="63">
        <f t="shared" si="268"/>
        <v>0.352842261268579</v>
      </c>
      <c r="W280" s="63">
        <f t="shared" si="269"/>
        <v>0.0108091787439613</v>
      </c>
      <c r="X280" s="61">
        <v>0.178</v>
      </c>
      <c r="Y280" s="64">
        <v>5</v>
      </c>
      <c r="Z280" s="64">
        <f>F280*0.1</f>
        <v>3.999</v>
      </c>
      <c r="AA280" s="64">
        <f t="shared" si="270"/>
        <v>0.276</v>
      </c>
      <c r="AB280" s="57">
        <f t="shared" si="271"/>
        <v>4.9128</v>
      </c>
      <c r="AC280" s="57">
        <v>90</v>
      </c>
      <c r="AD280" s="65">
        <f t="shared" si="272"/>
        <v>79.646017699115</v>
      </c>
      <c r="AE280" s="62">
        <f>AH280/Q280</f>
        <v>0.888888888888889</v>
      </c>
      <c r="AF280" s="63">
        <f t="shared" si="273"/>
        <v>0.320636142105938</v>
      </c>
      <c r="AG280" s="63">
        <f t="shared" si="274"/>
        <v>0.00357845768473788</v>
      </c>
      <c r="AH280" s="62">
        <v>8</v>
      </c>
      <c r="AI280" s="63">
        <f t="shared" si="275"/>
        <v>0.243570892723181</v>
      </c>
      <c r="AJ280" s="63"/>
      <c r="AK280" s="63"/>
      <c r="AL280" s="63"/>
      <c r="AM280" s="63"/>
      <c r="AN280" s="66"/>
      <c r="AO280" s="66"/>
      <c r="AP280" s="66"/>
      <c r="AQ280" s="66"/>
      <c r="AR280" s="66"/>
      <c r="AS280" s="66"/>
      <c r="AT280" s="66" t="s">
        <v>600</v>
      </c>
      <c r="AU280" s="66" t="s">
        <v>600</v>
      </c>
      <c r="AV280" s="66" t="s">
        <v>600</v>
      </c>
      <c r="AW280" s="66" t="s">
        <v>600</v>
      </c>
      <c r="AX280" s="66" t="s">
        <v>600</v>
      </c>
      <c r="AY280" s="66" t="s">
        <v>600</v>
      </c>
      <c r="AZ280" s="66" t="s">
        <v>600</v>
      </c>
      <c r="BA280" s="66" t="s">
        <v>600</v>
      </c>
      <c r="BB280" s="66" t="s">
        <v>600</v>
      </c>
      <c r="BC280" s="66" t="s">
        <v>600</v>
      </c>
      <c r="BD280" s="66" t="s">
        <v>600</v>
      </c>
      <c r="BE280" s="66" t="s">
        <v>600</v>
      </c>
      <c r="BF280" s="66" t="s">
        <v>600</v>
      </c>
      <c r="BG280" s="66" t="s">
        <v>600</v>
      </c>
      <c r="BH280" s="66" t="s">
        <v>600</v>
      </c>
      <c r="BI280" s="66" t="s">
        <v>600</v>
      </c>
      <c r="BJ280" s="66" t="s">
        <v>600</v>
      </c>
      <c r="BK280" s="66" t="s">
        <v>600</v>
      </c>
      <c r="BL280" s="66" t="s">
        <v>600</v>
      </c>
      <c r="BM280" s="66" t="s">
        <v>600</v>
      </c>
      <c r="BN280" s="66" t="s">
        <v>600</v>
      </c>
      <c r="BO280" s="66" t="s">
        <v>600</v>
      </c>
      <c r="BP280" s="66" t="s">
        <v>600</v>
      </c>
      <c r="BQ280" s="66" t="s">
        <v>600</v>
      </c>
      <c r="BR280" s="164"/>
      <c r="BS280" s="68" t="s">
        <v>601</v>
      </c>
    </row>
    <row r="281" ht="15.6" spans="1:71">
      <c r="A281" s="68" t="s">
        <v>300</v>
      </c>
      <c r="B281" s="53" t="s">
        <v>27</v>
      </c>
      <c r="C281" s="171" t="s">
        <v>103</v>
      </c>
      <c r="D281" s="182" t="s">
        <v>681</v>
      </c>
      <c r="E281" s="179">
        <v>27.6</v>
      </c>
      <c r="F281" s="56">
        <v>39.99</v>
      </c>
      <c r="G281" s="59">
        <f t="shared" si="257"/>
        <v>33.9915</v>
      </c>
      <c r="H281" s="59">
        <f t="shared" si="258"/>
        <v>28.32625</v>
      </c>
      <c r="I281" s="59">
        <f t="shared" si="259"/>
        <v>1.37592025565389</v>
      </c>
      <c r="J281" s="60">
        <f t="shared" si="260"/>
        <v>0.0498521831758655</v>
      </c>
      <c r="K281" s="57">
        <f t="shared" si="261"/>
        <v>33.325</v>
      </c>
      <c r="L281" s="163">
        <f t="shared" si="262"/>
        <v>0.171792948237059</v>
      </c>
      <c r="M281" s="59">
        <f t="shared" si="263"/>
        <v>5.725</v>
      </c>
      <c r="N281" s="57">
        <f>AD281+AH281</f>
        <v>87.646017699115</v>
      </c>
      <c r="O281" s="57">
        <f t="shared" si="264"/>
        <v>0.298333333333333</v>
      </c>
      <c r="P281" s="53">
        <v>30</v>
      </c>
      <c r="Q281" s="62">
        <v>9</v>
      </c>
      <c r="R281" s="63">
        <f t="shared" si="265"/>
        <v>0.181159420289855</v>
      </c>
      <c r="S281" s="60">
        <f t="shared" si="266"/>
        <v>0.125031257814454</v>
      </c>
      <c r="T281" s="63">
        <f t="shared" si="267"/>
        <v>0.217336956521739</v>
      </c>
      <c r="U281" s="63">
        <v>0.01</v>
      </c>
      <c r="V281" s="63">
        <f t="shared" si="268"/>
        <v>0.352842261268579</v>
      </c>
      <c r="W281" s="63">
        <f t="shared" si="269"/>
        <v>0.0108091787439613</v>
      </c>
      <c r="X281" s="61">
        <v>0.178</v>
      </c>
      <c r="Y281" s="64">
        <v>5</v>
      </c>
      <c r="Z281" s="64">
        <f>F281*0.15</f>
        <v>5.9985</v>
      </c>
      <c r="AA281" s="64">
        <f t="shared" si="270"/>
        <v>0.276</v>
      </c>
      <c r="AB281" s="57">
        <f t="shared" si="271"/>
        <v>4.9128</v>
      </c>
      <c r="AC281" s="57">
        <v>90</v>
      </c>
      <c r="AD281" s="65">
        <f t="shared" si="272"/>
        <v>79.646017699115</v>
      </c>
      <c r="AE281" s="62">
        <f>AH281/Q281</f>
        <v>0.888888888888889</v>
      </c>
      <c r="AF281" s="63">
        <f t="shared" si="273"/>
        <v>0.320636142105938</v>
      </c>
      <c r="AG281" s="63">
        <f t="shared" si="274"/>
        <v>0.00357845768473788</v>
      </c>
      <c r="AH281" s="62">
        <v>8</v>
      </c>
      <c r="AI281" s="63">
        <f t="shared" si="275"/>
        <v>0.199075062883368</v>
      </c>
      <c r="AJ281" s="63"/>
      <c r="AK281" s="63"/>
      <c r="AL281" s="63"/>
      <c r="AM281" s="63"/>
      <c r="AN281" s="66"/>
      <c r="AO281" s="66"/>
      <c r="AP281" s="66"/>
      <c r="AQ281" s="66"/>
      <c r="AR281" s="66"/>
      <c r="AS281" s="66"/>
      <c r="AT281" s="66" t="s">
        <v>600</v>
      </c>
      <c r="AU281" s="66" t="s">
        <v>600</v>
      </c>
      <c r="AV281" s="66" t="s">
        <v>600</v>
      </c>
      <c r="AW281" s="66" t="s">
        <v>600</v>
      </c>
      <c r="AX281" s="66" t="s">
        <v>600</v>
      </c>
      <c r="AY281" s="66" t="s">
        <v>600</v>
      </c>
      <c r="AZ281" s="66" t="s">
        <v>600</v>
      </c>
      <c r="BA281" s="66" t="s">
        <v>600</v>
      </c>
      <c r="BB281" s="66" t="s">
        <v>600</v>
      </c>
      <c r="BC281" s="66" t="s">
        <v>600</v>
      </c>
      <c r="BD281" s="66" t="s">
        <v>600</v>
      </c>
      <c r="BE281" s="66" t="s">
        <v>600</v>
      </c>
      <c r="BF281" s="66" t="s">
        <v>600</v>
      </c>
      <c r="BG281" s="66" t="s">
        <v>600</v>
      </c>
      <c r="BH281" s="66" t="s">
        <v>600</v>
      </c>
      <c r="BI281" s="66" t="s">
        <v>600</v>
      </c>
      <c r="BJ281" s="66" t="s">
        <v>600</v>
      </c>
      <c r="BK281" s="66" t="s">
        <v>600</v>
      </c>
      <c r="BL281" s="66" t="s">
        <v>600</v>
      </c>
      <c r="BM281" s="66" t="s">
        <v>600</v>
      </c>
      <c r="BN281" s="66" t="s">
        <v>600</v>
      </c>
      <c r="BO281" s="66" t="s">
        <v>600</v>
      </c>
      <c r="BP281" s="66" t="s">
        <v>600</v>
      </c>
      <c r="BQ281" s="66" t="s">
        <v>600</v>
      </c>
      <c r="BR281" s="164"/>
      <c r="BS281" s="68" t="s">
        <v>601</v>
      </c>
    </row>
    <row r="282" ht="15.6" spans="1:71">
      <c r="A282" s="53" t="s">
        <v>277</v>
      </c>
      <c r="B282" s="53" t="s">
        <v>27</v>
      </c>
      <c r="C282" s="171" t="s">
        <v>103</v>
      </c>
      <c r="D282" s="183" t="s">
        <v>679</v>
      </c>
      <c r="E282" s="179">
        <v>31</v>
      </c>
      <c r="F282" s="167">
        <v>44.99</v>
      </c>
      <c r="G282" s="59">
        <f t="shared" si="257"/>
        <v>44.99</v>
      </c>
      <c r="H282" s="59">
        <f t="shared" si="258"/>
        <v>37.4916666666667</v>
      </c>
      <c r="I282" s="59">
        <f t="shared" si="259"/>
        <v>8.64791445427729</v>
      </c>
      <c r="J282" s="60">
        <f t="shared" si="260"/>
        <v>0.278964982396042</v>
      </c>
      <c r="K282" s="57">
        <f t="shared" si="261"/>
        <v>37.4916666666667</v>
      </c>
      <c r="L282" s="163">
        <f t="shared" si="262"/>
        <v>0.173149588797511</v>
      </c>
      <c r="M282" s="59">
        <f t="shared" si="263"/>
        <v>6.49166666666667</v>
      </c>
      <c r="N282" s="57">
        <f>AD282+AH283</f>
        <v>87.646017699115</v>
      </c>
      <c r="O282" s="57">
        <f t="shared" si="264"/>
        <v>0.258333333333333</v>
      </c>
      <c r="P282" s="53">
        <v>30</v>
      </c>
      <c r="Q282" s="62">
        <v>8</v>
      </c>
      <c r="R282" s="63">
        <f t="shared" si="265"/>
        <v>0.161290322580645</v>
      </c>
      <c r="S282" s="60">
        <f t="shared" si="266"/>
        <v>0.111135807957324</v>
      </c>
      <c r="T282" s="63">
        <f t="shared" si="267"/>
        <v>0</v>
      </c>
      <c r="U282" s="63">
        <v>0.01</v>
      </c>
      <c r="V282" s="63">
        <f t="shared" si="268"/>
        <v>0.35341136168998</v>
      </c>
      <c r="W282" s="63">
        <f t="shared" si="269"/>
        <v>0.00833333333333333</v>
      </c>
      <c r="X282" s="61">
        <v>0.188</v>
      </c>
      <c r="Y282" s="64">
        <v>5</v>
      </c>
      <c r="Z282" s="64">
        <v>0</v>
      </c>
      <c r="AA282" s="64">
        <f t="shared" si="270"/>
        <v>0.31</v>
      </c>
      <c r="AB282" s="57">
        <f t="shared" si="271"/>
        <v>5.828</v>
      </c>
      <c r="AC282" s="57">
        <v>90</v>
      </c>
      <c r="AD282" s="65">
        <f t="shared" si="272"/>
        <v>79.646017699115</v>
      </c>
      <c r="AE282" s="62">
        <f>AH283/Q282</f>
        <v>1</v>
      </c>
      <c r="AF282" s="63">
        <f t="shared" si="273"/>
        <v>0.321153297173851</v>
      </c>
      <c r="AG282" s="63">
        <f t="shared" si="274"/>
        <v>0.00403225806451613</v>
      </c>
      <c r="AH282" s="62">
        <v>8</v>
      </c>
      <c r="AI282" s="63">
        <f t="shared" si="275"/>
        <v>0.328597466103579</v>
      </c>
      <c r="AJ282" s="63"/>
      <c r="AK282" s="63"/>
      <c r="AL282" s="63"/>
      <c r="AM282" s="63"/>
      <c r="AN282" s="66"/>
      <c r="AO282" s="66"/>
      <c r="AP282" s="66"/>
      <c r="AQ282" s="66"/>
      <c r="AR282" s="66"/>
      <c r="AS282" s="66"/>
      <c r="AT282" s="66" t="s">
        <v>600</v>
      </c>
      <c r="AU282" s="66" t="s">
        <v>600</v>
      </c>
      <c r="AV282" s="66" t="s">
        <v>600</v>
      </c>
      <c r="AW282" s="66" t="s">
        <v>600</v>
      </c>
      <c r="AX282" s="66" t="s">
        <v>600</v>
      </c>
      <c r="AY282" s="66" t="s">
        <v>600</v>
      </c>
      <c r="AZ282" s="66" t="s">
        <v>600</v>
      </c>
      <c r="BA282" s="66" t="s">
        <v>600</v>
      </c>
      <c r="BB282" s="66" t="s">
        <v>600</v>
      </c>
      <c r="BC282" s="66" t="s">
        <v>600</v>
      </c>
      <c r="BD282" s="66" t="s">
        <v>600</v>
      </c>
      <c r="BE282" s="66" t="s">
        <v>600</v>
      </c>
      <c r="BF282" s="66" t="s">
        <v>600</v>
      </c>
      <c r="BG282" s="66" t="s">
        <v>600</v>
      </c>
      <c r="BH282" s="66" t="s">
        <v>600</v>
      </c>
      <c r="BI282" s="66" t="s">
        <v>600</v>
      </c>
      <c r="BJ282" s="66" t="s">
        <v>600</v>
      </c>
      <c r="BK282" s="66" t="s">
        <v>600</v>
      </c>
      <c r="BL282" s="66" t="s">
        <v>600</v>
      </c>
      <c r="BM282" s="66" t="s">
        <v>600</v>
      </c>
      <c r="BN282" s="66" t="s">
        <v>600</v>
      </c>
      <c r="BO282" s="66" t="s">
        <v>600</v>
      </c>
      <c r="BP282" s="66" t="s">
        <v>600</v>
      </c>
      <c r="BQ282" s="66" t="s">
        <v>600</v>
      </c>
      <c r="BR282" s="164"/>
      <c r="BS282" s="68" t="s">
        <v>601</v>
      </c>
    </row>
    <row r="283" ht="15.6" spans="1:71">
      <c r="A283" s="53" t="s">
        <v>277</v>
      </c>
      <c r="B283" s="53" t="s">
        <v>27</v>
      </c>
      <c r="C283" s="171" t="s">
        <v>103</v>
      </c>
      <c r="D283" s="183" t="s">
        <v>680</v>
      </c>
      <c r="E283" s="179">
        <v>31</v>
      </c>
      <c r="F283" s="56">
        <v>44.99</v>
      </c>
      <c r="G283" s="59">
        <f t="shared" si="257"/>
        <v>40.491</v>
      </c>
      <c r="H283" s="59">
        <f t="shared" si="258"/>
        <v>33.7425</v>
      </c>
      <c r="I283" s="165">
        <f t="shared" si="259"/>
        <v>4.14891445427729</v>
      </c>
      <c r="J283" s="60">
        <f t="shared" si="260"/>
        <v>0.133835950137977</v>
      </c>
      <c r="K283" s="57">
        <f t="shared" si="261"/>
        <v>37.4916666666667</v>
      </c>
      <c r="L283" s="163">
        <f t="shared" si="262"/>
        <v>0.173149588797511</v>
      </c>
      <c r="M283" s="59">
        <f t="shared" si="263"/>
        <v>6.49166666666667</v>
      </c>
      <c r="N283" s="57">
        <f t="shared" ref="N283:N297" si="276">AD283+AH283</f>
        <v>87.646017699115</v>
      </c>
      <c r="O283" s="57">
        <f t="shared" si="264"/>
        <v>0.258333333333333</v>
      </c>
      <c r="P283" s="53">
        <v>30</v>
      </c>
      <c r="Q283" s="62">
        <v>8</v>
      </c>
      <c r="R283" s="63">
        <f t="shared" si="265"/>
        <v>0.161290322580645</v>
      </c>
      <c r="S283" s="60">
        <f t="shared" si="266"/>
        <v>0.111135807957324</v>
      </c>
      <c r="T283" s="63">
        <f t="shared" si="267"/>
        <v>0.145129032258065</v>
      </c>
      <c r="U283" s="63">
        <v>0.01</v>
      </c>
      <c r="V283" s="63">
        <f t="shared" si="268"/>
        <v>0.35341136168998</v>
      </c>
      <c r="W283" s="63">
        <f t="shared" si="269"/>
        <v>0.00833333333333333</v>
      </c>
      <c r="X283" s="61">
        <v>0.188</v>
      </c>
      <c r="Y283" s="64">
        <v>5</v>
      </c>
      <c r="Z283" s="64">
        <f>F283*0.1</f>
        <v>4.499</v>
      </c>
      <c r="AA283" s="64">
        <f t="shared" si="270"/>
        <v>0.31</v>
      </c>
      <c r="AB283" s="57">
        <f t="shared" si="271"/>
        <v>5.828</v>
      </c>
      <c r="AC283" s="57">
        <v>90</v>
      </c>
      <c r="AD283" s="65">
        <f t="shared" si="272"/>
        <v>79.646017699115</v>
      </c>
      <c r="AE283" s="62">
        <f t="shared" ref="AE283:AE297" si="277">AH283/Q283</f>
        <v>1</v>
      </c>
      <c r="AF283" s="63">
        <f t="shared" si="273"/>
        <v>0.321153297173851</v>
      </c>
      <c r="AG283" s="63">
        <f t="shared" si="274"/>
        <v>0.00403225806451613</v>
      </c>
      <c r="AH283" s="62">
        <v>8</v>
      </c>
      <c r="AI283" s="63">
        <f t="shared" si="275"/>
        <v>0.253997184559532</v>
      </c>
      <c r="AJ283" s="63"/>
      <c r="AK283" s="63"/>
      <c r="AL283" s="63"/>
      <c r="AM283" s="63"/>
      <c r="AN283" s="66"/>
      <c r="AO283" s="66"/>
      <c r="AP283" s="66"/>
      <c r="AQ283" s="66"/>
      <c r="AR283" s="66"/>
      <c r="AS283" s="66"/>
      <c r="AT283" s="66" t="s">
        <v>600</v>
      </c>
      <c r="AU283" s="66" t="s">
        <v>600</v>
      </c>
      <c r="AV283" s="66" t="s">
        <v>600</v>
      </c>
      <c r="AW283" s="66" t="s">
        <v>600</v>
      </c>
      <c r="AX283" s="66" t="s">
        <v>600</v>
      </c>
      <c r="AY283" s="66" t="s">
        <v>600</v>
      </c>
      <c r="AZ283" s="66" t="s">
        <v>600</v>
      </c>
      <c r="BA283" s="66" t="s">
        <v>600</v>
      </c>
      <c r="BB283" s="66" t="s">
        <v>600</v>
      </c>
      <c r="BC283" s="66" t="s">
        <v>600</v>
      </c>
      <c r="BD283" s="66" t="s">
        <v>600</v>
      </c>
      <c r="BE283" s="66" t="s">
        <v>600</v>
      </c>
      <c r="BF283" s="66" t="s">
        <v>600</v>
      </c>
      <c r="BG283" s="66" t="s">
        <v>600</v>
      </c>
      <c r="BH283" s="66" t="s">
        <v>600</v>
      </c>
      <c r="BI283" s="66" t="s">
        <v>600</v>
      </c>
      <c r="BJ283" s="66" t="s">
        <v>600</v>
      </c>
      <c r="BK283" s="66" t="s">
        <v>600</v>
      </c>
      <c r="BL283" s="66" t="s">
        <v>600</v>
      </c>
      <c r="BM283" s="66" t="s">
        <v>600</v>
      </c>
      <c r="BN283" s="66" t="s">
        <v>600</v>
      </c>
      <c r="BO283" s="66" t="s">
        <v>600</v>
      </c>
      <c r="BP283" s="66" t="s">
        <v>600</v>
      </c>
      <c r="BQ283" s="66" t="s">
        <v>600</v>
      </c>
      <c r="BR283" s="164"/>
      <c r="BS283" s="68" t="s">
        <v>601</v>
      </c>
    </row>
    <row r="284" ht="15.6" spans="1:71">
      <c r="A284" s="53" t="s">
        <v>277</v>
      </c>
      <c r="B284" s="53" t="s">
        <v>27</v>
      </c>
      <c r="C284" s="171" t="s">
        <v>103</v>
      </c>
      <c r="D284" s="183" t="s">
        <v>681</v>
      </c>
      <c r="E284" s="179">
        <v>31</v>
      </c>
      <c r="F284" s="56">
        <v>44.99</v>
      </c>
      <c r="G284" s="59">
        <f t="shared" si="257"/>
        <v>38.2415</v>
      </c>
      <c r="H284" s="59">
        <f t="shared" si="258"/>
        <v>31.8679166666667</v>
      </c>
      <c r="I284" s="59">
        <f t="shared" si="259"/>
        <v>1.89941445427729</v>
      </c>
      <c r="J284" s="60">
        <f t="shared" si="260"/>
        <v>0.0612714340089447</v>
      </c>
      <c r="K284" s="57">
        <f t="shared" si="261"/>
        <v>37.4916666666667</v>
      </c>
      <c r="L284" s="163">
        <f t="shared" si="262"/>
        <v>0.173149588797511</v>
      </c>
      <c r="M284" s="59">
        <f t="shared" si="263"/>
        <v>6.49166666666667</v>
      </c>
      <c r="N284" s="57">
        <f t="shared" si="276"/>
        <v>87.646017699115</v>
      </c>
      <c r="O284" s="57">
        <f t="shared" si="264"/>
        <v>0.258333333333333</v>
      </c>
      <c r="P284" s="53">
        <v>30</v>
      </c>
      <c r="Q284" s="62">
        <v>8</v>
      </c>
      <c r="R284" s="63">
        <f t="shared" si="265"/>
        <v>0.161290322580645</v>
      </c>
      <c r="S284" s="60">
        <f t="shared" si="266"/>
        <v>0.111135807957324</v>
      </c>
      <c r="T284" s="63">
        <f t="shared" si="267"/>
        <v>0.217693548387097</v>
      </c>
      <c r="U284" s="63">
        <v>0.01</v>
      </c>
      <c r="V284" s="63">
        <f t="shared" si="268"/>
        <v>0.35341136168998</v>
      </c>
      <c r="W284" s="63">
        <f t="shared" si="269"/>
        <v>0.00833333333333333</v>
      </c>
      <c r="X284" s="61">
        <v>0.188</v>
      </c>
      <c r="Y284" s="64">
        <v>5</v>
      </c>
      <c r="Z284" s="64">
        <f>F284*0.15</f>
        <v>6.7485</v>
      </c>
      <c r="AA284" s="64">
        <f t="shared" si="270"/>
        <v>0.31</v>
      </c>
      <c r="AB284" s="57">
        <f t="shared" si="271"/>
        <v>5.828</v>
      </c>
      <c r="AC284" s="57">
        <v>90</v>
      </c>
      <c r="AD284" s="65">
        <f t="shared" si="272"/>
        <v>79.646017699115</v>
      </c>
      <c r="AE284" s="62">
        <f t="shared" si="277"/>
        <v>1</v>
      </c>
      <c r="AF284" s="63">
        <f t="shared" si="273"/>
        <v>0.321153297173851</v>
      </c>
      <c r="AG284" s="63">
        <f t="shared" si="274"/>
        <v>0.00403225806451613</v>
      </c>
      <c r="AH284" s="62">
        <v>8</v>
      </c>
      <c r="AI284" s="63">
        <f t="shared" si="275"/>
        <v>0.21011466600421</v>
      </c>
      <c r="AJ284" s="63"/>
      <c r="AK284" s="63"/>
      <c r="AL284" s="63"/>
      <c r="AM284" s="63"/>
      <c r="AN284" s="66"/>
      <c r="AO284" s="66"/>
      <c r="AP284" s="66"/>
      <c r="AQ284" s="66"/>
      <c r="AR284" s="66"/>
      <c r="AS284" s="66"/>
      <c r="AT284" s="66" t="s">
        <v>600</v>
      </c>
      <c r="AU284" s="66" t="s">
        <v>600</v>
      </c>
      <c r="AV284" s="66" t="s">
        <v>600</v>
      </c>
      <c r="AW284" s="66" t="s">
        <v>600</v>
      </c>
      <c r="AX284" s="66" t="s">
        <v>600</v>
      </c>
      <c r="AY284" s="66" t="s">
        <v>600</v>
      </c>
      <c r="AZ284" s="66" t="s">
        <v>600</v>
      </c>
      <c r="BA284" s="66" t="s">
        <v>600</v>
      </c>
      <c r="BB284" s="66" t="s">
        <v>600</v>
      </c>
      <c r="BC284" s="66" t="s">
        <v>600</v>
      </c>
      <c r="BD284" s="66" t="s">
        <v>600</v>
      </c>
      <c r="BE284" s="66" t="s">
        <v>600</v>
      </c>
      <c r="BF284" s="66" t="s">
        <v>600</v>
      </c>
      <c r="BG284" s="66" t="s">
        <v>600</v>
      </c>
      <c r="BH284" s="66" t="s">
        <v>600</v>
      </c>
      <c r="BI284" s="66" t="s">
        <v>600</v>
      </c>
      <c r="BJ284" s="66" t="s">
        <v>600</v>
      </c>
      <c r="BK284" s="66" t="s">
        <v>600</v>
      </c>
      <c r="BL284" s="66" t="s">
        <v>600</v>
      </c>
      <c r="BM284" s="66" t="s">
        <v>600</v>
      </c>
      <c r="BN284" s="66" t="s">
        <v>600</v>
      </c>
      <c r="BO284" s="66" t="s">
        <v>600</v>
      </c>
      <c r="BP284" s="66" t="s">
        <v>600</v>
      </c>
      <c r="BQ284" s="66" t="s">
        <v>600</v>
      </c>
      <c r="BR284" s="164"/>
      <c r="BS284" s="68" t="s">
        <v>601</v>
      </c>
    </row>
    <row r="285" ht="15.6" spans="1:71">
      <c r="A285" s="53" t="s">
        <v>511</v>
      </c>
      <c r="B285" s="53" t="s">
        <v>27</v>
      </c>
      <c r="C285" s="171" t="s">
        <v>103</v>
      </c>
      <c r="D285" s="183" t="s">
        <v>679</v>
      </c>
      <c r="E285" s="179">
        <v>31</v>
      </c>
      <c r="F285" s="56">
        <v>44.99</v>
      </c>
      <c r="G285" s="59">
        <f t="shared" si="257"/>
        <v>44.99</v>
      </c>
      <c r="H285" s="59">
        <f t="shared" si="258"/>
        <v>37.4916666666667</v>
      </c>
      <c r="I285" s="59">
        <f t="shared" si="259"/>
        <v>8.43124778761062</v>
      </c>
      <c r="J285" s="60">
        <f t="shared" si="260"/>
        <v>0.271975735084214</v>
      </c>
      <c r="K285" s="57">
        <f t="shared" si="261"/>
        <v>37.4916666666667</v>
      </c>
      <c r="L285" s="163">
        <f t="shared" si="262"/>
        <v>0.173149588797511</v>
      </c>
      <c r="M285" s="59">
        <f t="shared" si="263"/>
        <v>6.49166666666667</v>
      </c>
      <c r="N285" s="57">
        <f t="shared" si="276"/>
        <v>87.646017699115</v>
      </c>
      <c r="O285" s="57">
        <f t="shared" si="264"/>
        <v>0.475</v>
      </c>
      <c r="P285" s="53">
        <v>30</v>
      </c>
      <c r="Q285" s="62">
        <v>8</v>
      </c>
      <c r="R285" s="63">
        <f t="shared" si="265"/>
        <v>0.161290322580645</v>
      </c>
      <c r="S285" s="60">
        <f t="shared" si="266"/>
        <v>0.111135807957324</v>
      </c>
      <c r="T285" s="63">
        <f t="shared" si="267"/>
        <v>0</v>
      </c>
      <c r="U285" s="63">
        <v>0.01</v>
      </c>
      <c r="V285" s="63">
        <f t="shared" si="268"/>
        <v>0.35341136168998</v>
      </c>
      <c r="W285" s="63">
        <f t="shared" si="269"/>
        <v>0.0153225806451613</v>
      </c>
      <c r="X285" s="61">
        <v>0.188</v>
      </c>
      <c r="Y285" s="64">
        <v>5</v>
      </c>
      <c r="Z285" s="64">
        <v>0</v>
      </c>
      <c r="AA285" s="64">
        <f t="shared" si="270"/>
        <v>0.31</v>
      </c>
      <c r="AB285" s="57">
        <f t="shared" si="271"/>
        <v>5.828</v>
      </c>
      <c r="AC285" s="57">
        <v>90</v>
      </c>
      <c r="AD285" s="65">
        <f t="shared" si="272"/>
        <v>79.646017699115</v>
      </c>
      <c r="AE285" s="62">
        <f t="shared" si="277"/>
        <v>1</v>
      </c>
      <c r="AF285" s="63">
        <f t="shared" si="273"/>
        <v>0.321153297173851</v>
      </c>
      <c r="AG285" s="63">
        <f t="shared" si="274"/>
        <v>0.00403225806451613</v>
      </c>
      <c r="AH285" s="62">
        <v>8</v>
      </c>
      <c r="AI285" s="63">
        <f t="shared" si="275"/>
        <v>0.328597466103579</v>
      </c>
      <c r="AJ285" s="63"/>
      <c r="AK285" s="63"/>
      <c r="AL285" s="63"/>
      <c r="AM285" s="63"/>
      <c r="AN285" s="66"/>
      <c r="AO285" s="66"/>
      <c r="AP285" s="66"/>
      <c r="AQ285" s="66"/>
      <c r="AR285" s="66"/>
      <c r="AS285" s="66"/>
      <c r="AT285" s="66" t="s">
        <v>600</v>
      </c>
      <c r="AU285" s="66" t="s">
        <v>600</v>
      </c>
      <c r="AV285" s="66" t="s">
        <v>600</v>
      </c>
      <c r="AW285" s="66" t="s">
        <v>600</v>
      </c>
      <c r="AX285" s="66" t="s">
        <v>600</v>
      </c>
      <c r="AY285" s="66" t="s">
        <v>600</v>
      </c>
      <c r="AZ285" s="66" t="s">
        <v>600</v>
      </c>
      <c r="BA285" s="66" t="s">
        <v>600</v>
      </c>
      <c r="BB285" s="66" t="s">
        <v>600</v>
      </c>
      <c r="BC285" s="66" t="s">
        <v>600</v>
      </c>
      <c r="BD285" s="66" t="s">
        <v>600</v>
      </c>
      <c r="BE285" s="66" t="s">
        <v>600</v>
      </c>
      <c r="BF285" s="66" t="s">
        <v>600</v>
      </c>
      <c r="BG285" s="66" t="s">
        <v>600</v>
      </c>
      <c r="BH285" s="66" t="s">
        <v>600</v>
      </c>
      <c r="BI285" s="66" t="s">
        <v>600</v>
      </c>
      <c r="BJ285" s="66" t="s">
        <v>600</v>
      </c>
      <c r="BK285" s="66" t="s">
        <v>600</v>
      </c>
      <c r="BL285" s="66" t="s">
        <v>600</v>
      </c>
      <c r="BM285" s="66" t="s">
        <v>600</v>
      </c>
      <c r="BN285" s="66" t="s">
        <v>600</v>
      </c>
      <c r="BO285" s="66" t="s">
        <v>600</v>
      </c>
      <c r="BP285" s="66" t="s">
        <v>600</v>
      </c>
      <c r="BQ285" s="66" t="s">
        <v>600</v>
      </c>
      <c r="BR285" s="164"/>
      <c r="BS285" s="68" t="s">
        <v>601</v>
      </c>
    </row>
    <row r="286" ht="15.6" spans="1:71">
      <c r="A286" s="53" t="s">
        <v>511</v>
      </c>
      <c r="B286" s="53" t="s">
        <v>27</v>
      </c>
      <c r="C286" s="171" t="s">
        <v>103</v>
      </c>
      <c r="D286" s="183" t="s">
        <v>680</v>
      </c>
      <c r="E286" s="179">
        <v>31</v>
      </c>
      <c r="F286" s="56">
        <v>44.99</v>
      </c>
      <c r="G286" s="59">
        <f t="shared" si="257"/>
        <v>40.491</v>
      </c>
      <c r="H286" s="59">
        <f t="shared" si="258"/>
        <v>33.7425</v>
      </c>
      <c r="I286" s="165">
        <f t="shared" si="259"/>
        <v>3.93224778761062</v>
      </c>
      <c r="J286" s="60">
        <f t="shared" si="260"/>
        <v>0.126846702826149</v>
      </c>
      <c r="K286" s="57">
        <f t="shared" si="261"/>
        <v>37.4916666666667</v>
      </c>
      <c r="L286" s="163">
        <f t="shared" si="262"/>
        <v>0.173149588797511</v>
      </c>
      <c r="M286" s="59">
        <f t="shared" si="263"/>
        <v>6.49166666666667</v>
      </c>
      <c r="N286" s="57">
        <f t="shared" si="276"/>
        <v>87.646017699115</v>
      </c>
      <c r="O286" s="57">
        <f t="shared" si="264"/>
        <v>0.475</v>
      </c>
      <c r="P286" s="53">
        <v>30</v>
      </c>
      <c r="Q286" s="62">
        <v>8</v>
      </c>
      <c r="R286" s="63">
        <f t="shared" si="265"/>
        <v>0.161290322580645</v>
      </c>
      <c r="S286" s="60">
        <f t="shared" si="266"/>
        <v>0.111135807957324</v>
      </c>
      <c r="T286" s="63">
        <f t="shared" si="267"/>
        <v>0.145129032258065</v>
      </c>
      <c r="U286" s="63">
        <v>0.01</v>
      </c>
      <c r="V286" s="63">
        <f t="shared" si="268"/>
        <v>0.35341136168998</v>
      </c>
      <c r="W286" s="63">
        <f t="shared" si="269"/>
        <v>0.0153225806451613</v>
      </c>
      <c r="X286" s="61">
        <v>0.188</v>
      </c>
      <c r="Y286" s="64">
        <v>5</v>
      </c>
      <c r="Z286" s="64">
        <f>F286*0.1</f>
        <v>4.499</v>
      </c>
      <c r="AA286" s="64">
        <f t="shared" si="270"/>
        <v>0.31</v>
      </c>
      <c r="AB286" s="57">
        <f t="shared" si="271"/>
        <v>5.828</v>
      </c>
      <c r="AC286" s="57">
        <v>90</v>
      </c>
      <c r="AD286" s="65">
        <f t="shared" si="272"/>
        <v>79.646017699115</v>
      </c>
      <c r="AE286" s="62">
        <f t="shared" si="277"/>
        <v>1</v>
      </c>
      <c r="AF286" s="63">
        <f t="shared" si="273"/>
        <v>0.321153297173851</v>
      </c>
      <c r="AG286" s="63">
        <f t="shared" si="274"/>
        <v>0.00403225806451613</v>
      </c>
      <c r="AH286" s="62">
        <v>8</v>
      </c>
      <c r="AI286" s="63">
        <f t="shared" si="275"/>
        <v>0.253997184559532</v>
      </c>
      <c r="AJ286" s="63"/>
      <c r="AK286" s="63"/>
      <c r="AL286" s="63"/>
      <c r="AM286" s="63"/>
      <c r="AN286" s="66"/>
      <c r="AO286" s="66"/>
      <c r="AP286" s="66"/>
      <c r="AQ286" s="66"/>
      <c r="AR286" s="66"/>
      <c r="AS286" s="66"/>
      <c r="AT286" s="66" t="s">
        <v>600</v>
      </c>
      <c r="AU286" s="66" t="s">
        <v>600</v>
      </c>
      <c r="AV286" s="66" t="s">
        <v>600</v>
      </c>
      <c r="AW286" s="66" t="s">
        <v>600</v>
      </c>
      <c r="AX286" s="66" t="s">
        <v>600</v>
      </c>
      <c r="AY286" s="66" t="s">
        <v>600</v>
      </c>
      <c r="AZ286" s="66" t="s">
        <v>600</v>
      </c>
      <c r="BA286" s="66" t="s">
        <v>600</v>
      </c>
      <c r="BB286" s="66" t="s">
        <v>600</v>
      </c>
      <c r="BC286" s="66" t="s">
        <v>600</v>
      </c>
      <c r="BD286" s="66" t="s">
        <v>600</v>
      </c>
      <c r="BE286" s="66" t="s">
        <v>600</v>
      </c>
      <c r="BF286" s="66" t="s">
        <v>600</v>
      </c>
      <c r="BG286" s="66" t="s">
        <v>600</v>
      </c>
      <c r="BH286" s="66" t="s">
        <v>600</v>
      </c>
      <c r="BI286" s="66" t="s">
        <v>600</v>
      </c>
      <c r="BJ286" s="66" t="s">
        <v>600</v>
      </c>
      <c r="BK286" s="66" t="s">
        <v>600</v>
      </c>
      <c r="BL286" s="66" t="s">
        <v>600</v>
      </c>
      <c r="BM286" s="66" t="s">
        <v>600</v>
      </c>
      <c r="BN286" s="66" t="s">
        <v>600</v>
      </c>
      <c r="BO286" s="66" t="s">
        <v>600</v>
      </c>
      <c r="BP286" s="66" t="s">
        <v>600</v>
      </c>
      <c r="BQ286" s="66" t="s">
        <v>600</v>
      </c>
      <c r="BR286" s="164"/>
      <c r="BS286" s="68" t="s">
        <v>601</v>
      </c>
    </row>
    <row r="287" ht="15.6" spans="1:71">
      <c r="A287" s="53" t="s">
        <v>511</v>
      </c>
      <c r="B287" s="53" t="s">
        <v>27</v>
      </c>
      <c r="C287" s="171" t="s">
        <v>103</v>
      </c>
      <c r="D287" s="183" t="s">
        <v>681</v>
      </c>
      <c r="E287" s="179">
        <v>31</v>
      </c>
      <c r="F287" s="56">
        <v>44.99</v>
      </c>
      <c r="G287" s="59">
        <f t="shared" si="257"/>
        <v>38.2415</v>
      </c>
      <c r="H287" s="59">
        <f t="shared" si="258"/>
        <v>31.8679166666667</v>
      </c>
      <c r="I287" s="59">
        <f t="shared" si="259"/>
        <v>1.68274778761062</v>
      </c>
      <c r="J287" s="60">
        <f t="shared" si="260"/>
        <v>0.0542821866971168</v>
      </c>
      <c r="K287" s="57">
        <f t="shared" si="261"/>
        <v>37.4916666666667</v>
      </c>
      <c r="L287" s="163">
        <f t="shared" si="262"/>
        <v>0.173149588797511</v>
      </c>
      <c r="M287" s="59">
        <f t="shared" si="263"/>
        <v>6.49166666666667</v>
      </c>
      <c r="N287" s="57">
        <f t="shared" si="276"/>
        <v>87.646017699115</v>
      </c>
      <c r="O287" s="57">
        <f t="shared" si="264"/>
        <v>0.475</v>
      </c>
      <c r="P287" s="53">
        <v>30</v>
      </c>
      <c r="Q287" s="62">
        <v>8</v>
      </c>
      <c r="R287" s="63">
        <f t="shared" si="265"/>
        <v>0.161290322580645</v>
      </c>
      <c r="S287" s="60">
        <f t="shared" si="266"/>
        <v>0.111135807957324</v>
      </c>
      <c r="T287" s="63">
        <f t="shared" si="267"/>
        <v>0.217693548387097</v>
      </c>
      <c r="U287" s="63">
        <v>0.01</v>
      </c>
      <c r="V287" s="63">
        <f t="shared" si="268"/>
        <v>0.35341136168998</v>
      </c>
      <c r="W287" s="63">
        <f t="shared" si="269"/>
        <v>0.0153225806451613</v>
      </c>
      <c r="X287" s="61">
        <v>0.188</v>
      </c>
      <c r="Y287" s="64">
        <v>5</v>
      </c>
      <c r="Z287" s="64">
        <f>F287*0.15</f>
        <v>6.7485</v>
      </c>
      <c r="AA287" s="64">
        <f t="shared" si="270"/>
        <v>0.31</v>
      </c>
      <c r="AB287" s="57">
        <f t="shared" si="271"/>
        <v>5.828</v>
      </c>
      <c r="AC287" s="57">
        <v>90</v>
      </c>
      <c r="AD287" s="65">
        <f t="shared" si="272"/>
        <v>79.646017699115</v>
      </c>
      <c r="AE287" s="62">
        <f t="shared" si="277"/>
        <v>1</v>
      </c>
      <c r="AF287" s="63">
        <f t="shared" si="273"/>
        <v>0.321153297173851</v>
      </c>
      <c r="AG287" s="63">
        <f t="shared" si="274"/>
        <v>0.00403225806451613</v>
      </c>
      <c r="AH287" s="62">
        <v>8</v>
      </c>
      <c r="AI287" s="63">
        <f t="shared" si="275"/>
        <v>0.21011466600421</v>
      </c>
      <c r="AJ287" s="63"/>
      <c r="AK287" s="63"/>
      <c r="AL287" s="63"/>
      <c r="AM287" s="63"/>
      <c r="AN287" s="66"/>
      <c r="AO287" s="66"/>
      <c r="AP287" s="66"/>
      <c r="AQ287" s="66"/>
      <c r="AR287" s="66"/>
      <c r="AS287" s="66"/>
      <c r="AT287" s="66" t="s">
        <v>600</v>
      </c>
      <c r="AU287" s="66" t="s">
        <v>600</v>
      </c>
      <c r="AV287" s="66" t="s">
        <v>600</v>
      </c>
      <c r="AW287" s="66" t="s">
        <v>600</v>
      </c>
      <c r="AX287" s="66" t="s">
        <v>600</v>
      </c>
      <c r="AY287" s="66" t="s">
        <v>600</v>
      </c>
      <c r="AZ287" s="66" t="s">
        <v>600</v>
      </c>
      <c r="BA287" s="66" t="s">
        <v>600</v>
      </c>
      <c r="BB287" s="66" t="s">
        <v>600</v>
      </c>
      <c r="BC287" s="66" t="s">
        <v>600</v>
      </c>
      <c r="BD287" s="66" t="s">
        <v>600</v>
      </c>
      <c r="BE287" s="66" t="s">
        <v>600</v>
      </c>
      <c r="BF287" s="66" t="s">
        <v>600</v>
      </c>
      <c r="BG287" s="66" t="s">
        <v>600</v>
      </c>
      <c r="BH287" s="66" t="s">
        <v>600</v>
      </c>
      <c r="BI287" s="66" t="s">
        <v>600</v>
      </c>
      <c r="BJ287" s="66" t="s">
        <v>600</v>
      </c>
      <c r="BK287" s="66" t="s">
        <v>600</v>
      </c>
      <c r="BL287" s="66" t="s">
        <v>600</v>
      </c>
      <c r="BM287" s="66" t="s">
        <v>600</v>
      </c>
      <c r="BN287" s="66" t="s">
        <v>600</v>
      </c>
      <c r="BO287" s="66" t="s">
        <v>600</v>
      </c>
      <c r="BP287" s="66" t="s">
        <v>600</v>
      </c>
      <c r="BQ287" s="66" t="s">
        <v>600</v>
      </c>
      <c r="BR287" s="164"/>
      <c r="BS287" s="68" t="s">
        <v>601</v>
      </c>
    </row>
    <row r="288" ht="15.6" spans="1:71">
      <c r="A288" s="53" t="s">
        <v>513</v>
      </c>
      <c r="B288" s="53" t="s">
        <v>27</v>
      </c>
      <c r="C288" s="171" t="s">
        <v>103</v>
      </c>
      <c r="D288" s="183" t="s">
        <v>679</v>
      </c>
      <c r="E288" s="179">
        <v>31</v>
      </c>
      <c r="F288" s="56">
        <v>44.99</v>
      </c>
      <c r="G288" s="59">
        <f t="shared" si="257"/>
        <v>44.99</v>
      </c>
      <c r="H288" s="59">
        <f t="shared" si="258"/>
        <v>37.4916666666667</v>
      </c>
      <c r="I288" s="59">
        <f t="shared" si="259"/>
        <v>8.39791445427729</v>
      </c>
      <c r="J288" s="60">
        <f t="shared" si="260"/>
        <v>0.270900466267009</v>
      </c>
      <c r="K288" s="57">
        <f t="shared" si="261"/>
        <v>37.4916666666667</v>
      </c>
      <c r="L288" s="163">
        <f t="shared" si="262"/>
        <v>0.173149588797511</v>
      </c>
      <c r="M288" s="59">
        <f t="shared" si="263"/>
        <v>6.49166666666667</v>
      </c>
      <c r="N288" s="57">
        <f t="shared" si="276"/>
        <v>87.646017699115</v>
      </c>
      <c r="O288" s="57">
        <f t="shared" si="264"/>
        <v>0.508333333333333</v>
      </c>
      <c r="P288" s="53">
        <v>30</v>
      </c>
      <c r="Q288" s="62">
        <v>8</v>
      </c>
      <c r="R288" s="63">
        <f t="shared" si="265"/>
        <v>0.161290322580645</v>
      </c>
      <c r="S288" s="60">
        <f t="shared" si="266"/>
        <v>0.111135807957324</v>
      </c>
      <c r="T288" s="63">
        <f t="shared" si="267"/>
        <v>0</v>
      </c>
      <c r="U288" s="63">
        <v>0.01</v>
      </c>
      <c r="V288" s="63">
        <f t="shared" si="268"/>
        <v>0.35341136168998</v>
      </c>
      <c r="W288" s="63">
        <f t="shared" si="269"/>
        <v>0.0163978494623656</v>
      </c>
      <c r="X288" s="61">
        <v>0.188</v>
      </c>
      <c r="Y288" s="64">
        <v>5</v>
      </c>
      <c r="Z288" s="64">
        <v>0</v>
      </c>
      <c r="AA288" s="64">
        <f t="shared" si="270"/>
        <v>0.31</v>
      </c>
      <c r="AB288" s="57">
        <f t="shared" si="271"/>
        <v>5.828</v>
      </c>
      <c r="AC288" s="57">
        <v>90</v>
      </c>
      <c r="AD288" s="65">
        <f t="shared" si="272"/>
        <v>79.646017699115</v>
      </c>
      <c r="AE288" s="62">
        <f t="shared" si="277"/>
        <v>1</v>
      </c>
      <c r="AF288" s="63">
        <f t="shared" si="273"/>
        <v>0.321153297173851</v>
      </c>
      <c r="AG288" s="63">
        <f t="shared" si="274"/>
        <v>0.00403225806451613</v>
      </c>
      <c r="AH288" s="62">
        <v>8</v>
      </c>
      <c r="AI288" s="60">
        <f t="shared" si="275"/>
        <v>0.328597466103579</v>
      </c>
      <c r="AJ288" s="60"/>
      <c r="AK288" s="60"/>
      <c r="AL288" s="60"/>
      <c r="AM288" s="60"/>
      <c r="AN288" s="66"/>
      <c r="AO288" s="66"/>
      <c r="AP288" s="66"/>
      <c r="AQ288" s="66"/>
      <c r="AR288" s="66"/>
      <c r="AS288" s="66"/>
      <c r="AT288" s="66" t="s">
        <v>600</v>
      </c>
      <c r="AU288" s="66" t="s">
        <v>600</v>
      </c>
      <c r="AV288" s="66" t="s">
        <v>600</v>
      </c>
      <c r="AW288" s="66" t="s">
        <v>600</v>
      </c>
      <c r="AX288" s="66" t="s">
        <v>600</v>
      </c>
      <c r="AY288" s="66" t="s">
        <v>600</v>
      </c>
      <c r="AZ288" s="66" t="s">
        <v>600</v>
      </c>
      <c r="BA288" s="66" t="s">
        <v>600</v>
      </c>
      <c r="BB288" s="66" t="s">
        <v>600</v>
      </c>
      <c r="BC288" s="66" t="s">
        <v>600</v>
      </c>
      <c r="BD288" s="66" t="s">
        <v>600</v>
      </c>
      <c r="BE288" s="66" t="s">
        <v>600</v>
      </c>
      <c r="BF288" s="66" t="s">
        <v>600</v>
      </c>
      <c r="BG288" s="66" t="s">
        <v>600</v>
      </c>
      <c r="BH288" s="66" t="s">
        <v>600</v>
      </c>
      <c r="BI288" s="66" t="s">
        <v>600</v>
      </c>
      <c r="BJ288" s="66" t="s">
        <v>600</v>
      </c>
      <c r="BK288" s="66" t="s">
        <v>600</v>
      </c>
      <c r="BL288" s="66" t="s">
        <v>600</v>
      </c>
      <c r="BM288" s="66" t="s">
        <v>600</v>
      </c>
      <c r="BN288" s="66" t="s">
        <v>600</v>
      </c>
      <c r="BO288" s="66" t="s">
        <v>600</v>
      </c>
      <c r="BP288" s="66" t="s">
        <v>600</v>
      </c>
      <c r="BQ288" s="66" t="s">
        <v>600</v>
      </c>
      <c r="BR288" s="164"/>
      <c r="BS288" s="68" t="s">
        <v>601</v>
      </c>
    </row>
    <row r="289" ht="15.6" spans="1:71">
      <c r="A289" s="53" t="s">
        <v>513</v>
      </c>
      <c r="B289" s="53" t="s">
        <v>27</v>
      </c>
      <c r="C289" s="171" t="s">
        <v>103</v>
      </c>
      <c r="D289" s="183" t="s">
        <v>680</v>
      </c>
      <c r="E289" s="179">
        <v>31</v>
      </c>
      <c r="F289" s="56">
        <v>44.99</v>
      </c>
      <c r="G289" s="59">
        <f t="shared" si="257"/>
        <v>40.491</v>
      </c>
      <c r="H289" s="59">
        <f t="shared" si="258"/>
        <v>33.7425</v>
      </c>
      <c r="I289" s="165">
        <f t="shared" si="259"/>
        <v>3.89891445427729</v>
      </c>
      <c r="J289" s="60">
        <f t="shared" si="260"/>
        <v>0.125771434008945</v>
      </c>
      <c r="K289" s="57">
        <f t="shared" si="261"/>
        <v>37.4916666666667</v>
      </c>
      <c r="L289" s="163">
        <f t="shared" si="262"/>
        <v>0.173149588797511</v>
      </c>
      <c r="M289" s="59">
        <f t="shared" si="263"/>
        <v>6.49166666666667</v>
      </c>
      <c r="N289" s="57">
        <f t="shared" si="276"/>
        <v>87.646017699115</v>
      </c>
      <c r="O289" s="57">
        <f t="shared" si="264"/>
        <v>0.508333333333333</v>
      </c>
      <c r="P289" s="53">
        <v>30</v>
      </c>
      <c r="Q289" s="62">
        <v>8</v>
      </c>
      <c r="R289" s="63">
        <f t="shared" si="265"/>
        <v>0.161290322580645</v>
      </c>
      <c r="S289" s="60">
        <f t="shared" si="266"/>
        <v>0.111135807957324</v>
      </c>
      <c r="T289" s="63">
        <f t="shared" si="267"/>
        <v>0.145129032258065</v>
      </c>
      <c r="U289" s="63">
        <v>0.01</v>
      </c>
      <c r="V289" s="63">
        <f t="shared" si="268"/>
        <v>0.35341136168998</v>
      </c>
      <c r="W289" s="63">
        <f t="shared" si="269"/>
        <v>0.0163978494623656</v>
      </c>
      <c r="X289" s="61">
        <v>0.188</v>
      </c>
      <c r="Y289" s="64">
        <v>5</v>
      </c>
      <c r="Z289" s="64">
        <f>F289*0.1</f>
        <v>4.499</v>
      </c>
      <c r="AA289" s="64">
        <f t="shared" si="270"/>
        <v>0.31</v>
      </c>
      <c r="AB289" s="57">
        <f t="shared" si="271"/>
        <v>5.828</v>
      </c>
      <c r="AC289" s="57">
        <v>90</v>
      </c>
      <c r="AD289" s="65">
        <f t="shared" si="272"/>
        <v>79.646017699115</v>
      </c>
      <c r="AE289" s="62">
        <f t="shared" si="277"/>
        <v>1</v>
      </c>
      <c r="AF289" s="63">
        <f t="shared" si="273"/>
        <v>0.321153297173851</v>
      </c>
      <c r="AG289" s="63">
        <f t="shared" si="274"/>
        <v>0.00403225806451613</v>
      </c>
      <c r="AH289" s="62">
        <v>8</v>
      </c>
      <c r="AI289" s="60">
        <f t="shared" si="275"/>
        <v>0.253997184559532</v>
      </c>
      <c r="AJ289" s="60"/>
      <c r="AK289" s="60"/>
      <c r="AL289" s="60"/>
      <c r="AM289" s="60"/>
      <c r="AN289" s="66"/>
      <c r="AO289" s="66"/>
      <c r="AP289" s="66"/>
      <c r="AQ289" s="66"/>
      <c r="AR289" s="66"/>
      <c r="AS289" s="66"/>
      <c r="AT289" s="66" t="s">
        <v>600</v>
      </c>
      <c r="AU289" s="66" t="s">
        <v>600</v>
      </c>
      <c r="AV289" s="66" t="s">
        <v>600</v>
      </c>
      <c r="AW289" s="66" t="s">
        <v>600</v>
      </c>
      <c r="AX289" s="66" t="s">
        <v>600</v>
      </c>
      <c r="AY289" s="66" t="s">
        <v>600</v>
      </c>
      <c r="AZ289" s="66" t="s">
        <v>600</v>
      </c>
      <c r="BA289" s="66" t="s">
        <v>600</v>
      </c>
      <c r="BB289" s="66" t="s">
        <v>600</v>
      </c>
      <c r="BC289" s="66" t="s">
        <v>600</v>
      </c>
      <c r="BD289" s="66" t="s">
        <v>600</v>
      </c>
      <c r="BE289" s="66" t="s">
        <v>600</v>
      </c>
      <c r="BF289" s="66" t="s">
        <v>600</v>
      </c>
      <c r="BG289" s="66" t="s">
        <v>600</v>
      </c>
      <c r="BH289" s="66" t="s">
        <v>600</v>
      </c>
      <c r="BI289" s="66" t="s">
        <v>600</v>
      </c>
      <c r="BJ289" s="66" t="s">
        <v>600</v>
      </c>
      <c r="BK289" s="66" t="s">
        <v>600</v>
      </c>
      <c r="BL289" s="66" t="s">
        <v>600</v>
      </c>
      <c r="BM289" s="66" t="s">
        <v>600</v>
      </c>
      <c r="BN289" s="66" t="s">
        <v>600</v>
      </c>
      <c r="BO289" s="66" t="s">
        <v>600</v>
      </c>
      <c r="BP289" s="66" t="s">
        <v>600</v>
      </c>
      <c r="BQ289" s="66" t="s">
        <v>600</v>
      </c>
      <c r="BR289" s="164"/>
      <c r="BS289" s="68" t="s">
        <v>601</v>
      </c>
    </row>
    <row r="290" ht="15.6" spans="1:71">
      <c r="A290" s="53" t="s">
        <v>513</v>
      </c>
      <c r="B290" s="53" t="s">
        <v>27</v>
      </c>
      <c r="C290" s="171" t="s">
        <v>103</v>
      </c>
      <c r="D290" s="183" t="s">
        <v>681</v>
      </c>
      <c r="E290" s="179">
        <v>31</v>
      </c>
      <c r="F290" s="56">
        <v>44.99</v>
      </c>
      <c r="G290" s="59">
        <f t="shared" si="257"/>
        <v>38.2415</v>
      </c>
      <c r="H290" s="59">
        <f t="shared" si="258"/>
        <v>31.8679166666667</v>
      </c>
      <c r="I290" s="59">
        <f t="shared" si="259"/>
        <v>1.64941445427729</v>
      </c>
      <c r="J290" s="60">
        <f t="shared" si="260"/>
        <v>0.0532069178799125</v>
      </c>
      <c r="K290" s="57">
        <f t="shared" si="261"/>
        <v>37.4916666666667</v>
      </c>
      <c r="L290" s="163">
        <f t="shared" si="262"/>
        <v>0.173149588797511</v>
      </c>
      <c r="M290" s="59">
        <f t="shared" si="263"/>
        <v>6.49166666666667</v>
      </c>
      <c r="N290" s="57">
        <f t="shared" si="276"/>
        <v>87.646017699115</v>
      </c>
      <c r="O290" s="57">
        <f t="shared" si="264"/>
        <v>0.508333333333333</v>
      </c>
      <c r="P290" s="53">
        <v>30</v>
      </c>
      <c r="Q290" s="62">
        <v>8</v>
      </c>
      <c r="R290" s="63">
        <f t="shared" si="265"/>
        <v>0.161290322580645</v>
      </c>
      <c r="S290" s="60">
        <f t="shared" si="266"/>
        <v>0.111135807957324</v>
      </c>
      <c r="T290" s="63">
        <f t="shared" si="267"/>
        <v>0.217693548387097</v>
      </c>
      <c r="U290" s="63">
        <v>0.01</v>
      </c>
      <c r="V290" s="63">
        <f t="shared" si="268"/>
        <v>0.35341136168998</v>
      </c>
      <c r="W290" s="63">
        <f t="shared" si="269"/>
        <v>0.0163978494623656</v>
      </c>
      <c r="X290" s="61">
        <v>0.188</v>
      </c>
      <c r="Y290" s="64">
        <v>5</v>
      </c>
      <c r="Z290" s="64">
        <f>F290*0.15</f>
        <v>6.7485</v>
      </c>
      <c r="AA290" s="64">
        <f t="shared" si="270"/>
        <v>0.31</v>
      </c>
      <c r="AB290" s="57">
        <f t="shared" si="271"/>
        <v>5.828</v>
      </c>
      <c r="AC290" s="57">
        <v>90</v>
      </c>
      <c r="AD290" s="65">
        <f t="shared" si="272"/>
        <v>79.646017699115</v>
      </c>
      <c r="AE290" s="62">
        <f t="shared" si="277"/>
        <v>1</v>
      </c>
      <c r="AF290" s="63">
        <f t="shared" si="273"/>
        <v>0.321153297173851</v>
      </c>
      <c r="AG290" s="63">
        <f t="shared" si="274"/>
        <v>0.00403225806451613</v>
      </c>
      <c r="AH290" s="62">
        <v>8</v>
      </c>
      <c r="AI290" s="60">
        <f t="shared" si="275"/>
        <v>0.21011466600421</v>
      </c>
      <c r="AJ290" s="60"/>
      <c r="AK290" s="60"/>
      <c r="AL290" s="60"/>
      <c r="AM290" s="60"/>
      <c r="AN290" s="66"/>
      <c r="AO290" s="66"/>
      <c r="AP290" s="66"/>
      <c r="AQ290" s="66"/>
      <c r="AR290" s="66"/>
      <c r="AS290" s="66"/>
      <c r="AT290" s="66" t="s">
        <v>600</v>
      </c>
      <c r="AU290" s="66" t="s">
        <v>600</v>
      </c>
      <c r="AV290" s="66" t="s">
        <v>600</v>
      </c>
      <c r="AW290" s="66" t="s">
        <v>600</v>
      </c>
      <c r="AX290" s="66" t="s">
        <v>600</v>
      </c>
      <c r="AY290" s="66" t="s">
        <v>600</v>
      </c>
      <c r="AZ290" s="66" t="s">
        <v>600</v>
      </c>
      <c r="BA290" s="66" t="s">
        <v>600</v>
      </c>
      <c r="BB290" s="66" t="s">
        <v>600</v>
      </c>
      <c r="BC290" s="66" t="s">
        <v>600</v>
      </c>
      <c r="BD290" s="66" t="s">
        <v>600</v>
      </c>
      <c r="BE290" s="66" t="s">
        <v>600</v>
      </c>
      <c r="BF290" s="66" t="s">
        <v>600</v>
      </c>
      <c r="BG290" s="66" t="s">
        <v>600</v>
      </c>
      <c r="BH290" s="66" t="s">
        <v>600</v>
      </c>
      <c r="BI290" s="66" t="s">
        <v>600</v>
      </c>
      <c r="BJ290" s="66" t="s">
        <v>600</v>
      </c>
      <c r="BK290" s="66" t="s">
        <v>600</v>
      </c>
      <c r="BL290" s="66" t="s">
        <v>600</v>
      </c>
      <c r="BM290" s="66" t="s">
        <v>600</v>
      </c>
      <c r="BN290" s="66" t="s">
        <v>600</v>
      </c>
      <c r="BO290" s="66" t="s">
        <v>600</v>
      </c>
      <c r="BP290" s="66" t="s">
        <v>600</v>
      </c>
      <c r="BQ290" s="66" t="s">
        <v>600</v>
      </c>
      <c r="BR290" s="164"/>
      <c r="BS290" s="68" t="s">
        <v>601</v>
      </c>
    </row>
    <row r="291" ht="15.6" spans="1:71">
      <c r="A291" s="53" t="s">
        <v>516</v>
      </c>
      <c r="B291" s="53" t="s">
        <v>27</v>
      </c>
      <c r="C291" s="171" t="s">
        <v>103</v>
      </c>
      <c r="D291" s="183" t="s">
        <v>679</v>
      </c>
      <c r="E291" s="179">
        <v>31</v>
      </c>
      <c r="F291" s="56">
        <v>44.99</v>
      </c>
      <c r="G291" s="59">
        <f t="shared" si="257"/>
        <v>44.99</v>
      </c>
      <c r="H291" s="59">
        <f t="shared" si="258"/>
        <v>37.4916666666667</v>
      </c>
      <c r="I291" s="59">
        <f t="shared" si="259"/>
        <v>8.26458112094395</v>
      </c>
      <c r="J291" s="60">
        <f t="shared" si="260"/>
        <v>0.266599390998192</v>
      </c>
      <c r="K291" s="57">
        <f t="shared" si="261"/>
        <v>37.4916666666667</v>
      </c>
      <c r="L291" s="163">
        <f t="shared" si="262"/>
        <v>0.173149588797511</v>
      </c>
      <c r="M291" s="59">
        <f t="shared" si="263"/>
        <v>6.49166666666667</v>
      </c>
      <c r="N291" s="57">
        <f t="shared" si="276"/>
        <v>87.646017699115</v>
      </c>
      <c r="O291" s="57">
        <f t="shared" si="264"/>
        <v>0.641666666666667</v>
      </c>
      <c r="P291" s="53">
        <v>30</v>
      </c>
      <c r="Q291" s="62">
        <v>8</v>
      </c>
      <c r="R291" s="63">
        <f t="shared" si="265"/>
        <v>0.161290322580645</v>
      </c>
      <c r="S291" s="60">
        <f t="shared" si="266"/>
        <v>0.111135807957324</v>
      </c>
      <c r="T291" s="63">
        <f t="shared" si="267"/>
        <v>0</v>
      </c>
      <c r="U291" s="63">
        <v>0.01</v>
      </c>
      <c r="V291" s="63">
        <f t="shared" si="268"/>
        <v>0.35341136168998</v>
      </c>
      <c r="W291" s="63">
        <f t="shared" si="269"/>
        <v>0.0206989247311828</v>
      </c>
      <c r="X291" s="61">
        <v>0.188</v>
      </c>
      <c r="Y291" s="64">
        <v>5</v>
      </c>
      <c r="Z291" s="64">
        <v>0</v>
      </c>
      <c r="AA291" s="64">
        <f t="shared" si="270"/>
        <v>0.31</v>
      </c>
      <c r="AB291" s="57">
        <f t="shared" si="271"/>
        <v>5.828</v>
      </c>
      <c r="AC291" s="57">
        <v>90</v>
      </c>
      <c r="AD291" s="65">
        <f t="shared" si="272"/>
        <v>79.646017699115</v>
      </c>
      <c r="AE291" s="62">
        <f t="shared" si="277"/>
        <v>1</v>
      </c>
      <c r="AF291" s="63">
        <f t="shared" si="273"/>
        <v>0.321153297173851</v>
      </c>
      <c r="AG291" s="63">
        <f t="shared" si="274"/>
        <v>0.00403225806451613</v>
      </c>
      <c r="AH291" s="62">
        <v>8</v>
      </c>
      <c r="AI291" s="63">
        <f t="shared" si="275"/>
        <v>0.328597466103579</v>
      </c>
      <c r="AJ291" s="63"/>
      <c r="AK291" s="63"/>
      <c r="AL291" s="63"/>
      <c r="AM291" s="63"/>
      <c r="AN291" s="66"/>
      <c r="AO291" s="66"/>
      <c r="AP291" s="66"/>
      <c r="AQ291" s="66"/>
      <c r="AR291" s="66"/>
      <c r="AS291" s="66"/>
      <c r="AT291" s="66" t="s">
        <v>600</v>
      </c>
      <c r="AU291" s="66" t="s">
        <v>600</v>
      </c>
      <c r="AV291" s="66" t="s">
        <v>600</v>
      </c>
      <c r="AW291" s="66" t="s">
        <v>600</v>
      </c>
      <c r="AX291" s="66" t="s">
        <v>600</v>
      </c>
      <c r="AY291" s="66" t="s">
        <v>600</v>
      </c>
      <c r="AZ291" s="66" t="s">
        <v>600</v>
      </c>
      <c r="BA291" s="66" t="s">
        <v>600</v>
      </c>
      <c r="BB291" s="66" t="s">
        <v>600</v>
      </c>
      <c r="BC291" s="66" t="s">
        <v>600</v>
      </c>
      <c r="BD291" s="66" t="s">
        <v>600</v>
      </c>
      <c r="BE291" s="66" t="s">
        <v>600</v>
      </c>
      <c r="BF291" s="66" t="s">
        <v>600</v>
      </c>
      <c r="BG291" s="66" t="s">
        <v>600</v>
      </c>
      <c r="BH291" s="66" t="s">
        <v>600</v>
      </c>
      <c r="BI291" s="66" t="s">
        <v>600</v>
      </c>
      <c r="BJ291" s="66" t="s">
        <v>600</v>
      </c>
      <c r="BK291" s="66" t="s">
        <v>600</v>
      </c>
      <c r="BL291" s="66" t="s">
        <v>600</v>
      </c>
      <c r="BM291" s="66" t="s">
        <v>600</v>
      </c>
      <c r="BN291" s="66" t="s">
        <v>600</v>
      </c>
      <c r="BO291" s="66" t="s">
        <v>600</v>
      </c>
      <c r="BP291" s="66" t="s">
        <v>600</v>
      </c>
      <c r="BQ291" s="66" t="s">
        <v>600</v>
      </c>
      <c r="BR291" s="164"/>
      <c r="BS291" s="68" t="s">
        <v>601</v>
      </c>
    </row>
    <row r="292" ht="15.6" spans="1:71">
      <c r="A292" s="53" t="s">
        <v>516</v>
      </c>
      <c r="B292" s="53" t="s">
        <v>27</v>
      </c>
      <c r="C292" s="171" t="s">
        <v>103</v>
      </c>
      <c r="D292" s="183" t="s">
        <v>680</v>
      </c>
      <c r="E292" s="179">
        <v>31</v>
      </c>
      <c r="F292" s="56">
        <v>44.99</v>
      </c>
      <c r="G292" s="59">
        <f t="shared" si="257"/>
        <v>40.491</v>
      </c>
      <c r="H292" s="59">
        <f t="shared" si="258"/>
        <v>33.7425</v>
      </c>
      <c r="I292" s="165">
        <f t="shared" si="259"/>
        <v>3.76558112094395</v>
      </c>
      <c r="J292" s="60">
        <f t="shared" si="260"/>
        <v>0.121470358740127</v>
      </c>
      <c r="K292" s="57">
        <f t="shared" si="261"/>
        <v>37.4916666666667</v>
      </c>
      <c r="L292" s="163">
        <f t="shared" si="262"/>
        <v>0.173149588797511</v>
      </c>
      <c r="M292" s="59">
        <f t="shared" si="263"/>
        <v>6.49166666666667</v>
      </c>
      <c r="N292" s="57">
        <f t="shared" si="276"/>
        <v>87.646017699115</v>
      </c>
      <c r="O292" s="57">
        <f t="shared" si="264"/>
        <v>0.641666666666667</v>
      </c>
      <c r="P292" s="53">
        <v>30</v>
      </c>
      <c r="Q292" s="62">
        <v>8</v>
      </c>
      <c r="R292" s="63">
        <f t="shared" si="265"/>
        <v>0.161290322580645</v>
      </c>
      <c r="S292" s="60">
        <f t="shared" si="266"/>
        <v>0.111135807957324</v>
      </c>
      <c r="T292" s="63">
        <f t="shared" si="267"/>
        <v>0.145129032258065</v>
      </c>
      <c r="U292" s="63">
        <v>0.01</v>
      </c>
      <c r="V292" s="63">
        <f t="shared" si="268"/>
        <v>0.35341136168998</v>
      </c>
      <c r="W292" s="63">
        <f t="shared" si="269"/>
        <v>0.0206989247311828</v>
      </c>
      <c r="X292" s="61">
        <v>0.188</v>
      </c>
      <c r="Y292" s="64">
        <v>5</v>
      </c>
      <c r="Z292" s="64">
        <f>F292*0.1</f>
        <v>4.499</v>
      </c>
      <c r="AA292" s="64">
        <f t="shared" si="270"/>
        <v>0.31</v>
      </c>
      <c r="AB292" s="57">
        <f t="shared" si="271"/>
        <v>5.828</v>
      </c>
      <c r="AC292" s="57">
        <v>90</v>
      </c>
      <c r="AD292" s="65">
        <f t="shared" si="272"/>
        <v>79.646017699115</v>
      </c>
      <c r="AE292" s="62">
        <f t="shared" si="277"/>
        <v>1</v>
      </c>
      <c r="AF292" s="63">
        <f t="shared" si="273"/>
        <v>0.321153297173851</v>
      </c>
      <c r="AG292" s="63">
        <f t="shared" si="274"/>
        <v>0.00403225806451613</v>
      </c>
      <c r="AH292" s="62">
        <v>8</v>
      </c>
      <c r="AI292" s="63">
        <f t="shared" si="275"/>
        <v>0.253997184559532</v>
      </c>
      <c r="AJ292" s="63"/>
      <c r="AK292" s="63"/>
      <c r="AL292" s="63"/>
      <c r="AM292" s="63"/>
      <c r="AN292" s="66"/>
      <c r="AO292" s="66"/>
      <c r="AP292" s="66"/>
      <c r="AQ292" s="66"/>
      <c r="AR292" s="66"/>
      <c r="AS292" s="66"/>
      <c r="AT292" s="66" t="s">
        <v>600</v>
      </c>
      <c r="AU292" s="66" t="s">
        <v>600</v>
      </c>
      <c r="AV292" s="66" t="s">
        <v>600</v>
      </c>
      <c r="AW292" s="66" t="s">
        <v>600</v>
      </c>
      <c r="AX292" s="66" t="s">
        <v>600</v>
      </c>
      <c r="AY292" s="66" t="s">
        <v>600</v>
      </c>
      <c r="AZ292" s="66" t="s">
        <v>600</v>
      </c>
      <c r="BA292" s="66" t="s">
        <v>600</v>
      </c>
      <c r="BB292" s="66" t="s">
        <v>600</v>
      </c>
      <c r="BC292" s="66" t="s">
        <v>600</v>
      </c>
      <c r="BD292" s="66" t="s">
        <v>600</v>
      </c>
      <c r="BE292" s="66" t="s">
        <v>600</v>
      </c>
      <c r="BF292" s="66" t="s">
        <v>600</v>
      </c>
      <c r="BG292" s="66" t="s">
        <v>600</v>
      </c>
      <c r="BH292" s="66" t="s">
        <v>600</v>
      </c>
      <c r="BI292" s="66" t="s">
        <v>600</v>
      </c>
      <c r="BJ292" s="66" t="s">
        <v>600</v>
      </c>
      <c r="BK292" s="66" t="s">
        <v>600</v>
      </c>
      <c r="BL292" s="66" t="s">
        <v>600</v>
      </c>
      <c r="BM292" s="66" t="s">
        <v>600</v>
      </c>
      <c r="BN292" s="66" t="s">
        <v>600</v>
      </c>
      <c r="BO292" s="66" t="s">
        <v>600</v>
      </c>
      <c r="BP292" s="66" t="s">
        <v>600</v>
      </c>
      <c r="BQ292" s="66" t="s">
        <v>600</v>
      </c>
      <c r="BR292" s="164"/>
      <c r="BS292" s="68" t="s">
        <v>601</v>
      </c>
    </row>
    <row r="293" ht="15.6" spans="1:71">
      <c r="A293" s="53" t="s">
        <v>516</v>
      </c>
      <c r="B293" s="53" t="s">
        <v>27</v>
      </c>
      <c r="C293" s="171" t="s">
        <v>103</v>
      </c>
      <c r="D293" s="183" t="s">
        <v>681</v>
      </c>
      <c r="E293" s="179">
        <v>31</v>
      </c>
      <c r="F293" s="56">
        <v>44.99</v>
      </c>
      <c r="G293" s="59">
        <f t="shared" si="257"/>
        <v>38.2415</v>
      </c>
      <c r="H293" s="59">
        <f t="shared" si="258"/>
        <v>31.8679166666667</v>
      </c>
      <c r="I293" s="59">
        <f t="shared" si="259"/>
        <v>1.51608112094395</v>
      </c>
      <c r="J293" s="60">
        <f t="shared" si="260"/>
        <v>0.0489058426110952</v>
      </c>
      <c r="K293" s="57">
        <f t="shared" si="261"/>
        <v>37.4916666666667</v>
      </c>
      <c r="L293" s="163">
        <f t="shared" si="262"/>
        <v>0.173149588797511</v>
      </c>
      <c r="M293" s="59">
        <f t="shared" si="263"/>
        <v>6.49166666666667</v>
      </c>
      <c r="N293" s="57">
        <f t="shared" si="276"/>
        <v>87.646017699115</v>
      </c>
      <c r="O293" s="57">
        <f t="shared" si="264"/>
        <v>0.641666666666667</v>
      </c>
      <c r="P293" s="53">
        <v>30</v>
      </c>
      <c r="Q293" s="62">
        <v>8</v>
      </c>
      <c r="R293" s="63">
        <f t="shared" si="265"/>
        <v>0.161290322580645</v>
      </c>
      <c r="S293" s="60">
        <f t="shared" si="266"/>
        <v>0.111135807957324</v>
      </c>
      <c r="T293" s="63">
        <f t="shared" si="267"/>
        <v>0.217693548387097</v>
      </c>
      <c r="U293" s="63">
        <v>0.01</v>
      </c>
      <c r="V293" s="63">
        <f t="shared" si="268"/>
        <v>0.35341136168998</v>
      </c>
      <c r="W293" s="63">
        <f t="shared" si="269"/>
        <v>0.0206989247311828</v>
      </c>
      <c r="X293" s="61">
        <v>0.188</v>
      </c>
      <c r="Y293" s="64">
        <v>5</v>
      </c>
      <c r="Z293" s="64">
        <f>F293*0.15</f>
        <v>6.7485</v>
      </c>
      <c r="AA293" s="64">
        <f t="shared" si="270"/>
        <v>0.31</v>
      </c>
      <c r="AB293" s="57">
        <f t="shared" si="271"/>
        <v>5.828</v>
      </c>
      <c r="AC293" s="57">
        <v>90</v>
      </c>
      <c r="AD293" s="65">
        <f t="shared" si="272"/>
        <v>79.646017699115</v>
      </c>
      <c r="AE293" s="62">
        <f t="shared" si="277"/>
        <v>1</v>
      </c>
      <c r="AF293" s="63">
        <f t="shared" si="273"/>
        <v>0.321153297173851</v>
      </c>
      <c r="AG293" s="63">
        <f t="shared" si="274"/>
        <v>0.00403225806451613</v>
      </c>
      <c r="AH293" s="62">
        <v>8</v>
      </c>
      <c r="AI293" s="63">
        <f t="shared" si="275"/>
        <v>0.21011466600421</v>
      </c>
      <c r="AJ293" s="63"/>
      <c r="AK293" s="63"/>
      <c r="AL293" s="63"/>
      <c r="AM293" s="63"/>
      <c r="AN293" s="66"/>
      <c r="AO293" s="66"/>
      <c r="AP293" s="66"/>
      <c r="AQ293" s="66"/>
      <c r="AR293" s="66"/>
      <c r="AS293" s="66"/>
      <c r="AT293" s="66" t="s">
        <v>600</v>
      </c>
      <c r="AU293" s="66" t="s">
        <v>600</v>
      </c>
      <c r="AV293" s="66" t="s">
        <v>600</v>
      </c>
      <c r="AW293" s="66" t="s">
        <v>600</v>
      </c>
      <c r="AX293" s="66" t="s">
        <v>600</v>
      </c>
      <c r="AY293" s="66" t="s">
        <v>600</v>
      </c>
      <c r="AZ293" s="66" t="s">
        <v>600</v>
      </c>
      <c r="BA293" s="66" t="s">
        <v>600</v>
      </c>
      <c r="BB293" s="66" t="s">
        <v>600</v>
      </c>
      <c r="BC293" s="66" t="s">
        <v>600</v>
      </c>
      <c r="BD293" s="66" t="s">
        <v>600</v>
      </c>
      <c r="BE293" s="66" t="s">
        <v>600</v>
      </c>
      <c r="BF293" s="66" t="s">
        <v>600</v>
      </c>
      <c r="BG293" s="66" t="s">
        <v>600</v>
      </c>
      <c r="BH293" s="66" t="s">
        <v>600</v>
      </c>
      <c r="BI293" s="66" t="s">
        <v>600</v>
      </c>
      <c r="BJ293" s="66" t="s">
        <v>600</v>
      </c>
      <c r="BK293" s="66" t="s">
        <v>600</v>
      </c>
      <c r="BL293" s="66" t="s">
        <v>600</v>
      </c>
      <c r="BM293" s="66" t="s">
        <v>600</v>
      </c>
      <c r="BN293" s="66" t="s">
        <v>600</v>
      </c>
      <c r="BO293" s="66" t="s">
        <v>600</v>
      </c>
      <c r="BP293" s="66" t="s">
        <v>600</v>
      </c>
      <c r="BQ293" s="66" t="s">
        <v>600</v>
      </c>
      <c r="BR293" s="164"/>
      <c r="BS293" s="68" t="s">
        <v>601</v>
      </c>
    </row>
    <row r="294" ht="15.6" spans="1:71">
      <c r="A294" s="53" t="s">
        <v>605</v>
      </c>
      <c r="B294" s="53" t="s">
        <v>27</v>
      </c>
      <c r="C294" s="171" t="s">
        <v>103</v>
      </c>
      <c r="D294" s="170" t="s">
        <v>682</v>
      </c>
      <c r="E294" s="179">
        <v>31</v>
      </c>
      <c r="F294" s="56">
        <v>44.99</v>
      </c>
      <c r="G294" s="59">
        <f t="shared" si="257"/>
        <v>44.99</v>
      </c>
      <c r="H294" s="59">
        <f t="shared" si="258"/>
        <v>37.4916666666667</v>
      </c>
      <c r="I294" s="59">
        <f t="shared" si="259"/>
        <v>8.34791445427729</v>
      </c>
      <c r="J294" s="60">
        <f t="shared" si="260"/>
        <v>0.269287563041203</v>
      </c>
      <c r="K294" s="57">
        <f t="shared" si="261"/>
        <v>37.4916666666667</v>
      </c>
      <c r="L294" s="163">
        <f t="shared" si="262"/>
        <v>0.173149588797511</v>
      </c>
      <c r="M294" s="59">
        <f t="shared" si="263"/>
        <v>6.49166666666667</v>
      </c>
      <c r="N294" s="57">
        <f t="shared" si="276"/>
        <v>87.646017699115</v>
      </c>
      <c r="O294" s="57">
        <f t="shared" si="264"/>
        <v>0.558333333333333</v>
      </c>
      <c r="P294" s="53">
        <v>30</v>
      </c>
      <c r="Q294" s="62">
        <v>8</v>
      </c>
      <c r="R294" s="63">
        <f t="shared" si="265"/>
        <v>0.161290322580645</v>
      </c>
      <c r="S294" s="60">
        <f t="shared" si="266"/>
        <v>0.111135807957324</v>
      </c>
      <c r="T294" s="63">
        <f t="shared" si="267"/>
        <v>0</v>
      </c>
      <c r="U294" s="63">
        <v>0.01</v>
      </c>
      <c r="V294" s="63">
        <f t="shared" si="268"/>
        <v>0.35341136168998</v>
      </c>
      <c r="W294" s="63">
        <f t="shared" si="269"/>
        <v>0.018010752688172</v>
      </c>
      <c r="X294" s="61">
        <v>0.188</v>
      </c>
      <c r="Y294" s="64">
        <v>5</v>
      </c>
      <c r="Z294" s="64">
        <f>F294*0</f>
        <v>0</v>
      </c>
      <c r="AA294" s="64">
        <f t="shared" si="270"/>
        <v>0.31</v>
      </c>
      <c r="AB294" s="57">
        <f t="shared" si="271"/>
        <v>5.828</v>
      </c>
      <c r="AC294" s="57">
        <v>90</v>
      </c>
      <c r="AD294" s="65">
        <f t="shared" si="272"/>
        <v>79.646017699115</v>
      </c>
      <c r="AE294" s="62">
        <f t="shared" si="277"/>
        <v>1</v>
      </c>
      <c r="AF294" s="63">
        <f t="shared" si="273"/>
        <v>0.321153297173851</v>
      </c>
      <c r="AG294" s="63">
        <f t="shared" si="274"/>
        <v>0.00403225806451613</v>
      </c>
      <c r="AH294" s="62">
        <v>8</v>
      </c>
      <c r="AI294" s="63">
        <f t="shared" si="275"/>
        <v>0.328597466103579</v>
      </c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 t="s">
        <v>600</v>
      </c>
      <c r="AU294" s="66" t="s">
        <v>600</v>
      </c>
      <c r="AV294" s="66" t="s">
        <v>600</v>
      </c>
      <c r="AW294" s="66" t="s">
        <v>600</v>
      </c>
      <c r="AX294" s="66" t="s">
        <v>600</v>
      </c>
      <c r="AY294" s="66" t="s">
        <v>600</v>
      </c>
      <c r="AZ294" s="66" t="s">
        <v>600</v>
      </c>
      <c r="BA294" s="66" t="s">
        <v>600</v>
      </c>
      <c r="BB294" s="66" t="s">
        <v>600</v>
      </c>
      <c r="BC294" s="66" t="s">
        <v>600</v>
      </c>
      <c r="BD294" s="66" t="s">
        <v>600</v>
      </c>
      <c r="BE294" s="66" t="s">
        <v>600</v>
      </c>
      <c r="BF294" s="66" t="s">
        <v>600</v>
      </c>
      <c r="BG294" s="66" t="s">
        <v>600</v>
      </c>
      <c r="BH294" s="66" t="s">
        <v>600</v>
      </c>
      <c r="BI294" s="66" t="s">
        <v>600</v>
      </c>
      <c r="BJ294" s="66" t="s">
        <v>600</v>
      </c>
      <c r="BK294" s="66" t="s">
        <v>600</v>
      </c>
      <c r="BL294" s="66" t="s">
        <v>600</v>
      </c>
      <c r="BM294" s="66" t="s">
        <v>600</v>
      </c>
      <c r="BN294" s="66" t="s">
        <v>600</v>
      </c>
      <c r="BO294" s="66" t="s">
        <v>600</v>
      </c>
      <c r="BP294" s="66" t="s">
        <v>600</v>
      </c>
      <c r="BQ294" s="66" t="s">
        <v>600</v>
      </c>
      <c r="BR294" s="70" t="e">
        <f>IF(E294&lt;#REF!,1,0)</f>
        <v>#REF!</v>
      </c>
      <c r="BS294" s="68" t="s">
        <v>601</v>
      </c>
    </row>
    <row r="295" ht="15.6" spans="1:71">
      <c r="A295" s="53" t="s">
        <v>607</v>
      </c>
      <c r="B295" s="53" t="s">
        <v>27</v>
      </c>
      <c r="C295" s="171" t="s">
        <v>103</v>
      </c>
      <c r="D295" s="170" t="s">
        <v>683</v>
      </c>
      <c r="E295" s="179">
        <v>34.5</v>
      </c>
      <c r="F295" s="56">
        <v>49.99</v>
      </c>
      <c r="G295" s="59">
        <f t="shared" si="257"/>
        <v>49.99</v>
      </c>
      <c r="H295" s="59">
        <f t="shared" si="258"/>
        <v>41.6583333333333</v>
      </c>
      <c r="I295" s="59">
        <f t="shared" si="259"/>
        <v>11.2449144542773</v>
      </c>
      <c r="J295" s="60">
        <f t="shared" si="260"/>
        <v>0.325939549399342</v>
      </c>
      <c r="K295" s="57">
        <f t="shared" si="261"/>
        <v>41.6583333333333</v>
      </c>
      <c r="L295" s="163">
        <f t="shared" si="262"/>
        <v>0.171834366873375</v>
      </c>
      <c r="M295" s="59">
        <f t="shared" si="263"/>
        <v>7.15833333333334</v>
      </c>
      <c r="N295" s="57">
        <f t="shared" si="276"/>
        <v>87.646017699115</v>
      </c>
      <c r="O295" s="57">
        <f t="shared" si="264"/>
        <v>0.468333333333333</v>
      </c>
      <c r="P295" s="53">
        <v>30</v>
      </c>
      <c r="Q295" s="62">
        <v>8</v>
      </c>
      <c r="R295" s="63">
        <f t="shared" si="265"/>
        <v>0.144927536231884</v>
      </c>
      <c r="S295" s="60">
        <f t="shared" si="266"/>
        <v>0.1000200040008</v>
      </c>
      <c r="T295" s="63">
        <f t="shared" si="267"/>
        <v>0</v>
      </c>
      <c r="U295" s="63">
        <v>0.01</v>
      </c>
      <c r="V295" s="63">
        <f t="shared" si="268"/>
        <v>0.317558035141721</v>
      </c>
      <c r="W295" s="63">
        <f t="shared" si="269"/>
        <v>0.0135748792270531</v>
      </c>
      <c r="X295" s="61">
        <v>0.188</v>
      </c>
      <c r="Y295" s="64">
        <v>5</v>
      </c>
      <c r="Z295" s="64">
        <f>F295*0</f>
        <v>0</v>
      </c>
      <c r="AA295" s="64">
        <f t="shared" si="270"/>
        <v>0.345</v>
      </c>
      <c r="AB295" s="57">
        <f t="shared" si="271"/>
        <v>6.486</v>
      </c>
      <c r="AC295" s="57">
        <v>90</v>
      </c>
      <c r="AD295" s="65">
        <f t="shared" si="272"/>
        <v>79.646017699115</v>
      </c>
      <c r="AE295" s="62">
        <f t="shared" si="277"/>
        <v>1</v>
      </c>
      <c r="AF295" s="63">
        <f t="shared" si="273"/>
        <v>0.288572527895344</v>
      </c>
      <c r="AG295" s="63">
        <f t="shared" si="274"/>
        <v>0.0036231884057971</v>
      </c>
      <c r="AH295" s="62">
        <v>8</v>
      </c>
      <c r="AI295" s="63">
        <f t="shared" si="275"/>
        <v>0.32752950590118</v>
      </c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 t="s">
        <v>600</v>
      </c>
      <c r="AU295" s="66" t="s">
        <v>600</v>
      </c>
      <c r="AV295" s="66" t="s">
        <v>600</v>
      </c>
      <c r="AW295" s="66" t="s">
        <v>600</v>
      </c>
      <c r="AX295" s="66" t="s">
        <v>600</v>
      </c>
      <c r="AY295" s="66" t="s">
        <v>600</v>
      </c>
      <c r="AZ295" s="66" t="s">
        <v>600</v>
      </c>
      <c r="BA295" s="66" t="s">
        <v>600</v>
      </c>
      <c r="BB295" s="66" t="s">
        <v>600</v>
      </c>
      <c r="BC295" s="66" t="s">
        <v>600</v>
      </c>
      <c r="BD295" s="66" t="s">
        <v>600</v>
      </c>
      <c r="BE295" s="66" t="s">
        <v>600</v>
      </c>
      <c r="BF295" s="66" t="s">
        <v>600</v>
      </c>
      <c r="BG295" s="66" t="s">
        <v>600</v>
      </c>
      <c r="BH295" s="66" t="s">
        <v>600</v>
      </c>
      <c r="BI295" s="66" t="s">
        <v>600</v>
      </c>
      <c r="BJ295" s="66" t="s">
        <v>600</v>
      </c>
      <c r="BK295" s="66" t="s">
        <v>600</v>
      </c>
      <c r="BL295" s="66" t="s">
        <v>600</v>
      </c>
      <c r="BM295" s="66" t="s">
        <v>600</v>
      </c>
      <c r="BN295" s="66" t="s">
        <v>600</v>
      </c>
      <c r="BO295" s="66" t="s">
        <v>600</v>
      </c>
      <c r="BP295" s="66" t="s">
        <v>600</v>
      </c>
      <c r="BQ295" s="66" t="s">
        <v>600</v>
      </c>
      <c r="BR295" s="70" t="e">
        <f>IF(E295&lt;#REF!,1,0)</f>
        <v>#REF!</v>
      </c>
      <c r="BS295" s="68" t="s">
        <v>601</v>
      </c>
    </row>
    <row r="296" ht="15.6" spans="1:71">
      <c r="A296" s="53" t="s">
        <v>609</v>
      </c>
      <c r="B296" s="53" t="s">
        <v>27</v>
      </c>
      <c r="C296" s="171" t="s">
        <v>103</v>
      </c>
      <c r="D296" s="170" t="s">
        <v>684</v>
      </c>
      <c r="E296" s="179">
        <v>34.5</v>
      </c>
      <c r="F296" s="56">
        <v>49.99</v>
      </c>
      <c r="G296" s="59">
        <f t="shared" si="257"/>
        <v>49.99</v>
      </c>
      <c r="H296" s="59">
        <f t="shared" si="258"/>
        <v>41.6583333333333</v>
      </c>
      <c r="I296" s="59">
        <f t="shared" si="259"/>
        <v>11.1049144542773</v>
      </c>
      <c r="J296" s="60">
        <f t="shared" si="260"/>
        <v>0.321881578384849</v>
      </c>
      <c r="K296" s="57">
        <f t="shared" si="261"/>
        <v>41.6583333333333</v>
      </c>
      <c r="L296" s="163">
        <f t="shared" si="262"/>
        <v>0.171834366873375</v>
      </c>
      <c r="M296" s="59">
        <f t="shared" si="263"/>
        <v>7.15833333333334</v>
      </c>
      <c r="N296" s="57">
        <f t="shared" si="276"/>
        <v>87.646017699115</v>
      </c>
      <c r="O296" s="57">
        <f t="shared" si="264"/>
        <v>0.608333333333333</v>
      </c>
      <c r="P296" s="53">
        <v>30</v>
      </c>
      <c r="Q296" s="62">
        <v>8</v>
      </c>
      <c r="R296" s="63">
        <f t="shared" si="265"/>
        <v>0.144927536231884</v>
      </c>
      <c r="S296" s="60">
        <f t="shared" si="266"/>
        <v>0.1000200040008</v>
      </c>
      <c r="T296" s="63">
        <f t="shared" si="267"/>
        <v>0</v>
      </c>
      <c r="U296" s="63">
        <v>0.01</v>
      </c>
      <c r="V296" s="63">
        <f t="shared" si="268"/>
        <v>0.317558035141721</v>
      </c>
      <c r="W296" s="63">
        <f t="shared" si="269"/>
        <v>0.0176328502415459</v>
      </c>
      <c r="X296" s="61">
        <v>0.188</v>
      </c>
      <c r="Y296" s="64">
        <v>5</v>
      </c>
      <c r="Z296" s="64">
        <f>F296*0</f>
        <v>0</v>
      </c>
      <c r="AA296" s="64">
        <f t="shared" si="270"/>
        <v>0.345</v>
      </c>
      <c r="AB296" s="57">
        <f t="shared" si="271"/>
        <v>6.486</v>
      </c>
      <c r="AC296" s="57">
        <v>90</v>
      </c>
      <c r="AD296" s="65">
        <f t="shared" si="272"/>
        <v>79.646017699115</v>
      </c>
      <c r="AE296" s="62">
        <f t="shared" si="277"/>
        <v>1</v>
      </c>
      <c r="AF296" s="63">
        <f t="shared" si="273"/>
        <v>0.288572527895344</v>
      </c>
      <c r="AG296" s="63">
        <f t="shared" si="274"/>
        <v>0.0036231884057971</v>
      </c>
      <c r="AH296" s="62">
        <v>8</v>
      </c>
      <c r="AI296" s="63">
        <f t="shared" si="275"/>
        <v>0.32752950590118</v>
      </c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 t="s">
        <v>600</v>
      </c>
      <c r="AU296" s="66" t="s">
        <v>600</v>
      </c>
      <c r="AV296" s="66" t="s">
        <v>600</v>
      </c>
      <c r="AW296" s="66" t="s">
        <v>600</v>
      </c>
      <c r="AX296" s="66" t="s">
        <v>600</v>
      </c>
      <c r="AY296" s="66" t="s">
        <v>600</v>
      </c>
      <c r="AZ296" s="66" t="s">
        <v>600</v>
      </c>
      <c r="BA296" s="66" t="s">
        <v>600</v>
      </c>
      <c r="BB296" s="66" t="s">
        <v>600</v>
      </c>
      <c r="BC296" s="66" t="s">
        <v>600</v>
      </c>
      <c r="BD296" s="66" t="s">
        <v>600</v>
      </c>
      <c r="BE296" s="66" t="s">
        <v>600</v>
      </c>
      <c r="BF296" s="66" t="s">
        <v>600</v>
      </c>
      <c r="BG296" s="66" t="s">
        <v>600</v>
      </c>
      <c r="BH296" s="66" t="s">
        <v>600</v>
      </c>
      <c r="BI296" s="66" t="s">
        <v>600</v>
      </c>
      <c r="BJ296" s="66" t="s">
        <v>600</v>
      </c>
      <c r="BK296" s="66" t="s">
        <v>600</v>
      </c>
      <c r="BL296" s="66" t="s">
        <v>600</v>
      </c>
      <c r="BM296" s="66" t="s">
        <v>600</v>
      </c>
      <c r="BN296" s="66" t="s">
        <v>600</v>
      </c>
      <c r="BO296" s="66" t="s">
        <v>600</v>
      </c>
      <c r="BP296" s="66" t="s">
        <v>600</v>
      </c>
      <c r="BQ296" s="66" t="s">
        <v>600</v>
      </c>
      <c r="BR296" s="70" t="e">
        <f>IF(E296&lt;#REF!,1,0)</f>
        <v>#REF!</v>
      </c>
      <c r="BS296" s="68" t="s">
        <v>601</v>
      </c>
    </row>
    <row r="297" ht="15.6" spans="1:71">
      <c r="A297" s="53" t="s">
        <v>611</v>
      </c>
      <c r="B297" s="53" t="s">
        <v>27</v>
      </c>
      <c r="C297" s="171" t="s">
        <v>103</v>
      </c>
      <c r="D297" s="170" t="s">
        <v>685</v>
      </c>
      <c r="E297" s="179">
        <v>31</v>
      </c>
      <c r="F297" s="56">
        <v>44.99</v>
      </c>
      <c r="G297" s="59">
        <f t="shared" si="257"/>
        <v>44.99</v>
      </c>
      <c r="H297" s="59">
        <f t="shared" si="258"/>
        <v>37.4916666666667</v>
      </c>
      <c r="I297" s="59">
        <f t="shared" si="259"/>
        <v>8.19374778761062</v>
      </c>
      <c r="J297" s="60">
        <f t="shared" si="260"/>
        <v>0.264314444761633</v>
      </c>
      <c r="K297" s="57">
        <f t="shared" si="261"/>
        <v>37.4916666666667</v>
      </c>
      <c r="L297" s="163">
        <f t="shared" si="262"/>
        <v>0.173149588797511</v>
      </c>
      <c r="M297" s="59">
        <f t="shared" si="263"/>
        <v>6.49166666666667</v>
      </c>
      <c r="N297" s="57">
        <f t="shared" si="276"/>
        <v>87.646017699115</v>
      </c>
      <c r="O297" s="57">
        <f t="shared" si="264"/>
        <v>0.7125</v>
      </c>
      <c r="P297" s="53">
        <v>20</v>
      </c>
      <c r="Q297" s="62">
        <v>8</v>
      </c>
      <c r="R297" s="63">
        <f t="shared" si="265"/>
        <v>0.161290322580645</v>
      </c>
      <c r="S297" s="60">
        <f t="shared" si="266"/>
        <v>0.111135807957324</v>
      </c>
      <c r="T297" s="63">
        <f t="shared" si="267"/>
        <v>0</v>
      </c>
      <c r="U297" s="63">
        <v>0.01</v>
      </c>
      <c r="V297" s="63">
        <f t="shared" si="268"/>
        <v>0.35341136168998</v>
      </c>
      <c r="W297" s="63">
        <f t="shared" si="269"/>
        <v>0.0229838709677419</v>
      </c>
      <c r="X297" s="61">
        <v>0.188</v>
      </c>
      <c r="Y297" s="64">
        <v>5</v>
      </c>
      <c r="Z297" s="64">
        <f>F297*0</f>
        <v>0</v>
      </c>
      <c r="AA297" s="64">
        <f t="shared" si="270"/>
        <v>0.31</v>
      </c>
      <c r="AB297" s="57">
        <f t="shared" si="271"/>
        <v>5.828</v>
      </c>
      <c r="AC297" s="57">
        <v>90</v>
      </c>
      <c r="AD297" s="65">
        <f t="shared" si="272"/>
        <v>79.646017699115</v>
      </c>
      <c r="AE297" s="62">
        <f t="shared" si="277"/>
        <v>1</v>
      </c>
      <c r="AF297" s="63">
        <f t="shared" si="273"/>
        <v>0.321153297173851</v>
      </c>
      <c r="AG297" s="63">
        <f t="shared" si="274"/>
        <v>0.00403225806451613</v>
      </c>
      <c r="AH297" s="62">
        <v>8</v>
      </c>
      <c r="AI297" s="63">
        <f t="shared" si="275"/>
        <v>0.328597466103579</v>
      </c>
      <c r="AJ297" s="63"/>
      <c r="AK297" s="63"/>
      <c r="AL297" s="63"/>
      <c r="AM297" s="63"/>
      <c r="AN297" s="66"/>
      <c r="AO297" s="66"/>
      <c r="AP297" s="66"/>
      <c r="AQ297" s="66"/>
      <c r="AR297" s="66"/>
      <c r="AS297" s="66"/>
      <c r="AT297" s="66" t="s">
        <v>600</v>
      </c>
      <c r="AU297" s="66" t="s">
        <v>600</v>
      </c>
      <c r="AV297" s="66" t="s">
        <v>600</v>
      </c>
      <c r="AW297" s="66" t="s">
        <v>600</v>
      </c>
      <c r="AX297" s="66" t="s">
        <v>600</v>
      </c>
      <c r="AY297" s="66" t="s">
        <v>600</v>
      </c>
      <c r="AZ297" s="66" t="s">
        <v>600</v>
      </c>
      <c r="BA297" s="66" t="s">
        <v>600</v>
      </c>
      <c r="BB297" s="66" t="s">
        <v>600</v>
      </c>
      <c r="BC297" s="66" t="s">
        <v>600</v>
      </c>
      <c r="BD297" s="66" t="s">
        <v>600</v>
      </c>
      <c r="BE297" s="66" t="s">
        <v>600</v>
      </c>
      <c r="BF297" s="66" t="s">
        <v>600</v>
      </c>
      <c r="BG297" s="66" t="s">
        <v>600</v>
      </c>
      <c r="BH297" s="66" t="s">
        <v>600</v>
      </c>
      <c r="BI297" s="66" t="s">
        <v>600</v>
      </c>
      <c r="BJ297" s="66" t="s">
        <v>600</v>
      </c>
      <c r="BK297" s="66" t="s">
        <v>600</v>
      </c>
      <c r="BL297" s="66" t="s">
        <v>600</v>
      </c>
      <c r="BM297" s="66" t="s">
        <v>600</v>
      </c>
      <c r="BN297" s="66" t="s">
        <v>600</v>
      </c>
      <c r="BO297" s="66" t="s">
        <v>600</v>
      </c>
      <c r="BP297" s="66" t="s">
        <v>600</v>
      </c>
      <c r="BQ297" s="66" t="s">
        <v>600</v>
      </c>
      <c r="BR297" s="70" t="e">
        <f>IF(E297&lt;#REF!,1,0)</f>
        <v>#REF!</v>
      </c>
      <c r="BS297" s="68" t="s">
        <v>601</v>
      </c>
    </row>
    <row r="298" spans="1:71">
      <c r="G298" s="15"/>
      <c r="H298" s="15"/>
      <c r="S298" s="15"/>
      <c r="AE298" s="14"/>
      <c r="AI298" s="15"/>
    </row>
    <row r="299" ht="15.6" hidden="1" spans="1:71">
      <c r="A299" s="68" t="s">
        <v>300</v>
      </c>
      <c r="B299" s="53" t="s">
        <v>27</v>
      </c>
      <c r="C299" s="175" t="s">
        <v>106</v>
      </c>
      <c r="D299" s="183" t="s">
        <v>686</v>
      </c>
      <c r="E299" s="179">
        <v>20.6</v>
      </c>
      <c r="F299" s="167">
        <v>29.99</v>
      </c>
      <c r="G299" s="59">
        <f t="shared" ref="G299:G317" si="278">(F299-Z299)</f>
        <v>29.99</v>
      </c>
      <c r="H299" s="59">
        <f t="shared" ref="H299:H317" si="279">(F299-Z299)/1.2</f>
        <v>24.9916666666667</v>
      </c>
      <c r="I299" s="59">
        <f t="shared" ref="I299:I317" si="280">E299-N299/Q299-AB299-Y299-O299-Z299-AA299</f>
        <v>4.84268303834808</v>
      </c>
      <c r="J299" s="60">
        <f t="shared" ref="J299:J317" si="281">I299/E299</f>
        <v>0.235081700890684</v>
      </c>
      <c r="K299" s="57">
        <f t="shared" ref="K299:K317" si="282">F299/1.2</f>
        <v>24.9916666666667</v>
      </c>
      <c r="L299" s="163">
        <f t="shared" ref="L299:L317" si="283">(K299-E299)/K299</f>
        <v>0.175725241747249</v>
      </c>
      <c r="M299" s="59">
        <f t="shared" ref="M299:M317" si="284">F299/1.2-E299</f>
        <v>4.39166666666667</v>
      </c>
      <c r="N299" s="57">
        <f>AD299+AH300</f>
        <v>68.9469026548673</v>
      </c>
      <c r="O299" s="57">
        <f t="shared" ref="O299:O317" si="285">IFERROR(IF(A299="UK",8.95/P299,IF(A299="DE",7.75/P299,IF(A299="FR",14.25/P299,IF(A299="IT",15.25/P299,IF(A299="ES",19.25/P299,IF(A299="NL",16.75/P299,IF(A299="PL",14.05/P299,IF(A299="SE",18.25/P299,IF(A299="BE",14.25/P299))))))))),0)</f>
        <v>0.22375</v>
      </c>
      <c r="P299" s="68">
        <v>40</v>
      </c>
      <c r="Q299" s="62">
        <v>9</v>
      </c>
      <c r="R299" s="63">
        <f t="shared" ref="R299:R317" si="286">Y299/E299</f>
        <v>0.194174757281553</v>
      </c>
      <c r="S299" s="60">
        <f t="shared" ref="S299:S317" si="287">Y299/F299</f>
        <v>0.133377792597533</v>
      </c>
      <c r="T299" s="63">
        <f t="shared" ref="T299:T317" si="288">Z299/E299</f>
        <v>0</v>
      </c>
      <c r="U299" s="63">
        <v>0.01</v>
      </c>
      <c r="V299" s="63">
        <f t="shared" ref="V299:V317" si="289">N299/(E299*Q299)</f>
        <v>0.371881891342326</v>
      </c>
      <c r="W299" s="63">
        <f t="shared" ref="W299:W317" si="290">O299/E299</f>
        <v>0.0108616504854369</v>
      </c>
      <c r="X299" s="61">
        <v>0.178</v>
      </c>
      <c r="Y299" s="64">
        <v>4</v>
      </c>
      <c r="Z299" s="64">
        <v>0</v>
      </c>
      <c r="AA299" s="64">
        <f t="shared" ref="AA299:AA317" si="291">E299*U299</f>
        <v>0.206</v>
      </c>
      <c r="AB299" s="57">
        <f t="shared" ref="AB299:AB317" si="292">E299*X299</f>
        <v>3.6668</v>
      </c>
      <c r="AC299" s="57">
        <v>70</v>
      </c>
      <c r="AD299" s="65">
        <f t="shared" ref="AD299:AD317" si="293">AC299/1.13</f>
        <v>61.9469026548673</v>
      </c>
      <c r="AE299" s="62">
        <f>AH300/Q299</f>
        <v>0.777777777777778</v>
      </c>
      <c r="AF299" s="63">
        <f t="shared" ref="AF299:AF317" si="294">AD299/(E299*Q299)</f>
        <v>0.33412568853758</v>
      </c>
      <c r="AG299" s="63">
        <f t="shared" ref="AG299:AG317" si="295">AE299/Q299/E299</f>
        <v>0.00419513364497183</v>
      </c>
      <c r="AH299" s="62">
        <v>7</v>
      </c>
      <c r="AI299" s="63">
        <f t="shared" ref="AI299:AI317" si="296">(H299-E299+AB299)/H299</f>
        <v>0.322446148716239</v>
      </c>
      <c r="AJ299" s="63"/>
      <c r="AK299" s="63"/>
      <c r="AL299" s="63"/>
      <c r="AM299" s="63"/>
      <c r="AN299" s="66"/>
      <c r="AO299" s="66"/>
      <c r="AP299" s="66"/>
      <c r="AQ299" s="66"/>
      <c r="AR299" s="66"/>
      <c r="AS299" s="66"/>
      <c r="AT299" s="66" t="s">
        <v>600</v>
      </c>
      <c r="AU299" s="66" t="s">
        <v>600</v>
      </c>
      <c r="AV299" s="66" t="s">
        <v>600</v>
      </c>
      <c r="AW299" s="66" t="s">
        <v>600</v>
      </c>
      <c r="AX299" s="66" t="s">
        <v>600</v>
      </c>
      <c r="AY299" s="66" t="s">
        <v>600</v>
      </c>
      <c r="AZ299" s="66" t="s">
        <v>600</v>
      </c>
      <c r="BA299" s="66" t="s">
        <v>600</v>
      </c>
      <c r="BB299" s="66" t="s">
        <v>600</v>
      </c>
      <c r="BC299" s="66" t="s">
        <v>600</v>
      </c>
      <c r="BD299" s="66" t="s">
        <v>600</v>
      </c>
      <c r="BE299" s="66" t="s">
        <v>600</v>
      </c>
      <c r="BF299" s="66" t="s">
        <v>600</v>
      </c>
      <c r="BG299" s="66" t="s">
        <v>600</v>
      </c>
      <c r="BH299" s="66" t="s">
        <v>600</v>
      </c>
      <c r="BI299" s="66" t="s">
        <v>600</v>
      </c>
      <c r="BJ299" s="66" t="s">
        <v>600</v>
      </c>
      <c r="BK299" s="66" t="s">
        <v>600</v>
      </c>
      <c r="BL299" s="66" t="s">
        <v>600</v>
      </c>
      <c r="BM299" s="66" t="s">
        <v>600</v>
      </c>
      <c r="BN299" s="66" t="s">
        <v>600</v>
      </c>
      <c r="BO299" s="66" t="s">
        <v>600</v>
      </c>
      <c r="BP299" s="66" t="s">
        <v>600</v>
      </c>
      <c r="BQ299" s="66" t="s">
        <v>600</v>
      </c>
      <c r="BR299" s="164"/>
      <c r="BS299" s="68" t="s">
        <v>601</v>
      </c>
    </row>
    <row r="300" ht="15.6" hidden="1" spans="1:71">
      <c r="A300" s="68" t="s">
        <v>300</v>
      </c>
      <c r="B300" s="53" t="s">
        <v>27</v>
      </c>
      <c r="C300" s="171" t="s">
        <v>106</v>
      </c>
      <c r="D300" s="183" t="s">
        <v>687</v>
      </c>
      <c r="E300" s="179">
        <v>20.6</v>
      </c>
      <c r="F300" s="56">
        <v>29.99</v>
      </c>
      <c r="G300" s="59">
        <f t="shared" si="278"/>
        <v>26.991</v>
      </c>
      <c r="H300" s="59">
        <f t="shared" si="279"/>
        <v>22.4925</v>
      </c>
      <c r="I300" s="165">
        <f t="shared" si="280"/>
        <v>1.84368303834808</v>
      </c>
      <c r="J300" s="60">
        <f t="shared" si="281"/>
        <v>0.0894991766188389</v>
      </c>
      <c r="K300" s="57">
        <f t="shared" si="282"/>
        <v>24.9916666666667</v>
      </c>
      <c r="L300" s="163">
        <f t="shared" si="283"/>
        <v>0.175725241747249</v>
      </c>
      <c r="M300" s="59">
        <f t="shared" si="284"/>
        <v>4.39166666666667</v>
      </c>
      <c r="N300" s="57">
        <f>AD300+AH300</f>
        <v>68.9469026548673</v>
      </c>
      <c r="O300" s="57">
        <f t="shared" si="285"/>
        <v>0.22375</v>
      </c>
      <c r="P300" s="53">
        <v>40</v>
      </c>
      <c r="Q300" s="62">
        <v>9</v>
      </c>
      <c r="R300" s="63">
        <f t="shared" si="286"/>
        <v>0.194174757281553</v>
      </c>
      <c r="S300" s="60">
        <f t="shared" si="287"/>
        <v>0.133377792597533</v>
      </c>
      <c r="T300" s="63">
        <f t="shared" si="288"/>
        <v>0.145582524271845</v>
      </c>
      <c r="U300" s="63">
        <v>0.01</v>
      </c>
      <c r="V300" s="63">
        <f t="shared" si="289"/>
        <v>0.371881891342326</v>
      </c>
      <c r="W300" s="63">
        <f t="shared" si="290"/>
        <v>0.0108616504854369</v>
      </c>
      <c r="X300" s="61">
        <v>0.178</v>
      </c>
      <c r="Y300" s="64">
        <v>4</v>
      </c>
      <c r="Z300" s="64">
        <f>F300*0.1</f>
        <v>2.999</v>
      </c>
      <c r="AA300" s="64">
        <f t="shared" si="291"/>
        <v>0.206</v>
      </c>
      <c r="AB300" s="57">
        <f t="shared" si="292"/>
        <v>3.6668</v>
      </c>
      <c r="AC300" s="57">
        <v>70</v>
      </c>
      <c r="AD300" s="65">
        <f t="shared" si="293"/>
        <v>61.9469026548673</v>
      </c>
      <c r="AE300" s="62">
        <f>AH300/Q300</f>
        <v>0.777777777777778</v>
      </c>
      <c r="AF300" s="63">
        <f t="shared" si="294"/>
        <v>0.33412568853758</v>
      </c>
      <c r="AG300" s="63">
        <f t="shared" si="295"/>
        <v>0.00419513364497183</v>
      </c>
      <c r="AH300" s="62">
        <v>7</v>
      </c>
      <c r="AI300" s="63">
        <f t="shared" si="296"/>
        <v>0.247162387462487</v>
      </c>
      <c r="AJ300" s="63"/>
      <c r="AK300" s="63"/>
      <c r="AL300" s="63"/>
      <c r="AM300" s="63"/>
      <c r="AN300" s="66"/>
      <c r="AO300" s="66"/>
      <c r="AP300" s="66"/>
      <c r="AQ300" s="66"/>
      <c r="AR300" s="66"/>
      <c r="AS300" s="66"/>
      <c r="AT300" s="66" t="s">
        <v>600</v>
      </c>
      <c r="AU300" s="66" t="s">
        <v>600</v>
      </c>
      <c r="AV300" s="66" t="s">
        <v>600</v>
      </c>
      <c r="AW300" s="66" t="s">
        <v>600</v>
      </c>
      <c r="AX300" s="66" t="s">
        <v>600</v>
      </c>
      <c r="AY300" s="66" t="s">
        <v>600</v>
      </c>
      <c r="AZ300" s="66" t="s">
        <v>600</v>
      </c>
      <c r="BA300" s="66" t="s">
        <v>600</v>
      </c>
      <c r="BB300" s="66" t="s">
        <v>600</v>
      </c>
      <c r="BC300" s="66" t="s">
        <v>600</v>
      </c>
      <c r="BD300" s="66" t="s">
        <v>600</v>
      </c>
      <c r="BE300" s="66" t="s">
        <v>600</v>
      </c>
      <c r="BF300" s="66" t="s">
        <v>600</v>
      </c>
      <c r="BG300" s="66" t="s">
        <v>600</v>
      </c>
      <c r="BH300" s="66" t="s">
        <v>600</v>
      </c>
      <c r="BI300" s="66" t="s">
        <v>600</v>
      </c>
      <c r="BJ300" s="66" t="s">
        <v>600</v>
      </c>
      <c r="BK300" s="66" t="s">
        <v>600</v>
      </c>
      <c r="BL300" s="66" t="s">
        <v>600</v>
      </c>
      <c r="BM300" s="66" t="s">
        <v>600</v>
      </c>
      <c r="BN300" s="66" t="s">
        <v>600</v>
      </c>
      <c r="BO300" s="66" t="s">
        <v>600</v>
      </c>
      <c r="BP300" s="66" t="s">
        <v>600</v>
      </c>
      <c r="BQ300" s="66" t="s">
        <v>600</v>
      </c>
      <c r="BR300" s="164"/>
      <c r="BS300" s="68" t="s">
        <v>601</v>
      </c>
    </row>
    <row r="301" ht="15.6" hidden="1" spans="1:71">
      <c r="A301" s="68" t="s">
        <v>300</v>
      </c>
      <c r="B301" s="53" t="s">
        <v>27</v>
      </c>
      <c r="C301" s="171" t="s">
        <v>106</v>
      </c>
      <c r="D301" s="183" t="s">
        <v>688</v>
      </c>
      <c r="E301" s="179">
        <v>20.6</v>
      </c>
      <c r="F301" s="56">
        <v>29.99</v>
      </c>
      <c r="G301" s="59">
        <f t="shared" si="278"/>
        <v>25.4915</v>
      </c>
      <c r="H301" s="59">
        <f t="shared" si="279"/>
        <v>21.2429166666667</v>
      </c>
      <c r="I301" s="59">
        <f t="shared" si="280"/>
        <v>0.344183038348082</v>
      </c>
      <c r="J301" s="60">
        <f t="shared" si="281"/>
        <v>0.0167079144829166</v>
      </c>
      <c r="K301" s="57">
        <f t="shared" si="282"/>
        <v>24.9916666666667</v>
      </c>
      <c r="L301" s="163">
        <f t="shared" si="283"/>
        <v>0.175725241747249</v>
      </c>
      <c r="M301" s="59">
        <f t="shared" si="284"/>
        <v>4.39166666666667</v>
      </c>
      <c r="N301" s="57">
        <f>AD301+AH301</f>
        <v>68.9469026548673</v>
      </c>
      <c r="O301" s="57">
        <f t="shared" si="285"/>
        <v>0.22375</v>
      </c>
      <c r="P301" s="53">
        <v>40</v>
      </c>
      <c r="Q301" s="62">
        <v>9</v>
      </c>
      <c r="R301" s="63">
        <f t="shared" si="286"/>
        <v>0.194174757281553</v>
      </c>
      <c r="S301" s="60">
        <f t="shared" si="287"/>
        <v>0.133377792597533</v>
      </c>
      <c r="T301" s="63">
        <f t="shared" si="288"/>
        <v>0.218373786407767</v>
      </c>
      <c r="U301" s="63">
        <v>0.01</v>
      </c>
      <c r="V301" s="63">
        <f t="shared" si="289"/>
        <v>0.371881891342326</v>
      </c>
      <c r="W301" s="63">
        <f t="shared" si="290"/>
        <v>0.0108616504854369</v>
      </c>
      <c r="X301" s="61">
        <v>0.178</v>
      </c>
      <c r="Y301" s="64">
        <v>4</v>
      </c>
      <c r="Z301" s="64">
        <f>F301*0.15</f>
        <v>4.4985</v>
      </c>
      <c r="AA301" s="64">
        <f t="shared" si="291"/>
        <v>0.206</v>
      </c>
      <c r="AB301" s="57">
        <f t="shared" si="292"/>
        <v>3.6668</v>
      </c>
      <c r="AC301" s="57">
        <v>70</v>
      </c>
      <c r="AD301" s="65">
        <f t="shared" si="293"/>
        <v>61.9469026548673</v>
      </c>
      <c r="AE301" s="62">
        <f>AH301/Q301</f>
        <v>0.777777777777778</v>
      </c>
      <c r="AF301" s="63">
        <f t="shared" si="294"/>
        <v>0.33412568853758</v>
      </c>
      <c r="AG301" s="63">
        <f t="shared" si="295"/>
        <v>0.00419513364497183</v>
      </c>
      <c r="AH301" s="62">
        <v>7</v>
      </c>
      <c r="AI301" s="63">
        <f t="shared" si="296"/>
        <v>0.202877822019104</v>
      </c>
      <c r="AJ301" s="63"/>
      <c r="AK301" s="63"/>
      <c r="AL301" s="63"/>
      <c r="AM301" s="63"/>
      <c r="AN301" s="66"/>
      <c r="AO301" s="66"/>
      <c r="AP301" s="66"/>
      <c r="AQ301" s="66"/>
      <c r="AR301" s="66"/>
      <c r="AS301" s="66"/>
      <c r="AT301" s="66" t="s">
        <v>600</v>
      </c>
      <c r="AU301" s="66" t="s">
        <v>600</v>
      </c>
      <c r="AV301" s="66" t="s">
        <v>600</v>
      </c>
      <c r="AW301" s="66" t="s">
        <v>600</v>
      </c>
      <c r="AX301" s="66" t="s">
        <v>600</v>
      </c>
      <c r="AY301" s="66" t="s">
        <v>600</v>
      </c>
      <c r="AZ301" s="66" t="s">
        <v>600</v>
      </c>
      <c r="BA301" s="66" t="s">
        <v>600</v>
      </c>
      <c r="BB301" s="66" t="s">
        <v>600</v>
      </c>
      <c r="BC301" s="66" t="s">
        <v>600</v>
      </c>
      <c r="BD301" s="66" t="s">
        <v>600</v>
      </c>
      <c r="BE301" s="66" t="s">
        <v>600</v>
      </c>
      <c r="BF301" s="66" t="s">
        <v>600</v>
      </c>
      <c r="BG301" s="66" t="s">
        <v>600</v>
      </c>
      <c r="BH301" s="66" t="s">
        <v>600</v>
      </c>
      <c r="BI301" s="66" t="s">
        <v>600</v>
      </c>
      <c r="BJ301" s="66" t="s">
        <v>600</v>
      </c>
      <c r="BK301" s="66" t="s">
        <v>600</v>
      </c>
      <c r="BL301" s="66" t="s">
        <v>600</v>
      </c>
      <c r="BM301" s="66" t="s">
        <v>600</v>
      </c>
      <c r="BN301" s="66" t="s">
        <v>600</v>
      </c>
      <c r="BO301" s="66" t="s">
        <v>600</v>
      </c>
      <c r="BP301" s="66" t="s">
        <v>600</v>
      </c>
      <c r="BQ301" s="66" t="s">
        <v>600</v>
      </c>
      <c r="BR301" s="164"/>
      <c r="BS301" s="68" t="s">
        <v>601</v>
      </c>
    </row>
    <row r="302" ht="15.6" hidden="1" spans="1:71">
      <c r="A302" s="53" t="s">
        <v>277</v>
      </c>
      <c r="B302" s="53" t="s">
        <v>27</v>
      </c>
      <c r="C302" s="171" t="s">
        <v>106</v>
      </c>
      <c r="D302" s="183" t="s">
        <v>686</v>
      </c>
      <c r="E302" s="179">
        <v>24</v>
      </c>
      <c r="F302" s="167">
        <v>34.99</v>
      </c>
      <c r="G302" s="59">
        <f t="shared" si="278"/>
        <v>34.99</v>
      </c>
      <c r="H302" s="59">
        <f t="shared" si="279"/>
        <v>29.1583333333333</v>
      </c>
      <c r="I302" s="59">
        <f t="shared" si="280"/>
        <v>6.43588716814159</v>
      </c>
      <c r="J302" s="60">
        <f t="shared" si="281"/>
        <v>0.268161965339233</v>
      </c>
      <c r="K302" s="57">
        <f t="shared" si="282"/>
        <v>29.1583333333333</v>
      </c>
      <c r="L302" s="163">
        <f t="shared" si="283"/>
        <v>0.176907687910832</v>
      </c>
      <c r="M302" s="59">
        <f t="shared" si="284"/>
        <v>5.15833333333333</v>
      </c>
      <c r="N302" s="57">
        <f>AD302+AH303</f>
        <v>68.9469026548673</v>
      </c>
      <c r="O302" s="57">
        <f t="shared" si="285"/>
        <v>0.19375</v>
      </c>
      <c r="P302" s="53">
        <v>40</v>
      </c>
      <c r="Q302" s="62">
        <v>8</v>
      </c>
      <c r="R302" s="63">
        <f t="shared" si="286"/>
        <v>0.166666666666667</v>
      </c>
      <c r="S302" s="60">
        <f t="shared" si="287"/>
        <v>0.114318376679051</v>
      </c>
      <c r="T302" s="63">
        <f t="shared" si="288"/>
        <v>0</v>
      </c>
      <c r="U302" s="63">
        <v>0.01</v>
      </c>
      <c r="V302" s="63">
        <f t="shared" si="289"/>
        <v>0.359098451327434</v>
      </c>
      <c r="W302" s="63">
        <f t="shared" si="290"/>
        <v>0.00807291666666667</v>
      </c>
      <c r="X302" s="61">
        <v>0.188</v>
      </c>
      <c r="Y302" s="64">
        <v>4</v>
      </c>
      <c r="Z302" s="64">
        <v>0</v>
      </c>
      <c r="AA302" s="64">
        <f t="shared" si="291"/>
        <v>0.24</v>
      </c>
      <c r="AB302" s="57">
        <f t="shared" si="292"/>
        <v>4.512</v>
      </c>
      <c r="AC302" s="57">
        <v>70</v>
      </c>
      <c r="AD302" s="65">
        <f t="shared" si="293"/>
        <v>61.9469026548673</v>
      </c>
      <c r="AE302" s="62">
        <f>AH303/Q302</f>
        <v>0.875</v>
      </c>
      <c r="AF302" s="63">
        <f t="shared" si="294"/>
        <v>0.3226401179941</v>
      </c>
      <c r="AG302" s="63">
        <f t="shared" si="295"/>
        <v>0.00455729166666667</v>
      </c>
      <c r="AH302" s="62">
        <v>7</v>
      </c>
      <c r="AI302" s="63">
        <f t="shared" si="296"/>
        <v>0.331649042583595</v>
      </c>
      <c r="AJ302" s="63"/>
      <c r="AK302" s="63"/>
      <c r="AL302" s="63"/>
      <c r="AM302" s="63"/>
      <c r="AN302" s="66"/>
      <c r="AO302" s="66"/>
      <c r="AP302" s="66"/>
      <c r="AQ302" s="66"/>
      <c r="AR302" s="66"/>
      <c r="AS302" s="66"/>
      <c r="AT302" s="66" t="s">
        <v>600</v>
      </c>
      <c r="AU302" s="66" t="s">
        <v>600</v>
      </c>
      <c r="AV302" s="66" t="s">
        <v>600</v>
      </c>
      <c r="AW302" s="66" t="s">
        <v>600</v>
      </c>
      <c r="AX302" s="66" t="s">
        <v>600</v>
      </c>
      <c r="AY302" s="66" t="s">
        <v>600</v>
      </c>
      <c r="AZ302" s="66" t="s">
        <v>600</v>
      </c>
      <c r="BA302" s="66" t="s">
        <v>600</v>
      </c>
      <c r="BB302" s="66" t="s">
        <v>600</v>
      </c>
      <c r="BC302" s="66" t="s">
        <v>600</v>
      </c>
      <c r="BD302" s="66" t="s">
        <v>600</v>
      </c>
      <c r="BE302" s="66" t="s">
        <v>600</v>
      </c>
      <c r="BF302" s="66" t="s">
        <v>600</v>
      </c>
      <c r="BG302" s="66" t="s">
        <v>600</v>
      </c>
      <c r="BH302" s="66" t="s">
        <v>600</v>
      </c>
      <c r="BI302" s="66" t="s">
        <v>600</v>
      </c>
      <c r="BJ302" s="66" t="s">
        <v>600</v>
      </c>
      <c r="BK302" s="66" t="s">
        <v>600</v>
      </c>
      <c r="BL302" s="66" t="s">
        <v>600</v>
      </c>
      <c r="BM302" s="66" t="s">
        <v>600</v>
      </c>
      <c r="BN302" s="66" t="s">
        <v>600</v>
      </c>
      <c r="BO302" s="66" t="s">
        <v>600</v>
      </c>
      <c r="BP302" s="66" t="s">
        <v>600</v>
      </c>
      <c r="BQ302" s="66" t="s">
        <v>600</v>
      </c>
      <c r="BR302" s="164"/>
      <c r="BS302" s="68" t="s">
        <v>601</v>
      </c>
    </row>
    <row r="303" ht="15.6" hidden="1" spans="1:71">
      <c r="A303" s="53" t="s">
        <v>277</v>
      </c>
      <c r="B303" s="53" t="s">
        <v>27</v>
      </c>
      <c r="C303" s="171" t="s">
        <v>106</v>
      </c>
      <c r="D303" s="183" t="s">
        <v>687</v>
      </c>
      <c r="E303" s="179">
        <v>24</v>
      </c>
      <c r="F303" s="56">
        <v>34.99</v>
      </c>
      <c r="G303" s="59">
        <f t="shared" si="278"/>
        <v>31.491</v>
      </c>
      <c r="H303" s="59">
        <f t="shared" si="279"/>
        <v>26.2425</v>
      </c>
      <c r="I303" s="165">
        <f t="shared" si="280"/>
        <v>2.93688716814159</v>
      </c>
      <c r="J303" s="60">
        <f t="shared" si="281"/>
        <v>0.122370298672566</v>
      </c>
      <c r="K303" s="57">
        <f t="shared" si="282"/>
        <v>29.1583333333333</v>
      </c>
      <c r="L303" s="163">
        <f t="shared" si="283"/>
        <v>0.176907687910832</v>
      </c>
      <c r="M303" s="59">
        <f t="shared" si="284"/>
        <v>5.15833333333333</v>
      </c>
      <c r="N303" s="57">
        <f t="shared" ref="N303:N317" si="297">AD303+AH303</f>
        <v>68.9469026548673</v>
      </c>
      <c r="O303" s="57">
        <f t="shared" si="285"/>
        <v>0.19375</v>
      </c>
      <c r="P303" s="53">
        <v>40</v>
      </c>
      <c r="Q303" s="62">
        <v>8</v>
      </c>
      <c r="R303" s="63">
        <f t="shared" si="286"/>
        <v>0.166666666666667</v>
      </c>
      <c r="S303" s="60">
        <f t="shared" si="287"/>
        <v>0.114318376679051</v>
      </c>
      <c r="T303" s="63">
        <f t="shared" si="288"/>
        <v>0.145791666666667</v>
      </c>
      <c r="U303" s="63">
        <v>0.01</v>
      </c>
      <c r="V303" s="63">
        <f t="shared" si="289"/>
        <v>0.359098451327434</v>
      </c>
      <c r="W303" s="63">
        <f t="shared" si="290"/>
        <v>0.00807291666666667</v>
      </c>
      <c r="X303" s="61">
        <v>0.188</v>
      </c>
      <c r="Y303" s="64">
        <v>4</v>
      </c>
      <c r="Z303" s="64">
        <f>F303*0.1</f>
        <v>3.499</v>
      </c>
      <c r="AA303" s="64">
        <f t="shared" si="291"/>
        <v>0.24</v>
      </c>
      <c r="AB303" s="57">
        <f t="shared" si="292"/>
        <v>4.512</v>
      </c>
      <c r="AC303" s="57">
        <v>70</v>
      </c>
      <c r="AD303" s="65">
        <f t="shared" si="293"/>
        <v>61.9469026548673</v>
      </c>
      <c r="AE303" s="62">
        <f t="shared" ref="AE303:AE317" si="298">AH303/Q303</f>
        <v>0.875</v>
      </c>
      <c r="AF303" s="63">
        <f t="shared" si="294"/>
        <v>0.3226401179941</v>
      </c>
      <c r="AG303" s="63">
        <f t="shared" si="295"/>
        <v>0.00455729166666667</v>
      </c>
      <c r="AH303" s="62">
        <v>7</v>
      </c>
      <c r="AI303" s="63">
        <f t="shared" si="296"/>
        <v>0.257387825092884</v>
      </c>
      <c r="AJ303" s="63"/>
      <c r="AK303" s="63"/>
      <c r="AL303" s="63"/>
      <c r="AM303" s="63"/>
      <c r="AN303" s="66"/>
      <c r="AO303" s="66"/>
      <c r="AP303" s="66"/>
      <c r="AQ303" s="66"/>
      <c r="AR303" s="66"/>
      <c r="AS303" s="66"/>
      <c r="AT303" s="66" t="s">
        <v>600</v>
      </c>
      <c r="AU303" s="66" t="s">
        <v>600</v>
      </c>
      <c r="AV303" s="66" t="s">
        <v>600</v>
      </c>
      <c r="AW303" s="66" t="s">
        <v>600</v>
      </c>
      <c r="AX303" s="66" t="s">
        <v>600</v>
      </c>
      <c r="AY303" s="66" t="s">
        <v>600</v>
      </c>
      <c r="AZ303" s="66" t="s">
        <v>600</v>
      </c>
      <c r="BA303" s="66" t="s">
        <v>600</v>
      </c>
      <c r="BB303" s="66" t="s">
        <v>600</v>
      </c>
      <c r="BC303" s="66" t="s">
        <v>600</v>
      </c>
      <c r="BD303" s="66" t="s">
        <v>600</v>
      </c>
      <c r="BE303" s="66" t="s">
        <v>600</v>
      </c>
      <c r="BF303" s="66" t="s">
        <v>600</v>
      </c>
      <c r="BG303" s="66" t="s">
        <v>600</v>
      </c>
      <c r="BH303" s="66" t="s">
        <v>600</v>
      </c>
      <c r="BI303" s="66" t="s">
        <v>600</v>
      </c>
      <c r="BJ303" s="66" t="s">
        <v>600</v>
      </c>
      <c r="BK303" s="66" t="s">
        <v>600</v>
      </c>
      <c r="BL303" s="66" t="s">
        <v>600</v>
      </c>
      <c r="BM303" s="66" t="s">
        <v>600</v>
      </c>
      <c r="BN303" s="66" t="s">
        <v>600</v>
      </c>
      <c r="BO303" s="66" t="s">
        <v>600</v>
      </c>
      <c r="BP303" s="66" t="s">
        <v>600</v>
      </c>
      <c r="BQ303" s="66" t="s">
        <v>600</v>
      </c>
      <c r="BR303" s="164"/>
      <c r="BS303" s="68" t="s">
        <v>601</v>
      </c>
    </row>
    <row r="304" ht="15.6" hidden="1" spans="1:71">
      <c r="A304" s="53" t="s">
        <v>277</v>
      </c>
      <c r="B304" s="53" t="s">
        <v>27</v>
      </c>
      <c r="C304" s="171" t="s">
        <v>106</v>
      </c>
      <c r="D304" s="183" t="s">
        <v>688</v>
      </c>
      <c r="E304" s="179">
        <v>24</v>
      </c>
      <c r="F304" s="56">
        <v>34.99</v>
      </c>
      <c r="G304" s="59">
        <f t="shared" si="278"/>
        <v>29.7415</v>
      </c>
      <c r="H304" s="59">
        <f t="shared" si="279"/>
        <v>24.7845833333333</v>
      </c>
      <c r="I304" s="59">
        <f t="shared" si="280"/>
        <v>1.18738716814159</v>
      </c>
      <c r="J304" s="60">
        <f t="shared" si="281"/>
        <v>0.0494744653392329</v>
      </c>
      <c r="K304" s="57">
        <f t="shared" si="282"/>
        <v>29.1583333333333</v>
      </c>
      <c r="L304" s="163">
        <f t="shared" si="283"/>
        <v>0.176907687910832</v>
      </c>
      <c r="M304" s="59">
        <f t="shared" si="284"/>
        <v>5.15833333333333</v>
      </c>
      <c r="N304" s="57">
        <f t="shared" si="297"/>
        <v>68.9469026548673</v>
      </c>
      <c r="O304" s="57">
        <f t="shared" si="285"/>
        <v>0.19375</v>
      </c>
      <c r="P304" s="53">
        <v>40</v>
      </c>
      <c r="Q304" s="62">
        <v>8</v>
      </c>
      <c r="R304" s="63">
        <f t="shared" si="286"/>
        <v>0.166666666666667</v>
      </c>
      <c r="S304" s="60">
        <f t="shared" si="287"/>
        <v>0.114318376679051</v>
      </c>
      <c r="T304" s="63">
        <f t="shared" si="288"/>
        <v>0.2186875</v>
      </c>
      <c r="U304" s="63">
        <v>0.01</v>
      </c>
      <c r="V304" s="63">
        <f t="shared" si="289"/>
        <v>0.359098451327434</v>
      </c>
      <c r="W304" s="63">
        <f t="shared" si="290"/>
        <v>0.00807291666666667</v>
      </c>
      <c r="X304" s="61">
        <v>0.188</v>
      </c>
      <c r="Y304" s="64">
        <v>4</v>
      </c>
      <c r="Z304" s="64">
        <f>F304*0.15</f>
        <v>5.2485</v>
      </c>
      <c r="AA304" s="64">
        <f t="shared" si="291"/>
        <v>0.24</v>
      </c>
      <c r="AB304" s="57">
        <f t="shared" si="292"/>
        <v>4.512</v>
      </c>
      <c r="AC304" s="57">
        <v>70</v>
      </c>
      <c r="AD304" s="65">
        <f t="shared" si="293"/>
        <v>61.9469026548673</v>
      </c>
      <c r="AE304" s="62">
        <f t="shared" si="298"/>
        <v>0.875</v>
      </c>
      <c r="AF304" s="63">
        <f t="shared" si="294"/>
        <v>0.3226401179941</v>
      </c>
      <c r="AG304" s="63">
        <f t="shared" si="295"/>
        <v>0.00455729166666667</v>
      </c>
      <c r="AH304" s="62">
        <v>7</v>
      </c>
      <c r="AI304" s="63">
        <f t="shared" si="296"/>
        <v>0.213704755980701</v>
      </c>
      <c r="AJ304" s="63"/>
      <c r="AK304" s="63"/>
      <c r="AL304" s="63"/>
      <c r="AM304" s="63"/>
      <c r="AN304" s="66"/>
      <c r="AO304" s="66"/>
      <c r="AP304" s="66"/>
      <c r="AQ304" s="66"/>
      <c r="AR304" s="66"/>
      <c r="AS304" s="66"/>
      <c r="AT304" s="66" t="s">
        <v>600</v>
      </c>
      <c r="AU304" s="66" t="s">
        <v>600</v>
      </c>
      <c r="AV304" s="66" t="s">
        <v>600</v>
      </c>
      <c r="AW304" s="66" t="s">
        <v>600</v>
      </c>
      <c r="AX304" s="66" t="s">
        <v>600</v>
      </c>
      <c r="AY304" s="66" t="s">
        <v>600</v>
      </c>
      <c r="AZ304" s="66" t="s">
        <v>600</v>
      </c>
      <c r="BA304" s="66" t="s">
        <v>600</v>
      </c>
      <c r="BB304" s="66" t="s">
        <v>600</v>
      </c>
      <c r="BC304" s="66" t="s">
        <v>600</v>
      </c>
      <c r="BD304" s="66" t="s">
        <v>600</v>
      </c>
      <c r="BE304" s="66" t="s">
        <v>600</v>
      </c>
      <c r="BF304" s="66" t="s">
        <v>600</v>
      </c>
      <c r="BG304" s="66" t="s">
        <v>600</v>
      </c>
      <c r="BH304" s="66" t="s">
        <v>600</v>
      </c>
      <c r="BI304" s="66" t="s">
        <v>600</v>
      </c>
      <c r="BJ304" s="66" t="s">
        <v>600</v>
      </c>
      <c r="BK304" s="66" t="s">
        <v>600</v>
      </c>
      <c r="BL304" s="66" t="s">
        <v>600</v>
      </c>
      <c r="BM304" s="66" t="s">
        <v>600</v>
      </c>
      <c r="BN304" s="66" t="s">
        <v>600</v>
      </c>
      <c r="BO304" s="66" t="s">
        <v>600</v>
      </c>
      <c r="BP304" s="66" t="s">
        <v>600</v>
      </c>
      <c r="BQ304" s="66" t="s">
        <v>600</v>
      </c>
      <c r="BR304" s="164"/>
      <c r="BS304" s="68" t="s">
        <v>601</v>
      </c>
    </row>
    <row r="305" ht="15.6" hidden="1" spans="1:71">
      <c r="A305" s="53" t="s">
        <v>511</v>
      </c>
      <c r="B305" s="53" t="s">
        <v>27</v>
      </c>
      <c r="C305" s="171" t="s">
        <v>106</v>
      </c>
      <c r="D305" s="183" t="s">
        <v>686</v>
      </c>
      <c r="E305" s="179">
        <v>24</v>
      </c>
      <c r="F305" s="56">
        <v>34.99</v>
      </c>
      <c r="G305" s="59">
        <f t="shared" si="278"/>
        <v>34.99</v>
      </c>
      <c r="H305" s="59">
        <f t="shared" si="279"/>
        <v>29.1583333333333</v>
      </c>
      <c r="I305" s="59">
        <f t="shared" si="280"/>
        <v>6.27338716814159</v>
      </c>
      <c r="J305" s="60">
        <f t="shared" si="281"/>
        <v>0.2613911320059</v>
      </c>
      <c r="K305" s="57">
        <f t="shared" si="282"/>
        <v>29.1583333333333</v>
      </c>
      <c r="L305" s="163">
        <f t="shared" si="283"/>
        <v>0.176907687910832</v>
      </c>
      <c r="M305" s="59">
        <f t="shared" si="284"/>
        <v>5.15833333333333</v>
      </c>
      <c r="N305" s="57">
        <f t="shared" si="297"/>
        <v>68.9469026548673</v>
      </c>
      <c r="O305" s="57">
        <f t="shared" si="285"/>
        <v>0.35625</v>
      </c>
      <c r="P305" s="53">
        <v>40</v>
      </c>
      <c r="Q305" s="62">
        <v>8</v>
      </c>
      <c r="R305" s="63">
        <f t="shared" si="286"/>
        <v>0.166666666666667</v>
      </c>
      <c r="S305" s="60">
        <f t="shared" si="287"/>
        <v>0.114318376679051</v>
      </c>
      <c r="T305" s="63">
        <f t="shared" si="288"/>
        <v>0</v>
      </c>
      <c r="U305" s="63">
        <v>0.01</v>
      </c>
      <c r="V305" s="63">
        <f t="shared" si="289"/>
        <v>0.359098451327434</v>
      </c>
      <c r="W305" s="63">
        <f t="shared" si="290"/>
        <v>0.01484375</v>
      </c>
      <c r="X305" s="61">
        <v>0.188</v>
      </c>
      <c r="Y305" s="64">
        <v>4</v>
      </c>
      <c r="Z305" s="64">
        <v>0</v>
      </c>
      <c r="AA305" s="64">
        <f t="shared" si="291"/>
        <v>0.24</v>
      </c>
      <c r="AB305" s="57">
        <f t="shared" si="292"/>
        <v>4.512</v>
      </c>
      <c r="AC305" s="57">
        <v>70</v>
      </c>
      <c r="AD305" s="65">
        <f t="shared" si="293"/>
        <v>61.9469026548673</v>
      </c>
      <c r="AE305" s="62">
        <f t="shared" si="298"/>
        <v>0.875</v>
      </c>
      <c r="AF305" s="63">
        <f t="shared" si="294"/>
        <v>0.3226401179941</v>
      </c>
      <c r="AG305" s="63">
        <f t="shared" si="295"/>
        <v>0.00455729166666667</v>
      </c>
      <c r="AH305" s="62">
        <v>7</v>
      </c>
      <c r="AI305" s="63">
        <f t="shared" si="296"/>
        <v>0.331649042583595</v>
      </c>
      <c r="AJ305" s="63"/>
      <c r="AK305" s="63"/>
      <c r="AL305" s="63"/>
      <c r="AM305" s="63"/>
      <c r="AN305" s="66"/>
      <c r="AO305" s="66"/>
      <c r="AP305" s="66"/>
      <c r="AQ305" s="66"/>
      <c r="AR305" s="66"/>
      <c r="AS305" s="66"/>
      <c r="AT305" s="66" t="s">
        <v>600</v>
      </c>
      <c r="AU305" s="66" t="s">
        <v>600</v>
      </c>
      <c r="AV305" s="66" t="s">
        <v>600</v>
      </c>
      <c r="AW305" s="66" t="s">
        <v>600</v>
      </c>
      <c r="AX305" s="66" t="s">
        <v>600</v>
      </c>
      <c r="AY305" s="66" t="s">
        <v>600</v>
      </c>
      <c r="AZ305" s="66" t="s">
        <v>600</v>
      </c>
      <c r="BA305" s="66" t="s">
        <v>600</v>
      </c>
      <c r="BB305" s="66" t="s">
        <v>600</v>
      </c>
      <c r="BC305" s="66" t="s">
        <v>600</v>
      </c>
      <c r="BD305" s="66" t="s">
        <v>600</v>
      </c>
      <c r="BE305" s="66" t="s">
        <v>600</v>
      </c>
      <c r="BF305" s="66" t="s">
        <v>600</v>
      </c>
      <c r="BG305" s="66" t="s">
        <v>600</v>
      </c>
      <c r="BH305" s="66" t="s">
        <v>600</v>
      </c>
      <c r="BI305" s="66" t="s">
        <v>600</v>
      </c>
      <c r="BJ305" s="66" t="s">
        <v>600</v>
      </c>
      <c r="BK305" s="66" t="s">
        <v>600</v>
      </c>
      <c r="BL305" s="66" t="s">
        <v>600</v>
      </c>
      <c r="BM305" s="66" t="s">
        <v>600</v>
      </c>
      <c r="BN305" s="66" t="s">
        <v>600</v>
      </c>
      <c r="BO305" s="66" t="s">
        <v>600</v>
      </c>
      <c r="BP305" s="66" t="s">
        <v>600</v>
      </c>
      <c r="BQ305" s="66" t="s">
        <v>600</v>
      </c>
      <c r="BR305" s="164"/>
      <c r="BS305" s="68" t="s">
        <v>601</v>
      </c>
    </row>
    <row r="306" ht="15.6" hidden="1" spans="1:71">
      <c r="A306" s="53" t="s">
        <v>511</v>
      </c>
      <c r="B306" s="53" t="s">
        <v>27</v>
      </c>
      <c r="C306" s="171" t="s">
        <v>106</v>
      </c>
      <c r="D306" s="183" t="s">
        <v>687</v>
      </c>
      <c r="E306" s="179">
        <v>24</v>
      </c>
      <c r="F306" s="56">
        <v>34.99</v>
      </c>
      <c r="G306" s="59">
        <f t="shared" si="278"/>
        <v>31.491</v>
      </c>
      <c r="H306" s="59">
        <f t="shared" si="279"/>
        <v>26.2425</v>
      </c>
      <c r="I306" s="165">
        <f t="shared" si="280"/>
        <v>2.77438716814159</v>
      </c>
      <c r="J306" s="60">
        <f t="shared" si="281"/>
        <v>0.115599465339233</v>
      </c>
      <c r="K306" s="57">
        <f t="shared" si="282"/>
        <v>29.1583333333333</v>
      </c>
      <c r="L306" s="163">
        <f t="shared" si="283"/>
        <v>0.176907687910832</v>
      </c>
      <c r="M306" s="59">
        <f t="shared" si="284"/>
        <v>5.15833333333333</v>
      </c>
      <c r="N306" s="57">
        <f t="shared" si="297"/>
        <v>68.9469026548673</v>
      </c>
      <c r="O306" s="57">
        <f t="shared" si="285"/>
        <v>0.35625</v>
      </c>
      <c r="P306" s="53">
        <v>40</v>
      </c>
      <c r="Q306" s="62">
        <v>8</v>
      </c>
      <c r="R306" s="63">
        <f t="shared" si="286"/>
        <v>0.166666666666667</v>
      </c>
      <c r="S306" s="60">
        <f t="shared" si="287"/>
        <v>0.114318376679051</v>
      </c>
      <c r="T306" s="63">
        <f t="shared" si="288"/>
        <v>0.145791666666667</v>
      </c>
      <c r="U306" s="63">
        <v>0.01</v>
      </c>
      <c r="V306" s="63">
        <f t="shared" si="289"/>
        <v>0.359098451327434</v>
      </c>
      <c r="W306" s="63">
        <f t="shared" si="290"/>
        <v>0.01484375</v>
      </c>
      <c r="X306" s="61">
        <v>0.188</v>
      </c>
      <c r="Y306" s="64">
        <v>4</v>
      </c>
      <c r="Z306" s="64">
        <f>F306*0.1</f>
        <v>3.499</v>
      </c>
      <c r="AA306" s="64">
        <f t="shared" si="291"/>
        <v>0.24</v>
      </c>
      <c r="AB306" s="57">
        <f t="shared" si="292"/>
        <v>4.512</v>
      </c>
      <c r="AC306" s="57">
        <v>70</v>
      </c>
      <c r="AD306" s="65">
        <f t="shared" si="293"/>
        <v>61.9469026548673</v>
      </c>
      <c r="AE306" s="62">
        <f t="shared" si="298"/>
        <v>0.875</v>
      </c>
      <c r="AF306" s="63">
        <f t="shared" si="294"/>
        <v>0.3226401179941</v>
      </c>
      <c r="AG306" s="63">
        <f t="shared" si="295"/>
        <v>0.00455729166666667</v>
      </c>
      <c r="AH306" s="62">
        <v>7</v>
      </c>
      <c r="AI306" s="63">
        <f t="shared" si="296"/>
        <v>0.257387825092884</v>
      </c>
      <c r="AJ306" s="63"/>
      <c r="AK306" s="63"/>
      <c r="AL306" s="63"/>
      <c r="AM306" s="63"/>
      <c r="AN306" s="66"/>
      <c r="AO306" s="66"/>
      <c r="AP306" s="66"/>
      <c r="AQ306" s="66"/>
      <c r="AR306" s="66"/>
      <c r="AS306" s="66"/>
      <c r="AT306" s="66" t="s">
        <v>600</v>
      </c>
      <c r="AU306" s="66" t="s">
        <v>600</v>
      </c>
      <c r="AV306" s="66" t="s">
        <v>600</v>
      </c>
      <c r="AW306" s="66" t="s">
        <v>600</v>
      </c>
      <c r="AX306" s="66" t="s">
        <v>600</v>
      </c>
      <c r="AY306" s="66" t="s">
        <v>600</v>
      </c>
      <c r="AZ306" s="66" t="s">
        <v>600</v>
      </c>
      <c r="BA306" s="66" t="s">
        <v>600</v>
      </c>
      <c r="BB306" s="66" t="s">
        <v>600</v>
      </c>
      <c r="BC306" s="66" t="s">
        <v>600</v>
      </c>
      <c r="BD306" s="66" t="s">
        <v>600</v>
      </c>
      <c r="BE306" s="66" t="s">
        <v>600</v>
      </c>
      <c r="BF306" s="66" t="s">
        <v>600</v>
      </c>
      <c r="BG306" s="66" t="s">
        <v>600</v>
      </c>
      <c r="BH306" s="66" t="s">
        <v>600</v>
      </c>
      <c r="BI306" s="66" t="s">
        <v>600</v>
      </c>
      <c r="BJ306" s="66" t="s">
        <v>600</v>
      </c>
      <c r="BK306" s="66" t="s">
        <v>600</v>
      </c>
      <c r="BL306" s="66" t="s">
        <v>600</v>
      </c>
      <c r="BM306" s="66" t="s">
        <v>600</v>
      </c>
      <c r="BN306" s="66" t="s">
        <v>600</v>
      </c>
      <c r="BO306" s="66" t="s">
        <v>600</v>
      </c>
      <c r="BP306" s="66" t="s">
        <v>600</v>
      </c>
      <c r="BQ306" s="66" t="s">
        <v>600</v>
      </c>
      <c r="BR306" s="164"/>
      <c r="BS306" s="68" t="s">
        <v>601</v>
      </c>
    </row>
    <row r="307" ht="15.6" hidden="1" spans="1:71">
      <c r="A307" s="53" t="s">
        <v>511</v>
      </c>
      <c r="B307" s="53" t="s">
        <v>27</v>
      </c>
      <c r="C307" s="171" t="s">
        <v>106</v>
      </c>
      <c r="D307" s="183" t="s">
        <v>688</v>
      </c>
      <c r="E307" s="179">
        <v>24</v>
      </c>
      <c r="F307" s="56">
        <v>34.99</v>
      </c>
      <c r="G307" s="59">
        <f t="shared" si="278"/>
        <v>29.7415</v>
      </c>
      <c r="H307" s="59">
        <f t="shared" si="279"/>
        <v>24.7845833333333</v>
      </c>
      <c r="I307" s="59">
        <f t="shared" si="280"/>
        <v>1.02488716814159</v>
      </c>
      <c r="J307" s="60">
        <f t="shared" si="281"/>
        <v>0.0427036320058996</v>
      </c>
      <c r="K307" s="57">
        <f t="shared" si="282"/>
        <v>29.1583333333333</v>
      </c>
      <c r="L307" s="163">
        <f t="shared" si="283"/>
        <v>0.176907687910832</v>
      </c>
      <c r="M307" s="59">
        <f t="shared" si="284"/>
        <v>5.15833333333333</v>
      </c>
      <c r="N307" s="57">
        <f t="shared" si="297"/>
        <v>68.9469026548673</v>
      </c>
      <c r="O307" s="57">
        <f t="shared" si="285"/>
        <v>0.35625</v>
      </c>
      <c r="P307" s="53">
        <v>40</v>
      </c>
      <c r="Q307" s="62">
        <v>8</v>
      </c>
      <c r="R307" s="63">
        <f t="shared" si="286"/>
        <v>0.166666666666667</v>
      </c>
      <c r="S307" s="60">
        <f t="shared" si="287"/>
        <v>0.114318376679051</v>
      </c>
      <c r="T307" s="63">
        <f t="shared" si="288"/>
        <v>0.2186875</v>
      </c>
      <c r="U307" s="63">
        <v>0.01</v>
      </c>
      <c r="V307" s="63">
        <f t="shared" si="289"/>
        <v>0.359098451327434</v>
      </c>
      <c r="W307" s="63">
        <f t="shared" si="290"/>
        <v>0.01484375</v>
      </c>
      <c r="X307" s="61">
        <v>0.188</v>
      </c>
      <c r="Y307" s="64">
        <v>4</v>
      </c>
      <c r="Z307" s="64">
        <f>F307*0.15</f>
        <v>5.2485</v>
      </c>
      <c r="AA307" s="64">
        <f t="shared" si="291"/>
        <v>0.24</v>
      </c>
      <c r="AB307" s="57">
        <f t="shared" si="292"/>
        <v>4.512</v>
      </c>
      <c r="AC307" s="57">
        <v>70</v>
      </c>
      <c r="AD307" s="65">
        <f t="shared" si="293"/>
        <v>61.9469026548673</v>
      </c>
      <c r="AE307" s="62">
        <f t="shared" si="298"/>
        <v>0.875</v>
      </c>
      <c r="AF307" s="63">
        <f t="shared" si="294"/>
        <v>0.3226401179941</v>
      </c>
      <c r="AG307" s="63">
        <f t="shared" si="295"/>
        <v>0.00455729166666667</v>
      </c>
      <c r="AH307" s="62">
        <v>7</v>
      </c>
      <c r="AI307" s="63">
        <f t="shared" si="296"/>
        <v>0.213704755980701</v>
      </c>
      <c r="AJ307" s="63"/>
      <c r="AK307" s="63"/>
      <c r="AL307" s="63"/>
      <c r="AM307" s="63"/>
      <c r="AN307" s="66"/>
      <c r="AO307" s="66"/>
      <c r="AP307" s="66"/>
      <c r="AQ307" s="66"/>
      <c r="AR307" s="66"/>
      <c r="AS307" s="66"/>
      <c r="AT307" s="66" t="s">
        <v>600</v>
      </c>
      <c r="AU307" s="66" t="s">
        <v>600</v>
      </c>
      <c r="AV307" s="66" t="s">
        <v>600</v>
      </c>
      <c r="AW307" s="66" t="s">
        <v>600</v>
      </c>
      <c r="AX307" s="66" t="s">
        <v>600</v>
      </c>
      <c r="AY307" s="66" t="s">
        <v>600</v>
      </c>
      <c r="AZ307" s="66" t="s">
        <v>600</v>
      </c>
      <c r="BA307" s="66" t="s">
        <v>600</v>
      </c>
      <c r="BB307" s="66" t="s">
        <v>600</v>
      </c>
      <c r="BC307" s="66" t="s">
        <v>600</v>
      </c>
      <c r="BD307" s="66" t="s">
        <v>600</v>
      </c>
      <c r="BE307" s="66" t="s">
        <v>600</v>
      </c>
      <c r="BF307" s="66" t="s">
        <v>600</v>
      </c>
      <c r="BG307" s="66" t="s">
        <v>600</v>
      </c>
      <c r="BH307" s="66" t="s">
        <v>600</v>
      </c>
      <c r="BI307" s="66" t="s">
        <v>600</v>
      </c>
      <c r="BJ307" s="66" t="s">
        <v>600</v>
      </c>
      <c r="BK307" s="66" t="s">
        <v>600</v>
      </c>
      <c r="BL307" s="66" t="s">
        <v>600</v>
      </c>
      <c r="BM307" s="66" t="s">
        <v>600</v>
      </c>
      <c r="BN307" s="66" t="s">
        <v>600</v>
      </c>
      <c r="BO307" s="66" t="s">
        <v>600</v>
      </c>
      <c r="BP307" s="66" t="s">
        <v>600</v>
      </c>
      <c r="BQ307" s="66" t="s">
        <v>600</v>
      </c>
      <c r="BR307" s="164"/>
      <c r="BS307" s="68" t="s">
        <v>601</v>
      </c>
    </row>
    <row r="308" ht="15.6" hidden="1" spans="1:71">
      <c r="A308" s="53" t="s">
        <v>513</v>
      </c>
      <c r="B308" s="53" t="s">
        <v>27</v>
      </c>
      <c r="C308" s="171" t="s">
        <v>106</v>
      </c>
      <c r="D308" s="183" t="s">
        <v>686</v>
      </c>
      <c r="E308" s="179">
        <v>24</v>
      </c>
      <c r="F308" s="56">
        <v>34.99</v>
      </c>
      <c r="G308" s="59">
        <f t="shared" si="278"/>
        <v>34.99</v>
      </c>
      <c r="H308" s="59">
        <f t="shared" si="279"/>
        <v>29.1583333333333</v>
      </c>
      <c r="I308" s="59">
        <f t="shared" si="280"/>
        <v>6.24838716814159</v>
      </c>
      <c r="J308" s="60">
        <f t="shared" si="281"/>
        <v>0.260349465339233</v>
      </c>
      <c r="K308" s="57">
        <f t="shared" si="282"/>
        <v>29.1583333333333</v>
      </c>
      <c r="L308" s="163">
        <f t="shared" si="283"/>
        <v>0.176907687910832</v>
      </c>
      <c r="M308" s="59">
        <f t="shared" si="284"/>
        <v>5.15833333333333</v>
      </c>
      <c r="N308" s="57">
        <f t="shared" si="297"/>
        <v>68.9469026548673</v>
      </c>
      <c r="O308" s="57">
        <f t="shared" si="285"/>
        <v>0.38125</v>
      </c>
      <c r="P308" s="53">
        <v>40</v>
      </c>
      <c r="Q308" s="62">
        <v>8</v>
      </c>
      <c r="R308" s="63">
        <f t="shared" si="286"/>
        <v>0.166666666666667</v>
      </c>
      <c r="S308" s="60">
        <f t="shared" si="287"/>
        <v>0.114318376679051</v>
      </c>
      <c r="T308" s="63">
        <f t="shared" si="288"/>
        <v>0</v>
      </c>
      <c r="U308" s="63">
        <v>0.01</v>
      </c>
      <c r="V308" s="63">
        <f t="shared" si="289"/>
        <v>0.359098451327434</v>
      </c>
      <c r="W308" s="63">
        <f t="shared" si="290"/>
        <v>0.0158854166666667</v>
      </c>
      <c r="X308" s="61">
        <v>0.188</v>
      </c>
      <c r="Y308" s="64">
        <v>4</v>
      </c>
      <c r="Z308" s="64">
        <v>0</v>
      </c>
      <c r="AA308" s="64">
        <f t="shared" si="291"/>
        <v>0.24</v>
      </c>
      <c r="AB308" s="57">
        <f t="shared" si="292"/>
        <v>4.512</v>
      </c>
      <c r="AC308" s="57">
        <v>70</v>
      </c>
      <c r="AD308" s="65">
        <f t="shared" si="293"/>
        <v>61.9469026548673</v>
      </c>
      <c r="AE308" s="62">
        <f t="shared" si="298"/>
        <v>0.875</v>
      </c>
      <c r="AF308" s="63">
        <f t="shared" si="294"/>
        <v>0.3226401179941</v>
      </c>
      <c r="AG308" s="63">
        <f t="shared" si="295"/>
        <v>0.00455729166666667</v>
      </c>
      <c r="AH308" s="62">
        <v>7</v>
      </c>
      <c r="AI308" s="60">
        <f t="shared" si="296"/>
        <v>0.331649042583595</v>
      </c>
      <c r="AJ308" s="60"/>
      <c r="AK308" s="60"/>
      <c r="AL308" s="60"/>
      <c r="AM308" s="60"/>
      <c r="AN308" s="66"/>
      <c r="AO308" s="66"/>
      <c r="AP308" s="66"/>
      <c r="AQ308" s="66"/>
      <c r="AR308" s="66"/>
      <c r="AS308" s="66"/>
      <c r="AT308" s="66" t="s">
        <v>600</v>
      </c>
      <c r="AU308" s="66" t="s">
        <v>600</v>
      </c>
      <c r="AV308" s="66" t="s">
        <v>600</v>
      </c>
      <c r="AW308" s="66" t="s">
        <v>600</v>
      </c>
      <c r="AX308" s="66" t="s">
        <v>600</v>
      </c>
      <c r="AY308" s="66" t="s">
        <v>600</v>
      </c>
      <c r="AZ308" s="66" t="s">
        <v>600</v>
      </c>
      <c r="BA308" s="66" t="s">
        <v>600</v>
      </c>
      <c r="BB308" s="66" t="s">
        <v>600</v>
      </c>
      <c r="BC308" s="66" t="s">
        <v>600</v>
      </c>
      <c r="BD308" s="66" t="s">
        <v>600</v>
      </c>
      <c r="BE308" s="66" t="s">
        <v>600</v>
      </c>
      <c r="BF308" s="66" t="s">
        <v>600</v>
      </c>
      <c r="BG308" s="66" t="s">
        <v>600</v>
      </c>
      <c r="BH308" s="66" t="s">
        <v>600</v>
      </c>
      <c r="BI308" s="66" t="s">
        <v>600</v>
      </c>
      <c r="BJ308" s="66" t="s">
        <v>600</v>
      </c>
      <c r="BK308" s="66" t="s">
        <v>600</v>
      </c>
      <c r="BL308" s="66" t="s">
        <v>600</v>
      </c>
      <c r="BM308" s="66" t="s">
        <v>600</v>
      </c>
      <c r="BN308" s="66" t="s">
        <v>600</v>
      </c>
      <c r="BO308" s="66" t="s">
        <v>600</v>
      </c>
      <c r="BP308" s="66" t="s">
        <v>600</v>
      </c>
      <c r="BQ308" s="66" t="s">
        <v>600</v>
      </c>
      <c r="BR308" s="164"/>
      <c r="BS308" s="68" t="s">
        <v>601</v>
      </c>
    </row>
    <row r="309" ht="15.6" hidden="1" spans="1:71">
      <c r="A309" s="53" t="s">
        <v>513</v>
      </c>
      <c r="B309" s="53" t="s">
        <v>27</v>
      </c>
      <c r="C309" s="171" t="s">
        <v>106</v>
      </c>
      <c r="D309" s="183" t="s">
        <v>687</v>
      </c>
      <c r="E309" s="179">
        <v>24</v>
      </c>
      <c r="F309" s="56">
        <v>34.99</v>
      </c>
      <c r="G309" s="59">
        <f t="shared" si="278"/>
        <v>31.491</v>
      </c>
      <c r="H309" s="59">
        <f t="shared" si="279"/>
        <v>26.2425</v>
      </c>
      <c r="I309" s="165">
        <f t="shared" si="280"/>
        <v>2.74938716814159</v>
      </c>
      <c r="J309" s="60">
        <f t="shared" si="281"/>
        <v>0.114557798672566</v>
      </c>
      <c r="K309" s="57">
        <f t="shared" si="282"/>
        <v>29.1583333333333</v>
      </c>
      <c r="L309" s="163">
        <f t="shared" si="283"/>
        <v>0.176907687910832</v>
      </c>
      <c r="M309" s="59">
        <f t="shared" si="284"/>
        <v>5.15833333333333</v>
      </c>
      <c r="N309" s="57">
        <f t="shared" si="297"/>
        <v>68.9469026548673</v>
      </c>
      <c r="O309" s="57">
        <f t="shared" si="285"/>
        <v>0.38125</v>
      </c>
      <c r="P309" s="53">
        <v>40</v>
      </c>
      <c r="Q309" s="62">
        <v>8</v>
      </c>
      <c r="R309" s="63">
        <f t="shared" si="286"/>
        <v>0.166666666666667</v>
      </c>
      <c r="S309" s="60">
        <f t="shared" si="287"/>
        <v>0.114318376679051</v>
      </c>
      <c r="T309" s="63">
        <f t="shared" si="288"/>
        <v>0.145791666666667</v>
      </c>
      <c r="U309" s="63">
        <v>0.01</v>
      </c>
      <c r="V309" s="63">
        <f t="shared" si="289"/>
        <v>0.359098451327434</v>
      </c>
      <c r="W309" s="63">
        <f t="shared" si="290"/>
        <v>0.0158854166666667</v>
      </c>
      <c r="X309" s="61">
        <v>0.188</v>
      </c>
      <c r="Y309" s="64">
        <v>4</v>
      </c>
      <c r="Z309" s="64">
        <f>F309*0.1</f>
        <v>3.499</v>
      </c>
      <c r="AA309" s="64">
        <f t="shared" si="291"/>
        <v>0.24</v>
      </c>
      <c r="AB309" s="57">
        <f t="shared" si="292"/>
        <v>4.512</v>
      </c>
      <c r="AC309" s="57">
        <v>70</v>
      </c>
      <c r="AD309" s="65">
        <f t="shared" si="293"/>
        <v>61.9469026548673</v>
      </c>
      <c r="AE309" s="62">
        <f t="shared" si="298"/>
        <v>0.875</v>
      </c>
      <c r="AF309" s="63">
        <f t="shared" si="294"/>
        <v>0.3226401179941</v>
      </c>
      <c r="AG309" s="63">
        <f t="shared" si="295"/>
        <v>0.00455729166666667</v>
      </c>
      <c r="AH309" s="62">
        <v>7</v>
      </c>
      <c r="AI309" s="60">
        <f t="shared" si="296"/>
        <v>0.257387825092884</v>
      </c>
      <c r="AJ309" s="60"/>
      <c r="AK309" s="60"/>
      <c r="AL309" s="60"/>
      <c r="AM309" s="60"/>
      <c r="AN309" s="66"/>
      <c r="AO309" s="66"/>
      <c r="AP309" s="66"/>
      <c r="AQ309" s="66"/>
      <c r="AR309" s="66"/>
      <c r="AS309" s="66"/>
      <c r="AT309" s="66" t="s">
        <v>600</v>
      </c>
      <c r="AU309" s="66" t="s">
        <v>600</v>
      </c>
      <c r="AV309" s="66" t="s">
        <v>600</v>
      </c>
      <c r="AW309" s="66" t="s">
        <v>600</v>
      </c>
      <c r="AX309" s="66" t="s">
        <v>600</v>
      </c>
      <c r="AY309" s="66" t="s">
        <v>600</v>
      </c>
      <c r="AZ309" s="66" t="s">
        <v>600</v>
      </c>
      <c r="BA309" s="66" t="s">
        <v>600</v>
      </c>
      <c r="BB309" s="66" t="s">
        <v>600</v>
      </c>
      <c r="BC309" s="66" t="s">
        <v>600</v>
      </c>
      <c r="BD309" s="66" t="s">
        <v>600</v>
      </c>
      <c r="BE309" s="66" t="s">
        <v>600</v>
      </c>
      <c r="BF309" s="66" t="s">
        <v>600</v>
      </c>
      <c r="BG309" s="66" t="s">
        <v>600</v>
      </c>
      <c r="BH309" s="66" t="s">
        <v>600</v>
      </c>
      <c r="BI309" s="66" t="s">
        <v>600</v>
      </c>
      <c r="BJ309" s="66" t="s">
        <v>600</v>
      </c>
      <c r="BK309" s="66" t="s">
        <v>600</v>
      </c>
      <c r="BL309" s="66" t="s">
        <v>600</v>
      </c>
      <c r="BM309" s="66" t="s">
        <v>600</v>
      </c>
      <c r="BN309" s="66" t="s">
        <v>600</v>
      </c>
      <c r="BO309" s="66" t="s">
        <v>600</v>
      </c>
      <c r="BP309" s="66" t="s">
        <v>600</v>
      </c>
      <c r="BQ309" s="66" t="s">
        <v>600</v>
      </c>
      <c r="BR309" s="164"/>
      <c r="BS309" s="68" t="s">
        <v>601</v>
      </c>
    </row>
    <row r="310" ht="15.6" hidden="1" spans="1:71">
      <c r="A310" s="53" t="s">
        <v>513</v>
      </c>
      <c r="B310" s="53" t="s">
        <v>27</v>
      </c>
      <c r="C310" s="171" t="s">
        <v>106</v>
      </c>
      <c r="D310" s="183" t="s">
        <v>688</v>
      </c>
      <c r="E310" s="179">
        <v>24</v>
      </c>
      <c r="F310" s="56">
        <v>34.99</v>
      </c>
      <c r="G310" s="59">
        <f t="shared" si="278"/>
        <v>29.7415</v>
      </c>
      <c r="H310" s="59">
        <f t="shared" si="279"/>
        <v>24.7845833333333</v>
      </c>
      <c r="I310" s="59">
        <f t="shared" si="280"/>
        <v>0.999887168141591</v>
      </c>
      <c r="J310" s="60">
        <f t="shared" si="281"/>
        <v>0.0416619653392329</v>
      </c>
      <c r="K310" s="57">
        <f t="shared" si="282"/>
        <v>29.1583333333333</v>
      </c>
      <c r="L310" s="163">
        <f t="shared" si="283"/>
        <v>0.176907687910832</v>
      </c>
      <c r="M310" s="59">
        <f t="shared" si="284"/>
        <v>5.15833333333333</v>
      </c>
      <c r="N310" s="57">
        <f t="shared" si="297"/>
        <v>68.9469026548673</v>
      </c>
      <c r="O310" s="57">
        <f t="shared" si="285"/>
        <v>0.38125</v>
      </c>
      <c r="P310" s="53">
        <v>40</v>
      </c>
      <c r="Q310" s="62">
        <v>8</v>
      </c>
      <c r="R310" s="63">
        <f t="shared" si="286"/>
        <v>0.166666666666667</v>
      </c>
      <c r="S310" s="60">
        <f t="shared" si="287"/>
        <v>0.114318376679051</v>
      </c>
      <c r="T310" s="63">
        <f t="shared" si="288"/>
        <v>0.2186875</v>
      </c>
      <c r="U310" s="63">
        <v>0.01</v>
      </c>
      <c r="V310" s="63">
        <f t="shared" si="289"/>
        <v>0.359098451327434</v>
      </c>
      <c r="W310" s="63">
        <f t="shared" si="290"/>
        <v>0.0158854166666667</v>
      </c>
      <c r="X310" s="61">
        <v>0.188</v>
      </c>
      <c r="Y310" s="64">
        <v>4</v>
      </c>
      <c r="Z310" s="64">
        <f>F310*0.15</f>
        <v>5.2485</v>
      </c>
      <c r="AA310" s="64">
        <f t="shared" si="291"/>
        <v>0.24</v>
      </c>
      <c r="AB310" s="57">
        <f t="shared" si="292"/>
        <v>4.512</v>
      </c>
      <c r="AC310" s="57">
        <v>70</v>
      </c>
      <c r="AD310" s="65">
        <f t="shared" si="293"/>
        <v>61.9469026548673</v>
      </c>
      <c r="AE310" s="62">
        <f t="shared" si="298"/>
        <v>0.875</v>
      </c>
      <c r="AF310" s="63">
        <f t="shared" si="294"/>
        <v>0.3226401179941</v>
      </c>
      <c r="AG310" s="63">
        <f t="shared" si="295"/>
        <v>0.00455729166666667</v>
      </c>
      <c r="AH310" s="62">
        <v>7</v>
      </c>
      <c r="AI310" s="60">
        <f t="shared" si="296"/>
        <v>0.213704755980701</v>
      </c>
      <c r="AJ310" s="60"/>
      <c r="AK310" s="60"/>
      <c r="AL310" s="60"/>
      <c r="AM310" s="60"/>
      <c r="AN310" s="66"/>
      <c r="AO310" s="66"/>
      <c r="AP310" s="66"/>
      <c r="AQ310" s="66"/>
      <c r="AR310" s="66"/>
      <c r="AS310" s="66"/>
      <c r="AT310" s="66" t="s">
        <v>600</v>
      </c>
      <c r="AU310" s="66" t="s">
        <v>600</v>
      </c>
      <c r="AV310" s="66" t="s">
        <v>600</v>
      </c>
      <c r="AW310" s="66" t="s">
        <v>600</v>
      </c>
      <c r="AX310" s="66" t="s">
        <v>600</v>
      </c>
      <c r="AY310" s="66" t="s">
        <v>600</v>
      </c>
      <c r="AZ310" s="66" t="s">
        <v>600</v>
      </c>
      <c r="BA310" s="66" t="s">
        <v>600</v>
      </c>
      <c r="BB310" s="66" t="s">
        <v>600</v>
      </c>
      <c r="BC310" s="66" t="s">
        <v>600</v>
      </c>
      <c r="BD310" s="66" t="s">
        <v>600</v>
      </c>
      <c r="BE310" s="66" t="s">
        <v>600</v>
      </c>
      <c r="BF310" s="66" t="s">
        <v>600</v>
      </c>
      <c r="BG310" s="66" t="s">
        <v>600</v>
      </c>
      <c r="BH310" s="66" t="s">
        <v>600</v>
      </c>
      <c r="BI310" s="66" t="s">
        <v>600</v>
      </c>
      <c r="BJ310" s="66" t="s">
        <v>600</v>
      </c>
      <c r="BK310" s="66" t="s">
        <v>600</v>
      </c>
      <c r="BL310" s="66" t="s">
        <v>600</v>
      </c>
      <c r="BM310" s="66" t="s">
        <v>600</v>
      </c>
      <c r="BN310" s="66" t="s">
        <v>600</v>
      </c>
      <c r="BO310" s="66" t="s">
        <v>600</v>
      </c>
      <c r="BP310" s="66" t="s">
        <v>600</v>
      </c>
      <c r="BQ310" s="66" t="s">
        <v>600</v>
      </c>
      <c r="BR310" s="164"/>
      <c r="BS310" s="68" t="s">
        <v>601</v>
      </c>
    </row>
    <row r="311" ht="15.6" hidden="1" spans="1:71">
      <c r="A311" s="53" t="s">
        <v>516</v>
      </c>
      <c r="B311" s="53" t="s">
        <v>27</v>
      </c>
      <c r="C311" s="171" t="s">
        <v>106</v>
      </c>
      <c r="D311" s="183" t="s">
        <v>686</v>
      </c>
      <c r="E311" s="179">
        <v>24</v>
      </c>
      <c r="F311" s="56">
        <v>34.99</v>
      </c>
      <c r="G311" s="59">
        <f t="shared" si="278"/>
        <v>34.99</v>
      </c>
      <c r="H311" s="59">
        <f t="shared" si="279"/>
        <v>29.1583333333333</v>
      </c>
      <c r="I311" s="59">
        <f t="shared" si="280"/>
        <v>6.14838716814159</v>
      </c>
      <c r="J311" s="60">
        <f t="shared" si="281"/>
        <v>0.256182798672566</v>
      </c>
      <c r="K311" s="57">
        <f t="shared" si="282"/>
        <v>29.1583333333333</v>
      </c>
      <c r="L311" s="163">
        <f t="shared" si="283"/>
        <v>0.176907687910832</v>
      </c>
      <c r="M311" s="59">
        <f t="shared" si="284"/>
        <v>5.15833333333333</v>
      </c>
      <c r="N311" s="57">
        <f t="shared" si="297"/>
        <v>68.9469026548673</v>
      </c>
      <c r="O311" s="57">
        <f t="shared" si="285"/>
        <v>0.48125</v>
      </c>
      <c r="P311" s="53">
        <v>40</v>
      </c>
      <c r="Q311" s="62">
        <v>8</v>
      </c>
      <c r="R311" s="63">
        <f t="shared" si="286"/>
        <v>0.166666666666667</v>
      </c>
      <c r="S311" s="60">
        <f t="shared" si="287"/>
        <v>0.114318376679051</v>
      </c>
      <c r="T311" s="63">
        <f t="shared" si="288"/>
        <v>0</v>
      </c>
      <c r="U311" s="63">
        <v>0.01</v>
      </c>
      <c r="V311" s="63">
        <f t="shared" si="289"/>
        <v>0.359098451327434</v>
      </c>
      <c r="W311" s="63">
        <f t="shared" si="290"/>
        <v>0.0200520833333333</v>
      </c>
      <c r="X311" s="61">
        <v>0.188</v>
      </c>
      <c r="Y311" s="64">
        <v>4</v>
      </c>
      <c r="Z311" s="64">
        <v>0</v>
      </c>
      <c r="AA311" s="64">
        <f t="shared" si="291"/>
        <v>0.24</v>
      </c>
      <c r="AB311" s="57">
        <f t="shared" si="292"/>
        <v>4.512</v>
      </c>
      <c r="AC311" s="57">
        <v>70</v>
      </c>
      <c r="AD311" s="65">
        <f t="shared" si="293"/>
        <v>61.9469026548673</v>
      </c>
      <c r="AE311" s="62">
        <f t="shared" si="298"/>
        <v>0.875</v>
      </c>
      <c r="AF311" s="63">
        <f t="shared" si="294"/>
        <v>0.3226401179941</v>
      </c>
      <c r="AG311" s="63">
        <f t="shared" si="295"/>
        <v>0.00455729166666667</v>
      </c>
      <c r="AH311" s="62">
        <v>7</v>
      </c>
      <c r="AI311" s="63">
        <f t="shared" si="296"/>
        <v>0.331649042583595</v>
      </c>
      <c r="AJ311" s="63"/>
      <c r="AK311" s="63"/>
      <c r="AL311" s="63"/>
      <c r="AM311" s="63"/>
      <c r="AN311" s="66"/>
      <c r="AO311" s="66"/>
      <c r="AP311" s="66"/>
      <c r="AQ311" s="66"/>
      <c r="AR311" s="66"/>
      <c r="AS311" s="66"/>
      <c r="AT311" s="66" t="s">
        <v>600</v>
      </c>
      <c r="AU311" s="66" t="s">
        <v>600</v>
      </c>
      <c r="AV311" s="66" t="s">
        <v>600</v>
      </c>
      <c r="AW311" s="66" t="s">
        <v>600</v>
      </c>
      <c r="AX311" s="66" t="s">
        <v>600</v>
      </c>
      <c r="AY311" s="66" t="s">
        <v>600</v>
      </c>
      <c r="AZ311" s="66" t="s">
        <v>600</v>
      </c>
      <c r="BA311" s="66" t="s">
        <v>600</v>
      </c>
      <c r="BB311" s="66" t="s">
        <v>600</v>
      </c>
      <c r="BC311" s="66" t="s">
        <v>600</v>
      </c>
      <c r="BD311" s="66" t="s">
        <v>600</v>
      </c>
      <c r="BE311" s="66" t="s">
        <v>600</v>
      </c>
      <c r="BF311" s="66" t="s">
        <v>600</v>
      </c>
      <c r="BG311" s="66" t="s">
        <v>600</v>
      </c>
      <c r="BH311" s="66" t="s">
        <v>600</v>
      </c>
      <c r="BI311" s="66" t="s">
        <v>600</v>
      </c>
      <c r="BJ311" s="66" t="s">
        <v>600</v>
      </c>
      <c r="BK311" s="66" t="s">
        <v>600</v>
      </c>
      <c r="BL311" s="66" t="s">
        <v>600</v>
      </c>
      <c r="BM311" s="66" t="s">
        <v>600</v>
      </c>
      <c r="BN311" s="66" t="s">
        <v>600</v>
      </c>
      <c r="BO311" s="66" t="s">
        <v>600</v>
      </c>
      <c r="BP311" s="66" t="s">
        <v>600</v>
      </c>
      <c r="BQ311" s="66" t="s">
        <v>600</v>
      </c>
      <c r="BR311" s="164"/>
      <c r="BS311" s="68" t="s">
        <v>601</v>
      </c>
    </row>
    <row r="312" ht="15.6" hidden="1" spans="1:71">
      <c r="A312" s="53" t="s">
        <v>516</v>
      </c>
      <c r="B312" s="53" t="s">
        <v>27</v>
      </c>
      <c r="C312" s="171" t="s">
        <v>106</v>
      </c>
      <c r="D312" s="183" t="s">
        <v>687</v>
      </c>
      <c r="E312" s="179">
        <v>24</v>
      </c>
      <c r="F312" s="56">
        <v>34.99</v>
      </c>
      <c r="G312" s="59">
        <f t="shared" si="278"/>
        <v>31.491</v>
      </c>
      <c r="H312" s="59">
        <f t="shared" si="279"/>
        <v>26.2425</v>
      </c>
      <c r="I312" s="165">
        <f t="shared" si="280"/>
        <v>2.64938716814159</v>
      </c>
      <c r="J312" s="60">
        <f t="shared" si="281"/>
        <v>0.1103911320059</v>
      </c>
      <c r="K312" s="57">
        <f t="shared" si="282"/>
        <v>29.1583333333333</v>
      </c>
      <c r="L312" s="163">
        <f t="shared" si="283"/>
        <v>0.176907687910832</v>
      </c>
      <c r="M312" s="59">
        <f t="shared" si="284"/>
        <v>5.15833333333333</v>
      </c>
      <c r="N312" s="57">
        <f t="shared" si="297"/>
        <v>68.9469026548673</v>
      </c>
      <c r="O312" s="57">
        <f t="shared" si="285"/>
        <v>0.48125</v>
      </c>
      <c r="P312" s="53">
        <v>40</v>
      </c>
      <c r="Q312" s="62">
        <v>8</v>
      </c>
      <c r="R312" s="63">
        <f t="shared" si="286"/>
        <v>0.166666666666667</v>
      </c>
      <c r="S312" s="60">
        <f t="shared" si="287"/>
        <v>0.114318376679051</v>
      </c>
      <c r="T312" s="63">
        <f t="shared" si="288"/>
        <v>0.145791666666667</v>
      </c>
      <c r="U312" s="63">
        <v>0.01</v>
      </c>
      <c r="V312" s="63">
        <f t="shared" si="289"/>
        <v>0.359098451327434</v>
      </c>
      <c r="W312" s="63">
        <f t="shared" si="290"/>
        <v>0.0200520833333333</v>
      </c>
      <c r="X312" s="61">
        <v>0.188</v>
      </c>
      <c r="Y312" s="64">
        <v>4</v>
      </c>
      <c r="Z312" s="64">
        <f>F312*0.1</f>
        <v>3.499</v>
      </c>
      <c r="AA312" s="64">
        <f t="shared" si="291"/>
        <v>0.24</v>
      </c>
      <c r="AB312" s="57">
        <f t="shared" si="292"/>
        <v>4.512</v>
      </c>
      <c r="AC312" s="57">
        <v>70</v>
      </c>
      <c r="AD312" s="65">
        <f t="shared" si="293"/>
        <v>61.9469026548673</v>
      </c>
      <c r="AE312" s="62">
        <f t="shared" si="298"/>
        <v>0.875</v>
      </c>
      <c r="AF312" s="63">
        <f t="shared" si="294"/>
        <v>0.3226401179941</v>
      </c>
      <c r="AG312" s="63">
        <f t="shared" si="295"/>
        <v>0.00455729166666667</v>
      </c>
      <c r="AH312" s="62">
        <v>7</v>
      </c>
      <c r="AI312" s="63">
        <f t="shared" si="296"/>
        <v>0.257387825092884</v>
      </c>
      <c r="AJ312" s="63"/>
      <c r="AK312" s="63"/>
      <c r="AL312" s="63"/>
      <c r="AM312" s="63"/>
      <c r="AN312" s="66"/>
      <c r="AO312" s="66"/>
      <c r="AP312" s="66"/>
      <c r="AQ312" s="66"/>
      <c r="AR312" s="66"/>
      <c r="AS312" s="66"/>
      <c r="AT312" s="66" t="s">
        <v>600</v>
      </c>
      <c r="AU312" s="66" t="s">
        <v>600</v>
      </c>
      <c r="AV312" s="66" t="s">
        <v>600</v>
      </c>
      <c r="AW312" s="66" t="s">
        <v>600</v>
      </c>
      <c r="AX312" s="66" t="s">
        <v>600</v>
      </c>
      <c r="AY312" s="66" t="s">
        <v>600</v>
      </c>
      <c r="AZ312" s="66" t="s">
        <v>600</v>
      </c>
      <c r="BA312" s="66" t="s">
        <v>600</v>
      </c>
      <c r="BB312" s="66" t="s">
        <v>600</v>
      </c>
      <c r="BC312" s="66" t="s">
        <v>600</v>
      </c>
      <c r="BD312" s="66" t="s">
        <v>600</v>
      </c>
      <c r="BE312" s="66" t="s">
        <v>600</v>
      </c>
      <c r="BF312" s="66" t="s">
        <v>600</v>
      </c>
      <c r="BG312" s="66" t="s">
        <v>600</v>
      </c>
      <c r="BH312" s="66" t="s">
        <v>600</v>
      </c>
      <c r="BI312" s="66" t="s">
        <v>600</v>
      </c>
      <c r="BJ312" s="66" t="s">
        <v>600</v>
      </c>
      <c r="BK312" s="66" t="s">
        <v>600</v>
      </c>
      <c r="BL312" s="66" t="s">
        <v>600</v>
      </c>
      <c r="BM312" s="66" t="s">
        <v>600</v>
      </c>
      <c r="BN312" s="66" t="s">
        <v>600</v>
      </c>
      <c r="BO312" s="66" t="s">
        <v>600</v>
      </c>
      <c r="BP312" s="66" t="s">
        <v>600</v>
      </c>
      <c r="BQ312" s="66" t="s">
        <v>600</v>
      </c>
      <c r="BR312" s="164"/>
      <c r="BS312" s="68" t="s">
        <v>601</v>
      </c>
    </row>
    <row r="313" ht="15.6" hidden="1" spans="1:71">
      <c r="A313" s="53" t="s">
        <v>516</v>
      </c>
      <c r="B313" s="53" t="s">
        <v>27</v>
      </c>
      <c r="C313" s="171" t="s">
        <v>106</v>
      </c>
      <c r="D313" s="183" t="s">
        <v>688</v>
      </c>
      <c r="E313" s="179">
        <v>24</v>
      </c>
      <c r="F313" s="56">
        <v>34.99</v>
      </c>
      <c r="G313" s="59">
        <f t="shared" si="278"/>
        <v>29.7415</v>
      </c>
      <c r="H313" s="59">
        <f t="shared" si="279"/>
        <v>24.7845833333333</v>
      </c>
      <c r="I313" s="59">
        <f t="shared" si="280"/>
        <v>0.89988716814159</v>
      </c>
      <c r="J313" s="60">
        <f t="shared" si="281"/>
        <v>0.0374952986725663</v>
      </c>
      <c r="K313" s="57">
        <f t="shared" si="282"/>
        <v>29.1583333333333</v>
      </c>
      <c r="L313" s="163">
        <f t="shared" si="283"/>
        <v>0.176907687910832</v>
      </c>
      <c r="M313" s="59">
        <f t="shared" si="284"/>
        <v>5.15833333333333</v>
      </c>
      <c r="N313" s="57">
        <f t="shared" si="297"/>
        <v>68.9469026548673</v>
      </c>
      <c r="O313" s="57">
        <f t="shared" si="285"/>
        <v>0.48125</v>
      </c>
      <c r="P313" s="53">
        <v>40</v>
      </c>
      <c r="Q313" s="62">
        <v>8</v>
      </c>
      <c r="R313" s="63">
        <f t="shared" si="286"/>
        <v>0.166666666666667</v>
      </c>
      <c r="S313" s="60">
        <f t="shared" si="287"/>
        <v>0.114318376679051</v>
      </c>
      <c r="T313" s="63">
        <f t="shared" si="288"/>
        <v>0.2186875</v>
      </c>
      <c r="U313" s="63">
        <v>0.01</v>
      </c>
      <c r="V313" s="63">
        <f t="shared" si="289"/>
        <v>0.359098451327434</v>
      </c>
      <c r="W313" s="63">
        <f t="shared" si="290"/>
        <v>0.0200520833333333</v>
      </c>
      <c r="X313" s="61">
        <v>0.188</v>
      </c>
      <c r="Y313" s="64">
        <v>4</v>
      </c>
      <c r="Z313" s="64">
        <f>F313*0.15</f>
        <v>5.2485</v>
      </c>
      <c r="AA313" s="64">
        <f t="shared" si="291"/>
        <v>0.24</v>
      </c>
      <c r="AB313" s="57">
        <f t="shared" si="292"/>
        <v>4.512</v>
      </c>
      <c r="AC313" s="57">
        <v>70</v>
      </c>
      <c r="AD313" s="65">
        <f t="shared" si="293"/>
        <v>61.9469026548673</v>
      </c>
      <c r="AE313" s="62">
        <f t="shared" si="298"/>
        <v>0.875</v>
      </c>
      <c r="AF313" s="63">
        <f t="shared" si="294"/>
        <v>0.3226401179941</v>
      </c>
      <c r="AG313" s="63">
        <f t="shared" si="295"/>
        <v>0.00455729166666667</v>
      </c>
      <c r="AH313" s="62">
        <v>7</v>
      </c>
      <c r="AI313" s="63">
        <f t="shared" si="296"/>
        <v>0.213704755980701</v>
      </c>
      <c r="AJ313" s="63"/>
      <c r="AK313" s="63"/>
      <c r="AL313" s="63"/>
      <c r="AM313" s="63"/>
      <c r="AN313" s="66"/>
      <c r="AO313" s="66"/>
      <c r="AP313" s="66"/>
      <c r="AQ313" s="66"/>
      <c r="AR313" s="66"/>
      <c r="AS313" s="66"/>
      <c r="AT313" s="66" t="s">
        <v>600</v>
      </c>
      <c r="AU313" s="66" t="s">
        <v>600</v>
      </c>
      <c r="AV313" s="66" t="s">
        <v>600</v>
      </c>
      <c r="AW313" s="66" t="s">
        <v>600</v>
      </c>
      <c r="AX313" s="66" t="s">
        <v>600</v>
      </c>
      <c r="AY313" s="66" t="s">
        <v>600</v>
      </c>
      <c r="AZ313" s="66" t="s">
        <v>600</v>
      </c>
      <c r="BA313" s="66" t="s">
        <v>600</v>
      </c>
      <c r="BB313" s="66" t="s">
        <v>600</v>
      </c>
      <c r="BC313" s="66" t="s">
        <v>600</v>
      </c>
      <c r="BD313" s="66" t="s">
        <v>600</v>
      </c>
      <c r="BE313" s="66" t="s">
        <v>600</v>
      </c>
      <c r="BF313" s="66" t="s">
        <v>600</v>
      </c>
      <c r="BG313" s="66" t="s">
        <v>600</v>
      </c>
      <c r="BH313" s="66" t="s">
        <v>600</v>
      </c>
      <c r="BI313" s="66" t="s">
        <v>600</v>
      </c>
      <c r="BJ313" s="66" t="s">
        <v>600</v>
      </c>
      <c r="BK313" s="66" t="s">
        <v>600</v>
      </c>
      <c r="BL313" s="66" t="s">
        <v>600</v>
      </c>
      <c r="BM313" s="66" t="s">
        <v>600</v>
      </c>
      <c r="BN313" s="66" t="s">
        <v>600</v>
      </c>
      <c r="BO313" s="66" t="s">
        <v>600</v>
      </c>
      <c r="BP313" s="66" t="s">
        <v>600</v>
      </c>
      <c r="BQ313" s="66" t="s">
        <v>600</v>
      </c>
      <c r="BR313" s="164"/>
      <c r="BS313" s="68" t="s">
        <v>601</v>
      </c>
    </row>
    <row r="314" ht="15.6" hidden="1" spans="1:71">
      <c r="A314" s="53" t="s">
        <v>605</v>
      </c>
      <c r="B314" s="53" t="s">
        <v>27</v>
      </c>
      <c r="C314" s="171" t="s">
        <v>106</v>
      </c>
      <c r="D314" s="170" t="s">
        <v>689</v>
      </c>
      <c r="E314" s="179">
        <v>24</v>
      </c>
      <c r="F314" s="56">
        <v>34.99</v>
      </c>
      <c r="G314" s="59">
        <f t="shared" si="278"/>
        <v>34.99</v>
      </c>
      <c r="H314" s="59">
        <f t="shared" si="279"/>
        <v>29.1583333333333</v>
      </c>
      <c r="I314" s="59">
        <f t="shared" si="280"/>
        <v>6.21088716814159</v>
      </c>
      <c r="J314" s="60">
        <f t="shared" si="281"/>
        <v>0.258786965339233</v>
      </c>
      <c r="K314" s="57">
        <f t="shared" si="282"/>
        <v>29.1583333333333</v>
      </c>
      <c r="L314" s="163">
        <f t="shared" si="283"/>
        <v>0.176907687910832</v>
      </c>
      <c r="M314" s="59">
        <f t="shared" si="284"/>
        <v>5.15833333333333</v>
      </c>
      <c r="N314" s="57">
        <f t="shared" si="297"/>
        <v>68.9469026548673</v>
      </c>
      <c r="O314" s="57">
        <f t="shared" si="285"/>
        <v>0.41875</v>
      </c>
      <c r="P314" s="53">
        <v>40</v>
      </c>
      <c r="Q314" s="62">
        <v>8</v>
      </c>
      <c r="R314" s="63">
        <f t="shared" si="286"/>
        <v>0.166666666666667</v>
      </c>
      <c r="S314" s="60">
        <f t="shared" si="287"/>
        <v>0.114318376679051</v>
      </c>
      <c r="T314" s="63">
        <f t="shared" si="288"/>
        <v>0</v>
      </c>
      <c r="U314" s="63">
        <v>0.01</v>
      </c>
      <c r="V314" s="63">
        <f t="shared" si="289"/>
        <v>0.359098451327434</v>
      </c>
      <c r="W314" s="63">
        <f t="shared" si="290"/>
        <v>0.0174479166666667</v>
      </c>
      <c r="X314" s="61">
        <v>0.188</v>
      </c>
      <c r="Y314" s="64">
        <v>4</v>
      </c>
      <c r="Z314" s="64">
        <f>F314*0</f>
        <v>0</v>
      </c>
      <c r="AA314" s="64">
        <f t="shared" si="291"/>
        <v>0.24</v>
      </c>
      <c r="AB314" s="57">
        <f t="shared" si="292"/>
        <v>4.512</v>
      </c>
      <c r="AC314" s="57">
        <v>70</v>
      </c>
      <c r="AD314" s="65">
        <f t="shared" si="293"/>
        <v>61.9469026548673</v>
      </c>
      <c r="AE314" s="62">
        <f t="shared" si="298"/>
        <v>0.875</v>
      </c>
      <c r="AF314" s="63">
        <f t="shared" si="294"/>
        <v>0.3226401179941</v>
      </c>
      <c r="AG314" s="63">
        <f t="shared" si="295"/>
        <v>0.00455729166666667</v>
      </c>
      <c r="AH314" s="62">
        <v>7</v>
      </c>
      <c r="AI314" s="63">
        <f t="shared" si="296"/>
        <v>0.331649042583595</v>
      </c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 t="s">
        <v>600</v>
      </c>
      <c r="AU314" s="66" t="s">
        <v>600</v>
      </c>
      <c r="AV314" s="66" t="s">
        <v>600</v>
      </c>
      <c r="AW314" s="66" t="s">
        <v>600</v>
      </c>
      <c r="AX314" s="66" t="s">
        <v>600</v>
      </c>
      <c r="AY314" s="66" t="s">
        <v>600</v>
      </c>
      <c r="AZ314" s="66" t="s">
        <v>600</v>
      </c>
      <c r="BA314" s="66" t="s">
        <v>600</v>
      </c>
      <c r="BB314" s="66" t="s">
        <v>600</v>
      </c>
      <c r="BC314" s="66" t="s">
        <v>600</v>
      </c>
      <c r="BD314" s="66" t="s">
        <v>600</v>
      </c>
      <c r="BE314" s="66" t="s">
        <v>600</v>
      </c>
      <c r="BF314" s="66" t="s">
        <v>600</v>
      </c>
      <c r="BG314" s="66" t="s">
        <v>600</v>
      </c>
      <c r="BH314" s="66" t="s">
        <v>600</v>
      </c>
      <c r="BI314" s="66" t="s">
        <v>600</v>
      </c>
      <c r="BJ314" s="66" t="s">
        <v>600</v>
      </c>
      <c r="BK314" s="66" t="s">
        <v>600</v>
      </c>
      <c r="BL314" s="66" t="s">
        <v>600</v>
      </c>
      <c r="BM314" s="66" t="s">
        <v>600</v>
      </c>
      <c r="BN314" s="66" t="s">
        <v>600</v>
      </c>
      <c r="BO314" s="66" t="s">
        <v>600</v>
      </c>
      <c r="BP314" s="66" t="s">
        <v>600</v>
      </c>
      <c r="BQ314" s="66" t="s">
        <v>600</v>
      </c>
      <c r="BR314" s="70" t="e">
        <f>IF(E314&lt;#REF!,1,0)</f>
        <v>#REF!</v>
      </c>
      <c r="BS314" s="68" t="s">
        <v>601</v>
      </c>
    </row>
    <row r="315" ht="15.6" hidden="1" spans="1:71">
      <c r="A315" s="53" t="s">
        <v>607</v>
      </c>
      <c r="B315" s="53" t="s">
        <v>27</v>
      </c>
      <c r="C315" s="171" t="s">
        <v>106</v>
      </c>
      <c r="D315" s="170" t="s">
        <v>690</v>
      </c>
      <c r="E315" s="179">
        <v>27.5</v>
      </c>
      <c r="F315" s="167">
        <v>39.99</v>
      </c>
      <c r="G315" s="59">
        <f t="shared" si="278"/>
        <v>39.99</v>
      </c>
      <c r="H315" s="59">
        <f t="shared" si="279"/>
        <v>33.325</v>
      </c>
      <c r="I315" s="59">
        <f t="shared" si="280"/>
        <v>9.08538716814159</v>
      </c>
      <c r="J315" s="60">
        <f t="shared" si="281"/>
        <v>0.330377715205149</v>
      </c>
      <c r="K315" s="57">
        <f t="shared" si="282"/>
        <v>33.325</v>
      </c>
      <c r="L315" s="163">
        <f t="shared" si="283"/>
        <v>0.174793698424606</v>
      </c>
      <c r="M315" s="59">
        <f t="shared" si="284"/>
        <v>5.825</v>
      </c>
      <c r="N315" s="57">
        <f t="shared" si="297"/>
        <v>68.9469026548673</v>
      </c>
      <c r="O315" s="57">
        <f t="shared" si="285"/>
        <v>0.35125</v>
      </c>
      <c r="P315" s="53">
        <v>40</v>
      </c>
      <c r="Q315" s="62">
        <v>8</v>
      </c>
      <c r="R315" s="63">
        <f t="shared" si="286"/>
        <v>0.145454545454545</v>
      </c>
      <c r="S315" s="60">
        <f t="shared" si="287"/>
        <v>0.100025006251563</v>
      </c>
      <c r="T315" s="63">
        <f t="shared" si="288"/>
        <v>0</v>
      </c>
      <c r="U315" s="63">
        <v>0.01</v>
      </c>
      <c r="V315" s="63">
        <f t="shared" si="289"/>
        <v>0.313395012067579</v>
      </c>
      <c r="W315" s="63">
        <f t="shared" si="290"/>
        <v>0.0127727272727273</v>
      </c>
      <c r="X315" s="61">
        <v>0.188</v>
      </c>
      <c r="Y315" s="64">
        <v>4</v>
      </c>
      <c r="Z315" s="64">
        <f>F315*0</f>
        <v>0</v>
      </c>
      <c r="AA315" s="64">
        <f t="shared" si="291"/>
        <v>0.275</v>
      </c>
      <c r="AB315" s="57">
        <f t="shared" si="292"/>
        <v>5.17</v>
      </c>
      <c r="AC315" s="57">
        <v>70</v>
      </c>
      <c r="AD315" s="65">
        <f t="shared" si="293"/>
        <v>61.9469026548673</v>
      </c>
      <c r="AE315" s="62">
        <f t="shared" si="298"/>
        <v>0.875</v>
      </c>
      <c r="AF315" s="63">
        <f t="shared" si="294"/>
        <v>0.281576830249397</v>
      </c>
      <c r="AG315" s="63">
        <f t="shared" si="295"/>
        <v>0.00397727272727273</v>
      </c>
      <c r="AH315" s="62">
        <v>7</v>
      </c>
      <c r="AI315" s="63">
        <f t="shared" si="296"/>
        <v>0.32993248312078</v>
      </c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 t="s">
        <v>600</v>
      </c>
      <c r="AU315" s="66" t="s">
        <v>600</v>
      </c>
      <c r="AV315" s="66" t="s">
        <v>600</v>
      </c>
      <c r="AW315" s="66" t="s">
        <v>600</v>
      </c>
      <c r="AX315" s="66" t="s">
        <v>600</v>
      </c>
      <c r="AY315" s="66" t="s">
        <v>600</v>
      </c>
      <c r="AZ315" s="66" t="s">
        <v>600</v>
      </c>
      <c r="BA315" s="66" t="s">
        <v>600</v>
      </c>
      <c r="BB315" s="66" t="s">
        <v>600</v>
      </c>
      <c r="BC315" s="66" t="s">
        <v>600</v>
      </c>
      <c r="BD315" s="66" t="s">
        <v>600</v>
      </c>
      <c r="BE315" s="66" t="s">
        <v>600</v>
      </c>
      <c r="BF315" s="66" t="s">
        <v>600</v>
      </c>
      <c r="BG315" s="66" t="s">
        <v>600</v>
      </c>
      <c r="BH315" s="66" t="s">
        <v>600</v>
      </c>
      <c r="BI315" s="66" t="s">
        <v>600</v>
      </c>
      <c r="BJ315" s="66" t="s">
        <v>600</v>
      </c>
      <c r="BK315" s="66" t="s">
        <v>600</v>
      </c>
      <c r="BL315" s="66" t="s">
        <v>600</v>
      </c>
      <c r="BM315" s="66" t="s">
        <v>600</v>
      </c>
      <c r="BN315" s="66" t="s">
        <v>600</v>
      </c>
      <c r="BO315" s="66" t="s">
        <v>600</v>
      </c>
      <c r="BP315" s="66" t="s">
        <v>600</v>
      </c>
      <c r="BQ315" s="66" t="s">
        <v>600</v>
      </c>
      <c r="BR315" s="70" t="e">
        <f>IF(E315&lt;#REF!,1,0)</f>
        <v>#REF!</v>
      </c>
      <c r="BS315" s="68" t="s">
        <v>601</v>
      </c>
    </row>
    <row r="316" ht="15.6" hidden="1" spans="1:71">
      <c r="A316" s="53" t="s">
        <v>609</v>
      </c>
      <c r="B316" s="53" t="s">
        <v>27</v>
      </c>
      <c r="C316" s="171" t="s">
        <v>106</v>
      </c>
      <c r="D316" s="170" t="s">
        <v>691</v>
      </c>
      <c r="E316" s="179">
        <v>27.5</v>
      </c>
      <c r="F316" s="56">
        <v>39.99</v>
      </c>
      <c r="G316" s="59">
        <f t="shared" si="278"/>
        <v>39.99</v>
      </c>
      <c r="H316" s="59">
        <f t="shared" si="279"/>
        <v>33.325</v>
      </c>
      <c r="I316" s="59">
        <f t="shared" si="280"/>
        <v>8.98038716814159</v>
      </c>
      <c r="J316" s="60">
        <f t="shared" si="281"/>
        <v>0.326559533386967</v>
      </c>
      <c r="K316" s="57">
        <f t="shared" si="282"/>
        <v>33.325</v>
      </c>
      <c r="L316" s="163">
        <f t="shared" si="283"/>
        <v>0.174793698424606</v>
      </c>
      <c r="M316" s="59">
        <f t="shared" si="284"/>
        <v>5.825</v>
      </c>
      <c r="N316" s="57">
        <f t="shared" si="297"/>
        <v>68.9469026548673</v>
      </c>
      <c r="O316" s="57">
        <f t="shared" si="285"/>
        <v>0.45625</v>
      </c>
      <c r="P316" s="53">
        <v>40</v>
      </c>
      <c r="Q316" s="62">
        <v>8</v>
      </c>
      <c r="R316" s="63">
        <f t="shared" si="286"/>
        <v>0.145454545454545</v>
      </c>
      <c r="S316" s="60">
        <f t="shared" si="287"/>
        <v>0.100025006251563</v>
      </c>
      <c r="T316" s="63">
        <f t="shared" si="288"/>
        <v>0</v>
      </c>
      <c r="U316" s="63">
        <v>0.01</v>
      </c>
      <c r="V316" s="63">
        <f t="shared" si="289"/>
        <v>0.313395012067579</v>
      </c>
      <c r="W316" s="63">
        <f t="shared" si="290"/>
        <v>0.0165909090909091</v>
      </c>
      <c r="X316" s="61">
        <v>0.188</v>
      </c>
      <c r="Y316" s="64">
        <v>4</v>
      </c>
      <c r="Z316" s="64">
        <f>F316*0</f>
        <v>0</v>
      </c>
      <c r="AA316" s="64">
        <f t="shared" si="291"/>
        <v>0.275</v>
      </c>
      <c r="AB316" s="57">
        <f t="shared" si="292"/>
        <v>5.17</v>
      </c>
      <c r="AC316" s="57">
        <v>70</v>
      </c>
      <c r="AD316" s="65">
        <f t="shared" si="293"/>
        <v>61.9469026548673</v>
      </c>
      <c r="AE316" s="62">
        <f t="shared" si="298"/>
        <v>0.875</v>
      </c>
      <c r="AF316" s="63">
        <f t="shared" si="294"/>
        <v>0.281576830249397</v>
      </c>
      <c r="AG316" s="63">
        <f t="shared" si="295"/>
        <v>0.00397727272727273</v>
      </c>
      <c r="AH316" s="62">
        <v>7</v>
      </c>
      <c r="AI316" s="63">
        <f t="shared" si="296"/>
        <v>0.32993248312078</v>
      </c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 t="s">
        <v>600</v>
      </c>
      <c r="AU316" s="66" t="s">
        <v>600</v>
      </c>
      <c r="AV316" s="66" t="s">
        <v>600</v>
      </c>
      <c r="AW316" s="66" t="s">
        <v>600</v>
      </c>
      <c r="AX316" s="66" t="s">
        <v>600</v>
      </c>
      <c r="AY316" s="66" t="s">
        <v>600</v>
      </c>
      <c r="AZ316" s="66" t="s">
        <v>600</v>
      </c>
      <c r="BA316" s="66" t="s">
        <v>600</v>
      </c>
      <c r="BB316" s="66" t="s">
        <v>600</v>
      </c>
      <c r="BC316" s="66" t="s">
        <v>600</v>
      </c>
      <c r="BD316" s="66" t="s">
        <v>600</v>
      </c>
      <c r="BE316" s="66" t="s">
        <v>600</v>
      </c>
      <c r="BF316" s="66" t="s">
        <v>600</v>
      </c>
      <c r="BG316" s="66" t="s">
        <v>600</v>
      </c>
      <c r="BH316" s="66" t="s">
        <v>600</v>
      </c>
      <c r="BI316" s="66" t="s">
        <v>600</v>
      </c>
      <c r="BJ316" s="66" t="s">
        <v>600</v>
      </c>
      <c r="BK316" s="66" t="s">
        <v>600</v>
      </c>
      <c r="BL316" s="66" t="s">
        <v>600</v>
      </c>
      <c r="BM316" s="66" t="s">
        <v>600</v>
      </c>
      <c r="BN316" s="66" t="s">
        <v>600</v>
      </c>
      <c r="BO316" s="66" t="s">
        <v>600</v>
      </c>
      <c r="BP316" s="66" t="s">
        <v>600</v>
      </c>
      <c r="BQ316" s="66" t="s">
        <v>600</v>
      </c>
      <c r="BR316" s="70" t="e">
        <f>IF(E316&lt;#REF!,1,0)</f>
        <v>#REF!</v>
      </c>
      <c r="BS316" s="68" t="s">
        <v>601</v>
      </c>
    </row>
    <row r="317" ht="15.6" hidden="1" spans="1:71">
      <c r="A317" s="53" t="s">
        <v>611</v>
      </c>
      <c r="B317" s="53" t="s">
        <v>27</v>
      </c>
      <c r="C317" s="171" t="s">
        <v>106</v>
      </c>
      <c r="D317" s="170" t="s">
        <v>692</v>
      </c>
      <c r="E317" s="179">
        <v>24</v>
      </c>
      <c r="F317" s="56">
        <v>34.99</v>
      </c>
      <c r="G317" s="59">
        <f t="shared" si="278"/>
        <v>34.99</v>
      </c>
      <c r="H317" s="59">
        <f t="shared" si="279"/>
        <v>29.1583333333333</v>
      </c>
      <c r="I317" s="59">
        <f t="shared" si="280"/>
        <v>6.27338716814159</v>
      </c>
      <c r="J317" s="60">
        <f t="shared" si="281"/>
        <v>0.2613911320059</v>
      </c>
      <c r="K317" s="57">
        <f t="shared" si="282"/>
        <v>29.1583333333333</v>
      </c>
      <c r="L317" s="163">
        <f t="shared" si="283"/>
        <v>0.176907687910832</v>
      </c>
      <c r="M317" s="59">
        <f t="shared" si="284"/>
        <v>5.15833333333333</v>
      </c>
      <c r="N317" s="57">
        <f t="shared" si="297"/>
        <v>68.9469026548673</v>
      </c>
      <c r="O317" s="57">
        <f t="shared" si="285"/>
        <v>0.35625</v>
      </c>
      <c r="P317" s="53">
        <v>40</v>
      </c>
      <c r="Q317" s="62">
        <v>8</v>
      </c>
      <c r="R317" s="63">
        <f t="shared" si="286"/>
        <v>0.166666666666667</v>
      </c>
      <c r="S317" s="60">
        <f t="shared" si="287"/>
        <v>0.114318376679051</v>
      </c>
      <c r="T317" s="63">
        <f t="shared" si="288"/>
        <v>0</v>
      </c>
      <c r="U317" s="63">
        <v>0.01</v>
      </c>
      <c r="V317" s="63">
        <f t="shared" si="289"/>
        <v>0.359098451327434</v>
      </c>
      <c r="W317" s="63">
        <f t="shared" si="290"/>
        <v>0.01484375</v>
      </c>
      <c r="X317" s="61">
        <v>0.188</v>
      </c>
      <c r="Y317" s="64">
        <v>4</v>
      </c>
      <c r="Z317" s="64">
        <f>F317*0</f>
        <v>0</v>
      </c>
      <c r="AA317" s="64">
        <f t="shared" si="291"/>
        <v>0.24</v>
      </c>
      <c r="AB317" s="57">
        <f t="shared" si="292"/>
        <v>4.512</v>
      </c>
      <c r="AC317" s="57">
        <v>70</v>
      </c>
      <c r="AD317" s="65">
        <f t="shared" si="293"/>
        <v>61.9469026548673</v>
      </c>
      <c r="AE317" s="62">
        <f t="shared" si="298"/>
        <v>0.875</v>
      </c>
      <c r="AF317" s="63">
        <f t="shared" si="294"/>
        <v>0.3226401179941</v>
      </c>
      <c r="AG317" s="63">
        <f t="shared" si="295"/>
        <v>0.00455729166666667</v>
      </c>
      <c r="AH317" s="62">
        <v>7</v>
      </c>
      <c r="AI317" s="63">
        <f t="shared" si="296"/>
        <v>0.331649042583595</v>
      </c>
      <c r="AJ317" s="63"/>
      <c r="AK317" s="63"/>
      <c r="AL317" s="63"/>
      <c r="AM317" s="63"/>
      <c r="AN317" s="66"/>
      <c r="AO317" s="66"/>
      <c r="AP317" s="66"/>
      <c r="AQ317" s="66"/>
      <c r="AR317" s="66"/>
      <c r="AS317" s="66"/>
      <c r="AT317" s="66" t="s">
        <v>600</v>
      </c>
      <c r="AU317" s="66" t="s">
        <v>600</v>
      </c>
      <c r="AV317" s="66" t="s">
        <v>600</v>
      </c>
      <c r="AW317" s="66" t="s">
        <v>600</v>
      </c>
      <c r="AX317" s="66" t="s">
        <v>600</v>
      </c>
      <c r="AY317" s="66" t="s">
        <v>600</v>
      </c>
      <c r="AZ317" s="66" t="s">
        <v>600</v>
      </c>
      <c r="BA317" s="66" t="s">
        <v>600</v>
      </c>
      <c r="BB317" s="66" t="s">
        <v>600</v>
      </c>
      <c r="BC317" s="66" t="s">
        <v>600</v>
      </c>
      <c r="BD317" s="66" t="s">
        <v>600</v>
      </c>
      <c r="BE317" s="66" t="s">
        <v>600</v>
      </c>
      <c r="BF317" s="66" t="s">
        <v>600</v>
      </c>
      <c r="BG317" s="66" t="s">
        <v>600</v>
      </c>
      <c r="BH317" s="66" t="s">
        <v>600</v>
      </c>
      <c r="BI317" s="66" t="s">
        <v>600</v>
      </c>
      <c r="BJ317" s="66" t="s">
        <v>600</v>
      </c>
      <c r="BK317" s="66" t="s">
        <v>600</v>
      </c>
      <c r="BL317" s="66" t="s">
        <v>600</v>
      </c>
      <c r="BM317" s="66" t="s">
        <v>600</v>
      </c>
      <c r="BN317" s="66" t="s">
        <v>600</v>
      </c>
      <c r="BO317" s="66" t="s">
        <v>600</v>
      </c>
      <c r="BP317" s="66" t="s">
        <v>600</v>
      </c>
      <c r="BQ317" s="66" t="s">
        <v>600</v>
      </c>
      <c r="BR317" s="70" t="e">
        <f>IF(E317&lt;#REF!,1,0)</f>
        <v>#REF!</v>
      </c>
      <c r="BS317" s="68" t="s">
        <v>601</v>
      </c>
    </row>
    <row r="318" spans="1:71">
      <c r="G318" s="15"/>
      <c r="H318" s="15"/>
      <c r="S318" s="15"/>
      <c r="AE318" s="14"/>
      <c r="AI318" s="15"/>
    </row>
    <row r="319" ht="15.6" hidden="1" spans="1:71">
      <c r="A319" s="68" t="s">
        <v>300</v>
      </c>
      <c r="B319" s="53" t="s">
        <v>27</v>
      </c>
      <c r="C319" s="175" t="s">
        <v>109</v>
      </c>
      <c r="D319" s="182" t="s">
        <v>693</v>
      </c>
      <c r="E319" s="179">
        <v>25.5</v>
      </c>
      <c r="F319" s="167">
        <v>36.99</v>
      </c>
      <c r="G319" s="59">
        <f t="shared" ref="G319:G337" si="299">(F319-Z319)</f>
        <v>36.99</v>
      </c>
      <c r="H319" s="59">
        <f t="shared" ref="H319:H337" si="300">(F319-Z319)/1.2</f>
        <v>30.825</v>
      </c>
      <c r="I319" s="59">
        <f t="shared" ref="I319:I337" si="301">E319-N319/Q319-AB319-Y319-O319-Z319-AA319</f>
        <v>6.62511873156342</v>
      </c>
      <c r="J319" s="60">
        <f t="shared" ref="J319:J337" si="302">I319/E319</f>
        <v>0.25980857770837</v>
      </c>
      <c r="K319" s="57">
        <f t="shared" ref="K319:K337" si="303">F319/1.2</f>
        <v>30.825</v>
      </c>
      <c r="L319" s="163">
        <f t="shared" ref="L319:L337" si="304">(K319-E319)/K319</f>
        <v>0.172749391727494</v>
      </c>
      <c r="M319" s="59">
        <f t="shared" ref="M319:M337" si="305">F319/1.2-E319</f>
        <v>5.325</v>
      </c>
      <c r="N319" s="57">
        <f>AD319+AH320</f>
        <v>78.3716814159292</v>
      </c>
      <c r="O319" s="57">
        <f t="shared" ref="O319:O337" si="306">IFERROR(IF(A319="UK",8.95/P319,IF(A319="DE",7.75/P319,IF(A319="FR",14.25/P319,IF(A319="IT",15.25/P319,IF(A319="ES",19.25/P319,IF(A319="NL",16.75/P319,IF(A319="PL",14.05/P319,IF(A319="SE",18.25/P319,IF(A319="BE",14.25/P319))))))))),0)</f>
        <v>0.372916666666667</v>
      </c>
      <c r="P319" s="68">
        <v>24</v>
      </c>
      <c r="Q319" s="62">
        <v>9</v>
      </c>
      <c r="R319" s="63">
        <f t="shared" ref="R319:R337" si="307">Y319/E319</f>
        <v>0.196078431372549</v>
      </c>
      <c r="S319" s="60">
        <f t="shared" ref="S319:S337" si="308">Y319/F319</f>
        <v>0.135171668018383</v>
      </c>
      <c r="T319" s="63">
        <f t="shared" ref="T319:T337" si="309">Z319/E319</f>
        <v>0</v>
      </c>
      <c r="U319" s="63">
        <v>0.01</v>
      </c>
      <c r="V319" s="63">
        <f t="shared" ref="V319:V337" si="310">N319/(E319*Q319)</f>
        <v>0.341488807912546</v>
      </c>
      <c r="W319" s="63">
        <f t="shared" ref="W319:W337" si="311">O319/E319</f>
        <v>0.0146241830065359</v>
      </c>
      <c r="X319" s="61">
        <v>0.178</v>
      </c>
      <c r="Y319" s="64">
        <v>5</v>
      </c>
      <c r="Z319" s="64">
        <v>0</v>
      </c>
      <c r="AA319" s="64">
        <f t="shared" ref="AA319:AA337" si="312">E319*U319</f>
        <v>0.255</v>
      </c>
      <c r="AB319" s="57">
        <f t="shared" ref="AB319:AB337" si="313">E319*X319</f>
        <v>4.539</v>
      </c>
      <c r="AC319" s="57">
        <v>75</v>
      </c>
      <c r="AD319" s="65">
        <f t="shared" ref="AD319:AD337" si="314">AC319/1.13</f>
        <v>66.3716814159292</v>
      </c>
      <c r="AE319" s="62">
        <f>AH320/Q319</f>
        <v>1.33333333333333</v>
      </c>
      <c r="AF319" s="63">
        <f t="shared" ref="AF319:AF337" si="315">AD319/(E319*Q319)</f>
        <v>0.289201226213199</v>
      </c>
      <c r="AG319" s="63">
        <f t="shared" ref="AG319:AG337" si="316">AE319/Q319/E319</f>
        <v>0.00580973129992738</v>
      </c>
      <c r="AH319" s="62">
        <v>12</v>
      </c>
      <c r="AI319" s="63">
        <f t="shared" ref="AI319:AI337" si="317">(H319-E319+AB319)/H319</f>
        <v>0.32</v>
      </c>
      <c r="AJ319" s="63"/>
      <c r="AK319" s="63"/>
      <c r="AL319" s="63"/>
      <c r="AM319" s="63"/>
      <c r="AN319" s="66"/>
      <c r="AO319" s="66"/>
      <c r="AP319" s="66"/>
      <c r="AQ319" s="66"/>
      <c r="AR319" s="66"/>
      <c r="AS319" s="66"/>
      <c r="AT319" s="66" t="s">
        <v>600</v>
      </c>
      <c r="AU319" s="66" t="s">
        <v>600</v>
      </c>
      <c r="AV319" s="66" t="s">
        <v>600</v>
      </c>
      <c r="AW319" s="66" t="s">
        <v>600</v>
      </c>
      <c r="AX319" s="66" t="s">
        <v>600</v>
      </c>
      <c r="AY319" s="66" t="s">
        <v>600</v>
      </c>
      <c r="AZ319" s="66" t="s">
        <v>600</v>
      </c>
      <c r="BA319" s="66" t="s">
        <v>600</v>
      </c>
      <c r="BB319" s="66" t="s">
        <v>600</v>
      </c>
      <c r="BC319" s="66" t="s">
        <v>600</v>
      </c>
      <c r="BD319" s="66" t="s">
        <v>600</v>
      </c>
      <c r="BE319" s="66" t="s">
        <v>600</v>
      </c>
      <c r="BF319" s="66" t="s">
        <v>600</v>
      </c>
      <c r="BG319" s="66" t="s">
        <v>600</v>
      </c>
      <c r="BH319" s="66" t="s">
        <v>600</v>
      </c>
      <c r="BI319" s="66" t="s">
        <v>600</v>
      </c>
      <c r="BJ319" s="66" t="s">
        <v>600</v>
      </c>
      <c r="BK319" s="66" t="s">
        <v>600</v>
      </c>
      <c r="BL319" s="66" t="s">
        <v>600</v>
      </c>
      <c r="BM319" s="66" t="s">
        <v>600</v>
      </c>
      <c r="BN319" s="66" t="s">
        <v>600</v>
      </c>
      <c r="BO319" s="66" t="s">
        <v>600</v>
      </c>
      <c r="BP319" s="66" t="s">
        <v>600</v>
      </c>
      <c r="BQ319" s="66" t="s">
        <v>600</v>
      </c>
      <c r="BR319" s="164"/>
      <c r="BS319" s="68" t="s">
        <v>601</v>
      </c>
    </row>
    <row r="320" ht="15.6" hidden="1" spans="1:71">
      <c r="A320" s="68" t="s">
        <v>300</v>
      </c>
      <c r="B320" s="53" t="s">
        <v>27</v>
      </c>
      <c r="C320" s="171" t="s">
        <v>109</v>
      </c>
      <c r="D320" s="182" t="s">
        <v>694</v>
      </c>
      <c r="E320" s="179">
        <v>25.5</v>
      </c>
      <c r="F320" s="56">
        <v>36.99</v>
      </c>
      <c r="G320" s="59">
        <f t="shared" si="299"/>
        <v>33.291</v>
      </c>
      <c r="H320" s="59">
        <f t="shared" si="300"/>
        <v>27.7425</v>
      </c>
      <c r="I320" s="165">
        <f t="shared" si="301"/>
        <v>2.92611873156342</v>
      </c>
      <c r="J320" s="60">
        <f t="shared" si="302"/>
        <v>0.114749754178958</v>
      </c>
      <c r="K320" s="57">
        <f t="shared" si="303"/>
        <v>30.825</v>
      </c>
      <c r="L320" s="163">
        <f t="shared" si="304"/>
        <v>0.172749391727494</v>
      </c>
      <c r="M320" s="59">
        <f t="shared" si="305"/>
        <v>5.325</v>
      </c>
      <c r="N320" s="57">
        <f>AD320+AH320</f>
        <v>78.3716814159292</v>
      </c>
      <c r="O320" s="57">
        <f t="shared" si="306"/>
        <v>0.372916666666667</v>
      </c>
      <c r="P320" s="53">
        <v>24</v>
      </c>
      <c r="Q320" s="62">
        <v>9</v>
      </c>
      <c r="R320" s="63">
        <f t="shared" si="307"/>
        <v>0.196078431372549</v>
      </c>
      <c r="S320" s="60">
        <f t="shared" si="308"/>
        <v>0.135171668018383</v>
      </c>
      <c r="T320" s="63">
        <f t="shared" si="309"/>
        <v>0.145058823529412</v>
      </c>
      <c r="U320" s="63">
        <v>0.01</v>
      </c>
      <c r="V320" s="63">
        <f t="shared" si="310"/>
        <v>0.341488807912546</v>
      </c>
      <c r="W320" s="63">
        <f t="shared" si="311"/>
        <v>0.0146241830065359</v>
      </c>
      <c r="X320" s="61">
        <v>0.178</v>
      </c>
      <c r="Y320" s="64">
        <v>5</v>
      </c>
      <c r="Z320" s="64">
        <f>F320*0.1</f>
        <v>3.699</v>
      </c>
      <c r="AA320" s="64">
        <f t="shared" si="312"/>
        <v>0.255</v>
      </c>
      <c r="AB320" s="57">
        <f t="shared" si="313"/>
        <v>4.539</v>
      </c>
      <c r="AC320" s="57">
        <v>75</v>
      </c>
      <c r="AD320" s="65">
        <f t="shared" si="314"/>
        <v>66.3716814159292</v>
      </c>
      <c r="AE320" s="62">
        <f>AH320/Q320</f>
        <v>1.33333333333333</v>
      </c>
      <c r="AF320" s="63">
        <f t="shared" si="315"/>
        <v>0.289201226213199</v>
      </c>
      <c r="AG320" s="63">
        <f t="shared" si="316"/>
        <v>0.00580973129992738</v>
      </c>
      <c r="AH320" s="62">
        <v>12</v>
      </c>
      <c r="AI320" s="63">
        <f t="shared" si="317"/>
        <v>0.244444444444445</v>
      </c>
      <c r="AJ320" s="63"/>
      <c r="AK320" s="63"/>
      <c r="AL320" s="63"/>
      <c r="AM320" s="63"/>
      <c r="AN320" s="66"/>
      <c r="AO320" s="66"/>
      <c r="AP320" s="66"/>
      <c r="AQ320" s="66"/>
      <c r="AR320" s="66"/>
      <c r="AS320" s="66"/>
      <c r="AT320" s="66" t="s">
        <v>600</v>
      </c>
      <c r="AU320" s="66" t="s">
        <v>600</v>
      </c>
      <c r="AV320" s="66" t="s">
        <v>600</v>
      </c>
      <c r="AW320" s="66" t="s">
        <v>600</v>
      </c>
      <c r="AX320" s="66" t="s">
        <v>600</v>
      </c>
      <c r="AY320" s="66" t="s">
        <v>600</v>
      </c>
      <c r="AZ320" s="66" t="s">
        <v>600</v>
      </c>
      <c r="BA320" s="66" t="s">
        <v>600</v>
      </c>
      <c r="BB320" s="66" t="s">
        <v>600</v>
      </c>
      <c r="BC320" s="66" t="s">
        <v>600</v>
      </c>
      <c r="BD320" s="66" t="s">
        <v>600</v>
      </c>
      <c r="BE320" s="66" t="s">
        <v>600</v>
      </c>
      <c r="BF320" s="66" t="s">
        <v>600</v>
      </c>
      <c r="BG320" s="66" t="s">
        <v>600</v>
      </c>
      <c r="BH320" s="66" t="s">
        <v>600</v>
      </c>
      <c r="BI320" s="66" t="s">
        <v>600</v>
      </c>
      <c r="BJ320" s="66" t="s">
        <v>600</v>
      </c>
      <c r="BK320" s="66" t="s">
        <v>600</v>
      </c>
      <c r="BL320" s="66" t="s">
        <v>600</v>
      </c>
      <c r="BM320" s="66" t="s">
        <v>600</v>
      </c>
      <c r="BN320" s="66" t="s">
        <v>600</v>
      </c>
      <c r="BO320" s="66" t="s">
        <v>600</v>
      </c>
      <c r="BP320" s="66" t="s">
        <v>600</v>
      </c>
      <c r="BQ320" s="66" t="s">
        <v>600</v>
      </c>
      <c r="BR320" s="164"/>
      <c r="BS320" s="68" t="s">
        <v>601</v>
      </c>
    </row>
    <row r="321" ht="15.6" hidden="1" spans="1:71">
      <c r="A321" s="68" t="s">
        <v>300</v>
      </c>
      <c r="B321" s="53" t="s">
        <v>27</v>
      </c>
      <c r="C321" s="171" t="s">
        <v>109</v>
      </c>
      <c r="D321" s="182" t="s">
        <v>695</v>
      </c>
      <c r="E321" s="179">
        <v>25.5</v>
      </c>
      <c r="F321" s="56">
        <v>36.99</v>
      </c>
      <c r="G321" s="59">
        <f t="shared" si="299"/>
        <v>31.4415</v>
      </c>
      <c r="H321" s="59">
        <f t="shared" si="300"/>
        <v>26.20125</v>
      </c>
      <c r="I321" s="59">
        <f t="shared" si="301"/>
        <v>1.07661873156342</v>
      </c>
      <c r="J321" s="60">
        <f t="shared" si="302"/>
        <v>0.042220342414252</v>
      </c>
      <c r="K321" s="57">
        <f t="shared" si="303"/>
        <v>30.825</v>
      </c>
      <c r="L321" s="163">
        <f t="shared" si="304"/>
        <v>0.172749391727494</v>
      </c>
      <c r="M321" s="59">
        <f t="shared" si="305"/>
        <v>5.325</v>
      </c>
      <c r="N321" s="57">
        <f>AD321+AH321</f>
        <v>78.3716814159292</v>
      </c>
      <c r="O321" s="57">
        <f t="shared" si="306"/>
        <v>0.372916666666667</v>
      </c>
      <c r="P321" s="53">
        <v>24</v>
      </c>
      <c r="Q321" s="62">
        <v>9</v>
      </c>
      <c r="R321" s="63">
        <f t="shared" si="307"/>
        <v>0.196078431372549</v>
      </c>
      <c r="S321" s="60">
        <f t="shared" si="308"/>
        <v>0.135171668018383</v>
      </c>
      <c r="T321" s="63">
        <f t="shared" si="309"/>
        <v>0.217588235294118</v>
      </c>
      <c r="U321" s="63">
        <v>0.01</v>
      </c>
      <c r="V321" s="63">
        <f t="shared" si="310"/>
        <v>0.341488807912546</v>
      </c>
      <c r="W321" s="63">
        <f t="shared" si="311"/>
        <v>0.0146241830065359</v>
      </c>
      <c r="X321" s="61">
        <v>0.178</v>
      </c>
      <c r="Y321" s="64">
        <v>5</v>
      </c>
      <c r="Z321" s="64">
        <f>F321*0.15</f>
        <v>5.5485</v>
      </c>
      <c r="AA321" s="64">
        <f t="shared" si="312"/>
        <v>0.255</v>
      </c>
      <c r="AB321" s="57">
        <f t="shared" si="313"/>
        <v>4.539</v>
      </c>
      <c r="AC321" s="57">
        <v>75</v>
      </c>
      <c r="AD321" s="65">
        <f t="shared" si="314"/>
        <v>66.3716814159292</v>
      </c>
      <c r="AE321" s="62">
        <f>AH321/Q321</f>
        <v>1.33333333333333</v>
      </c>
      <c r="AF321" s="63">
        <f t="shared" si="315"/>
        <v>0.289201226213199</v>
      </c>
      <c r="AG321" s="63">
        <f t="shared" si="316"/>
        <v>0.00580973129992738</v>
      </c>
      <c r="AH321" s="62">
        <v>12</v>
      </c>
      <c r="AI321" s="63">
        <f t="shared" si="317"/>
        <v>0.2</v>
      </c>
      <c r="AJ321" s="63"/>
      <c r="AK321" s="63"/>
      <c r="AL321" s="63"/>
      <c r="AM321" s="63"/>
      <c r="AN321" s="66"/>
      <c r="AO321" s="66"/>
      <c r="AP321" s="66"/>
      <c r="AQ321" s="66"/>
      <c r="AR321" s="66"/>
      <c r="AS321" s="66"/>
      <c r="AT321" s="66" t="s">
        <v>600</v>
      </c>
      <c r="AU321" s="66" t="s">
        <v>600</v>
      </c>
      <c r="AV321" s="66" t="s">
        <v>600</v>
      </c>
      <c r="AW321" s="66" t="s">
        <v>600</v>
      </c>
      <c r="AX321" s="66" t="s">
        <v>600</v>
      </c>
      <c r="AY321" s="66" t="s">
        <v>600</v>
      </c>
      <c r="AZ321" s="66" t="s">
        <v>600</v>
      </c>
      <c r="BA321" s="66" t="s">
        <v>600</v>
      </c>
      <c r="BB321" s="66" t="s">
        <v>600</v>
      </c>
      <c r="BC321" s="66" t="s">
        <v>600</v>
      </c>
      <c r="BD321" s="66" t="s">
        <v>600</v>
      </c>
      <c r="BE321" s="66" t="s">
        <v>600</v>
      </c>
      <c r="BF321" s="66" t="s">
        <v>600</v>
      </c>
      <c r="BG321" s="66" t="s">
        <v>600</v>
      </c>
      <c r="BH321" s="66" t="s">
        <v>600</v>
      </c>
      <c r="BI321" s="66" t="s">
        <v>600</v>
      </c>
      <c r="BJ321" s="66" t="s">
        <v>600</v>
      </c>
      <c r="BK321" s="66" t="s">
        <v>600</v>
      </c>
      <c r="BL321" s="66" t="s">
        <v>600</v>
      </c>
      <c r="BM321" s="66" t="s">
        <v>600</v>
      </c>
      <c r="BN321" s="66" t="s">
        <v>600</v>
      </c>
      <c r="BO321" s="66" t="s">
        <v>600</v>
      </c>
      <c r="BP321" s="66" t="s">
        <v>600</v>
      </c>
      <c r="BQ321" s="66" t="s">
        <v>600</v>
      </c>
      <c r="BR321" s="164"/>
      <c r="BS321" s="68" t="s">
        <v>601</v>
      </c>
    </row>
    <row r="322" ht="15.6" hidden="1" spans="1:71">
      <c r="A322" s="53" t="s">
        <v>277</v>
      </c>
      <c r="B322" s="53" t="s">
        <v>27</v>
      </c>
      <c r="C322" s="171" t="s">
        <v>109</v>
      </c>
      <c r="D322" s="183" t="s">
        <v>693</v>
      </c>
      <c r="E322" s="179">
        <v>27.5</v>
      </c>
      <c r="F322" s="167">
        <v>39.99</v>
      </c>
      <c r="G322" s="59">
        <f t="shared" si="299"/>
        <v>39.99</v>
      </c>
      <c r="H322" s="59">
        <f t="shared" si="300"/>
        <v>33.325</v>
      </c>
      <c r="I322" s="59">
        <f t="shared" si="301"/>
        <v>6.93562315634218</v>
      </c>
      <c r="J322" s="60">
        <f t="shared" si="302"/>
        <v>0.252204478412443</v>
      </c>
      <c r="K322" s="57">
        <f t="shared" si="303"/>
        <v>33.325</v>
      </c>
      <c r="L322" s="163">
        <f t="shared" si="304"/>
        <v>0.174793698424606</v>
      </c>
      <c r="M322" s="59">
        <f t="shared" si="305"/>
        <v>5.825</v>
      </c>
      <c r="N322" s="57">
        <f>AD322+AH323</f>
        <v>78.3716814159292</v>
      </c>
      <c r="O322" s="57">
        <f t="shared" si="306"/>
        <v>0.322916666666667</v>
      </c>
      <c r="P322" s="53">
        <v>24</v>
      </c>
      <c r="Q322" s="62">
        <v>8</v>
      </c>
      <c r="R322" s="63">
        <f t="shared" si="307"/>
        <v>0.181818181818182</v>
      </c>
      <c r="S322" s="60">
        <f t="shared" si="308"/>
        <v>0.125031257814454</v>
      </c>
      <c r="T322" s="63">
        <f t="shared" si="309"/>
        <v>0</v>
      </c>
      <c r="U322" s="63">
        <v>0.01</v>
      </c>
      <c r="V322" s="63">
        <f t="shared" si="310"/>
        <v>0.356234915526951</v>
      </c>
      <c r="W322" s="63">
        <f t="shared" si="311"/>
        <v>0.0117424242424242</v>
      </c>
      <c r="X322" s="61">
        <v>0.188</v>
      </c>
      <c r="Y322" s="64">
        <v>5</v>
      </c>
      <c r="Z322" s="64">
        <v>0</v>
      </c>
      <c r="AA322" s="64">
        <f t="shared" si="312"/>
        <v>0.275</v>
      </c>
      <c r="AB322" s="57">
        <f t="shared" si="313"/>
        <v>5.17</v>
      </c>
      <c r="AC322" s="57">
        <v>75</v>
      </c>
      <c r="AD322" s="65">
        <f t="shared" si="314"/>
        <v>66.3716814159292</v>
      </c>
      <c r="AE322" s="62">
        <f>AH323/Q322</f>
        <v>1.5</v>
      </c>
      <c r="AF322" s="63">
        <f t="shared" si="315"/>
        <v>0.301689460981496</v>
      </c>
      <c r="AG322" s="63">
        <f t="shared" si="316"/>
        <v>0.00681818181818182</v>
      </c>
      <c r="AH322" s="62">
        <v>12</v>
      </c>
      <c r="AI322" s="63">
        <f t="shared" si="317"/>
        <v>0.32993248312078</v>
      </c>
      <c r="AJ322" s="63"/>
      <c r="AK322" s="63"/>
      <c r="AL322" s="63"/>
      <c r="AM322" s="63"/>
      <c r="AN322" s="66"/>
      <c r="AO322" s="66"/>
      <c r="AP322" s="66"/>
      <c r="AQ322" s="66"/>
      <c r="AR322" s="66"/>
      <c r="AS322" s="66"/>
      <c r="AT322" s="66" t="s">
        <v>600</v>
      </c>
      <c r="AU322" s="66" t="s">
        <v>600</v>
      </c>
      <c r="AV322" s="66" t="s">
        <v>600</v>
      </c>
      <c r="AW322" s="66" t="s">
        <v>600</v>
      </c>
      <c r="AX322" s="66" t="s">
        <v>600</v>
      </c>
      <c r="AY322" s="66" t="s">
        <v>600</v>
      </c>
      <c r="AZ322" s="66" t="s">
        <v>600</v>
      </c>
      <c r="BA322" s="66" t="s">
        <v>600</v>
      </c>
      <c r="BB322" s="66" t="s">
        <v>600</v>
      </c>
      <c r="BC322" s="66" t="s">
        <v>600</v>
      </c>
      <c r="BD322" s="66" t="s">
        <v>600</v>
      </c>
      <c r="BE322" s="66" t="s">
        <v>600</v>
      </c>
      <c r="BF322" s="66" t="s">
        <v>600</v>
      </c>
      <c r="BG322" s="66" t="s">
        <v>600</v>
      </c>
      <c r="BH322" s="66" t="s">
        <v>600</v>
      </c>
      <c r="BI322" s="66" t="s">
        <v>600</v>
      </c>
      <c r="BJ322" s="66" t="s">
        <v>600</v>
      </c>
      <c r="BK322" s="66" t="s">
        <v>600</v>
      </c>
      <c r="BL322" s="66" t="s">
        <v>600</v>
      </c>
      <c r="BM322" s="66" t="s">
        <v>600</v>
      </c>
      <c r="BN322" s="66" t="s">
        <v>600</v>
      </c>
      <c r="BO322" s="66" t="s">
        <v>600</v>
      </c>
      <c r="BP322" s="66" t="s">
        <v>600</v>
      </c>
      <c r="BQ322" s="66" t="s">
        <v>600</v>
      </c>
      <c r="BR322" s="164"/>
      <c r="BS322" s="68" t="s">
        <v>601</v>
      </c>
    </row>
    <row r="323" ht="15.6" hidden="1" spans="1:71">
      <c r="A323" s="53" t="s">
        <v>277</v>
      </c>
      <c r="B323" s="53" t="s">
        <v>27</v>
      </c>
      <c r="C323" s="171" t="s">
        <v>109</v>
      </c>
      <c r="D323" s="183" t="s">
        <v>694</v>
      </c>
      <c r="E323" s="179">
        <v>27.5</v>
      </c>
      <c r="F323" s="56">
        <v>39.99</v>
      </c>
      <c r="G323" s="59">
        <f t="shared" si="299"/>
        <v>35.991</v>
      </c>
      <c r="H323" s="59">
        <f t="shared" si="300"/>
        <v>29.9925</v>
      </c>
      <c r="I323" s="165">
        <f t="shared" si="301"/>
        <v>2.93662315634218</v>
      </c>
      <c r="J323" s="60">
        <f t="shared" si="302"/>
        <v>0.106786296594261</v>
      </c>
      <c r="K323" s="57">
        <f t="shared" si="303"/>
        <v>33.325</v>
      </c>
      <c r="L323" s="163">
        <f t="shared" si="304"/>
        <v>0.174793698424606</v>
      </c>
      <c r="M323" s="59">
        <f t="shared" si="305"/>
        <v>5.825</v>
      </c>
      <c r="N323" s="57">
        <f t="shared" ref="N323:N337" si="318">AD323+AH323</f>
        <v>78.3716814159292</v>
      </c>
      <c r="O323" s="57">
        <f t="shared" si="306"/>
        <v>0.322916666666667</v>
      </c>
      <c r="P323" s="53">
        <v>24</v>
      </c>
      <c r="Q323" s="62">
        <v>8</v>
      </c>
      <c r="R323" s="63">
        <f t="shared" si="307"/>
        <v>0.181818181818182</v>
      </c>
      <c r="S323" s="60">
        <f t="shared" si="308"/>
        <v>0.125031257814454</v>
      </c>
      <c r="T323" s="63">
        <f t="shared" si="309"/>
        <v>0.145418181818182</v>
      </c>
      <c r="U323" s="63">
        <v>0.01</v>
      </c>
      <c r="V323" s="63">
        <f t="shared" si="310"/>
        <v>0.356234915526951</v>
      </c>
      <c r="W323" s="63">
        <f t="shared" si="311"/>
        <v>0.0117424242424242</v>
      </c>
      <c r="X323" s="61">
        <v>0.188</v>
      </c>
      <c r="Y323" s="64">
        <v>5</v>
      </c>
      <c r="Z323" s="64">
        <f>F323*0.1</f>
        <v>3.999</v>
      </c>
      <c r="AA323" s="64">
        <f t="shared" si="312"/>
        <v>0.275</v>
      </c>
      <c r="AB323" s="57">
        <f t="shared" si="313"/>
        <v>5.17</v>
      </c>
      <c r="AC323" s="57">
        <v>75</v>
      </c>
      <c r="AD323" s="65">
        <f t="shared" si="314"/>
        <v>66.3716814159292</v>
      </c>
      <c r="AE323" s="62">
        <f t="shared" ref="AE323:AE337" si="319">AH323/Q323</f>
        <v>1.5</v>
      </c>
      <c r="AF323" s="63">
        <f t="shared" si="315"/>
        <v>0.301689460981496</v>
      </c>
      <c r="AG323" s="63">
        <f t="shared" si="316"/>
        <v>0.00681818181818182</v>
      </c>
      <c r="AH323" s="62">
        <v>12</v>
      </c>
      <c r="AI323" s="63">
        <f t="shared" si="317"/>
        <v>0.255480536800867</v>
      </c>
      <c r="AJ323" s="63"/>
      <c r="AK323" s="63"/>
      <c r="AL323" s="63"/>
      <c r="AM323" s="63"/>
      <c r="AN323" s="66"/>
      <c r="AO323" s="66"/>
      <c r="AP323" s="66"/>
      <c r="AQ323" s="66"/>
      <c r="AR323" s="66"/>
      <c r="AS323" s="66"/>
      <c r="AT323" s="66" t="s">
        <v>600</v>
      </c>
      <c r="AU323" s="66" t="s">
        <v>600</v>
      </c>
      <c r="AV323" s="66" t="s">
        <v>600</v>
      </c>
      <c r="AW323" s="66" t="s">
        <v>600</v>
      </c>
      <c r="AX323" s="66" t="s">
        <v>600</v>
      </c>
      <c r="AY323" s="66" t="s">
        <v>600</v>
      </c>
      <c r="AZ323" s="66" t="s">
        <v>600</v>
      </c>
      <c r="BA323" s="66" t="s">
        <v>600</v>
      </c>
      <c r="BB323" s="66" t="s">
        <v>600</v>
      </c>
      <c r="BC323" s="66" t="s">
        <v>600</v>
      </c>
      <c r="BD323" s="66" t="s">
        <v>600</v>
      </c>
      <c r="BE323" s="66" t="s">
        <v>600</v>
      </c>
      <c r="BF323" s="66" t="s">
        <v>600</v>
      </c>
      <c r="BG323" s="66" t="s">
        <v>600</v>
      </c>
      <c r="BH323" s="66" t="s">
        <v>600</v>
      </c>
      <c r="BI323" s="66" t="s">
        <v>600</v>
      </c>
      <c r="BJ323" s="66" t="s">
        <v>600</v>
      </c>
      <c r="BK323" s="66" t="s">
        <v>600</v>
      </c>
      <c r="BL323" s="66" t="s">
        <v>600</v>
      </c>
      <c r="BM323" s="66" t="s">
        <v>600</v>
      </c>
      <c r="BN323" s="66" t="s">
        <v>600</v>
      </c>
      <c r="BO323" s="66" t="s">
        <v>600</v>
      </c>
      <c r="BP323" s="66" t="s">
        <v>600</v>
      </c>
      <c r="BQ323" s="66" t="s">
        <v>600</v>
      </c>
      <c r="BR323" s="164"/>
      <c r="BS323" s="68" t="s">
        <v>601</v>
      </c>
    </row>
    <row r="324" ht="15.6" hidden="1" spans="1:71">
      <c r="A324" s="53" t="s">
        <v>277</v>
      </c>
      <c r="B324" s="53" t="s">
        <v>27</v>
      </c>
      <c r="C324" s="171" t="s">
        <v>109</v>
      </c>
      <c r="D324" s="183" t="s">
        <v>695</v>
      </c>
      <c r="E324" s="179">
        <v>27.5</v>
      </c>
      <c r="F324" s="56">
        <v>39.99</v>
      </c>
      <c r="G324" s="59">
        <f t="shared" si="299"/>
        <v>33.9915</v>
      </c>
      <c r="H324" s="59">
        <f t="shared" si="300"/>
        <v>28.32625</v>
      </c>
      <c r="I324" s="59">
        <f t="shared" si="301"/>
        <v>0.937123156342183</v>
      </c>
      <c r="J324" s="60">
        <f t="shared" si="302"/>
        <v>0.0340772056851703</v>
      </c>
      <c r="K324" s="57">
        <f t="shared" si="303"/>
        <v>33.325</v>
      </c>
      <c r="L324" s="163">
        <f t="shared" si="304"/>
        <v>0.174793698424606</v>
      </c>
      <c r="M324" s="59">
        <f t="shared" si="305"/>
        <v>5.825</v>
      </c>
      <c r="N324" s="57">
        <f t="shared" si="318"/>
        <v>78.3716814159292</v>
      </c>
      <c r="O324" s="57">
        <f t="shared" si="306"/>
        <v>0.322916666666667</v>
      </c>
      <c r="P324" s="53">
        <v>24</v>
      </c>
      <c r="Q324" s="62">
        <v>8</v>
      </c>
      <c r="R324" s="63">
        <f t="shared" si="307"/>
        <v>0.181818181818182</v>
      </c>
      <c r="S324" s="60">
        <f t="shared" si="308"/>
        <v>0.125031257814454</v>
      </c>
      <c r="T324" s="63">
        <f t="shared" si="309"/>
        <v>0.218127272727273</v>
      </c>
      <c r="U324" s="63">
        <v>0.01</v>
      </c>
      <c r="V324" s="63">
        <f t="shared" si="310"/>
        <v>0.356234915526951</v>
      </c>
      <c r="W324" s="63">
        <f t="shared" si="311"/>
        <v>0.0117424242424242</v>
      </c>
      <c r="X324" s="61">
        <v>0.188</v>
      </c>
      <c r="Y324" s="64">
        <v>5</v>
      </c>
      <c r="Z324" s="64">
        <f>F324*0.15</f>
        <v>5.9985</v>
      </c>
      <c r="AA324" s="64">
        <f t="shared" si="312"/>
        <v>0.275</v>
      </c>
      <c r="AB324" s="57">
        <f t="shared" si="313"/>
        <v>5.17</v>
      </c>
      <c r="AC324" s="57">
        <v>75</v>
      </c>
      <c r="AD324" s="65">
        <f t="shared" si="314"/>
        <v>66.3716814159292</v>
      </c>
      <c r="AE324" s="62">
        <f t="shared" si="319"/>
        <v>1.5</v>
      </c>
      <c r="AF324" s="63">
        <f t="shared" si="315"/>
        <v>0.301689460981496</v>
      </c>
      <c r="AG324" s="63">
        <f t="shared" si="316"/>
        <v>0.00681818181818182</v>
      </c>
      <c r="AH324" s="62">
        <v>12</v>
      </c>
      <c r="AI324" s="63">
        <f t="shared" si="317"/>
        <v>0.211685274259741</v>
      </c>
      <c r="AJ324" s="63"/>
      <c r="AK324" s="63"/>
      <c r="AL324" s="63"/>
      <c r="AM324" s="63"/>
      <c r="AN324" s="66"/>
      <c r="AO324" s="66"/>
      <c r="AP324" s="66"/>
      <c r="AQ324" s="66"/>
      <c r="AR324" s="66"/>
      <c r="AS324" s="66"/>
      <c r="AT324" s="66" t="s">
        <v>600</v>
      </c>
      <c r="AU324" s="66" t="s">
        <v>600</v>
      </c>
      <c r="AV324" s="66" t="s">
        <v>600</v>
      </c>
      <c r="AW324" s="66" t="s">
        <v>600</v>
      </c>
      <c r="AX324" s="66" t="s">
        <v>600</v>
      </c>
      <c r="AY324" s="66" t="s">
        <v>600</v>
      </c>
      <c r="AZ324" s="66" t="s">
        <v>600</v>
      </c>
      <c r="BA324" s="66" t="s">
        <v>600</v>
      </c>
      <c r="BB324" s="66" t="s">
        <v>600</v>
      </c>
      <c r="BC324" s="66" t="s">
        <v>600</v>
      </c>
      <c r="BD324" s="66" t="s">
        <v>600</v>
      </c>
      <c r="BE324" s="66" t="s">
        <v>600</v>
      </c>
      <c r="BF324" s="66" t="s">
        <v>600</v>
      </c>
      <c r="BG324" s="66" t="s">
        <v>600</v>
      </c>
      <c r="BH324" s="66" t="s">
        <v>600</v>
      </c>
      <c r="BI324" s="66" t="s">
        <v>600</v>
      </c>
      <c r="BJ324" s="66" t="s">
        <v>600</v>
      </c>
      <c r="BK324" s="66" t="s">
        <v>600</v>
      </c>
      <c r="BL324" s="66" t="s">
        <v>600</v>
      </c>
      <c r="BM324" s="66" t="s">
        <v>600</v>
      </c>
      <c r="BN324" s="66" t="s">
        <v>600</v>
      </c>
      <c r="BO324" s="66" t="s">
        <v>600</v>
      </c>
      <c r="BP324" s="66" t="s">
        <v>600</v>
      </c>
      <c r="BQ324" s="66" t="s">
        <v>600</v>
      </c>
      <c r="BR324" s="164"/>
      <c r="BS324" s="68" t="s">
        <v>601</v>
      </c>
    </row>
    <row r="325" ht="15.6" hidden="1" spans="1:71">
      <c r="A325" s="53" t="s">
        <v>511</v>
      </c>
      <c r="B325" s="53" t="s">
        <v>27</v>
      </c>
      <c r="C325" s="171" t="s">
        <v>109</v>
      </c>
      <c r="D325" s="183" t="s">
        <v>693</v>
      </c>
      <c r="E325" s="179">
        <v>27.5</v>
      </c>
      <c r="F325" s="56">
        <v>39.99</v>
      </c>
      <c r="G325" s="59">
        <f t="shared" si="299"/>
        <v>39.99</v>
      </c>
      <c r="H325" s="59">
        <f t="shared" si="300"/>
        <v>33.325</v>
      </c>
      <c r="I325" s="59">
        <f t="shared" si="301"/>
        <v>6.66478982300885</v>
      </c>
      <c r="J325" s="60">
        <f t="shared" si="302"/>
        <v>0.242355993563958</v>
      </c>
      <c r="K325" s="57">
        <f t="shared" si="303"/>
        <v>33.325</v>
      </c>
      <c r="L325" s="163">
        <f t="shared" si="304"/>
        <v>0.174793698424606</v>
      </c>
      <c r="M325" s="59">
        <f t="shared" si="305"/>
        <v>5.825</v>
      </c>
      <c r="N325" s="57">
        <f t="shared" si="318"/>
        <v>78.3716814159292</v>
      </c>
      <c r="O325" s="57">
        <f t="shared" si="306"/>
        <v>0.59375</v>
      </c>
      <c r="P325" s="53">
        <v>24</v>
      </c>
      <c r="Q325" s="62">
        <v>8</v>
      </c>
      <c r="R325" s="63">
        <f t="shared" si="307"/>
        <v>0.181818181818182</v>
      </c>
      <c r="S325" s="60">
        <f t="shared" si="308"/>
        <v>0.125031257814454</v>
      </c>
      <c r="T325" s="63">
        <f t="shared" si="309"/>
        <v>0</v>
      </c>
      <c r="U325" s="63">
        <v>0.01</v>
      </c>
      <c r="V325" s="63">
        <f t="shared" si="310"/>
        <v>0.356234915526951</v>
      </c>
      <c r="W325" s="63">
        <f t="shared" si="311"/>
        <v>0.0215909090909091</v>
      </c>
      <c r="X325" s="61">
        <v>0.188</v>
      </c>
      <c r="Y325" s="64">
        <v>5</v>
      </c>
      <c r="Z325" s="64">
        <v>0</v>
      </c>
      <c r="AA325" s="64">
        <f t="shared" si="312"/>
        <v>0.275</v>
      </c>
      <c r="AB325" s="57">
        <f t="shared" si="313"/>
        <v>5.17</v>
      </c>
      <c r="AC325" s="57">
        <v>75</v>
      </c>
      <c r="AD325" s="65">
        <f t="shared" si="314"/>
        <v>66.3716814159292</v>
      </c>
      <c r="AE325" s="62">
        <f t="shared" si="319"/>
        <v>1.5</v>
      </c>
      <c r="AF325" s="63">
        <f t="shared" si="315"/>
        <v>0.301689460981496</v>
      </c>
      <c r="AG325" s="63">
        <f t="shared" si="316"/>
        <v>0.00681818181818182</v>
      </c>
      <c r="AH325" s="62">
        <v>12</v>
      </c>
      <c r="AI325" s="63">
        <f t="shared" si="317"/>
        <v>0.32993248312078</v>
      </c>
      <c r="AJ325" s="63"/>
      <c r="AK325" s="63"/>
      <c r="AL325" s="63"/>
      <c r="AM325" s="63"/>
      <c r="AN325" s="66"/>
      <c r="AO325" s="66"/>
      <c r="AP325" s="66"/>
      <c r="AQ325" s="66"/>
      <c r="AR325" s="66"/>
      <c r="AS325" s="66"/>
      <c r="AT325" s="66" t="s">
        <v>600</v>
      </c>
      <c r="AU325" s="66" t="s">
        <v>600</v>
      </c>
      <c r="AV325" s="66" t="s">
        <v>600</v>
      </c>
      <c r="AW325" s="66" t="s">
        <v>600</v>
      </c>
      <c r="AX325" s="66" t="s">
        <v>600</v>
      </c>
      <c r="AY325" s="66" t="s">
        <v>600</v>
      </c>
      <c r="AZ325" s="66" t="s">
        <v>600</v>
      </c>
      <c r="BA325" s="66" t="s">
        <v>600</v>
      </c>
      <c r="BB325" s="66" t="s">
        <v>600</v>
      </c>
      <c r="BC325" s="66" t="s">
        <v>600</v>
      </c>
      <c r="BD325" s="66" t="s">
        <v>600</v>
      </c>
      <c r="BE325" s="66" t="s">
        <v>600</v>
      </c>
      <c r="BF325" s="66" t="s">
        <v>600</v>
      </c>
      <c r="BG325" s="66" t="s">
        <v>600</v>
      </c>
      <c r="BH325" s="66" t="s">
        <v>600</v>
      </c>
      <c r="BI325" s="66" t="s">
        <v>600</v>
      </c>
      <c r="BJ325" s="66" t="s">
        <v>600</v>
      </c>
      <c r="BK325" s="66" t="s">
        <v>600</v>
      </c>
      <c r="BL325" s="66" t="s">
        <v>600</v>
      </c>
      <c r="BM325" s="66" t="s">
        <v>600</v>
      </c>
      <c r="BN325" s="66" t="s">
        <v>600</v>
      </c>
      <c r="BO325" s="66" t="s">
        <v>600</v>
      </c>
      <c r="BP325" s="66" t="s">
        <v>600</v>
      </c>
      <c r="BQ325" s="66" t="s">
        <v>600</v>
      </c>
      <c r="BR325" s="164"/>
      <c r="BS325" s="68" t="s">
        <v>601</v>
      </c>
    </row>
    <row r="326" ht="15.6" hidden="1" spans="1:71">
      <c r="A326" s="53" t="s">
        <v>511</v>
      </c>
      <c r="B326" s="53" t="s">
        <v>27</v>
      </c>
      <c r="C326" s="171" t="s">
        <v>109</v>
      </c>
      <c r="D326" s="183" t="s">
        <v>694</v>
      </c>
      <c r="E326" s="179">
        <v>27.5</v>
      </c>
      <c r="F326" s="56">
        <v>39.99</v>
      </c>
      <c r="G326" s="59">
        <f t="shared" si="299"/>
        <v>35.991</v>
      </c>
      <c r="H326" s="59">
        <f t="shared" si="300"/>
        <v>29.9925</v>
      </c>
      <c r="I326" s="165">
        <f t="shared" si="301"/>
        <v>2.66578982300885</v>
      </c>
      <c r="J326" s="60">
        <f t="shared" si="302"/>
        <v>0.0969378117457763</v>
      </c>
      <c r="K326" s="57">
        <f t="shared" si="303"/>
        <v>33.325</v>
      </c>
      <c r="L326" s="163">
        <f t="shared" si="304"/>
        <v>0.174793698424606</v>
      </c>
      <c r="M326" s="59">
        <f t="shared" si="305"/>
        <v>5.825</v>
      </c>
      <c r="N326" s="57">
        <f t="shared" si="318"/>
        <v>78.3716814159292</v>
      </c>
      <c r="O326" s="57">
        <f t="shared" si="306"/>
        <v>0.59375</v>
      </c>
      <c r="P326" s="53">
        <v>24</v>
      </c>
      <c r="Q326" s="62">
        <v>8</v>
      </c>
      <c r="R326" s="63">
        <f t="shared" si="307"/>
        <v>0.181818181818182</v>
      </c>
      <c r="S326" s="60">
        <f t="shared" si="308"/>
        <v>0.125031257814454</v>
      </c>
      <c r="T326" s="63">
        <f t="shared" si="309"/>
        <v>0.145418181818182</v>
      </c>
      <c r="U326" s="63">
        <v>0.01</v>
      </c>
      <c r="V326" s="63">
        <f t="shared" si="310"/>
        <v>0.356234915526951</v>
      </c>
      <c r="W326" s="63">
        <f t="shared" si="311"/>
        <v>0.0215909090909091</v>
      </c>
      <c r="X326" s="61">
        <v>0.188</v>
      </c>
      <c r="Y326" s="64">
        <v>5</v>
      </c>
      <c r="Z326" s="64">
        <f>F326*0.1</f>
        <v>3.999</v>
      </c>
      <c r="AA326" s="64">
        <f t="shared" si="312"/>
        <v>0.275</v>
      </c>
      <c r="AB326" s="57">
        <f t="shared" si="313"/>
        <v>5.17</v>
      </c>
      <c r="AC326" s="57">
        <v>75</v>
      </c>
      <c r="AD326" s="65">
        <f t="shared" si="314"/>
        <v>66.3716814159292</v>
      </c>
      <c r="AE326" s="62">
        <f t="shared" si="319"/>
        <v>1.5</v>
      </c>
      <c r="AF326" s="63">
        <f t="shared" si="315"/>
        <v>0.301689460981496</v>
      </c>
      <c r="AG326" s="63">
        <f t="shared" si="316"/>
        <v>0.00681818181818182</v>
      </c>
      <c r="AH326" s="62">
        <v>12</v>
      </c>
      <c r="AI326" s="63">
        <f t="shared" si="317"/>
        <v>0.255480536800867</v>
      </c>
      <c r="AJ326" s="63"/>
      <c r="AK326" s="63"/>
      <c r="AL326" s="63"/>
      <c r="AM326" s="63"/>
      <c r="AN326" s="66"/>
      <c r="AO326" s="66"/>
      <c r="AP326" s="66"/>
      <c r="AQ326" s="66"/>
      <c r="AR326" s="66"/>
      <c r="AS326" s="66"/>
      <c r="AT326" s="66" t="s">
        <v>600</v>
      </c>
      <c r="AU326" s="66" t="s">
        <v>600</v>
      </c>
      <c r="AV326" s="66" t="s">
        <v>600</v>
      </c>
      <c r="AW326" s="66" t="s">
        <v>600</v>
      </c>
      <c r="AX326" s="66" t="s">
        <v>600</v>
      </c>
      <c r="AY326" s="66" t="s">
        <v>600</v>
      </c>
      <c r="AZ326" s="66" t="s">
        <v>600</v>
      </c>
      <c r="BA326" s="66" t="s">
        <v>600</v>
      </c>
      <c r="BB326" s="66" t="s">
        <v>600</v>
      </c>
      <c r="BC326" s="66" t="s">
        <v>600</v>
      </c>
      <c r="BD326" s="66" t="s">
        <v>600</v>
      </c>
      <c r="BE326" s="66" t="s">
        <v>600</v>
      </c>
      <c r="BF326" s="66" t="s">
        <v>600</v>
      </c>
      <c r="BG326" s="66" t="s">
        <v>600</v>
      </c>
      <c r="BH326" s="66" t="s">
        <v>600</v>
      </c>
      <c r="BI326" s="66" t="s">
        <v>600</v>
      </c>
      <c r="BJ326" s="66" t="s">
        <v>600</v>
      </c>
      <c r="BK326" s="66" t="s">
        <v>600</v>
      </c>
      <c r="BL326" s="66" t="s">
        <v>600</v>
      </c>
      <c r="BM326" s="66" t="s">
        <v>600</v>
      </c>
      <c r="BN326" s="66" t="s">
        <v>600</v>
      </c>
      <c r="BO326" s="66" t="s">
        <v>600</v>
      </c>
      <c r="BP326" s="66" t="s">
        <v>600</v>
      </c>
      <c r="BQ326" s="66" t="s">
        <v>600</v>
      </c>
      <c r="BR326" s="164"/>
      <c r="BS326" s="68" t="s">
        <v>601</v>
      </c>
    </row>
    <row r="327" ht="15.6" hidden="1" spans="1:71">
      <c r="A327" s="53" t="s">
        <v>511</v>
      </c>
      <c r="B327" s="53" t="s">
        <v>27</v>
      </c>
      <c r="C327" s="171" t="s">
        <v>109</v>
      </c>
      <c r="D327" s="183" t="s">
        <v>695</v>
      </c>
      <c r="E327" s="179">
        <v>27.5</v>
      </c>
      <c r="F327" s="56">
        <v>39.99</v>
      </c>
      <c r="G327" s="59">
        <f t="shared" si="299"/>
        <v>33.9915</v>
      </c>
      <c r="H327" s="59">
        <f t="shared" si="300"/>
        <v>28.32625</v>
      </c>
      <c r="I327" s="59">
        <f t="shared" si="301"/>
        <v>0.66628982300885</v>
      </c>
      <c r="J327" s="60">
        <f t="shared" si="302"/>
        <v>0.0242287208366854</v>
      </c>
      <c r="K327" s="57">
        <f t="shared" si="303"/>
        <v>33.325</v>
      </c>
      <c r="L327" s="163">
        <f t="shared" si="304"/>
        <v>0.174793698424606</v>
      </c>
      <c r="M327" s="59">
        <f t="shared" si="305"/>
        <v>5.825</v>
      </c>
      <c r="N327" s="57">
        <f t="shared" si="318"/>
        <v>78.3716814159292</v>
      </c>
      <c r="O327" s="57">
        <f t="shared" si="306"/>
        <v>0.59375</v>
      </c>
      <c r="P327" s="53">
        <v>24</v>
      </c>
      <c r="Q327" s="62">
        <v>8</v>
      </c>
      <c r="R327" s="63">
        <f t="shared" si="307"/>
        <v>0.181818181818182</v>
      </c>
      <c r="S327" s="60">
        <f t="shared" si="308"/>
        <v>0.125031257814454</v>
      </c>
      <c r="T327" s="63">
        <f t="shared" si="309"/>
        <v>0.218127272727273</v>
      </c>
      <c r="U327" s="63">
        <v>0.01</v>
      </c>
      <c r="V327" s="63">
        <f t="shared" si="310"/>
        <v>0.356234915526951</v>
      </c>
      <c r="W327" s="63">
        <f t="shared" si="311"/>
        <v>0.0215909090909091</v>
      </c>
      <c r="X327" s="61">
        <v>0.188</v>
      </c>
      <c r="Y327" s="64">
        <v>5</v>
      </c>
      <c r="Z327" s="64">
        <f>F327*0.15</f>
        <v>5.9985</v>
      </c>
      <c r="AA327" s="64">
        <f t="shared" si="312"/>
        <v>0.275</v>
      </c>
      <c r="AB327" s="57">
        <f t="shared" si="313"/>
        <v>5.17</v>
      </c>
      <c r="AC327" s="57">
        <v>75</v>
      </c>
      <c r="AD327" s="65">
        <f t="shared" si="314"/>
        <v>66.3716814159292</v>
      </c>
      <c r="AE327" s="62">
        <f t="shared" si="319"/>
        <v>1.5</v>
      </c>
      <c r="AF327" s="63">
        <f t="shared" si="315"/>
        <v>0.301689460981496</v>
      </c>
      <c r="AG327" s="63">
        <f t="shared" si="316"/>
        <v>0.00681818181818182</v>
      </c>
      <c r="AH327" s="62">
        <v>12</v>
      </c>
      <c r="AI327" s="63">
        <f t="shared" si="317"/>
        <v>0.211685274259741</v>
      </c>
      <c r="AJ327" s="63"/>
      <c r="AK327" s="63"/>
      <c r="AL327" s="63"/>
      <c r="AM327" s="63"/>
      <c r="AN327" s="66"/>
      <c r="AO327" s="66"/>
      <c r="AP327" s="66"/>
      <c r="AQ327" s="66"/>
      <c r="AR327" s="66"/>
      <c r="AS327" s="66"/>
      <c r="AT327" s="66" t="s">
        <v>600</v>
      </c>
      <c r="AU327" s="66" t="s">
        <v>600</v>
      </c>
      <c r="AV327" s="66" t="s">
        <v>600</v>
      </c>
      <c r="AW327" s="66" t="s">
        <v>600</v>
      </c>
      <c r="AX327" s="66" t="s">
        <v>600</v>
      </c>
      <c r="AY327" s="66" t="s">
        <v>600</v>
      </c>
      <c r="AZ327" s="66" t="s">
        <v>600</v>
      </c>
      <c r="BA327" s="66" t="s">
        <v>600</v>
      </c>
      <c r="BB327" s="66" t="s">
        <v>600</v>
      </c>
      <c r="BC327" s="66" t="s">
        <v>600</v>
      </c>
      <c r="BD327" s="66" t="s">
        <v>600</v>
      </c>
      <c r="BE327" s="66" t="s">
        <v>600</v>
      </c>
      <c r="BF327" s="66" t="s">
        <v>600</v>
      </c>
      <c r="BG327" s="66" t="s">
        <v>600</v>
      </c>
      <c r="BH327" s="66" t="s">
        <v>600</v>
      </c>
      <c r="BI327" s="66" t="s">
        <v>600</v>
      </c>
      <c r="BJ327" s="66" t="s">
        <v>600</v>
      </c>
      <c r="BK327" s="66" t="s">
        <v>600</v>
      </c>
      <c r="BL327" s="66" t="s">
        <v>600</v>
      </c>
      <c r="BM327" s="66" t="s">
        <v>600</v>
      </c>
      <c r="BN327" s="66" t="s">
        <v>600</v>
      </c>
      <c r="BO327" s="66" t="s">
        <v>600</v>
      </c>
      <c r="BP327" s="66" t="s">
        <v>600</v>
      </c>
      <c r="BQ327" s="66" t="s">
        <v>600</v>
      </c>
      <c r="BR327" s="164"/>
      <c r="BS327" s="68" t="s">
        <v>601</v>
      </c>
    </row>
    <row r="328" ht="15.6" hidden="1" spans="1:71">
      <c r="A328" s="53" t="s">
        <v>513</v>
      </c>
      <c r="B328" s="53" t="s">
        <v>27</v>
      </c>
      <c r="C328" s="171" t="s">
        <v>109</v>
      </c>
      <c r="D328" s="183" t="s">
        <v>693</v>
      </c>
      <c r="E328" s="179">
        <v>27.5</v>
      </c>
      <c r="F328" s="56">
        <v>39.99</v>
      </c>
      <c r="G328" s="59">
        <f t="shared" si="299"/>
        <v>39.99</v>
      </c>
      <c r="H328" s="59">
        <f t="shared" si="300"/>
        <v>33.325</v>
      </c>
      <c r="I328" s="59">
        <f t="shared" si="301"/>
        <v>6.62312315634218</v>
      </c>
      <c r="J328" s="60">
        <f t="shared" si="302"/>
        <v>0.240840842048807</v>
      </c>
      <c r="K328" s="57">
        <f t="shared" si="303"/>
        <v>33.325</v>
      </c>
      <c r="L328" s="163">
        <f t="shared" si="304"/>
        <v>0.174793698424606</v>
      </c>
      <c r="M328" s="59">
        <f t="shared" si="305"/>
        <v>5.825</v>
      </c>
      <c r="N328" s="57">
        <f t="shared" si="318"/>
        <v>78.3716814159292</v>
      </c>
      <c r="O328" s="57">
        <f t="shared" si="306"/>
        <v>0.635416666666667</v>
      </c>
      <c r="P328" s="53">
        <v>24</v>
      </c>
      <c r="Q328" s="62">
        <v>8</v>
      </c>
      <c r="R328" s="63">
        <f t="shared" si="307"/>
        <v>0.181818181818182</v>
      </c>
      <c r="S328" s="60">
        <f t="shared" si="308"/>
        <v>0.125031257814454</v>
      </c>
      <c r="T328" s="63">
        <f t="shared" si="309"/>
        <v>0</v>
      </c>
      <c r="U328" s="63">
        <v>0.01</v>
      </c>
      <c r="V328" s="63">
        <f t="shared" si="310"/>
        <v>0.356234915526951</v>
      </c>
      <c r="W328" s="63">
        <f t="shared" si="311"/>
        <v>0.0231060606060606</v>
      </c>
      <c r="X328" s="61">
        <v>0.188</v>
      </c>
      <c r="Y328" s="64">
        <v>5</v>
      </c>
      <c r="Z328" s="64">
        <v>0</v>
      </c>
      <c r="AA328" s="64">
        <f t="shared" si="312"/>
        <v>0.275</v>
      </c>
      <c r="AB328" s="57">
        <f t="shared" si="313"/>
        <v>5.17</v>
      </c>
      <c r="AC328" s="57">
        <v>75</v>
      </c>
      <c r="AD328" s="65">
        <f t="shared" si="314"/>
        <v>66.3716814159292</v>
      </c>
      <c r="AE328" s="62">
        <f t="shared" si="319"/>
        <v>1.5</v>
      </c>
      <c r="AF328" s="63">
        <f t="shared" si="315"/>
        <v>0.301689460981496</v>
      </c>
      <c r="AG328" s="63">
        <f t="shared" si="316"/>
        <v>0.00681818181818182</v>
      </c>
      <c r="AH328" s="62">
        <v>12</v>
      </c>
      <c r="AI328" s="60">
        <f t="shared" si="317"/>
        <v>0.32993248312078</v>
      </c>
      <c r="AJ328" s="60"/>
      <c r="AK328" s="60"/>
      <c r="AL328" s="60"/>
      <c r="AM328" s="60"/>
      <c r="AN328" s="66"/>
      <c r="AO328" s="66"/>
      <c r="AP328" s="66"/>
      <c r="AQ328" s="66"/>
      <c r="AR328" s="66"/>
      <c r="AS328" s="66"/>
      <c r="AT328" s="66" t="s">
        <v>600</v>
      </c>
      <c r="AU328" s="66" t="s">
        <v>600</v>
      </c>
      <c r="AV328" s="66" t="s">
        <v>600</v>
      </c>
      <c r="AW328" s="66" t="s">
        <v>600</v>
      </c>
      <c r="AX328" s="66" t="s">
        <v>600</v>
      </c>
      <c r="AY328" s="66" t="s">
        <v>600</v>
      </c>
      <c r="AZ328" s="66" t="s">
        <v>600</v>
      </c>
      <c r="BA328" s="66" t="s">
        <v>600</v>
      </c>
      <c r="BB328" s="66" t="s">
        <v>600</v>
      </c>
      <c r="BC328" s="66" t="s">
        <v>600</v>
      </c>
      <c r="BD328" s="66" t="s">
        <v>600</v>
      </c>
      <c r="BE328" s="66" t="s">
        <v>600</v>
      </c>
      <c r="BF328" s="66" t="s">
        <v>600</v>
      </c>
      <c r="BG328" s="66" t="s">
        <v>600</v>
      </c>
      <c r="BH328" s="66" t="s">
        <v>600</v>
      </c>
      <c r="BI328" s="66" t="s">
        <v>600</v>
      </c>
      <c r="BJ328" s="66" t="s">
        <v>600</v>
      </c>
      <c r="BK328" s="66" t="s">
        <v>600</v>
      </c>
      <c r="BL328" s="66" t="s">
        <v>600</v>
      </c>
      <c r="BM328" s="66" t="s">
        <v>600</v>
      </c>
      <c r="BN328" s="66" t="s">
        <v>600</v>
      </c>
      <c r="BO328" s="66" t="s">
        <v>600</v>
      </c>
      <c r="BP328" s="66" t="s">
        <v>600</v>
      </c>
      <c r="BQ328" s="66" t="s">
        <v>600</v>
      </c>
      <c r="BR328" s="164"/>
      <c r="BS328" s="68" t="s">
        <v>601</v>
      </c>
    </row>
    <row r="329" ht="15.6" hidden="1" spans="1:71">
      <c r="A329" s="53" t="s">
        <v>513</v>
      </c>
      <c r="B329" s="53" t="s">
        <v>27</v>
      </c>
      <c r="C329" s="171" t="s">
        <v>109</v>
      </c>
      <c r="D329" s="183" t="s">
        <v>694</v>
      </c>
      <c r="E329" s="179">
        <v>27.5</v>
      </c>
      <c r="F329" s="56">
        <v>39.99</v>
      </c>
      <c r="G329" s="59">
        <f t="shared" si="299"/>
        <v>35.991</v>
      </c>
      <c r="H329" s="59">
        <f t="shared" si="300"/>
        <v>29.9925</v>
      </c>
      <c r="I329" s="165">
        <f t="shared" si="301"/>
        <v>2.62412315634218</v>
      </c>
      <c r="J329" s="60">
        <f t="shared" si="302"/>
        <v>0.0954226602306248</v>
      </c>
      <c r="K329" s="57">
        <f t="shared" si="303"/>
        <v>33.325</v>
      </c>
      <c r="L329" s="163">
        <f t="shared" si="304"/>
        <v>0.174793698424606</v>
      </c>
      <c r="M329" s="59">
        <f t="shared" si="305"/>
        <v>5.825</v>
      </c>
      <c r="N329" s="57">
        <f t="shared" si="318"/>
        <v>78.3716814159292</v>
      </c>
      <c r="O329" s="57">
        <f t="shared" si="306"/>
        <v>0.635416666666667</v>
      </c>
      <c r="P329" s="53">
        <v>24</v>
      </c>
      <c r="Q329" s="62">
        <v>8</v>
      </c>
      <c r="R329" s="63">
        <f t="shared" si="307"/>
        <v>0.181818181818182</v>
      </c>
      <c r="S329" s="60">
        <f t="shared" si="308"/>
        <v>0.125031257814454</v>
      </c>
      <c r="T329" s="63">
        <f t="shared" si="309"/>
        <v>0.145418181818182</v>
      </c>
      <c r="U329" s="63">
        <v>0.01</v>
      </c>
      <c r="V329" s="63">
        <f t="shared" si="310"/>
        <v>0.356234915526951</v>
      </c>
      <c r="W329" s="63">
        <f t="shared" si="311"/>
        <v>0.0231060606060606</v>
      </c>
      <c r="X329" s="61">
        <v>0.188</v>
      </c>
      <c r="Y329" s="64">
        <v>5</v>
      </c>
      <c r="Z329" s="64">
        <f>F329*0.1</f>
        <v>3.999</v>
      </c>
      <c r="AA329" s="64">
        <f t="shared" si="312"/>
        <v>0.275</v>
      </c>
      <c r="AB329" s="57">
        <f t="shared" si="313"/>
        <v>5.17</v>
      </c>
      <c r="AC329" s="57">
        <v>75</v>
      </c>
      <c r="AD329" s="65">
        <f t="shared" si="314"/>
        <v>66.3716814159292</v>
      </c>
      <c r="AE329" s="62">
        <f t="shared" si="319"/>
        <v>1.5</v>
      </c>
      <c r="AF329" s="63">
        <f t="shared" si="315"/>
        <v>0.301689460981496</v>
      </c>
      <c r="AG329" s="63">
        <f t="shared" si="316"/>
        <v>0.00681818181818182</v>
      </c>
      <c r="AH329" s="62">
        <v>12</v>
      </c>
      <c r="AI329" s="60">
        <f t="shared" si="317"/>
        <v>0.255480536800867</v>
      </c>
      <c r="AJ329" s="60"/>
      <c r="AK329" s="60"/>
      <c r="AL329" s="60"/>
      <c r="AM329" s="60"/>
      <c r="AN329" s="66"/>
      <c r="AO329" s="66"/>
      <c r="AP329" s="66"/>
      <c r="AQ329" s="66"/>
      <c r="AR329" s="66"/>
      <c r="AS329" s="66"/>
      <c r="AT329" s="66" t="s">
        <v>600</v>
      </c>
      <c r="AU329" s="66" t="s">
        <v>600</v>
      </c>
      <c r="AV329" s="66" t="s">
        <v>600</v>
      </c>
      <c r="AW329" s="66" t="s">
        <v>600</v>
      </c>
      <c r="AX329" s="66" t="s">
        <v>600</v>
      </c>
      <c r="AY329" s="66" t="s">
        <v>600</v>
      </c>
      <c r="AZ329" s="66" t="s">
        <v>600</v>
      </c>
      <c r="BA329" s="66" t="s">
        <v>600</v>
      </c>
      <c r="BB329" s="66" t="s">
        <v>600</v>
      </c>
      <c r="BC329" s="66" t="s">
        <v>600</v>
      </c>
      <c r="BD329" s="66" t="s">
        <v>600</v>
      </c>
      <c r="BE329" s="66" t="s">
        <v>600</v>
      </c>
      <c r="BF329" s="66" t="s">
        <v>600</v>
      </c>
      <c r="BG329" s="66" t="s">
        <v>600</v>
      </c>
      <c r="BH329" s="66" t="s">
        <v>600</v>
      </c>
      <c r="BI329" s="66" t="s">
        <v>600</v>
      </c>
      <c r="BJ329" s="66" t="s">
        <v>600</v>
      </c>
      <c r="BK329" s="66" t="s">
        <v>600</v>
      </c>
      <c r="BL329" s="66" t="s">
        <v>600</v>
      </c>
      <c r="BM329" s="66" t="s">
        <v>600</v>
      </c>
      <c r="BN329" s="66" t="s">
        <v>600</v>
      </c>
      <c r="BO329" s="66" t="s">
        <v>600</v>
      </c>
      <c r="BP329" s="66" t="s">
        <v>600</v>
      </c>
      <c r="BQ329" s="66" t="s">
        <v>600</v>
      </c>
      <c r="BR329" s="164"/>
      <c r="BS329" s="68" t="s">
        <v>601</v>
      </c>
    </row>
    <row r="330" ht="15.6" hidden="1" spans="1:71">
      <c r="A330" s="53" t="s">
        <v>513</v>
      </c>
      <c r="B330" s="53" t="s">
        <v>27</v>
      </c>
      <c r="C330" s="171" t="s">
        <v>109</v>
      </c>
      <c r="D330" s="183" t="s">
        <v>695</v>
      </c>
      <c r="E330" s="179">
        <v>27.5</v>
      </c>
      <c r="F330" s="56">
        <v>39.99</v>
      </c>
      <c r="G330" s="59">
        <f t="shared" si="299"/>
        <v>33.9915</v>
      </c>
      <c r="H330" s="59">
        <f t="shared" si="300"/>
        <v>28.32625</v>
      </c>
      <c r="I330" s="59">
        <f t="shared" si="301"/>
        <v>0.624623156342183</v>
      </c>
      <c r="J330" s="60">
        <f t="shared" si="302"/>
        <v>0.0227135693215339</v>
      </c>
      <c r="K330" s="57">
        <f t="shared" si="303"/>
        <v>33.325</v>
      </c>
      <c r="L330" s="163">
        <f t="shared" si="304"/>
        <v>0.174793698424606</v>
      </c>
      <c r="M330" s="59">
        <f t="shared" si="305"/>
        <v>5.825</v>
      </c>
      <c r="N330" s="57">
        <f t="shared" si="318"/>
        <v>78.3716814159292</v>
      </c>
      <c r="O330" s="57">
        <f t="shared" si="306"/>
        <v>0.635416666666667</v>
      </c>
      <c r="P330" s="53">
        <v>24</v>
      </c>
      <c r="Q330" s="62">
        <v>8</v>
      </c>
      <c r="R330" s="63">
        <f t="shared" si="307"/>
        <v>0.181818181818182</v>
      </c>
      <c r="S330" s="60">
        <f t="shared" si="308"/>
        <v>0.125031257814454</v>
      </c>
      <c r="T330" s="63">
        <f t="shared" si="309"/>
        <v>0.218127272727273</v>
      </c>
      <c r="U330" s="63">
        <v>0.01</v>
      </c>
      <c r="V330" s="63">
        <f t="shared" si="310"/>
        <v>0.356234915526951</v>
      </c>
      <c r="W330" s="63">
        <f t="shared" si="311"/>
        <v>0.0231060606060606</v>
      </c>
      <c r="X330" s="61">
        <v>0.188</v>
      </c>
      <c r="Y330" s="64">
        <v>5</v>
      </c>
      <c r="Z330" s="64">
        <f>F330*0.15</f>
        <v>5.9985</v>
      </c>
      <c r="AA330" s="64">
        <f t="shared" si="312"/>
        <v>0.275</v>
      </c>
      <c r="AB330" s="57">
        <f t="shared" si="313"/>
        <v>5.17</v>
      </c>
      <c r="AC330" s="57">
        <v>75</v>
      </c>
      <c r="AD330" s="65">
        <f t="shared" si="314"/>
        <v>66.3716814159292</v>
      </c>
      <c r="AE330" s="62">
        <f t="shared" si="319"/>
        <v>1.5</v>
      </c>
      <c r="AF330" s="63">
        <f t="shared" si="315"/>
        <v>0.301689460981496</v>
      </c>
      <c r="AG330" s="63">
        <f t="shared" si="316"/>
        <v>0.00681818181818182</v>
      </c>
      <c r="AH330" s="62">
        <v>12</v>
      </c>
      <c r="AI330" s="60">
        <f t="shared" si="317"/>
        <v>0.211685274259741</v>
      </c>
      <c r="AJ330" s="60"/>
      <c r="AK330" s="60"/>
      <c r="AL330" s="60"/>
      <c r="AM330" s="60"/>
      <c r="AN330" s="66"/>
      <c r="AO330" s="66"/>
      <c r="AP330" s="66"/>
      <c r="AQ330" s="66"/>
      <c r="AR330" s="66"/>
      <c r="AS330" s="66"/>
      <c r="AT330" s="66" t="s">
        <v>600</v>
      </c>
      <c r="AU330" s="66" t="s">
        <v>600</v>
      </c>
      <c r="AV330" s="66" t="s">
        <v>600</v>
      </c>
      <c r="AW330" s="66" t="s">
        <v>600</v>
      </c>
      <c r="AX330" s="66" t="s">
        <v>600</v>
      </c>
      <c r="AY330" s="66" t="s">
        <v>600</v>
      </c>
      <c r="AZ330" s="66" t="s">
        <v>600</v>
      </c>
      <c r="BA330" s="66" t="s">
        <v>600</v>
      </c>
      <c r="BB330" s="66" t="s">
        <v>600</v>
      </c>
      <c r="BC330" s="66" t="s">
        <v>600</v>
      </c>
      <c r="BD330" s="66" t="s">
        <v>600</v>
      </c>
      <c r="BE330" s="66" t="s">
        <v>600</v>
      </c>
      <c r="BF330" s="66" t="s">
        <v>600</v>
      </c>
      <c r="BG330" s="66" t="s">
        <v>600</v>
      </c>
      <c r="BH330" s="66" t="s">
        <v>600</v>
      </c>
      <c r="BI330" s="66" t="s">
        <v>600</v>
      </c>
      <c r="BJ330" s="66" t="s">
        <v>600</v>
      </c>
      <c r="BK330" s="66" t="s">
        <v>600</v>
      </c>
      <c r="BL330" s="66" t="s">
        <v>600</v>
      </c>
      <c r="BM330" s="66" t="s">
        <v>600</v>
      </c>
      <c r="BN330" s="66" t="s">
        <v>600</v>
      </c>
      <c r="BO330" s="66" t="s">
        <v>600</v>
      </c>
      <c r="BP330" s="66" t="s">
        <v>600</v>
      </c>
      <c r="BQ330" s="66" t="s">
        <v>600</v>
      </c>
      <c r="BR330" s="164"/>
      <c r="BS330" s="68" t="s">
        <v>601</v>
      </c>
    </row>
    <row r="331" ht="15.6" hidden="1" spans="1:71">
      <c r="A331" s="53" t="s">
        <v>516</v>
      </c>
      <c r="B331" s="53" t="s">
        <v>27</v>
      </c>
      <c r="C331" s="171" t="s">
        <v>109</v>
      </c>
      <c r="D331" s="183" t="s">
        <v>693</v>
      </c>
      <c r="E331" s="179">
        <v>27.5</v>
      </c>
      <c r="F331" s="56">
        <v>39.99</v>
      </c>
      <c r="G331" s="59">
        <f t="shared" si="299"/>
        <v>39.99</v>
      </c>
      <c r="H331" s="59">
        <f t="shared" si="300"/>
        <v>33.325</v>
      </c>
      <c r="I331" s="59">
        <f t="shared" si="301"/>
        <v>6.45645648967552</v>
      </c>
      <c r="J331" s="60">
        <f t="shared" si="302"/>
        <v>0.234780235988201</v>
      </c>
      <c r="K331" s="57">
        <f t="shared" si="303"/>
        <v>33.325</v>
      </c>
      <c r="L331" s="163">
        <f t="shared" si="304"/>
        <v>0.174793698424606</v>
      </c>
      <c r="M331" s="59">
        <f t="shared" si="305"/>
        <v>5.825</v>
      </c>
      <c r="N331" s="57">
        <f t="shared" si="318"/>
        <v>78.3716814159292</v>
      </c>
      <c r="O331" s="57">
        <f t="shared" si="306"/>
        <v>0.802083333333333</v>
      </c>
      <c r="P331" s="53">
        <v>24</v>
      </c>
      <c r="Q331" s="62">
        <v>8</v>
      </c>
      <c r="R331" s="63">
        <f t="shared" si="307"/>
        <v>0.181818181818182</v>
      </c>
      <c r="S331" s="60">
        <f t="shared" si="308"/>
        <v>0.125031257814454</v>
      </c>
      <c r="T331" s="63">
        <f t="shared" si="309"/>
        <v>0</v>
      </c>
      <c r="U331" s="63">
        <v>0.01</v>
      </c>
      <c r="V331" s="63">
        <f t="shared" si="310"/>
        <v>0.356234915526951</v>
      </c>
      <c r="W331" s="63">
        <f t="shared" si="311"/>
        <v>0.0291666666666667</v>
      </c>
      <c r="X331" s="61">
        <v>0.188</v>
      </c>
      <c r="Y331" s="64">
        <v>5</v>
      </c>
      <c r="Z331" s="64">
        <v>0</v>
      </c>
      <c r="AA331" s="64">
        <f t="shared" si="312"/>
        <v>0.275</v>
      </c>
      <c r="AB331" s="57">
        <f t="shared" si="313"/>
        <v>5.17</v>
      </c>
      <c r="AC331" s="57">
        <v>75</v>
      </c>
      <c r="AD331" s="65">
        <f t="shared" si="314"/>
        <v>66.3716814159292</v>
      </c>
      <c r="AE331" s="62">
        <f t="shared" si="319"/>
        <v>1.5</v>
      </c>
      <c r="AF331" s="63">
        <f t="shared" si="315"/>
        <v>0.301689460981496</v>
      </c>
      <c r="AG331" s="63">
        <f t="shared" si="316"/>
        <v>0.00681818181818182</v>
      </c>
      <c r="AH331" s="62">
        <v>12</v>
      </c>
      <c r="AI331" s="63">
        <f t="shared" si="317"/>
        <v>0.32993248312078</v>
      </c>
      <c r="AJ331" s="63"/>
      <c r="AK331" s="63"/>
      <c r="AL331" s="63"/>
      <c r="AM331" s="63"/>
      <c r="AN331" s="66"/>
      <c r="AO331" s="66"/>
      <c r="AP331" s="66"/>
      <c r="AQ331" s="66"/>
      <c r="AR331" s="66"/>
      <c r="AS331" s="66"/>
      <c r="AT331" s="66" t="s">
        <v>600</v>
      </c>
      <c r="AU331" s="66" t="s">
        <v>600</v>
      </c>
      <c r="AV331" s="66" t="s">
        <v>600</v>
      </c>
      <c r="AW331" s="66" t="s">
        <v>600</v>
      </c>
      <c r="AX331" s="66" t="s">
        <v>600</v>
      </c>
      <c r="AY331" s="66" t="s">
        <v>600</v>
      </c>
      <c r="AZ331" s="66" t="s">
        <v>600</v>
      </c>
      <c r="BA331" s="66" t="s">
        <v>600</v>
      </c>
      <c r="BB331" s="66" t="s">
        <v>600</v>
      </c>
      <c r="BC331" s="66" t="s">
        <v>600</v>
      </c>
      <c r="BD331" s="66" t="s">
        <v>600</v>
      </c>
      <c r="BE331" s="66" t="s">
        <v>600</v>
      </c>
      <c r="BF331" s="66" t="s">
        <v>600</v>
      </c>
      <c r="BG331" s="66" t="s">
        <v>600</v>
      </c>
      <c r="BH331" s="66" t="s">
        <v>600</v>
      </c>
      <c r="BI331" s="66" t="s">
        <v>600</v>
      </c>
      <c r="BJ331" s="66" t="s">
        <v>600</v>
      </c>
      <c r="BK331" s="66" t="s">
        <v>600</v>
      </c>
      <c r="BL331" s="66" t="s">
        <v>600</v>
      </c>
      <c r="BM331" s="66" t="s">
        <v>600</v>
      </c>
      <c r="BN331" s="66" t="s">
        <v>600</v>
      </c>
      <c r="BO331" s="66" t="s">
        <v>600</v>
      </c>
      <c r="BP331" s="66" t="s">
        <v>600</v>
      </c>
      <c r="BQ331" s="66" t="s">
        <v>600</v>
      </c>
      <c r="BR331" s="164"/>
      <c r="BS331" s="68" t="s">
        <v>601</v>
      </c>
    </row>
    <row r="332" ht="15.6" hidden="1" spans="1:71">
      <c r="A332" s="53" t="s">
        <v>516</v>
      </c>
      <c r="B332" s="53" t="s">
        <v>27</v>
      </c>
      <c r="C332" s="171" t="s">
        <v>109</v>
      </c>
      <c r="D332" s="183" t="s">
        <v>694</v>
      </c>
      <c r="E332" s="179">
        <v>27.5</v>
      </c>
      <c r="F332" s="56">
        <v>39.99</v>
      </c>
      <c r="G332" s="59">
        <f t="shared" si="299"/>
        <v>35.991</v>
      </c>
      <c r="H332" s="59">
        <f t="shared" si="300"/>
        <v>29.9925</v>
      </c>
      <c r="I332" s="165">
        <f t="shared" si="301"/>
        <v>2.45745648967552</v>
      </c>
      <c r="J332" s="60">
        <f t="shared" si="302"/>
        <v>0.0893620541700188</v>
      </c>
      <c r="K332" s="57">
        <f t="shared" si="303"/>
        <v>33.325</v>
      </c>
      <c r="L332" s="163">
        <f t="shared" si="304"/>
        <v>0.174793698424606</v>
      </c>
      <c r="M332" s="59">
        <f t="shared" si="305"/>
        <v>5.825</v>
      </c>
      <c r="N332" s="57">
        <f t="shared" si="318"/>
        <v>78.3716814159292</v>
      </c>
      <c r="O332" s="57">
        <f t="shared" si="306"/>
        <v>0.802083333333333</v>
      </c>
      <c r="P332" s="53">
        <v>24</v>
      </c>
      <c r="Q332" s="62">
        <v>8</v>
      </c>
      <c r="R332" s="63">
        <f t="shared" si="307"/>
        <v>0.181818181818182</v>
      </c>
      <c r="S332" s="60">
        <f t="shared" si="308"/>
        <v>0.125031257814454</v>
      </c>
      <c r="T332" s="63">
        <f t="shared" si="309"/>
        <v>0.145418181818182</v>
      </c>
      <c r="U332" s="63">
        <v>0.01</v>
      </c>
      <c r="V332" s="63">
        <f t="shared" si="310"/>
        <v>0.356234915526951</v>
      </c>
      <c r="W332" s="63">
        <f t="shared" si="311"/>
        <v>0.0291666666666667</v>
      </c>
      <c r="X332" s="61">
        <v>0.188</v>
      </c>
      <c r="Y332" s="64">
        <v>5</v>
      </c>
      <c r="Z332" s="64">
        <f>F332*0.1</f>
        <v>3.999</v>
      </c>
      <c r="AA332" s="64">
        <f t="shared" si="312"/>
        <v>0.275</v>
      </c>
      <c r="AB332" s="57">
        <f t="shared" si="313"/>
        <v>5.17</v>
      </c>
      <c r="AC332" s="57">
        <v>75</v>
      </c>
      <c r="AD332" s="65">
        <f t="shared" si="314"/>
        <v>66.3716814159292</v>
      </c>
      <c r="AE332" s="62">
        <f t="shared" si="319"/>
        <v>1.5</v>
      </c>
      <c r="AF332" s="63">
        <f t="shared" si="315"/>
        <v>0.301689460981496</v>
      </c>
      <c r="AG332" s="63">
        <f t="shared" si="316"/>
        <v>0.00681818181818182</v>
      </c>
      <c r="AH332" s="62">
        <v>12</v>
      </c>
      <c r="AI332" s="63">
        <f t="shared" si="317"/>
        <v>0.255480536800867</v>
      </c>
      <c r="AJ332" s="63"/>
      <c r="AK332" s="63"/>
      <c r="AL332" s="63"/>
      <c r="AM332" s="63"/>
      <c r="AN332" s="66"/>
      <c r="AO332" s="66"/>
      <c r="AP332" s="66"/>
      <c r="AQ332" s="66"/>
      <c r="AR332" s="66"/>
      <c r="AS332" s="66"/>
      <c r="AT332" s="66" t="s">
        <v>600</v>
      </c>
      <c r="AU332" s="66" t="s">
        <v>600</v>
      </c>
      <c r="AV332" s="66" t="s">
        <v>600</v>
      </c>
      <c r="AW332" s="66" t="s">
        <v>600</v>
      </c>
      <c r="AX332" s="66" t="s">
        <v>600</v>
      </c>
      <c r="AY332" s="66" t="s">
        <v>600</v>
      </c>
      <c r="AZ332" s="66" t="s">
        <v>600</v>
      </c>
      <c r="BA332" s="66" t="s">
        <v>600</v>
      </c>
      <c r="BB332" s="66" t="s">
        <v>600</v>
      </c>
      <c r="BC332" s="66" t="s">
        <v>600</v>
      </c>
      <c r="BD332" s="66" t="s">
        <v>600</v>
      </c>
      <c r="BE332" s="66" t="s">
        <v>600</v>
      </c>
      <c r="BF332" s="66" t="s">
        <v>600</v>
      </c>
      <c r="BG332" s="66" t="s">
        <v>600</v>
      </c>
      <c r="BH332" s="66" t="s">
        <v>600</v>
      </c>
      <c r="BI332" s="66" t="s">
        <v>600</v>
      </c>
      <c r="BJ332" s="66" t="s">
        <v>600</v>
      </c>
      <c r="BK332" s="66" t="s">
        <v>600</v>
      </c>
      <c r="BL332" s="66" t="s">
        <v>600</v>
      </c>
      <c r="BM332" s="66" t="s">
        <v>600</v>
      </c>
      <c r="BN332" s="66" t="s">
        <v>600</v>
      </c>
      <c r="BO332" s="66" t="s">
        <v>600</v>
      </c>
      <c r="BP332" s="66" t="s">
        <v>600</v>
      </c>
      <c r="BQ332" s="66" t="s">
        <v>600</v>
      </c>
      <c r="BR332" s="164"/>
      <c r="BS332" s="68" t="s">
        <v>601</v>
      </c>
    </row>
    <row r="333" ht="15.6" hidden="1" spans="1:71">
      <c r="A333" s="53" t="s">
        <v>516</v>
      </c>
      <c r="B333" s="53" t="s">
        <v>27</v>
      </c>
      <c r="C333" s="171" t="s">
        <v>109</v>
      </c>
      <c r="D333" s="183" t="s">
        <v>695</v>
      </c>
      <c r="E333" s="179">
        <v>27.5</v>
      </c>
      <c r="F333" s="56">
        <v>39.99</v>
      </c>
      <c r="G333" s="59">
        <f t="shared" si="299"/>
        <v>33.9915</v>
      </c>
      <c r="H333" s="59">
        <f t="shared" si="300"/>
        <v>28.32625</v>
      </c>
      <c r="I333" s="59">
        <f t="shared" si="301"/>
        <v>0.457956489675517</v>
      </c>
      <c r="J333" s="60">
        <f t="shared" si="302"/>
        <v>0.0166529632609279</v>
      </c>
      <c r="K333" s="57">
        <f t="shared" si="303"/>
        <v>33.325</v>
      </c>
      <c r="L333" s="163">
        <f t="shared" si="304"/>
        <v>0.174793698424606</v>
      </c>
      <c r="M333" s="59">
        <f t="shared" si="305"/>
        <v>5.825</v>
      </c>
      <c r="N333" s="57">
        <f t="shared" si="318"/>
        <v>78.3716814159292</v>
      </c>
      <c r="O333" s="57">
        <f t="shared" si="306"/>
        <v>0.802083333333333</v>
      </c>
      <c r="P333" s="53">
        <v>24</v>
      </c>
      <c r="Q333" s="62">
        <v>8</v>
      </c>
      <c r="R333" s="63">
        <f t="shared" si="307"/>
        <v>0.181818181818182</v>
      </c>
      <c r="S333" s="60">
        <f t="shared" si="308"/>
        <v>0.125031257814454</v>
      </c>
      <c r="T333" s="63">
        <f t="shared" si="309"/>
        <v>0.218127272727273</v>
      </c>
      <c r="U333" s="63">
        <v>0.01</v>
      </c>
      <c r="V333" s="63">
        <f t="shared" si="310"/>
        <v>0.356234915526951</v>
      </c>
      <c r="W333" s="63">
        <f t="shared" si="311"/>
        <v>0.0291666666666667</v>
      </c>
      <c r="X333" s="61">
        <v>0.188</v>
      </c>
      <c r="Y333" s="64">
        <v>5</v>
      </c>
      <c r="Z333" s="64">
        <f>F333*0.15</f>
        <v>5.9985</v>
      </c>
      <c r="AA333" s="64">
        <f t="shared" si="312"/>
        <v>0.275</v>
      </c>
      <c r="AB333" s="57">
        <f t="shared" si="313"/>
        <v>5.17</v>
      </c>
      <c r="AC333" s="57">
        <v>75</v>
      </c>
      <c r="AD333" s="65">
        <f t="shared" si="314"/>
        <v>66.3716814159292</v>
      </c>
      <c r="AE333" s="62">
        <f t="shared" si="319"/>
        <v>1.5</v>
      </c>
      <c r="AF333" s="63">
        <f t="shared" si="315"/>
        <v>0.301689460981496</v>
      </c>
      <c r="AG333" s="63">
        <f t="shared" si="316"/>
        <v>0.00681818181818182</v>
      </c>
      <c r="AH333" s="62">
        <v>12</v>
      </c>
      <c r="AI333" s="63">
        <f t="shared" si="317"/>
        <v>0.211685274259741</v>
      </c>
      <c r="AJ333" s="63"/>
      <c r="AK333" s="63"/>
      <c r="AL333" s="63"/>
      <c r="AM333" s="63"/>
      <c r="AN333" s="66"/>
      <c r="AO333" s="66"/>
      <c r="AP333" s="66"/>
      <c r="AQ333" s="66"/>
      <c r="AR333" s="66"/>
      <c r="AS333" s="66"/>
      <c r="AT333" s="66" t="s">
        <v>600</v>
      </c>
      <c r="AU333" s="66" t="s">
        <v>600</v>
      </c>
      <c r="AV333" s="66" t="s">
        <v>600</v>
      </c>
      <c r="AW333" s="66" t="s">
        <v>600</v>
      </c>
      <c r="AX333" s="66" t="s">
        <v>600</v>
      </c>
      <c r="AY333" s="66" t="s">
        <v>600</v>
      </c>
      <c r="AZ333" s="66" t="s">
        <v>600</v>
      </c>
      <c r="BA333" s="66" t="s">
        <v>600</v>
      </c>
      <c r="BB333" s="66" t="s">
        <v>600</v>
      </c>
      <c r="BC333" s="66" t="s">
        <v>600</v>
      </c>
      <c r="BD333" s="66" t="s">
        <v>600</v>
      </c>
      <c r="BE333" s="66" t="s">
        <v>600</v>
      </c>
      <c r="BF333" s="66" t="s">
        <v>600</v>
      </c>
      <c r="BG333" s="66" t="s">
        <v>600</v>
      </c>
      <c r="BH333" s="66" t="s">
        <v>600</v>
      </c>
      <c r="BI333" s="66" t="s">
        <v>600</v>
      </c>
      <c r="BJ333" s="66" t="s">
        <v>600</v>
      </c>
      <c r="BK333" s="66" t="s">
        <v>600</v>
      </c>
      <c r="BL333" s="66" t="s">
        <v>600</v>
      </c>
      <c r="BM333" s="66" t="s">
        <v>600</v>
      </c>
      <c r="BN333" s="66" t="s">
        <v>600</v>
      </c>
      <c r="BO333" s="66" t="s">
        <v>600</v>
      </c>
      <c r="BP333" s="66" t="s">
        <v>600</v>
      </c>
      <c r="BQ333" s="66" t="s">
        <v>600</v>
      </c>
      <c r="BR333" s="164"/>
      <c r="BS333" s="68" t="s">
        <v>601</v>
      </c>
    </row>
    <row r="334" ht="15.6" hidden="1" spans="1:71">
      <c r="A334" s="53" t="s">
        <v>605</v>
      </c>
      <c r="B334" s="53" t="s">
        <v>27</v>
      </c>
      <c r="C334" s="171" t="s">
        <v>109</v>
      </c>
      <c r="D334" s="170" t="s">
        <v>696</v>
      </c>
      <c r="E334" s="179">
        <v>27.5</v>
      </c>
      <c r="F334" s="56">
        <v>39.99</v>
      </c>
      <c r="G334" s="59">
        <f t="shared" si="299"/>
        <v>39.99</v>
      </c>
      <c r="H334" s="59">
        <f t="shared" si="300"/>
        <v>33.325</v>
      </c>
      <c r="I334" s="59">
        <f t="shared" si="301"/>
        <v>6.56062315634218</v>
      </c>
      <c r="J334" s="60">
        <f t="shared" si="302"/>
        <v>0.238568114776079</v>
      </c>
      <c r="K334" s="57">
        <f t="shared" si="303"/>
        <v>33.325</v>
      </c>
      <c r="L334" s="163">
        <f t="shared" si="304"/>
        <v>0.174793698424606</v>
      </c>
      <c r="M334" s="59">
        <f t="shared" si="305"/>
        <v>5.825</v>
      </c>
      <c r="N334" s="57">
        <f t="shared" si="318"/>
        <v>78.3716814159292</v>
      </c>
      <c r="O334" s="57">
        <f t="shared" si="306"/>
        <v>0.697916666666667</v>
      </c>
      <c r="P334" s="53">
        <v>24</v>
      </c>
      <c r="Q334" s="62">
        <v>8</v>
      </c>
      <c r="R334" s="63">
        <f t="shared" si="307"/>
        <v>0.181818181818182</v>
      </c>
      <c r="S334" s="60">
        <f t="shared" si="308"/>
        <v>0.125031257814454</v>
      </c>
      <c r="T334" s="63">
        <f t="shared" si="309"/>
        <v>0</v>
      </c>
      <c r="U334" s="63">
        <v>0.01</v>
      </c>
      <c r="V334" s="63">
        <f t="shared" si="310"/>
        <v>0.356234915526951</v>
      </c>
      <c r="W334" s="63">
        <f t="shared" si="311"/>
        <v>0.0253787878787879</v>
      </c>
      <c r="X334" s="61">
        <v>0.188</v>
      </c>
      <c r="Y334" s="64">
        <v>5</v>
      </c>
      <c r="Z334" s="64">
        <f>F334*0</f>
        <v>0</v>
      </c>
      <c r="AA334" s="64">
        <f t="shared" si="312"/>
        <v>0.275</v>
      </c>
      <c r="AB334" s="57">
        <f t="shared" si="313"/>
        <v>5.17</v>
      </c>
      <c r="AC334" s="57">
        <v>75</v>
      </c>
      <c r="AD334" s="65">
        <f t="shared" si="314"/>
        <v>66.3716814159292</v>
      </c>
      <c r="AE334" s="62">
        <f t="shared" si="319"/>
        <v>1.5</v>
      </c>
      <c r="AF334" s="63">
        <f t="shared" si="315"/>
        <v>0.301689460981496</v>
      </c>
      <c r="AG334" s="63">
        <f t="shared" si="316"/>
        <v>0.00681818181818182</v>
      </c>
      <c r="AH334" s="62">
        <v>12</v>
      </c>
      <c r="AI334" s="63">
        <f t="shared" si="317"/>
        <v>0.32993248312078</v>
      </c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 t="s">
        <v>600</v>
      </c>
      <c r="AU334" s="66" t="s">
        <v>600</v>
      </c>
      <c r="AV334" s="66" t="s">
        <v>600</v>
      </c>
      <c r="AW334" s="66" t="s">
        <v>600</v>
      </c>
      <c r="AX334" s="66" t="s">
        <v>600</v>
      </c>
      <c r="AY334" s="66" t="s">
        <v>600</v>
      </c>
      <c r="AZ334" s="66" t="s">
        <v>600</v>
      </c>
      <c r="BA334" s="66" t="s">
        <v>600</v>
      </c>
      <c r="BB334" s="66" t="s">
        <v>600</v>
      </c>
      <c r="BC334" s="66" t="s">
        <v>600</v>
      </c>
      <c r="BD334" s="66" t="s">
        <v>600</v>
      </c>
      <c r="BE334" s="66" t="s">
        <v>600</v>
      </c>
      <c r="BF334" s="66" t="s">
        <v>600</v>
      </c>
      <c r="BG334" s="66" t="s">
        <v>600</v>
      </c>
      <c r="BH334" s="66" t="s">
        <v>600</v>
      </c>
      <c r="BI334" s="66" t="s">
        <v>600</v>
      </c>
      <c r="BJ334" s="66" t="s">
        <v>600</v>
      </c>
      <c r="BK334" s="66" t="s">
        <v>600</v>
      </c>
      <c r="BL334" s="66" t="s">
        <v>600</v>
      </c>
      <c r="BM334" s="66" t="s">
        <v>600</v>
      </c>
      <c r="BN334" s="66" t="s">
        <v>600</v>
      </c>
      <c r="BO334" s="66" t="s">
        <v>600</v>
      </c>
      <c r="BP334" s="66" t="s">
        <v>600</v>
      </c>
      <c r="BQ334" s="66" t="s">
        <v>600</v>
      </c>
      <c r="BR334" s="70" t="e">
        <f>IF(E334&lt;#REF!,1,0)</f>
        <v>#REF!</v>
      </c>
      <c r="BS334" s="68" t="s">
        <v>601</v>
      </c>
    </row>
    <row r="335" ht="15.6" hidden="1" spans="1:71">
      <c r="A335" s="53" t="s">
        <v>607</v>
      </c>
      <c r="B335" s="53" t="s">
        <v>27</v>
      </c>
      <c r="C335" s="171" t="s">
        <v>109</v>
      </c>
      <c r="D335" s="170" t="s">
        <v>697</v>
      </c>
      <c r="E335" s="179">
        <v>31</v>
      </c>
      <c r="F335" s="167">
        <v>44.99</v>
      </c>
      <c r="G335" s="59">
        <f t="shared" si="299"/>
        <v>44.99</v>
      </c>
      <c r="H335" s="59">
        <f t="shared" si="300"/>
        <v>37.4916666666667</v>
      </c>
      <c r="I335" s="59">
        <f t="shared" si="301"/>
        <v>9.48012315634218</v>
      </c>
      <c r="J335" s="60">
        <f t="shared" si="302"/>
        <v>0.305810424398135</v>
      </c>
      <c r="K335" s="57">
        <f t="shared" si="303"/>
        <v>37.4916666666667</v>
      </c>
      <c r="L335" s="163">
        <f t="shared" si="304"/>
        <v>0.173149588797511</v>
      </c>
      <c r="M335" s="59">
        <f t="shared" si="305"/>
        <v>6.49166666666667</v>
      </c>
      <c r="N335" s="57">
        <f t="shared" si="318"/>
        <v>78.3716814159292</v>
      </c>
      <c r="O335" s="57">
        <f t="shared" si="306"/>
        <v>0.585416666666667</v>
      </c>
      <c r="P335" s="53">
        <v>24</v>
      </c>
      <c r="Q335" s="62">
        <v>8</v>
      </c>
      <c r="R335" s="63">
        <f t="shared" si="307"/>
        <v>0.161290322580645</v>
      </c>
      <c r="S335" s="60">
        <f t="shared" si="308"/>
        <v>0.111135807957324</v>
      </c>
      <c r="T335" s="63">
        <f t="shared" si="309"/>
        <v>0</v>
      </c>
      <c r="U335" s="63">
        <v>0.01</v>
      </c>
      <c r="V335" s="63">
        <f t="shared" si="310"/>
        <v>0.316014844419069</v>
      </c>
      <c r="W335" s="63">
        <f t="shared" si="311"/>
        <v>0.0188844086021505</v>
      </c>
      <c r="X335" s="61">
        <v>0.188</v>
      </c>
      <c r="Y335" s="64">
        <v>5</v>
      </c>
      <c r="Z335" s="64">
        <f>F335*0</f>
        <v>0</v>
      </c>
      <c r="AA335" s="64">
        <f t="shared" si="312"/>
        <v>0.31</v>
      </c>
      <c r="AB335" s="57">
        <f t="shared" si="313"/>
        <v>5.828</v>
      </c>
      <c r="AC335" s="57">
        <v>75</v>
      </c>
      <c r="AD335" s="65">
        <f t="shared" si="314"/>
        <v>66.3716814159292</v>
      </c>
      <c r="AE335" s="62">
        <f t="shared" si="319"/>
        <v>1.5</v>
      </c>
      <c r="AF335" s="63">
        <f t="shared" si="315"/>
        <v>0.267627747644876</v>
      </c>
      <c r="AG335" s="63">
        <f t="shared" si="316"/>
        <v>0.00604838709677419</v>
      </c>
      <c r="AH335" s="62">
        <v>12</v>
      </c>
      <c r="AI335" s="63">
        <f t="shared" si="317"/>
        <v>0.328597466103579</v>
      </c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 t="s">
        <v>600</v>
      </c>
      <c r="AU335" s="66" t="s">
        <v>600</v>
      </c>
      <c r="AV335" s="66" t="s">
        <v>600</v>
      </c>
      <c r="AW335" s="66" t="s">
        <v>600</v>
      </c>
      <c r="AX335" s="66" t="s">
        <v>600</v>
      </c>
      <c r="AY335" s="66" t="s">
        <v>600</v>
      </c>
      <c r="AZ335" s="66" t="s">
        <v>600</v>
      </c>
      <c r="BA335" s="66" t="s">
        <v>600</v>
      </c>
      <c r="BB335" s="66" t="s">
        <v>600</v>
      </c>
      <c r="BC335" s="66" t="s">
        <v>600</v>
      </c>
      <c r="BD335" s="66" t="s">
        <v>600</v>
      </c>
      <c r="BE335" s="66" t="s">
        <v>600</v>
      </c>
      <c r="BF335" s="66" t="s">
        <v>600</v>
      </c>
      <c r="BG335" s="66" t="s">
        <v>600</v>
      </c>
      <c r="BH335" s="66" t="s">
        <v>600</v>
      </c>
      <c r="BI335" s="66" t="s">
        <v>600</v>
      </c>
      <c r="BJ335" s="66" t="s">
        <v>600</v>
      </c>
      <c r="BK335" s="66" t="s">
        <v>600</v>
      </c>
      <c r="BL335" s="66" t="s">
        <v>600</v>
      </c>
      <c r="BM335" s="66" t="s">
        <v>600</v>
      </c>
      <c r="BN335" s="66" t="s">
        <v>600</v>
      </c>
      <c r="BO335" s="66" t="s">
        <v>600</v>
      </c>
      <c r="BP335" s="66" t="s">
        <v>600</v>
      </c>
      <c r="BQ335" s="66" t="s">
        <v>600</v>
      </c>
      <c r="BR335" s="70" t="e">
        <f>IF(E335&lt;#REF!,1,0)</f>
        <v>#REF!</v>
      </c>
      <c r="BS335" s="68" t="s">
        <v>601</v>
      </c>
    </row>
    <row r="336" ht="15.6" hidden="1" spans="1:71">
      <c r="A336" s="53" t="s">
        <v>609</v>
      </c>
      <c r="B336" s="53" t="s">
        <v>27</v>
      </c>
      <c r="C336" s="171" t="s">
        <v>109</v>
      </c>
      <c r="D336" s="170" t="s">
        <v>698</v>
      </c>
      <c r="E336" s="179">
        <v>31</v>
      </c>
      <c r="F336" s="56">
        <v>44.99</v>
      </c>
      <c r="G336" s="59">
        <f t="shared" si="299"/>
        <v>44.99</v>
      </c>
      <c r="H336" s="59">
        <f t="shared" si="300"/>
        <v>37.4916666666667</v>
      </c>
      <c r="I336" s="59">
        <f t="shared" si="301"/>
        <v>9.30512315634218</v>
      </c>
      <c r="J336" s="60">
        <f t="shared" si="302"/>
        <v>0.300165263107812</v>
      </c>
      <c r="K336" s="57">
        <f t="shared" si="303"/>
        <v>37.4916666666667</v>
      </c>
      <c r="L336" s="163">
        <f t="shared" si="304"/>
        <v>0.173149588797511</v>
      </c>
      <c r="M336" s="59">
        <f t="shared" si="305"/>
        <v>6.49166666666667</v>
      </c>
      <c r="N336" s="57">
        <f t="shared" si="318"/>
        <v>78.3716814159292</v>
      </c>
      <c r="O336" s="57">
        <f t="shared" si="306"/>
        <v>0.760416666666667</v>
      </c>
      <c r="P336" s="53">
        <v>24</v>
      </c>
      <c r="Q336" s="62">
        <v>8</v>
      </c>
      <c r="R336" s="63">
        <f t="shared" si="307"/>
        <v>0.161290322580645</v>
      </c>
      <c r="S336" s="60">
        <f t="shared" si="308"/>
        <v>0.111135807957324</v>
      </c>
      <c r="T336" s="63">
        <f t="shared" si="309"/>
        <v>0</v>
      </c>
      <c r="U336" s="63">
        <v>0.01</v>
      </c>
      <c r="V336" s="63">
        <f t="shared" si="310"/>
        <v>0.316014844419069</v>
      </c>
      <c r="W336" s="63">
        <f t="shared" si="311"/>
        <v>0.0245295698924731</v>
      </c>
      <c r="X336" s="61">
        <v>0.188</v>
      </c>
      <c r="Y336" s="64">
        <v>5</v>
      </c>
      <c r="Z336" s="64">
        <f>F336*0</f>
        <v>0</v>
      </c>
      <c r="AA336" s="64">
        <f t="shared" si="312"/>
        <v>0.31</v>
      </c>
      <c r="AB336" s="57">
        <f t="shared" si="313"/>
        <v>5.828</v>
      </c>
      <c r="AC336" s="57">
        <v>75</v>
      </c>
      <c r="AD336" s="65">
        <f t="shared" si="314"/>
        <v>66.3716814159292</v>
      </c>
      <c r="AE336" s="62">
        <f t="shared" si="319"/>
        <v>1.5</v>
      </c>
      <c r="AF336" s="63">
        <f t="shared" si="315"/>
        <v>0.267627747644876</v>
      </c>
      <c r="AG336" s="63">
        <f t="shared" si="316"/>
        <v>0.00604838709677419</v>
      </c>
      <c r="AH336" s="62">
        <v>12</v>
      </c>
      <c r="AI336" s="63">
        <f t="shared" si="317"/>
        <v>0.328597466103579</v>
      </c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 t="s">
        <v>600</v>
      </c>
      <c r="AU336" s="66" t="s">
        <v>600</v>
      </c>
      <c r="AV336" s="66" t="s">
        <v>600</v>
      </c>
      <c r="AW336" s="66" t="s">
        <v>600</v>
      </c>
      <c r="AX336" s="66" t="s">
        <v>600</v>
      </c>
      <c r="AY336" s="66" t="s">
        <v>600</v>
      </c>
      <c r="AZ336" s="66" t="s">
        <v>600</v>
      </c>
      <c r="BA336" s="66" t="s">
        <v>600</v>
      </c>
      <c r="BB336" s="66" t="s">
        <v>600</v>
      </c>
      <c r="BC336" s="66" t="s">
        <v>600</v>
      </c>
      <c r="BD336" s="66" t="s">
        <v>600</v>
      </c>
      <c r="BE336" s="66" t="s">
        <v>600</v>
      </c>
      <c r="BF336" s="66" t="s">
        <v>600</v>
      </c>
      <c r="BG336" s="66" t="s">
        <v>600</v>
      </c>
      <c r="BH336" s="66" t="s">
        <v>600</v>
      </c>
      <c r="BI336" s="66" t="s">
        <v>600</v>
      </c>
      <c r="BJ336" s="66" t="s">
        <v>600</v>
      </c>
      <c r="BK336" s="66" t="s">
        <v>600</v>
      </c>
      <c r="BL336" s="66" t="s">
        <v>600</v>
      </c>
      <c r="BM336" s="66" t="s">
        <v>600</v>
      </c>
      <c r="BN336" s="66" t="s">
        <v>600</v>
      </c>
      <c r="BO336" s="66" t="s">
        <v>600</v>
      </c>
      <c r="BP336" s="66" t="s">
        <v>600</v>
      </c>
      <c r="BQ336" s="66" t="s">
        <v>600</v>
      </c>
      <c r="BR336" s="70" t="e">
        <f>IF(E336&lt;#REF!,1,0)</f>
        <v>#REF!</v>
      </c>
      <c r="BS336" s="68" t="s">
        <v>601</v>
      </c>
    </row>
    <row r="337" ht="15.6" hidden="1" spans="1:71">
      <c r="A337" s="53" t="s">
        <v>611</v>
      </c>
      <c r="B337" s="53" t="s">
        <v>27</v>
      </c>
      <c r="C337" s="171" t="s">
        <v>109</v>
      </c>
      <c r="D337" s="170" t="s">
        <v>699</v>
      </c>
      <c r="E337" s="179">
        <v>27.5</v>
      </c>
      <c r="F337" s="56">
        <v>39.99</v>
      </c>
      <c r="G337" s="59">
        <f t="shared" si="299"/>
        <v>39.99</v>
      </c>
      <c r="H337" s="59">
        <f t="shared" si="300"/>
        <v>33.325</v>
      </c>
      <c r="I337" s="59">
        <f t="shared" si="301"/>
        <v>6.66478982300885</v>
      </c>
      <c r="J337" s="60">
        <f t="shared" si="302"/>
        <v>0.242355993563958</v>
      </c>
      <c r="K337" s="57">
        <f t="shared" si="303"/>
        <v>33.325</v>
      </c>
      <c r="L337" s="163">
        <f t="shared" si="304"/>
        <v>0.174793698424606</v>
      </c>
      <c r="M337" s="59">
        <f t="shared" si="305"/>
        <v>5.825</v>
      </c>
      <c r="N337" s="57">
        <f t="shared" si="318"/>
        <v>78.3716814159292</v>
      </c>
      <c r="O337" s="57">
        <f t="shared" si="306"/>
        <v>0.59375</v>
      </c>
      <c r="P337" s="53">
        <v>24</v>
      </c>
      <c r="Q337" s="62">
        <v>8</v>
      </c>
      <c r="R337" s="63">
        <f t="shared" si="307"/>
        <v>0.181818181818182</v>
      </c>
      <c r="S337" s="60">
        <f t="shared" si="308"/>
        <v>0.125031257814454</v>
      </c>
      <c r="T337" s="63">
        <f t="shared" si="309"/>
        <v>0</v>
      </c>
      <c r="U337" s="63">
        <v>0.01</v>
      </c>
      <c r="V337" s="63">
        <f t="shared" si="310"/>
        <v>0.356234915526951</v>
      </c>
      <c r="W337" s="63">
        <f t="shared" si="311"/>
        <v>0.0215909090909091</v>
      </c>
      <c r="X337" s="61">
        <v>0.188</v>
      </c>
      <c r="Y337" s="64">
        <v>5</v>
      </c>
      <c r="Z337" s="64">
        <f>F337*0</f>
        <v>0</v>
      </c>
      <c r="AA337" s="64">
        <f t="shared" si="312"/>
        <v>0.275</v>
      </c>
      <c r="AB337" s="57">
        <f t="shared" si="313"/>
        <v>5.17</v>
      </c>
      <c r="AC337" s="57">
        <v>75</v>
      </c>
      <c r="AD337" s="65">
        <f t="shared" si="314"/>
        <v>66.3716814159292</v>
      </c>
      <c r="AE337" s="62">
        <f t="shared" si="319"/>
        <v>1.5</v>
      </c>
      <c r="AF337" s="63">
        <f t="shared" si="315"/>
        <v>0.301689460981496</v>
      </c>
      <c r="AG337" s="63">
        <f t="shared" si="316"/>
        <v>0.00681818181818182</v>
      </c>
      <c r="AH337" s="62">
        <v>12</v>
      </c>
      <c r="AI337" s="63">
        <f t="shared" si="317"/>
        <v>0.32993248312078</v>
      </c>
      <c r="AJ337" s="63"/>
      <c r="AK337" s="63"/>
      <c r="AL337" s="63"/>
      <c r="AM337" s="63"/>
      <c r="AN337" s="66"/>
      <c r="AO337" s="66"/>
      <c r="AP337" s="66"/>
      <c r="AQ337" s="66"/>
      <c r="AR337" s="66"/>
      <c r="AS337" s="66"/>
      <c r="AT337" s="66" t="s">
        <v>600</v>
      </c>
      <c r="AU337" s="66" t="s">
        <v>600</v>
      </c>
      <c r="AV337" s="66" t="s">
        <v>600</v>
      </c>
      <c r="AW337" s="66" t="s">
        <v>600</v>
      </c>
      <c r="AX337" s="66" t="s">
        <v>600</v>
      </c>
      <c r="AY337" s="66" t="s">
        <v>600</v>
      </c>
      <c r="AZ337" s="66" t="s">
        <v>600</v>
      </c>
      <c r="BA337" s="66" t="s">
        <v>600</v>
      </c>
      <c r="BB337" s="66" t="s">
        <v>600</v>
      </c>
      <c r="BC337" s="66" t="s">
        <v>600</v>
      </c>
      <c r="BD337" s="66" t="s">
        <v>600</v>
      </c>
      <c r="BE337" s="66" t="s">
        <v>600</v>
      </c>
      <c r="BF337" s="66" t="s">
        <v>600</v>
      </c>
      <c r="BG337" s="66" t="s">
        <v>600</v>
      </c>
      <c r="BH337" s="66" t="s">
        <v>600</v>
      </c>
      <c r="BI337" s="66" t="s">
        <v>600</v>
      </c>
      <c r="BJ337" s="66" t="s">
        <v>600</v>
      </c>
      <c r="BK337" s="66" t="s">
        <v>600</v>
      </c>
      <c r="BL337" s="66" t="s">
        <v>600</v>
      </c>
      <c r="BM337" s="66" t="s">
        <v>600</v>
      </c>
      <c r="BN337" s="66" t="s">
        <v>600</v>
      </c>
      <c r="BO337" s="66" t="s">
        <v>600</v>
      </c>
      <c r="BP337" s="66" t="s">
        <v>600</v>
      </c>
      <c r="BQ337" s="66" t="s">
        <v>600</v>
      </c>
      <c r="BR337" s="70" t="e">
        <f>IF(E337&lt;#REF!,1,0)</f>
        <v>#REF!</v>
      </c>
      <c r="BS337" s="68" t="s">
        <v>601</v>
      </c>
    </row>
    <row r="338" spans="1:71">
      <c r="G338" s="15"/>
      <c r="H338" s="15"/>
      <c r="S338" s="15"/>
      <c r="AE338" s="14"/>
      <c r="AI338" s="15"/>
    </row>
    <row r="339" ht="15.6" hidden="1" spans="1:71">
      <c r="A339" s="68" t="s">
        <v>300</v>
      </c>
      <c r="B339" s="53" t="s">
        <v>27</v>
      </c>
      <c r="C339" s="175" t="s">
        <v>113</v>
      </c>
      <c r="D339" s="182" t="s">
        <v>700</v>
      </c>
      <c r="E339" s="179">
        <v>13.7</v>
      </c>
      <c r="F339" s="167">
        <v>19.99</v>
      </c>
      <c r="G339" s="59">
        <f t="shared" ref="G339:G357" si="320">(F339-Z339)</f>
        <v>19.99</v>
      </c>
      <c r="H339" s="59">
        <f t="shared" ref="H339:H357" si="321">(F339-Z339)/1.2</f>
        <v>16.6583333333333</v>
      </c>
      <c r="I339" s="59">
        <f t="shared" ref="I339:I357" si="322">E339-N339/Q339-AB339-Y339-O339-Z339-AA339</f>
        <v>3.22626332350049</v>
      </c>
      <c r="J339" s="60">
        <f t="shared" ref="J339:J357" si="323">I339/E339</f>
        <v>0.235493673248211</v>
      </c>
      <c r="K339" s="57">
        <f t="shared" ref="K339:K357" si="324">F339/1.2</f>
        <v>16.6583333333333</v>
      </c>
      <c r="L339" s="163">
        <f t="shared" ref="L339:L357" si="325">(K339-E339)/K339</f>
        <v>0.177588794397199</v>
      </c>
      <c r="M339" s="59">
        <f t="shared" ref="M339:M357" si="326">F339/1.2-E339</f>
        <v>2.95833333333333</v>
      </c>
      <c r="N339" s="57">
        <f>AD339+AH340</f>
        <v>41.3982300884956</v>
      </c>
      <c r="O339" s="57">
        <f t="shared" ref="O339:O357" si="327">IFERROR(IF(A339="UK",8.95/P339,IF(A339="DE",7.75/P339,IF(A339="FR",14.25/P339,IF(A339="IT",15.25/P339,IF(A339="ES",19.25/P339,IF(A339="NL",16.75/P339,IF(A339="PL",14.05/P339,IF(A339="SE",18.25/P339,IF(A339="BE",14.25/P339))))))))),0)</f>
        <v>0.298333333333333</v>
      </c>
      <c r="P339" s="68">
        <v>30</v>
      </c>
      <c r="Q339" s="62">
        <v>9</v>
      </c>
      <c r="R339" s="63">
        <f t="shared" ref="R339:R357" si="328">Y339/E339</f>
        <v>0.218978102189781</v>
      </c>
      <c r="S339" s="60">
        <f t="shared" ref="S339:S357" si="329">Y339/F339</f>
        <v>0.150075037518759</v>
      </c>
      <c r="T339" s="63">
        <f t="shared" ref="T339:T357" si="330">Z339/E339</f>
        <v>0</v>
      </c>
      <c r="U339" s="63">
        <v>0.01</v>
      </c>
      <c r="V339" s="63">
        <f t="shared" ref="V339:V357" si="331">N339/(E339*Q339)</f>
        <v>0.335752068844246</v>
      </c>
      <c r="W339" s="63">
        <f t="shared" ref="W339:W357" si="332">O339/E339</f>
        <v>0.0217761557177616</v>
      </c>
      <c r="X339" s="61">
        <v>0.178</v>
      </c>
      <c r="Y339" s="64">
        <v>3</v>
      </c>
      <c r="Z339" s="64">
        <v>0</v>
      </c>
      <c r="AA339" s="64">
        <f t="shared" ref="AA339:AA357" si="333">E339*U339</f>
        <v>0.137</v>
      </c>
      <c r="AB339" s="57">
        <f t="shared" ref="AB339:AB357" si="334">E339*X339</f>
        <v>2.4386</v>
      </c>
      <c r="AC339" s="57">
        <v>40</v>
      </c>
      <c r="AD339" s="65">
        <f t="shared" ref="AD339:AD357" si="335">AC339/1.13</f>
        <v>35.3982300884956</v>
      </c>
      <c r="AE339" s="62">
        <f>AH340/Q339</f>
        <v>0.666666666666667</v>
      </c>
      <c r="AF339" s="63">
        <f t="shared" ref="AF339:AF357" si="336">AD339/(E339*Q339)</f>
        <v>0.287090268357628</v>
      </c>
      <c r="AG339" s="63">
        <f t="shared" ref="AG339:AG357" si="337">AE339/Q339/E339</f>
        <v>0.00540686672073533</v>
      </c>
      <c r="AH339" s="62">
        <v>6</v>
      </c>
      <c r="AI339" s="63">
        <f t="shared" ref="AI339:AI357" si="338">(H339-E339+AB339)/H339</f>
        <v>0.323977988994497</v>
      </c>
      <c r="AJ339" s="63"/>
      <c r="AK339" s="63"/>
      <c r="AL339" s="63"/>
      <c r="AM339" s="63"/>
      <c r="AN339" s="66"/>
      <c r="AO339" s="66"/>
      <c r="AP339" s="66"/>
      <c r="AQ339" s="66"/>
      <c r="AR339" s="66"/>
      <c r="AS339" s="66"/>
      <c r="AT339" s="66" t="s">
        <v>600</v>
      </c>
      <c r="AU339" s="66" t="s">
        <v>600</v>
      </c>
      <c r="AV339" s="66" t="s">
        <v>600</v>
      </c>
      <c r="AW339" s="66" t="s">
        <v>600</v>
      </c>
      <c r="AX339" s="66" t="s">
        <v>600</v>
      </c>
      <c r="AY339" s="66" t="s">
        <v>600</v>
      </c>
      <c r="AZ339" s="66" t="s">
        <v>600</v>
      </c>
      <c r="BA339" s="66" t="s">
        <v>600</v>
      </c>
      <c r="BB339" s="66" t="s">
        <v>600</v>
      </c>
      <c r="BC339" s="66" t="s">
        <v>600</v>
      </c>
      <c r="BD339" s="66" t="s">
        <v>600</v>
      </c>
      <c r="BE339" s="66" t="s">
        <v>600</v>
      </c>
      <c r="BF339" s="66" t="s">
        <v>600</v>
      </c>
      <c r="BG339" s="66" t="s">
        <v>600</v>
      </c>
      <c r="BH339" s="66" t="s">
        <v>600</v>
      </c>
      <c r="BI339" s="66" t="s">
        <v>600</v>
      </c>
      <c r="BJ339" s="66" t="s">
        <v>600</v>
      </c>
      <c r="BK339" s="66" t="s">
        <v>600</v>
      </c>
      <c r="BL339" s="66" t="s">
        <v>600</v>
      </c>
      <c r="BM339" s="66" t="s">
        <v>600</v>
      </c>
      <c r="BN339" s="66" t="s">
        <v>600</v>
      </c>
      <c r="BO339" s="66" t="s">
        <v>600</v>
      </c>
      <c r="BP339" s="66" t="s">
        <v>600</v>
      </c>
      <c r="BQ339" s="66" t="s">
        <v>600</v>
      </c>
      <c r="BR339" s="164"/>
      <c r="BS339" s="68" t="s">
        <v>601</v>
      </c>
    </row>
    <row r="340" ht="15.6" hidden="1" spans="1:71">
      <c r="A340" s="68" t="s">
        <v>300</v>
      </c>
      <c r="B340" s="53" t="s">
        <v>27</v>
      </c>
      <c r="C340" s="171" t="s">
        <v>113</v>
      </c>
      <c r="D340" s="182" t="s">
        <v>701</v>
      </c>
      <c r="E340" s="179">
        <v>13.7</v>
      </c>
      <c r="F340" s="56">
        <v>19.99</v>
      </c>
      <c r="G340" s="59">
        <f t="shared" si="320"/>
        <v>17.991</v>
      </c>
      <c r="H340" s="59">
        <f t="shared" si="321"/>
        <v>14.9925</v>
      </c>
      <c r="I340" s="165">
        <f t="shared" si="322"/>
        <v>1.22726332350049</v>
      </c>
      <c r="J340" s="60">
        <f t="shared" si="323"/>
        <v>0.0895812644890869</v>
      </c>
      <c r="K340" s="57">
        <f t="shared" si="324"/>
        <v>16.6583333333333</v>
      </c>
      <c r="L340" s="163">
        <f t="shared" si="325"/>
        <v>0.177588794397199</v>
      </c>
      <c r="M340" s="59">
        <f t="shared" si="326"/>
        <v>2.95833333333333</v>
      </c>
      <c r="N340" s="57">
        <f>AD340+AH340</f>
        <v>41.3982300884956</v>
      </c>
      <c r="O340" s="57">
        <f t="shared" si="327"/>
        <v>0.298333333333333</v>
      </c>
      <c r="P340" s="53">
        <v>30</v>
      </c>
      <c r="Q340" s="62">
        <v>9</v>
      </c>
      <c r="R340" s="63">
        <f t="shared" si="328"/>
        <v>0.218978102189781</v>
      </c>
      <c r="S340" s="60">
        <f t="shared" si="329"/>
        <v>0.150075037518759</v>
      </c>
      <c r="T340" s="63">
        <f t="shared" si="330"/>
        <v>0.145912408759124</v>
      </c>
      <c r="U340" s="63">
        <v>0.01</v>
      </c>
      <c r="V340" s="63">
        <f t="shared" si="331"/>
        <v>0.335752068844246</v>
      </c>
      <c r="W340" s="63">
        <f t="shared" si="332"/>
        <v>0.0217761557177616</v>
      </c>
      <c r="X340" s="61">
        <v>0.178</v>
      </c>
      <c r="Y340" s="64">
        <v>3</v>
      </c>
      <c r="Z340" s="64">
        <f>F340*0.1</f>
        <v>1.999</v>
      </c>
      <c r="AA340" s="64">
        <f t="shared" si="333"/>
        <v>0.137</v>
      </c>
      <c r="AB340" s="57">
        <f t="shared" si="334"/>
        <v>2.4386</v>
      </c>
      <c r="AC340" s="57">
        <v>40</v>
      </c>
      <c r="AD340" s="65">
        <f t="shared" si="335"/>
        <v>35.3982300884956</v>
      </c>
      <c r="AE340" s="62">
        <f>AH340/Q340</f>
        <v>0.666666666666667</v>
      </c>
      <c r="AF340" s="63">
        <f t="shared" si="336"/>
        <v>0.287090268357628</v>
      </c>
      <c r="AG340" s="63">
        <f t="shared" si="337"/>
        <v>0.00540686672073533</v>
      </c>
      <c r="AH340" s="62">
        <v>6</v>
      </c>
      <c r="AI340" s="63">
        <f t="shared" si="338"/>
        <v>0.248864432216108</v>
      </c>
      <c r="AJ340" s="63"/>
      <c r="AK340" s="63"/>
      <c r="AL340" s="63"/>
      <c r="AM340" s="63"/>
      <c r="AN340" s="66"/>
      <c r="AO340" s="66"/>
      <c r="AP340" s="66"/>
      <c r="AQ340" s="66"/>
      <c r="AR340" s="66"/>
      <c r="AS340" s="66"/>
      <c r="AT340" s="66" t="s">
        <v>600</v>
      </c>
      <c r="AU340" s="66" t="s">
        <v>600</v>
      </c>
      <c r="AV340" s="66" t="s">
        <v>600</v>
      </c>
      <c r="AW340" s="66" t="s">
        <v>600</v>
      </c>
      <c r="AX340" s="66" t="s">
        <v>600</v>
      </c>
      <c r="AY340" s="66" t="s">
        <v>600</v>
      </c>
      <c r="AZ340" s="66" t="s">
        <v>600</v>
      </c>
      <c r="BA340" s="66" t="s">
        <v>600</v>
      </c>
      <c r="BB340" s="66" t="s">
        <v>600</v>
      </c>
      <c r="BC340" s="66" t="s">
        <v>600</v>
      </c>
      <c r="BD340" s="66" t="s">
        <v>600</v>
      </c>
      <c r="BE340" s="66" t="s">
        <v>600</v>
      </c>
      <c r="BF340" s="66" t="s">
        <v>600</v>
      </c>
      <c r="BG340" s="66" t="s">
        <v>600</v>
      </c>
      <c r="BH340" s="66" t="s">
        <v>600</v>
      </c>
      <c r="BI340" s="66" t="s">
        <v>600</v>
      </c>
      <c r="BJ340" s="66" t="s">
        <v>600</v>
      </c>
      <c r="BK340" s="66" t="s">
        <v>600</v>
      </c>
      <c r="BL340" s="66" t="s">
        <v>600</v>
      </c>
      <c r="BM340" s="66" t="s">
        <v>600</v>
      </c>
      <c r="BN340" s="66" t="s">
        <v>600</v>
      </c>
      <c r="BO340" s="66" t="s">
        <v>600</v>
      </c>
      <c r="BP340" s="66" t="s">
        <v>600</v>
      </c>
      <c r="BQ340" s="66" t="s">
        <v>600</v>
      </c>
      <c r="BR340" s="164"/>
      <c r="BS340" s="68" t="s">
        <v>601</v>
      </c>
    </row>
    <row r="341" ht="15.6" hidden="1" spans="1:71">
      <c r="A341" s="68" t="s">
        <v>300</v>
      </c>
      <c r="B341" s="53" t="s">
        <v>27</v>
      </c>
      <c r="C341" s="171" t="s">
        <v>113</v>
      </c>
      <c r="D341" s="182" t="s">
        <v>702</v>
      </c>
      <c r="E341" s="179">
        <v>13.7</v>
      </c>
      <c r="F341" s="56">
        <v>19.99</v>
      </c>
      <c r="G341" s="59">
        <f t="shared" si="320"/>
        <v>16.9915</v>
      </c>
      <c r="H341" s="59">
        <f t="shared" si="321"/>
        <v>14.1595833333333</v>
      </c>
      <c r="I341" s="59">
        <f t="shared" si="322"/>
        <v>0.227763323500491</v>
      </c>
      <c r="J341" s="60">
        <f t="shared" si="323"/>
        <v>0.0166250601095249</v>
      </c>
      <c r="K341" s="57">
        <f t="shared" si="324"/>
        <v>16.6583333333333</v>
      </c>
      <c r="L341" s="163">
        <f t="shared" si="325"/>
        <v>0.177588794397199</v>
      </c>
      <c r="M341" s="59">
        <f t="shared" si="326"/>
        <v>2.95833333333333</v>
      </c>
      <c r="N341" s="57">
        <f>AD341+AH341</f>
        <v>41.3982300884956</v>
      </c>
      <c r="O341" s="57">
        <f t="shared" si="327"/>
        <v>0.298333333333333</v>
      </c>
      <c r="P341" s="53">
        <v>30</v>
      </c>
      <c r="Q341" s="62">
        <v>9</v>
      </c>
      <c r="R341" s="63">
        <f t="shared" si="328"/>
        <v>0.218978102189781</v>
      </c>
      <c r="S341" s="60">
        <f t="shared" si="329"/>
        <v>0.150075037518759</v>
      </c>
      <c r="T341" s="63">
        <f t="shared" si="330"/>
        <v>0.218868613138686</v>
      </c>
      <c r="U341" s="63">
        <v>0.01</v>
      </c>
      <c r="V341" s="63">
        <f t="shared" si="331"/>
        <v>0.335752068844246</v>
      </c>
      <c r="W341" s="63">
        <f t="shared" si="332"/>
        <v>0.0217761557177616</v>
      </c>
      <c r="X341" s="61">
        <v>0.178</v>
      </c>
      <c r="Y341" s="64">
        <v>3</v>
      </c>
      <c r="Z341" s="64">
        <f>F341*0.15</f>
        <v>2.9985</v>
      </c>
      <c r="AA341" s="64">
        <f t="shared" si="333"/>
        <v>0.137</v>
      </c>
      <c r="AB341" s="57">
        <f t="shared" si="334"/>
        <v>2.4386</v>
      </c>
      <c r="AC341" s="57">
        <v>40</v>
      </c>
      <c r="AD341" s="65">
        <f t="shared" si="335"/>
        <v>35.3982300884956</v>
      </c>
      <c r="AE341" s="62">
        <f>AH341/Q341</f>
        <v>0.666666666666667</v>
      </c>
      <c r="AF341" s="63">
        <f t="shared" si="336"/>
        <v>0.287090268357628</v>
      </c>
      <c r="AG341" s="63">
        <f t="shared" si="337"/>
        <v>0.00540686672073533</v>
      </c>
      <c r="AH341" s="62">
        <v>6</v>
      </c>
      <c r="AI341" s="63">
        <f t="shared" si="338"/>
        <v>0.20467998705235</v>
      </c>
      <c r="AJ341" s="63"/>
      <c r="AK341" s="63"/>
      <c r="AL341" s="63"/>
      <c r="AM341" s="63"/>
      <c r="AN341" s="66"/>
      <c r="AO341" s="66"/>
      <c r="AP341" s="66"/>
      <c r="AQ341" s="66"/>
      <c r="AR341" s="66"/>
      <c r="AS341" s="66"/>
      <c r="AT341" s="66" t="s">
        <v>600</v>
      </c>
      <c r="AU341" s="66" t="s">
        <v>600</v>
      </c>
      <c r="AV341" s="66" t="s">
        <v>600</v>
      </c>
      <c r="AW341" s="66" t="s">
        <v>600</v>
      </c>
      <c r="AX341" s="66" t="s">
        <v>600</v>
      </c>
      <c r="AY341" s="66" t="s">
        <v>600</v>
      </c>
      <c r="AZ341" s="66" t="s">
        <v>600</v>
      </c>
      <c r="BA341" s="66" t="s">
        <v>600</v>
      </c>
      <c r="BB341" s="66" t="s">
        <v>600</v>
      </c>
      <c r="BC341" s="66" t="s">
        <v>600</v>
      </c>
      <c r="BD341" s="66" t="s">
        <v>600</v>
      </c>
      <c r="BE341" s="66" t="s">
        <v>600</v>
      </c>
      <c r="BF341" s="66" t="s">
        <v>600</v>
      </c>
      <c r="BG341" s="66" t="s">
        <v>600</v>
      </c>
      <c r="BH341" s="66" t="s">
        <v>600</v>
      </c>
      <c r="BI341" s="66" t="s">
        <v>600</v>
      </c>
      <c r="BJ341" s="66" t="s">
        <v>600</v>
      </c>
      <c r="BK341" s="66" t="s">
        <v>600</v>
      </c>
      <c r="BL341" s="66" t="s">
        <v>600</v>
      </c>
      <c r="BM341" s="66" t="s">
        <v>600</v>
      </c>
      <c r="BN341" s="66" t="s">
        <v>600</v>
      </c>
      <c r="BO341" s="66" t="s">
        <v>600</v>
      </c>
      <c r="BP341" s="66" t="s">
        <v>600</v>
      </c>
      <c r="BQ341" s="66" t="s">
        <v>600</v>
      </c>
      <c r="BR341" s="164"/>
      <c r="BS341" s="68" t="s">
        <v>601</v>
      </c>
    </row>
    <row r="342" ht="15.6" hidden="1" spans="1:71">
      <c r="A342" s="53" t="s">
        <v>277</v>
      </c>
      <c r="B342" s="53" t="s">
        <v>27</v>
      </c>
      <c r="C342" s="171" t="s">
        <v>113</v>
      </c>
      <c r="D342" s="183" t="s">
        <v>700</v>
      </c>
      <c r="E342" s="179">
        <v>15.2</v>
      </c>
      <c r="F342" s="167">
        <v>21.99</v>
      </c>
      <c r="G342" s="59">
        <f t="shared" si="320"/>
        <v>21.99</v>
      </c>
      <c r="H342" s="59">
        <f t="shared" si="321"/>
        <v>18.325</v>
      </c>
      <c r="I342" s="59">
        <f t="shared" si="322"/>
        <v>3.75728790560472</v>
      </c>
      <c r="J342" s="60">
        <f t="shared" si="323"/>
        <v>0.247189993789784</v>
      </c>
      <c r="K342" s="57">
        <f t="shared" si="324"/>
        <v>18.325</v>
      </c>
      <c r="L342" s="163">
        <f t="shared" si="325"/>
        <v>0.170532060027285</v>
      </c>
      <c r="M342" s="59">
        <f t="shared" si="326"/>
        <v>3.125</v>
      </c>
      <c r="N342" s="57">
        <f>AD342+AH343</f>
        <v>41.3982300884956</v>
      </c>
      <c r="O342" s="57">
        <f t="shared" si="327"/>
        <v>0.258333333333333</v>
      </c>
      <c r="P342" s="53">
        <v>30</v>
      </c>
      <c r="Q342" s="62">
        <v>8</v>
      </c>
      <c r="R342" s="63">
        <f t="shared" si="328"/>
        <v>0.197368421052632</v>
      </c>
      <c r="S342" s="60">
        <f t="shared" si="329"/>
        <v>0.136425648021828</v>
      </c>
      <c r="T342" s="63">
        <f t="shared" si="330"/>
        <v>0</v>
      </c>
      <c r="U342" s="63">
        <v>0.01</v>
      </c>
      <c r="V342" s="63">
        <f t="shared" si="331"/>
        <v>0.340445971122497</v>
      </c>
      <c r="W342" s="63">
        <f t="shared" si="332"/>
        <v>0.0169956140350877</v>
      </c>
      <c r="X342" s="61">
        <v>0.188</v>
      </c>
      <c r="Y342" s="64">
        <v>3</v>
      </c>
      <c r="Z342" s="64">
        <v>0</v>
      </c>
      <c r="AA342" s="64">
        <f t="shared" si="333"/>
        <v>0.152</v>
      </c>
      <c r="AB342" s="57">
        <f t="shared" si="334"/>
        <v>2.8576</v>
      </c>
      <c r="AC342" s="57">
        <v>40</v>
      </c>
      <c r="AD342" s="65">
        <f t="shared" si="335"/>
        <v>35.3982300884956</v>
      </c>
      <c r="AE342" s="62">
        <f>AH343/Q342</f>
        <v>0.75</v>
      </c>
      <c r="AF342" s="63">
        <f t="shared" si="336"/>
        <v>0.291103865859339</v>
      </c>
      <c r="AG342" s="63">
        <f t="shared" si="337"/>
        <v>0.00616776315789474</v>
      </c>
      <c r="AH342" s="62">
        <v>6</v>
      </c>
      <c r="AI342" s="63">
        <f t="shared" si="338"/>
        <v>0.326472032742156</v>
      </c>
      <c r="AJ342" s="63"/>
      <c r="AK342" s="63"/>
      <c r="AL342" s="63"/>
      <c r="AM342" s="63"/>
      <c r="AN342" s="66"/>
      <c r="AO342" s="66"/>
      <c r="AP342" s="66"/>
      <c r="AQ342" s="66"/>
      <c r="AR342" s="66"/>
      <c r="AS342" s="66"/>
      <c r="AT342" s="66" t="s">
        <v>600</v>
      </c>
      <c r="AU342" s="66" t="s">
        <v>600</v>
      </c>
      <c r="AV342" s="66" t="s">
        <v>600</v>
      </c>
      <c r="AW342" s="66" t="s">
        <v>600</v>
      </c>
      <c r="AX342" s="66" t="s">
        <v>600</v>
      </c>
      <c r="AY342" s="66" t="s">
        <v>600</v>
      </c>
      <c r="AZ342" s="66" t="s">
        <v>600</v>
      </c>
      <c r="BA342" s="66" t="s">
        <v>600</v>
      </c>
      <c r="BB342" s="66" t="s">
        <v>600</v>
      </c>
      <c r="BC342" s="66" t="s">
        <v>600</v>
      </c>
      <c r="BD342" s="66" t="s">
        <v>600</v>
      </c>
      <c r="BE342" s="66" t="s">
        <v>600</v>
      </c>
      <c r="BF342" s="66" t="s">
        <v>600</v>
      </c>
      <c r="BG342" s="66" t="s">
        <v>600</v>
      </c>
      <c r="BH342" s="66" t="s">
        <v>600</v>
      </c>
      <c r="BI342" s="66" t="s">
        <v>600</v>
      </c>
      <c r="BJ342" s="66" t="s">
        <v>600</v>
      </c>
      <c r="BK342" s="66" t="s">
        <v>600</v>
      </c>
      <c r="BL342" s="66" t="s">
        <v>600</v>
      </c>
      <c r="BM342" s="66" t="s">
        <v>600</v>
      </c>
      <c r="BN342" s="66" t="s">
        <v>600</v>
      </c>
      <c r="BO342" s="66" t="s">
        <v>600</v>
      </c>
      <c r="BP342" s="66" t="s">
        <v>600</v>
      </c>
      <c r="BQ342" s="66" t="s">
        <v>600</v>
      </c>
      <c r="BR342" s="164"/>
      <c r="BS342" s="68" t="s">
        <v>601</v>
      </c>
    </row>
    <row r="343" ht="15.6" hidden="1" spans="1:71">
      <c r="A343" s="53" t="s">
        <v>277</v>
      </c>
      <c r="B343" s="53" t="s">
        <v>27</v>
      </c>
      <c r="C343" s="171" t="s">
        <v>113</v>
      </c>
      <c r="D343" s="183" t="s">
        <v>701</v>
      </c>
      <c r="E343" s="179">
        <v>15.2</v>
      </c>
      <c r="F343" s="56">
        <v>21.99</v>
      </c>
      <c r="G343" s="59">
        <f t="shared" si="320"/>
        <v>19.791</v>
      </c>
      <c r="H343" s="59">
        <f t="shared" si="321"/>
        <v>16.4925</v>
      </c>
      <c r="I343" s="165">
        <f t="shared" si="322"/>
        <v>1.55828790560472</v>
      </c>
      <c r="J343" s="60">
        <f t="shared" si="323"/>
        <v>0.102518941158205</v>
      </c>
      <c r="K343" s="57">
        <f t="shared" si="324"/>
        <v>18.325</v>
      </c>
      <c r="L343" s="163">
        <f t="shared" si="325"/>
        <v>0.170532060027285</v>
      </c>
      <c r="M343" s="59">
        <f t="shared" si="326"/>
        <v>3.125</v>
      </c>
      <c r="N343" s="57">
        <f t="shared" ref="N343:N357" si="339">AD343+AH343</f>
        <v>41.3982300884956</v>
      </c>
      <c r="O343" s="57">
        <f t="shared" si="327"/>
        <v>0.258333333333333</v>
      </c>
      <c r="P343" s="53">
        <v>30</v>
      </c>
      <c r="Q343" s="62">
        <v>8</v>
      </c>
      <c r="R343" s="63">
        <f t="shared" si="328"/>
        <v>0.197368421052632</v>
      </c>
      <c r="S343" s="60">
        <f t="shared" si="329"/>
        <v>0.136425648021828</v>
      </c>
      <c r="T343" s="63">
        <f t="shared" si="330"/>
        <v>0.144671052631579</v>
      </c>
      <c r="U343" s="63">
        <v>0.01</v>
      </c>
      <c r="V343" s="63">
        <f t="shared" si="331"/>
        <v>0.340445971122497</v>
      </c>
      <c r="W343" s="63">
        <f t="shared" si="332"/>
        <v>0.0169956140350877</v>
      </c>
      <c r="X343" s="61">
        <v>0.188</v>
      </c>
      <c r="Y343" s="64">
        <v>3</v>
      </c>
      <c r="Z343" s="64">
        <f>F343*0.1</f>
        <v>2.199</v>
      </c>
      <c r="AA343" s="64">
        <f t="shared" si="333"/>
        <v>0.152</v>
      </c>
      <c r="AB343" s="57">
        <f t="shared" si="334"/>
        <v>2.8576</v>
      </c>
      <c r="AC343" s="57">
        <v>40</v>
      </c>
      <c r="AD343" s="65">
        <f t="shared" si="335"/>
        <v>35.3982300884956</v>
      </c>
      <c r="AE343" s="62">
        <f t="shared" ref="AE343:AE357" si="340">AH343/Q343</f>
        <v>0.75</v>
      </c>
      <c r="AF343" s="63">
        <f t="shared" si="336"/>
        <v>0.291103865859339</v>
      </c>
      <c r="AG343" s="63">
        <f t="shared" si="337"/>
        <v>0.00616776315789474</v>
      </c>
      <c r="AH343" s="62">
        <v>6</v>
      </c>
      <c r="AI343" s="63">
        <f t="shared" si="338"/>
        <v>0.251635591935728</v>
      </c>
      <c r="AJ343" s="63"/>
      <c r="AK343" s="63"/>
      <c r="AL343" s="63"/>
      <c r="AM343" s="63"/>
      <c r="AN343" s="66"/>
      <c r="AO343" s="66"/>
      <c r="AP343" s="66"/>
      <c r="AQ343" s="66"/>
      <c r="AR343" s="66"/>
      <c r="AS343" s="66"/>
      <c r="AT343" s="66" t="s">
        <v>600</v>
      </c>
      <c r="AU343" s="66" t="s">
        <v>600</v>
      </c>
      <c r="AV343" s="66" t="s">
        <v>600</v>
      </c>
      <c r="AW343" s="66" t="s">
        <v>600</v>
      </c>
      <c r="AX343" s="66" t="s">
        <v>600</v>
      </c>
      <c r="AY343" s="66" t="s">
        <v>600</v>
      </c>
      <c r="AZ343" s="66" t="s">
        <v>600</v>
      </c>
      <c r="BA343" s="66" t="s">
        <v>600</v>
      </c>
      <c r="BB343" s="66" t="s">
        <v>600</v>
      </c>
      <c r="BC343" s="66" t="s">
        <v>600</v>
      </c>
      <c r="BD343" s="66" t="s">
        <v>600</v>
      </c>
      <c r="BE343" s="66" t="s">
        <v>600</v>
      </c>
      <c r="BF343" s="66" t="s">
        <v>600</v>
      </c>
      <c r="BG343" s="66" t="s">
        <v>600</v>
      </c>
      <c r="BH343" s="66" t="s">
        <v>600</v>
      </c>
      <c r="BI343" s="66" t="s">
        <v>600</v>
      </c>
      <c r="BJ343" s="66" t="s">
        <v>600</v>
      </c>
      <c r="BK343" s="66" t="s">
        <v>600</v>
      </c>
      <c r="BL343" s="66" t="s">
        <v>600</v>
      </c>
      <c r="BM343" s="66" t="s">
        <v>600</v>
      </c>
      <c r="BN343" s="66" t="s">
        <v>600</v>
      </c>
      <c r="BO343" s="66" t="s">
        <v>600</v>
      </c>
      <c r="BP343" s="66" t="s">
        <v>600</v>
      </c>
      <c r="BQ343" s="66" t="s">
        <v>600</v>
      </c>
      <c r="BR343" s="164"/>
      <c r="BS343" s="68" t="s">
        <v>601</v>
      </c>
    </row>
    <row r="344" ht="15.6" hidden="1" spans="1:71">
      <c r="A344" s="53" t="s">
        <v>277</v>
      </c>
      <c r="B344" s="53" t="s">
        <v>27</v>
      </c>
      <c r="C344" s="171" t="s">
        <v>113</v>
      </c>
      <c r="D344" s="183" t="s">
        <v>702</v>
      </c>
      <c r="E344" s="179">
        <v>15.2</v>
      </c>
      <c r="F344" s="56">
        <v>21.99</v>
      </c>
      <c r="G344" s="59">
        <f t="shared" si="320"/>
        <v>18.6915</v>
      </c>
      <c r="H344" s="59">
        <f t="shared" si="321"/>
        <v>15.57625</v>
      </c>
      <c r="I344" s="59">
        <f t="shared" si="322"/>
        <v>0.458787905604719</v>
      </c>
      <c r="J344" s="60">
        <f t="shared" si="323"/>
        <v>0.0301834148424157</v>
      </c>
      <c r="K344" s="57">
        <f t="shared" si="324"/>
        <v>18.325</v>
      </c>
      <c r="L344" s="163">
        <f t="shared" si="325"/>
        <v>0.170532060027285</v>
      </c>
      <c r="M344" s="59">
        <f t="shared" si="326"/>
        <v>3.125</v>
      </c>
      <c r="N344" s="57">
        <f t="shared" si="339"/>
        <v>41.3982300884956</v>
      </c>
      <c r="O344" s="57">
        <f t="shared" si="327"/>
        <v>0.258333333333333</v>
      </c>
      <c r="P344" s="53">
        <v>30</v>
      </c>
      <c r="Q344" s="62">
        <v>8</v>
      </c>
      <c r="R344" s="63">
        <f t="shared" si="328"/>
        <v>0.197368421052632</v>
      </c>
      <c r="S344" s="60">
        <f t="shared" si="329"/>
        <v>0.136425648021828</v>
      </c>
      <c r="T344" s="63">
        <f t="shared" si="330"/>
        <v>0.217006578947368</v>
      </c>
      <c r="U344" s="63">
        <v>0.01</v>
      </c>
      <c r="V344" s="63">
        <f t="shared" si="331"/>
        <v>0.340445971122497</v>
      </c>
      <c r="W344" s="63">
        <f t="shared" si="332"/>
        <v>0.0169956140350877</v>
      </c>
      <c r="X344" s="61">
        <v>0.188</v>
      </c>
      <c r="Y344" s="64">
        <v>3</v>
      </c>
      <c r="Z344" s="64">
        <f>F344*0.15</f>
        <v>3.2985</v>
      </c>
      <c r="AA344" s="64">
        <f t="shared" si="333"/>
        <v>0.152</v>
      </c>
      <c r="AB344" s="57">
        <f t="shared" si="334"/>
        <v>2.8576</v>
      </c>
      <c r="AC344" s="57">
        <v>40</v>
      </c>
      <c r="AD344" s="65">
        <f t="shared" si="335"/>
        <v>35.3982300884956</v>
      </c>
      <c r="AE344" s="62">
        <f t="shared" si="340"/>
        <v>0.75</v>
      </c>
      <c r="AF344" s="63">
        <f t="shared" si="336"/>
        <v>0.291103865859339</v>
      </c>
      <c r="AG344" s="63">
        <f t="shared" si="337"/>
        <v>0.00616776315789474</v>
      </c>
      <c r="AH344" s="62">
        <v>6</v>
      </c>
      <c r="AI344" s="63">
        <f t="shared" si="338"/>
        <v>0.207614156167242</v>
      </c>
      <c r="AJ344" s="63"/>
      <c r="AK344" s="63"/>
      <c r="AL344" s="63"/>
      <c r="AM344" s="63"/>
      <c r="AN344" s="66"/>
      <c r="AO344" s="66"/>
      <c r="AP344" s="66"/>
      <c r="AQ344" s="66"/>
      <c r="AR344" s="66"/>
      <c r="AS344" s="66"/>
      <c r="AT344" s="66" t="s">
        <v>600</v>
      </c>
      <c r="AU344" s="66" t="s">
        <v>600</v>
      </c>
      <c r="AV344" s="66" t="s">
        <v>600</v>
      </c>
      <c r="AW344" s="66" t="s">
        <v>600</v>
      </c>
      <c r="AX344" s="66" t="s">
        <v>600</v>
      </c>
      <c r="AY344" s="66" t="s">
        <v>600</v>
      </c>
      <c r="AZ344" s="66" t="s">
        <v>600</v>
      </c>
      <c r="BA344" s="66" t="s">
        <v>600</v>
      </c>
      <c r="BB344" s="66" t="s">
        <v>600</v>
      </c>
      <c r="BC344" s="66" t="s">
        <v>600</v>
      </c>
      <c r="BD344" s="66" t="s">
        <v>600</v>
      </c>
      <c r="BE344" s="66" t="s">
        <v>600</v>
      </c>
      <c r="BF344" s="66" t="s">
        <v>600</v>
      </c>
      <c r="BG344" s="66" t="s">
        <v>600</v>
      </c>
      <c r="BH344" s="66" t="s">
        <v>600</v>
      </c>
      <c r="BI344" s="66" t="s">
        <v>600</v>
      </c>
      <c r="BJ344" s="66" t="s">
        <v>600</v>
      </c>
      <c r="BK344" s="66" t="s">
        <v>600</v>
      </c>
      <c r="BL344" s="66" t="s">
        <v>600</v>
      </c>
      <c r="BM344" s="66" t="s">
        <v>600</v>
      </c>
      <c r="BN344" s="66" t="s">
        <v>600</v>
      </c>
      <c r="BO344" s="66" t="s">
        <v>600</v>
      </c>
      <c r="BP344" s="66" t="s">
        <v>600</v>
      </c>
      <c r="BQ344" s="66" t="s">
        <v>600</v>
      </c>
      <c r="BR344" s="164"/>
      <c r="BS344" s="68" t="s">
        <v>601</v>
      </c>
    </row>
    <row r="345" ht="15.6" hidden="1" spans="1:71">
      <c r="A345" s="53" t="s">
        <v>511</v>
      </c>
      <c r="B345" s="53" t="s">
        <v>27</v>
      </c>
      <c r="C345" s="171" t="s">
        <v>113</v>
      </c>
      <c r="D345" s="183" t="s">
        <v>700</v>
      </c>
      <c r="E345" s="179">
        <v>15.2</v>
      </c>
      <c r="F345" s="56">
        <v>21.99</v>
      </c>
      <c r="G345" s="59">
        <f t="shared" si="320"/>
        <v>21.99</v>
      </c>
      <c r="H345" s="59">
        <f t="shared" si="321"/>
        <v>18.325</v>
      </c>
      <c r="I345" s="59">
        <f t="shared" si="322"/>
        <v>3.54062123893805</v>
      </c>
      <c r="J345" s="60">
        <f t="shared" si="323"/>
        <v>0.232935607824872</v>
      </c>
      <c r="K345" s="57">
        <f t="shared" si="324"/>
        <v>18.325</v>
      </c>
      <c r="L345" s="163">
        <f t="shared" si="325"/>
        <v>0.170532060027285</v>
      </c>
      <c r="M345" s="59">
        <f t="shared" si="326"/>
        <v>3.125</v>
      </c>
      <c r="N345" s="57">
        <f t="shared" si="339"/>
        <v>41.3982300884956</v>
      </c>
      <c r="O345" s="57">
        <f t="shared" si="327"/>
        <v>0.475</v>
      </c>
      <c r="P345" s="53">
        <v>30</v>
      </c>
      <c r="Q345" s="62">
        <v>8</v>
      </c>
      <c r="R345" s="63">
        <f t="shared" si="328"/>
        <v>0.197368421052632</v>
      </c>
      <c r="S345" s="60">
        <f t="shared" si="329"/>
        <v>0.136425648021828</v>
      </c>
      <c r="T345" s="63">
        <f t="shared" si="330"/>
        <v>0</v>
      </c>
      <c r="U345" s="63">
        <v>0.01</v>
      </c>
      <c r="V345" s="63">
        <f t="shared" si="331"/>
        <v>0.340445971122497</v>
      </c>
      <c r="W345" s="63">
        <f t="shared" si="332"/>
        <v>0.03125</v>
      </c>
      <c r="X345" s="61">
        <v>0.188</v>
      </c>
      <c r="Y345" s="64">
        <v>3</v>
      </c>
      <c r="Z345" s="64">
        <v>0</v>
      </c>
      <c r="AA345" s="64">
        <f t="shared" si="333"/>
        <v>0.152</v>
      </c>
      <c r="AB345" s="57">
        <f t="shared" si="334"/>
        <v>2.8576</v>
      </c>
      <c r="AC345" s="57">
        <v>40</v>
      </c>
      <c r="AD345" s="65">
        <f t="shared" si="335"/>
        <v>35.3982300884956</v>
      </c>
      <c r="AE345" s="62">
        <f t="shared" si="340"/>
        <v>0.75</v>
      </c>
      <c r="AF345" s="63">
        <f t="shared" si="336"/>
        <v>0.291103865859339</v>
      </c>
      <c r="AG345" s="63">
        <f t="shared" si="337"/>
        <v>0.00616776315789474</v>
      </c>
      <c r="AH345" s="62">
        <v>6</v>
      </c>
      <c r="AI345" s="63">
        <f t="shared" si="338"/>
        <v>0.326472032742156</v>
      </c>
      <c r="AJ345" s="63"/>
      <c r="AK345" s="63"/>
      <c r="AL345" s="63"/>
      <c r="AM345" s="63"/>
      <c r="AN345" s="66"/>
      <c r="AO345" s="66"/>
      <c r="AP345" s="66"/>
      <c r="AQ345" s="66"/>
      <c r="AR345" s="66"/>
      <c r="AS345" s="66"/>
      <c r="AT345" s="66" t="s">
        <v>600</v>
      </c>
      <c r="AU345" s="66" t="s">
        <v>600</v>
      </c>
      <c r="AV345" s="66" t="s">
        <v>600</v>
      </c>
      <c r="AW345" s="66" t="s">
        <v>600</v>
      </c>
      <c r="AX345" s="66" t="s">
        <v>600</v>
      </c>
      <c r="AY345" s="66" t="s">
        <v>600</v>
      </c>
      <c r="AZ345" s="66" t="s">
        <v>600</v>
      </c>
      <c r="BA345" s="66" t="s">
        <v>600</v>
      </c>
      <c r="BB345" s="66" t="s">
        <v>600</v>
      </c>
      <c r="BC345" s="66" t="s">
        <v>600</v>
      </c>
      <c r="BD345" s="66" t="s">
        <v>600</v>
      </c>
      <c r="BE345" s="66" t="s">
        <v>600</v>
      </c>
      <c r="BF345" s="66" t="s">
        <v>600</v>
      </c>
      <c r="BG345" s="66" t="s">
        <v>600</v>
      </c>
      <c r="BH345" s="66" t="s">
        <v>600</v>
      </c>
      <c r="BI345" s="66" t="s">
        <v>600</v>
      </c>
      <c r="BJ345" s="66" t="s">
        <v>600</v>
      </c>
      <c r="BK345" s="66" t="s">
        <v>600</v>
      </c>
      <c r="BL345" s="66" t="s">
        <v>600</v>
      </c>
      <c r="BM345" s="66" t="s">
        <v>600</v>
      </c>
      <c r="BN345" s="66" t="s">
        <v>600</v>
      </c>
      <c r="BO345" s="66" t="s">
        <v>600</v>
      </c>
      <c r="BP345" s="66" t="s">
        <v>600</v>
      </c>
      <c r="BQ345" s="66" t="s">
        <v>600</v>
      </c>
      <c r="BR345" s="164"/>
      <c r="BS345" s="68" t="s">
        <v>601</v>
      </c>
    </row>
    <row r="346" ht="15.6" hidden="1" spans="1:71">
      <c r="A346" s="53" t="s">
        <v>511</v>
      </c>
      <c r="B346" s="53" t="s">
        <v>27</v>
      </c>
      <c r="C346" s="171" t="s">
        <v>113</v>
      </c>
      <c r="D346" s="183" t="s">
        <v>701</v>
      </c>
      <c r="E346" s="179">
        <v>15.2</v>
      </c>
      <c r="F346" s="56">
        <v>21.99</v>
      </c>
      <c r="G346" s="59">
        <f t="shared" si="320"/>
        <v>19.791</v>
      </c>
      <c r="H346" s="59">
        <f t="shared" si="321"/>
        <v>16.4925</v>
      </c>
      <c r="I346" s="165">
        <f t="shared" si="322"/>
        <v>1.34162123893805</v>
      </c>
      <c r="J346" s="60">
        <f t="shared" si="323"/>
        <v>0.0882645551932929</v>
      </c>
      <c r="K346" s="57">
        <f t="shared" si="324"/>
        <v>18.325</v>
      </c>
      <c r="L346" s="163">
        <f t="shared" si="325"/>
        <v>0.170532060027285</v>
      </c>
      <c r="M346" s="59">
        <f t="shared" si="326"/>
        <v>3.125</v>
      </c>
      <c r="N346" s="57">
        <f t="shared" si="339"/>
        <v>41.3982300884956</v>
      </c>
      <c r="O346" s="57">
        <f t="shared" si="327"/>
        <v>0.475</v>
      </c>
      <c r="P346" s="53">
        <v>30</v>
      </c>
      <c r="Q346" s="62">
        <v>8</v>
      </c>
      <c r="R346" s="63">
        <f t="shared" si="328"/>
        <v>0.197368421052632</v>
      </c>
      <c r="S346" s="60">
        <f t="shared" si="329"/>
        <v>0.136425648021828</v>
      </c>
      <c r="T346" s="63">
        <f t="shared" si="330"/>
        <v>0.144671052631579</v>
      </c>
      <c r="U346" s="63">
        <v>0.01</v>
      </c>
      <c r="V346" s="63">
        <f t="shared" si="331"/>
        <v>0.340445971122497</v>
      </c>
      <c r="W346" s="63">
        <f t="shared" si="332"/>
        <v>0.03125</v>
      </c>
      <c r="X346" s="61">
        <v>0.188</v>
      </c>
      <c r="Y346" s="64">
        <v>3</v>
      </c>
      <c r="Z346" s="64">
        <f>F346*0.1</f>
        <v>2.199</v>
      </c>
      <c r="AA346" s="64">
        <f t="shared" si="333"/>
        <v>0.152</v>
      </c>
      <c r="AB346" s="57">
        <f t="shared" si="334"/>
        <v>2.8576</v>
      </c>
      <c r="AC346" s="57">
        <v>40</v>
      </c>
      <c r="AD346" s="65">
        <f t="shared" si="335"/>
        <v>35.3982300884956</v>
      </c>
      <c r="AE346" s="62">
        <f t="shared" si="340"/>
        <v>0.75</v>
      </c>
      <c r="AF346" s="63">
        <f t="shared" si="336"/>
        <v>0.291103865859339</v>
      </c>
      <c r="AG346" s="63">
        <f t="shared" si="337"/>
        <v>0.00616776315789474</v>
      </c>
      <c r="AH346" s="62">
        <v>6</v>
      </c>
      <c r="AI346" s="63">
        <f t="shared" si="338"/>
        <v>0.251635591935728</v>
      </c>
      <c r="AJ346" s="63"/>
      <c r="AK346" s="63"/>
      <c r="AL346" s="63"/>
      <c r="AM346" s="63"/>
      <c r="AN346" s="66"/>
      <c r="AO346" s="66"/>
      <c r="AP346" s="66"/>
      <c r="AQ346" s="66"/>
      <c r="AR346" s="66"/>
      <c r="AS346" s="66"/>
      <c r="AT346" s="66" t="s">
        <v>600</v>
      </c>
      <c r="AU346" s="66" t="s">
        <v>600</v>
      </c>
      <c r="AV346" s="66" t="s">
        <v>600</v>
      </c>
      <c r="AW346" s="66" t="s">
        <v>600</v>
      </c>
      <c r="AX346" s="66" t="s">
        <v>600</v>
      </c>
      <c r="AY346" s="66" t="s">
        <v>600</v>
      </c>
      <c r="AZ346" s="66" t="s">
        <v>600</v>
      </c>
      <c r="BA346" s="66" t="s">
        <v>600</v>
      </c>
      <c r="BB346" s="66" t="s">
        <v>600</v>
      </c>
      <c r="BC346" s="66" t="s">
        <v>600</v>
      </c>
      <c r="BD346" s="66" t="s">
        <v>600</v>
      </c>
      <c r="BE346" s="66" t="s">
        <v>600</v>
      </c>
      <c r="BF346" s="66" t="s">
        <v>600</v>
      </c>
      <c r="BG346" s="66" t="s">
        <v>600</v>
      </c>
      <c r="BH346" s="66" t="s">
        <v>600</v>
      </c>
      <c r="BI346" s="66" t="s">
        <v>600</v>
      </c>
      <c r="BJ346" s="66" t="s">
        <v>600</v>
      </c>
      <c r="BK346" s="66" t="s">
        <v>600</v>
      </c>
      <c r="BL346" s="66" t="s">
        <v>600</v>
      </c>
      <c r="BM346" s="66" t="s">
        <v>600</v>
      </c>
      <c r="BN346" s="66" t="s">
        <v>600</v>
      </c>
      <c r="BO346" s="66" t="s">
        <v>600</v>
      </c>
      <c r="BP346" s="66" t="s">
        <v>600</v>
      </c>
      <c r="BQ346" s="66" t="s">
        <v>600</v>
      </c>
      <c r="BR346" s="164"/>
      <c r="BS346" s="68" t="s">
        <v>601</v>
      </c>
    </row>
    <row r="347" ht="15.6" hidden="1" spans="1:71">
      <c r="A347" s="53" t="s">
        <v>511</v>
      </c>
      <c r="B347" s="53" t="s">
        <v>27</v>
      </c>
      <c r="C347" s="171" t="s">
        <v>113</v>
      </c>
      <c r="D347" s="183" t="s">
        <v>702</v>
      </c>
      <c r="E347" s="179">
        <v>15.2</v>
      </c>
      <c r="F347" s="56">
        <v>21.99</v>
      </c>
      <c r="G347" s="59">
        <f t="shared" si="320"/>
        <v>18.6915</v>
      </c>
      <c r="H347" s="59">
        <f t="shared" si="321"/>
        <v>15.57625</v>
      </c>
      <c r="I347" s="59">
        <f t="shared" si="322"/>
        <v>0.242121238938052</v>
      </c>
      <c r="J347" s="60">
        <f t="shared" si="323"/>
        <v>0.0159290288775034</v>
      </c>
      <c r="K347" s="57">
        <f t="shared" si="324"/>
        <v>18.325</v>
      </c>
      <c r="L347" s="163">
        <f t="shared" si="325"/>
        <v>0.170532060027285</v>
      </c>
      <c r="M347" s="59">
        <f t="shared" si="326"/>
        <v>3.125</v>
      </c>
      <c r="N347" s="57">
        <f t="shared" si="339"/>
        <v>41.3982300884956</v>
      </c>
      <c r="O347" s="57">
        <f t="shared" si="327"/>
        <v>0.475</v>
      </c>
      <c r="P347" s="53">
        <v>30</v>
      </c>
      <c r="Q347" s="62">
        <v>8</v>
      </c>
      <c r="R347" s="63">
        <f t="shared" si="328"/>
        <v>0.197368421052632</v>
      </c>
      <c r="S347" s="60">
        <f t="shared" si="329"/>
        <v>0.136425648021828</v>
      </c>
      <c r="T347" s="63">
        <f t="shared" si="330"/>
        <v>0.217006578947368</v>
      </c>
      <c r="U347" s="63">
        <v>0.01</v>
      </c>
      <c r="V347" s="63">
        <f t="shared" si="331"/>
        <v>0.340445971122497</v>
      </c>
      <c r="W347" s="63">
        <f t="shared" si="332"/>
        <v>0.03125</v>
      </c>
      <c r="X347" s="61">
        <v>0.188</v>
      </c>
      <c r="Y347" s="64">
        <v>3</v>
      </c>
      <c r="Z347" s="64">
        <f>F347*0.15</f>
        <v>3.2985</v>
      </c>
      <c r="AA347" s="64">
        <f t="shared" si="333"/>
        <v>0.152</v>
      </c>
      <c r="AB347" s="57">
        <f t="shared" si="334"/>
        <v>2.8576</v>
      </c>
      <c r="AC347" s="57">
        <v>40</v>
      </c>
      <c r="AD347" s="65">
        <f t="shared" si="335"/>
        <v>35.3982300884956</v>
      </c>
      <c r="AE347" s="62">
        <f t="shared" si="340"/>
        <v>0.75</v>
      </c>
      <c r="AF347" s="63">
        <f t="shared" si="336"/>
        <v>0.291103865859339</v>
      </c>
      <c r="AG347" s="63">
        <f t="shared" si="337"/>
        <v>0.00616776315789474</v>
      </c>
      <c r="AH347" s="62">
        <v>6</v>
      </c>
      <c r="AI347" s="63">
        <f t="shared" si="338"/>
        <v>0.207614156167242</v>
      </c>
      <c r="AJ347" s="63"/>
      <c r="AK347" s="63"/>
      <c r="AL347" s="63"/>
      <c r="AM347" s="63"/>
      <c r="AN347" s="66"/>
      <c r="AO347" s="66"/>
      <c r="AP347" s="66"/>
      <c r="AQ347" s="66"/>
      <c r="AR347" s="66"/>
      <c r="AS347" s="66"/>
      <c r="AT347" s="66" t="s">
        <v>600</v>
      </c>
      <c r="AU347" s="66" t="s">
        <v>600</v>
      </c>
      <c r="AV347" s="66" t="s">
        <v>600</v>
      </c>
      <c r="AW347" s="66" t="s">
        <v>600</v>
      </c>
      <c r="AX347" s="66" t="s">
        <v>600</v>
      </c>
      <c r="AY347" s="66" t="s">
        <v>600</v>
      </c>
      <c r="AZ347" s="66" t="s">
        <v>600</v>
      </c>
      <c r="BA347" s="66" t="s">
        <v>600</v>
      </c>
      <c r="BB347" s="66" t="s">
        <v>600</v>
      </c>
      <c r="BC347" s="66" t="s">
        <v>600</v>
      </c>
      <c r="BD347" s="66" t="s">
        <v>600</v>
      </c>
      <c r="BE347" s="66" t="s">
        <v>600</v>
      </c>
      <c r="BF347" s="66" t="s">
        <v>600</v>
      </c>
      <c r="BG347" s="66" t="s">
        <v>600</v>
      </c>
      <c r="BH347" s="66" t="s">
        <v>600</v>
      </c>
      <c r="BI347" s="66" t="s">
        <v>600</v>
      </c>
      <c r="BJ347" s="66" t="s">
        <v>600</v>
      </c>
      <c r="BK347" s="66" t="s">
        <v>600</v>
      </c>
      <c r="BL347" s="66" t="s">
        <v>600</v>
      </c>
      <c r="BM347" s="66" t="s">
        <v>600</v>
      </c>
      <c r="BN347" s="66" t="s">
        <v>600</v>
      </c>
      <c r="BO347" s="66" t="s">
        <v>600</v>
      </c>
      <c r="BP347" s="66" t="s">
        <v>600</v>
      </c>
      <c r="BQ347" s="66" t="s">
        <v>600</v>
      </c>
      <c r="BR347" s="164"/>
      <c r="BS347" s="68" t="s">
        <v>601</v>
      </c>
    </row>
    <row r="348" ht="15.6" hidden="1" spans="1:71">
      <c r="A348" s="53" t="s">
        <v>513</v>
      </c>
      <c r="B348" s="53" t="s">
        <v>27</v>
      </c>
      <c r="C348" s="171" t="s">
        <v>113</v>
      </c>
      <c r="D348" s="183" t="s">
        <v>700</v>
      </c>
      <c r="E348" s="179">
        <v>15.2</v>
      </c>
      <c r="F348" s="56">
        <v>21.99</v>
      </c>
      <c r="G348" s="59">
        <f t="shared" si="320"/>
        <v>21.99</v>
      </c>
      <c r="H348" s="59">
        <f t="shared" si="321"/>
        <v>18.325</v>
      </c>
      <c r="I348" s="59">
        <f t="shared" si="322"/>
        <v>3.50728790560472</v>
      </c>
      <c r="J348" s="60">
        <f t="shared" si="323"/>
        <v>0.230742625368731</v>
      </c>
      <c r="K348" s="57">
        <f t="shared" si="324"/>
        <v>18.325</v>
      </c>
      <c r="L348" s="163">
        <f t="shared" si="325"/>
        <v>0.170532060027285</v>
      </c>
      <c r="M348" s="59">
        <f t="shared" si="326"/>
        <v>3.125</v>
      </c>
      <c r="N348" s="57">
        <f t="shared" si="339"/>
        <v>41.3982300884956</v>
      </c>
      <c r="O348" s="57">
        <f t="shared" si="327"/>
        <v>0.508333333333333</v>
      </c>
      <c r="P348" s="53">
        <v>30</v>
      </c>
      <c r="Q348" s="62">
        <v>8</v>
      </c>
      <c r="R348" s="63">
        <f t="shared" si="328"/>
        <v>0.197368421052632</v>
      </c>
      <c r="S348" s="60">
        <f t="shared" si="329"/>
        <v>0.136425648021828</v>
      </c>
      <c r="T348" s="63">
        <f t="shared" si="330"/>
        <v>0</v>
      </c>
      <c r="U348" s="63">
        <v>0.01</v>
      </c>
      <c r="V348" s="63">
        <f t="shared" si="331"/>
        <v>0.340445971122497</v>
      </c>
      <c r="W348" s="63">
        <f t="shared" si="332"/>
        <v>0.0334429824561404</v>
      </c>
      <c r="X348" s="61">
        <v>0.188</v>
      </c>
      <c r="Y348" s="64">
        <v>3</v>
      </c>
      <c r="Z348" s="64">
        <v>0</v>
      </c>
      <c r="AA348" s="64">
        <f t="shared" si="333"/>
        <v>0.152</v>
      </c>
      <c r="AB348" s="57">
        <f t="shared" si="334"/>
        <v>2.8576</v>
      </c>
      <c r="AC348" s="57">
        <v>40</v>
      </c>
      <c r="AD348" s="65">
        <f t="shared" si="335"/>
        <v>35.3982300884956</v>
      </c>
      <c r="AE348" s="62">
        <f t="shared" si="340"/>
        <v>0.75</v>
      </c>
      <c r="AF348" s="63">
        <f t="shared" si="336"/>
        <v>0.291103865859339</v>
      </c>
      <c r="AG348" s="63">
        <f t="shared" si="337"/>
        <v>0.00616776315789474</v>
      </c>
      <c r="AH348" s="62">
        <v>6</v>
      </c>
      <c r="AI348" s="60">
        <f t="shared" si="338"/>
        <v>0.326472032742156</v>
      </c>
      <c r="AJ348" s="60"/>
      <c r="AK348" s="60"/>
      <c r="AL348" s="60"/>
      <c r="AM348" s="60"/>
      <c r="AN348" s="66"/>
      <c r="AO348" s="66"/>
      <c r="AP348" s="66"/>
      <c r="AQ348" s="66"/>
      <c r="AR348" s="66"/>
      <c r="AS348" s="66"/>
      <c r="AT348" s="66" t="s">
        <v>600</v>
      </c>
      <c r="AU348" s="66" t="s">
        <v>600</v>
      </c>
      <c r="AV348" s="66" t="s">
        <v>600</v>
      </c>
      <c r="AW348" s="66" t="s">
        <v>600</v>
      </c>
      <c r="AX348" s="66" t="s">
        <v>600</v>
      </c>
      <c r="AY348" s="66" t="s">
        <v>600</v>
      </c>
      <c r="AZ348" s="66" t="s">
        <v>600</v>
      </c>
      <c r="BA348" s="66" t="s">
        <v>600</v>
      </c>
      <c r="BB348" s="66" t="s">
        <v>600</v>
      </c>
      <c r="BC348" s="66" t="s">
        <v>600</v>
      </c>
      <c r="BD348" s="66" t="s">
        <v>600</v>
      </c>
      <c r="BE348" s="66" t="s">
        <v>600</v>
      </c>
      <c r="BF348" s="66" t="s">
        <v>600</v>
      </c>
      <c r="BG348" s="66" t="s">
        <v>600</v>
      </c>
      <c r="BH348" s="66" t="s">
        <v>600</v>
      </c>
      <c r="BI348" s="66" t="s">
        <v>600</v>
      </c>
      <c r="BJ348" s="66" t="s">
        <v>600</v>
      </c>
      <c r="BK348" s="66" t="s">
        <v>600</v>
      </c>
      <c r="BL348" s="66" t="s">
        <v>600</v>
      </c>
      <c r="BM348" s="66" t="s">
        <v>600</v>
      </c>
      <c r="BN348" s="66" t="s">
        <v>600</v>
      </c>
      <c r="BO348" s="66" t="s">
        <v>600</v>
      </c>
      <c r="BP348" s="66" t="s">
        <v>600</v>
      </c>
      <c r="BQ348" s="66" t="s">
        <v>600</v>
      </c>
      <c r="BR348" s="164"/>
      <c r="BS348" s="68" t="s">
        <v>601</v>
      </c>
    </row>
    <row r="349" ht="15.6" hidden="1" spans="1:71">
      <c r="A349" s="53" t="s">
        <v>513</v>
      </c>
      <c r="B349" s="53" t="s">
        <v>27</v>
      </c>
      <c r="C349" s="171" t="s">
        <v>113</v>
      </c>
      <c r="D349" s="183" t="s">
        <v>701</v>
      </c>
      <c r="E349" s="179">
        <v>15.2</v>
      </c>
      <c r="F349" s="56">
        <v>21.99</v>
      </c>
      <c r="G349" s="59">
        <f t="shared" si="320"/>
        <v>19.791</v>
      </c>
      <c r="H349" s="59">
        <f t="shared" si="321"/>
        <v>16.4925</v>
      </c>
      <c r="I349" s="165">
        <f t="shared" si="322"/>
        <v>1.30828790560472</v>
      </c>
      <c r="J349" s="60">
        <f t="shared" si="323"/>
        <v>0.0860715727371526</v>
      </c>
      <c r="K349" s="57">
        <f t="shared" si="324"/>
        <v>18.325</v>
      </c>
      <c r="L349" s="163">
        <f t="shared" si="325"/>
        <v>0.170532060027285</v>
      </c>
      <c r="M349" s="59">
        <f t="shared" si="326"/>
        <v>3.125</v>
      </c>
      <c r="N349" s="57">
        <f t="shared" si="339"/>
        <v>41.3982300884956</v>
      </c>
      <c r="O349" s="57">
        <f t="shared" si="327"/>
        <v>0.508333333333333</v>
      </c>
      <c r="P349" s="53">
        <v>30</v>
      </c>
      <c r="Q349" s="62">
        <v>8</v>
      </c>
      <c r="R349" s="63">
        <f t="shared" si="328"/>
        <v>0.197368421052632</v>
      </c>
      <c r="S349" s="60">
        <f t="shared" si="329"/>
        <v>0.136425648021828</v>
      </c>
      <c r="T349" s="63">
        <f t="shared" si="330"/>
        <v>0.144671052631579</v>
      </c>
      <c r="U349" s="63">
        <v>0.01</v>
      </c>
      <c r="V349" s="63">
        <f t="shared" si="331"/>
        <v>0.340445971122497</v>
      </c>
      <c r="W349" s="63">
        <f t="shared" si="332"/>
        <v>0.0334429824561404</v>
      </c>
      <c r="X349" s="61">
        <v>0.188</v>
      </c>
      <c r="Y349" s="64">
        <v>3</v>
      </c>
      <c r="Z349" s="64">
        <f>F349*0.1</f>
        <v>2.199</v>
      </c>
      <c r="AA349" s="64">
        <f t="shared" si="333"/>
        <v>0.152</v>
      </c>
      <c r="AB349" s="57">
        <f t="shared" si="334"/>
        <v>2.8576</v>
      </c>
      <c r="AC349" s="57">
        <v>40</v>
      </c>
      <c r="AD349" s="65">
        <f t="shared" si="335"/>
        <v>35.3982300884956</v>
      </c>
      <c r="AE349" s="62">
        <f t="shared" si="340"/>
        <v>0.75</v>
      </c>
      <c r="AF349" s="63">
        <f t="shared" si="336"/>
        <v>0.291103865859339</v>
      </c>
      <c r="AG349" s="63">
        <f t="shared" si="337"/>
        <v>0.00616776315789474</v>
      </c>
      <c r="AH349" s="62">
        <v>6</v>
      </c>
      <c r="AI349" s="60">
        <f t="shared" si="338"/>
        <v>0.251635591935728</v>
      </c>
      <c r="AJ349" s="60"/>
      <c r="AK349" s="60"/>
      <c r="AL349" s="60"/>
      <c r="AM349" s="60"/>
      <c r="AN349" s="66"/>
      <c r="AO349" s="66"/>
      <c r="AP349" s="66"/>
      <c r="AQ349" s="66"/>
      <c r="AR349" s="66"/>
      <c r="AS349" s="66"/>
      <c r="AT349" s="66" t="s">
        <v>600</v>
      </c>
      <c r="AU349" s="66" t="s">
        <v>600</v>
      </c>
      <c r="AV349" s="66" t="s">
        <v>600</v>
      </c>
      <c r="AW349" s="66" t="s">
        <v>600</v>
      </c>
      <c r="AX349" s="66" t="s">
        <v>600</v>
      </c>
      <c r="AY349" s="66" t="s">
        <v>600</v>
      </c>
      <c r="AZ349" s="66" t="s">
        <v>600</v>
      </c>
      <c r="BA349" s="66" t="s">
        <v>600</v>
      </c>
      <c r="BB349" s="66" t="s">
        <v>600</v>
      </c>
      <c r="BC349" s="66" t="s">
        <v>600</v>
      </c>
      <c r="BD349" s="66" t="s">
        <v>600</v>
      </c>
      <c r="BE349" s="66" t="s">
        <v>600</v>
      </c>
      <c r="BF349" s="66" t="s">
        <v>600</v>
      </c>
      <c r="BG349" s="66" t="s">
        <v>600</v>
      </c>
      <c r="BH349" s="66" t="s">
        <v>600</v>
      </c>
      <c r="BI349" s="66" t="s">
        <v>600</v>
      </c>
      <c r="BJ349" s="66" t="s">
        <v>600</v>
      </c>
      <c r="BK349" s="66" t="s">
        <v>600</v>
      </c>
      <c r="BL349" s="66" t="s">
        <v>600</v>
      </c>
      <c r="BM349" s="66" t="s">
        <v>600</v>
      </c>
      <c r="BN349" s="66" t="s">
        <v>600</v>
      </c>
      <c r="BO349" s="66" t="s">
        <v>600</v>
      </c>
      <c r="BP349" s="66" t="s">
        <v>600</v>
      </c>
      <c r="BQ349" s="66" t="s">
        <v>600</v>
      </c>
      <c r="BR349" s="164"/>
      <c r="BS349" s="68" t="s">
        <v>601</v>
      </c>
    </row>
    <row r="350" ht="15.6" hidden="1" spans="1:71">
      <c r="A350" s="53" t="s">
        <v>513</v>
      </c>
      <c r="B350" s="53" t="s">
        <v>27</v>
      </c>
      <c r="C350" s="171" t="s">
        <v>113</v>
      </c>
      <c r="D350" s="183" t="s">
        <v>702</v>
      </c>
      <c r="E350" s="179">
        <v>15.2</v>
      </c>
      <c r="F350" s="56">
        <v>21.99</v>
      </c>
      <c r="G350" s="59">
        <f t="shared" si="320"/>
        <v>18.6915</v>
      </c>
      <c r="H350" s="59">
        <f t="shared" si="321"/>
        <v>15.57625</v>
      </c>
      <c r="I350" s="59">
        <f t="shared" si="322"/>
        <v>0.208787905604719</v>
      </c>
      <c r="J350" s="60">
        <f t="shared" si="323"/>
        <v>0.0137360464213631</v>
      </c>
      <c r="K350" s="57">
        <f t="shared" si="324"/>
        <v>18.325</v>
      </c>
      <c r="L350" s="163">
        <f t="shared" si="325"/>
        <v>0.170532060027285</v>
      </c>
      <c r="M350" s="59">
        <f t="shared" si="326"/>
        <v>3.125</v>
      </c>
      <c r="N350" s="57">
        <f t="shared" si="339"/>
        <v>41.3982300884956</v>
      </c>
      <c r="O350" s="57">
        <f t="shared" si="327"/>
        <v>0.508333333333333</v>
      </c>
      <c r="P350" s="53">
        <v>30</v>
      </c>
      <c r="Q350" s="62">
        <v>8</v>
      </c>
      <c r="R350" s="63">
        <f t="shared" si="328"/>
        <v>0.197368421052632</v>
      </c>
      <c r="S350" s="60">
        <f t="shared" si="329"/>
        <v>0.136425648021828</v>
      </c>
      <c r="T350" s="63">
        <f t="shared" si="330"/>
        <v>0.217006578947368</v>
      </c>
      <c r="U350" s="63">
        <v>0.01</v>
      </c>
      <c r="V350" s="63">
        <f t="shared" si="331"/>
        <v>0.340445971122497</v>
      </c>
      <c r="W350" s="63">
        <f t="shared" si="332"/>
        <v>0.0334429824561404</v>
      </c>
      <c r="X350" s="61">
        <v>0.188</v>
      </c>
      <c r="Y350" s="64">
        <v>3</v>
      </c>
      <c r="Z350" s="64">
        <f>F350*0.15</f>
        <v>3.2985</v>
      </c>
      <c r="AA350" s="64">
        <f t="shared" si="333"/>
        <v>0.152</v>
      </c>
      <c r="AB350" s="57">
        <f t="shared" si="334"/>
        <v>2.8576</v>
      </c>
      <c r="AC350" s="57">
        <v>40</v>
      </c>
      <c r="AD350" s="65">
        <f t="shared" si="335"/>
        <v>35.3982300884956</v>
      </c>
      <c r="AE350" s="62">
        <f t="shared" si="340"/>
        <v>0.75</v>
      </c>
      <c r="AF350" s="63">
        <f t="shared" si="336"/>
        <v>0.291103865859339</v>
      </c>
      <c r="AG350" s="63">
        <f t="shared" si="337"/>
        <v>0.00616776315789474</v>
      </c>
      <c r="AH350" s="62">
        <v>6</v>
      </c>
      <c r="AI350" s="60">
        <f t="shared" si="338"/>
        <v>0.207614156167242</v>
      </c>
      <c r="AJ350" s="60"/>
      <c r="AK350" s="60"/>
      <c r="AL350" s="60"/>
      <c r="AM350" s="60"/>
      <c r="AN350" s="66"/>
      <c r="AO350" s="66"/>
      <c r="AP350" s="66"/>
      <c r="AQ350" s="66"/>
      <c r="AR350" s="66"/>
      <c r="AS350" s="66"/>
      <c r="AT350" s="66" t="s">
        <v>600</v>
      </c>
      <c r="AU350" s="66" t="s">
        <v>600</v>
      </c>
      <c r="AV350" s="66" t="s">
        <v>600</v>
      </c>
      <c r="AW350" s="66" t="s">
        <v>600</v>
      </c>
      <c r="AX350" s="66" t="s">
        <v>600</v>
      </c>
      <c r="AY350" s="66" t="s">
        <v>600</v>
      </c>
      <c r="AZ350" s="66" t="s">
        <v>600</v>
      </c>
      <c r="BA350" s="66" t="s">
        <v>600</v>
      </c>
      <c r="BB350" s="66" t="s">
        <v>600</v>
      </c>
      <c r="BC350" s="66" t="s">
        <v>600</v>
      </c>
      <c r="BD350" s="66" t="s">
        <v>600</v>
      </c>
      <c r="BE350" s="66" t="s">
        <v>600</v>
      </c>
      <c r="BF350" s="66" t="s">
        <v>600</v>
      </c>
      <c r="BG350" s="66" t="s">
        <v>600</v>
      </c>
      <c r="BH350" s="66" t="s">
        <v>600</v>
      </c>
      <c r="BI350" s="66" t="s">
        <v>600</v>
      </c>
      <c r="BJ350" s="66" t="s">
        <v>600</v>
      </c>
      <c r="BK350" s="66" t="s">
        <v>600</v>
      </c>
      <c r="BL350" s="66" t="s">
        <v>600</v>
      </c>
      <c r="BM350" s="66" t="s">
        <v>600</v>
      </c>
      <c r="BN350" s="66" t="s">
        <v>600</v>
      </c>
      <c r="BO350" s="66" t="s">
        <v>600</v>
      </c>
      <c r="BP350" s="66" t="s">
        <v>600</v>
      </c>
      <c r="BQ350" s="66" t="s">
        <v>600</v>
      </c>
      <c r="BR350" s="164"/>
      <c r="BS350" s="68" t="s">
        <v>601</v>
      </c>
    </row>
    <row r="351" ht="15.6" hidden="1" spans="1:71">
      <c r="A351" s="53" t="s">
        <v>516</v>
      </c>
      <c r="B351" s="53" t="s">
        <v>27</v>
      </c>
      <c r="C351" s="171" t="s">
        <v>113</v>
      </c>
      <c r="D351" s="183" t="s">
        <v>700</v>
      </c>
      <c r="E351" s="179">
        <v>15.2</v>
      </c>
      <c r="F351" s="56">
        <v>21.99</v>
      </c>
      <c r="G351" s="59">
        <f t="shared" si="320"/>
        <v>21.99</v>
      </c>
      <c r="H351" s="59">
        <f t="shared" si="321"/>
        <v>18.325</v>
      </c>
      <c r="I351" s="59">
        <f t="shared" si="322"/>
        <v>3.37395457227139</v>
      </c>
      <c r="J351" s="60">
        <f t="shared" si="323"/>
        <v>0.22197069554417</v>
      </c>
      <c r="K351" s="57">
        <f t="shared" si="324"/>
        <v>18.325</v>
      </c>
      <c r="L351" s="163">
        <f t="shared" si="325"/>
        <v>0.170532060027285</v>
      </c>
      <c r="M351" s="59">
        <f t="shared" si="326"/>
        <v>3.125</v>
      </c>
      <c r="N351" s="57">
        <f t="shared" si="339"/>
        <v>41.3982300884956</v>
      </c>
      <c r="O351" s="57">
        <f t="shared" si="327"/>
        <v>0.641666666666667</v>
      </c>
      <c r="P351" s="53">
        <v>30</v>
      </c>
      <c r="Q351" s="62">
        <v>8</v>
      </c>
      <c r="R351" s="63">
        <f t="shared" si="328"/>
        <v>0.197368421052632</v>
      </c>
      <c r="S351" s="60">
        <f t="shared" si="329"/>
        <v>0.136425648021828</v>
      </c>
      <c r="T351" s="63">
        <f t="shared" si="330"/>
        <v>0</v>
      </c>
      <c r="U351" s="63">
        <v>0.01</v>
      </c>
      <c r="V351" s="63">
        <f t="shared" si="331"/>
        <v>0.340445971122497</v>
      </c>
      <c r="W351" s="63">
        <f t="shared" si="332"/>
        <v>0.0422149122807018</v>
      </c>
      <c r="X351" s="61">
        <v>0.188</v>
      </c>
      <c r="Y351" s="64">
        <v>3</v>
      </c>
      <c r="Z351" s="64">
        <v>0</v>
      </c>
      <c r="AA351" s="64">
        <f t="shared" si="333"/>
        <v>0.152</v>
      </c>
      <c r="AB351" s="57">
        <f t="shared" si="334"/>
        <v>2.8576</v>
      </c>
      <c r="AC351" s="57">
        <v>40</v>
      </c>
      <c r="AD351" s="65">
        <f t="shared" si="335"/>
        <v>35.3982300884956</v>
      </c>
      <c r="AE351" s="62">
        <f t="shared" si="340"/>
        <v>0.75</v>
      </c>
      <c r="AF351" s="63">
        <f t="shared" si="336"/>
        <v>0.291103865859339</v>
      </c>
      <c r="AG351" s="63">
        <f t="shared" si="337"/>
        <v>0.00616776315789474</v>
      </c>
      <c r="AH351" s="62">
        <v>6</v>
      </c>
      <c r="AI351" s="63">
        <f t="shared" si="338"/>
        <v>0.326472032742156</v>
      </c>
      <c r="AJ351" s="63"/>
      <c r="AK351" s="63"/>
      <c r="AL351" s="63"/>
      <c r="AM351" s="63"/>
      <c r="AN351" s="66"/>
      <c r="AO351" s="66"/>
      <c r="AP351" s="66"/>
      <c r="AQ351" s="66"/>
      <c r="AR351" s="66"/>
      <c r="AS351" s="66"/>
      <c r="AT351" s="66" t="s">
        <v>600</v>
      </c>
      <c r="AU351" s="66" t="s">
        <v>600</v>
      </c>
      <c r="AV351" s="66" t="s">
        <v>600</v>
      </c>
      <c r="AW351" s="66" t="s">
        <v>600</v>
      </c>
      <c r="AX351" s="66" t="s">
        <v>600</v>
      </c>
      <c r="AY351" s="66" t="s">
        <v>600</v>
      </c>
      <c r="AZ351" s="66" t="s">
        <v>600</v>
      </c>
      <c r="BA351" s="66" t="s">
        <v>600</v>
      </c>
      <c r="BB351" s="66" t="s">
        <v>600</v>
      </c>
      <c r="BC351" s="66" t="s">
        <v>600</v>
      </c>
      <c r="BD351" s="66" t="s">
        <v>600</v>
      </c>
      <c r="BE351" s="66" t="s">
        <v>600</v>
      </c>
      <c r="BF351" s="66" t="s">
        <v>600</v>
      </c>
      <c r="BG351" s="66" t="s">
        <v>600</v>
      </c>
      <c r="BH351" s="66" t="s">
        <v>600</v>
      </c>
      <c r="BI351" s="66" t="s">
        <v>600</v>
      </c>
      <c r="BJ351" s="66" t="s">
        <v>600</v>
      </c>
      <c r="BK351" s="66" t="s">
        <v>600</v>
      </c>
      <c r="BL351" s="66" t="s">
        <v>600</v>
      </c>
      <c r="BM351" s="66" t="s">
        <v>600</v>
      </c>
      <c r="BN351" s="66" t="s">
        <v>600</v>
      </c>
      <c r="BO351" s="66" t="s">
        <v>600</v>
      </c>
      <c r="BP351" s="66" t="s">
        <v>600</v>
      </c>
      <c r="BQ351" s="66" t="s">
        <v>600</v>
      </c>
      <c r="BR351" s="164"/>
      <c r="BS351" s="68" t="s">
        <v>601</v>
      </c>
    </row>
    <row r="352" ht="15.6" hidden="1" spans="1:71">
      <c r="A352" s="53" t="s">
        <v>516</v>
      </c>
      <c r="B352" s="53" t="s">
        <v>27</v>
      </c>
      <c r="C352" s="171" t="s">
        <v>113</v>
      </c>
      <c r="D352" s="183" t="s">
        <v>701</v>
      </c>
      <c r="E352" s="179">
        <v>15.2</v>
      </c>
      <c r="F352" s="56">
        <v>21.99</v>
      </c>
      <c r="G352" s="59">
        <f t="shared" si="320"/>
        <v>19.791</v>
      </c>
      <c r="H352" s="59">
        <f t="shared" si="321"/>
        <v>16.4925</v>
      </c>
      <c r="I352" s="165">
        <f t="shared" si="322"/>
        <v>1.17495457227139</v>
      </c>
      <c r="J352" s="60">
        <f t="shared" si="323"/>
        <v>0.0772996429125912</v>
      </c>
      <c r="K352" s="57">
        <f t="shared" si="324"/>
        <v>18.325</v>
      </c>
      <c r="L352" s="163">
        <f t="shared" si="325"/>
        <v>0.170532060027285</v>
      </c>
      <c r="M352" s="59">
        <f t="shared" si="326"/>
        <v>3.125</v>
      </c>
      <c r="N352" s="57">
        <f t="shared" si="339"/>
        <v>41.3982300884956</v>
      </c>
      <c r="O352" s="57">
        <f t="shared" si="327"/>
        <v>0.641666666666667</v>
      </c>
      <c r="P352" s="53">
        <v>30</v>
      </c>
      <c r="Q352" s="62">
        <v>8</v>
      </c>
      <c r="R352" s="63">
        <f t="shared" si="328"/>
        <v>0.197368421052632</v>
      </c>
      <c r="S352" s="60">
        <f t="shared" si="329"/>
        <v>0.136425648021828</v>
      </c>
      <c r="T352" s="63">
        <f t="shared" si="330"/>
        <v>0.144671052631579</v>
      </c>
      <c r="U352" s="63">
        <v>0.01</v>
      </c>
      <c r="V352" s="63">
        <f t="shared" si="331"/>
        <v>0.340445971122497</v>
      </c>
      <c r="W352" s="63">
        <f t="shared" si="332"/>
        <v>0.0422149122807018</v>
      </c>
      <c r="X352" s="61">
        <v>0.188</v>
      </c>
      <c r="Y352" s="64">
        <v>3</v>
      </c>
      <c r="Z352" s="64">
        <f>F352*0.1</f>
        <v>2.199</v>
      </c>
      <c r="AA352" s="64">
        <f t="shared" si="333"/>
        <v>0.152</v>
      </c>
      <c r="AB352" s="57">
        <f t="shared" si="334"/>
        <v>2.8576</v>
      </c>
      <c r="AC352" s="57">
        <v>40</v>
      </c>
      <c r="AD352" s="65">
        <f t="shared" si="335"/>
        <v>35.3982300884956</v>
      </c>
      <c r="AE352" s="62">
        <f t="shared" si="340"/>
        <v>0.75</v>
      </c>
      <c r="AF352" s="63">
        <f t="shared" si="336"/>
        <v>0.291103865859339</v>
      </c>
      <c r="AG352" s="63">
        <f t="shared" si="337"/>
        <v>0.00616776315789474</v>
      </c>
      <c r="AH352" s="62">
        <v>6</v>
      </c>
      <c r="AI352" s="63">
        <f t="shared" si="338"/>
        <v>0.251635591935728</v>
      </c>
      <c r="AJ352" s="63"/>
      <c r="AK352" s="63"/>
      <c r="AL352" s="63"/>
      <c r="AM352" s="63"/>
      <c r="AN352" s="66"/>
      <c r="AO352" s="66"/>
      <c r="AP352" s="66"/>
      <c r="AQ352" s="66"/>
      <c r="AR352" s="66"/>
      <c r="AS352" s="66"/>
      <c r="AT352" s="66" t="s">
        <v>600</v>
      </c>
      <c r="AU352" s="66" t="s">
        <v>600</v>
      </c>
      <c r="AV352" s="66" t="s">
        <v>600</v>
      </c>
      <c r="AW352" s="66" t="s">
        <v>600</v>
      </c>
      <c r="AX352" s="66" t="s">
        <v>600</v>
      </c>
      <c r="AY352" s="66" t="s">
        <v>600</v>
      </c>
      <c r="AZ352" s="66" t="s">
        <v>600</v>
      </c>
      <c r="BA352" s="66" t="s">
        <v>600</v>
      </c>
      <c r="BB352" s="66" t="s">
        <v>600</v>
      </c>
      <c r="BC352" s="66" t="s">
        <v>600</v>
      </c>
      <c r="BD352" s="66" t="s">
        <v>600</v>
      </c>
      <c r="BE352" s="66" t="s">
        <v>600</v>
      </c>
      <c r="BF352" s="66" t="s">
        <v>600</v>
      </c>
      <c r="BG352" s="66" t="s">
        <v>600</v>
      </c>
      <c r="BH352" s="66" t="s">
        <v>600</v>
      </c>
      <c r="BI352" s="66" t="s">
        <v>600</v>
      </c>
      <c r="BJ352" s="66" t="s">
        <v>600</v>
      </c>
      <c r="BK352" s="66" t="s">
        <v>600</v>
      </c>
      <c r="BL352" s="66" t="s">
        <v>600</v>
      </c>
      <c r="BM352" s="66" t="s">
        <v>600</v>
      </c>
      <c r="BN352" s="66" t="s">
        <v>600</v>
      </c>
      <c r="BO352" s="66" t="s">
        <v>600</v>
      </c>
      <c r="BP352" s="66" t="s">
        <v>600</v>
      </c>
      <c r="BQ352" s="66" t="s">
        <v>600</v>
      </c>
      <c r="BR352" s="164"/>
      <c r="BS352" s="68" t="s">
        <v>601</v>
      </c>
    </row>
    <row r="353" ht="15.6" hidden="1" spans="1:71">
      <c r="A353" s="53" t="s">
        <v>516</v>
      </c>
      <c r="B353" s="53" t="s">
        <v>27</v>
      </c>
      <c r="C353" s="171" t="s">
        <v>113</v>
      </c>
      <c r="D353" s="183" t="s">
        <v>702</v>
      </c>
      <c r="E353" s="179">
        <v>15.2</v>
      </c>
      <c r="F353" s="56">
        <v>21.99</v>
      </c>
      <c r="G353" s="59">
        <f t="shared" si="320"/>
        <v>18.6915</v>
      </c>
      <c r="H353" s="59">
        <f t="shared" si="321"/>
        <v>15.57625</v>
      </c>
      <c r="I353" s="59">
        <f t="shared" si="322"/>
        <v>0.0754545722713857</v>
      </c>
      <c r="J353" s="60">
        <f t="shared" si="323"/>
        <v>0.00496411659680169</v>
      </c>
      <c r="K353" s="57">
        <f t="shared" si="324"/>
        <v>18.325</v>
      </c>
      <c r="L353" s="163">
        <f t="shared" si="325"/>
        <v>0.170532060027285</v>
      </c>
      <c r="M353" s="59">
        <f t="shared" si="326"/>
        <v>3.125</v>
      </c>
      <c r="N353" s="57">
        <f t="shared" si="339"/>
        <v>41.3982300884956</v>
      </c>
      <c r="O353" s="57">
        <f t="shared" si="327"/>
        <v>0.641666666666667</v>
      </c>
      <c r="P353" s="53">
        <v>30</v>
      </c>
      <c r="Q353" s="62">
        <v>8</v>
      </c>
      <c r="R353" s="63">
        <f t="shared" si="328"/>
        <v>0.197368421052632</v>
      </c>
      <c r="S353" s="60">
        <f t="shared" si="329"/>
        <v>0.136425648021828</v>
      </c>
      <c r="T353" s="63">
        <f t="shared" si="330"/>
        <v>0.217006578947368</v>
      </c>
      <c r="U353" s="63">
        <v>0.01</v>
      </c>
      <c r="V353" s="63">
        <f t="shared" si="331"/>
        <v>0.340445971122497</v>
      </c>
      <c r="W353" s="63">
        <f t="shared" si="332"/>
        <v>0.0422149122807018</v>
      </c>
      <c r="X353" s="61">
        <v>0.188</v>
      </c>
      <c r="Y353" s="64">
        <v>3</v>
      </c>
      <c r="Z353" s="64">
        <f>F353*0.15</f>
        <v>3.2985</v>
      </c>
      <c r="AA353" s="64">
        <f t="shared" si="333"/>
        <v>0.152</v>
      </c>
      <c r="AB353" s="57">
        <f t="shared" si="334"/>
        <v>2.8576</v>
      </c>
      <c r="AC353" s="57">
        <v>40</v>
      </c>
      <c r="AD353" s="65">
        <f t="shared" si="335"/>
        <v>35.3982300884956</v>
      </c>
      <c r="AE353" s="62">
        <f t="shared" si="340"/>
        <v>0.75</v>
      </c>
      <c r="AF353" s="63">
        <f t="shared" si="336"/>
        <v>0.291103865859339</v>
      </c>
      <c r="AG353" s="63">
        <f t="shared" si="337"/>
        <v>0.00616776315789474</v>
      </c>
      <c r="AH353" s="62">
        <v>6</v>
      </c>
      <c r="AI353" s="63">
        <f t="shared" si="338"/>
        <v>0.207614156167242</v>
      </c>
      <c r="AJ353" s="63"/>
      <c r="AK353" s="63"/>
      <c r="AL353" s="63"/>
      <c r="AM353" s="63"/>
      <c r="AN353" s="66"/>
      <c r="AO353" s="66"/>
      <c r="AP353" s="66"/>
      <c r="AQ353" s="66"/>
      <c r="AR353" s="66"/>
      <c r="AS353" s="66"/>
      <c r="AT353" s="66" t="s">
        <v>600</v>
      </c>
      <c r="AU353" s="66" t="s">
        <v>600</v>
      </c>
      <c r="AV353" s="66" t="s">
        <v>600</v>
      </c>
      <c r="AW353" s="66" t="s">
        <v>600</v>
      </c>
      <c r="AX353" s="66" t="s">
        <v>600</v>
      </c>
      <c r="AY353" s="66" t="s">
        <v>600</v>
      </c>
      <c r="AZ353" s="66" t="s">
        <v>600</v>
      </c>
      <c r="BA353" s="66" t="s">
        <v>600</v>
      </c>
      <c r="BB353" s="66" t="s">
        <v>600</v>
      </c>
      <c r="BC353" s="66" t="s">
        <v>600</v>
      </c>
      <c r="BD353" s="66" t="s">
        <v>600</v>
      </c>
      <c r="BE353" s="66" t="s">
        <v>600</v>
      </c>
      <c r="BF353" s="66" t="s">
        <v>600</v>
      </c>
      <c r="BG353" s="66" t="s">
        <v>600</v>
      </c>
      <c r="BH353" s="66" t="s">
        <v>600</v>
      </c>
      <c r="BI353" s="66" t="s">
        <v>600</v>
      </c>
      <c r="BJ353" s="66" t="s">
        <v>600</v>
      </c>
      <c r="BK353" s="66" t="s">
        <v>600</v>
      </c>
      <c r="BL353" s="66" t="s">
        <v>600</v>
      </c>
      <c r="BM353" s="66" t="s">
        <v>600</v>
      </c>
      <c r="BN353" s="66" t="s">
        <v>600</v>
      </c>
      <c r="BO353" s="66" t="s">
        <v>600</v>
      </c>
      <c r="BP353" s="66" t="s">
        <v>600</v>
      </c>
      <c r="BQ353" s="66" t="s">
        <v>600</v>
      </c>
      <c r="BR353" s="164"/>
      <c r="BS353" s="68" t="s">
        <v>601</v>
      </c>
    </row>
    <row r="354" ht="15.6" hidden="1" spans="1:71">
      <c r="A354" s="53" t="s">
        <v>605</v>
      </c>
      <c r="B354" s="53" t="s">
        <v>27</v>
      </c>
      <c r="C354" s="171" t="s">
        <v>113</v>
      </c>
      <c r="D354" s="170" t="s">
        <v>703</v>
      </c>
      <c r="E354" s="179">
        <v>15.2</v>
      </c>
      <c r="F354" s="56">
        <v>21.99</v>
      </c>
      <c r="G354" s="59">
        <f t="shared" si="320"/>
        <v>21.99</v>
      </c>
      <c r="H354" s="59">
        <f t="shared" si="321"/>
        <v>18.325</v>
      </c>
      <c r="I354" s="59">
        <f t="shared" si="322"/>
        <v>3.45728790560472</v>
      </c>
      <c r="J354" s="60">
        <f t="shared" si="323"/>
        <v>0.227453151684521</v>
      </c>
      <c r="K354" s="57">
        <f t="shared" si="324"/>
        <v>18.325</v>
      </c>
      <c r="L354" s="163">
        <f t="shared" si="325"/>
        <v>0.170532060027285</v>
      </c>
      <c r="M354" s="59">
        <f t="shared" si="326"/>
        <v>3.125</v>
      </c>
      <c r="N354" s="57">
        <f t="shared" si="339"/>
        <v>41.3982300884956</v>
      </c>
      <c r="O354" s="57">
        <f t="shared" si="327"/>
        <v>0.558333333333333</v>
      </c>
      <c r="P354" s="53">
        <v>30</v>
      </c>
      <c r="Q354" s="62">
        <v>8</v>
      </c>
      <c r="R354" s="63">
        <f t="shared" si="328"/>
        <v>0.197368421052632</v>
      </c>
      <c r="S354" s="60">
        <f t="shared" si="329"/>
        <v>0.136425648021828</v>
      </c>
      <c r="T354" s="63">
        <f t="shared" si="330"/>
        <v>0</v>
      </c>
      <c r="U354" s="63">
        <v>0.01</v>
      </c>
      <c r="V354" s="63">
        <f t="shared" si="331"/>
        <v>0.340445971122497</v>
      </c>
      <c r="W354" s="63">
        <f t="shared" si="332"/>
        <v>0.0367324561403509</v>
      </c>
      <c r="X354" s="61">
        <v>0.188</v>
      </c>
      <c r="Y354" s="64">
        <v>3</v>
      </c>
      <c r="Z354" s="64">
        <f>F354*0</f>
        <v>0</v>
      </c>
      <c r="AA354" s="64">
        <f t="shared" si="333"/>
        <v>0.152</v>
      </c>
      <c r="AB354" s="57">
        <f t="shared" si="334"/>
        <v>2.8576</v>
      </c>
      <c r="AC354" s="57">
        <v>40</v>
      </c>
      <c r="AD354" s="65">
        <f t="shared" si="335"/>
        <v>35.3982300884956</v>
      </c>
      <c r="AE354" s="62">
        <f t="shared" si="340"/>
        <v>0.75</v>
      </c>
      <c r="AF354" s="63">
        <f t="shared" si="336"/>
        <v>0.291103865859339</v>
      </c>
      <c r="AG354" s="63">
        <f t="shared" si="337"/>
        <v>0.00616776315789474</v>
      </c>
      <c r="AH354" s="62">
        <v>6</v>
      </c>
      <c r="AI354" s="63">
        <f t="shared" si="338"/>
        <v>0.326472032742156</v>
      </c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 t="s">
        <v>600</v>
      </c>
      <c r="AU354" s="66" t="s">
        <v>600</v>
      </c>
      <c r="AV354" s="66" t="s">
        <v>600</v>
      </c>
      <c r="AW354" s="66" t="s">
        <v>600</v>
      </c>
      <c r="AX354" s="66" t="s">
        <v>600</v>
      </c>
      <c r="AY354" s="66" t="s">
        <v>600</v>
      </c>
      <c r="AZ354" s="66" t="s">
        <v>600</v>
      </c>
      <c r="BA354" s="66" t="s">
        <v>600</v>
      </c>
      <c r="BB354" s="66" t="s">
        <v>600</v>
      </c>
      <c r="BC354" s="66" t="s">
        <v>600</v>
      </c>
      <c r="BD354" s="66" t="s">
        <v>600</v>
      </c>
      <c r="BE354" s="66" t="s">
        <v>600</v>
      </c>
      <c r="BF354" s="66" t="s">
        <v>600</v>
      </c>
      <c r="BG354" s="66" t="s">
        <v>600</v>
      </c>
      <c r="BH354" s="66" t="s">
        <v>600</v>
      </c>
      <c r="BI354" s="66" t="s">
        <v>600</v>
      </c>
      <c r="BJ354" s="66" t="s">
        <v>600</v>
      </c>
      <c r="BK354" s="66" t="s">
        <v>600</v>
      </c>
      <c r="BL354" s="66" t="s">
        <v>600</v>
      </c>
      <c r="BM354" s="66" t="s">
        <v>600</v>
      </c>
      <c r="BN354" s="66" t="s">
        <v>600</v>
      </c>
      <c r="BO354" s="66" t="s">
        <v>600</v>
      </c>
      <c r="BP354" s="66" t="s">
        <v>600</v>
      </c>
      <c r="BQ354" s="66" t="s">
        <v>600</v>
      </c>
      <c r="BR354" s="70" t="e">
        <f>IF(E354&lt;#REF!,1,0)</f>
        <v>#REF!</v>
      </c>
      <c r="BS354" s="68" t="s">
        <v>601</v>
      </c>
    </row>
    <row r="355" ht="15.6" hidden="1" spans="1:71">
      <c r="A355" s="53" t="s">
        <v>607</v>
      </c>
      <c r="B355" s="53" t="s">
        <v>27</v>
      </c>
      <c r="C355" s="171" t="s">
        <v>113</v>
      </c>
      <c r="D355" s="170" t="s">
        <v>704</v>
      </c>
      <c r="E355" s="179">
        <v>15.2</v>
      </c>
      <c r="F355" s="56">
        <v>21.99</v>
      </c>
      <c r="G355" s="59">
        <f t="shared" si="320"/>
        <v>21.99</v>
      </c>
      <c r="H355" s="59">
        <f t="shared" si="321"/>
        <v>18.325</v>
      </c>
      <c r="I355" s="59">
        <f t="shared" si="322"/>
        <v>3.54728790560472</v>
      </c>
      <c r="J355" s="60">
        <f t="shared" si="323"/>
        <v>0.2333742043161</v>
      </c>
      <c r="K355" s="57">
        <f t="shared" si="324"/>
        <v>18.325</v>
      </c>
      <c r="L355" s="163">
        <f t="shared" si="325"/>
        <v>0.170532060027285</v>
      </c>
      <c r="M355" s="59">
        <f t="shared" si="326"/>
        <v>3.125</v>
      </c>
      <c r="N355" s="57">
        <f t="shared" si="339"/>
        <v>41.3982300884956</v>
      </c>
      <c r="O355" s="57">
        <f t="shared" si="327"/>
        <v>0.468333333333333</v>
      </c>
      <c r="P355" s="53">
        <v>30</v>
      </c>
      <c r="Q355" s="62">
        <v>8</v>
      </c>
      <c r="R355" s="63">
        <f t="shared" si="328"/>
        <v>0.197368421052632</v>
      </c>
      <c r="S355" s="60">
        <f t="shared" si="329"/>
        <v>0.136425648021828</v>
      </c>
      <c r="T355" s="63">
        <f t="shared" si="330"/>
        <v>0</v>
      </c>
      <c r="U355" s="63">
        <v>0.01</v>
      </c>
      <c r="V355" s="63">
        <f t="shared" si="331"/>
        <v>0.340445971122497</v>
      </c>
      <c r="W355" s="63">
        <f t="shared" si="332"/>
        <v>0.0308114035087719</v>
      </c>
      <c r="X355" s="61">
        <v>0.188</v>
      </c>
      <c r="Y355" s="64">
        <v>3</v>
      </c>
      <c r="Z355" s="64">
        <f>F355*0</f>
        <v>0</v>
      </c>
      <c r="AA355" s="64">
        <f t="shared" si="333"/>
        <v>0.152</v>
      </c>
      <c r="AB355" s="57">
        <f t="shared" si="334"/>
        <v>2.8576</v>
      </c>
      <c r="AC355" s="57">
        <v>40</v>
      </c>
      <c r="AD355" s="65">
        <f t="shared" si="335"/>
        <v>35.3982300884956</v>
      </c>
      <c r="AE355" s="62">
        <f t="shared" si="340"/>
        <v>0.75</v>
      </c>
      <c r="AF355" s="63">
        <f t="shared" si="336"/>
        <v>0.291103865859339</v>
      </c>
      <c r="AG355" s="63">
        <f t="shared" si="337"/>
        <v>0.00616776315789474</v>
      </c>
      <c r="AH355" s="62">
        <v>6</v>
      </c>
      <c r="AI355" s="63">
        <f t="shared" si="338"/>
        <v>0.326472032742156</v>
      </c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 t="s">
        <v>600</v>
      </c>
      <c r="AU355" s="66" t="s">
        <v>600</v>
      </c>
      <c r="AV355" s="66" t="s">
        <v>600</v>
      </c>
      <c r="AW355" s="66" t="s">
        <v>600</v>
      </c>
      <c r="AX355" s="66" t="s">
        <v>600</v>
      </c>
      <c r="AY355" s="66" t="s">
        <v>600</v>
      </c>
      <c r="AZ355" s="66" t="s">
        <v>600</v>
      </c>
      <c r="BA355" s="66" t="s">
        <v>600</v>
      </c>
      <c r="BB355" s="66" t="s">
        <v>600</v>
      </c>
      <c r="BC355" s="66" t="s">
        <v>600</v>
      </c>
      <c r="BD355" s="66" t="s">
        <v>600</v>
      </c>
      <c r="BE355" s="66" t="s">
        <v>600</v>
      </c>
      <c r="BF355" s="66" t="s">
        <v>600</v>
      </c>
      <c r="BG355" s="66" t="s">
        <v>600</v>
      </c>
      <c r="BH355" s="66" t="s">
        <v>600</v>
      </c>
      <c r="BI355" s="66" t="s">
        <v>600</v>
      </c>
      <c r="BJ355" s="66" t="s">
        <v>600</v>
      </c>
      <c r="BK355" s="66" t="s">
        <v>600</v>
      </c>
      <c r="BL355" s="66" t="s">
        <v>600</v>
      </c>
      <c r="BM355" s="66" t="s">
        <v>600</v>
      </c>
      <c r="BN355" s="66" t="s">
        <v>600</v>
      </c>
      <c r="BO355" s="66" t="s">
        <v>600</v>
      </c>
      <c r="BP355" s="66" t="s">
        <v>600</v>
      </c>
      <c r="BQ355" s="66" t="s">
        <v>600</v>
      </c>
      <c r="BR355" s="70" t="e">
        <f>IF(E355&lt;#REF!,1,0)</f>
        <v>#REF!</v>
      </c>
      <c r="BS355" s="68" t="s">
        <v>601</v>
      </c>
    </row>
    <row r="356" ht="15.6" hidden="1" spans="1:71">
      <c r="A356" s="53" t="s">
        <v>609</v>
      </c>
      <c r="B356" s="53" t="s">
        <v>27</v>
      </c>
      <c r="C356" s="171" t="s">
        <v>113</v>
      </c>
      <c r="D356" s="170" t="s">
        <v>705</v>
      </c>
      <c r="E356" s="179">
        <v>15.2</v>
      </c>
      <c r="F356" s="56">
        <v>21.99</v>
      </c>
      <c r="G356" s="59">
        <f t="shared" si="320"/>
        <v>21.99</v>
      </c>
      <c r="H356" s="59">
        <f t="shared" si="321"/>
        <v>18.325</v>
      </c>
      <c r="I356" s="59">
        <f t="shared" si="322"/>
        <v>3.40728790560472</v>
      </c>
      <c r="J356" s="60">
        <f t="shared" si="323"/>
        <v>0.22416367800031</v>
      </c>
      <c r="K356" s="57">
        <f t="shared" si="324"/>
        <v>18.325</v>
      </c>
      <c r="L356" s="163">
        <f t="shared" si="325"/>
        <v>0.170532060027285</v>
      </c>
      <c r="M356" s="59">
        <f t="shared" si="326"/>
        <v>3.125</v>
      </c>
      <c r="N356" s="57">
        <f t="shared" si="339"/>
        <v>41.3982300884956</v>
      </c>
      <c r="O356" s="57">
        <f t="shared" si="327"/>
        <v>0.608333333333333</v>
      </c>
      <c r="P356" s="53">
        <v>30</v>
      </c>
      <c r="Q356" s="62">
        <v>8</v>
      </c>
      <c r="R356" s="63">
        <f t="shared" si="328"/>
        <v>0.197368421052632</v>
      </c>
      <c r="S356" s="60">
        <f t="shared" si="329"/>
        <v>0.136425648021828</v>
      </c>
      <c r="T356" s="63">
        <f t="shared" si="330"/>
        <v>0</v>
      </c>
      <c r="U356" s="63">
        <v>0.01</v>
      </c>
      <c r="V356" s="63">
        <f t="shared" si="331"/>
        <v>0.340445971122497</v>
      </c>
      <c r="W356" s="63">
        <f t="shared" si="332"/>
        <v>0.0400219298245614</v>
      </c>
      <c r="X356" s="61">
        <v>0.188</v>
      </c>
      <c r="Y356" s="64">
        <v>3</v>
      </c>
      <c r="Z356" s="64">
        <f>F356*0</f>
        <v>0</v>
      </c>
      <c r="AA356" s="64">
        <f t="shared" si="333"/>
        <v>0.152</v>
      </c>
      <c r="AB356" s="57">
        <f t="shared" si="334"/>
        <v>2.8576</v>
      </c>
      <c r="AC356" s="57">
        <v>40</v>
      </c>
      <c r="AD356" s="65">
        <f t="shared" si="335"/>
        <v>35.3982300884956</v>
      </c>
      <c r="AE356" s="62">
        <f t="shared" si="340"/>
        <v>0.75</v>
      </c>
      <c r="AF356" s="63">
        <f t="shared" si="336"/>
        <v>0.291103865859339</v>
      </c>
      <c r="AG356" s="63">
        <f t="shared" si="337"/>
        <v>0.00616776315789474</v>
      </c>
      <c r="AH356" s="62">
        <v>6</v>
      </c>
      <c r="AI356" s="63">
        <f t="shared" si="338"/>
        <v>0.326472032742156</v>
      </c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 t="s">
        <v>600</v>
      </c>
      <c r="AU356" s="66" t="s">
        <v>600</v>
      </c>
      <c r="AV356" s="66" t="s">
        <v>600</v>
      </c>
      <c r="AW356" s="66" t="s">
        <v>600</v>
      </c>
      <c r="AX356" s="66" t="s">
        <v>600</v>
      </c>
      <c r="AY356" s="66" t="s">
        <v>600</v>
      </c>
      <c r="AZ356" s="66" t="s">
        <v>600</v>
      </c>
      <c r="BA356" s="66" t="s">
        <v>600</v>
      </c>
      <c r="BB356" s="66" t="s">
        <v>600</v>
      </c>
      <c r="BC356" s="66" t="s">
        <v>600</v>
      </c>
      <c r="BD356" s="66" t="s">
        <v>600</v>
      </c>
      <c r="BE356" s="66" t="s">
        <v>600</v>
      </c>
      <c r="BF356" s="66" t="s">
        <v>600</v>
      </c>
      <c r="BG356" s="66" t="s">
        <v>600</v>
      </c>
      <c r="BH356" s="66" t="s">
        <v>600</v>
      </c>
      <c r="BI356" s="66" t="s">
        <v>600</v>
      </c>
      <c r="BJ356" s="66" t="s">
        <v>600</v>
      </c>
      <c r="BK356" s="66" t="s">
        <v>600</v>
      </c>
      <c r="BL356" s="66" t="s">
        <v>600</v>
      </c>
      <c r="BM356" s="66" t="s">
        <v>600</v>
      </c>
      <c r="BN356" s="66" t="s">
        <v>600</v>
      </c>
      <c r="BO356" s="66" t="s">
        <v>600</v>
      </c>
      <c r="BP356" s="66" t="s">
        <v>600</v>
      </c>
      <c r="BQ356" s="66" t="s">
        <v>600</v>
      </c>
      <c r="BR356" s="70" t="e">
        <f>IF(E356&lt;#REF!,1,0)</f>
        <v>#REF!</v>
      </c>
      <c r="BS356" s="68" t="s">
        <v>601</v>
      </c>
    </row>
    <row r="357" ht="15.6" hidden="1" spans="1:71">
      <c r="A357" s="53" t="s">
        <v>611</v>
      </c>
      <c r="B357" s="53" t="s">
        <v>27</v>
      </c>
      <c r="C357" s="171" t="s">
        <v>113</v>
      </c>
      <c r="D357" s="170" t="s">
        <v>706</v>
      </c>
      <c r="E357" s="179">
        <v>15.2</v>
      </c>
      <c r="F357" s="56">
        <v>21.99</v>
      </c>
      <c r="G357" s="59">
        <f t="shared" si="320"/>
        <v>21.99</v>
      </c>
      <c r="H357" s="59">
        <f t="shared" si="321"/>
        <v>18.325</v>
      </c>
      <c r="I357" s="59">
        <f t="shared" si="322"/>
        <v>3.54062123893805</v>
      </c>
      <c r="J357" s="60">
        <f t="shared" si="323"/>
        <v>0.232935607824872</v>
      </c>
      <c r="K357" s="57">
        <f t="shared" si="324"/>
        <v>18.325</v>
      </c>
      <c r="L357" s="163">
        <f t="shared" si="325"/>
        <v>0.170532060027285</v>
      </c>
      <c r="M357" s="59">
        <f t="shared" si="326"/>
        <v>3.125</v>
      </c>
      <c r="N357" s="57">
        <f t="shared" si="339"/>
        <v>41.3982300884956</v>
      </c>
      <c r="O357" s="57">
        <f t="shared" si="327"/>
        <v>0.475</v>
      </c>
      <c r="P357" s="53">
        <v>30</v>
      </c>
      <c r="Q357" s="62">
        <v>8</v>
      </c>
      <c r="R357" s="63">
        <f t="shared" si="328"/>
        <v>0.197368421052632</v>
      </c>
      <c r="S357" s="60">
        <f t="shared" si="329"/>
        <v>0.136425648021828</v>
      </c>
      <c r="T357" s="63">
        <f t="shared" si="330"/>
        <v>0</v>
      </c>
      <c r="U357" s="63">
        <v>0.01</v>
      </c>
      <c r="V357" s="63">
        <f t="shared" si="331"/>
        <v>0.340445971122497</v>
      </c>
      <c r="W357" s="63">
        <f t="shared" si="332"/>
        <v>0.03125</v>
      </c>
      <c r="X357" s="61">
        <v>0.188</v>
      </c>
      <c r="Y357" s="64">
        <v>3</v>
      </c>
      <c r="Z357" s="64">
        <f>F357*0</f>
        <v>0</v>
      </c>
      <c r="AA357" s="64">
        <f t="shared" si="333"/>
        <v>0.152</v>
      </c>
      <c r="AB357" s="57">
        <f t="shared" si="334"/>
        <v>2.8576</v>
      </c>
      <c r="AC357" s="57">
        <v>40</v>
      </c>
      <c r="AD357" s="65">
        <f t="shared" si="335"/>
        <v>35.3982300884956</v>
      </c>
      <c r="AE357" s="62">
        <f t="shared" si="340"/>
        <v>0.75</v>
      </c>
      <c r="AF357" s="63">
        <f t="shared" si="336"/>
        <v>0.291103865859339</v>
      </c>
      <c r="AG357" s="63">
        <f t="shared" si="337"/>
        <v>0.00616776315789474</v>
      </c>
      <c r="AH357" s="62">
        <v>6</v>
      </c>
      <c r="AI357" s="63">
        <f t="shared" si="338"/>
        <v>0.326472032742156</v>
      </c>
      <c r="AJ357" s="63"/>
      <c r="AK357" s="63"/>
      <c r="AL357" s="63"/>
      <c r="AM357" s="63"/>
      <c r="AN357" s="66"/>
      <c r="AO357" s="66"/>
      <c r="AP357" s="66"/>
      <c r="AQ357" s="66"/>
      <c r="AR357" s="66"/>
      <c r="AS357" s="66"/>
      <c r="AT357" s="66" t="s">
        <v>600</v>
      </c>
      <c r="AU357" s="66" t="s">
        <v>600</v>
      </c>
      <c r="AV357" s="66" t="s">
        <v>600</v>
      </c>
      <c r="AW357" s="66" t="s">
        <v>600</v>
      </c>
      <c r="AX357" s="66" t="s">
        <v>600</v>
      </c>
      <c r="AY357" s="66" t="s">
        <v>600</v>
      </c>
      <c r="AZ357" s="66" t="s">
        <v>600</v>
      </c>
      <c r="BA357" s="66" t="s">
        <v>600</v>
      </c>
      <c r="BB357" s="66" t="s">
        <v>600</v>
      </c>
      <c r="BC357" s="66" t="s">
        <v>600</v>
      </c>
      <c r="BD357" s="66" t="s">
        <v>600</v>
      </c>
      <c r="BE357" s="66" t="s">
        <v>600</v>
      </c>
      <c r="BF357" s="66" t="s">
        <v>600</v>
      </c>
      <c r="BG357" s="66" t="s">
        <v>600</v>
      </c>
      <c r="BH357" s="66" t="s">
        <v>600</v>
      </c>
      <c r="BI357" s="66" t="s">
        <v>600</v>
      </c>
      <c r="BJ357" s="66" t="s">
        <v>600</v>
      </c>
      <c r="BK357" s="66" t="s">
        <v>600</v>
      </c>
      <c r="BL357" s="66" t="s">
        <v>600</v>
      </c>
      <c r="BM357" s="66" t="s">
        <v>600</v>
      </c>
      <c r="BN357" s="66" t="s">
        <v>600</v>
      </c>
      <c r="BO357" s="66" t="s">
        <v>600</v>
      </c>
      <c r="BP357" s="66" t="s">
        <v>600</v>
      </c>
      <c r="BQ357" s="66" t="s">
        <v>600</v>
      </c>
      <c r="BR357" s="70" t="e">
        <f>IF(E357&lt;#REF!,1,0)</f>
        <v>#REF!</v>
      </c>
      <c r="BS357" s="68" t="s">
        <v>601</v>
      </c>
    </row>
    <row r="358" spans="1:71">
      <c r="G358" s="15"/>
      <c r="H358" s="15"/>
      <c r="S358" s="15"/>
      <c r="AE358" s="14"/>
      <c r="AI358" s="15"/>
    </row>
    <row r="359" ht="15.6" hidden="1" spans="1:71">
      <c r="A359" s="68" t="s">
        <v>300</v>
      </c>
      <c r="B359" s="53" t="s">
        <v>27</v>
      </c>
      <c r="C359" s="175" t="s">
        <v>116</v>
      </c>
      <c r="D359" s="182" t="s">
        <v>707</v>
      </c>
      <c r="E359" s="179">
        <v>27.6</v>
      </c>
      <c r="F359" s="167">
        <v>39.99</v>
      </c>
      <c r="G359" s="59">
        <f t="shared" ref="G359:G377" si="341">(F359-Z359)</f>
        <v>39.99</v>
      </c>
      <c r="H359" s="59">
        <f t="shared" ref="H359:H377" si="342">(F359-Z359)/1.2</f>
        <v>33.325</v>
      </c>
      <c r="I359" s="59">
        <f t="shared" ref="I359:I377" si="343">E359-N359/Q359-AB359-Y359-O359-Z359-AA359</f>
        <v>7.57992664700098</v>
      </c>
      <c r="J359" s="60">
        <f t="shared" ref="J359:J377" si="344">I359/E359</f>
        <v>0.274635023442065</v>
      </c>
      <c r="K359" s="57">
        <f t="shared" ref="K359:K377" si="345">F359/1.2</f>
        <v>33.325</v>
      </c>
      <c r="L359" s="163">
        <f t="shared" ref="L359:L377" si="346">(K359-E359)/K359</f>
        <v>0.171792948237059</v>
      </c>
      <c r="M359" s="59">
        <f t="shared" ref="M359:M377" si="347">F359/1.2-E359</f>
        <v>5.725</v>
      </c>
      <c r="N359" s="57">
        <f>AD359+AH360</f>
        <v>76.7964601769912</v>
      </c>
      <c r="O359" s="57">
        <f t="shared" ref="O359:O377" si="348">IFERROR(IF(A359="UK",8.95/P359,IF(A359="DE",7.75/P359,IF(A359="FR",14.25/P359,IF(A359="IT",15.25/P359,IF(A359="ES",19.25/P359,IF(A359="NL",16.75/P359,IF(A359="PL",14.05/P359,IF(A359="SE",18.25/P359,IF(A359="BE",14.25/P359))))))))),0)</f>
        <v>0.298333333333333</v>
      </c>
      <c r="P359" s="53">
        <v>30</v>
      </c>
      <c r="Q359" s="62">
        <v>9</v>
      </c>
      <c r="R359" s="63">
        <f t="shared" ref="R359:R377" si="349">Y359/E359</f>
        <v>0.217391304347826</v>
      </c>
      <c r="S359" s="60">
        <f t="shared" ref="S359:S377" si="350">Y359/F359</f>
        <v>0.150037509377344</v>
      </c>
      <c r="T359" s="63">
        <f t="shared" ref="T359:T377" si="351">Z359/E359</f>
        <v>0</v>
      </c>
      <c r="U359" s="63">
        <v>0.01</v>
      </c>
      <c r="V359" s="63">
        <f t="shared" ref="V359:V377" si="352">N359/(E359*Q359)</f>
        <v>0.309164493466148</v>
      </c>
      <c r="W359" s="63">
        <f t="shared" ref="W359:W377" si="353">O359/E359</f>
        <v>0.0108091787439613</v>
      </c>
      <c r="X359" s="61">
        <v>0.178</v>
      </c>
      <c r="Y359" s="64">
        <v>6</v>
      </c>
      <c r="Z359" s="64">
        <v>0</v>
      </c>
      <c r="AA359" s="64">
        <f t="shared" ref="AA359:AA377" si="354">E359*U359</f>
        <v>0.276</v>
      </c>
      <c r="AB359" s="57">
        <f t="shared" ref="AB359:AB377" si="355">E359*X359</f>
        <v>4.9128</v>
      </c>
      <c r="AC359" s="57">
        <v>80</v>
      </c>
      <c r="AD359" s="65">
        <f t="shared" ref="AD359:AD377" si="356">AC359/1.13</f>
        <v>70.7964601769912</v>
      </c>
      <c r="AE359" s="62">
        <f>AH360/Q359</f>
        <v>0.666666666666667</v>
      </c>
      <c r="AF359" s="63">
        <f t="shared" ref="AF359:AF377" si="357">AD359/(E359*Q359)</f>
        <v>0.285009904094167</v>
      </c>
      <c r="AG359" s="63">
        <f t="shared" ref="AG359:AG377" si="358">AE359/Q359/E359</f>
        <v>0.00268384326355341</v>
      </c>
      <c r="AH359" s="62">
        <v>6</v>
      </c>
      <c r="AI359" s="63">
        <f t="shared" ref="AI359:AI377" si="359">(H359-E359+AB359)/H359</f>
        <v>0.319213803450863</v>
      </c>
      <c r="AJ359" s="63"/>
      <c r="AK359" s="63"/>
      <c r="AL359" s="63"/>
      <c r="AM359" s="63"/>
      <c r="AN359" s="66"/>
      <c r="AO359" s="66"/>
      <c r="AP359" s="66"/>
      <c r="AQ359" s="66"/>
      <c r="AR359" s="66"/>
      <c r="AS359" s="66"/>
      <c r="AT359" s="66" t="s">
        <v>600</v>
      </c>
      <c r="AU359" s="66" t="s">
        <v>600</v>
      </c>
      <c r="AV359" s="66" t="s">
        <v>600</v>
      </c>
      <c r="AW359" s="66" t="s">
        <v>600</v>
      </c>
      <c r="AX359" s="66" t="s">
        <v>600</v>
      </c>
      <c r="AY359" s="66" t="s">
        <v>600</v>
      </c>
      <c r="AZ359" s="66" t="s">
        <v>600</v>
      </c>
      <c r="BA359" s="66" t="s">
        <v>600</v>
      </c>
      <c r="BB359" s="66" t="s">
        <v>600</v>
      </c>
      <c r="BC359" s="66" t="s">
        <v>600</v>
      </c>
      <c r="BD359" s="66" t="s">
        <v>600</v>
      </c>
      <c r="BE359" s="66" t="s">
        <v>600</v>
      </c>
      <c r="BF359" s="66" t="s">
        <v>600</v>
      </c>
      <c r="BG359" s="66" t="s">
        <v>600</v>
      </c>
      <c r="BH359" s="66" t="s">
        <v>600</v>
      </c>
      <c r="BI359" s="66" t="s">
        <v>600</v>
      </c>
      <c r="BJ359" s="66" t="s">
        <v>600</v>
      </c>
      <c r="BK359" s="66" t="s">
        <v>600</v>
      </c>
      <c r="BL359" s="66" t="s">
        <v>600</v>
      </c>
      <c r="BM359" s="66" t="s">
        <v>600</v>
      </c>
      <c r="BN359" s="66" t="s">
        <v>600</v>
      </c>
      <c r="BO359" s="66" t="s">
        <v>600</v>
      </c>
      <c r="BP359" s="66" t="s">
        <v>600</v>
      </c>
      <c r="BQ359" s="66" t="s">
        <v>600</v>
      </c>
      <c r="BR359" s="164"/>
      <c r="BS359" s="68" t="s">
        <v>601</v>
      </c>
    </row>
    <row r="360" ht="15.6" hidden="1" spans="1:71">
      <c r="A360" s="68" t="s">
        <v>300</v>
      </c>
      <c r="B360" s="53" t="s">
        <v>27</v>
      </c>
      <c r="C360" s="171" t="s">
        <v>116</v>
      </c>
      <c r="D360" s="182" t="s">
        <v>708</v>
      </c>
      <c r="E360" s="179">
        <v>27.6</v>
      </c>
      <c r="F360" s="56">
        <v>39.99</v>
      </c>
      <c r="G360" s="59">
        <f t="shared" si="341"/>
        <v>35.991</v>
      </c>
      <c r="H360" s="59">
        <f t="shared" si="342"/>
        <v>29.9925</v>
      </c>
      <c r="I360" s="165">
        <f t="shared" si="343"/>
        <v>3.58092664700098</v>
      </c>
      <c r="J360" s="60">
        <f t="shared" si="344"/>
        <v>0.129743719094239</v>
      </c>
      <c r="K360" s="57">
        <f t="shared" si="345"/>
        <v>33.325</v>
      </c>
      <c r="L360" s="163">
        <f t="shared" si="346"/>
        <v>0.171792948237059</v>
      </c>
      <c r="M360" s="59">
        <f t="shared" si="347"/>
        <v>5.725</v>
      </c>
      <c r="N360" s="57">
        <f>AD360+AH360</f>
        <v>76.7964601769912</v>
      </c>
      <c r="O360" s="57">
        <f t="shared" si="348"/>
        <v>0.298333333333333</v>
      </c>
      <c r="P360" s="53">
        <v>30</v>
      </c>
      <c r="Q360" s="62">
        <v>9</v>
      </c>
      <c r="R360" s="63">
        <f t="shared" si="349"/>
        <v>0.217391304347826</v>
      </c>
      <c r="S360" s="60">
        <f t="shared" si="350"/>
        <v>0.150037509377344</v>
      </c>
      <c r="T360" s="63">
        <f t="shared" si="351"/>
        <v>0.144891304347826</v>
      </c>
      <c r="U360" s="63">
        <v>0.01</v>
      </c>
      <c r="V360" s="63">
        <f t="shared" si="352"/>
        <v>0.309164493466148</v>
      </c>
      <c r="W360" s="63">
        <f t="shared" si="353"/>
        <v>0.0108091787439613</v>
      </c>
      <c r="X360" s="61">
        <v>0.178</v>
      </c>
      <c r="Y360" s="64">
        <v>6</v>
      </c>
      <c r="Z360" s="64">
        <f>F360*0.1</f>
        <v>3.999</v>
      </c>
      <c r="AA360" s="64">
        <f t="shared" si="354"/>
        <v>0.276</v>
      </c>
      <c r="AB360" s="57">
        <f t="shared" si="355"/>
        <v>4.9128</v>
      </c>
      <c r="AC360" s="57">
        <v>80</v>
      </c>
      <c r="AD360" s="65">
        <f t="shared" si="356"/>
        <v>70.7964601769912</v>
      </c>
      <c r="AE360" s="62">
        <f>AH360/Q360</f>
        <v>0.666666666666667</v>
      </c>
      <c r="AF360" s="63">
        <f t="shared" si="357"/>
        <v>0.285009904094167</v>
      </c>
      <c r="AG360" s="63">
        <f t="shared" si="358"/>
        <v>0.00268384326355341</v>
      </c>
      <c r="AH360" s="62">
        <v>6</v>
      </c>
      <c r="AI360" s="63">
        <f t="shared" si="359"/>
        <v>0.243570892723181</v>
      </c>
      <c r="AJ360" s="63"/>
      <c r="AK360" s="63"/>
      <c r="AL360" s="63"/>
      <c r="AM360" s="63"/>
      <c r="AN360" s="66"/>
      <c r="AO360" s="66"/>
      <c r="AP360" s="66"/>
      <c r="AQ360" s="66"/>
      <c r="AR360" s="66"/>
      <c r="AS360" s="66"/>
      <c r="AT360" s="66" t="s">
        <v>600</v>
      </c>
      <c r="AU360" s="66" t="s">
        <v>600</v>
      </c>
      <c r="AV360" s="66" t="s">
        <v>600</v>
      </c>
      <c r="AW360" s="66" t="s">
        <v>600</v>
      </c>
      <c r="AX360" s="66" t="s">
        <v>600</v>
      </c>
      <c r="AY360" s="66" t="s">
        <v>600</v>
      </c>
      <c r="AZ360" s="66" t="s">
        <v>600</v>
      </c>
      <c r="BA360" s="66" t="s">
        <v>600</v>
      </c>
      <c r="BB360" s="66" t="s">
        <v>600</v>
      </c>
      <c r="BC360" s="66" t="s">
        <v>600</v>
      </c>
      <c r="BD360" s="66" t="s">
        <v>600</v>
      </c>
      <c r="BE360" s="66" t="s">
        <v>600</v>
      </c>
      <c r="BF360" s="66" t="s">
        <v>600</v>
      </c>
      <c r="BG360" s="66" t="s">
        <v>600</v>
      </c>
      <c r="BH360" s="66" t="s">
        <v>600</v>
      </c>
      <c r="BI360" s="66" t="s">
        <v>600</v>
      </c>
      <c r="BJ360" s="66" t="s">
        <v>600</v>
      </c>
      <c r="BK360" s="66" t="s">
        <v>600</v>
      </c>
      <c r="BL360" s="66" t="s">
        <v>600</v>
      </c>
      <c r="BM360" s="66" t="s">
        <v>600</v>
      </c>
      <c r="BN360" s="66" t="s">
        <v>600</v>
      </c>
      <c r="BO360" s="66" t="s">
        <v>600</v>
      </c>
      <c r="BP360" s="66" t="s">
        <v>600</v>
      </c>
      <c r="BQ360" s="66" t="s">
        <v>600</v>
      </c>
      <c r="BR360" s="164"/>
      <c r="BS360" s="68" t="s">
        <v>601</v>
      </c>
    </row>
    <row r="361" ht="15.6" hidden="1" spans="1:71">
      <c r="A361" s="68" t="s">
        <v>300</v>
      </c>
      <c r="B361" s="53" t="s">
        <v>27</v>
      </c>
      <c r="C361" s="171" t="s">
        <v>116</v>
      </c>
      <c r="D361" s="182" t="s">
        <v>709</v>
      </c>
      <c r="E361" s="179">
        <v>27.6</v>
      </c>
      <c r="F361" s="56">
        <v>39.99</v>
      </c>
      <c r="G361" s="59">
        <f t="shared" si="341"/>
        <v>33.9915</v>
      </c>
      <c r="H361" s="59">
        <f t="shared" si="342"/>
        <v>28.32625</v>
      </c>
      <c r="I361" s="59">
        <f t="shared" si="343"/>
        <v>1.58142664700098</v>
      </c>
      <c r="J361" s="60">
        <f t="shared" si="344"/>
        <v>0.0572980669203255</v>
      </c>
      <c r="K361" s="57">
        <f t="shared" si="345"/>
        <v>33.325</v>
      </c>
      <c r="L361" s="163">
        <f t="shared" si="346"/>
        <v>0.171792948237059</v>
      </c>
      <c r="M361" s="59">
        <f t="shared" si="347"/>
        <v>5.725</v>
      </c>
      <c r="N361" s="57">
        <f>AD361+AH361</f>
        <v>76.7964601769912</v>
      </c>
      <c r="O361" s="57">
        <f t="shared" si="348"/>
        <v>0.298333333333333</v>
      </c>
      <c r="P361" s="53">
        <v>30</v>
      </c>
      <c r="Q361" s="62">
        <v>9</v>
      </c>
      <c r="R361" s="63">
        <f t="shared" si="349"/>
        <v>0.217391304347826</v>
      </c>
      <c r="S361" s="60">
        <f t="shared" si="350"/>
        <v>0.150037509377344</v>
      </c>
      <c r="T361" s="63">
        <f t="shared" si="351"/>
        <v>0.217336956521739</v>
      </c>
      <c r="U361" s="63">
        <v>0.01</v>
      </c>
      <c r="V361" s="63">
        <f t="shared" si="352"/>
        <v>0.309164493466148</v>
      </c>
      <c r="W361" s="63">
        <f t="shared" si="353"/>
        <v>0.0108091787439613</v>
      </c>
      <c r="X361" s="61">
        <v>0.178</v>
      </c>
      <c r="Y361" s="64">
        <v>6</v>
      </c>
      <c r="Z361" s="64">
        <f>F361*0.15</f>
        <v>5.9985</v>
      </c>
      <c r="AA361" s="64">
        <f t="shared" si="354"/>
        <v>0.276</v>
      </c>
      <c r="AB361" s="57">
        <f t="shared" si="355"/>
        <v>4.9128</v>
      </c>
      <c r="AC361" s="57">
        <v>80</v>
      </c>
      <c r="AD361" s="65">
        <f t="shared" si="356"/>
        <v>70.7964601769912</v>
      </c>
      <c r="AE361" s="62">
        <f>AH361/Q361</f>
        <v>0.666666666666667</v>
      </c>
      <c r="AF361" s="63">
        <f t="shared" si="357"/>
        <v>0.285009904094167</v>
      </c>
      <c r="AG361" s="63">
        <f t="shared" si="358"/>
        <v>0.00268384326355341</v>
      </c>
      <c r="AH361" s="62">
        <v>6</v>
      </c>
      <c r="AI361" s="63">
        <f t="shared" si="359"/>
        <v>0.199075062883368</v>
      </c>
      <c r="AJ361" s="63"/>
      <c r="AK361" s="63"/>
      <c r="AL361" s="63"/>
      <c r="AM361" s="63"/>
      <c r="AN361" s="66"/>
      <c r="AO361" s="66"/>
      <c r="AP361" s="66"/>
      <c r="AQ361" s="66"/>
      <c r="AR361" s="66"/>
      <c r="AS361" s="66"/>
      <c r="AT361" s="66" t="s">
        <v>600</v>
      </c>
      <c r="AU361" s="66" t="s">
        <v>600</v>
      </c>
      <c r="AV361" s="66" t="s">
        <v>600</v>
      </c>
      <c r="AW361" s="66" t="s">
        <v>600</v>
      </c>
      <c r="AX361" s="66" t="s">
        <v>600</v>
      </c>
      <c r="AY361" s="66" t="s">
        <v>600</v>
      </c>
      <c r="AZ361" s="66" t="s">
        <v>600</v>
      </c>
      <c r="BA361" s="66" t="s">
        <v>600</v>
      </c>
      <c r="BB361" s="66" t="s">
        <v>600</v>
      </c>
      <c r="BC361" s="66" t="s">
        <v>600</v>
      </c>
      <c r="BD361" s="66" t="s">
        <v>600</v>
      </c>
      <c r="BE361" s="66" t="s">
        <v>600</v>
      </c>
      <c r="BF361" s="66" t="s">
        <v>600</v>
      </c>
      <c r="BG361" s="66" t="s">
        <v>600</v>
      </c>
      <c r="BH361" s="66" t="s">
        <v>600</v>
      </c>
      <c r="BI361" s="66" t="s">
        <v>600</v>
      </c>
      <c r="BJ361" s="66" t="s">
        <v>600</v>
      </c>
      <c r="BK361" s="66" t="s">
        <v>600</v>
      </c>
      <c r="BL361" s="66" t="s">
        <v>600</v>
      </c>
      <c r="BM361" s="66" t="s">
        <v>600</v>
      </c>
      <c r="BN361" s="66" t="s">
        <v>600</v>
      </c>
      <c r="BO361" s="66" t="s">
        <v>600</v>
      </c>
      <c r="BP361" s="66" t="s">
        <v>600</v>
      </c>
      <c r="BQ361" s="66" t="s">
        <v>600</v>
      </c>
      <c r="BR361" s="164"/>
      <c r="BS361" s="68" t="s">
        <v>601</v>
      </c>
    </row>
    <row r="362" ht="15.6" hidden="1" spans="1:71">
      <c r="A362" s="53" t="s">
        <v>277</v>
      </c>
      <c r="B362" s="53" t="s">
        <v>27</v>
      </c>
      <c r="C362" s="171" t="s">
        <v>116</v>
      </c>
      <c r="D362" s="182" t="s">
        <v>707</v>
      </c>
      <c r="E362" s="179">
        <v>31</v>
      </c>
      <c r="F362" s="167">
        <v>44.99</v>
      </c>
      <c r="G362" s="59">
        <f t="shared" si="341"/>
        <v>44.99</v>
      </c>
      <c r="H362" s="59">
        <f t="shared" si="342"/>
        <v>37.4916666666667</v>
      </c>
      <c r="I362" s="59">
        <f t="shared" si="343"/>
        <v>9.00410914454277</v>
      </c>
      <c r="J362" s="60">
        <f t="shared" si="344"/>
        <v>0.290455133694928</v>
      </c>
      <c r="K362" s="57">
        <f t="shared" si="345"/>
        <v>37.4916666666667</v>
      </c>
      <c r="L362" s="163">
        <f t="shared" si="346"/>
        <v>0.173149588797511</v>
      </c>
      <c r="M362" s="59">
        <f t="shared" si="347"/>
        <v>6.49166666666667</v>
      </c>
      <c r="N362" s="57">
        <f>AD362+AH363</f>
        <v>76.7964601769912</v>
      </c>
      <c r="O362" s="57">
        <f t="shared" si="348"/>
        <v>0.258333333333333</v>
      </c>
      <c r="P362" s="53">
        <v>30</v>
      </c>
      <c r="Q362" s="62">
        <v>8</v>
      </c>
      <c r="R362" s="63">
        <f t="shared" si="349"/>
        <v>0.193548387096774</v>
      </c>
      <c r="S362" s="60">
        <f t="shared" si="350"/>
        <v>0.133362969548789</v>
      </c>
      <c r="T362" s="63">
        <f t="shared" si="351"/>
        <v>0</v>
      </c>
      <c r="U362" s="63">
        <v>0.01</v>
      </c>
      <c r="V362" s="63">
        <f t="shared" si="352"/>
        <v>0.309663145874964</v>
      </c>
      <c r="W362" s="63">
        <f t="shared" si="353"/>
        <v>0.00833333333333333</v>
      </c>
      <c r="X362" s="61">
        <v>0.188</v>
      </c>
      <c r="Y362" s="64">
        <v>6</v>
      </c>
      <c r="Z362" s="64">
        <v>0</v>
      </c>
      <c r="AA362" s="64">
        <f t="shared" si="354"/>
        <v>0.31</v>
      </c>
      <c r="AB362" s="57">
        <f t="shared" si="355"/>
        <v>5.828</v>
      </c>
      <c r="AC362" s="57">
        <v>80</v>
      </c>
      <c r="AD362" s="65">
        <f t="shared" si="356"/>
        <v>70.7964601769912</v>
      </c>
      <c r="AE362" s="62">
        <f>AH363/Q362</f>
        <v>0.75</v>
      </c>
      <c r="AF362" s="63">
        <f t="shared" si="357"/>
        <v>0.285469597487868</v>
      </c>
      <c r="AG362" s="63">
        <f t="shared" si="358"/>
        <v>0.0030241935483871</v>
      </c>
      <c r="AH362" s="62">
        <v>6</v>
      </c>
      <c r="AI362" s="63">
        <f t="shared" si="359"/>
        <v>0.328597466103579</v>
      </c>
      <c r="AJ362" s="63"/>
      <c r="AK362" s="63"/>
      <c r="AL362" s="63"/>
      <c r="AM362" s="63"/>
      <c r="AN362" s="66"/>
      <c r="AO362" s="66"/>
      <c r="AP362" s="66"/>
      <c r="AQ362" s="66"/>
      <c r="AR362" s="66"/>
      <c r="AS362" s="66"/>
      <c r="AT362" s="66" t="s">
        <v>600</v>
      </c>
      <c r="AU362" s="66" t="s">
        <v>600</v>
      </c>
      <c r="AV362" s="66" t="s">
        <v>600</v>
      </c>
      <c r="AW362" s="66" t="s">
        <v>600</v>
      </c>
      <c r="AX362" s="66" t="s">
        <v>600</v>
      </c>
      <c r="AY362" s="66" t="s">
        <v>600</v>
      </c>
      <c r="AZ362" s="66" t="s">
        <v>600</v>
      </c>
      <c r="BA362" s="66" t="s">
        <v>600</v>
      </c>
      <c r="BB362" s="66" t="s">
        <v>600</v>
      </c>
      <c r="BC362" s="66" t="s">
        <v>600</v>
      </c>
      <c r="BD362" s="66" t="s">
        <v>600</v>
      </c>
      <c r="BE362" s="66" t="s">
        <v>600</v>
      </c>
      <c r="BF362" s="66" t="s">
        <v>600</v>
      </c>
      <c r="BG362" s="66" t="s">
        <v>600</v>
      </c>
      <c r="BH362" s="66" t="s">
        <v>600</v>
      </c>
      <c r="BI362" s="66" t="s">
        <v>600</v>
      </c>
      <c r="BJ362" s="66" t="s">
        <v>600</v>
      </c>
      <c r="BK362" s="66" t="s">
        <v>600</v>
      </c>
      <c r="BL362" s="66" t="s">
        <v>600</v>
      </c>
      <c r="BM362" s="66" t="s">
        <v>600</v>
      </c>
      <c r="BN362" s="66" t="s">
        <v>600</v>
      </c>
      <c r="BO362" s="66" t="s">
        <v>600</v>
      </c>
      <c r="BP362" s="66" t="s">
        <v>600</v>
      </c>
      <c r="BQ362" s="66" t="s">
        <v>600</v>
      </c>
      <c r="BR362" s="164"/>
      <c r="BS362" s="68" t="s">
        <v>601</v>
      </c>
    </row>
    <row r="363" ht="15.6" hidden="1" spans="1:71">
      <c r="A363" s="53" t="s">
        <v>277</v>
      </c>
      <c r="B363" s="53" t="s">
        <v>27</v>
      </c>
      <c r="C363" s="171" t="s">
        <v>116</v>
      </c>
      <c r="D363" s="182" t="s">
        <v>708</v>
      </c>
      <c r="E363" s="179">
        <v>31</v>
      </c>
      <c r="F363" s="56">
        <v>44.99</v>
      </c>
      <c r="G363" s="59">
        <f t="shared" si="341"/>
        <v>40.491</v>
      </c>
      <c r="H363" s="59">
        <f t="shared" si="342"/>
        <v>33.7425</v>
      </c>
      <c r="I363" s="165">
        <f t="shared" si="343"/>
        <v>4.50510914454277</v>
      </c>
      <c r="J363" s="60">
        <f t="shared" si="344"/>
        <v>0.145326101436864</v>
      </c>
      <c r="K363" s="57">
        <f t="shared" si="345"/>
        <v>37.4916666666667</v>
      </c>
      <c r="L363" s="163">
        <f t="shared" si="346"/>
        <v>0.173149588797511</v>
      </c>
      <c r="M363" s="59">
        <f t="shared" si="347"/>
        <v>6.49166666666667</v>
      </c>
      <c r="N363" s="57">
        <f t="shared" ref="N363:N377" si="360">AD363+AH363</f>
        <v>76.7964601769912</v>
      </c>
      <c r="O363" s="57">
        <f t="shared" si="348"/>
        <v>0.258333333333333</v>
      </c>
      <c r="P363" s="53">
        <v>30</v>
      </c>
      <c r="Q363" s="62">
        <v>8</v>
      </c>
      <c r="R363" s="63">
        <f t="shared" si="349"/>
        <v>0.193548387096774</v>
      </c>
      <c r="S363" s="60">
        <f t="shared" si="350"/>
        <v>0.133362969548789</v>
      </c>
      <c r="T363" s="63">
        <f t="shared" si="351"/>
        <v>0.145129032258065</v>
      </c>
      <c r="U363" s="63">
        <v>0.01</v>
      </c>
      <c r="V363" s="63">
        <f t="shared" si="352"/>
        <v>0.309663145874964</v>
      </c>
      <c r="W363" s="63">
        <f t="shared" si="353"/>
        <v>0.00833333333333333</v>
      </c>
      <c r="X363" s="61">
        <v>0.188</v>
      </c>
      <c r="Y363" s="64">
        <v>6</v>
      </c>
      <c r="Z363" s="64">
        <f>F363*0.1</f>
        <v>4.499</v>
      </c>
      <c r="AA363" s="64">
        <f t="shared" si="354"/>
        <v>0.31</v>
      </c>
      <c r="AB363" s="57">
        <f t="shared" si="355"/>
        <v>5.828</v>
      </c>
      <c r="AC363" s="57">
        <v>80</v>
      </c>
      <c r="AD363" s="65">
        <f t="shared" si="356"/>
        <v>70.7964601769912</v>
      </c>
      <c r="AE363" s="62">
        <f t="shared" ref="AE363:AE377" si="361">AH363/Q363</f>
        <v>0.75</v>
      </c>
      <c r="AF363" s="63">
        <f t="shared" si="357"/>
        <v>0.285469597487868</v>
      </c>
      <c r="AG363" s="63">
        <f t="shared" si="358"/>
        <v>0.0030241935483871</v>
      </c>
      <c r="AH363" s="62">
        <v>6</v>
      </c>
      <c r="AI363" s="63">
        <f t="shared" si="359"/>
        <v>0.253997184559532</v>
      </c>
      <c r="AJ363" s="63"/>
      <c r="AK363" s="63"/>
      <c r="AL363" s="63"/>
      <c r="AM363" s="63"/>
      <c r="AN363" s="66"/>
      <c r="AO363" s="66"/>
      <c r="AP363" s="66"/>
      <c r="AQ363" s="66"/>
      <c r="AR363" s="66"/>
      <c r="AS363" s="66"/>
      <c r="AT363" s="66" t="s">
        <v>600</v>
      </c>
      <c r="AU363" s="66" t="s">
        <v>600</v>
      </c>
      <c r="AV363" s="66" t="s">
        <v>600</v>
      </c>
      <c r="AW363" s="66" t="s">
        <v>600</v>
      </c>
      <c r="AX363" s="66" t="s">
        <v>600</v>
      </c>
      <c r="AY363" s="66" t="s">
        <v>600</v>
      </c>
      <c r="AZ363" s="66" t="s">
        <v>600</v>
      </c>
      <c r="BA363" s="66" t="s">
        <v>600</v>
      </c>
      <c r="BB363" s="66" t="s">
        <v>600</v>
      </c>
      <c r="BC363" s="66" t="s">
        <v>600</v>
      </c>
      <c r="BD363" s="66" t="s">
        <v>600</v>
      </c>
      <c r="BE363" s="66" t="s">
        <v>600</v>
      </c>
      <c r="BF363" s="66" t="s">
        <v>600</v>
      </c>
      <c r="BG363" s="66" t="s">
        <v>600</v>
      </c>
      <c r="BH363" s="66" t="s">
        <v>600</v>
      </c>
      <c r="BI363" s="66" t="s">
        <v>600</v>
      </c>
      <c r="BJ363" s="66" t="s">
        <v>600</v>
      </c>
      <c r="BK363" s="66" t="s">
        <v>600</v>
      </c>
      <c r="BL363" s="66" t="s">
        <v>600</v>
      </c>
      <c r="BM363" s="66" t="s">
        <v>600</v>
      </c>
      <c r="BN363" s="66" t="s">
        <v>600</v>
      </c>
      <c r="BO363" s="66" t="s">
        <v>600</v>
      </c>
      <c r="BP363" s="66" t="s">
        <v>600</v>
      </c>
      <c r="BQ363" s="66" t="s">
        <v>600</v>
      </c>
      <c r="BR363" s="164"/>
      <c r="BS363" s="68" t="s">
        <v>601</v>
      </c>
    </row>
    <row r="364" ht="15.6" hidden="1" spans="1:71">
      <c r="A364" s="53" t="s">
        <v>277</v>
      </c>
      <c r="B364" s="53" t="s">
        <v>27</v>
      </c>
      <c r="C364" s="171" t="s">
        <v>116</v>
      </c>
      <c r="D364" s="182" t="s">
        <v>709</v>
      </c>
      <c r="E364" s="179">
        <v>31</v>
      </c>
      <c r="F364" s="56">
        <v>44.99</v>
      </c>
      <c r="G364" s="59">
        <f t="shared" si="341"/>
        <v>38.2415</v>
      </c>
      <c r="H364" s="59">
        <f t="shared" si="342"/>
        <v>31.8679166666667</v>
      </c>
      <c r="I364" s="59">
        <f t="shared" si="343"/>
        <v>2.25560914454277</v>
      </c>
      <c r="J364" s="60">
        <f t="shared" si="344"/>
        <v>0.0727615853078314</v>
      </c>
      <c r="K364" s="57">
        <f t="shared" si="345"/>
        <v>37.4916666666667</v>
      </c>
      <c r="L364" s="163">
        <f t="shared" si="346"/>
        <v>0.173149588797511</v>
      </c>
      <c r="M364" s="59">
        <f t="shared" si="347"/>
        <v>6.49166666666667</v>
      </c>
      <c r="N364" s="57">
        <f t="shared" si="360"/>
        <v>76.7964601769912</v>
      </c>
      <c r="O364" s="57">
        <f t="shared" si="348"/>
        <v>0.258333333333333</v>
      </c>
      <c r="P364" s="53">
        <v>30</v>
      </c>
      <c r="Q364" s="62">
        <v>8</v>
      </c>
      <c r="R364" s="63">
        <f t="shared" si="349"/>
        <v>0.193548387096774</v>
      </c>
      <c r="S364" s="60">
        <f t="shared" si="350"/>
        <v>0.133362969548789</v>
      </c>
      <c r="T364" s="63">
        <f t="shared" si="351"/>
        <v>0.217693548387097</v>
      </c>
      <c r="U364" s="63">
        <v>0.01</v>
      </c>
      <c r="V364" s="63">
        <f t="shared" si="352"/>
        <v>0.309663145874964</v>
      </c>
      <c r="W364" s="63">
        <f t="shared" si="353"/>
        <v>0.00833333333333333</v>
      </c>
      <c r="X364" s="61">
        <v>0.188</v>
      </c>
      <c r="Y364" s="64">
        <v>6</v>
      </c>
      <c r="Z364" s="64">
        <f>F364*0.15</f>
        <v>6.7485</v>
      </c>
      <c r="AA364" s="64">
        <f t="shared" si="354"/>
        <v>0.31</v>
      </c>
      <c r="AB364" s="57">
        <f t="shared" si="355"/>
        <v>5.828</v>
      </c>
      <c r="AC364" s="57">
        <v>80</v>
      </c>
      <c r="AD364" s="65">
        <f t="shared" si="356"/>
        <v>70.7964601769912</v>
      </c>
      <c r="AE364" s="62">
        <f t="shared" si="361"/>
        <v>0.75</v>
      </c>
      <c r="AF364" s="63">
        <f t="shared" si="357"/>
        <v>0.285469597487868</v>
      </c>
      <c r="AG364" s="63">
        <f t="shared" si="358"/>
        <v>0.0030241935483871</v>
      </c>
      <c r="AH364" s="62">
        <v>6</v>
      </c>
      <c r="AI364" s="63">
        <f t="shared" si="359"/>
        <v>0.21011466600421</v>
      </c>
      <c r="AJ364" s="63"/>
      <c r="AK364" s="63"/>
      <c r="AL364" s="63"/>
      <c r="AM364" s="63"/>
      <c r="AN364" s="66"/>
      <c r="AO364" s="66"/>
      <c r="AP364" s="66"/>
      <c r="AQ364" s="66"/>
      <c r="AR364" s="66"/>
      <c r="AS364" s="66"/>
      <c r="AT364" s="66" t="s">
        <v>600</v>
      </c>
      <c r="AU364" s="66" t="s">
        <v>600</v>
      </c>
      <c r="AV364" s="66" t="s">
        <v>600</v>
      </c>
      <c r="AW364" s="66" t="s">
        <v>600</v>
      </c>
      <c r="AX364" s="66" t="s">
        <v>600</v>
      </c>
      <c r="AY364" s="66" t="s">
        <v>600</v>
      </c>
      <c r="AZ364" s="66" t="s">
        <v>600</v>
      </c>
      <c r="BA364" s="66" t="s">
        <v>600</v>
      </c>
      <c r="BB364" s="66" t="s">
        <v>600</v>
      </c>
      <c r="BC364" s="66" t="s">
        <v>600</v>
      </c>
      <c r="BD364" s="66" t="s">
        <v>600</v>
      </c>
      <c r="BE364" s="66" t="s">
        <v>600</v>
      </c>
      <c r="BF364" s="66" t="s">
        <v>600</v>
      </c>
      <c r="BG364" s="66" t="s">
        <v>600</v>
      </c>
      <c r="BH364" s="66" t="s">
        <v>600</v>
      </c>
      <c r="BI364" s="66" t="s">
        <v>600</v>
      </c>
      <c r="BJ364" s="66" t="s">
        <v>600</v>
      </c>
      <c r="BK364" s="66" t="s">
        <v>600</v>
      </c>
      <c r="BL364" s="66" t="s">
        <v>600</v>
      </c>
      <c r="BM364" s="66" t="s">
        <v>600</v>
      </c>
      <c r="BN364" s="66" t="s">
        <v>600</v>
      </c>
      <c r="BO364" s="66" t="s">
        <v>600</v>
      </c>
      <c r="BP364" s="66" t="s">
        <v>600</v>
      </c>
      <c r="BQ364" s="66" t="s">
        <v>600</v>
      </c>
      <c r="BR364" s="164"/>
      <c r="BS364" s="68" t="s">
        <v>601</v>
      </c>
    </row>
    <row r="365" ht="15.6" hidden="1" spans="1:71">
      <c r="A365" s="53" t="s">
        <v>511</v>
      </c>
      <c r="B365" s="53" t="s">
        <v>27</v>
      </c>
      <c r="C365" s="171" t="s">
        <v>116</v>
      </c>
      <c r="D365" s="182" t="s">
        <v>707</v>
      </c>
      <c r="E365" s="179">
        <v>31</v>
      </c>
      <c r="F365" s="56">
        <v>44.99</v>
      </c>
      <c r="G365" s="59">
        <f t="shared" si="341"/>
        <v>44.99</v>
      </c>
      <c r="H365" s="59">
        <f t="shared" si="342"/>
        <v>37.4916666666667</v>
      </c>
      <c r="I365" s="59">
        <f t="shared" si="343"/>
        <v>8.78744247787611</v>
      </c>
      <c r="J365" s="60">
        <f t="shared" si="344"/>
        <v>0.2834658863831</v>
      </c>
      <c r="K365" s="57">
        <f t="shared" si="345"/>
        <v>37.4916666666667</v>
      </c>
      <c r="L365" s="163">
        <f t="shared" si="346"/>
        <v>0.173149588797511</v>
      </c>
      <c r="M365" s="59">
        <f t="shared" si="347"/>
        <v>6.49166666666667</v>
      </c>
      <c r="N365" s="57">
        <f t="shared" si="360"/>
        <v>76.7964601769912</v>
      </c>
      <c r="O365" s="57">
        <f t="shared" si="348"/>
        <v>0.475</v>
      </c>
      <c r="P365" s="53">
        <v>30</v>
      </c>
      <c r="Q365" s="62">
        <v>8</v>
      </c>
      <c r="R365" s="63">
        <f t="shared" si="349"/>
        <v>0.193548387096774</v>
      </c>
      <c r="S365" s="60">
        <f t="shared" si="350"/>
        <v>0.133362969548789</v>
      </c>
      <c r="T365" s="63">
        <f t="shared" si="351"/>
        <v>0</v>
      </c>
      <c r="U365" s="63">
        <v>0.01</v>
      </c>
      <c r="V365" s="63">
        <f t="shared" si="352"/>
        <v>0.309663145874964</v>
      </c>
      <c r="W365" s="63">
        <f t="shared" si="353"/>
        <v>0.0153225806451613</v>
      </c>
      <c r="X365" s="61">
        <v>0.188</v>
      </c>
      <c r="Y365" s="64">
        <v>6</v>
      </c>
      <c r="Z365" s="64">
        <v>0</v>
      </c>
      <c r="AA365" s="64">
        <f t="shared" si="354"/>
        <v>0.31</v>
      </c>
      <c r="AB365" s="57">
        <f t="shared" si="355"/>
        <v>5.828</v>
      </c>
      <c r="AC365" s="57">
        <v>80</v>
      </c>
      <c r="AD365" s="65">
        <f t="shared" si="356"/>
        <v>70.7964601769912</v>
      </c>
      <c r="AE365" s="62">
        <f t="shared" si="361"/>
        <v>0.75</v>
      </c>
      <c r="AF365" s="63">
        <f t="shared" si="357"/>
        <v>0.285469597487868</v>
      </c>
      <c r="AG365" s="63">
        <f t="shared" si="358"/>
        <v>0.0030241935483871</v>
      </c>
      <c r="AH365" s="62">
        <v>6</v>
      </c>
      <c r="AI365" s="63">
        <f t="shared" si="359"/>
        <v>0.328597466103579</v>
      </c>
      <c r="AJ365" s="63"/>
      <c r="AK365" s="63"/>
      <c r="AL365" s="63"/>
      <c r="AM365" s="63"/>
      <c r="AN365" s="66"/>
      <c r="AO365" s="66"/>
      <c r="AP365" s="66"/>
      <c r="AQ365" s="66"/>
      <c r="AR365" s="66"/>
      <c r="AS365" s="66"/>
      <c r="AT365" s="66" t="s">
        <v>600</v>
      </c>
      <c r="AU365" s="66" t="s">
        <v>600</v>
      </c>
      <c r="AV365" s="66" t="s">
        <v>600</v>
      </c>
      <c r="AW365" s="66" t="s">
        <v>600</v>
      </c>
      <c r="AX365" s="66" t="s">
        <v>600</v>
      </c>
      <c r="AY365" s="66" t="s">
        <v>600</v>
      </c>
      <c r="AZ365" s="66" t="s">
        <v>600</v>
      </c>
      <c r="BA365" s="66" t="s">
        <v>600</v>
      </c>
      <c r="BB365" s="66" t="s">
        <v>600</v>
      </c>
      <c r="BC365" s="66" t="s">
        <v>600</v>
      </c>
      <c r="BD365" s="66" t="s">
        <v>600</v>
      </c>
      <c r="BE365" s="66" t="s">
        <v>600</v>
      </c>
      <c r="BF365" s="66" t="s">
        <v>600</v>
      </c>
      <c r="BG365" s="66" t="s">
        <v>600</v>
      </c>
      <c r="BH365" s="66" t="s">
        <v>600</v>
      </c>
      <c r="BI365" s="66" t="s">
        <v>600</v>
      </c>
      <c r="BJ365" s="66" t="s">
        <v>600</v>
      </c>
      <c r="BK365" s="66" t="s">
        <v>600</v>
      </c>
      <c r="BL365" s="66" t="s">
        <v>600</v>
      </c>
      <c r="BM365" s="66" t="s">
        <v>600</v>
      </c>
      <c r="BN365" s="66" t="s">
        <v>600</v>
      </c>
      <c r="BO365" s="66" t="s">
        <v>600</v>
      </c>
      <c r="BP365" s="66" t="s">
        <v>600</v>
      </c>
      <c r="BQ365" s="66" t="s">
        <v>600</v>
      </c>
      <c r="BR365" s="164"/>
      <c r="BS365" s="68" t="s">
        <v>601</v>
      </c>
    </row>
    <row r="366" ht="15.6" hidden="1" spans="1:71">
      <c r="A366" s="53" t="s">
        <v>511</v>
      </c>
      <c r="B366" s="53" t="s">
        <v>27</v>
      </c>
      <c r="C366" s="171" t="s">
        <v>116</v>
      </c>
      <c r="D366" s="182" t="s">
        <v>708</v>
      </c>
      <c r="E366" s="179">
        <v>31</v>
      </c>
      <c r="F366" s="56">
        <v>44.99</v>
      </c>
      <c r="G366" s="59">
        <f t="shared" si="341"/>
        <v>40.491</v>
      </c>
      <c r="H366" s="59">
        <f t="shared" si="342"/>
        <v>33.7425</v>
      </c>
      <c r="I366" s="165">
        <f t="shared" si="343"/>
        <v>4.28844247787611</v>
      </c>
      <c r="J366" s="60">
        <f t="shared" si="344"/>
        <v>0.138336854125036</v>
      </c>
      <c r="K366" s="57">
        <f t="shared" si="345"/>
        <v>37.4916666666667</v>
      </c>
      <c r="L366" s="163">
        <f t="shared" si="346"/>
        <v>0.173149588797511</v>
      </c>
      <c r="M366" s="59">
        <f t="shared" si="347"/>
        <v>6.49166666666667</v>
      </c>
      <c r="N366" s="57">
        <f t="shared" si="360"/>
        <v>76.7964601769912</v>
      </c>
      <c r="O366" s="57">
        <f t="shared" si="348"/>
        <v>0.475</v>
      </c>
      <c r="P366" s="53">
        <v>30</v>
      </c>
      <c r="Q366" s="62">
        <v>8</v>
      </c>
      <c r="R366" s="63">
        <f t="shared" si="349"/>
        <v>0.193548387096774</v>
      </c>
      <c r="S366" s="60">
        <f t="shared" si="350"/>
        <v>0.133362969548789</v>
      </c>
      <c r="T366" s="63">
        <f t="shared" si="351"/>
        <v>0.145129032258065</v>
      </c>
      <c r="U366" s="63">
        <v>0.01</v>
      </c>
      <c r="V366" s="63">
        <f t="shared" si="352"/>
        <v>0.309663145874964</v>
      </c>
      <c r="W366" s="63">
        <f t="shared" si="353"/>
        <v>0.0153225806451613</v>
      </c>
      <c r="X366" s="61">
        <v>0.188</v>
      </c>
      <c r="Y366" s="64">
        <v>6</v>
      </c>
      <c r="Z366" s="64">
        <f>F366*0.1</f>
        <v>4.499</v>
      </c>
      <c r="AA366" s="64">
        <f t="shared" si="354"/>
        <v>0.31</v>
      </c>
      <c r="AB366" s="57">
        <f t="shared" si="355"/>
        <v>5.828</v>
      </c>
      <c r="AC366" s="57">
        <v>80</v>
      </c>
      <c r="AD366" s="65">
        <f t="shared" si="356"/>
        <v>70.7964601769912</v>
      </c>
      <c r="AE366" s="62">
        <f t="shared" si="361"/>
        <v>0.75</v>
      </c>
      <c r="AF366" s="63">
        <f t="shared" si="357"/>
        <v>0.285469597487868</v>
      </c>
      <c r="AG366" s="63">
        <f t="shared" si="358"/>
        <v>0.0030241935483871</v>
      </c>
      <c r="AH366" s="62">
        <v>6</v>
      </c>
      <c r="AI366" s="63">
        <f t="shared" si="359"/>
        <v>0.253997184559532</v>
      </c>
      <c r="AJ366" s="63"/>
      <c r="AK366" s="63"/>
      <c r="AL366" s="63"/>
      <c r="AM366" s="63"/>
      <c r="AN366" s="66"/>
      <c r="AO366" s="66"/>
      <c r="AP366" s="66"/>
      <c r="AQ366" s="66"/>
      <c r="AR366" s="66"/>
      <c r="AS366" s="66"/>
      <c r="AT366" s="66" t="s">
        <v>600</v>
      </c>
      <c r="AU366" s="66" t="s">
        <v>600</v>
      </c>
      <c r="AV366" s="66" t="s">
        <v>600</v>
      </c>
      <c r="AW366" s="66" t="s">
        <v>600</v>
      </c>
      <c r="AX366" s="66" t="s">
        <v>600</v>
      </c>
      <c r="AY366" s="66" t="s">
        <v>600</v>
      </c>
      <c r="AZ366" s="66" t="s">
        <v>600</v>
      </c>
      <c r="BA366" s="66" t="s">
        <v>600</v>
      </c>
      <c r="BB366" s="66" t="s">
        <v>600</v>
      </c>
      <c r="BC366" s="66" t="s">
        <v>600</v>
      </c>
      <c r="BD366" s="66" t="s">
        <v>600</v>
      </c>
      <c r="BE366" s="66" t="s">
        <v>600</v>
      </c>
      <c r="BF366" s="66" t="s">
        <v>600</v>
      </c>
      <c r="BG366" s="66" t="s">
        <v>600</v>
      </c>
      <c r="BH366" s="66" t="s">
        <v>600</v>
      </c>
      <c r="BI366" s="66" t="s">
        <v>600</v>
      </c>
      <c r="BJ366" s="66" t="s">
        <v>600</v>
      </c>
      <c r="BK366" s="66" t="s">
        <v>600</v>
      </c>
      <c r="BL366" s="66" t="s">
        <v>600</v>
      </c>
      <c r="BM366" s="66" t="s">
        <v>600</v>
      </c>
      <c r="BN366" s="66" t="s">
        <v>600</v>
      </c>
      <c r="BO366" s="66" t="s">
        <v>600</v>
      </c>
      <c r="BP366" s="66" t="s">
        <v>600</v>
      </c>
      <c r="BQ366" s="66" t="s">
        <v>600</v>
      </c>
      <c r="BR366" s="164"/>
      <c r="BS366" s="68" t="s">
        <v>601</v>
      </c>
    </row>
    <row r="367" ht="15.6" hidden="1" spans="1:71">
      <c r="A367" s="53" t="s">
        <v>511</v>
      </c>
      <c r="B367" s="53" t="s">
        <v>27</v>
      </c>
      <c r="C367" s="171" t="s">
        <v>116</v>
      </c>
      <c r="D367" s="182" t="s">
        <v>709</v>
      </c>
      <c r="E367" s="179">
        <v>31</v>
      </c>
      <c r="F367" s="56">
        <v>44.99</v>
      </c>
      <c r="G367" s="59">
        <f t="shared" si="341"/>
        <v>38.2415</v>
      </c>
      <c r="H367" s="59">
        <f t="shared" si="342"/>
        <v>31.8679166666667</v>
      </c>
      <c r="I367" s="59">
        <f t="shared" si="343"/>
        <v>2.03894247787611</v>
      </c>
      <c r="J367" s="60">
        <f t="shared" si="344"/>
        <v>0.0657723379960034</v>
      </c>
      <c r="K367" s="57">
        <f t="shared" si="345"/>
        <v>37.4916666666667</v>
      </c>
      <c r="L367" s="163">
        <f t="shared" si="346"/>
        <v>0.173149588797511</v>
      </c>
      <c r="M367" s="59">
        <f t="shared" si="347"/>
        <v>6.49166666666667</v>
      </c>
      <c r="N367" s="57">
        <f t="shared" si="360"/>
        <v>76.7964601769912</v>
      </c>
      <c r="O367" s="57">
        <f t="shared" si="348"/>
        <v>0.475</v>
      </c>
      <c r="P367" s="53">
        <v>30</v>
      </c>
      <c r="Q367" s="62">
        <v>8</v>
      </c>
      <c r="R367" s="63">
        <f t="shared" si="349"/>
        <v>0.193548387096774</v>
      </c>
      <c r="S367" s="60">
        <f t="shared" si="350"/>
        <v>0.133362969548789</v>
      </c>
      <c r="T367" s="63">
        <f t="shared" si="351"/>
        <v>0.217693548387097</v>
      </c>
      <c r="U367" s="63">
        <v>0.01</v>
      </c>
      <c r="V367" s="63">
        <f t="shared" si="352"/>
        <v>0.309663145874964</v>
      </c>
      <c r="W367" s="63">
        <f t="shared" si="353"/>
        <v>0.0153225806451613</v>
      </c>
      <c r="X367" s="61">
        <v>0.188</v>
      </c>
      <c r="Y367" s="64">
        <v>6</v>
      </c>
      <c r="Z367" s="64">
        <f>F367*0.15</f>
        <v>6.7485</v>
      </c>
      <c r="AA367" s="64">
        <f t="shared" si="354"/>
        <v>0.31</v>
      </c>
      <c r="AB367" s="57">
        <f t="shared" si="355"/>
        <v>5.828</v>
      </c>
      <c r="AC367" s="57">
        <v>80</v>
      </c>
      <c r="AD367" s="65">
        <f t="shared" si="356"/>
        <v>70.7964601769912</v>
      </c>
      <c r="AE367" s="62">
        <f t="shared" si="361"/>
        <v>0.75</v>
      </c>
      <c r="AF367" s="63">
        <f t="shared" si="357"/>
        <v>0.285469597487868</v>
      </c>
      <c r="AG367" s="63">
        <f t="shared" si="358"/>
        <v>0.0030241935483871</v>
      </c>
      <c r="AH367" s="62">
        <v>6</v>
      </c>
      <c r="AI367" s="63">
        <f t="shared" si="359"/>
        <v>0.21011466600421</v>
      </c>
      <c r="AJ367" s="63"/>
      <c r="AK367" s="63"/>
      <c r="AL367" s="63"/>
      <c r="AM367" s="63"/>
      <c r="AN367" s="66"/>
      <c r="AO367" s="66"/>
      <c r="AP367" s="66"/>
      <c r="AQ367" s="66"/>
      <c r="AR367" s="66"/>
      <c r="AS367" s="66"/>
      <c r="AT367" s="66" t="s">
        <v>600</v>
      </c>
      <c r="AU367" s="66" t="s">
        <v>600</v>
      </c>
      <c r="AV367" s="66" t="s">
        <v>600</v>
      </c>
      <c r="AW367" s="66" t="s">
        <v>600</v>
      </c>
      <c r="AX367" s="66" t="s">
        <v>600</v>
      </c>
      <c r="AY367" s="66" t="s">
        <v>600</v>
      </c>
      <c r="AZ367" s="66" t="s">
        <v>600</v>
      </c>
      <c r="BA367" s="66" t="s">
        <v>600</v>
      </c>
      <c r="BB367" s="66" t="s">
        <v>600</v>
      </c>
      <c r="BC367" s="66" t="s">
        <v>600</v>
      </c>
      <c r="BD367" s="66" t="s">
        <v>600</v>
      </c>
      <c r="BE367" s="66" t="s">
        <v>600</v>
      </c>
      <c r="BF367" s="66" t="s">
        <v>600</v>
      </c>
      <c r="BG367" s="66" t="s">
        <v>600</v>
      </c>
      <c r="BH367" s="66" t="s">
        <v>600</v>
      </c>
      <c r="BI367" s="66" t="s">
        <v>600</v>
      </c>
      <c r="BJ367" s="66" t="s">
        <v>600</v>
      </c>
      <c r="BK367" s="66" t="s">
        <v>600</v>
      </c>
      <c r="BL367" s="66" t="s">
        <v>600</v>
      </c>
      <c r="BM367" s="66" t="s">
        <v>600</v>
      </c>
      <c r="BN367" s="66" t="s">
        <v>600</v>
      </c>
      <c r="BO367" s="66" t="s">
        <v>600</v>
      </c>
      <c r="BP367" s="66" t="s">
        <v>600</v>
      </c>
      <c r="BQ367" s="66" t="s">
        <v>600</v>
      </c>
      <c r="BR367" s="164"/>
      <c r="BS367" s="68" t="s">
        <v>601</v>
      </c>
    </row>
    <row r="368" ht="15.6" hidden="1" spans="1:71">
      <c r="A368" s="53" t="s">
        <v>513</v>
      </c>
      <c r="B368" s="53" t="s">
        <v>27</v>
      </c>
      <c r="C368" s="171" t="s">
        <v>116</v>
      </c>
      <c r="D368" s="182" t="s">
        <v>707</v>
      </c>
      <c r="E368" s="179">
        <v>31</v>
      </c>
      <c r="F368" s="56">
        <v>44.99</v>
      </c>
      <c r="G368" s="59">
        <f t="shared" si="341"/>
        <v>44.99</v>
      </c>
      <c r="H368" s="59">
        <f t="shared" si="342"/>
        <v>37.4916666666667</v>
      </c>
      <c r="I368" s="59">
        <f t="shared" si="343"/>
        <v>8.75410914454277</v>
      </c>
      <c r="J368" s="60">
        <f t="shared" si="344"/>
        <v>0.282390617565896</v>
      </c>
      <c r="K368" s="57">
        <f t="shared" si="345"/>
        <v>37.4916666666667</v>
      </c>
      <c r="L368" s="163">
        <f t="shared" si="346"/>
        <v>0.173149588797511</v>
      </c>
      <c r="M368" s="59">
        <f t="shared" si="347"/>
        <v>6.49166666666667</v>
      </c>
      <c r="N368" s="57">
        <f t="shared" si="360"/>
        <v>76.7964601769912</v>
      </c>
      <c r="O368" s="57">
        <f t="shared" si="348"/>
        <v>0.508333333333333</v>
      </c>
      <c r="P368" s="53">
        <v>30</v>
      </c>
      <c r="Q368" s="62">
        <v>8</v>
      </c>
      <c r="R368" s="63">
        <f t="shared" si="349"/>
        <v>0.193548387096774</v>
      </c>
      <c r="S368" s="60">
        <f t="shared" si="350"/>
        <v>0.133362969548789</v>
      </c>
      <c r="T368" s="63">
        <f t="shared" si="351"/>
        <v>0</v>
      </c>
      <c r="U368" s="63">
        <v>0.01</v>
      </c>
      <c r="V368" s="63">
        <f t="shared" si="352"/>
        <v>0.309663145874964</v>
      </c>
      <c r="W368" s="63">
        <f t="shared" si="353"/>
        <v>0.0163978494623656</v>
      </c>
      <c r="X368" s="61">
        <v>0.188</v>
      </c>
      <c r="Y368" s="64">
        <v>6</v>
      </c>
      <c r="Z368" s="64">
        <v>0</v>
      </c>
      <c r="AA368" s="64">
        <f t="shared" si="354"/>
        <v>0.31</v>
      </c>
      <c r="AB368" s="57">
        <f t="shared" si="355"/>
        <v>5.828</v>
      </c>
      <c r="AC368" s="57">
        <v>80</v>
      </c>
      <c r="AD368" s="65">
        <f t="shared" si="356"/>
        <v>70.7964601769912</v>
      </c>
      <c r="AE368" s="62">
        <f t="shared" si="361"/>
        <v>0.75</v>
      </c>
      <c r="AF368" s="63">
        <f t="shared" si="357"/>
        <v>0.285469597487868</v>
      </c>
      <c r="AG368" s="63">
        <f t="shared" si="358"/>
        <v>0.0030241935483871</v>
      </c>
      <c r="AH368" s="62">
        <v>6</v>
      </c>
      <c r="AI368" s="60">
        <f t="shared" si="359"/>
        <v>0.328597466103579</v>
      </c>
      <c r="AJ368" s="60"/>
      <c r="AK368" s="60"/>
      <c r="AL368" s="60"/>
      <c r="AM368" s="60"/>
      <c r="AN368" s="66"/>
      <c r="AO368" s="66"/>
      <c r="AP368" s="66"/>
      <c r="AQ368" s="66"/>
      <c r="AR368" s="66"/>
      <c r="AS368" s="66"/>
      <c r="AT368" s="66" t="s">
        <v>600</v>
      </c>
      <c r="AU368" s="66" t="s">
        <v>600</v>
      </c>
      <c r="AV368" s="66" t="s">
        <v>600</v>
      </c>
      <c r="AW368" s="66" t="s">
        <v>600</v>
      </c>
      <c r="AX368" s="66" t="s">
        <v>600</v>
      </c>
      <c r="AY368" s="66" t="s">
        <v>600</v>
      </c>
      <c r="AZ368" s="66" t="s">
        <v>600</v>
      </c>
      <c r="BA368" s="66" t="s">
        <v>600</v>
      </c>
      <c r="BB368" s="66" t="s">
        <v>600</v>
      </c>
      <c r="BC368" s="66" t="s">
        <v>600</v>
      </c>
      <c r="BD368" s="66" t="s">
        <v>600</v>
      </c>
      <c r="BE368" s="66" t="s">
        <v>600</v>
      </c>
      <c r="BF368" s="66" t="s">
        <v>600</v>
      </c>
      <c r="BG368" s="66" t="s">
        <v>600</v>
      </c>
      <c r="BH368" s="66" t="s">
        <v>600</v>
      </c>
      <c r="BI368" s="66" t="s">
        <v>600</v>
      </c>
      <c r="BJ368" s="66" t="s">
        <v>600</v>
      </c>
      <c r="BK368" s="66" t="s">
        <v>600</v>
      </c>
      <c r="BL368" s="66" t="s">
        <v>600</v>
      </c>
      <c r="BM368" s="66" t="s">
        <v>600</v>
      </c>
      <c r="BN368" s="66" t="s">
        <v>600</v>
      </c>
      <c r="BO368" s="66" t="s">
        <v>600</v>
      </c>
      <c r="BP368" s="66" t="s">
        <v>600</v>
      </c>
      <c r="BQ368" s="66" t="s">
        <v>600</v>
      </c>
      <c r="BR368" s="164"/>
      <c r="BS368" s="68" t="s">
        <v>601</v>
      </c>
    </row>
    <row r="369" ht="15.6" hidden="1" spans="1:71">
      <c r="A369" s="53" t="s">
        <v>513</v>
      </c>
      <c r="B369" s="53" t="s">
        <v>27</v>
      </c>
      <c r="C369" s="171" t="s">
        <v>116</v>
      </c>
      <c r="D369" s="182" t="s">
        <v>708</v>
      </c>
      <c r="E369" s="179">
        <v>31</v>
      </c>
      <c r="F369" s="56">
        <v>44.99</v>
      </c>
      <c r="G369" s="59">
        <f t="shared" si="341"/>
        <v>40.491</v>
      </c>
      <c r="H369" s="59">
        <f t="shared" si="342"/>
        <v>33.7425</v>
      </c>
      <c r="I369" s="165">
        <f t="shared" si="343"/>
        <v>4.25510914454277</v>
      </c>
      <c r="J369" s="60">
        <f t="shared" si="344"/>
        <v>0.137261585307831</v>
      </c>
      <c r="K369" s="57">
        <f t="shared" si="345"/>
        <v>37.4916666666667</v>
      </c>
      <c r="L369" s="163">
        <f t="shared" si="346"/>
        <v>0.173149588797511</v>
      </c>
      <c r="M369" s="59">
        <f t="shared" si="347"/>
        <v>6.49166666666667</v>
      </c>
      <c r="N369" s="57">
        <f t="shared" si="360"/>
        <v>76.7964601769912</v>
      </c>
      <c r="O369" s="57">
        <f t="shared" si="348"/>
        <v>0.508333333333333</v>
      </c>
      <c r="P369" s="53">
        <v>30</v>
      </c>
      <c r="Q369" s="62">
        <v>8</v>
      </c>
      <c r="R369" s="63">
        <f t="shared" si="349"/>
        <v>0.193548387096774</v>
      </c>
      <c r="S369" s="60">
        <f t="shared" si="350"/>
        <v>0.133362969548789</v>
      </c>
      <c r="T369" s="63">
        <f t="shared" si="351"/>
        <v>0.145129032258065</v>
      </c>
      <c r="U369" s="63">
        <v>0.01</v>
      </c>
      <c r="V369" s="63">
        <f t="shared" si="352"/>
        <v>0.309663145874964</v>
      </c>
      <c r="W369" s="63">
        <f t="shared" si="353"/>
        <v>0.0163978494623656</v>
      </c>
      <c r="X369" s="61">
        <v>0.188</v>
      </c>
      <c r="Y369" s="64">
        <v>6</v>
      </c>
      <c r="Z369" s="64">
        <f>F369*0.1</f>
        <v>4.499</v>
      </c>
      <c r="AA369" s="64">
        <f t="shared" si="354"/>
        <v>0.31</v>
      </c>
      <c r="AB369" s="57">
        <f t="shared" si="355"/>
        <v>5.828</v>
      </c>
      <c r="AC369" s="57">
        <v>80</v>
      </c>
      <c r="AD369" s="65">
        <f t="shared" si="356"/>
        <v>70.7964601769912</v>
      </c>
      <c r="AE369" s="62">
        <f t="shared" si="361"/>
        <v>0.75</v>
      </c>
      <c r="AF369" s="63">
        <f t="shared" si="357"/>
        <v>0.285469597487868</v>
      </c>
      <c r="AG369" s="63">
        <f t="shared" si="358"/>
        <v>0.0030241935483871</v>
      </c>
      <c r="AH369" s="62">
        <v>6</v>
      </c>
      <c r="AI369" s="60">
        <f t="shared" si="359"/>
        <v>0.253997184559532</v>
      </c>
      <c r="AJ369" s="60"/>
      <c r="AK369" s="60"/>
      <c r="AL369" s="60"/>
      <c r="AM369" s="60"/>
      <c r="AN369" s="66"/>
      <c r="AO369" s="66"/>
      <c r="AP369" s="66"/>
      <c r="AQ369" s="66"/>
      <c r="AR369" s="66"/>
      <c r="AS369" s="66"/>
      <c r="AT369" s="66" t="s">
        <v>600</v>
      </c>
      <c r="AU369" s="66" t="s">
        <v>600</v>
      </c>
      <c r="AV369" s="66" t="s">
        <v>600</v>
      </c>
      <c r="AW369" s="66" t="s">
        <v>600</v>
      </c>
      <c r="AX369" s="66" t="s">
        <v>600</v>
      </c>
      <c r="AY369" s="66" t="s">
        <v>600</v>
      </c>
      <c r="AZ369" s="66" t="s">
        <v>600</v>
      </c>
      <c r="BA369" s="66" t="s">
        <v>600</v>
      </c>
      <c r="BB369" s="66" t="s">
        <v>600</v>
      </c>
      <c r="BC369" s="66" t="s">
        <v>600</v>
      </c>
      <c r="BD369" s="66" t="s">
        <v>600</v>
      </c>
      <c r="BE369" s="66" t="s">
        <v>600</v>
      </c>
      <c r="BF369" s="66" t="s">
        <v>600</v>
      </c>
      <c r="BG369" s="66" t="s">
        <v>600</v>
      </c>
      <c r="BH369" s="66" t="s">
        <v>600</v>
      </c>
      <c r="BI369" s="66" t="s">
        <v>600</v>
      </c>
      <c r="BJ369" s="66" t="s">
        <v>600</v>
      </c>
      <c r="BK369" s="66" t="s">
        <v>600</v>
      </c>
      <c r="BL369" s="66" t="s">
        <v>600</v>
      </c>
      <c r="BM369" s="66" t="s">
        <v>600</v>
      </c>
      <c r="BN369" s="66" t="s">
        <v>600</v>
      </c>
      <c r="BO369" s="66" t="s">
        <v>600</v>
      </c>
      <c r="BP369" s="66" t="s">
        <v>600</v>
      </c>
      <c r="BQ369" s="66" t="s">
        <v>600</v>
      </c>
      <c r="BR369" s="164"/>
      <c r="BS369" s="68" t="s">
        <v>601</v>
      </c>
    </row>
    <row r="370" ht="15.6" hidden="1" spans="1:71">
      <c r="A370" s="53" t="s">
        <v>513</v>
      </c>
      <c r="B370" s="53" t="s">
        <v>27</v>
      </c>
      <c r="C370" s="171" t="s">
        <v>116</v>
      </c>
      <c r="D370" s="182" t="s">
        <v>709</v>
      </c>
      <c r="E370" s="179">
        <v>31</v>
      </c>
      <c r="F370" s="56">
        <v>44.99</v>
      </c>
      <c r="G370" s="59">
        <f t="shared" si="341"/>
        <v>38.2415</v>
      </c>
      <c r="H370" s="59">
        <f t="shared" si="342"/>
        <v>31.8679166666667</v>
      </c>
      <c r="I370" s="59">
        <f t="shared" si="343"/>
        <v>2.00560914454277</v>
      </c>
      <c r="J370" s="60">
        <f t="shared" si="344"/>
        <v>0.0646970691787991</v>
      </c>
      <c r="K370" s="57">
        <f t="shared" si="345"/>
        <v>37.4916666666667</v>
      </c>
      <c r="L370" s="163">
        <f t="shared" si="346"/>
        <v>0.173149588797511</v>
      </c>
      <c r="M370" s="59">
        <f t="shared" si="347"/>
        <v>6.49166666666667</v>
      </c>
      <c r="N370" s="57">
        <f t="shared" si="360"/>
        <v>76.7964601769912</v>
      </c>
      <c r="O370" s="57">
        <f t="shared" si="348"/>
        <v>0.508333333333333</v>
      </c>
      <c r="P370" s="53">
        <v>30</v>
      </c>
      <c r="Q370" s="62">
        <v>8</v>
      </c>
      <c r="R370" s="63">
        <f t="shared" si="349"/>
        <v>0.193548387096774</v>
      </c>
      <c r="S370" s="60">
        <f t="shared" si="350"/>
        <v>0.133362969548789</v>
      </c>
      <c r="T370" s="63">
        <f t="shared" si="351"/>
        <v>0.217693548387097</v>
      </c>
      <c r="U370" s="63">
        <v>0.01</v>
      </c>
      <c r="V370" s="63">
        <f t="shared" si="352"/>
        <v>0.309663145874964</v>
      </c>
      <c r="W370" s="63">
        <f t="shared" si="353"/>
        <v>0.0163978494623656</v>
      </c>
      <c r="X370" s="61">
        <v>0.188</v>
      </c>
      <c r="Y370" s="64">
        <v>6</v>
      </c>
      <c r="Z370" s="64">
        <f>F370*0.15</f>
        <v>6.7485</v>
      </c>
      <c r="AA370" s="64">
        <f t="shared" si="354"/>
        <v>0.31</v>
      </c>
      <c r="AB370" s="57">
        <f t="shared" si="355"/>
        <v>5.828</v>
      </c>
      <c r="AC370" s="57">
        <v>80</v>
      </c>
      <c r="AD370" s="65">
        <f t="shared" si="356"/>
        <v>70.7964601769912</v>
      </c>
      <c r="AE370" s="62">
        <f t="shared" si="361"/>
        <v>0.75</v>
      </c>
      <c r="AF370" s="63">
        <f t="shared" si="357"/>
        <v>0.285469597487868</v>
      </c>
      <c r="AG370" s="63">
        <f t="shared" si="358"/>
        <v>0.0030241935483871</v>
      </c>
      <c r="AH370" s="62">
        <v>6</v>
      </c>
      <c r="AI370" s="60">
        <f t="shared" si="359"/>
        <v>0.21011466600421</v>
      </c>
      <c r="AJ370" s="60"/>
      <c r="AK370" s="60"/>
      <c r="AL370" s="60"/>
      <c r="AM370" s="60"/>
      <c r="AN370" s="66"/>
      <c r="AO370" s="66"/>
      <c r="AP370" s="66"/>
      <c r="AQ370" s="66"/>
      <c r="AR370" s="66"/>
      <c r="AS370" s="66"/>
      <c r="AT370" s="66" t="s">
        <v>600</v>
      </c>
      <c r="AU370" s="66" t="s">
        <v>600</v>
      </c>
      <c r="AV370" s="66" t="s">
        <v>600</v>
      </c>
      <c r="AW370" s="66" t="s">
        <v>600</v>
      </c>
      <c r="AX370" s="66" t="s">
        <v>600</v>
      </c>
      <c r="AY370" s="66" t="s">
        <v>600</v>
      </c>
      <c r="AZ370" s="66" t="s">
        <v>600</v>
      </c>
      <c r="BA370" s="66" t="s">
        <v>600</v>
      </c>
      <c r="BB370" s="66" t="s">
        <v>600</v>
      </c>
      <c r="BC370" s="66" t="s">
        <v>600</v>
      </c>
      <c r="BD370" s="66" t="s">
        <v>600</v>
      </c>
      <c r="BE370" s="66" t="s">
        <v>600</v>
      </c>
      <c r="BF370" s="66" t="s">
        <v>600</v>
      </c>
      <c r="BG370" s="66" t="s">
        <v>600</v>
      </c>
      <c r="BH370" s="66" t="s">
        <v>600</v>
      </c>
      <c r="BI370" s="66" t="s">
        <v>600</v>
      </c>
      <c r="BJ370" s="66" t="s">
        <v>600</v>
      </c>
      <c r="BK370" s="66" t="s">
        <v>600</v>
      </c>
      <c r="BL370" s="66" t="s">
        <v>600</v>
      </c>
      <c r="BM370" s="66" t="s">
        <v>600</v>
      </c>
      <c r="BN370" s="66" t="s">
        <v>600</v>
      </c>
      <c r="BO370" s="66" t="s">
        <v>600</v>
      </c>
      <c r="BP370" s="66" t="s">
        <v>600</v>
      </c>
      <c r="BQ370" s="66" t="s">
        <v>600</v>
      </c>
      <c r="BR370" s="164"/>
      <c r="BS370" s="68" t="s">
        <v>601</v>
      </c>
    </row>
    <row r="371" ht="15.6" hidden="1" spans="1:71">
      <c r="A371" s="53" t="s">
        <v>516</v>
      </c>
      <c r="B371" s="53" t="s">
        <v>27</v>
      </c>
      <c r="C371" s="171" t="s">
        <v>116</v>
      </c>
      <c r="D371" s="182" t="s">
        <v>707</v>
      </c>
      <c r="E371" s="179">
        <v>31</v>
      </c>
      <c r="F371" s="56">
        <v>44.99</v>
      </c>
      <c r="G371" s="59">
        <f t="shared" si="341"/>
        <v>44.99</v>
      </c>
      <c r="H371" s="59">
        <f t="shared" si="342"/>
        <v>37.4916666666667</v>
      </c>
      <c r="I371" s="59">
        <f t="shared" si="343"/>
        <v>8.62077581120944</v>
      </c>
      <c r="J371" s="60">
        <f t="shared" si="344"/>
        <v>0.278089542297079</v>
      </c>
      <c r="K371" s="57">
        <f t="shared" si="345"/>
        <v>37.4916666666667</v>
      </c>
      <c r="L371" s="163">
        <f t="shared" si="346"/>
        <v>0.173149588797511</v>
      </c>
      <c r="M371" s="59">
        <f t="shared" si="347"/>
        <v>6.49166666666667</v>
      </c>
      <c r="N371" s="57">
        <f t="shared" si="360"/>
        <v>76.7964601769912</v>
      </c>
      <c r="O371" s="57">
        <f t="shared" si="348"/>
        <v>0.641666666666667</v>
      </c>
      <c r="P371" s="53">
        <v>30</v>
      </c>
      <c r="Q371" s="62">
        <v>8</v>
      </c>
      <c r="R371" s="63">
        <f t="shared" si="349"/>
        <v>0.193548387096774</v>
      </c>
      <c r="S371" s="60">
        <f t="shared" si="350"/>
        <v>0.133362969548789</v>
      </c>
      <c r="T371" s="63">
        <f t="shared" si="351"/>
        <v>0</v>
      </c>
      <c r="U371" s="63">
        <v>0.01</v>
      </c>
      <c r="V371" s="63">
        <f t="shared" si="352"/>
        <v>0.309663145874964</v>
      </c>
      <c r="W371" s="63">
        <f t="shared" si="353"/>
        <v>0.0206989247311828</v>
      </c>
      <c r="X371" s="61">
        <v>0.188</v>
      </c>
      <c r="Y371" s="64">
        <v>6</v>
      </c>
      <c r="Z371" s="64">
        <v>0</v>
      </c>
      <c r="AA371" s="64">
        <f t="shared" si="354"/>
        <v>0.31</v>
      </c>
      <c r="AB371" s="57">
        <f t="shared" si="355"/>
        <v>5.828</v>
      </c>
      <c r="AC371" s="57">
        <v>80</v>
      </c>
      <c r="AD371" s="65">
        <f t="shared" si="356"/>
        <v>70.7964601769912</v>
      </c>
      <c r="AE371" s="62">
        <f t="shared" si="361"/>
        <v>0.75</v>
      </c>
      <c r="AF371" s="63">
        <f t="shared" si="357"/>
        <v>0.285469597487868</v>
      </c>
      <c r="AG371" s="63">
        <f t="shared" si="358"/>
        <v>0.0030241935483871</v>
      </c>
      <c r="AH371" s="62">
        <v>6</v>
      </c>
      <c r="AI371" s="63">
        <f t="shared" si="359"/>
        <v>0.328597466103579</v>
      </c>
      <c r="AJ371" s="63"/>
      <c r="AK371" s="63"/>
      <c r="AL371" s="63"/>
      <c r="AM371" s="63"/>
      <c r="AN371" s="66"/>
      <c r="AO371" s="66"/>
      <c r="AP371" s="66"/>
      <c r="AQ371" s="66"/>
      <c r="AR371" s="66"/>
      <c r="AS371" s="66"/>
      <c r="AT371" s="66" t="s">
        <v>600</v>
      </c>
      <c r="AU371" s="66" t="s">
        <v>600</v>
      </c>
      <c r="AV371" s="66" t="s">
        <v>600</v>
      </c>
      <c r="AW371" s="66" t="s">
        <v>600</v>
      </c>
      <c r="AX371" s="66" t="s">
        <v>600</v>
      </c>
      <c r="AY371" s="66" t="s">
        <v>600</v>
      </c>
      <c r="AZ371" s="66" t="s">
        <v>600</v>
      </c>
      <c r="BA371" s="66" t="s">
        <v>600</v>
      </c>
      <c r="BB371" s="66" t="s">
        <v>600</v>
      </c>
      <c r="BC371" s="66" t="s">
        <v>600</v>
      </c>
      <c r="BD371" s="66" t="s">
        <v>600</v>
      </c>
      <c r="BE371" s="66" t="s">
        <v>600</v>
      </c>
      <c r="BF371" s="66" t="s">
        <v>600</v>
      </c>
      <c r="BG371" s="66" t="s">
        <v>600</v>
      </c>
      <c r="BH371" s="66" t="s">
        <v>600</v>
      </c>
      <c r="BI371" s="66" t="s">
        <v>600</v>
      </c>
      <c r="BJ371" s="66" t="s">
        <v>600</v>
      </c>
      <c r="BK371" s="66" t="s">
        <v>600</v>
      </c>
      <c r="BL371" s="66" t="s">
        <v>600</v>
      </c>
      <c r="BM371" s="66" t="s">
        <v>600</v>
      </c>
      <c r="BN371" s="66" t="s">
        <v>600</v>
      </c>
      <c r="BO371" s="66" t="s">
        <v>600</v>
      </c>
      <c r="BP371" s="66" t="s">
        <v>600</v>
      </c>
      <c r="BQ371" s="66" t="s">
        <v>600</v>
      </c>
      <c r="BR371" s="164"/>
      <c r="BS371" s="68" t="s">
        <v>601</v>
      </c>
    </row>
    <row r="372" ht="15.6" hidden="1" spans="1:71">
      <c r="A372" s="53" t="s">
        <v>516</v>
      </c>
      <c r="B372" s="53" t="s">
        <v>27</v>
      </c>
      <c r="C372" s="171" t="s">
        <v>116</v>
      </c>
      <c r="D372" s="182" t="s">
        <v>708</v>
      </c>
      <c r="E372" s="179">
        <v>31</v>
      </c>
      <c r="F372" s="56">
        <v>44.99</v>
      </c>
      <c r="G372" s="59">
        <f t="shared" si="341"/>
        <v>40.491</v>
      </c>
      <c r="H372" s="59">
        <f t="shared" si="342"/>
        <v>33.7425</v>
      </c>
      <c r="I372" s="165">
        <f t="shared" si="343"/>
        <v>4.12177581120944</v>
      </c>
      <c r="J372" s="60">
        <f t="shared" si="344"/>
        <v>0.132960510039014</v>
      </c>
      <c r="K372" s="57">
        <f t="shared" si="345"/>
        <v>37.4916666666667</v>
      </c>
      <c r="L372" s="163">
        <f t="shared" si="346"/>
        <v>0.173149588797511</v>
      </c>
      <c r="M372" s="59">
        <f t="shared" si="347"/>
        <v>6.49166666666667</v>
      </c>
      <c r="N372" s="57">
        <f t="shared" si="360"/>
        <v>76.7964601769912</v>
      </c>
      <c r="O372" s="57">
        <f t="shared" si="348"/>
        <v>0.641666666666667</v>
      </c>
      <c r="P372" s="53">
        <v>30</v>
      </c>
      <c r="Q372" s="62">
        <v>8</v>
      </c>
      <c r="R372" s="63">
        <f t="shared" si="349"/>
        <v>0.193548387096774</v>
      </c>
      <c r="S372" s="60">
        <f t="shared" si="350"/>
        <v>0.133362969548789</v>
      </c>
      <c r="T372" s="63">
        <f t="shared" si="351"/>
        <v>0.145129032258065</v>
      </c>
      <c r="U372" s="63">
        <v>0.01</v>
      </c>
      <c r="V372" s="63">
        <f t="shared" si="352"/>
        <v>0.309663145874964</v>
      </c>
      <c r="W372" s="63">
        <f t="shared" si="353"/>
        <v>0.0206989247311828</v>
      </c>
      <c r="X372" s="61">
        <v>0.188</v>
      </c>
      <c r="Y372" s="64">
        <v>6</v>
      </c>
      <c r="Z372" s="64">
        <f>F372*0.1</f>
        <v>4.499</v>
      </c>
      <c r="AA372" s="64">
        <f t="shared" si="354"/>
        <v>0.31</v>
      </c>
      <c r="AB372" s="57">
        <f t="shared" si="355"/>
        <v>5.828</v>
      </c>
      <c r="AC372" s="57">
        <v>80</v>
      </c>
      <c r="AD372" s="65">
        <f t="shared" si="356"/>
        <v>70.7964601769912</v>
      </c>
      <c r="AE372" s="62">
        <f t="shared" si="361"/>
        <v>0.75</v>
      </c>
      <c r="AF372" s="63">
        <f t="shared" si="357"/>
        <v>0.285469597487868</v>
      </c>
      <c r="AG372" s="63">
        <f t="shared" si="358"/>
        <v>0.0030241935483871</v>
      </c>
      <c r="AH372" s="62">
        <v>6</v>
      </c>
      <c r="AI372" s="63">
        <f t="shared" si="359"/>
        <v>0.253997184559532</v>
      </c>
      <c r="AJ372" s="63"/>
      <c r="AK372" s="63"/>
      <c r="AL372" s="63"/>
      <c r="AM372" s="63"/>
      <c r="AN372" s="66"/>
      <c r="AO372" s="66"/>
      <c r="AP372" s="66"/>
      <c r="AQ372" s="66"/>
      <c r="AR372" s="66"/>
      <c r="AS372" s="66"/>
      <c r="AT372" s="66" t="s">
        <v>600</v>
      </c>
      <c r="AU372" s="66" t="s">
        <v>600</v>
      </c>
      <c r="AV372" s="66" t="s">
        <v>600</v>
      </c>
      <c r="AW372" s="66" t="s">
        <v>600</v>
      </c>
      <c r="AX372" s="66" t="s">
        <v>600</v>
      </c>
      <c r="AY372" s="66" t="s">
        <v>600</v>
      </c>
      <c r="AZ372" s="66" t="s">
        <v>600</v>
      </c>
      <c r="BA372" s="66" t="s">
        <v>600</v>
      </c>
      <c r="BB372" s="66" t="s">
        <v>600</v>
      </c>
      <c r="BC372" s="66" t="s">
        <v>600</v>
      </c>
      <c r="BD372" s="66" t="s">
        <v>600</v>
      </c>
      <c r="BE372" s="66" t="s">
        <v>600</v>
      </c>
      <c r="BF372" s="66" t="s">
        <v>600</v>
      </c>
      <c r="BG372" s="66" t="s">
        <v>600</v>
      </c>
      <c r="BH372" s="66" t="s">
        <v>600</v>
      </c>
      <c r="BI372" s="66" t="s">
        <v>600</v>
      </c>
      <c r="BJ372" s="66" t="s">
        <v>600</v>
      </c>
      <c r="BK372" s="66" t="s">
        <v>600</v>
      </c>
      <c r="BL372" s="66" t="s">
        <v>600</v>
      </c>
      <c r="BM372" s="66" t="s">
        <v>600</v>
      </c>
      <c r="BN372" s="66" t="s">
        <v>600</v>
      </c>
      <c r="BO372" s="66" t="s">
        <v>600</v>
      </c>
      <c r="BP372" s="66" t="s">
        <v>600</v>
      </c>
      <c r="BQ372" s="66" t="s">
        <v>600</v>
      </c>
      <c r="BR372" s="164"/>
      <c r="BS372" s="68" t="s">
        <v>601</v>
      </c>
    </row>
    <row r="373" ht="15.6" hidden="1" spans="1:71">
      <c r="A373" s="53" t="s">
        <v>516</v>
      </c>
      <c r="B373" s="53" t="s">
        <v>27</v>
      </c>
      <c r="C373" s="171" t="s">
        <v>116</v>
      </c>
      <c r="D373" s="182" t="s">
        <v>709</v>
      </c>
      <c r="E373" s="179">
        <v>31</v>
      </c>
      <c r="F373" s="56">
        <v>44.99</v>
      </c>
      <c r="G373" s="59">
        <f t="shared" si="341"/>
        <v>38.2415</v>
      </c>
      <c r="H373" s="59">
        <f t="shared" si="342"/>
        <v>31.8679166666667</v>
      </c>
      <c r="I373" s="59">
        <f t="shared" si="343"/>
        <v>1.87227581120944</v>
      </c>
      <c r="J373" s="60">
        <f t="shared" si="344"/>
        <v>0.0603959939099819</v>
      </c>
      <c r="K373" s="57">
        <f t="shared" si="345"/>
        <v>37.4916666666667</v>
      </c>
      <c r="L373" s="163">
        <f t="shared" si="346"/>
        <v>0.173149588797511</v>
      </c>
      <c r="M373" s="59">
        <f t="shared" si="347"/>
        <v>6.49166666666667</v>
      </c>
      <c r="N373" s="57">
        <f t="shared" si="360"/>
        <v>76.7964601769912</v>
      </c>
      <c r="O373" s="57">
        <f t="shared" si="348"/>
        <v>0.641666666666667</v>
      </c>
      <c r="P373" s="53">
        <v>30</v>
      </c>
      <c r="Q373" s="62">
        <v>8</v>
      </c>
      <c r="R373" s="63">
        <f t="shared" si="349"/>
        <v>0.193548387096774</v>
      </c>
      <c r="S373" s="60">
        <f t="shared" si="350"/>
        <v>0.133362969548789</v>
      </c>
      <c r="T373" s="63">
        <f t="shared" si="351"/>
        <v>0.217693548387097</v>
      </c>
      <c r="U373" s="63">
        <v>0.01</v>
      </c>
      <c r="V373" s="63">
        <f t="shared" si="352"/>
        <v>0.309663145874964</v>
      </c>
      <c r="W373" s="63">
        <f t="shared" si="353"/>
        <v>0.0206989247311828</v>
      </c>
      <c r="X373" s="61">
        <v>0.188</v>
      </c>
      <c r="Y373" s="64">
        <v>6</v>
      </c>
      <c r="Z373" s="64">
        <f>F373*0.15</f>
        <v>6.7485</v>
      </c>
      <c r="AA373" s="64">
        <f t="shared" si="354"/>
        <v>0.31</v>
      </c>
      <c r="AB373" s="57">
        <f t="shared" si="355"/>
        <v>5.828</v>
      </c>
      <c r="AC373" s="57">
        <v>80</v>
      </c>
      <c r="AD373" s="65">
        <f t="shared" si="356"/>
        <v>70.7964601769912</v>
      </c>
      <c r="AE373" s="62">
        <f t="shared" si="361"/>
        <v>0.75</v>
      </c>
      <c r="AF373" s="63">
        <f t="shared" si="357"/>
        <v>0.285469597487868</v>
      </c>
      <c r="AG373" s="63">
        <f t="shared" si="358"/>
        <v>0.0030241935483871</v>
      </c>
      <c r="AH373" s="62">
        <v>6</v>
      </c>
      <c r="AI373" s="63">
        <f t="shared" si="359"/>
        <v>0.21011466600421</v>
      </c>
      <c r="AJ373" s="63"/>
      <c r="AK373" s="63"/>
      <c r="AL373" s="63"/>
      <c r="AM373" s="63"/>
      <c r="AN373" s="66"/>
      <c r="AO373" s="66"/>
      <c r="AP373" s="66"/>
      <c r="AQ373" s="66"/>
      <c r="AR373" s="66"/>
      <c r="AS373" s="66"/>
      <c r="AT373" s="66" t="s">
        <v>600</v>
      </c>
      <c r="AU373" s="66" t="s">
        <v>600</v>
      </c>
      <c r="AV373" s="66" t="s">
        <v>600</v>
      </c>
      <c r="AW373" s="66" t="s">
        <v>600</v>
      </c>
      <c r="AX373" s="66" t="s">
        <v>600</v>
      </c>
      <c r="AY373" s="66" t="s">
        <v>600</v>
      </c>
      <c r="AZ373" s="66" t="s">
        <v>600</v>
      </c>
      <c r="BA373" s="66" t="s">
        <v>600</v>
      </c>
      <c r="BB373" s="66" t="s">
        <v>600</v>
      </c>
      <c r="BC373" s="66" t="s">
        <v>600</v>
      </c>
      <c r="BD373" s="66" t="s">
        <v>600</v>
      </c>
      <c r="BE373" s="66" t="s">
        <v>600</v>
      </c>
      <c r="BF373" s="66" t="s">
        <v>600</v>
      </c>
      <c r="BG373" s="66" t="s">
        <v>600</v>
      </c>
      <c r="BH373" s="66" t="s">
        <v>600</v>
      </c>
      <c r="BI373" s="66" t="s">
        <v>600</v>
      </c>
      <c r="BJ373" s="66" t="s">
        <v>600</v>
      </c>
      <c r="BK373" s="66" t="s">
        <v>600</v>
      </c>
      <c r="BL373" s="66" t="s">
        <v>600</v>
      </c>
      <c r="BM373" s="66" t="s">
        <v>600</v>
      </c>
      <c r="BN373" s="66" t="s">
        <v>600</v>
      </c>
      <c r="BO373" s="66" t="s">
        <v>600</v>
      </c>
      <c r="BP373" s="66" t="s">
        <v>600</v>
      </c>
      <c r="BQ373" s="66" t="s">
        <v>600</v>
      </c>
      <c r="BR373" s="164"/>
      <c r="BS373" s="68" t="s">
        <v>601</v>
      </c>
    </row>
    <row r="374" ht="15.6" hidden="1" spans="1:71">
      <c r="A374" s="53" t="s">
        <v>605</v>
      </c>
      <c r="B374" s="53" t="s">
        <v>27</v>
      </c>
      <c r="C374" s="171" t="s">
        <v>116</v>
      </c>
      <c r="D374" s="170" t="s">
        <v>710</v>
      </c>
      <c r="E374" s="179">
        <v>34.5</v>
      </c>
      <c r="F374" s="56">
        <v>49.99</v>
      </c>
      <c r="G374" s="59">
        <f t="shared" si="341"/>
        <v>49.99</v>
      </c>
      <c r="H374" s="59">
        <f t="shared" si="342"/>
        <v>41.6583333333333</v>
      </c>
      <c r="I374" s="59">
        <f t="shared" si="343"/>
        <v>11.5111091445428</v>
      </c>
      <c r="J374" s="60">
        <f t="shared" si="344"/>
        <v>0.333655337522979</v>
      </c>
      <c r="K374" s="57">
        <f t="shared" si="345"/>
        <v>41.6583333333333</v>
      </c>
      <c r="L374" s="163">
        <f t="shared" si="346"/>
        <v>0.171834366873375</v>
      </c>
      <c r="M374" s="59">
        <f t="shared" si="347"/>
        <v>7.15833333333334</v>
      </c>
      <c r="N374" s="57">
        <f t="shared" si="360"/>
        <v>76.7964601769912</v>
      </c>
      <c r="O374" s="57">
        <f t="shared" si="348"/>
        <v>0.558333333333333</v>
      </c>
      <c r="P374" s="53">
        <v>30</v>
      </c>
      <c r="Q374" s="62">
        <v>8</v>
      </c>
      <c r="R374" s="63">
        <f t="shared" si="349"/>
        <v>0.173913043478261</v>
      </c>
      <c r="S374" s="60">
        <f t="shared" si="350"/>
        <v>0.12002400480096</v>
      </c>
      <c r="T374" s="63">
        <f t="shared" si="351"/>
        <v>0</v>
      </c>
      <c r="U374" s="63">
        <v>0.01</v>
      </c>
      <c r="V374" s="63">
        <f t="shared" si="352"/>
        <v>0.278248044119533</v>
      </c>
      <c r="W374" s="63">
        <f t="shared" si="353"/>
        <v>0.0161835748792271</v>
      </c>
      <c r="X374" s="61">
        <v>0.188</v>
      </c>
      <c r="Y374" s="64">
        <v>6</v>
      </c>
      <c r="Z374" s="64">
        <f>F374*0</f>
        <v>0</v>
      </c>
      <c r="AA374" s="64">
        <f t="shared" si="354"/>
        <v>0.345</v>
      </c>
      <c r="AB374" s="57">
        <f t="shared" si="355"/>
        <v>6.486</v>
      </c>
      <c r="AC374" s="57">
        <v>80</v>
      </c>
      <c r="AD374" s="65">
        <f t="shared" si="356"/>
        <v>70.7964601769912</v>
      </c>
      <c r="AE374" s="62">
        <f t="shared" si="361"/>
        <v>0.75</v>
      </c>
      <c r="AF374" s="63">
        <f t="shared" si="357"/>
        <v>0.256508913684751</v>
      </c>
      <c r="AG374" s="63">
        <f t="shared" si="358"/>
        <v>0.00271739130434783</v>
      </c>
      <c r="AH374" s="62">
        <v>6</v>
      </c>
      <c r="AI374" s="63">
        <f t="shared" si="359"/>
        <v>0.32752950590118</v>
      </c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 t="s">
        <v>600</v>
      </c>
      <c r="AU374" s="66" t="s">
        <v>600</v>
      </c>
      <c r="AV374" s="66" t="s">
        <v>600</v>
      </c>
      <c r="AW374" s="66" t="s">
        <v>600</v>
      </c>
      <c r="AX374" s="66" t="s">
        <v>600</v>
      </c>
      <c r="AY374" s="66" t="s">
        <v>600</v>
      </c>
      <c r="AZ374" s="66" t="s">
        <v>600</v>
      </c>
      <c r="BA374" s="66" t="s">
        <v>600</v>
      </c>
      <c r="BB374" s="66" t="s">
        <v>600</v>
      </c>
      <c r="BC374" s="66" t="s">
        <v>600</v>
      </c>
      <c r="BD374" s="66" t="s">
        <v>600</v>
      </c>
      <c r="BE374" s="66" t="s">
        <v>600</v>
      </c>
      <c r="BF374" s="66" t="s">
        <v>600</v>
      </c>
      <c r="BG374" s="66" t="s">
        <v>600</v>
      </c>
      <c r="BH374" s="66" t="s">
        <v>600</v>
      </c>
      <c r="BI374" s="66" t="s">
        <v>600</v>
      </c>
      <c r="BJ374" s="66" t="s">
        <v>600</v>
      </c>
      <c r="BK374" s="66" t="s">
        <v>600</v>
      </c>
      <c r="BL374" s="66" t="s">
        <v>600</v>
      </c>
      <c r="BM374" s="66" t="s">
        <v>600</v>
      </c>
      <c r="BN374" s="66" t="s">
        <v>600</v>
      </c>
      <c r="BO374" s="66" t="s">
        <v>600</v>
      </c>
      <c r="BP374" s="66" t="s">
        <v>600</v>
      </c>
      <c r="BQ374" s="66" t="s">
        <v>600</v>
      </c>
      <c r="BR374" s="70" t="e">
        <f>IF(E374&lt;#REF!,1,0)</f>
        <v>#REF!</v>
      </c>
      <c r="BS374" s="68" t="s">
        <v>601</v>
      </c>
    </row>
    <row r="375" ht="15.6" hidden="1" spans="1:71">
      <c r="A375" s="53" t="s">
        <v>607</v>
      </c>
      <c r="B375" s="53" t="s">
        <v>27</v>
      </c>
      <c r="C375" s="171" t="s">
        <v>116</v>
      </c>
      <c r="D375" s="170" t="s">
        <v>711</v>
      </c>
      <c r="E375" s="179">
        <v>34.5</v>
      </c>
      <c r="F375" s="56">
        <v>49.99</v>
      </c>
      <c r="G375" s="59">
        <f t="shared" si="341"/>
        <v>49.99</v>
      </c>
      <c r="H375" s="59">
        <f t="shared" si="342"/>
        <v>41.6583333333333</v>
      </c>
      <c r="I375" s="59">
        <f t="shared" si="343"/>
        <v>11.6011091445428</v>
      </c>
      <c r="J375" s="60">
        <f t="shared" si="344"/>
        <v>0.336264033175153</v>
      </c>
      <c r="K375" s="57">
        <f t="shared" si="345"/>
        <v>41.6583333333333</v>
      </c>
      <c r="L375" s="163">
        <f t="shared" si="346"/>
        <v>0.171834366873375</v>
      </c>
      <c r="M375" s="59">
        <f t="shared" si="347"/>
        <v>7.15833333333334</v>
      </c>
      <c r="N375" s="57">
        <f t="shared" si="360"/>
        <v>76.7964601769912</v>
      </c>
      <c r="O375" s="57">
        <f t="shared" si="348"/>
        <v>0.468333333333333</v>
      </c>
      <c r="P375" s="53">
        <v>30</v>
      </c>
      <c r="Q375" s="62">
        <v>8</v>
      </c>
      <c r="R375" s="63">
        <f t="shared" si="349"/>
        <v>0.173913043478261</v>
      </c>
      <c r="S375" s="60">
        <f t="shared" si="350"/>
        <v>0.12002400480096</v>
      </c>
      <c r="T375" s="63">
        <f t="shared" si="351"/>
        <v>0</v>
      </c>
      <c r="U375" s="63">
        <v>0.01</v>
      </c>
      <c r="V375" s="63">
        <f t="shared" si="352"/>
        <v>0.278248044119533</v>
      </c>
      <c r="W375" s="63">
        <f t="shared" si="353"/>
        <v>0.0135748792270531</v>
      </c>
      <c r="X375" s="61">
        <v>0.188</v>
      </c>
      <c r="Y375" s="64">
        <v>6</v>
      </c>
      <c r="Z375" s="64">
        <f>F375*0</f>
        <v>0</v>
      </c>
      <c r="AA375" s="64">
        <f t="shared" si="354"/>
        <v>0.345</v>
      </c>
      <c r="AB375" s="57">
        <f t="shared" si="355"/>
        <v>6.486</v>
      </c>
      <c r="AC375" s="57">
        <v>80</v>
      </c>
      <c r="AD375" s="65">
        <f t="shared" si="356"/>
        <v>70.7964601769912</v>
      </c>
      <c r="AE375" s="62">
        <f t="shared" si="361"/>
        <v>0.75</v>
      </c>
      <c r="AF375" s="63">
        <f t="shared" si="357"/>
        <v>0.256508913684751</v>
      </c>
      <c r="AG375" s="63">
        <f t="shared" si="358"/>
        <v>0.00271739130434783</v>
      </c>
      <c r="AH375" s="62">
        <v>6</v>
      </c>
      <c r="AI375" s="63">
        <f t="shared" si="359"/>
        <v>0.32752950590118</v>
      </c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 t="s">
        <v>600</v>
      </c>
      <c r="AU375" s="66" t="s">
        <v>600</v>
      </c>
      <c r="AV375" s="66" t="s">
        <v>600</v>
      </c>
      <c r="AW375" s="66" t="s">
        <v>600</v>
      </c>
      <c r="AX375" s="66" t="s">
        <v>600</v>
      </c>
      <c r="AY375" s="66" t="s">
        <v>600</v>
      </c>
      <c r="AZ375" s="66" t="s">
        <v>600</v>
      </c>
      <c r="BA375" s="66" t="s">
        <v>600</v>
      </c>
      <c r="BB375" s="66" t="s">
        <v>600</v>
      </c>
      <c r="BC375" s="66" t="s">
        <v>600</v>
      </c>
      <c r="BD375" s="66" t="s">
        <v>600</v>
      </c>
      <c r="BE375" s="66" t="s">
        <v>600</v>
      </c>
      <c r="BF375" s="66" t="s">
        <v>600</v>
      </c>
      <c r="BG375" s="66" t="s">
        <v>600</v>
      </c>
      <c r="BH375" s="66" t="s">
        <v>600</v>
      </c>
      <c r="BI375" s="66" t="s">
        <v>600</v>
      </c>
      <c r="BJ375" s="66" t="s">
        <v>600</v>
      </c>
      <c r="BK375" s="66" t="s">
        <v>600</v>
      </c>
      <c r="BL375" s="66" t="s">
        <v>600</v>
      </c>
      <c r="BM375" s="66" t="s">
        <v>600</v>
      </c>
      <c r="BN375" s="66" t="s">
        <v>600</v>
      </c>
      <c r="BO375" s="66" t="s">
        <v>600</v>
      </c>
      <c r="BP375" s="66" t="s">
        <v>600</v>
      </c>
      <c r="BQ375" s="66" t="s">
        <v>600</v>
      </c>
      <c r="BR375" s="70" t="e">
        <f>IF(E375&lt;#REF!,1,0)</f>
        <v>#REF!</v>
      </c>
      <c r="BS375" s="68" t="s">
        <v>601</v>
      </c>
    </row>
    <row r="376" ht="15.6" hidden="1" spans="1:71">
      <c r="A376" s="53" t="s">
        <v>609</v>
      </c>
      <c r="B376" s="53" t="s">
        <v>27</v>
      </c>
      <c r="C376" s="171" t="s">
        <v>116</v>
      </c>
      <c r="D376" s="170" t="s">
        <v>712</v>
      </c>
      <c r="E376" s="179">
        <v>34.5</v>
      </c>
      <c r="F376" s="56">
        <v>49.99</v>
      </c>
      <c r="G376" s="59">
        <f t="shared" si="341"/>
        <v>49.99</v>
      </c>
      <c r="H376" s="59">
        <f t="shared" si="342"/>
        <v>41.6583333333333</v>
      </c>
      <c r="I376" s="59">
        <f t="shared" si="343"/>
        <v>11.4611091445428</v>
      </c>
      <c r="J376" s="60">
        <f t="shared" si="344"/>
        <v>0.33220606216066</v>
      </c>
      <c r="K376" s="57">
        <f t="shared" si="345"/>
        <v>41.6583333333333</v>
      </c>
      <c r="L376" s="163">
        <f t="shared" si="346"/>
        <v>0.171834366873375</v>
      </c>
      <c r="M376" s="59">
        <f t="shared" si="347"/>
        <v>7.15833333333334</v>
      </c>
      <c r="N376" s="57">
        <f t="shared" si="360"/>
        <v>76.7964601769912</v>
      </c>
      <c r="O376" s="57">
        <f t="shared" si="348"/>
        <v>0.608333333333333</v>
      </c>
      <c r="P376" s="53">
        <v>30</v>
      </c>
      <c r="Q376" s="62">
        <v>8</v>
      </c>
      <c r="R376" s="63">
        <f t="shared" si="349"/>
        <v>0.173913043478261</v>
      </c>
      <c r="S376" s="60">
        <f t="shared" si="350"/>
        <v>0.12002400480096</v>
      </c>
      <c r="T376" s="63">
        <f t="shared" si="351"/>
        <v>0</v>
      </c>
      <c r="U376" s="63">
        <v>0.01</v>
      </c>
      <c r="V376" s="63">
        <f t="shared" si="352"/>
        <v>0.278248044119533</v>
      </c>
      <c r="W376" s="63">
        <f t="shared" si="353"/>
        <v>0.0176328502415459</v>
      </c>
      <c r="X376" s="61">
        <v>0.188</v>
      </c>
      <c r="Y376" s="64">
        <v>6</v>
      </c>
      <c r="Z376" s="64">
        <f>F376*0</f>
        <v>0</v>
      </c>
      <c r="AA376" s="64">
        <f t="shared" si="354"/>
        <v>0.345</v>
      </c>
      <c r="AB376" s="57">
        <f t="shared" si="355"/>
        <v>6.486</v>
      </c>
      <c r="AC376" s="57">
        <v>80</v>
      </c>
      <c r="AD376" s="65">
        <f t="shared" si="356"/>
        <v>70.7964601769912</v>
      </c>
      <c r="AE376" s="62">
        <f t="shared" si="361"/>
        <v>0.75</v>
      </c>
      <c r="AF376" s="63">
        <f t="shared" si="357"/>
        <v>0.256508913684751</v>
      </c>
      <c r="AG376" s="63">
        <f t="shared" si="358"/>
        <v>0.00271739130434783</v>
      </c>
      <c r="AH376" s="62">
        <v>6</v>
      </c>
      <c r="AI376" s="63">
        <f t="shared" si="359"/>
        <v>0.32752950590118</v>
      </c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 t="s">
        <v>600</v>
      </c>
      <c r="AU376" s="66" t="s">
        <v>600</v>
      </c>
      <c r="AV376" s="66" t="s">
        <v>600</v>
      </c>
      <c r="AW376" s="66" t="s">
        <v>600</v>
      </c>
      <c r="AX376" s="66" t="s">
        <v>600</v>
      </c>
      <c r="AY376" s="66" t="s">
        <v>600</v>
      </c>
      <c r="AZ376" s="66" t="s">
        <v>600</v>
      </c>
      <c r="BA376" s="66" t="s">
        <v>600</v>
      </c>
      <c r="BB376" s="66" t="s">
        <v>600</v>
      </c>
      <c r="BC376" s="66" t="s">
        <v>600</v>
      </c>
      <c r="BD376" s="66" t="s">
        <v>600</v>
      </c>
      <c r="BE376" s="66" t="s">
        <v>600</v>
      </c>
      <c r="BF376" s="66" t="s">
        <v>600</v>
      </c>
      <c r="BG376" s="66" t="s">
        <v>600</v>
      </c>
      <c r="BH376" s="66" t="s">
        <v>600</v>
      </c>
      <c r="BI376" s="66" t="s">
        <v>600</v>
      </c>
      <c r="BJ376" s="66" t="s">
        <v>600</v>
      </c>
      <c r="BK376" s="66" t="s">
        <v>600</v>
      </c>
      <c r="BL376" s="66" t="s">
        <v>600</v>
      </c>
      <c r="BM376" s="66" t="s">
        <v>600</v>
      </c>
      <c r="BN376" s="66" t="s">
        <v>600</v>
      </c>
      <c r="BO376" s="66" t="s">
        <v>600</v>
      </c>
      <c r="BP376" s="66" t="s">
        <v>600</v>
      </c>
      <c r="BQ376" s="66" t="s">
        <v>600</v>
      </c>
      <c r="BR376" s="70" t="e">
        <f>IF(E376&lt;#REF!,1,0)</f>
        <v>#REF!</v>
      </c>
      <c r="BS376" s="68" t="s">
        <v>601</v>
      </c>
    </row>
    <row r="377" ht="15.6" hidden="1" spans="1:71">
      <c r="A377" s="53" t="s">
        <v>611</v>
      </c>
      <c r="B377" s="53" t="s">
        <v>27</v>
      </c>
      <c r="C377" s="171" t="s">
        <v>116</v>
      </c>
      <c r="D377" s="170" t="s">
        <v>713</v>
      </c>
      <c r="E377" s="179">
        <v>34.5</v>
      </c>
      <c r="F377" s="56">
        <v>49.99</v>
      </c>
      <c r="G377" s="59">
        <f t="shared" si="341"/>
        <v>49.99</v>
      </c>
      <c r="H377" s="59">
        <f t="shared" si="342"/>
        <v>41.6583333333333</v>
      </c>
      <c r="I377" s="59">
        <f t="shared" si="343"/>
        <v>11.5944424778761</v>
      </c>
      <c r="J377" s="60">
        <f t="shared" si="344"/>
        <v>0.336070796460177</v>
      </c>
      <c r="K377" s="57">
        <f t="shared" si="345"/>
        <v>41.6583333333333</v>
      </c>
      <c r="L377" s="163">
        <f t="shared" si="346"/>
        <v>0.171834366873375</v>
      </c>
      <c r="M377" s="59">
        <f t="shared" si="347"/>
        <v>7.15833333333334</v>
      </c>
      <c r="N377" s="57">
        <f t="shared" si="360"/>
        <v>76.7964601769912</v>
      </c>
      <c r="O377" s="57">
        <f t="shared" si="348"/>
        <v>0.475</v>
      </c>
      <c r="P377" s="53">
        <v>30</v>
      </c>
      <c r="Q377" s="62">
        <v>8</v>
      </c>
      <c r="R377" s="63">
        <f t="shared" si="349"/>
        <v>0.173913043478261</v>
      </c>
      <c r="S377" s="60">
        <f t="shared" si="350"/>
        <v>0.12002400480096</v>
      </c>
      <c r="T377" s="63">
        <f t="shared" si="351"/>
        <v>0</v>
      </c>
      <c r="U377" s="63">
        <v>0.01</v>
      </c>
      <c r="V377" s="63">
        <f t="shared" si="352"/>
        <v>0.278248044119533</v>
      </c>
      <c r="W377" s="63">
        <f t="shared" si="353"/>
        <v>0.013768115942029</v>
      </c>
      <c r="X377" s="61">
        <v>0.188</v>
      </c>
      <c r="Y377" s="64">
        <v>6</v>
      </c>
      <c r="Z377" s="64">
        <f>F377*0</f>
        <v>0</v>
      </c>
      <c r="AA377" s="64">
        <f t="shared" si="354"/>
        <v>0.345</v>
      </c>
      <c r="AB377" s="57">
        <f t="shared" si="355"/>
        <v>6.486</v>
      </c>
      <c r="AC377" s="57">
        <v>80</v>
      </c>
      <c r="AD377" s="65">
        <f t="shared" si="356"/>
        <v>70.7964601769912</v>
      </c>
      <c r="AE377" s="62">
        <f t="shared" si="361"/>
        <v>0.75</v>
      </c>
      <c r="AF377" s="63">
        <f t="shared" si="357"/>
        <v>0.256508913684751</v>
      </c>
      <c r="AG377" s="63">
        <f t="shared" si="358"/>
        <v>0.00271739130434783</v>
      </c>
      <c r="AH377" s="62">
        <v>6</v>
      </c>
      <c r="AI377" s="63">
        <f t="shared" si="359"/>
        <v>0.32752950590118</v>
      </c>
      <c r="AJ377" s="63"/>
      <c r="AK377" s="63"/>
      <c r="AL377" s="63"/>
      <c r="AM377" s="63"/>
      <c r="AN377" s="66"/>
      <c r="AO377" s="66"/>
      <c r="AP377" s="66"/>
      <c r="AQ377" s="66"/>
      <c r="AR377" s="66"/>
      <c r="AS377" s="66"/>
      <c r="AT377" s="66" t="s">
        <v>600</v>
      </c>
      <c r="AU377" s="66" t="s">
        <v>600</v>
      </c>
      <c r="AV377" s="66" t="s">
        <v>600</v>
      </c>
      <c r="AW377" s="66" t="s">
        <v>600</v>
      </c>
      <c r="AX377" s="66" t="s">
        <v>600</v>
      </c>
      <c r="AY377" s="66" t="s">
        <v>600</v>
      </c>
      <c r="AZ377" s="66" t="s">
        <v>600</v>
      </c>
      <c r="BA377" s="66" t="s">
        <v>600</v>
      </c>
      <c r="BB377" s="66" t="s">
        <v>600</v>
      </c>
      <c r="BC377" s="66" t="s">
        <v>600</v>
      </c>
      <c r="BD377" s="66" t="s">
        <v>600</v>
      </c>
      <c r="BE377" s="66" t="s">
        <v>600</v>
      </c>
      <c r="BF377" s="66" t="s">
        <v>600</v>
      </c>
      <c r="BG377" s="66" t="s">
        <v>600</v>
      </c>
      <c r="BH377" s="66" t="s">
        <v>600</v>
      </c>
      <c r="BI377" s="66" t="s">
        <v>600</v>
      </c>
      <c r="BJ377" s="66" t="s">
        <v>600</v>
      </c>
      <c r="BK377" s="66" t="s">
        <v>600</v>
      </c>
      <c r="BL377" s="66" t="s">
        <v>600</v>
      </c>
      <c r="BM377" s="66" t="s">
        <v>600</v>
      </c>
      <c r="BN377" s="66" t="s">
        <v>600</v>
      </c>
      <c r="BO377" s="66" t="s">
        <v>600</v>
      </c>
      <c r="BP377" s="66" t="s">
        <v>600</v>
      </c>
      <c r="BQ377" s="66" t="s">
        <v>600</v>
      </c>
      <c r="BR377" s="70" t="e">
        <f>IF(E377&lt;#REF!,1,0)</f>
        <v>#REF!</v>
      </c>
      <c r="BS377" s="68" t="s">
        <v>601</v>
      </c>
    </row>
    <row r="379" ht="15.6" hidden="1" spans="1:71">
      <c r="A379" s="68" t="s">
        <v>300</v>
      </c>
      <c r="B379" s="53" t="s">
        <v>27</v>
      </c>
      <c r="C379" s="175" t="s">
        <v>118</v>
      </c>
      <c r="D379" s="182" t="s">
        <v>714</v>
      </c>
      <c r="E379" s="179">
        <v>27.6</v>
      </c>
      <c r="F379" s="167">
        <v>39.99</v>
      </c>
      <c r="G379" s="59">
        <f t="shared" ref="G379:G397" si="362">(F379-Z379)</f>
        <v>39.99</v>
      </c>
      <c r="H379" s="59">
        <f t="shared" ref="H379:H397" si="363">(F379-Z379)/1.2</f>
        <v>33.325</v>
      </c>
      <c r="I379" s="59">
        <f t="shared" ref="I379:I397" si="364">E379-N379/Q379-AB379-Y379-O379-Z379-AA379</f>
        <v>7.37442025565389</v>
      </c>
      <c r="J379" s="60">
        <f t="shared" ref="J379:J397" si="365">I379/E379</f>
        <v>0.267189139697605</v>
      </c>
      <c r="K379" s="57">
        <f t="shared" ref="K379:K397" si="366">F379/1.2</f>
        <v>33.325</v>
      </c>
      <c r="L379" s="163">
        <f t="shared" ref="L379:L397" si="367">(K379-E379)/K379</f>
        <v>0.171792948237059</v>
      </c>
      <c r="M379" s="59">
        <f t="shared" ref="M379:M397" si="368">F379/1.2-E379</f>
        <v>5.725</v>
      </c>
      <c r="N379" s="57">
        <f>AD379+AH380</f>
        <v>87.646017699115</v>
      </c>
      <c r="O379" s="57">
        <f t="shared" ref="O379:O397" si="369">IFERROR(IF(A379="UK",8.95/P379,IF(A379="DE",7.75/P379,IF(A379="FR",14.25/P379,IF(A379="IT",15.25/P379,IF(A379="ES",19.25/P379,IF(A379="NL",16.75/P379,IF(A379="PL",14.05/P379,IF(A379="SE",18.25/P379,IF(A379="BE",14.25/P379))))))))),0)</f>
        <v>0.298333333333333</v>
      </c>
      <c r="P379" s="53">
        <v>30</v>
      </c>
      <c r="Q379" s="62">
        <v>9</v>
      </c>
      <c r="R379" s="63">
        <f t="shared" ref="R379:R397" si="370">Y379/E379</f>
        <v>0.181159420289855</v>
      </c>
      <c r="S379" s="60">
        <f t="shared" ref="S379:S397" si="371">Y379/F379</f>
        <v>0.125031257814454</v>
      </c>
      <c r="T379" s="63">
        <f t="shared" ref="T379:T397" si="372">Z379/E379</f>
        <v>0</v>
      </c>
      <c r="U379" s="63">
        <v>0.01</v>
      </c>
      <c r="V379" s="63">
        <f t="shared" ref="V379:V397" si="373">N379/(E379*Q379)</f>
        <v>0.352842261268579</v>
      </c>
      <c r="W379" s="63">
        <f t="shared" ref="W379:W397" si="374">O379/E379</f>
        <v>0.0108091787439613</v>
      </c>
      <c r="X379" s="61">
        <v>0.178</v>
      </c>
      <c r="Y379" s="64">
        <v>5</v>
      </c>
      <c r="Z379" s="64">
        <v>0</v>
      </c>
      <c r="AA379" s="64">
        <f t="shared" ref="AA379:AA397" si="375">E379*U379</f>
        <v>0.276</v>
      </c>
      <c r="AB379" s="57">
        <f t="shared" ref="AB379:AB397" si="376">E379*X379</f>
        <v>4.9128</v>
      </c>
      <c r="AC379" s="57">
        <v>90</v>
      </c>
      <c r="AD379" s="65">
        <f t="shared" ref="AD379:AD397" si="377">AC379/1.13</f>
        <v>79.646017699115</v>
      </c>
      <c r="AE379" s="62">
        <f>AH380/Q379</f>
        <v>0.888888888888889</v>
      </c>
      <c r="AF379" s="63">
        <f t="shared" ref="AF379:AF397" si="378">AD379/(E379*Q379)</f>
        <v>0.320636142105938</v>
      </c>
      <c r="AG379" s="63">
        <f t="shared" ref="AG379:AG397" si="379">AE379/Q379/E379</f>
        <v>0.00357845768473788</v>
      </c>
      <c r="AH379" s="62">
        <v>8</v>
      </c>
      <c r="AI379" s="63">
        <f t="shared" ref="AI379:AI397" si="380">(H379-E379+AB379)/H379</f>
        <v>0.319213803450863</v>
      </c>
      <c r="AJ379" s="63"/>
      <c r="AK379" s="63"/>
      <c r="AL379" s="63"/>
      <c r="AM379" s="63"/>
      <c r="AN379" s="66"/>
      <c r="AO379" s="66"/>
      <c r="AP379" s="66"/>
      <c r="AQ379" s="66"/>
      <c r="AR379" s="66"/>
      <c r="AS379" s="66"/>
      <c r="AT379" s="66" t="s">
        <v>600</v>
      </c>
      <c r="AU379" s="66" t="s">
        <v>600</v>
      </c>
      <c r="AV379" s="66" t="s">
        <v>600</v>
      </c>
      <c r="AW379" s="66" t="s">
        <v>600</v>
      </c>
      <c r="AX379" s="66" t="s">
        <v>600</v>
      </c>
      <c r="AY379" s="66" t="s">
        <v>600</v>
      </c>
      <c r="AZ379" s="66" t="s">
        <v>600</v>
      </c>
      <c r="BA379" s="66" t="s">
        <v>600</v>
      </c>
      <c r="BB379" s="66" t="s">
        <v>600</v>
      </c>
      <c r="BC379" s="66" t="s">
        <v>600</v>
      </c>
      <c r="BD379" s="66" t="s">
        <v>600</v>
      </c>
      <c r="BE379" s="66" t="s">
        <v>600</v>
      </c>
      <c r="BF379" s="66" t="s">
        <v>600</v>
      </c>
      <c r="BG379" s="66" t="s">
        <v>600</v>
      </c>
      <c r="BH379" s="66" t="s">
        <v>600</v>
      </c>
      <c r="BI379" s="66" t="s">
        <v>600</v>
      </c>
      <c r="BJ379" s="66" t="s">
        <v>600</v>
      </c>
      <c r="BK379" s="66" t="s">
        <v>600</v>
      </c>
      <c r="BL379" s="66" t="s">
        <v>600</v>
      </c>
      <c r="BM379" s="66" t="s">
        <v>600</v>
      </c>
      <c r="BN379" s="66" t="s">
        <v>600</v>
      </c>
      <c r="BO379" s="66" t="s">
        <v>600</v>
      </c>
      <c r="BP379" s="66" t="s">
        <v>600</v>
      </c>
      <c r="BQ379" s="66" t="s">
        <v>600</v>
      </c>
      <c r="BR379" s="164"/>
      <c r="BS379" s="68" t="s">
        <v>601</v>
      </c>
    </row>
    <row r="380" ht="15.6" hidden="1" spans="1:71">
      <c r="A380" s="68" t="s">
        <v>300</v>
      </c>
      <c r="B380" s="53" t="s">
        <v>27</v>
      </c>
      <c r="C380" s="171" t="s">
        <v>118</v>
      </c>
      <c r="D380" s="182" t="s">
        <v>715</v>
      </c>
      <c r="E380" s="179">
        <v>27.6</v>
      </c>
      <c r="F380" s="56">
        <v>39.99</v>
      </c>
      <c r="G380" s="59">
        <f t="shared" si="362"/>
        <v>35.991</v>
      </c>
      <c r="H380" s="59">
        <f t="shared" si="363"/>
        <v>29.9925</v>
      </c>
      <c r="I380" s="165">
        <f t="shared" si="364"/>
        <v>3.37542025565389</v>
      </c>
      <c r="J380" s="60">
        <f t="shared" si="365"/>
        <v>0.122297835349778</v>
      </c>
      <c r="K380" s="57">
        <f t="shared" si="366"/>
        <v>33.325</v>
      </c>
      <c r="L380" s="163">
        <f t="shared" si="367"/>
        <v>0.171792948237059</v>
      </c>
      <c r="M380" s="59">
        <f t="shared" si="368"/>
        <v>5.725</v>
      </c>
      <c r="N380" s="57">
        <f>AD380+AH380</f>
        <v>87.646017699115</v>
      </c>
      <c r="O380" s="57">
        <f t="shared" si="369"/>
        <v>0.298333333333333</v>
      </c>
      <c r="P380" s="53">
        <v>30</v>
      </c>
      <c r="Q380" s="62">
        <v>9</v>
      </c>
      <c r="R380" s="63">
        <f t="shared" si="370"/>
        <v>0.181159420289855</v>
      </c>
      <c r="S380" s="60">
        <f t="shared" si="371"/>
        <v>0.125031257814454</v>
      </c>
      <c r="T380" s="63">
        <f t="shared" si="372"/>
        <v>0.144891304347826</v>
      </c>
      <c r="U380" s="63">
        <v>0.01</v>
      </c>
      <c r="V380" s="63">
        <f t="shared" si="373"/>
        <v>0.352842261268579</v>
      </c>
      <c r="W380" s="63">
        <f t="shared" si="374"/>
        <v>0.0108091787439613</v>
      </c>
      <c r="X380" s="61">
        <v>0.178</v>
      </c>
      <c r="Y380" s="64">
        <v>5</v>
      </c>
      <c r="Z380" s="64">
        <f>F380*0.1</f>
        <v>3.999</v>
      </c>
      <c r="AA380" s="64">
        <f t="shared" si="375"/>
        <v>0.276</v>
      </c>
      <c r="AB380" s="57">
        <f t="shared" si="376"/>
        <v>4.9128</v>
      </c>
      <c r="AC380" s="57">
        <v>90</v>
      </c>
      <c r="AD380" s="65">
        <f t="shared" si="377"/>
        <v>79.646017699115</v>
      </c>
      <c r="AE380" s="62">
        <f>AH380/Q380</f>
        <v>0.888888888888889</v>
      </c>
      <c r="AF380" s="63">
        <f t="shared" si="378"/>
        <v>0.320636142105938</v>
      </c>
      <c r="AG380" s="63">
        <f t="shared" si="379"/>
        <v>0.00357845768473788</v>
      </c>
      <c r="AH380" s="62">
        <v>8</v>
      </c>
      <c r="AI380" s="63">
        <f t="shared" si="380"/>
        <v>0.243570892723181</v>
      </c>
      <c r="AJ380" s="63"/>
      <c r="AK380" s="63"/>
      <c r="AL380" s="63"/>
      <c r="AM380" s="63"/>
      <c r="AN380" s="66"/>
      <c r="AO380" s="66"/>
      <c r="AP380" s="66"/>
      <c r="AQ380" s="66"/>
      <c r="AR380" s="66"/>
      <c r="AS380" s="66"/>
      <c r="AT380" s="66" t="s">
        <v>600</v>
      </c>
      <c r="AU380" s="66" t="s">
        <v>600</v>
      </c>
      <c r="AV380" s="66" t="s">
        <v>600</v>
      </c>
      <c r="AW380" s="66" t="s">
        <v>600</v>
      </c>
      <c r="AX380" s="66" t="s">
        <v>600</v>
      </c>
      <c r="AY380" s="66" t="s">
        <v>600</v>
      </c>
      <c r="AZ380" s="66" t="s">
        <v>600</v>
      </c>
      <c r="BA380" s="66" t="s">
        <v>600</v>
      </c>
      <c r="BB380" s="66" t="s">
        <v>600</v>
      </c>
      <c r="BC380" s="66" t="s">
        <v>600</v>
      </c>
      <c r="BD380" s="66" t="s">
        <v>600</v>
      </c>
      <c r="BE380" s="66" t="s">
        <v>600</v>
      </c>
      <c r="BF380" s="66" t="s">
        <v>600</v>
      </c>
      <c r="BG380" s="66" t="s">
        <v>600</v>
      </c>
      <c r="BH380" s="66" t="s">
        <v>600</v>
      </c>
      <c r="BI380" s="66" t="s">
        <v>600</v>
      </c>
      <c r="BJ380" s="66" t="s">
        <v>600</v>
      </c>
      <c r="BK380" s="66" t="s">
        <v>600</v>
      </c>
      <c r="BL380" s="66" t="s">
        <v>600</v>
      </c>
      <c r="BM380" s="66" t="s">
        <v>600</v>
      </c>
      <c r="BN380" s="66" t="s">
        <v>600</v>
      </c>
      <c r="BO380" s="66" t="s">
        <v>600</v>
      </c>
      <c r="BP380" s="66" t="s">
        <v>600</v>
      </c>
      <c r="BQ380" s="66" t="s">
        <v>600</v>
      </c>
      <c r="BR380" s="164"/>
      <c r="BS380" s="68" t="s">
        <v>601</v>
      </c>
    </row>
    <row r="381" ht="15.6" hidden="1" spans="1:71">
      <c r="A381" s="68" t="s">
        <v>300</v>
      </c>
      <c r="B381" s="53" t="s">
        <v>27</v>
      </c>
      <c r="C381" s="171" t="s">
        <v>118</v>
      </c>
      <c r="D381" s="182" t="s">
        <v>716</v>
      </c>
      <c r="E381" s="179">
        <v>27.6</v>
      </c>
      <c r="F381" s="56">
        <v>39.99</v>
      </c>
      <c r="G381" s="59">
        <f t="shared" si="362"/>
        <v>33.9915</v>
      </c>
      <c r="H381" s="59">
        <f t="shared" si="363"/>
        <v>28.32625</v>
      </c>
      <c r="I381" s="59">
        <f t="shared" si="364"/>
        <v>1.37592025565389</v>
      </c>
      <c r="J381" s="60">
        <f t="shared" si="365"/>
        <v>0.0498521831758655</v>
      </c>
      <c r="K381" s="57">
        <f t="shared" si="366"/>
        <v>33.325</v>
      </c>
      <c r="L381" s="163">
        <f t="shared" si="367"/>
        <v>0.171792948237059</v>
      </c>
      <c r="M381" s="59">
        <f t="shared" si="368"/>
        <v>5.725</v>
      </c>
      <c r="N381" s="57">
        <f>AD381+AH381</f>
        <v>87.646017699115</v>
      </c>
      <c r="O381" s="57">
        <f t="shared" si="369"/>
        <v>0.298333333333333</v>
      </c>
      <c r="P381" s="53">
        <v>30</v>
      </c>
      <c r="Q381" s="62">
        <v>9</v>
      </c>
      <c r="R381" s="63">
        <f t="shared" si="370"/>
        <v>0.181159420289855</v>
      </c>
      <c r="S381" s="60">
        <f t="shared" si="371"/>
        <v>0.125031257814454</v>
      </c>
      <c r="T381" s="63">
        <f t="shared" si="372"/>
        <v>0.217336956521739</v>
      </c>
      <c r="U381" s="63">
        <v>0.01</v>
      </c>
      <c r="V381" s="63">
        <f t="shared" si="373"/>
        <v>0.352842261268579</v>
      </c>
      <c r="W381" s="63">
        <f t="shared" si="374"/>
        <v>0.0108091787439613</v>
      </c>
      <c r="X381" s="61">
        <v>0.178</v>
      </c>
      <c r="Y381" s="64">
        <v>5</v>
      </c>
      <c r="Z381" s="64">
        <f>F381*0.15</f>
        <v>5.9985</v>
      </c>
      <c r="AA381" s="64">
        <f t="shared" si="375"/>
        <v>0.276</v>
      </c>
      <c r="AB381" s="57">
        <f t="shared" si="376"/>
        <v>4.9128</v>
      </c>
      <c r="AC381" s="57">
        <v>90</v>
      </c>
      <c r="AD381" s="65">
        <f t="shared" si="377"/>
        <v>79.646017699115</v>
      </c>
      <c r="AE381" s="62">
        <f>AH381/Q381</f>
        <v>0.888888888888889</v>
      </c>
      <c r="AF381" s="63">
        <f t="shared" si="378"/>
        <v>0.320636142105938</v>
      </c>
      <c r="AG381" s="63">
        <f t="shared" si="379"/>
        <v>0.00357845768473788</v>
      </c>
      <c r="AH381" s="62">
        <v>8</v>
      </c>
      <c r="AI381" s="63">
        <f t="shared" si="380"/>
        <v>0.199075062883368</v>
      </c>
      <c r="AJ381" s="63"/>
      <c r="AK381" s="63"/>
      <c r="AL381" s="63"/>
      <c r="AM381" s="63"/>
      <c r="AN381" s="66"/>
      <c r="AO381" s="66"/>
      <c r="AP381" s="66"/>
      <c r="AQ381" s="66"/>
      <c r="AR381" s="66"/>
      <c r="AS381" s="66"/>
      <c r="AT381" s="66" t="s">
        <v>600</v>
      </c>
      <c r="AU381" s="66" t="s">
        <v>600</v>
      </c>
      <c r="AV381" s="66" t="s">
        <v>600</v>
      </c>
      <c r="AW381" s="66" t="s">
        <v>600</v>
      </c>
      <c r="AX381" s="66" t="s">
        <v>600</v>
      </c>
      <c r="AY381" s="66" t="s">
        <v>600</v>
      </c>
      <c r="AZ381" s="66" t="s">
        <v>600</v>
      </c>
      <c r="BA381" s="66" t="s">
        <v>600</v>
      </c>
      <c r="BB381" s="66" t="s">
        <v>600</v>
      </c>
      <c r="BC381" s="66" t="s">
        <v>600</v>
      </c>
      <c r="BD381" s="66" t="s">
        <v>600</v>
      </c>
      <c r="BE381" s="66" t="s">
        <v>600</v>
      </c>
      <c r="BF381" s="66" t="s">
        <v>600</v>
      </c>
      <c r="BG381" s="66" t="s">
        <v>600</v>
      </c>
      <c r="BH381" s="66" t="s">
        <v>600</v>
      </c>
      <c r="BI381" s="66" t="s">
        <v>600</v>
      </c>
      <c r="BJ381" s="66" t="s">
        <v>600</v>
      </c>
      <c r="BK381" s="66" t="s">
        <v>600</v>
      </c>
      <c r="BL381" s="66" t="s">
        <v>600</v>
      </c>
      <c r="BM381" s="66" t="s">
        <v>600</v>
      </c>
      <c r="BN381" s="66" t="s">
        <v>600</v>
      </c>
      <c r="BO381" s="66" t="s">
        <v>600</v>
      </c>
      <c r="BP381" s="66" t="s">
        <v>600</v>
      </c>
      <c r="BQ381" s="66" t="s">
        <v>600</v>
      </c>
      <c r="BR381" s="164"/>
      <c r="BS381" s="68" t="s">
        <v>601</v>
      </c>
    </row>
    <row r="382" ht="15.6" hidden="1" spans="1:71">
      <c r="A382" s="53" t="s">
        <v>277</v>
      </c>
      <c r="B382" s="53" t="s">
        <v>27</v>
      </c>
      <c r="C382" s="171" t="s">
        <v>118</v>
      </c>
      <c r="D382" s="182" t="s">
        <v>714</v>
      </c>
      <c r="E382" s="179">
        <v>31</v>
      </c>
      <c r="F382" s="167">
        <v>44.99</v>
      </c>
      <c r="G382" s="59">
        <f t="shared" si="362"/>
        <v>44.99</v>
      </c>
      <c r="H382" s="59">
        <f t="shared" si="363"/>
        <v>37.4916666666667</v>
      </c>
      <c r="I382" s="59">
        <f t="shared" si="364"/>
        <v>8.64791445427729</v>
      </c>
      <c r="J382" s="60">
        <f t="shared" si="365"/>
        <v>0.278964982396042</v>
      </c>
      <c r="K382" s="57">
        <f t="shared" si="366"/>
        <v>37.4916666666667</v>
      </c>
      <c r="L382" s="163">
        <f t="shared" si="367"/>
        <v>0.173149588797511</v>
      </c>
      <c r="M382" s="59">
        <f t="shared" si="368"/>
        <v>6.49166666666667</v>
      </c>
      <c r="N382" s="57">
        <f>AD382+AH383</f>
        <v>87.646017699115</v>
      </c>
      <c r="O382" s="57">
        <f t="shared" si="369"/>
        <v>0.258333333333333</v>
      </c>
      <c r="P382" s="53">
        <v>30</v>
      </c>
      <c r="Q382" s="62">
        <v>8</v>
      </c>
      <c r="R382" s="63">
        <f t="shared" si="370"/>
        <v>0.161290322580645</v>
      </c>
      <c r="S382" s="60">
        <f t="shared" si="371"/>
        <v>0.111135807957324</v>
      </c>
      <c r="T382" s="63">
        <f t="shared" si="372"/>
        <v>0</v>
      </c>
      <c r="U382" s="63">
        <v>0.01</v>
      </c>
      <c r="V382" s="63">
        <f t="shared" si="373"/>
        <v>0.35341136168998</v>
      </c>
      <c r="W382" s="63">
        <f t="shared" si="374"/>
        <v>0.00833333333333333</v>
      </c>
      <c r="X382" s="61">
        <v>0.188</v>
      </c>
      <c r="Y382" s="64">
        <v>5</v>
      </c>
      <c r="Z382" s="64">
        <v>0</v>
      </c>
      <c r="AA382" s="64">
        <f t="shared" si="375"/>
        <v>0.31</v>
      </c>
      <c r="AB382" s="57">
        <f t="shared" si="376"/>
        <v>5.828</v>
      </c>
      <c r="AC382" s="57">
        <v>90</v>
      </c>
      <c r="AD382" s="65">
        <f t="shared" si="377"/>
        <v>79.646017699115</v>
      </c>
      <c r="AE382" s="62">
        <f>AH383/Q382</f>
        <v>1</v>
      </c>
      <c r="AF382" s="63">
        <f t="shared" si="378"/>
        <v>0.321153297173851</v>
      </c>
      <c r="AG382" s="63">
        <f t="shared" si="379"/>
        <v>0.00403225806451613</v>
      </c>
      <c r="AH382" s="62">
        <v>8</v>
      </c>
      <c r="AI382" s="63">
        <f t="shared" si="380"/>
        <v>0.328597466103579</v>
      </c>
      <c r="AJ382" s="63"/>
      <c r="AK382" s="63"/>
      <c r="AL382" s="63"/>
      <c r="AM382" s="63"/>
      <c r="AN382" s="66"/>
      <c r="AO382" s="66"/>
      <c r="AP382" s="66"/>
      <c r="AQ382" s="66"/>
      <c r="AR382" s="66"/>
      <c r="AS382" s="66"/>
      <c r="AT382" s="66" t="s">
        <v>600</v>
      </c>
      <c r="AU382" s="66" t="s">
        <v>600</v>
      </c>
      <c r="AV382" s="66" t="s">
        <v>600</v>
      </c>
      <c r="AW382" s="66" t="s">
        <v>600</v>
      </c>
      <c r="AX382" s="66" t="s">
        <v>600</v>
      </c>
      <c r="AY382" s="66" t="s">
        <v>600</v>
      </c>
      <c r="AZ382" s="66" t="s">
        <v>600</v>
      </c>
      <c r="BA382" s="66" t="s">
        <v>600</v>
      </c>
      <c r="BB382" s="66" t="s">
        <v>600</v>
      </c>
      <c r="BC382" s="66" t="s">
        <v>600</v>
      </c>
      <c r="BD382" s="66" t="s">
        <v>600</v>
      </c>
      <c r="BE382" s="66" t="s">
        <v>600</v>
      </c>
      <c r="BF382" s="66" t="s">
        <v>600</v>
      </c>
      <c r="BG382" s="66" t="s">
        <v>600</v>
      </c>
      <c r="BH382" s="66" t="s">
        <v>600</v>
      </c>
      <c r="BI382" s="66" t="s">
        <v>600</v>
      </c>
      <c r="BJ382" s="66" t="s">
        <v>600</v>
      </c>
      <c r="BK382" s="66" t="s">
        <v>600</v>
      </c>
      <c r="BL382" s="66" t="s">
        <v>600</v>
      </c>
      <c r="BM382" s="66" t="s">
        <v>600</v>
      </c>
      <c r="BN382" s="66" t="s">
        <v>600</v>
      </c>
      <c r="BO382" s="66" t="s">
        <v>600</v>
      </c>
      <c r="BP382" s="66" t="s">
        <v>600</v>
      </c>
      <c r="BQ382" s="66" t="s">
        <v>600</v>
      </c>
      <c r="BR382" s="164"/>
      <c r="BS382" s="68" t="s">
        <v>601</v>
      </c>
    </row>
    <row r="383" ht="15.6" hidden="1" spans="1:71">
      <c r="A383" s="53" t="s">
        <v>277</v>
      </c>
      <c r="B383" s="53" t="s">
        <v>27</v>
      </c>
      <c r="C383" s="171" t="s">
        <v>118</v>
      </c>
      <c r="D383" s="182" t="s">
        <v>715</v>
      </c>
      <c r="E383" s="179">
        <v>31</v>
      </c>
      <c r="F383" s="56">
        <v>44.99</v>
      </c>
      <c r="G383" s="59">
        <f t="shared" si="362"/>
        <v>40.491</v>
      </c>
      <c r="H383" s="59">
        <f t="shared" si="363"/>
        <v>33.7425</v>
      </c>
      <c r="I383" s="165">
        <f t="shared" si="364"/>
        <v>4.14891445427729</v>
      </c>
      <c r="J383" s="60">
        <f t="shared" si="365"/>
        <v>0.133835950137977</v>
      </c>
      <c r="K383" s="57">
        <f t="shared" si="366"/>
        <v>37.4916666666667</v>
      </c>
      <c r="L383" s="163">
        <f t="shared" si="367"/>
        <v>0.173149588797511</v>
      </c>
      <c r="M383" s="59">
        <f t="shared" si="368"/>
        <v>6.49166666666667</v>
      </c>
      <c r="N383" s="57">
        <f t="shared" ref="N383:N397" si="381">AD383+AH383</f>
        <v>87.646017699115</v>
      </c>
      <c r="O383" s="57">
        <f t="shared" si="369"/>
        <v>0.258333333333333</v>
      </c>
      <c r="P383" s="53">
        <v>30</v>
      </c>
      <c r="Q383" s="62">
        <v>8</v>
      </c>
      <c r="R383" s="63">
        <f t="shared" si="370"/>
        <v>0.161290322580645</v>
      </c>
      <c r="S383" s="60">
        <f t="shared" si="371"/>
        <v>0.111135807957324</v>
      </c>
      <c r="T383" s="63">
        <f t="shared" si="372"/>
        <v>0.145129032258065</v>
      </c>
      <c r="U383" s="63">
        <v>0.01</v>
      </c>
      <c r="V383" s="63">
        <f t="shared" si="373"/>
        <v>0.35341136168998</v>
      </c>
      <c r="W383" s="63">
        <f t="shared" si="374"/>
        <v>0.00833333333333333</v>
      </c>
      <c r="X383" s="61">
        <v>0.188</v>
      </c>
      <c r="Y383" s="64">
        <v>5</v>
      </c>
      <c r="Z383" s="64">
        <f>F383*0.1</f>
        <v>4.499</v>
      </c>
      <c r="AA383" s="64">
        <f t="shared" si="375"/>
        <v>0.31</v>
      </c>
      <c r="AB383" s="57">
        <f t="shared" si="376"/>
        <v>5.828</v>
      </c>
      <c r="AC383" s="57">
        <v>90</v>
      </c>
      <c r="AD383" s="65">
        <f t="shared" si="377"/>
        <v>79.646017699115</v>
      </c>
      <c r="AE383" s="62">
        <f t="shared" ref="AE383:AE397" si="382">AH383/Q383</f>
        <v>1</v>
      </c>
      <c r="AF383" s="63">
        <f t="shared" si="378"/>
        <v>0.321153297173851</v>
      </c>
      <c r="AG383" s="63">
        <f t="shared" si="379"/>
        <v>0.00403225806451613</v>
      </c>
      <c r="AH383" s="62">
        <v>8</v>
      </c>
      <c r="AI383" s="63">
        <f t="shared" si="380"/>
        <v>0.253997184559532</v>
      </c>
      <c r="AJ383" s="63"/>
      <c r="AK383" s="63"/>
      <c r="AL383" s="63"/>
      <c r="AM383" s="63"/>
      <c r="AN383" s="66"/>
      <c r="AO383" s="66"/>
      <c r="AP383" s="66"/>
      <c r="AQ383" s="66"/>
      <c r="AR383" s="66"/>
      <c r="AS383" s="66"/>
      <c r="AT383" s="66" t="s">
        <v>600</v>
      </c>
      <c r="AU383" s="66" t="s">
        <v>600</v>
      </c>
      <c r="AV383" s="66" t="s">
        <v>600</v>
      </c>
      <c r="AW383" s="66" t="s">
        <v>600</v>
      </c>
      <c r="AX383" s="66" t="s">
        <v>600</v>
      </c>
      <c r="AY383" s="66" t="s">
        <v>600</v>
      </c>
      <c r="AZ383" s="66" t="s">
        <v>600</v>
      </c>
      <c r="BA383" s="66" t="s">
        <v>600</v>
      </c>
      <c r="BB383" s="66" t="s">
        <v>600</v>
      </c>
      <c r="BC383" s="66" t="s">
        <v>600</v>
      </c>
      <c r="BD383" s="66" t="s">
        <v>600</v>
      </c>
      <c r="BE383" s="66" t="s">
        <v>600</v>
      </c>
      <c r="BF383" s="66" t="s">
        <v>600</v>
      </c>
      <c r="BG383" s="66" t="s">
        <v>600</v>
      </c>
      <c r="BH383" s="66" t="s">
        <v>600</v>
      </c>
      <c r="BI383" s="66" t="s">
        <v>600</v>
      </c>
      <c r="BJ383" s="66" t="s">
        <v>600</v>
      </c>
      <c r="BK383" s="66" t="s">
        <v>600</v>
      </c>
      <c r="BL383" s="66" t="s">
        <v>600</v>
      </c>
      <c r="BM383" s="66" t="s">
        <v>600</v>
      </c>
      <c r="BN383" s="66" t="s">
        <v>600</v>
      </c>
      <c r="BO383" s="66" t="s">
        <v>600</v>
      </c>
      <c r="BP383" s="66" t="s">
        <v>600</v>
      </c>
      <c r="BQ383" s="66" t="s">
        <v>600</v>
      </c>
      <c r="BR383" s="164"/>
      <c r="BS383" s="68" t="s">
        <v>601</v>
      </c>
    </row>
    <row r="384" ht="15.6" hidden="1" spans="1:71">
      <c r="A384" s="53" t="s">
        <v>277</v>
      </c>
      <c r="B384" s="53" t="s">
        <v>27</v>
      </c>
      <c r="C384" s="171" t="s">
        <v>118</v>
      </c>
      <c r="D384" s="182" t="s">
        <v>716</v>
      </c>
      <c r="E384" s="179">
        <v>31</v>
      </c>
      <c r="F384" s="56">
        <v>44.99</v>
      </c>
      <c r="G384" s="59">
        <f t="shared" si="362"/>
        <v>38.2415</v>
      </c>
      <c r="H384" s="59">
        <f t="shared" si="363"/>
        <v>31.8679166666667</v>
      </c>
      <c r="I384" s="59">
        <f t="shared" si="364"/>
        <v>1.89941445427729</v>
      </c>
      <c r="J384" s="60">
        <f t="shared" si="365"/>
        <v>0.0612714340089447</v>
      </c>
      <c r="K384" s="57">
        <f t="shared" si="366"/>
        <v>37.4916666666667</v>
      </c>
      <c r="L384" s="163">
        <f t="shared" si="367"/>
        <v>0.173149588797511</v>
      </c>
      <c r="M384" s="59">
        <f t="shared" si="368"/>
        <v>6.49166666666667</v>
      </c>
      <c r="N384" s="57">
        <f t="shared" si="381"/>
        <v>87.646017699115</v>
      </c>
      <c r="O384" s="57">
        <f t="shared" si="369"/>
        <v>0.258333333333333</v>
      </c>
      <c r="P384" s="53">
        <v>30</v>
      </c>
      <c r="Q384" s="62">
        <v>8</v>
      </c>
      <c r="R384" s="63">
        <f t="shared" si="370"/>
        <v>0.161290322580645</v>
      </c>
      <c r="S384" s="60">
        <f t="shared" si="371"/>
        <v>0.111135807957324</v>
      </c>
      <c r="T384" s="63">
        <f t="shared" si="372"/>
        <v>0.217693548387097</v>
      </c>
      <c r="U384" s="63">
        <v>0.01</v>
      </c>
      <c r="V384" s="63">
        <f t="shared" si="373"/>
        <v>0.35341136168998</v>
      </c>
      <c r="W384" s="63">
        <f t="shared" si="374"/>
        <v>0.00833333333333333</v>
      </c>
      <c r="X384" s="61">
        <v>0.188</v>
      </c>
      <c r="Y384" s="64">
        <v>5</v>
      </c>
      <c r="Z384" s="64">
        <f>F384*0.15</f>
        <v>6.7485</v>
      </c>
      <c r="AA384" s="64">
        <f t="shared" si="375"/>
        <v>0.31</v>
      </c>
      <c r="AB384" s="57">
        <f t="shared" si="376"/>
        <v>5.828</v>
      </c>
      <c r="AC384" s="57">
        <v>90</v>
      </c>
      <c r="AD384" s="65">
        <f t="shared" si="377"/>
        <v>79.646017699115</v>
      </c>
      <c r="AE384" s="62">
        <f t="shared" si="382"/>
        <v>1</v>
      </c>
      <c r="AF384" s="63">
        <f t="shared" si="378"/>
        <v>0.321153297173851</v>
      </c>
      <c r="AG384" s="63">
        <f t="shared" si="379"/>
        <v>0.00403225806451613</v>
      </c>
      <c r="AH384" s="62">
        <v>8</v>
      </c>
      <c r="AI384" s="63">
        <f t="shared" si="380"/>
        <v>0.21011466600421</v>
      </c>
      <c r="AJ384" s="63"/>
      <c r="AK384" s="63"/>
      <c r="AL384" s="63"/>
      <c r="AM384" s="63"/>
      <c r="AN384" s="66"/>
      <c r="AO384" s="66"/>
      <c r="AP384" s="66"/>
      <c r="AQ384" s="66"/>
      <c r="AR384" s="66"/>
      <c r="AS384" s="66"/>
      <c r="AT384" s="66" t="s">
        <v>600</v>
      </c>
      <c r="AU384" s="66" t="s">
        <v>600</v>
      </c>
      <c r="AV384" s="66" t="s">
        <v>600</v>
      </c>
      <c r="AW384" s="66" t="s">
        <v>600</v>
      </c>
      <c r="AX384" s="66" t="s">
        <v>600</v>
      </c>
      <c r="AY384" s="66" t="s">
        <v>600</v>
      </c>
      <c r="AZ384" s="66" t="s">
        <v>600</v>
      </c>
      <c r="BA384" s="66" t="s">
        <v>600</v>
      </c>
      <c r="BB384" s="66" t="s">
        <v>600</v>
      </c>
      <c r="BC384" s="66" t="s">
        <v>600</v>
      </c>
      <c r="BD384" s="66" t="s">
        <v>600</v>
      </c>
      <c r="BE384" s="66" t="s">
        <v>600</v>
      </c>
      <c r="BF384" s="66" t="s">
        <v>600</v>
      </c>
      <c r="BG384" s="66" t="s">
        <v>600</v>
      </c>
      <c r="BH384" s="66" t="s">
        <v>600</v>
      </c>
      <c r="BI384" s="66" t="s">
        <v>600</v>
      </c>
      <c r="BJ384" s="66" t="s">
        <v>600</v>
      </c>
      <c r="BK384" s="66" t="s">
        <v>600</v>
      </c>
      <c r="BL384" s="66" t="s">
        <v>600</v>
      </c>
      <c r="BM384" s="66" t="s">
        <v>600</v>
      </c>
      <c r="BN384" s="66" t="s">
        <v>600</v>
      </c>
      <c r="BO384" s="66" t="s">
        <v>600</v>
      </c>
      <c r="BP384" s="66" t="s">
        <v>600</v>
      </c>
      <c r="BQ384" s="66" t="s">
        <v>600</v>
      </c>
      <c r="BR384" s="164"/>
      <c r="BS384" s="68" t="s">
        <v>601</v>
      </c>
    </row>
    <row r="385" ht="15.6" hidden="1" spans="1:71">
      <c r="A385" s="53" t="s">
        <v>511</v>
      </c>
      <c r="B385" s="53" t="s">
        <v>27</v>
      </c>
      <c r="C385" s="171" t="s">
        <v>118</v>
      </c>
      <c r="D385" s="182" t="s">
        <v>714</v>
      </c>
      <c r="E385" s="179">
        <v>31</v>
      </c>
      <c r="F385" s="56">
        <v>44.99</v>
      </c>
      <c r="G385" s="59">
        <f t="shared" si="362"/>
        <v>44.99</v>
      </c>
      <c r="H385" s="59">
        <f t="shared" si="363"/>
        <v>37.4916666666667</v>
      </c>
      <c r="I385" s="59">
        <f t="shared" si="364"/>
        <v>8.43124778761062</v>
      </c>
      <c r="J385" s="60">
        <f t="shared" si="365"/>
        <v>0.271975735084214</v>
      </c>
      <c r="K385" s="57">
        <f t="shared" si="366"/>
        <v>37.4916666666667</v>
      </c>
      <c r="L385" s="163">
        <f t="shared" si="367"/>
        <v>0.173149588797511</v>
      </c>
      <c r="M385" s="59">
        <f t="shared" si="368"/>
        <v>6.49166666666667</v>
      </c>
      <c r="N385" s="57">
        <f t="shared" si="381"/>
        <v>87.646017699115</v>
      </c>
      <c r="O385" s="57">
        <f t="shared" si="369"/>
        <v>0.475</v>
      </c>
      <c r="P385" s="53">
        <v>30</v>
      </c>
      <c r="Q385" s="62">
        <v>8</v>
      </c>
      <c r="R385" s="63">
        <f t="shared" si="370"/>
        <v>0.161290322580645</v>
      </c>
      <c r="S385" s="60">
        <f t="shared" si="371"/>
        <v>0.111135807957324</v>
      </c>
      <c r="T385" s="63">
        <f t="shared" si="372"/>
        <v>0</v>
      </c>
      <c r="U385" s="63">
        <v>0.01</v>
      </c>
      <c r="V385" s="63">
        <f t="shared" si="373"/>
        <v>0.35341136168998</v>
      </c>
      <c r="W385" s="63">
        <f t="shared" si="374"/>
        <v>0.0153225806451613</v>
      </c>
      <c r="X385" s="61">
        <v>0.188</v>
      </c>
      <c r="Y385" s="64">
        <v>5</v>
      </c>
      <c r="Z385" s="64">
        <v>0</v>
      </c>
      <c r="AA385" s="64">
        <f t="shared" si="375"/>
        <v>0.31</v>
      </c>
      <c r="AB385" s="57">
        <f t="shared" si="376"/>
        <v>5.828</v>
      </c>
      <c r="AC385" s="57">
        <v>90</v>
      </c>
      <c r="AD385" s="65">
        <f t="shared" si="377"/>
        <v>79.646017699115</v>
      </c>
      <c r="AE385" s="62">
        <f t="shared" si="382"/>
        <v>1</v>
      </c>
      <c r="AF385" s="63">
        <f t="shared" si="378"/>
        <v>0.321153297173851</v>
      </c>
      <c r="AG385" s="63">
        <f t="shared" si="379"/>
        <v>0.00403225806451613</v>
      </c>
      <c r="AH385" s="62">
        <v>8</v>
      </c>
      <c r="AI385" s="63">
        <f t="shared" si="380"/>
        <v>0.328597466103579</v>
      </c>
      <c r="AJ385" s="63"/>
      <c r="AK385" s="63"/>
      <c r="AL385" s="63"/>
      <c r="AM385" s="63"/>
      <c r="AN385" s="66"/>
      <c r="AO385" s="66"/>
      <c r="AP385" s="66"/>
      <c r="AQ385" s="66"/>
      <c r="AR385" s="66"/>
      <c r="AS385" s="66"/>
      <c r="AT385" s="66" t="s">
        <v>600</v>
      </c>
      <c r="AU385" s="66" t="s">
        <v>600</v>
      </c>
      <c r="AV385" s="66" t="s">
        <v>600</v>
      </c>
      <c r="AW385" s="66" t="s">
        <v>600</v>
      </c>
      <c r="AX385" s="66" t="s">
        <v>600</v>
      </c>
      <c r="AY385" s="66" t="s">
        <v>600</v>
      </c>
      <c r="AZ385" s="66" t="s">
        <v>600</v>
      </c>
      <c r="BA385" s="66" t="s">
        <v>600</v>
      </c>
      <c r="BB385" s="66" t="s">
        <v>600</v>
      </c>
      <c r="BC385" s="66" t="s">
        <v>600</v>
      </c>
      <c r="BD385" s="66" t="s">
        <v>600</v>
      </c>
      <c r="BE385" s="66" t="s">
        <v>600</v>
      </c>
      <c r="BF385" s="66" t="s">
        <v>600</v>
      </c>
      <c r="BG385" s="66" t="s">
        <v>600</v>
      </c>
      <c r="BH385" s="66" t="s">
        <v>600</v>
      </c>
      <c r="BI385" s="66" t="s">
        <v>600</v>
      </c>
      <c r="BJ385" s="66" t="s">
        <v>600</v>
      </c>
      <c r="BK385" s="66" t="s">
        <v>600</v>
      </c>
      <c r="BL385" s="66" t="s">
        <v>600</v>
      </c>
      <c r="BM385" s="66" t="s">
        <v>600</v>
      </c>
      <c r="BN385" s="66" t="s">
        <v>600</v>
      </c>
      <c r="BO385" s="66" t="s">
        <v>600</v>
      </c>
      <c r="BP385" s="66" t="s">
        <v>600</v>
      </c>
      <c r="BQ385" s="66" t="s">
        <v>600</v>
      </c>
      <c r="BR385" s="164"/>
      <c r="BS385" s="68" t="s">
        <v>601</v>
      </c>
    </row>
    <row r="386" ht="15.6" hidden="1" spans="1:71">
      <c r="A386" s="53" t="s">
        <v>511</v>
      </c>
      <c r="B386" s="53" t="s">
        <v>27</v>
      </c>
      <c r="C386" s="171" t="s">
        <v>118</v>
      </c>
      <c r="D386" s="182" t="s">
        <v>715</v>
      </c>
      <c r="E386" s="179">
        <v>31</v>
      </c>
      <c r="F386" s="56">
        <v>44.99</v>
      </c>
      <c r="G386" s="59">
        <f t="shared" si="362"/>
        <v>40.491</v>
      </c>
      <c r="H386" s="59">
        <f t="shared" si="363"/>
        <v>33.7425</v>
      </c>
      <c r="I386" s="165">
        <f t="shared" si="364"/>
        <v>3.93224778761062</v>
      </c>
      <c r="J386" s="60">
        <f t="shared" si="365"/>
        <v>0.126846702826149</v>
      </c>
      <c r="K386" s="57">
        <f t="shared" si="366"/>
        <v>37.4916666666667</v>
      </c>
      <c r="L386" s="163">
        <f t="shared" si="367"/>
        <v>0.173149588797511</v>
      </c>
      <c r="M386" s="59">
        <f t="shared" si="368"/>
        <v>6.49166666666667</v>
      </c>
      <c r="N386" s="57">
        <f t="shared" si="381"/>
        <v>87.646017699115</v>
      </c>
      <c r="O386" s="57">
        <f t="shared" si="369"/>
        <v>0.475</v>
      </c>
      <c r="P386" s="53">
        <v>30</v>
      </c>
      <c r="Q386" s="62">
        <v>8</v>
      </c>
      <c r="R386" s="63">
        <f t="shared" si="370"/>
        <v>0.161290322580645</v>
      </c>
      <c r="S386" s="60">
        <f t="shared" si="371"/>
        <v>0.111135807957324</v>
      </c>
      <c r="T386" s="63">
        <f t="shared" si="372"/>
        <v>0.145129032258065</v>
      </c>
      <c r="U386" s="63">
        <v>0.01</v>
      </c>
      <c r="V386" s="63">
        <f t="shared" si="373"/>
        <v>0.35341136168998</v>
      </c>
      <c r="W386" s="63">
        <f t="shared" si="374"/>
        <v>0.0153225806451613</v>
      </c>
      <c r="X386" s="61">
        <v>0.188</v>
      </c>
      <c r="Y386" s="64">
        <v>5</v>
      </c>
      <c r="Z386" s="64">
        <f>F386*0.1</f>
        <v>4.499</v>
      </c>
      <c r="AA386" s="64">
        <f t="shared" si="375"/>
        <v>0.31</v>
      </c>
      <c r="AB386" s="57">
        <f t="shared" si="376"/>
        <v>5.828</v>
      </c>
      <c r="AC386" s="57">
        <v>90</v>
      </c>
      <c r="AD386" s="65">
        <f t="shared" si="377"/>
        <v>79.646017699115</v>
      </c>
      <c r="AE386" s="62">
        <f t="shared" si="382"/>
        <v>1</v>
      </c>
      <c r="AF386" s="63">
        <f t="shared" si="378"/>
        <v>0.321153297173851</v>
      </c>
      <c r="AG386" s="63">
        <f t="shared" si="379"/>
        <v>0.00403225806451613</v>
      </c>
      <c r="AH386" s="62">
        <v>8</v>
      </c>
      <c r="AI386" s="63">
        <f t="shared" si="380"/>
        <v>0.253997184559532</v>
      </c>
      <c r="AJ386" s="63"/>
      <c r="AK386" s="63"/>
      <c r="AL386" s="63"/>
      <c r="AM386" s="63"/>
      <c r="AN386" s="66"/>
      <c r="AO386" s="66"/>
      <c r="AP386" s="66"/>
      <c r="AQ386" s="66"/>
      <c r="AR386" s="66"/>
      <c r="AS386" s="66"/>
      <c r="AT386" s="66" t="s">
        <v>600</v>
      </c>
      <c r="AU386" s="66" t="s">
        <v>600</v>
      </c>
      <c r="AV386" s="66" t="s">
        <v>600</v>
      </c>
      <c r="AW386" s="66" t="s">
        <v>600</v>
      </c>
      <c r="AX386" s="66" t="s">
        <v>600</v>
      </c>
      <c r="AY386" s="66" t="s">
        <v>600</v>
      </c>
      <c r="AZ386" s="66" t="s">
        <v>600</v>
      </c>
      <c r="BA386" s="66" t="s">
        <v>600</v>
      </c>
      <c r="BB386" s="66" t="s">
        <v>600</v>
      </c>
      <c r="BC386" s="66" t="s">
        <v>600</v>
      </c>
      <c r="BD386" s="66" t="s">
        <v>600</v>
      </c>
      <c r="BE386" s="66" t="s">
        <v>600</v>
      </c>
      <c r="BF386" s="66" t="s">
        <v>600</v>
      </c>
      <c r="BG386" s="66" t="s">
        <v>600</v>
      </c>
      <c r="BH386" s="66" t="s">
        <v>600</v>
      </c>
      <c r="BI386" s="66" t="s">
        <v>600</v>
      </c>
      <c r="BJ386" s="66" t="s">
        <v>600</v>
      </c>
      <c r="BK386" s="66" t="s">
        <v>600</v>
      </c>
      <c r="BL386" s="66" t="s">
        <v>600</v>
      </c>
      <c r="BM386" s="66" t="s">
        <v>600</v>
      </c>
      <c r="BN386" s="66" t="s">
        <v>600</v>
      </c>
      <c r="BO386" s="66" t="s">
        <v>600</v>
      </c>
      <c r="BP386" s="66" t="s">
        <v>600</v>
      </c>
      <c r="BQ386" s="66" t="s">
        <v>600</v>
      </c>
      <c r="BR386" s="164"/>
      <c r="BS386" s="68" t="s">
        <v>601</v>
      </c>
    </row>
    <row r="387" ht="15.6" hidden="1" spans="1:71">
      <c r="A387" s="53" t="s">
        <v>511</v>
      </c>
      <c r="B387" s="53" t="s">
        <v>27</v>
      </c>
      <c r="C387" s="171" t="s">
        <v>118</v>
      </c>
      <c r="D387" s="182" t="s">
        <v>716</v>
      </c>
      <c r="E387" s="179">
        <v>31</v>
      </c>
      <c r="F387" s="56">
        <v>44.99</v>
      </c>
      <c r="G387" s="59">
        <f t="shared" si="362"/>
        <v>38.2415</v>
      </c>
      <c r="H387" s="59">
        <f t="shared" si="363"/>
        <v>31.8679166666667</v>
      </c>
      <c r="I387" s="59">
        <f t="shared" si="364"/>
        <v>1.68274778761062</v>
      </c>
      <c r="J387" s="60">
        <f t="shared" si="365"/>
        <v>0.0542821866971168</v>
      </c>
      <c r="K387" s="57">
        <f t="shared" si="366"/>
        <v>37.4916666666667</v>
      </c>
      <c r="L387" s="163">
        <f t="shared" si="367"/>
        <v>0.173149588797511</v>
      </c>
      <c r="M387" s="59">
        <f t="shared" si="368"/>
        <v>6.49166666666667</v>
      </c>
      <c r="N387" s="57">
        <f t="shared" si="381"/>
        <v>87.646017699115</v>
      </c>
      <c r="O387" s="57">
        <f t="shared" si="369"/>
        <v>0.475</v>
      </c>
      <c r="P387" s="53">
        <v>30</v>
      </c>
      <c r="Q387" s="62">
        <v>8</v>
      </c>
      <c r="R387" s="63">
        <f t="shared" si="370"/>
        <v>0.161290322580645</v>
      </c>
      <c r="S387" s="60">
        <f t="shared" si="371"/>
        <v>0.111135807957324</v>
      </c>
      <c r="T387" s="63">
        <f t="shared" si="372"/>
        <v>0.217693548387097</v>
      </c>
      <c r="U387" s="63">
        <v>0.01</v>
      </c>
      <c r="V387" s="63">
        <f t="shared" si="373"/>
        <v>0.35341136168998</v>
      </c>
      <c r="W387" s="63">
        <f t="shared" si="374"/>
        <v>0.0153225806451613</v>
      </c>
      <c r="X387" s="61">
        <v>0.188</v>
      </c>
      <c r="Y387" s="64">
        <v>5</v>
      </c>
      <c r="Z387" s="64">
        <f>F387*0.15</f>
        <v>6.7485</v>
      </c>
      <c r="AA387" s="64">
        <f t="shared" si="375"/>
        <v>0.31</v>
      </c>
      <c r="AB387" s="57">
        <f t="shared" si="376"/>
        <v>5.828</v>
      </c>
      <c r="AC387" s="57">
        <v>90</v>
      </c>
      <c r="AD387" s="65">
        <f t="shared" si="377"/>
        <v>79.646017699115</v>
      </c>
      <c r="AE387" s="62">
        <f t="shared" si="382"/>
        <v>1</v>
      </c>
      <c r="AF387" s="63">
        <f t="shared" si="378"/>
        <v>0.321153297173851</v>
      </c>
      <c r="AG387" s="63">
        <f t="shared" si="379"/>
        <v>0.00403225806451613</v>
      </c>
      <c r="AH387" s="62">
        <v>8</v>
      </c>
      <c r="AI387" s="63">
        <f t="shared" si="380"/>
        <v>0.21011466600421</v>
      </c>
      <c r="AJ387" s="63"/>
      <c r="AK387" s="63"/>
      <c r="AL387" s="63"/>
      <c r="AM387" s="63"/>
      <c r="AN387" s="66"/>
      <c r="AO387" s="66"/>
      <c r="AP387" s="66"/>
      <c r="AQ387" s="66"/>
      <c r="AR387" s="66"/>
      <c r="AS387" s="66"/>
      <c r="AT387" s="66" t="s">
        <v>600</v>
      </c>
      <c r="AU387" s="66" t="s">
        <v>600</v>
      </c>
      <c r="AV387" s="66" t="s">
        <v>600</v>
      </c>
      <c r="AW387" s="66" t="s">
        <v>600</v>
      </c>
      <c r="AX387" s="66" t="s">
        <v>600</v>
      </c>
      <c r="AY387" s="66" t="s">
        <v>600</v>
      </c>
      <c r="AZ387" s="66" t="s">
        <v>600</v>
      </c>
      <c r="BA387" s="66" t="s">
        <v>600</v>
      </c>
      <c r="BB387" s="66" t="s">
        <v>600</v>
      </c>
      <c r="BC387" s="66" t="s">
        <v>600</v>
      </c>
      <c r="BD387" s="66" t="s">
        <v>600</v>
      </c>
      <c r="BE387" s="66" t="s">
        <v>600</v>
      </c>
      <c r="BF387" s="66" t="s">
        <v>600</v>
      </c>
      <c r="BG387" s="66" t="s">
        <v>600</v>
      </c>
      <c r="BH387" s="66" t="s">
        <v>600</v>
      </c>
      <c r="BI387" s="66" t="s">
        <v>600</v>
      </c>
      <c r="BJ387" s="66" t="s">
        <v>600</v>
      </c>
      <c r="BK387" s="66" t="s">
        <v>600</v>
      </c>
      <c r="BL387" s="66" t="s">
        <v>600</v>
      </c>
      <c r="BM387" s="66" t="s">
        <v>600</v>
      </c>
      <c r="BN387" s="66" t="s">
        <v>600</v>
      </c>
      <c r="BO387" s="66" t="s">
        <v>600</v>
      </c>
      <c r="BP387" s="66" t="s">
        <v>600</v>
      </c>
      <c r="BQ387" s="66" t="s">
        <v>600</v>
      </c>
      <c r="BR387" s="164"/>
      <c r="BS387" s="68" t="s">
        <v>601</v>
      </c>
    </row>
    <row r="388" ht="15.6" hidden="1" spans="1:71">
      <c r="A388" s="53" t="s">
        <v>513</v>
      </c>
      <c r="B388" s="53" t="s">
        <v>27</v>
      </c>
      <c r="C388" s="171" t="s">
        <v>118</v>
      </c>
      <c r="D388" s="182" t="s">
        <v>714</v>
      </c>
      <c r="E388" s="179">
        <v>31</v>
      </c>
      <c r="F388" s="56">
        <v>44.99</v>
      </c>
      <c r="G388" s="59">
        <f t="shared" si="362"/>
        <v>44.99</v>
      </c>
      <c r="H388" s="59">
        <f t="shared" si="363"/>
        <v>37.4916666666667</v>
      </c>
      <c r="I388" s="59">
        <f t="shared" si="364"/>
        <v>8.39791445427729</v>
      </c>
      <c r="J388" s="60">
        <f t="shared" si="365"/>
        <v>0.270900466267009</v>
      </c>
      <c r="K388" s="57">
        <f t="shared" si="366"/>
        <v>37.4916666666667</v>
      </c>
      <c r="L388" s="163">
        <f t="shared" si="367"/>
        <v>0.173149588797511</v>
      </c>
      <c r="M388" s="59">
        <f t="shared" si="368"/>
        <v>6.49166666666667</v>
      </c>
      <c r="N388" s="57">
        <f t="shared" si="381"/>
        <v>87.646017699115</v>
      </c>
      <c r="O388" s="57">
        <f t="shared" si="369"/>
        <v>0.508333333333333</v>
      </c>
      <c r="P388" s="53">
        <v>30</v>
      </c>
      <c r="Q388" s="62">
        <v>8</v>
      </c>
      <c r="R388" s="63">
        <f t="shared" si="370"/>
        <v>0.161290322580645</v>
      </c>
      <c r="S388" s="60">
        <f t="shared" si="371"/>
        <v>0.111135807957324</v>
      </c>
      <c r="T388" s="63">
        <f t="shared" si="372"/>
        <v>0</v>
      </c>
      <c r="U388" s="63">
        <v>0.01</v>
      </c>
      <c r="V388" s="63">
        <f t="shared" si="373"/>
        <v>0.35341136168998</v>
      </c>
      <c r="W388" s="63">
        <f t="shared" si="374"/>
        <v>0.0163978494623656</v>
      </c>
      <c r="X388" s="61">
        <v>0.188</v>
      </c>
      <c r="Y388" s="64">
        <v>5</v>
      </c>
      <c r="Z388" s="64">
        <v>0</v>
      </c>
      <c r="AA388" s="64">
        <f t="shared" si="375"/>
        <v>0.31</v>
      </c>
      <c r="AB388" s="57">
        <f t="shared" si="376"/>
        <v>5.828</v>
      </c>
      <c r="AC388" s="57">
        <v>90</v>
      </c>
      <c r="AD388" s="65">
        <f t="shared" si="377"/>
        <v>79.646017699115</v>
      </c>
      <c r="AE388" s="62">
        <f t="shared" si="382"/>
        <v>1</v>
      </c>
      <c r="AF388" s="63">
        <f t="shared" si="378"/>
        <v>0.321153297173851</v>
      </c>
      <c r="AG388" s="63">
        <f t="shared" si="379"/>
        <v>0.00403225806451613</v>
      </c>
      <c r="AH388" s="62">
        <v>8</v>
      </c>
      <c r="AI388" s="60">
        <f t="shared" si="380"/>
        <v>0.328597466103579</v>
      </c>
      <c r="AJ388" s="60"/>
      <c r="AK388" s="60"/>
      <c r="AL388" s="60"/>
      <c r="AM388" s="60"/>
      <c r="AN388" s="66"/>
      <c r="AO388" s="66"/>
      <c r="AP388" s="66"/>
      <c r="AQ388" s="66"/>
      <c r="AR388" s="66"/>
      <c r="AS388" s="66"/>
      <c r="AT388" s="66" t="s">
        <v>600</v>
      </c>
      <c r="AU388" s="66" t="s">
        <v>600</v>
      </c>
      <c r="AV388" s="66" t="s">
        <v>600</v>
      </c>
      <c r="AW388" s="66" t="s">
        <v>600</v>
      </c>
      <c r="AX388" s="66" t="s">
        <v>600</v>
      </c>
      <c r="AY388" s="66" t="s">
        <v>600</v>
      </c>
      <c r="AZ388" s="66" t="s">
        <v>600</v>
      </c>
      <c r="BA388" s="66" t="s">
        <v>600</v>
      </c>
      <c r="BB388" s="66" t="s">
        <v>600</v>
      </c>
      <c r="BC388" s="66" t="s">
        <v>600</v>
      </c>
      <c r="BD388" s="66" t="s">
        <v>600</v>
      </c>
      <c r="BE388" s="66" t="s">
        <v>600</v>
      </c>
      <c r="BF388" s="66" t="s">
        <v>600</v>
      </c>
      <c r="BG388" s="66" t="s">
        <v>600</v>
      </c>
      <c r="BH388" s="66" t="s">
        <v>600</v>
      </c>
      <c r="BI388" s="66" t="s">
        <v>600</v>
      </c>
      <c r="BJ388" s="66" t="s">
        <v>600</v>
      </c>
      <c r="BK388" s="66" t="s">
        <v>600</v>
      </c>
      <c r="BL388" s="66" t="s">
        <v>600</v>
      </c>
      <c r="BM388" s="66" t="s">
        <v>600</v>
      </c>
      <c r="BN388" s="66" t="s">
        <v>600</v>
      </c>
      <c r="BO388" s="66" t="s">
        <v>600</v>
      </c>
      <c r="BP388" s="66" t="s">
        <v>600</v>
      </c>
      <c r="BQ388" s="66" t="s">
        <v>600</v>
      </c>
      <c r="BR388" s="164"/>
      <c r="BS388" s="68" t="s">
        <v>601</v>
      </c>
    </row>
    <row r="389" ht="15.6" hidden="1" spans="1:71">
      <c r="A389" s="53" t="s">
        <v>513</v>
      </c>
      <c r="B389" s="53" t="s">
        <v>27</v>
      </c>
      <c r="C389" s="171" t="s">
        <v>118</v>
      </c>
      <c r="D389" s="182" t="s">
        <v>715</v>
      </c>
      <c r="E389" s="179">
        <v>31</v>
      </c>
      <c r="F389" s="56">
        <v>44.99</v>
      </c>
      <c r="G389" s="59">
        <f t="shared" si="362"/>
        <v>40.491</v>
      </c>
      <c r="H389" s="59">
        <f t="shared" si="363"/>
        <v>33.7425</v>
      </c>
      <c r="I389" s="165">
        <f t="shared" si="364"/>
        <v>3.89891445427729</v>
      </c>
      <c r="J389" s="60">
        <f t="shared" si="365"/>
        <v>0.125771434008945</v>
      </c>
      <c r="K389" s="57">
        <f t="shared" si="366"/>
        <v>37.4916666666667</v>
      </c>
      <c r="L389" s="163">
        <f t="shared" si="367"/>
        <v>0.173149588797511</v>
      </c>
      <c r="M389" s="59">
        <f t="shared" si="368"/>
        <v>6.49166666666667</v>
      </c>
      <c r="N389" s="57">
        <f t="shared" si="381"/>
        <v>87.646017699115</v>
      </c>
      <c r="O389" s="57">
        <f t="shared" si="369"/>
        <v>0.508333333333333</v>
      </c>
      <c r="P389" s="53">
        <v>30</v>
      </c>
      <c r="Q389" s="62">
        <v>8</v>
      </c>
      <c r="R389" s="63">
        <f t="shared" si="370"/>
        <v>0.161290322580645</v>
      </c>
      <c r="S389" s="60">
        <f t="shared" si="371"/>
        <v>0.111135807957324</v>
      </c>
      <c r="T389" s="63">
        <f t="shared" si="372"/>
        <v>0.145129032258065</v>
      </c>
      <c r="U389" s="63">
        <v>0.01</v>
      </c>
      <c r="V389" s="63">
        <f t="shared" si="373"/>
        <v>0.35341136168998</v>
      </c>
      <c r="W389" s="63">
        <f t="shared" si="374"/>
        <v>0.0163978494623656</v>
      </c>
      <c r="X389" s="61">
        <v>0.188</v>
      </c>
      <c r="Y389" s="64">
        <v>5</v>
      </c>
      <c r="Z389" s="64">
        <f>F389*0.1</f>
        <v>4.499</v>
      </c>
      <c r="AA389" s="64">
        <f t="shared" si="375"/>
        <v>0.31</v>
      </c>
      <c r="AB389" s="57">
        <f t="shared" si="376"/>
        <v>5.828</v>
      </c>
      <c r="AC389" s="57">
        <v>90</v>
      </c>
      <c r="AD389" s="65">
        <f t="shared" si="377"/>
        <v>79.646017699115</v>
      </c>
      <c r="AE389" s="62">
        <f t="shared" si="382"/>
        <v>1</v>
      </c>
      <c r="AF389" s="63">
        <f t="shared" si="378"/>
        <v>0.321153297173851</v>
      </c>
      <c r="AG389" s="63">
        <f t="shared" si="379"/>
        <v>0.00403225806451613</v>
      </c>
      <c r="AH389" s="62">
        <v>8</v>
      </c>
      <c r="AI389" s="60">
        <f t="shared" si="380"/>
        <v>0.253997184559532</v>
      </c>
      <c r="AJ389" s="60"/>
      <c r="AK389" s="60"/>
      <c r="AL389" s="60"/>
      <c r="AM389" s="60"/>
      <c r="AN389" s="66"/>
      <c r="AO389" s="66"/>
      <c r="AP389" s="66"/>
      <c r="AQ389" s="66"/>
      <c r="AR389" s="66"/>
      <c r="AS389" s="66"/>
      <c r="AT389" s="66" t="s">
        <v>600</v>
      </c>
      <c r="AU389" s="66" t="s">
        <v>600</v>
      </c>
      <c r="AV389" s="66" t="s">
        <v>600</v>
      </c>
      <c r="AW389" s="66" t="s">
        <v>600</v>
      </c>
      <c r="AX389" s="66" t="s">
        <v>600</v>
      </c>
      <c r="AY389" s="66" t="s">
        <v>600</v>
      </c>
      <c r="AZ389" s="66" t="s">
        <v>600</v>
      </c>
      <c r="BA389" s="66" t="s">
        <v>600</v>
      </c>
      <c r="BB389" s="66" t="s">
        <v>600</v>
      </c>
      <c r="BC389" s="66" t="s">
        <v>600</v>
      </c>
      <c r="BD389" s="66" t="s">
        <v>600</v>
      </c>
      <c r="BE389" s="66" t="s">
        <v>600</v>
      </c>
      <c r="BF389" s="66" t="s">
        <v>600</v>
      </c>
      <c r="BG389" s="66" t="s">
        <v>600</v>
      </c>
      <c r="BH389" s="66" t="s">
        <v>600</v>
      </c>
      <c r="BI389" s="66" t="s">
        <v>600</v>
      </c>
      <c r="BJ389" s="66" t="s">
        <v>600</v>
      </c>
      <c r="BK389" s="66" t="s">
        <v>600</v>
      </c>
      <c r="BL389" s="66" t="s">
        <v>600</v>
      </c>
      <c r="BM389" s="66" t="s">
        <v>600</v>
      </c>
      <c r="BN389" s="66" t="s">
        <v>600</v>
      </c>
      <c r="BO389" s="66" t="s">
        <v>600</v>
      </c>
      <c r="BP389" s="66" t="s">
        <v>600</v>
      </c>
      <c r="BQ389" s="66" t="s">
        <v>600</v>
      </c>
      <c r="BR389" s="164"/>
      <c r="BS389" s="68" t="s">
        <v>601</v>
      </c>
    </row>
    <row r="390" ht="15.6" hidden="1" spans="1:71">
      <c r="A390" s="53" t="s">
        <v>513</v>
      </c>
      <c r="B390" s="53" t="s">
        <v>27</v>
      </c>
      <c r="C390" s="171" t="s">
        <v>118</v>
      </c>
      <c r="D390" s="182" t="s">
        <v>716</v>
      </c>
      <c r="E390" s="179">
        <v>31</v>
      </c>
      <c r="F390" s="56">
        <v>44.99</v>
      </c>
      <c r="G390" s="59">
        <f t="shared" si="362"/>
        <v>38.2415</v>
      </c>
      <c r="H390" s="59">
        <f t="shared" si="363"/>
        <v>31.8679166666667</v>
      </c>
      <c r="I390" s="59">
        <f t="shared" si="364"/>
        <v>1.64941445427729</v>
      </c>
      <c r="J390" s="60">
        <f t="shared" si="365"/>
        <v>0.0532069178799125</v>
      </c>
      <c r="K390" s="57">
        <f t="shared" si="366"/>
        <v>37.4916666666667</v>
      </c>
      <c r="L390" s="163">
        <f t="shared" si="367"/>
        <v>0.173149588797511</v>
      </c>
      <c r="M390" s="59">
        <f t="shared" si="368"/>
        <v>6.49166666666667</v>
      </c>
      <c r="N390" s="57">
        <f t="shared" si="381"/>
        <v>87.646017699115</v>
      </c>
      <c r="O390" s="57">
        <f t="shared" si="369"/>
        <v>0.508333333333333</v>
      </c>
      <c r="P390" s="53">
        <v>30</v>
      </c>
      <c r="Q390" s="62">
        <v>8</v>
      </c>
      <c r="R390" s="63">
        <f t="shared" si="370"/>
        <v>0.161290322580645</v>
      </c>
      <c r="S390" s="60">
        <f t="shared" si="371"/>
        <v>0.111135807957324</v>
      </c>
      <c r="T390" s="63">
        <f t="shared" si="372"/>
        <v>0.217693548387097</v>
      </c>
      <c r="U390" s="63">
        <v>0.01</v>
      </c>
      <c r="V390" s="63">
        <f t="shared" si="373"/>
        <v>0.35341136168998</v>
      </c>
      <c r="W390" s="63">
        <f t="shared" si="374"/>
        <v>0.0163978494623656</v>
      </c>
      <c r="X390" s="61">
        <v>0.188</v>
      </c>
      <c r="Y390" s="64">
        <v>5</v>
      </c>
      <c r="Z390" s="64">
        <f>F390*0.15</f>
        <v>6.7485</v>
      </c>
      <c r="AA390" s="64">
        <f t="shared" si="375"/>
        <v>0.31</v>
      </c>
      <c r="AB390" s="57">
        <f t="shared" si="376"/>
        <v>5.828</v>
      </c>
      <c r="AC390" s="57">
        <v>90</v>
      </c>
      <c r="AD390" s="65">
        <f t="shared" si="377"/>
        <v>79.646017699115</v>
      </c>
      <c r="AE390" s="62">
        <f t="shared" si="382"/>
        <v>1</v>
      </c>
      <c r="AF390" s="63">
        <f t="shared" si="378"/>
        <v>0.321153297173851</v>
      </c>
      <c r="AG390" s="63">
        <f t="shared" si="379"/>
        <v>0.00403225806451613</v>
      </c>
      <c r="AH390" s="62">
        <v>8</v>
      </c>
      <c r="AI390" s="60">
        <f t="shared" si="380"/>
        <v>0.21011466600421</v>
      </c>
      <c r="AJ390" s="60"/>
      <c r="AK390" s="60"/>
      <c r="AL390" s="60"/>
      <c r="AM390" s="60"/>
      <c r="AN390" s="66"/>
      <c r="AO390" s="66"/>
      <c r="AP390" s="66"/>
      <c r="AQ390" s="66"/>
      <c r="AR390" s="66"/>
      <c r="AS390" s="66"/>
      <c r="AT390" s="66" t="s">
        <v>600</v>
      </c>
      <c r="AU390" s="66" t="s">
        <v>600</v>
      </c>
      <c r="AV390" s="66" t="s">
        <v>600</v>
      </c>
      <c r="AW390" s="66" t="s">
        <v>600</v>
      </c>
      <c r="AX390" s="66" t="s">
        <v>600</v>
      </c>
      <c r="AY390" s="66" t="s">
        <v>600</v>
      </c>
      <c r="AZ390" s="66" t="s">
        <v>600</v>
      </c>
      <c r="BA390" s="66" t="s">
        <v>600</v>
      </c>
      <c r="BB390" s="66" t="s">
        <v>600</v>
      </c>
      <c r="BC390" s="66" t="s">
        <v>600</v>
      </c>
      <c r="BD390" s="66" t="s">
        <v>600</v>
      </c>
      <c r="BE390" s="66" t="s">
        <v>600</v>
      </c>
      <c r="BF390" s="66" t="s">
        <v>600</v>
      </c>
      <c r="BG390" s="66" t="s">
        <v>600</v>
      </c>
      <c r="BH390" s="66" t="s">
        <v>600</v>
      </c>
      <c r="BI390" s="66" t="s">
        <v>600</v>
      </c>
      <c r="BJ390" s="66" t="s">
        <v>600</v>
      </c>
      <c r="BK390" s="66" t="s">
        <v>600</v>
      </c>
      <c r="BL390" s="66" t="s">
        <v>600</v>
      </c>
      <c r="BM390" s="66" t="s">
        <v>600</v>
      </c>
      <c r="BN390" s="66" t="s">
        <v>600</v>
      </c>
      <c r="BO390" s="66" t="s">
        <v>600</v>
      </c>
      <c r="BP390" s="66" t="s">
        <v>600</v>
      </c>
      <c r="BQ390" s="66" t="s">
        <v>600</v>
      </c>
      <c r="BR390" s="164"/>
      <c r="BS390" s="68" t="s">
        <v>601</v>
      </c>
    </row>
    <row r="391" ht="15.6" hidden="1" spans="1:71">
      <c r="A391" s="53" t="s">
        <v>516</v>
      </c>
      <c r="B391" s="53" t="s">
        <v>27</v>
      </c>
      <c r="C391" s="171" t="s">
        <v>118</v>
      </c>
      <c r="D391" s="182" t="s">
        <v>714</v>
      </c>
      <c r="E391" s="179">
        <v>31</v>
      </c>
      <c r="F391" s="56">
        <v>44.99</v>
      </c>
      <c r="G391" s="59">
        <f t="shared" si="362"/>
        <v>44.99</v>
      </c>
      <c r="H391" s="59">
        <f t="shared" si="363"/>
        <v>37.4916666666667</v>
      </c>
      <c r="I391" s="59">
        <f t="shared" si="364"/>
        <v>8.26458112094395</v>
      </c>
      <c r="J391" s="60">
        <f t="shared" si="365"/>
        <v>0.266599390998192</v>
      </c>
      <c r="K391" s="57">
        <f t="shared" si="366"/>
        <v>37.4916666666667</v>
      </c>
      <c r="L391" s="163">
        <f t="shared" si="367"/>
        <v>0.173149588797511</v>
      </c>
      <c r="M391" s="59">
        <f t="shared" si="368"/>
        <v>6.49166666666667</v>
      </c>
      <c r="N391" s="57">
        <f t="shared" si="381"/>
        <v>87.646017699115</v>
      </c>
      <c r="O391" s="57">
        <f t="shared" si="369"/>
        <v>0.641666666666667</v>
      </c>
      <c r="P391" s="53">
        <v>30</v>
      </c>
      <c r="Q391" s="62">
        <v>8</v>
      </c>
      <c r="R391" s="63">
        <f t="shared" si="370"/>
        <v>0.161290322580645</v>
      </c>
      <c r="S391" s="60">
        <f t="shared" si="371"/>
        <v>0.111135807957324</v>
      </c>
      <c r="T391" s="63">
        <f t="shared" si="372"/>
        <v>0</v>
      </c>
      <c r="U391" s="63">
        <v>0.01</v>
      </c>
      <c r="V391" s="63">
        <f t="shared" si="373"/>
        <v>0.35341136168998</v>
      </c>
      <c r="W391" s="63">
        <f t="shared" si="374"/>
        <v>0.0206989247311828</v>
      </c>
      <c r="X391" s="61">
        <v>0.188</v>
      </c>
      <c r="Y391" s="64">
        <v>5</v>
      </c>
      <c r="Z391" s="64">
        <v>0</v>
      </c>
      <c r="AA391" s="64">
        <f t="shared" si="375"/>
        <v>0.31</v>
      </c>
      <c r="AB391" s="57">
        <f t="shared" si="376"/>
        <v>5.828</v>
      </c>
      <c r="AC391" s="57">
        <v>90</v>
      </c>
      <c r="AD391" s="65">
        <f t="shared" si="377"/>
        <v>79.646017699115</v>
      </c>
      <c r="AE391" s="62">
        <f t="shared" si="382"/>
        <v>1</v>
      </c>
      <c r="AF391" s="63">
        <f t="shared" si="378"/>
        <v>0.321153297173851</v>
      </c>
      <c r="AG391" s="63">
        <f t="shared" si="379"/>
        <v>0.00403225806451613</v>
      </c>
      <c r="AH391" s="62">
        <v>8</v>
      </c>
      <c r="AI391" s="63">
        <f t="shared" si="380"/>
        <v>0.328597466103579</v>
      </c>
      <c r="AJ391" s="63"/>
      <c r="AK391" s="63"/>
      <c r="AL391" s="63"/>
      <c r="AM391" s="63"/>
      <c r="AN391" s="66"/>
      <c r="AO391" s="66"/>
      <c r="AP391" s="66"/>
      <c r="AQ391" s="66"/>
      <c r="AR391" s="66"/>
      <c r="AS391" s="66"/>
      <c r="AT391" s="66" t="s">
        <v>600</v>
      </c>
      <c r="AU391" s="66" t="s">
        <v>600</v>
      </c>
      <c r="AV391" s="66" t="s">
        <v>600</v>
      </c>
      <c r="AW391" s="66" t="s">
        <v>600</v>
      </c>
      <c r="AX391" s="66" t="s">
        <v>600</v>
      </c>
      <c r="AY391" s="66" t="s">
        <v>600</v>
      </c>
      <c r="AZ391" s="66" t="s">
        <v>600</v>
      </c>
      <c r="BA391" s="66" t="s">
        <v>600</v>
      </c>
      <c r="BB391" s="66" t="s">
        <v>600</v>
      </c>
      <c r="BC391" s="66" t="s">
        <v>600</v>
      </c>
      <c r="BD391" s="66" t="s">
        <v>600</v>
      </c>
      <c r="BE391" s="66" t="s">
        <v>600</v>
      </c>
      <c r="BF391" s="66" t="s">
        <v>600</v>
      </c>
      <c r="BG391" s="66" t="s">
        <v>600</v>
      </c>
      <c r="BH391" s="66" t="s">
        <v>600</v>
      </c>
      <c r="BI391" s="66" t="s">
        <v>600</v>
      </c>
      <c r="BJ391" s="66" t="s">
        <v>600</v>
      </c>
      <c r="BK391" s="66" t="s">
        <v>600</v>
      </c>
      <c r="BL391" s="66" t="s">
        <v>600</v>
      </c>
      <c r="BM391" s="66" t="s">
        <v>600</v>
      </c>
      <c r="BN391" s="66" t="s">
        <v>600</v>
      </c>
      <c r="BO391" s="66" t="s">
        <v>600</v>
      </c>
      <c r="BP391" s="66" t="s">
        <v>600</v>
      </c>
      <c r="BQ391" s="66" t="s">
        <v>600</v>
      </c>
      <c r="BR391" s="164"/>
      <c r="BS391" s="68" t="s">
        <v>601</v>
      </c>
    </row>
    <row r="392" ht="15.6" hidden="1" spans="1:71">
      <c r="A392" s="53" t="s">
        <v>516</v>
      </c>
      <c r="B392" s="53" t="s">
        <v>27</v>
      </c>
      <c r="C392" s="171" t="s">
        <v>118</v>
      </c>
      <c r="D392" s="182" t="s">
        <v>715</v>
      </c>
      <c r="E392" s="179">
        <v>31</v>
      </c>
      <c r="F392" s="56">
        <v>44.99</v>
      </c>
      <c r="G392" s="59">
        <f t="shared" si="362"/>
        <v>40.491</v>
      </c>
      <c r="H392" s="59">
        <f t="shared" si="363"/>
        <v>33.7425</v>
      </c>
      <c r="I392" s="165">
        <f t="shared" si="364"/>
        <v>3.76558112094395</v>
      </c>
      <c r="J392" s="60">
        <f t="shared" si="365"/>
        <v>0.121470358740127</v>
      </c>
      <c r="K392" s="57">
        <f t="shared" si="366"/>
        <v>37.4916666666667</v>
      </c>
      <c r="L392" s="163">
        <f t="shared" si="367"/>
        <v>0.173149588797511</v>
      </c>
      <c r="M392" s="59">
        <f t="shared" si="368"/>
        <v>6.49166666666667</v>
      </c>
      <c r="N392" s="57">
        <f t="shared" si="381"/>
        <v>87.646017699115</v>
      </c>
      <c r="O392" s="57">
        <f t="shared" si="369"/>
        <v>0.641666666666667</v>
      </c>
      <c r="P392" s="53">
        <v>30</v>
      </c>
      <c r="Q392" s="62">
        <v>8</v>
      </c>
      <c r="R392" s="63">
        <f t="shared" si="370"/>
        <v>0.161290322580645</v>
      </c>
      <c r="S392" s="60">
        <f t="shared" si="371"/>
        <v>0.111135807957324</v>
      </c>
      <c r="T392" s="63">
        <f t="shared" si="372"/>
        <v>0.145129032258065</v>
      </c>
      <c r="U392" s="63">
        <v>0.01</v>
      </c>
      <c r="V392" s="63">
        <f t="shared" si="373"/>
        <v>0.35341136168998</v>
      </c>
      <c r="W392" s="63">
        <f t="shared" si="374"/>
        <v>0.0206989247311828</v>
      </c>
      <c r="X392" s="61">
        <v>0.188</v>
      </c>
      <c r="Y392" s="64">
        <v>5</v>
      </c>
      <c r="Z392" s="64">
        <f>F392*0.1</f>
        <v>4.499</v>
      </c>
      <c r="AA392" s="64">
        <f t="shared" si="375"/>
        <v>0.31</v>
      </c>
      <c r="AB392" s="57">
        <f t="shared" si="376"/>
        <v>5.828</v>
      </c>
      <c r="AC392" s="57">
        <v>90</v>
      </c>
      <c r="AD392" s="65">
        <f t="shared" si="377"/>
        <v>79.646017699115</v>
      </c>
      <c r="AE392" s="62">
        <f t="shared" si="382"/>
        <v>1</v>
      </c>
      <c r="AF392" s="63">
        <f t="shared" si="378"/>
        <v>0.321153297173851</v>
      </c>
      <c r="AG392" s="63">
        <f t="shared" si="379"/>
        <v>0.00403225806451613</v>
      </c>
      <c r="AH392" s="62">
        <v>8</v>
      </c>
      <c r="AI392" s="63">
        <f t="shared" si="380"/>
        <v>0.253997184559532</v>
      </c>
      <c r="AJ392" s="63"/>
      <c r="AK392" s="63"/>
      <c r="AL392" s="63"/>
      <c r="AM392" s="63"/>
      <c r="AN392" s="66"/>
      <c r="AO392" s="66"/>
      <c r="AP392" s="66"/>
      <c r="AQ392" s="66"/>
      <c r="AR392" s="66"/>
      <c r="AS392" s="66"/>
      <c r="AT392" s="66" t="s">
        <v>600</v>
      </c>
      <c r="AU392" s="66" t="s">
        <v>600</v>
      </c>
      <c r="AV392" s="66" t="s">
        <v>600</v>
      </c>
      <c r="AW392" s="66" t="s">
        <v>600</v>
      </c>
      <c r="AX392" s="66" t="s">
        <v>600</v>
      </c>
      <c r="AY392" s="66" t="s">
        <v>600</v>
      </c>
      <c r="AZ392" s="66" t="s">
        <v>600</v>
      </c>
      <c r="BA392" s="66" t="s">
        <v>600</v>
      </c>
      <c r="BB392" s="66" t="s">
        <v>600</v>
      </c>
      <c r="BC392" s="66" t="s">
        <v>600</v>
      </c>
      <c r="BD392" s="66" t="s">
        <v>600</v>
      </c>
      <c r="BE392" s="66" t="s">
        <v>600</v>
      </c>
      <c r="BF392" s="66" t="s">
        <v>600</v>
      </c>
      <c r="BG392" s="66" t="s">
        <v>600</v>
      </c>
      <c r="BH392" s="66" t="s">
        <v>600</v>
      </c>
      <c r="BI392" s="66" t="s">
        <v>600</v>
      </c>
      <c r="BJ392" s="66" t="s">
        <v>600</v>
      </c>
      <c r="BK392" s="66" t="s">
        <v>600</v>
      </c>
      <c r="BL392" s="66" t="s">
        <v>600</v>
      </c>
      <c r="BM392" s="66" t="s">
        <v>600</v>
      </c>
      <c r="BN392" s="66" t="s">
        <v>600</v>
      </c>
      <c r="BO392" s="66" t="s">
        <v>600</v>
      </c>
      <c r="BP392" s="66" t="s">
        <v>600</v>
      </c>
      <c r="BQ392" s="66" t="s">
        <v>600</v>
      </c>
      <c r="BR392" s="164"/>
      <c r="BS392" s="68" t="s">
        <v>601</v>
      </c>
    </row>
    <row r="393" ht="15.6" hidden="1" spans="1:71">
      <c r="A393" s="53" t="s">
        <v>516</v>
      </c>
      <c r="B393" s="53" t="s">
        <v>27</v>
      </c>
      <c r="C393" s="171" t="s">
        <v>118</v>
      </c>
      <c r="D393" s="182" t="s">
        <v>716</v>
      </c>
      <c r="E393" s="179">
        <v>31</v>
      </c>
      <c r="F393" s="56">
        <v>44.99</v>
      </c>
      <c r="G393" s="59">
        <f t="shared" si="362"/>
        <v>38.2415</v>
      </c>
      <c r="H393" s="59">
        <f t="shared" si="363"/>
        <v>31.8679166666667</v>
      </c>
      <c r="I393" s="59">
        <f t="shared" si="364"/>
        <v>1.51608112094395</v>
      </c>
      <c r="J393" s="60">
        <f t="shared" si="365"/>
        <v>0.0489058426110952</v>
      </c>
      <c r="K393" s="57">
        <f t="shared" si="366"/>
        <v>37.4916666666667</v>
      </c>
      <c r="L393" s="163">
        <f t="shared" si="367"/>
        <v>0.173149588797511</v>
      </c>
      <c r="M393" s="59">
        <f t="shared" si="368"/>
        <v>6.49166666666667</v>
      </c>
      <c r="N393" s="57">
        <f t="shared" si="381"/>
        <v>87.646017699115</v>
      </c>
      <c r="O393" s="57">
        <f t="shared" si="369"/>
        <v>0.641666666666667</v>
      </c>
      <c r="P393" s="53">
        <v>30</v>
      </c>
      <c r="Q393" s="62">
        <v>8</v>
      </c>
      <c r="R393" s="63">
        <f t="shared" si="370"/>
        <v>0.161290322580645</v>
      </c>
      <c r="S393" s="60">
        <f t="shared" si="371"/>
        <v>0.111135807957324</v>
      </c>
      <c r="T393" s="63">
        <f t="shared" si="372"/>
        <v>0.217693548387097</v>
      </c>
      <c r="U393" s="63">
        <v>0.01</v>
      </c>
      <c r="V393" s="63">
        <f t="shared" si="373"/>
        <v>0.35341136168998</v>
      </c>
      <c r="W393" s="63">
        <f t="shared" si="374"/>
        <v>0.0206989247311828</v>
      </c>
      <c r="X393" s="61">
        <v>0.188</v>
      </c>
      <c r="Y393" s="64">
        <v>5</v>
      </c>
      <c r="Z393" s="64">
        <f>F393*0.15</f>
        <v>6.7485</v>
      </c>
      <c r="AA393" s="64">
        <f t="shared" si="375"/>
        <v>0.31</v>
      </c>
      <c r="AB393" s="57">
        <f t="shared" si="376"/>
        <v>5.828</v>
      </c>
      <c r="AC393" s="57">
        <v>90</v>
      </c>
      <c r="AD393" s="65">
        <f t="shared" si="377"/>
        <v>79.646017699115</v>
      </c>
      <c r="AE393" s="62">
        <f t="shared" si="382"/>
        <v>1</v>
      </c>
      <c r="AF393" s="63">
        <f t="shared" si="378"/>
        <v>0.321153297173851</v>
      </c>
      <c r="AG393" s="63">
        <f t="shared" si="379"/>
        <v>0.00403225806451613</v>
      </c>
      <c r="AH393" s="62">
        <v>8</v>
      </c>
      <c r="AI393" s="63">
        <f t="shared" si="380"/>
        <v>0.21011466600421</v>
      </c>
      <c r="AJ393" s="63"/>
      <c r="AK393" s="63"/>
      <c r="AL393" s="63"/>
      <c r="AM393" s="63"/>
      <c r="AN393" s="66"/>
      <c r="AO393" s="66"/>
      <c r="AP393" s="66"/>
      <c r="AQ393" s="66"/>
      <c r="AR393" s="66"/>
      <c r="AS393" s="66"/>
      <c r="AT393" s="66" t="s">
        <v>600</v>
      </c>
      <c r="AU393" s="66" t="s">
        <v>600</v>
      </c>
      <c r="AV393" s="66" t="s">
        <v>600</v>
      </c>
      <c r="AW393" s="66" t="s">
        <v>600</v>
      </c>
      <c r="AX393" s="66" t="s">
        <v>600</v>
      </c>
      <c r="AY393" s="66" t="s">
        <v>600</v>
      </c>
      <c r="AZ393" s="66" t="s">
        <v>600</v>
      </c>
      <c r="BA393" s="66" t="s">
        <v>600</v>
      </c>
      <c r="BB393" s="66" t="s">
        <v>600</v>
      </c>
      <c r="BC393" s="66" t="s">
        <v>600</v>
      </c>
      <c r="BD393" s="66" t="s">
        <v>600</v>
      </c>
      <c r="BE393" s="66" t="s">
        <v>600</v>
      </c>
      <c r="BF393" s="66" t="s">
        <v>600</v>
      </c>
      <c r="BG393" s="66" t="s">
        <v>600</v>
      </c>
      <c r="BH393" s="66" t="s">
        <v>600</v>
      </c>
      <c r="BI393" s="66" t="s">
        <v>600</v>
      </c>
      <c r="BJ393" s="66" t="s">
        <v>600</v>
      </c>
      <c r="BK393" s="66" t="s">
        <v>600</v>
      </c>
      <c r="BL393" s="66" t="s">
        <v>600</v>
      </c>
      <c r="BM393" s="66" t="s">
        <v>600</v>
      </c>
      <c r="BN393" s="66" t="s">
        <v>600</v>
      </c>
      <c r="BO393" s="66" t="s">
        <v>600</v>
      </c>
      <c r="BP393" s="66" t="s">
        <v>600</v>
      </c>
      <c r="BQ393" s="66" t="s">
        <v>600</v>
      </c>
      <c r="BR393" s="164"/>
      <c r="BS393" s="68" t="s">
        <v>601</v>
      </c>
    </row>
    <row r="394" ht="15.6" hidden="1" spans="1:71">
      <c r="A394" s="53" t="s">
        <v>605</v>
      </c>
      <c r="B394" s="53" t="s">
        <v>27</v>
      </c>
      <c r="C394" s="171" t="s">
        <v>118</v>
      </c>
      <c r="D394" s="170" t="s">
        <v>717</v>
      </c>
      <c r="E394" s="179">
        <v>34.5</v>
      </c>
      <c r="F394" s="56">
        <v>49.99</v>
      </c>
      <c r="G394" s="59">
        <f t="shared" si="362"/>
        <v>49.99</v>
      </c>
      <c r="H394" s="59">
        <f t="shared" si="363"/>
        <v>41.6583333333333</v>
      </c>
      <c r="I394" s="59">
        <f t="shared" si="364"/>
        <v>16.1549144542773</v>
      </c>
      <c r="J394" s="60">
        <f t="shared" si="365"/>
        <v>0.468258389979052</v>
      </c>
      <c r="K394" s="57">
        <f t="shared" si="366"/>
        <v>41.6583333333333</v>
      </c>
      <c r="L394" s="163">
        <f t="shared" si="367"/>
        <v>0.171834366873375</v>
      </c>
      <c r="M394" s="59">
        <f t="shared" si="368"/>
        <v>7.15833333333334</v>
      </c>
      <c r="N394" s="57">
        <f t="shared" si="381"/>
        <v>87.646017699115</v>
      </c>
      <c r="O394" s="57">
        <f t="shared" si="369"/>
        <v>0.558333333333333</v>
      </c>
      <c r="P394" s="53">
        <v>30</v>
      </c>
      <c r="Q394" s="62">
        <v>8</v>
      </c>
      <c r="R394" s="63">
        <f t="shared" si="370"/>
        <v>0</v>
      </c>
      <c r="S394" s="60">
        <f t="shared" si="371"/>
        <v>0</v>
      </c>
      <c r="T394" s="63">
        <f t="shared" si="372"/>
        <v>0</v>
      </c>
      <c r="U394" s="63">
        <v>0.01</v>
      </c>
      <c r="V394" s="63">
        <f t="shared" si="373"/>
        <v>0.317558035141721</v>
      </c>
      <c r="W394" s="63">
        <f t="shared" si="374"/>
        <v>0.0161835748792271</v>
      </c>
      <c r="X394" s="61">
        <v>0.188</v>
      </c>
      <c r="Y394" s="64">
        <v>0</v>
      </c>
      <c r="Z394" s="64">
        <f>F394*0</f>
        <v>0</v>
      </c>
      <c r="AA394" s="64">
        <f t="shared" si="375"/>
        <v>0.345</v>
      </c>
      <c r="AB394" s="57">
        <f t="shared" si="376"/>
        <v>6.486</v>
      </c>
      <c r="AC394" s="57">
        <v>90</v>
      </c>
      <c r="AD394" s="65">
        <f t="shared" si="377"/>
        <v>79.646017699115</v>
      </c>
      <c r="AE394" s="62">
        <f t="shared" si="382"/>
        <v>1</v>
      </c>
      <c r="AF394" s="63">
        <f t="shared" si="378"/>
        <v>0.288572527895344</v>
      </c>
      <c r="AG394" s="63">
        <f t="shared" si="379"/>
        <v>0.0036231884057971</v>
      </c>
      <c r="AH394" s="62">
        <v>8</v>
      </c>
      <c r="AI394" s="63">
        <f t="shared" si="380"/>
        <v>0.32752950590118</v>
      </c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 t="s">
        <v>600</v>
      </c>
      <c r="AU394" s="66" t="s">
        <v>600</v>
      </c>
      <c r="AV394" s="66" t="s">
        <v>600</v>
      </c>
      <c r="AW394" s="66" t="s">
        <v>600</v>
      </c>
      <c r="AX394" s="66" t="s">
        <v>600</v>
      </c>
      <c r="AY394" s="66" t="s">
        <v>600</v>
      </c>
      <c r="AZ394" s="66" t="s">
        <v>600</v>
      </c>
      <c r="BA394" s="66" t="s">
        <v>600</v>
      </c>
      <c r="BB394" s="66" t="s">
        <v>600</v>
      </c>
      <c r="BC394" s="66" t="s">
        <v>600</v>
      </c>
      <c r="BD394" s="66" t="s">
        <v>600</v>
      </c>
      <c r="BE394" s="66" t="s">
        <v>600</v>
      </c>
      <c r="BF394" s="66" t="s">
        <v>600</v>
      </c>
      <c r="BG394" s="66" t="s">
        <v>600</v>
      </c>
      <c r="BH394" s="66" t="s">
        <v>600</v>
      </c>
      <c r="BI394" s="66" t="s">
        <v>600</v>
      </c>
      <c r="BJ394" s="66" t="s">
        <v>600</v>
      </c>
      <c r="BK394" s="66" t="s">
        <v>600</v>
      </c>
      <c r="BL394" s="66" t="s">
        <v>600</v>
      </c>
      <c r="BM394" s="66" t="s">
        <v>600</v>
      </c>
      <c r="BN394" s="66" t="s">
        <v>600</v>
      </c>
      <c r="BO394" s="66" t="s">
        <v>600</v>
      </c>
      <c r="BP394" s="66" t="s">
        <v>600</v>
      </c>
      <c r="BQ394" s="66" t="s">
        <v>600</v>
      </c>
      <c r="BR394" s="70" t="e">
        <f>IF(E394&lt;#REF!,1,0)</f>
        <v>#REF!</v>
      </c>
      <c r="BS394" s="68" t="s">
        <v>601</v>
      </c>
    </row>
    <row r="395" ht="15.6" hidden="1" spans="1:71">
      <c r="A395" s="53" t="s">
        <v>607</v>
      </c>
      <c r="B395" s="53" t="s">
        <v>27</v>
      </c>
      <c r="C395" s="171" t="s">
        <v>118</v>
      </c>
      <c r="D395" s="170" t="s">
        <v>718</v>
      </c>
      <c r="E395" s="179">
        <v>34.5</v>
      </c>
      <c r="F395" s="56">
        <v>49.99</v>
      </c>
      <c r="G395" s="59">
        <f t="shared" si="362"/>
        <v>49.99</v>
      </c>
      <c r="H395" s="59">
        <f t="shared" si="363"/>
        <v>41.6583333333333</v>
      </c>
      <c r="I395" s="59">
        <f t="shared" si="364"/>
        <v>16.2449144542773</v>
      </c>
      <c r="J395" s="60">
        <f t="shared" si="365"/>
        <v>0.470867085631226</v>
      </c>
      <c r="K395" s="57">
        <f t="shared" si="366"/>
        <v>41.6583333333333</v>
      </c>
      <c r="L395" s="163">
        <f t="shared" si="367"/>
        <v>0.171834366873375</v>
      </c>
      <c r="M395" s="59">
        <f t="shared" si="368"/>
        <v>7.15833333333334</v>
      </c>
      <c r="N395" s="57">
        <f t="shared" si="381"/>
        <v>87.646017699115</v>
      </c>
      <c r="O395" s="57">
        <f t="shared" si="369"/>
        <v>0.468333333333333</v>
      </c>
      <c r="P395" s="53">
        <v>30</v>
      </c>
      <c r="Q395" s="62">
        <v>8</v>
      </c>
      <c r="R395" s="63">
        <f t="shared" si="370"/>
        <v>0</v>
      </c>
      <c r="S395" s="60">
        <f t="shared" si="371"/>
        <v>0</v>
      </c>
      <c r="T395" s="63">
        <f t="shared" si="372"/>
        <v>0</v>
      </c>
      <c r="U395" s="63">
        <v>0.01</v>
      </c>
      <c r="V395" s="63">
        <f t="shared" si="373"/>
        <v>0.317558035141721</v>
      </c>
      <c r="W395" s="63">
        <f t="shared" si="374"/>
        <v>0.0135748792270531</v>
      </c>
      <c r="X395" s="61">
        <v>0.188</v>
      </c>
      <c r="Y395" s="64">
        <v>0</v>
      </c>
      <c r="Z395" s="64">
        <f>F395*0</f>
        <v>0</v>
      </c>
      <c r="AA395" s="64">
        <f t="shared" si="375"/>
        <v>0.345</v>
      </c>
      <c r="AB395" s="57">
        <f t="shared" si="376"/>
        <v>6.486</v>
      </c>
      <c r="AC395" s="57">
        <v>90</v>
      </c>
      <c r="AD395" s="65">
        <f t="shared" si="377"/>
        <v>79.646017699115</v>
      </c>
      <c r="AE395" s="62">
        <f t="shared" si="382"/>
        <v>1</v>
      </c>
      <c r="AF395" s="63">
        <f t="shared" si="378"/>
        <v>0.288572527895344</v>
      </c>
      <c r="AG395" s="63">
        <f t="shared" si="379"/>
        <v>0.0036231884057971</v>
      </c>
      <c r="AH395" s="62">
        <v>8</v>
      </c>
      <c r="AI395" s="63">
        <f t="shared" si="380"/>
        <v>0.32752950590118</v>
      </c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66" t="s">
        <v>600</v>
      </c>
      <c r="AU395" s="66" t="s">
        <v>600</v>
      </c>
      <c r="AV395" s="66" t="s">
        <v>600</v>
      </c>
      <c r="AW395" s="66" t="s">
        <v>600</v>
      </c>
      <c r="AX395" s="66" t="s">
        <v>600</v>
      </c>
      <c r="AY395" s="66" t="s">
        <v>600</v>
      </c>
      <c r="AZ395" s="66" t="s">
        <v>600</v>
      </c>
      <c r="BA395" s="66" t="s">
        <v>600</v>
      </c>
      <c r="BB395" s="66" t="s">
        <v>600</v>
      </c>
      <c r="BC395" s="66" t="s">
        <v>600</v>
      </c>
      <c r="BD395" s="66" t="s">
        <v>600</v>
      </c>
      <c r="BE395" s="66" t="s">
        <v>600</v>
      </c>
      <c r="BF395" s="66" t="s">
        <v>600</v>
      </c>
      <c r="BG395" s="66" t="s">
        <v>600</v>
      </c>
      <c r="BH395" s="66" t="s">
        <v>600</v>
      </c>
      <c r="BI395" s="66" t="s">
        <v>600</v>
      </c>
      <c r="BJ395" s="66" t="s">
        <v>600</v>
      </c>
      <c r="BK395" s="66" t="s">
        <v>600</v>
      </c>
      <c r="BL395" s="66" t="s">
        <v>600</v>
      </c>
      <c r="BM395" s="66" t="s">
        <v>600</v>
      </c>
      <c r="BN395" s="66" t="s">
        <v>600</v>
      </c>
      <c r="BO395" s="66" t="s">
        <v>600</v>
      </c>
      <c r="BP395" s="66" t="s">
        <v>600</v>
      </c>
      <c r="BQ395" s="66" t="s">
        <v>600</v>
      </c>
      <c r="BR395" s="70" t="e">
        <f>IF(E395&lt;#REF!,1,0)</f>
        <v>#REF!</v>
      </c>
      <c r="BS395" s="68" t="s">
        <v>601</v>
      </c>
    </row>
    <row r="396" ht="15.6" hidden="1" spans="1:71">
      <c r="A396" s="53" t="s">
        <v>609</v>
      </c>
      <c r="B396" s="53" t="s">
        <v>27</v>
      </c>
      <c r="C396" s="171" t="s">
        <v>118</v>
      </c>
      <c r="D396" s="170" t="s">
        <v>719</v>
      </c>
      <c r="E396" s="179">
        <v>34.5</v>
      </c>
      <c r="F396" s="56">
        <v>49.99</v>
      </c>
      <c r="G396" s="59">
        <f t="shared" si="362"/>
        <v>49.99</v>
      </c>
      <c r="H396" s="59">
        <f t="shared" si="363"/>
        <v>41.6583333333333</v>
      </c>
      <c r="I396" s="59">
        <f t="shared" si="364"/>
        <v>16.1049144542773</v>
      </c>
      <c r="J396" s="60">
        <f t="shared" si="365"/>
        <v>0.466809114616733</v>
      </c>
      <c r="K396" s="57">
        <f t="shared" si="366"/>
        <v>41.6583333333333</v>
      </c>
      <c r="L396" s="163">
        <f t="shared" si="367"/>
        <v>0.171834366873375</v>
      </c>
      <c r="M396" s="59">
        <f t="shared" si="368"/>
        <v>7.15833333333334</v>
      </c>
      <c r="N396" s="57">
        <f t="shared" si="381"/>
        <v>87.646017699115</v>
      </c>
      <c r="O396" s="57">
        <f t="shared" si="369"/>
        <v>0.608333333333333</v>
      </c>
      <c r="P396" s="53">
        <v>30</v>
      </c>
      <c r="Q396" s="62">
        <v>8</v>
      </c>
      <c r="R396" s="63">
        <f t="shared" si="370"/>
        <v>0</v>
      </c>
      <c r="S396" s="60">
        <f t="shared" si="371"/>
        <v>0</v>
      </c>
      <c r="T396" s="63">
        <f t="shared" si="372"/>
        <v>0</v>
      </c>
      <c r="U396" s="63">
        <v>0.01</v>
      </c>
      <c r="V396" s="63">
        <f t="shared" si="373"/>
        <v>0.317558035141721</v>
      </c>
      <c r="W396" s="63">
        <f t="shared" si="374"/>
        <v>0.0176328502415459</v>
      </c>
      <c r="X396" s="61">
        <v>0.188</v>
      </c>
      <c r="Y396" s="64">
        <v>0</v>
      </c>
      <c r="Z396" s="64">
        <f>F396*0</f>
        <v>0</v>
      </c>
      <c r="AA396" s="64">
        <f t="shared" si="375"/>
        <v>0.345</v>
      </c>
      <c r="AB396" s="57">
        <f t="shared" si="376"/>
        <v>6.486</v>
      </c>
      <c r="AC396" s="57">
        <v>90</v>
      </c>
      <c r="AD396" s="65">
        <f t="shared" si="377"/>
        <v>79.646017699115</v>
      </c>
      <c r="AE396" s="62">
        <f t="shared" si="382"/>
        <v>1</v>
      </c>
      <c r="AF396" s="63">
        <f t="shared" si="378"/>
        <v>0.288572527895344</v>
      </c>
      <c r="AG396" s="63">
        <f t="shared" si="379"/>
        <v>0.0036231884057971</v>
      </c>
      <c r="AH396" s="62">
        <v>8</v>
      </c>
      <c r="AI396" s="63">
        <f t="shared" si="380"/>
        <v>0.32752950590118</v>
      </c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 t="s">
        <v>600</v>
      </c>
      <c r="AU396" s="66" t="s">
        <v>600</v>
      </c>
      <c r="AV396" s="66" t="s">
        <v>600</v>
      </c>
      <c r="AW396" s="66" t="s">
        <v>600</v>
      </c>
      <c r="AX396" s="66" t="s">
        <v>600</v>
      </c>
      <c r="AY396" s="66" t="s">
        <v>600</v>
      </c>
      <c r="AZ396" s="66" t="s">
        <v>600</v>
      </c>
      <c r="BA396" s="66" t="s">
        <v>600</v>
      </c>
      <c r="BB396" s="66" t="s">
        <v>600</v>
      </c>
      <c r="BC396" s="66" t="s">
        <v>600</v>
      </c>
      <c r="BD396" s="66" t="s">
        <v>600</v>
      </c>
      <c r="BE396" s="66" t="s">
        <v>600</v>
      </c>
      <c r="BF396" s="66" t="s">
        <v>600</v>
      </c>
      <c r="BG396" s="66" t="s">
        <v>600</v>
      </c>
      <c r="BH396" s="66" t="s">
        <v>600</v>
      </c>
      <c r="BI396" s="66" t="s">
        <v>600</v>
      </c>
      <c r="BJ396" s="66" t="s">
        <v>600</v>
      </c>
      <c r="BK396" s="66" t="s">
        <v>600</v>
      </c>
      <c r="BL396" s="66" t="s">
        <v>600</v>
      </c>
      <c r="BM396" s="66" t="s">
        <v>600</v>
      </c>
      <c r="BN396" s="66" t="s">
        <v>600</v>
      </c>
      <c r="BO396" s="66" t="s">
        <v>600</v>
      </c>
      <c r="BP396" s="66" t="s">
        <v>600</v>
      </c>
      <c r="BQ396" s="66" t="s">
        <v>600</v>
      </c>
      <c r="BR396" s="70" t="e">
        <f>IF(E396&lt;#REF!,1,0)</f>
        <v>#REF!</v>
      </c>
      <c r="BS396" s="68" t="s">
        <v>601</v>
      </c>
    </row>
    <row r="397" ht="15.6" hidden="1" spans="1:71">
      <c r="A397" s="53" t="s">
        <v>611</v>
      </c>
      <c r="B397" s="53" t="s">
        <v>27</v>
      </c>
      <c r="C397" s="171" t="s">
        <v>118</v>
      </c>
      <c r="D397" s="170" t="s">
        <v>720</v>
      </c>
      <c r="E397" s="179">
        <v>34.5</v>
      </c>
      <c r="F397" s="56">
        <v>49.99</v>
      </c>
      <c r="G397" s="59">
        <f t="shared" si="362"/>
        <v>49.99</v>
      </c>
      <c r="H397" s="59">
        <f t="shared" si="363"/>
        <v>41.6583333333333</v>
      </c>
      <c r="I397" s="59">
        <f t="shared" si="364"/>
        <v>16.2382477876106</v>
      </c>
      <c r="J397" s="60">
        <f t="shared" si="365"/>
        <v>0.47067384891625</v>
      </c>
      <c r="K397" s="57">
        <f t="shared" si="366"/>
        <v>41.6583333333333</v>
      </c>
      <c r="L397" s="163">
        <f t="shared" si="367"/>
        <v>0.171834366873375</v>
      </c>
      <c r="M397" s="59">
        <f t="shared" si="368"/>
        <v>7.15833333333334</v>
      </c>
      <c r="N397" s="57">
        <f t="shared" si="381"/>
        <v>87.646017699115</v>
      </c>
      <c r="O397" s="57">
        <f t="shared" si="369"/>
        <v>0.475</v>
      </c>
      <c r="P397" s="53">
        <v>30</v>
      </c>
      <c r="Q397" s="62">
        <v>8</v>
      </c>
      <c r="R397" s="63">
        <f t="shared" si="370"/>
        <v>0</v>
      </c>
      <c r="S397" s="60">
        <f t="shared" si="371"/>
        <v>0</v>
      </c>
      <c r="T397" s="63">
        <f t="shared" si="372"/>
        <v>0</v>
      </c>
      <c r="U397" s="63">
        <v>0.01</v>
      </c>
      <c r="V397" s="63">
        <f t="shared" si="373"/>
        <v>0.317558035141721</v>
      </c>
      <c r="W397" s="63">
        <f t="shared" si="374"/>
        <v>0.013768115942029</v>
      </c>
      <c r="X397" s="61">
        <v>0.188</v>
      </c>
      <c r="Y397" s="64">
        <v>0</v>
      </c>
      <c r="Z397" s="64">
        <f>F397*0</f>
        <v>0</v>
      </c>
      <c r="AA397" s="64">
        <f t="shared" si="375"/>
        <v>0.345</v>
      </c>
      <c r="AB397" s="57">
        <f t="shared" si="376"/>
        <v>6.486</v>
      </c>
      <c r="AC397" s="57">
        <v>90</v>
      </c>
      <c r="AD397" s="65">
        <f t="shared" si="377"/>
        <v>79.646017699115</v>
      </c>
      <c r="AE397" s="62">
        <f t="shared" si="382"/>
        <v>1</v>
      </c>
      <c r="AF397" s="63">
        <f t="shared" si="378"/>
        <v>0.288572527895344</v>
      </c>
      <c r="AG397" s="63">
        <f t="shared" si="379"/>
        <v>0.0036231884057971</v>
      </c>
      <c r="AH397" s="62">
        <v>8</v>
      </c>
      <c r="AI397" s="63">
        <f t="shared" si="380"/>
        <v>0.32752950590118</v>
      </c>
      <c r="AJ397" s="63"/>
      <c r="AK397" s="63"/>
      <c r="AL397" s="63"/>
      <c r="AM397" s="63"/>
      <c r="AN397" s="66"/>
      <c r="AO397" s="66"/>
      <c r="AP397" s="66"/>
      <c r="AQ397" s="66"/>
      <c r="AR397" s="66"/>
      <c r="AS397" s="66"/>
      <c r="AT397" s="66" t="s">
        <v>600</v>
      </c>
      <c r="AU397" s="66" t="s">
        <v>600</v>
      </c>
      <c r="AV397" s="66" t="s">
        <v>600</v>
      </c>
      <c r="AW397" s="66" t="s">
        <v>600</v>
      </c>
      <c r="AX397" s="66" t="s">
        <v>600</v>
      </c>
      <c r="AY397" s="66" t="s">
        <v>600</v>
      </c>
      <c r="AZ397" s="66" t="s">
        <v>600</v>
      </c>
      <c r="BA397" s="66" t="s">
        <v>600</v>
      </c>
      <c r="BB397" s="66" t="s">
        <v>600</v>
      </c>
      <c r="BC397" s="66" t="s">
        <v>600</v>
      </c>
      <c r="BD397" s="66" t="s">
        <v>600</v>
      </c>
      <c r="BE397" s="66" t="s">
        <v>600</v>
      </c>
      <c r="BF397" s="66" t="s">
        <v>600</v>
      </c>
      <c r="BG397" s="66" t="s">
        <v>600</v>
      </c>
      <c r="BH397" s="66" t="s">
        <v>600</v>
      </c>
      <c r="BI397" s="66" t="s">
        <v>600</v>
      </c>
      <c r="BJ397" s="66" t="s">
        <v>600</v>
      </c>
      <c r="BK397" s="66" t="s">
        <v>600</v>
      </c>
      <c r="BL397" s="66" t="s">
        <v>600</v>
      </c>
      <c r="BM397" s="66" t="s">
        <v>600</v>
      </c>
      <c r="BN397" s="66" t="s">
        <v>600</v>
      </c>
      <c r="BO397" s="66" t="s">
        <v>600</v>
      </c>
      <c r="BP397" s="66" t="s">
        <v>600</v>
      </c>
      <c r="BQ397" s="66" t="s">
        <v>600</v>
      </c>
      <c r="BR397" s="70" t="e">
        <f>IF(E397&lt;#REF!,1,0)</f>
        <v>#REF!</v>
      </c>
      <c r="BS397" s="68" t="s">
        <v>601</v>
      </c>
    </row>
    <row r="398" hidden="1"/>
    <row r="399" ht="15.6" hidden="1" spans="1:71">
      <c r="A399" s="68" t="s">
        <v>300</v>
      </c>
      <c r="B399" s="53" t="s">
        <v>27</v>
      </c>
      <c r="C399" s="175" t="s">
        <v>120</v>
      </c>
      <c r="D399" s="182" t="s">
        <v>721</v>
      </c>
      <c r="E399" s="179">
        <v>15.2</v>
      </c>
      <c r="F399" s="167">
        <v>21.99</v>
      </c>
      <c r="G399" s="59">
        <f t="shared" ref="G399:G417" si="383">(F399-Z399)</f>
        <v>21.99</v>
      </c>
      <c r="H399" s="59">
        <f t="shared" ref="H399:H417" si="384">(F399-Z399)/1.2</f>
        <v>18.325</v>
      </c>
      <c r="I399" s="59">
        <f t="shared" ref="I399:I417" si="385">E399-N399/Q399-AB399-Y399-O399-Z399-AA399</f>
        <v>3.79509665683382</v>
      </c>
      <c r="J399" s="60">
        <f t="shared" ref="J399:J417" si="386">I399/E399</f>
        <v>0.249677411633804</v>
      </c>
      <c r="K399" s="57">
        <f t="shared" ref="K399:K417" si="387">F399/1.2</f>
        <v>18.325</v>
      </c>
      <c r="L399" s="163">
        <f t="shared" ref="L399:L417" si="388">(K399-E399)/K399</f>
        <v>0.170532060027285</v>
      </c>
      <c r="M399" s="59">
        <f t="shared" ref="M399:M417" si="389">F399/1.2-E399</f>
        <v>3.125</v>
      </c>
      <c r="N399" s="57">
        <f>AD399+AH400</f>
        <v>41.3982300884956</v>
      </c>
      <c r="O399" s="57">
        <f t="shared" ref="O399:O417" si="390">IFERROR(IF(A399="UK",8.95/P399,IF(A399="DE",7.75/P399,IF(A399="FR",14.25/P399,IF(A399="IT",15.25/P399,IF(A399="ES",19.25/P399,IF(A399="NL",16.75/P399,IF(A399="PL",14.05/P399,IF(A399="SE",18.25/P399,IF(A399="BE",14.25/P399))))))))),0)</f>
        <v>0.4475</v>
      </c>
      <c r="P399" s="68">
        <v>20</v>
      </c>
      <c r="Q399" s="62">
        <v>9</v>
      </c>
      <c r="R399" s="63">
        <f t="shared" ref="R399:R417" si="391">Y399/E399</f>
        <v>0.230263157894737</v>
      </c>
      <c r="S399" s="60">
        <f t="shared" ref="S399:S417" si="392">Y399/F399</f>
        <v>0.159163256025466</v>
      </c>
      <c r="T399" s="63">
        <f t="shared" ref="T399:T417" si="393">Z399/E399</f>
        <v>0</v>
      </c>
      <c r="U399" s="63">
        <v>0.01</v>
      </c>
      <c r="V399" s="63">
        <f t="shared" ref="V399:V417" si="394">N399/(E399*Q399)</f>
        <v>0.302618640997775</v>
      </c>
      <c r="W399" s="63">
        <f t="shared" ref="W399:W417" si="395">O399/E399</f>
        <v>0.0294407894736842</v>
      </c>
      <c r="X399" s="61">
        <v>0.178</v>
      </c>
      <c r="Y399" s="64">
        <v>3.5</v>
      </c>
      <c r="Z399" s="64">
        <v>0</v>
      </c>
      <c r="AA399" s="64">
        <f t="shared" ref="AA399:AA417" si="396">E399*U399</f>
        <v>0.152</v>
      </c>
      <c r="AB399" s="57">
        <f t="shared" ref="AB399:AB417" si="397">E399*X399</f>
        <v>2.7056</v>
      </c>
      <c r="AC399" s="57">
        <v>40</v>
      </c>
      <c r="AD399" s="65">
        <f t="shared" ref="AD399:AD417" si="398">AC399/1.13</f>
        <v>35.3982300884956</v>
      </c>
      <c r="AE399" s="62">
        <f>AH400/Q399</f>
        <v>0.666666666666667</v>
      </c>
      <c r="AF399" s="63">
        <f t="shared" ref="AF399:AF417" si="399">AD399/(E399*Q399)</f>
        <v>0.258758991874968</v>
      </c>
      <c r="AG399" s="63">
        <f t="shared" ref="AG399:AG417" si="400">AE399/Q399/E399</f>
        <v>0.00487329434697856</v>
      </c>
      <c r="AH399" s="62">
        <v>6</v>
      </c>
      <c r="AI399" s="63">
        <f t="shared" ref="AI399:AI417" si="401">(H399-E399+AB399)/H399</f>
        <v>0.318177353342428</v>
      </c>
      <c r="AJ399" s="63"/>
      <c r="AK399" s="63"/>
      <c r="AL399" s="63"/>
      <c r="AM399" s="63"/>
      <c r="AN399" s="66"/>
      <c r="AO399" s="66"/>
      <c r="AP399" s="66"/>
      <c r="AQ399" s="66"/>
      <c r="AR399" s="66"/>
      <c r="AS399" s="66"/>
      <c r="AT399" s="66" t="s">
        <v>600</v>
      </c>
      <c r="AU399" s="66" t="s">
        <v>600</v>
      </c>
      <c r="AV399" s="66" t="s">
        <v>600</v>
      </c>
      <c r="AW399" s="66" t="s">
        <v>600</v>
      </c>
      <c r="AX399" s="66" t="s">
        <v>600</v>
      </c>
      <c r="AY399" s="66" t="s">
        <v>600</v>
      </c>
      <c r="AZ399" s="66" t="s">
        <v>600</v>
      </c>
      <c r="BA399" s="66" t="s">
        <v>600</v>
      </c>
      <c r="BB399" s="66" t="s">
        <v>600</v>
      </c>
      <c r="BC399" s="66" t="s">
        <v>600</v>
      </c>
      <c r="BD399" s="66" t="s">
        <v>600</v>
      </c>
      <c r="BE399" s="66" t="s">
        <v>600</v>
      </c>
      <c r="BF399" s="66" t="s">
        <v>600</v>
      </c>
      <c r="BG399" s="66" t="s">
        <v>600</v>
      </c>
      <c r="BH399" s="66" t="s">
        <v>600</v>
      </c>
      <c r="BI399" s="66" t="s">
        <v>600</v>
      </c>
      <c r="BJ399" s="66" t="s">
        <v>600</v>
      </c>
      <c r="BK399" s="66" t="s">
        <v>600</v>
      </c>
      <c r="BL399" s="66" t="s">
        <v>600</v>
      </c>
      <c r="BM399" s="66" t="s">
        <v>600</v>
      </c>
      <c r="BN399" s="66" t="s">
        <v>600</v>
      </c>
      <c r="BO399" s="66" t="s">
        <v>600</v>
      </c>
      <c r="BP399" s="66" t="s">
        <v>600</v>
      </c>
      <c r="BQ399" s="66" t="s">
        <v>600</v>
      </c>
      <c r="BR399" s="164"/>
      <c r="BS399" s="68" t="s">
        <v>601</v>
      </c>
    </row>
    <row r="400" ht="15.6" hidden="1" spans="1:71">
      <c r="A400" s="68" t="s">
        <v>300</v>
      </c>
      <c r="B400" s="53" t="s">
        <v>27</v>
      </c>
      <c r="C400" s="171" t="s">
        <v>120</v>
      </c>
      <c r="D400" s="182" t="s">
        <v>722</v>
      </c>
      <c r="E400" s="179">
        <v>15.2</v>
      </c>
      <c r="F400" s="56">
        <v>21.99</v>
      </c>
      <c r="G400" s="59">
        <f t="shared" si="383"/>
        <v>19.791</v>
      </c>
      <c r="H400" s="59">
        <f t="shared" si="384"/>
        <v>16.4925</v>
      </c>
      <c r="I400" s="165">
        <f t="shared" si="385"/>
        <v>1.59609665683382</v>
      </c>
      <c r="J400" s="60">
        <f t="shared" si="386"/>
        <v>0.105006359002225</v>
      </c>
      <c r="K400" s="57">
        <f t="shared" si="387"/>
        <v>18.325</v>
      </c>
      <c r="L400" s="163">
        <f t="shared" si="388"/>
        <v>0.170532060027285</v>
      </c>
      <c r="M400" s="59">
        <f t="shared" si="389"/>
        <v>3.125</v>
      </c>
      <c r="N400" s="57">
        <f>AD400+AH400</f>
        <v>41.3982300884956</v>
      </c>
      <c r="O400" s="57">
        <f t="shared" si="390"/>
        <v>0.4475</v>
      </c>
      <c r="P400" s="53">
        <v>20</v>
      </c>
      <c r="Q400" s="62">
        <v>9</v>
      </c>
      <c r="R400" s="63">
        <f t="shared" si="391"/>
        <v>0.230263157894737</v>
      </c>
      <c r="S400" s="60">
        <f t="shared" si="392"/>
        <v>0.159163256025466</v>
      </c>
      <c r="T400" s="63">
        <f t="shared" si="393"/>
        <v>0.144671052631579</v>
      </c>
      <c r="U400" s="63">
        <v>0.01</v>
      </c>
      <c r="V400" s="63">
        <f t="shared" si="394"/>
        <v>0.302618640997775</v>
      </c>
      <c r="W400" s="63">
        <f t="shared" si="395"/>
        <v>0.0294407894736842</v>
      </c>
      <c r="X400" s="61">
        <v>0.178</v>
      </c>
      <c r="Y400" s="64">
        <v>3.5</v>
      </c>
      <c r="Z400" s="64">
        <f>F400*0.1</f>
        <v>2.199</v>
      </c>
      <c r="AA400" s="64">
        <f t="shared" si="396"/>
        <v>0.152</v>
      </c>
      <c r="AB400" s="57">
        <f t="shared" si="397"/>
        <v>2.7056</v>
      </c>
      <c r="AC400" s="57">
        <v>40</v>
      </c>
      <c r="AD400" s="65">
        <f t="shared" si="398"/>
        <v>35.3982300884956</v>
      </c>
      <c r="AE400" s="62">
        <f>AH400/Q400</f>
        <v>0.666666666666667</v>
      </c>
      <c r="AF400" s="63">
        <f t="shared" si="399"/>
        <v>0.258758991874968</v>
      </c>
      <c r="AG400" s="63">
        <f t="shared" si="400"/>
        <v>0.00487329434697856</v>
      </c>
      <c r="AH400" s="62">
        <v>6</v>
      </c>
      <c r="AI400" s="63">
        <f t="shared" si="401"/>
        <v>0.242419281491587</v>
      </c>
      <c r="AJ400" s="63"/>
      <c r="AK400" s="63"/>
      <c r="AL400" s="63"/>
      <c r="AM400" s="63"/>
      <c r="AN400" s="66"/>
      <c r="AO400" s="66"/>
      <c r="AP400" s="66"/>
      <c r="AQ400" s="66"/>
      <c r="AR400" s="66"/>
      <c r="AS400" s="66"/>
      <c r="AT400" s="66" t="s">
        <v>600</v>
      </c>
      <c r="AU400" s="66" t="s">
        <v>600</v>
      </c>
      <c r="AV400" s="66" t="s">
        <v>600</v>
      </c>
      <c r="AW400" s="66" t="s">
        <v>600</v>
      </c>
      <c r="AX400" s="66" t="s">
        <v>600</v>
      </c>
      <c r="AY400" s="66" t="s">
        <v>600</v>
      </c>
      <c r="AZ400" s="66" t="s">
        <v>600</v>
      </c>
      <c r="BA400" s="66" t="s">
        <v>600</v>
      </c>
      <c r="BB400" s="66" t="s">
        <v>600</v>
      </c>
      <c r="BC400" s="66" t="s">
        <v>600</v>
      </c>
      <c r="BD400" s="66" t="s">
        <v>600</v>
      </c>
      <c r="BE400" s="66" t="s">
        <v>600</v>
      </c>
      <c r="BF400" s="66" t="s">
        <v>600</v>
      </c>
      <c r="BG400" s="66" t="s">
        <v>600</v>
      </c>
      <c r="BH400" s="66" t="s">
        <v>600</v>
      </c>
      <c r="BI400" s="66" t="s">
        <v>600</v>
      </c>
      <c r="BJ400" s="66" t="s">
        <v>600</v>
      </c>
      <c r="BK400" s="66" t="s">
        <v>600</v>
      </c>
      <c r="BL400" s="66" t="s">
        <v>600</v>
      </c>
      <c r="BM400" s="66" t="s">
        <v>600</v>
      </c>
      <c r="BN400" s="66" t="s">
        <v>600</v>
      </c>
      <c r="BO400" s="66" t="s">
        <v>600</v>
      </c>
      <c r="BP400" s="66" t="s">
        <v>600</v>
      </c>
      <c r="BQ400" s="66" t="s">
        <v>600</v>
      </c>
      <c r="BR400" s="164"/>
      <c r="BS400" s="68" t="s">
        <v>601</v>
      </c>
    </row>
    <row r="401" ht="15.6" hidden="1" spans="1:71">
      <c r="A401" s="68" t="s">
        <v>300</v>
      </c>
      <c r="B401" s="53" t="s">
        <v>27</v>
      </c>
      <c r="C401" s="171" t="s">
        <v>120</v>
      </c>
      <c r="D401" s="182" t="s">
        <v>723</v>
      </c>
      <c r="E401" s="179">
        <v>15.2</v>
      </c>
      <c r="F401" s="56">
        <v>21.99</v>
      </c>
      <c r="G401" s="59">
        <f t="shared" si="383"/>
        <v>18.6915</v>
      </c>
      <c r="H401" s="59">
        <f t="shared" si="384"/>
        <v>15.57625</v>
      </c>
      <c r="I401" s="59">
        <f t="shared" si="385"/>
        <v>0.496596656833824</v>
      </c>
      <c r="J401" s="60">
        <f t="shared" si="386"/>
        <v>0.0326708326864358</v>
      </c>
      <c r="K401" s="57">
        <f t="shared" si="387"/>
        <v>18.325</v>
      </c>
      <c r="L401" s="163">
        <f t="shared" si="388"/>
        <v>0.170532060027285</v>
      </c>
      <c r="M401" s="59">
        <f t="shared" si="389"/>
        <v>3.125</v>
      </c>
      <c r="N401" s="57">
        <f>AD401+AH401</f>
        <v>41.3982300884956</v>
      </c>
      <c r="O401" s="57">
        <f t="shared" si="390"/>
        <v>0.4475</v>
      </c>
      <c r="P401" s="53">
        <v>20</v>
      </c>
      <c r="Q401" s="62">
        <v>9</v>
      </c>
      <c r="R401" s="63">
        <f t="shared" si="391"/>
        <v>0.230263157894737</v>
      </c>
      <c r="S401" s="60">
        <f t="shared" si="392"/>
        <v>0.159163256025466</v>
      </c>
      <c r="T401" s="63">
        <f t="shared" si="393"/>
        <v>0.217006578947368</v>
      </c>
      <c r="U401" s="63">
        <v>0.01</v>
      </c>
      <c r="V401" s="63">
        <f t="shared" si="394"/>
        <v>0.302618640997775</v>
      </c>
      <c r="W401" s="63">
        <f t="shared" si="395"/>
        <v>0.0294407894736842</v>
      </c>
      <c r="X401" s="61">
        <v>0.178</v>
      </c>
      <c r="Y401" s="64">
        <v>3.5</v>
      </c>
      <c r="Z401" s="64">
        <f>F401*0.15</f>
        <v>3.2985</v>
      </c>
      <c r="AA401" s="64">
        <f t="shared" si="396"/>
        <v>0.152</v>
      </c>
      <c r="AB401" s="57">
        <f t="shared" si="397"/>
        <v>2.7056</v>
      </c>
      <c r="AC401" s="57">
        <v>40</v>
      </c>
      <c r="AD401" s="65">
        <f t="shared" si="398"/>
        <v>35.3982300884956</v>
      </c>
      <c r="AE401" s="62">
        <f>AH401/Q401</f>
        <v>0.666666666666667</v>
      </c>
      <c r="AF401" s="63">
        <f t="shared" si="399"/>
        <v>0.258758991874968</v>
      </c>
      <c r="AG401" s="63">
        <f t="shared" si="400"/>
        <v>0.00487329434697856</v>
      </c>
      <c r="AH401" s="62">
        <v>6</v>
      </c>
      <c r="AI401" s="63">
        <f t="shared" si="401"/>
        <v>0.197855709814622</v>
      </c>
      <c r="AJ401" s="63"/>
      <c r="AK401" s="63"/>
      <c r="AL401" s="63"/>
      <c r="AM401" s="63"/>
      <c r="AN401" s="66"/>
      <c r="AO401" s="66"/>
      <c r="AP401" s="66"/>
      <c r="AQ401" s="66"/>
      <c r="AR401" s="66"/>
      <c r="AS401" s="66"/>
      <c r="AT401" s="66" t="s">
        <v>600</v>
      </c>
      <c r="AU401" s="66" t="s">
        <v>600</v>
      </c>
      <c r="AV401" s="66" t="s">
        <v>600</v>
      </c>
      <c r="AW401" s="66" t="s">
        <v>600</v>
      </c>
      <c r="AX401" s="66" t="s">
        <v>600</v>
      </c>
      <c r="AY401" s="66" t="s">
        <v>600</v>
      </c>
      <c r="AZ401" s="66" t="s">
        <v>600</v>
      </c>
      <c r="BA401" s="66" t="s">
        <v>600</v>
      </c>
      <c r="BB401" s="66" t="s">
        <v>600</v>
      </c>
      <c r="BC401" s="66" t="s">
        <v>600</v>
      </c>
      <c r="BD401" s="66" t="s">
        <v>600</v>
      </c>
      <c r="BE401" s="66" t="s">
        <v>600</v>
      </c>
      <c r="BF401" s="66" t="s">
        <v>600</v>
      </c>
      <c r="BG401" s="66" t="s">
        <v>600</v>
      </c>
      <c r="BH401" s="66" t="s">
        <v>600</v>
      </c>
      <c r="BI401" s="66" t="s">
        <v>600</v>
      </c>
      <c r="BJ401" s="66" t="s">
        <v>600</v>
      </c>
      <c r="BK401" s="66" t="s">
        <v>600</v>
      </c>
      <c r="BL401" s="66" t="s">
        <v>600</v>
      </c>
      <c r="BM401" s="66" t="s">
        <v>600</v>
      </c>
      <c r="BN401" s="66" t="s">
        <v>600</v>
      </c>
      <c r="BO401" s="66" t="s">
        <v>600</v>
      </c>
      <c r="BP401" s="66" t="s">
        <v>600</v>
      </c>
      <c r="BQ401" s="66" t="s">
        <v>600</v>
      </c>
      <c r="BR401" s="164"/>
      <c r="BS401" s="68" t="s">
        <v>601</v>
      </c>
    </row>
    <row r="402" ht="15.6" hidden="1" spans="1:71">
      <c r="A402" s="53" t="s">
        <v>277</v>
      </c>
      <c r="B402" s="53" t="s">
        <v>27</v>
      </c>
      <c r="C402" s="171" t="s">
        <v>120</v>
      </c>
      <c r="D402" s="182" t="s">
        <v>721</v>
      </c>
      <c r="E402" s="179">
        <v>17.2</v>
      </c>
      <c r="F402" s="167">
        <v>24.99</v>
      </c>
      <c r="G402" s="59">
        <f t="shared" si="383"/>
        <v>24.99</v>
      </c>
      <c r="H402" s="59">
        <f t="shared" si="384"/>
        <v>20.825</v>
      </c>
      <c r="I402" s="59">
        <f t="shared" si="385"/>
        <v>4.73212123893805</v>
      </c>
      <c r="J402" s="60">
        <f t="shared" si="386"/>
        <v>0.275123327845236</v>
      </c>
      <c r="K402" s="57">
        <f t="shared" si="387"/>
        <v>20.825</v>
      </c>
      <c r="L402" s="163">
        <f t="shared" si="388"/>
        <v>0.17406962785114</v>
      </c>
      <c r="M402" s="59">
        <f t="shared" si="389"/>
        <v>3.625</v>
      </c>
      <c r="N402" s="57">
        <f>AD402+AH403</f>
        <v>41.3982300884956</v>
      </c>
      <c r="O402" s="57">
        <f t="shared" si="390"/>
        <v>0.3875</v>
      </c>
      <c r="P402" s="53">
        <v>20</v>
      </c>
      <c r="Q402" s="62">
        <v>8</v>
      </c>
      <c r="R402" s="63">
        <f t="shared" si="391"/>
        <v>0.203488372093023</v>
      </c>
      <c r="S402" s="60">
        <f t="shared" si="392"/>
        <v>0.140056022408964</v>
      </c>
      <c r="T402" s="63">
        <f t="shared" si="393"/>
        <v>0</v>
      </c>
      <c r="U402" s="63">
        <v>0.01</v>
      </c>
      <c r="V402" s="63">
        <f t="shared" si="394"/>
        <v>0.300859230294299</v>
      </c>
      <c r="W402" s="63">
        <f t="shared" si="395"/>
        <v>0.0225290697674419</v>
      </c>
      <c r="X402" s="61">
        <v>0.188</v>
      </c>
      <c r="Y402" s="64">
        <v>3.5</v>
      </c>
      <c r="Z402" s="64">
        <v>0</v>
      </c>
      <c r="AA402" s="64">
        <f t="shared" si="396"/>
        <v>0.172</v>
      </c>
      <c r="AB402" s="57">
        <f t="shared" si="397"/>
        <v>3.2336</v>
      </c>
      <c r="AC402" s="57">
        <v>40</v>
      </c>
      <c r="AD402" s="65">
        <f t="shared" si="398"/>
        <v>35.3982300884956</v>
      </c>
      <c r="AE402" s="62">
        <f>AH403/Q402</f>
        <v>0.75</v>
      </c>
      <c r="AF402" s="63">
        <f t="shared" si="399"/>
        <v>0.257254579131509</v>
      </c>
      <c r="AG402" s="63">
        <f t="shared" si="400"/>
        <v>0.00545058139534884</v>
      </c>
      <c r="AH402" s="62">
        <v>6</v>
      </c>
      <c r="AI402" s="63">
        <f t="shared" si="401"/>
        <v>0.329344537815126</v>
      </c>
      <c r="AJ402" s="63"/>
      <c r="AK402" s="63"/>
      <c r="AL402" s="63"/>
      <c r="AM402" s="63"/>
      <c r="AN402" s="66"/>
      <c r="AO402" s="66"/>
      <c r="AP402" s="66"/>
      <c r="AQ402" s="66"/>
      <c r="AR402" s="66"/>
      <c r="AS402" s="66"/>
      <c r="AT402" s="66" t="s">
        <v>600</v>
      </c>
      <c r="AU402" s="66" t="s">
        <v>600</v>
      </c>
      <c r="AV402" s="66" t="s">
        <v>600</v>
      </c>
      <c r="AW402" s="66" t="s">
        <v>600</v>
      </c>
      <c r="AX402" s="66" t="s">
        <v>600</v>
      </c>
      <c r="AY402" s="66" t="s">
        <v>600</v>
      </c>
      <c r="AZ402" s="66" t="s">
        <v>600</v>
      </c>
      <c r="BA402" s="66" t="s">
        <v>600</v>
      </c>
      <c r="BB402" s="66" t="s">
        <v>600</v>
      </c>
      <c r="BC402" s="66" t="s">
        <v>600</v>
      </c>
      <c r="BD402" s="66" t="s">
        <v>600</v>
      </c>
      <c r="BE402" s="66" t="s">
        <v>600</v>
      </c>
      <c r="BF402" s="66" t="s">
        <v>600</v>
      </c>
      <c r="BG402" s="66" t="s">
        <v>600</v>
      </c>
      <c r="BH402" s="66" t="s">
        <v>600</v>
      </c>
      <c r="BI402" s="66" t="s">
        <v>600</v>
      </c>
      <c r="BJ402" s="66" t="s">
        <v>600</v>
      </c>
      <c r="BK402" s="66" t="s">
        <v>600</v>
      </c>
      <c r="BL402" s="66" t="s">
        <v>600</v>
      </c>
      <c r="BM402" s="66" t="s">
        <v>600</v>
      </c>
      <c r="BN402" s="66" t="s">
        <v>600</v>
      </c>
      <c r="BO402" s="66" t="s">
        <v>600</v>
      </c>
      <c r="BP402" s="66" t="s">
        <v>600</v>
      </c>
      <c r="BQ402" s="66" t="s">
        <v>600</v>
      </c>
      <c r="BR402" s="164"/>
      <c r="BS402" s="68" t="s">
        <v>601</v>
      </c>
    </row>
    <row r="403" ht="15.6" hidden="1" spans="1:71">
      <c r="A403" s="53" t="s">
        <v>277</v>
      </c>
      <c r="B403" s="53" t="s">
        <v>27</v>
      </c>
      <c r="C403" s="171" t="s">
        <v>120</v>
      </c>
      <c r="D403" s="182" t="s">
        <v>722</v>
      </c>
      <c r="E403" s="179">
        <v>17.2</v>
      </c>
      <c r="F403" s="56">
        <v>24.99</v>
      </c>
      <c r="G403" s="59">
        <f t="shared" si="383"/>
        <v>22.491</v>
      </c>
      <c r="H403" s="59">
        <f t="shared" si="384"/>
        <v>18.7425</v>
      </c>
      <c r="I403" s="165">
        <f t="shared" si="385"/>
        <v>2.23312123893805</v>
      </c>
      <c r="J403" s="60">
        <f t="shared" si="386"/>
        <v>0.129832630170817</v>
      </c>
      <c r="K403" s="57">
        <f t="shared" si="387"/>
        <v>20.825</v>
      </c>
      <c r="L403" s="163">
        <f t="shared" si="388"/>
        <v>0.17406962785114</v>
      </c>
      <c r="M403" s="59">
        <f t="shared" si="389"/>
        <v>3.625</v>
      </c>
      <c r="N403" s="57">
        <f t="shared" ref="N403:N417" si="402">AD403+AH403</f>
        <v>41.3982300884956</v>
      </c>
      <c r="O403" s="57">
        <f t="shared" si="390"/>
        <v>0.3875</v>
      </c>
      <c r="P403" s="53">
        <v>20</v>
      </c>
      <c r="Q403" s="62">
        <v>8</v>
      </c>
      <c r="R403" s="63">
        <f t="shared" si="391"/>
        <v>0.203488372093023</v>
      </c>
      <c r="S403" s="60">
        <f t="shared" si="392"/>
        <v>0.140056022408964</v>
      </c>
      <c r="T403" s="63">
        <f t="shared" si="393"/>
        <v>0.145290697674419</v>
      </c>
      <c r="U403" s="63">
        <v>0.01</v>
      </c>
      <c r="V403" s="63">
        <f t="shared" si="394"/>
        <v>0.300859230294299</v>
      </c>
      <c r="W403" s="63">
        <f t="shared" si="395"/>
        <v>0.0225290697674419</v>
      </c>
      <c r="X403" s="61">
        <v>0.188</v>
      </c>
      <c r="Y403" s="64">
        <v>3.5</v>
      </c>
      <c r="Z403" s="64">
        <f>F403*0.1</f>
        <v>2.499</v>
      </c>
      <c r="AA403" s="64">
        <f t="shared" si="396"/>
        <v>0.172</v>
      </c>
      <c r="AB403" s="57">
        <f t="shared" si="397"/>
        <v>3.2336</v>
      </c>
      <c r="AC403" s="57">
        <v>40</v>
      </c>
      <c r="AD403" s="65">
        <f t="shared" si="398"/>
        <v>35.3982300884956</v>
      </c>
      <c r="AE403" s="62">
        <f t="shared" ref="AE403:AE417" si="403">AH403/Q403</f>
        <v>0.75</v>
      </c>
      <c r="AF403" s="63">
        <f t="shared" si="399"/>
        <v>0.257254579131509</v>
      </c>
      <c r="AG403" s="63">
        <f t="shared" si="400"/>
        <v>0.00545058139534884</v>
      </c>
      <c r="AH403" s="62">
        <v>6</v>
      </c>
      <c r="AI403" s="63">
        <f t="shared" si="401"/>
        <v>0.254827264239029</v>
      </c>
      <c r="AJ403" s="63"/>
      <c r="AK403" s="63"/>
      <c r="AL403" s="63"/>
      <c r="AM403" s="63"/>
      <c r="AN403" s="66"/>
      <c r="AO403" s="66"/>
      <c r="AP403" s="66"/>
      <c r="AQ403" s="66"/>
      <c r="AR403" s="66"/>
      <c r="AS403" s="66"/>
      <c r="AT403" s="66" t="s">
        <v>600</v>
      </c>
      <c r="AU403" s="66" t="s">
        <v>600</v>
      </c>
      <c r="AV403" s="66" t="s">
        <v>600</v>
      </c>
      <c r="AW403" s="66" t="s">
        <v>600</v>
      </c>
      <c r="AX403" s="66" t="s">
        <v>600</v>
      </c>
      <c r="AY403" s="66" t="s">
        <v>600</v>
      </c>
      <c r="AZ403" s="66" t="s">
        <v>600</v>
      </c>
      <c r="BA403" s="66" t="s">
        <v>600</v>
      </c>
      <c r="BB403" s="66" t="s">
        <v>600</v>
      </c>
      <c r="BC403" s="66" t="s">
        <v>600</v>
      </c>
      <c r="BD403" s="66" t="s">
        <v>600</v>
      </c>
      <c r="BE403" s="66" t="s">
        <v>600</v>
      </c>
      <c r="BF403" s="66" t="s">
        <v>600</v>
      </c>
      <c r="BG403" s="66" t="s">
        <v>600</v>
      </c>
      <c r="BH403" s="66" t="s">
        <v>600</v>
      </c>
      <c r="BI403" s="66" t="s">
        <v>600</v>
      </c>
      <c r="BJ403" s="66" t="s">
        <v>600</v>
      </c>
      <c r="BK403" s="66" t="s">
        <v>600</v>
      </c>
      <c r="BL403" s="66" t="s">
        <v>600</v>
      </c>
      <c r="BM403" s="66" t="s">
        <v>600</v>
      </c>
      <c r="BN403" s="66" t="s">
        <v>600</v>
      </c>
      <c r="BO403" s="66" t="s">
        <v>600</v>
      </c>
      <c r="BP403" s="66" t="s">
        <v>600</v>
      </c>
      <c r="BQ403" s="66" t="s">
        <v>600</v>
      </c>
      <c r="BR403" s="164"/>
      <c r="BS403" s="68" t="s">
        <v>601</v>
      </c>
    </row>
    <row r="404" ht="15.6" hidden="1" spans="1:71">
      <c r="A404" s="53" t="s">
        <v>277</v>
      </c>
      <c r="B404" s="53" t="s">
        <v>27</v>
      </c>
      <c r="C404" s="171" t="s">
        <v>120</v>
      </c>
      <c r="D404" s="182" t="s">
        <v>723</v>
      </c>
      <c r="E404" s="179">
        <v>17.2</v>
      </c>
      <c r="F404" s="56">
        <v>24.99</v>
      </c>
      <c r="G404" s="59">
        <f t="shared" si="383"/>
        <v>21.2415</v>
      </c>
      <c r="H404" s="59">
        <f t="shared" si="384"/>
        <v>17.70125</v>
      </c>
      <c r="I404" s="59">
        <f t="shared" si="385"/>
        <v>0.983621238938053</v>
      </c>
      <c r="J404" s="60">
        <f t="shared" si="386"/>
        <v>0.0571872813336077</v>
      </c>
      <c r="K404" s="57">
        <f t="shared" si="387"/>
        <v>20.825</v>
      </c>
      <c r="L404" s="163">
        <f t="shared" si="388"/>
        <v>0.17406962785114</v>
      </c>
      <c r="M404" s="59">
        <f t="shared" si="389"/>
        <v>3.625</v>
      </c>
      <c r="N404" s="57">
        <f t="shared" si="402"/>
        <v>41.3982300884956</v>
      </c>
      <c r="O404" s="57">
        <f t="shared" si="390"/>
        <v>0.3875</v>
      </c>
      <c r="P404" s="53">
        <v>20</v>
      </c>
      <c r="Q404" s="62">
        <v>8</v>
      </c>
      <c r="R404" s="63">
        <f t="shared" si="391"/>
        <v>0.203488372093023</v>
      </c>
      <c r="S404" s="60">
        <f t="shared" si="392"/>
        <v>0.140056022408964</v>
      </c>
      <c r="T404" s="63">
        <f t="shared" si="393"/>
        <v>0.217936046511628</v>
      </c>
      <c r="U404" s="63">
        <v>0.01</v>
      </c>
      <c r="V404" s="63">
        <f t="shared" si="394"/>
        <v>0.300859230294299</v>
      </c>
      <c r="W404" s="63">
        <f t="shared" si="395"/>
        <v>0.0225290697674419</v>
      </c>
      <c r="X404" s="61">
        <v>0.188</v>
      </c>
      <c r="Y404" s="64">
        <v>3.5</v>
      </c>
      <c r="Z404" s="64">
        <f>F404*0.15</f>
        <v>3.7485</v>
      </c>
      <c r="AA404" s="64">
        <f t="shared" si="396"/>
        <v>0.172</v>
      </c>
      <c r="AB404" s="57">
        <f t="shared" si="397"/>
        <v>3.2336</v>
      </c>
      <c r="AC404" s="57">
        <v>40</v>
      </c>
      <c r="AD404" s="65">
        <f t="shared" si="398"/>
        <v>35.3982300884956</v>
      </c>
      <c r="AE404" s="62">
        <f t="shared" si="403"/>
        <v>0.75</v>
      </c>
      <c r="AF404" s="63">
        <f t="shared" si="399"/>
        <v>0.257254579131509</v>
      </c>
      <c r="AG404" s="63">
        <f t="shared" si="400"/>
        <v>0.00545058139534884</v>
      </c>
      <c r="AH404" s="62">
        <v>6</v>
      </c>
      <c r="AI404" s="63">
        <f t="shared" si="401"/>
        <v>0.210993573900148</v>
      </c>
      <c r="AJ404" s="63"/>
      <c r="AK404" s="63"/>
      <c r="AL404" s="63"/>
      <c r="AM404" s="63"/>
      <c r="AN404" s="66"/>
      <c r="AO404" s="66"/>
      <c r="AP404" s="66"/>
      <c r="AQ404" s="66"/>
      <c r="AR404" s="66"/>
      <c r="AS404" s="66"/>
      <c r="AT404" s="66" t="s">
        <v>600</v>
      </c>
      <c r="AU404" s="66" t="s">
        <v>600</v>
      </c>
      <c r="AV404" s="66" t="s">
        <v>600</v>
      </c>
      <c r="AW404" s="66" t="s">
        <v>600</v>
      </c>
      <c r="AX404" s="66" t="s">
        <v>600</v>
      </c>
      <c r="AY404" s="66" t="s">
        <v>600</v>
      </c>
      <c r="AZ404" s="66" t="s">
        <v>600</v>
      </c>
      <c r="BA404" s="66" t="s">
        <v>600</v>
      </c>
      <c r="BB404" s="66" t="s">
        <v>600</v>
      </c>
      <c r="BC404" s="66" t="s">
        <v>600</v>
      </c>
      <c r="BD404" s="66" t="s">
        <v>600</v>
      </c>
      <c r="BE404" s="66" t="s">
        <v>600</v>
      </c>
      <c r="BF404" s="66" t="s">
        <v>600</v>
      </c>
      <c r="BG404" s="66" t="s">
        <v>600</v>
      </c>
      <c r="BH404" s="66" t="s">
        <v>600</v>
      </c>
      <c r="BI404" s="66" t="s">
        <v>600</v>
      </c>
      <c r="BJ404" s="66" t="s">
        <v>600</v>
      </c>
      <c r="BK404" s="66" t="s">
        <v>600</v>
      </c>
      <c r="BL404" s="66" t="s">
        <v>600</v>
      </c>
      <c r="BM404" s="66" t="s">
        <v>600</v>
      </c>
      <c r="BN404" s="66" t="s">
        <v>600</v>
      </c>
      <c r="BO404" s="66" t="s">
        <v>600</v>
      </c>
      <c r="BP404" s="66" t="s">
        <v>600</v>
      </c>
      <c r="BQ404" s="66" t="s">
        <v>600</v>
      </c>
      <c r="BR404" s="164"/>
      <c r="BS404" s="68" t="s">
        <v>601</v>
      </c>
    </row>
    <row r="405" ht="15.6" hidden="1" spans="1:71">
      <c r="A405" s="53" t="s">
        <v>511</v>
      </c>
      <c r="B405" s="53" t="s">
        <v>27</v>
      </c>
      <c r="C405" s="171" t="s">
        <v>120</v>
      </c>
      <c r="D405" s="182" t="s">
        <v>721</v>
      </c>
      <c r="E405" s="179">
        <v>17.2</v>
      </c>
      <c r="F405" s="56">
        <v>24.99</v>
      </c>
      <c r="G405" s="59">
        <f t="shared" si="383"/>
        <v>24.99</v>
      </c>
      <c r="H405" s="59">
        <f t="shared" si="384"/>
        <v>20.825</v>
      </c>
      <c r="I405" s="59">
        <f t="shared" si="385"/>
        <v>4.40712123893805</v>
      </c>
      <c r="J405" s="60">
        <f t="shared" si="386"/>
        <v>0.256227979008026</v>
      </c>
      <c r="K405" s="57">
        <f t="shared" si="387"/>
        <v>20.825</v>
      </c>
      <c r="L405" s="163">
        <f t="shared" si="388"/>
        <v>0.17406962785114</v>
      </c>
      <c r="M405" s="59">
        <f t="shared" si="389"/>
        <v>3.625</v>
      </c>
      <c r="N405" s="57">
        <f t="shared" si="402"/>
        <v>41.3982300884956</v>
      </c>
      <c r="O405" s="57">
        <f t="shared" si="390"/>
        <v>0.7125</v>
      </c>
      <c r="P405" s="53">
        <v>20</v>
      </c>
      <c r="Q405" s="62">
        <v>8</v>
      </c>
      <c r="R405" s="63">
        <f t="shared" si="391"/>
        <v>0.203488372093023</v>
      </c>
      <c r="S405" s="60">
        <f t="shared" si="392"/>
        <v>0.140056022408964</v>
      </c>
      <c r="T405" s="63">
        <f t="shared" si="393"/>
        <v>0</v>
      </c>
      <c r="U405" s="63">
        <v>0.01</v>
      </c>
      <c r="V405" s="63">
        <f t="shared" si="394"/>
        <v>0.300859230294299</v>
      </c>
      <c r="W405" s="63">
        <f t="shared" si="395"/>
        <v>0.0414244186046512</v>
      </c>
      <c r="X405" s="61">
        <v>0.188</v>
      </c>
      <c r="Y405" s="64">
        <v>3.5</v>
      </c>
      <c r="Z405" s="64">
        <v>0</v>
      </c>
      <c r="AA405" s="64">
        <f t="shared" si="396"/>
        <v>0.172</v>
      </c>
      <c r="AB405" s="57">
        <f t="shared" si="397"/>
        <v>3.2336</v>
      </c>
      <c r="AC405" s="57">
        <v>40</v>
      </c>
      <c r="AD405" s="65">
        <f t="shared" si="398"/>
        <v>35.3982300884956</v>
      </c>
      <c r="AE405" s="62">
        <f t="shared" si="403"/>
        <v>0.75</v>
      </c>
      <c r="AF405" s="63">
        <f t="shared" si="399"/>
        <v>0.257254579131509</v>
      </c>
      <c r="AG405" s="63">
        <f t="shared" si="400"/>
        <v>0.00545058139534884</v>
      </c>
      <c r="AH405" s="62">
        <v>6</v>
      </c>
      <c r="AI405" s="63">
        <f t="shared" si="401"/>
        <v>0.329344537815126</v>
      </c>
      <c r="AJ405" s="63"/>
      <c r="AK405" s="63"/>
      <c r="AL405" s="63"/>
      <c r="AM405" s="63"/>
      <c r="AN405" s="66"/>
      <c r="AO405" s="66"/>
      <c r="AP405" s="66"/>
      <c r="AQ405" s="66"/>
      <c r="AR405" s="66"/>
      <c r="AS405" s="66"/>
      <c r="AT405" s="66" t="s">
        <v>600</v>
      </c>
      <c r="AU405" s="66" t="s">
        <v>600</v>
      </c>
      <c r="AV405" s="66" t="s">
        <v>600</v>
      </c>
      <c r="AW405" s="66" t="s">
        <v>600</v>
      </c>
      <c r="AX405" s="66" t="s">
        <v>600</v>
      </c>
      <c r="AY405" s="66" t="s">
        <v>600</v>
      </c>
      <c r="AZ405" s="66" t="s">
        <v>600</v>
      </c>
      <c r="BA405" s="66" t="s">
        <v>600</v>
      </c>
      <c r="BB405" s="66" t="s">
        <v>600</v>
      </c>
      <c r="BC405" s="66" t="s">
        <v>600</v>
      </c>
      <c r="BD405" s="66" t="s">
        <v>600</v>
      </c>
      <c r="BE405" s="66" t="s">
        <v>600</v>
      </c>
      <c r="BF405" s="66" t="s">
        <v>600</v>
      </c>
      <c r="BG405" s="66" t="s">
        <v>600</v>
      </c>
      <c r="BH405" s="66" t="s">
        <v>600</v>
      </c>
      <c r="BI405" s="66" t="s">
        <v>600</v>
      </c>
      <c r="BJ405" s="66" t="s">
        <v>600</v>
      </c>
      <c r="BK405" s="66" t="s">
        <v>600</v>
      </c>
      <c r="BL405" s="66" t="s">
        <v>600</v>
      </c>
      <c r="BM405" s="66" t="s">
        <v>600</v>
      </c>
      <c r="BN405" s="66" t="s">
        <v>600</v>
      </c>
      <c r="BO405" s="66" t="s">
        <v>600</v>
      </c>
      <c r="BP405" s="66" t="s">
        <v>600</v>
      </c>
      <c r="BQ405" s="66" t="s">
        <v>600</v>
      </c>
      <c r="BR405" s="164"/>
      <c r="BS405" s="68" t="s">
        <v>601</v>
      </c>
    </row>
    <row r="406" ht="15.6" hidden="1" spans="1:71">
      <c r="A406" s="53" t="s">
        <v>511</v>
      </c>
      <c r="B406" s="53" t="s">
        <v>27</v>
      </c>
      <c r="C406" s="171" t="s">
        <v>120</v>
      </c>
      <c r="D406" s="182" t="s">
        <v>722</v>
      </c>
      <c r="E406" s="179">
        <v>17.2</v>
      </c>
      <c r="F406" s="56">
        <v>24.99</v>
      </c>
      <c r="G406" s="59">
        <f t="shared" si="383"/>
        <v>22.491</v>
      </c>
      <c r="H406" s="59">
        <f t="shared" si="384"/>
        <v>18.7425</v>
      </c>
      <c r="I406" s="165">
        <f t="shared" si="385"/>
        <v>1.90812123893805</v>
      </c>
      <c r="J406" s="60">
        <f t="shared" si="386"/>
        <v>0.110937281333608</v>
      </c>
      <c r="K406" s="57">
        <f t="shared" si="387"/>
        <v>20.825</v>
      </c>
      <c r="L406" s="163">
        <f t="shared" si="388"/>
        <v>0.17406962785114</v>
      </c>
      <c r="M406" s="59">
        <f t="shared" si="389"/>
        <v>3.625</v>
      </c>
      <c r="N406" s="57">
        <f t="shared" si="402"/>
        <v>41.3982300884956</v>
      </c>
      <c r="O406" s="57">
        <f t="shared" si="390"/>
        <v>0.7125</v>
      </c>
      <c r="P406" s="53">
        <v>20</v>
      </c>
      <c r="Q406" s="62">
        <v>8</v>
      </c>
      <c r="R406" s="63">
        <f t="shared" si="391"/>
        <v>0.203488372093023</v>
      </c>
      <c r="S406" s="60">
        <f t="shared" si="392"/>
        <v>0.140056022408964</v>
      </c>
      <c r="T406" s="63">
        <f t="shared" si="393"/>
        <v>0.145290697674419</v>
      </c>
      <c r="U406" s="63">
        <v>0.01</v>
      </c>
      <c r="V406" s="63">
        <f t="shared" si="394"/>
        <v>0.300859230294299</v>
      </c>
      <c r="W406" s="63">
        <f t="shared" si="395"/>
        <v>0.0414244186046512</v>
      </c>
      <c r="X406" s="61">
        <v>0.188</v>
      </c>
      <c r="Y406" s="64">
        <v>3.5</v>
      </c>
      <c r="Z406" s="64">
        <f>F406*0.1</f>
        <v>2.499</v>
      </c>
      <c r="AA406" s="64">
        <f t="shared" si="396"/>
        <v>0.172</v>
      </c>
      <c r="AB406" s="57">
        <f t="shared" si="397"/>
        <v>3.2336</v>
      </c>
      <c r="AC406" s="57">
        <v>40</v>
      </c>
      <c r="AD406" s="65">
        <f t="shared" si="398"/>
        <v>35.3982300884956</v>
      </c>
      <c r="AE406" s="62">
        <f t="shared" si="403"/>
        <v>0.75</v>
      </c>
      <c r="AF406" s="63">
        <f t="shared" si="399"/>
        <v>0.257254579131509</v>
      </c>
      <c r="AG406" s="63">
        <f t="shared" si="400"/>
        <v>0.00545058139534884</v>
      </c>
      <c r="AH406" s="62">
        <v>6</v>
      </c>
      <c r="AI406" s="63">
        <f t="shared" si="401"/>
        <v>0.254827264239029</v>
      </c>
      <c r="AJ406" s="63"/>
      <c r="AK406" s="63"/>
      <c r="AL406" s="63"/>
      <c r="AM406" s="63"/>
      <c r="AN406" s="66"/>
      <c r="AO406" s="66"/>
      <c r="AP406" s="66"/>
      <c r="AQ406" s="66"/>
      <c r="AR406" s="66"/>
      <c r="AS406" s="66"/>
      <c r="AT406" s="66" t="s">
        <v>600</v>
      </c>
      <c r="AU406" s="66" t="s">
        <v>600</v>
      </c>
      <c r="AV406" s="66" t="s">
        <v>600</v>
      </c>
      <c r="AW406" s="66" t="s">
        <v>600</v>
      </c>
      <c r="AX406" s="66" t="s">
        <v>600</v>
      </c>
      <c r="AY406" s="66" t="s">
        <v>600</v>
      </c>
      <c r="AZ406" s="66" t="s">
        <v>600</v>
      </c>
      <c r="BA406" s="66" t="s">
        <v>600</v>
      </c>
      <c r="BB406" s="66" t="s">
        <v>600</v>
      </c>
      <c r="BC406" s="66" t="s">
        <v>600</v>
      </c>
      <c r="BD406" s="66" t="s">
        <v>600</v>
      </c>
      <c r="BE406" s="66" t="s">
        <v>600</v>
      </c>
      <c r="BF406" s="66" t="s">
        <v>600</v>
      </c>
      <c r="BG406" s="66" t="s">
        <v>600</v>
      </c>
      <c r="BH406" s="66" t="s">
        <v>600</v>
      </c>
      <c r="BI406" s="66" t="s">
        <v>600</v>
      </c>
      <c r="BJ406" s="66" t="s">
        <v>600</v>
      </c>
      <c r="BK406" s="66" t="s">
        <v>600</v>
      </c>
      <c r="BL406" s="66" t="s">
        <v>600</v>
      </c>
      <c r="BM406" s="66" t="s">
        <v>600</v>
      </c>
      <c r="BN406" s="66" t="s">
        <v>600</v>
      </c>
      <c r="BO406" s="66" t="s">
        <v>600</v>
      </c>
      <c r="BP406" s="66" t="s">
        <v>600</v>
      </c>
      <c r="BQ406" s="66" t="s">
        <v>600</v>
      </c>
      <c r="BR406" s="164"/>
      <c r="BS406" s="68" t="s">
        <v>601</v>
      </c>
    </row>
    <row r="407" ht="15.6" hidden="1" spans="1:71">
      <c r="A407" s="53" t="s">
        <v>511</v>
      </c>
      <c r="B407" s="53" t="s">
        <v>27</v>
      </c>
      <c r="C407" s="171" t="s">
        <v>120</v>
      </c>
      <c r="D407" s="182" t="s">
        <v>723</v>
      </c>
      <c r="E407" s="179">
        <v>17.2</v>
      </c>
      <c r="F407" s="56">
        <v>24.99</v>
      </c>
      <c r="G407" s="59">
        <f t="shared" si="383"/>
        <v>21.2415</v>
      </c>
      <c r="H407" s="59">
        <f t="shared" si="384"/>
        <v>17.70125</v>
      </c>
      <c r="I407" s="59">
        <f t="shared" si="385"/>
        <v>0.658621238938053</v>
      </c>
      <c r="J407" s="60">
        <f t="shared" si="386"/>
        <v>0.0382919324963984</v>
      </c>
      <c r="K407" s="57">
        <f t="shared" si="387"/>
        <v>20.825</v>
      </c>
      <c r="L407" s="163">
        <f t="shared" si="388"/>
        <v>0.17406962785114</v>
      </c>
      <c r="M407" s="59">
        <f t="shared" si="389"/>
        <v>3.625</v>
      </c>
      <c r="N407" s="57">
        <f t="shared" si="402"/>
        <v>41.3982300884956</v>
      </c>
      <c r="O407" s="57">
        <f t="shared" si="390"/>
        <v>0.7125</v>
      </c>
      <c r="P407" s="53">
        <v>20</v>
      </c>
      <c r="Q407" s="62">
        <v>8</v>
      </c>
      <c r="R407" s="63">
        <f t="shared" si="391"/>
        <v>0.203488372093023</v>
      </c>
      <c r="S407" s="60">
        <f t="shared" si="392"/>
        <v>0.140056022408964</v>
      </c>
      <c r="T407" s="63">
        <f t="shared" si="393"/>
        <v>0.217936046511628</v>
      </c>
      <c r="U407" s="63">
        <v>0.01</v>
      </c>
      <c r="V407" s="63">
        <f t="shared" si="394"/>
        <v>0.300859230294299</v>
      </c>
      <c r="W407" s="63">
        <f t="shared" si="395"/>
        <v>0.0414244186046512</v>
      </c>
      <c r="X407" s="61">
        <v>0.188</v>
      </c>
      <c r="Y407" s="64">
        <v>3.5</v>
      </c>
      <c r="Z407" s="64">
        <f>F407*0.15</f>
        <v>3.7485</v>
      </c>
      <c r="AA407" s="64">
        <f t="shared" si="396"/>
        <v>0.172</v>
      </c>
      <c r="AB407" s="57">
        <f t="shared" si="397"/>
        <v>3.2336</v>
      </c>
      <c r="AC407" s="57">
        <v>40</v>
      </c>
      <c r="AD407" s="65">
        <f t="shared" si="398"/>
        <v>35.3982300884956</v>
      </c>
      <c r="AE407" s="62">
        <f t="shared" si="403"/>
        <v>0.75</v>
      </c>
      <c r="AF407" s="63">
        <f t="shared" si="399"/>
        <v>0.257254579131509</v>
      </c>
      <c r="AG407" s="63">
        <f t="shared" si="400"/>
        <v>0.00545058139534884</v>
      </c>
      <c r="AH407" s="62">
        <v>6</v>
      </c>
      <c r="AI407" s="63">
        <f t="shared" si="401"/>
        <v>0.210993573900148</v>
      </c>
      <c r="AJ407" s="63"/>
      <c r="AK407" s="63"/>
      <c r="AL407" s="63"/>
      <c r="AM407" s="63"/>
      <c r="AN407" s="66"/>
      <c r="AO407" s="66"/>
      <c r="AP407" s="66"/>
      <c r="AQ407" s="66"/>
      <c r="AR407" s="66"/>
      <c r="AS407" s="66"/>
      <c r="AT407" s="66" t="s">
        <v>600</v>
      </c>
      <c r="AU407" s="66" t="s">
        <v>600</v>
      </c>
      <c r="AV407" s="66" t="s">
        <v>600</v>
      </c>
      <c r="AW407" s="66" t="s">
        <v>600</v>
      </c>
      <c r="AX407" s="66" t="s">
        <v>600</v>
      </c>
      <c r="AY407" s="66" t="s">
        <v>600</v>
      </c>
      <c r="AZ407" s="66" t="s">
        <v>600</v>
      </c>
      <c r="BA407" s="66" t="s">
        <v>600</v>
      </c>
      <c r="BB407" s="66" t="s">
        <v>600</v>
      </c>
      <c r="BC407" s="66" t="s">
        <v>600</v>
      </c>
      <c r="BD407" s="66" t="s">
        <v>600</v>
      </c>
      <c r="BE407" s="66" t="s">
        <v>600</v>
      </c>
      <c r="BF407" s="66" t="s">
        <v>600</v>
      </c>
      <c r="BG407" s="66" t="s">
        <v>600</v>
      </c>
      <c r="BH407" s="66" t="s">
        <v>600</v>
      </c>
      <c r="BI407" s="66" t="s">
        <v>600</v>
      </c>
      <c r="BJ407" s="66" t="s">
        <v>600</v>
      </c>
      <c r="BK407" s="66" t="s">
        <v>600</v>
      </c>
      <c r="BL407" s="66" t="s">
        <v>600</v>
      </c>
      <c r="BM407" s="66" t="s">
        <v>600</v>
      </c>
      <c r="BN407" s="66" t="s">
        <v>600</v>
      </c>
      <c r="BO407" s="66" t="s">
        <v>600</v>
      </c>
      <c r="BP407" s="66" t="s">
        <v>600</v>
      </c>
      <c r="BQ407" s="66" t="s">
        <v>600</v>
      </c>
      <c r="BR407" s="164"/>
      <c r="BS407" s="68" t="s">
        <v>601</v>
      </c>
    </row>
    <row r="408" ht="15.6" hidden="1" spans="1:71">
      <c r="A408" s="53" t="s">
        <v>513</v>
      </c>
      <c r="B408" s="53" t="s">
        <v>27</v>
      </c>
      <c r="C408" s="171" t="s">
        <v>120</v>
      </c>
      <c r="D408" s="182" t="s">
        <v>721</v>
      </c>
      <c r="E408" s="179">
        <v>17.2</v>
      </c>
      <c r="F408" s="56">
        <v>24.99</v>
      </c>
      <c r="G408" s="59">
        <f t="shared" si="383"/>
        <v>24.99</v>
      </c>
      <c r="H408" s="59">
        <f t="shared" si="384"/>
        <v>20.825</v>
      </c>
      <c r="I408" s="59">
        <f t="shared" si="385"/>
        <v>4.35712123893805</v>
      </c>
      <c r="J408" s="60">
        <f t="shared" si="386"/>
        <v>0.25332100226384</v>
      </c>
      <c r="K408" s="57">
        <f t="shared" si="387"/>
        <v>20.825</v>
      </c>
      <c r="L408" s="163">
        <f t="shared" si="388"/>
        <v>0.17406962785114</v>
      </c>
      <c r="M408" s="59">
        <f t="shared" si="389"/>
        <v>3.625</v>
      </c>
      <c r="N408" s="57">
        <f t="shared" si="402"/>
        <v>41.3982300884956</v>
      </c>
      <c r="O408" s="57">
        <f t="shared" si="390"/>
        <v>0.7625</v>
      </c>
      <c r="P408" s="53">
        <v>20</v>
      </c>
      <c r="Q408" s="62">
        <v>8</v>
      </c>
      <c r="R408" s="63">
        <f t="shared" si="391"/>
        <v>0.203488372093023</v>
      </c>
      <c r="S408" s="60">
        <f t="shared" si="392"/>
        <v>0.140056022408964</v>
      </c>
      <c r="T408" s="63">
        <f t="shared" si="393"/>
        <v>0</v>
      </c>
      <c r="U408" s="63">
        <v>0.01</v>
      </c>
      <c r="V408" s="63">
        <f t="shared" si="394"/>
        <v>0.300859230294299</v>
      </c>
      <c r="W408" s="63">
        <f t="shared" si="395"/>
        <v>0.0443313953488372</v>
      </c>
      <c r="X408" s="61">
        <v>0.188</v>
      </c>
      <c r="Y408" s="64">
        <v>3.5</v>
      </c>
      <c r="Z408" s="64">
        <v>0</v>
      </c>
      <c r="AA408" s="64">
        <f t="shared" si="396"/>
        <v>0.172</v>
      </c>
      <c r="AB408" s="57">
        <f t="shared" si="397"/>
        <v>3.2336</v>
      </c>
      <c r="AC408" s="57">
        <v>40</v>
      </c>
      <c r="AD408" s="65">
        <f t="shared" si="398"/>
        <v>35.3982300884956</v>
      </c>
      <c r="AE408" s="62">
        <f t="shared" si="403"/>
        <v>0.75</v>
      </c>
      <c r="AF408" s="63">
        <f t="shared" si="399"/>
        <v>0.257254579131509</v>
      </c>
      <c r="AG408" s="63">
        <f t="shared" si="400"/>
        <v>0.00545058139534884</v>
      </c>
      <c r="AH408" s="62">
        <v>6</v>
      </c>
      <c r="AI408" s="60">
        <f t="shared" si="401"/>
        <v>0.329344537815126</v>
      </c>
      <c r="AJ408" s="60"/>
      <c r="AK408" s="60"/>
      <c r="AL408" s="60"/>
      <c r="AM408" s="60"/>
      <c r="AN408" s="66"/>
      <c r="AO408" s="66"/>
      <c r="AP408" s="66"/>
      <c r="AQ408" s="66"/>
      <c r="AR408" s="66"/>
      <c r="AS408" s="66"/>
      <c r="AT408" s="66" t="s">
        <v>600</v>
      </c>
      <c r="AU408" s="66" t="s">
        <v>600</v>
      </c>
      <c r="AV408" s="66" t="s">
        <v>600</v>
      </c>
      <c r="AW408" s="66" t="s">
        <v>600</v>
      </c>
      <c r="AX408" s="66" t="s">
        <v>600</v>
      </c>
      <c r="AY408" s="66" t="s">
        <v>600</v>
      </c>
      <c r="AZ408" s="66" t="s">
        <v>600</v>
      </c>
      <c r="BA408" s="66" t="s">
        <v>600</v>
      </c>
      <c r="BB408" s="66" t="s">
        <v>600</v>
      </c>
      <c r="BC408" s="66" t="s">
        <v>600</v>
      </c>
      <c r="BD408" s="66" t="s">
        <v>600</v>
      </c>
      <c r="BE408" s="66" t="s">
        <v>600</v>
      </c>
      <c r="BF408" s="66" t="s">
        <v>600</v>
      </c>
      <c r="BG408" s="66" t="s">
        <v>600</v>
      </c>
      <c r="BH408" s="66" t="s">
        <v>600</v>
      </c>
      <c r="BI408" s="66" t="s">
        <v>600</v>
      </c>
      <c r="BJ408" s="66" t="s">
        <v>600</v>
      </c>
      <c r="BK408" s="66" t="s">
        <v>600</v>
      </c>
      <c r="BL408" s="66" t="s">
        <v>600</v>
      </c>
      <c r="BM408" s="66" t="s">
        <v>600</v>
      </c>
      <c r="BN408" s="66" t="s">
        <v>600</v>
      </c>
      <c r="BO408" s="66" t="s">
        <v>600</v>
      </c>
      <c r="BP408" s="66" t="s">
        <v>600</v>
      </c>
      <c r="BQ408" s="66" t="s">
        <v>600</v>
      </c>
      <c r="BR408" s="164"/>
      <c r="BS408" s="68" t="s">
        <v>601</v>
      </c>
    </row>
    <row r="409" ht="15.6" hidden="1" spans="1:71">
      <c r="A409" s="53" t="s">
        <v>513</v>
      </c>
      <c r="B409" s="53" t="s">
        <v>27</v>
      </c>
      <c r="C409" s="171" t="s">
        <v>120</v>
      </c>
      <c r="D409" s="182" t="s">
        <v>722</v>
      </c>
      <c r="E409" s="179">
        <v>17.2</v>
      </c>
      <c r="F409" s="56">
        <v>24.99</v>
      </c>
      <c r="G409" s="59">
        <f t="shared" si="383"/>
        <v>22.491</v>
      </c>
      <c r="H409" s="59">
        <f t="shared" si="384"/>
        <v>18.7425</v>
      </c>
      <c r="I409" s="165">
        <f t="shared" si="385"/>
        <v>1.85812123893805</v>
      </c>
      <c r="J409" s="60">
        <f t="shared" si="386"/>
        <v>0.108030304589422</v>
      </c>
      <c r="K409" s="57">
        <f t="shared" si="387"/>
        <v>20.825</v>
      </c>
      <c r="L409" s="163">
        <f t="shared" si="388"/>
        <v>0.17406962785114</v>
      </c>
      <c r="M409" s="59">
        <f t="shared" si="389"/>
        <v>3.625</v>
      </c>
      <c r="N409" s="57">
        <f t="shared" si="402"/>
        <v>41.3982300884956</v>
      </c>
      <c r="O409" s="57">
        <f t="shared" si="390"/>
        <v>0.7625</v>
      </c>
      <c r="P409" s="53">
        <v>20</v>
      </c>
      <c r="Q409" s="62">
        <v>8</v>
      </c>
      <c r="R409" s="63">
        <f t="shared" si="391"/>
        <v>0.203488372093023</v>
      </c>
      <c r="S409" s="60">
        <f t="shared" si="392"/>
        <v>0.140056022408964</v>
      </c>
      <c r="T409" s="63">
        <f t="shared" si="393"/>
        <v>0.145290697674419</v>
      </c>
      <c r="U409" s="63">
        <v>0.01</v>
      </c>
      <c r="V409" s="63">
        <f t="shared" si="394"/>
        <v>0.300859230294299</v>
      </c>
      <c r="W409" s="63">
        <f t="shared" si="395"/>
        <v>0.0443313953488372</v>
      </c>
      <c r="X409" s="61">
        <v>0.188</v>
      </c>
      <c r="Y409" s="64">
        <v>3.5</v>
      </c>
      <c r="Z409" s="64">
        <f>F409*0.1</f>
        <v>2.499</v>
      </c>
      <c r="AA409" s="64">
        <f t="shared" si="396"/>
        <v>0.172</v>
      </c>
      <c r="AB409" s="57">
        <f t="shared" si="397"/>
        <v>3.2336</v>
      </c>
      <c r="AC409" s="57">
        <v>40</v>
      </c>
      <c r="AD409" s="65">
        <f t="shared" si="398"/>
        <v>35.3982300884956</v>
      </c>
      <c r="AE409" s="62">
        <f t="shared" si="403"/>
        <v>0.75</v>
      </c>
      <c r="AF409" s="63">
        <f t="shared" si="399"/>
        <v>0.257254579131509</v>
      </c>
      <c r="AG409" s="63">
        <f t="shared" si="400"/>
        <v>0.00545058139534884</v>
      </c>
      <c r="AH409" s="62">
        <v>6</v>
      </c>
      <c r="AI409" s="60">
        <f t="shared" si="401"/>
        <v>0.254827264239029</v>
      </c>
      <c r="AJ409" s="60"/>
      <c r="AK409" s="60"/>
      <c r="AL409" s="60"/>
      <c r="AM409" s="60"/>
      <c r="AN409" s="66"/>
      <c r="AO409" s="66"/>
      <c r="AP409" s="66"/>
      <c r="AQ409" s="66"/>
      <c r="AR409" s="66"/>
      <c r="AS409" s="66"/>
      <c r="AT409" s="66" t="s">
        <v>600</v>
      </c>
      <c r="AU409" s="66" t="s">
        <v>600</v>
      </c>
      <c r="AV409" s="66" t="s">
        <v>600</v>
      </c>
      <c r="AW409" s="66" t="s">
        <v>600</v>
      </c>
      <c r="AX409" s="66" t="s">
        <v>600</v>
      </c>
      <c r="AY409" s="66" t="s">
        <v>600</v>
      </c>
      <c r="AZ409" s="66" t="s">
        <v>600</v>
      </c>
      <c r="BA409" s="66" t="s">
        <v>600</v>
      </c>
      <c r="BB409" s="66" t="s">
        <v>600</v>
      </c>
      <c r="BC409" s="66" t="s">
        <v>600</v>
      </c>
      <c r="BD409" s="66" t="s">
        <v>600</v>
      </c>
      <c r="BE409" s="66" t="s">
        <v>600</v>
      </c>
      <c r="BF409" s="66" t="s">
        <v>600</v>
      </c>
      <c r="BG409" s="66" t="s">
        <v>600</v>
      </c>
      <c r="BH409" s="66" t="s">
        <v>600</v>
      </c>
      <c r="BI409" s="66" t="s">
        <v>600</v>
      </c>
      <c r="BJ409" s="66" t="s">
        <v>600</v>
      </c>
      <c r="BK409" s="66" t="s">
        <v>600</v>
      </c>
      <c r="BL409" s="66" t="s">
        <v>600</v>
      </c>
      <c r="BM409" s="66" t="s">
        <v>600</v>
      </c>
      <c r="BN409" s="66" t="s">
        <v>600</v>
      </c>
      <c r="BO409" s="66" t="s">
        <v>600</v>
      </c>
      <c r="BP409" s="66" t="s">
        <v>600</v>
      </c>
      <c r="BQ409" s="66" t="s">
        <v>600</v>
      </c>
      <c r="BR409" s="164"/>
      <c r="BS409" s="68" t="s">
        <v>601</v>
      </c>
    </row>
    <row r="410" ht="15.6" hidden="1" spans="1:71">
      <c r="A410" s="53" t="s">
        <v>513</v>
      </c>
      <c r="B410" s="53" t="s">
        <v>27</v>
      </c>
      <c r="C410" s="171" t="s">
        <v>120</v>
      </c>
      <c r="D410" s="182" t="s">
        <v>723</v>
      </c>
      <c r="E410" s="179">
        <v>17.2</v>
      </c>
      <c r="F410" s="56">
        <v>24.99</v>
      </c>
      <c r="G410" s="59">
        <f t="shared" si="383"/>
        <v>21.2415</v>
      </c>
      <c r="H410" s="59">
        <f t="shared" si="384"/>
        <v>17.70125</v>
      </c>
      <c r="I410" s="59">
        <f t="shared" si="385"/>
        <v>0.608621238938053</v>
      </c>
      <c r="J410" s="60">
        <f t="shared" si="386"/>
        <v>0.0353849557522124</v>
      </c>
      <c r="K410" s="57">
        <f t="shared" si="387"/>
        <v>20.825</v>
      </c>
      <c r="L410" s="163">
        <f t="shared" si="388"/>
        <v>0.17406962785114</v>
      </c>
      <c r="M410" s="59">
        <f t="shared" si="389"/>
        <v>3.625</v>
      </c>
      <c r="N410" s="57">
        <f t="shared" si="402"/>
        <v>41.3982300884956</v>
      </c>
      <c r="O410" s="57">
        <f t="shared" si="390"/>
        <v>0.7625</v>
      </c>
      <c r="P410" s="53">
        <v>20</v>
      </c>
      <c r="Q410" s="62">
        <v>8</v>
      </c>
      <c r="R410" s="63">
        <f t="shared" si="391"/>
        <v>0.203488372093023</v>
      </c>
      <c r="S410" s="60">
        <f t="shared" si="392"/>
        <v>0.140056022408964</v>
      </c>
      <c r="T410" s="63">
        <f t="shared" si="393"/>
        <v>0.217936046511628</v>
      </c>
      <c r="U410" s="63">
        <v>0.01</v>
      </c>
      <c r="V410" s="63">
        <f t="shared" si="394"/>
        <v>0.300859230294299</v>
      </c>
      <c r="W410" s="63">
        <f t="shared" si="395"/>
        <v>0.0443313953488372</v>
      </c>
      <c r="X410" s="61">
        <v>0.188</v>
      </c>
      <c r="Y410" s="64">
        <v>3.5</v>
      </c>
      <c r="Z410" s="64">
        <f>F410*0.15</f>
        <v>3.7485</v>
      </c>
      <c r="AA410" s="64">
        <f t="shared" si="396"/>
        <v>0.172</v>
      </c>
      <c r="AB410" s="57">
        <f t="shared" si="397"/>
        <v>3.2336</v>
      </c>
      <c r="AC410" s="57">
        <v>40</v>
      </c>
      <c r="AD410" s="65">
        <f t="shared" si="398"/>
        <v>35.3982300884956</v>
      </c>
      <c r="AE410" s="62">
        <f t="shared" si="403"/>
        <v>0.75</v>
      </c>
      <c r="AF410" s="63">
        <f t="shared" si="399"/>
        <v>0.257254579131509</v>
      </c>
      <c r="AG410" s="63">
        <f t="shared" si="400"/>
        <v>0.00545058139534884</v>
      </c>
      <c r="AH410" s="62">
        <v>6</v>
      </c>
      <c r="AI410" s="60">
        <f t="shared" si="401"/>
        <v>0.210993573900148</v>
      </c>
      <c r="AJ410" s="60"/>
      <c r="AK410" s="60"/>
      <c r="AL410" s="60"/>
      <c r="AM410" s="60"/>
      <c r="AN410" s="66"/>
      <c r="AO410" s="66"/>
      <c r="AP410" s="66"/>
      <c r="AQ410" s="66"/>
      <c r="AR410" s="66"/>
      <c r="AS410" s="66"/>
      <c r="AT410" s="66" t="s">
        <v>600</v>
      </c>
      <c r="AU410" s="66" t="s">
        <v>600</v>
      </c>
      <c r="AV410" s="66" t="s">
        <v>600</v>
      </c>
      <c r="AW410" s="66" t="s">
        <v>600</v>
      </c>
      <c r="AX410" s="66" t="s">
        <v>600</v>
      </c>
      <c r="AY410" s="66" t="s">
        <v>600</v>
      </c>
      <c r="AZ410" s="66" t="s">
        <v>600</v>
      </c>
      <c r="BA410" s="66" t="s">
        <v>600</v>
      </c>
      <c r="BB410" s="66" t="s">
        <v>600</v>
      </c>
      <c r="BC410" s="66" t="s">
        <v>600</v>
      </c>
      <c r="BD410" s="66" t="s">
        <v>600</v>
      </c>
      <c r="BE410" s="66" t="s">
        <v>600</v>
      </c>
      <c r="BF410" s="66" t="s">
        <v>600</v>
      </c>
      <c r="BG410" s="66" t="s">
        <v>600</v>
      </c>
      <c r="BH410" s="66" t="s">
        <v>600</v>
      </c>
      <c r="BI410" s="66" t="s">
        <v>600</v>
      </c>
      <c r="BJ410" s="66" t="s">
        <v>600</v>
      </c>
      <c r="BK410" s="66" t="s">
        <v>600</v>
      </c>
      <c r="BL410" s="66" t="s">
        <v>600</v>
      </c>
      <c r="BM410" s="66" t="s">
        <v>600</v>
      </c>
      <c r="BN410" s="66" t="s">
        <v>600</v>
      </c>
      <c r="BO410" s="66" t="s">
        <v>600</v>
      </c>
      <c r="BP410" s="66" t="s">
        <v>600</v>
      </c>
      <c r="BQ410" s="66" t="s">
        <v>600</v>
      </c>
      <c r="BR410" s="164"/>
      <c r="BS410" s="68" t="s">
        <v>601</v>
      </c>
    </row>
    <row r="411" ht="15.6" hidden="1" spans="1:71">
      <c r="A411" s="53" t="s">
        <v>516</v>
      </c>
      <c r="B411" s="53" t="s">
        <v>27</v>
      </c>
      <c r="C411" s="171" t="s">
        <v>120</v>
      </c>
      <c r="D411" s="182" t="s">
        <v>721</v>
      </c>
      <c r="E411" s="179">
        <v>17.2</v>
      </c>
      <c r="F411" s="56">
        <v>24.99</v>
      </c>
      <c r="G411" s="59">
        <f t="shared" si="383"/>
        <v>24.99</v>
      </c>
      <c r="H411" s="59">
        <f t="shared" si="384"/>
        <v>20.825</v>
      </c>
      <c r="I411" s="59">
        <f t="shared" si="385"/>
        <v>4.15712123893805</v>
      </c>
      <c r="J411" s="60">
        <f t="shared" si="386"/>
        <v>0.241693095287096</v>
      </c>
      <c r="K411" s="57">
        <f t="shared" si="387"/>
        <v>20.825</v>
      </c>
      <c r="L411" s="163">
        <f t="shared" si="388"/>
        <v>0.17406962785114</v>
      </c>
      <c r="M411" s="59">
        <f t="shared" si="389"/>
        <v>3.625</v>
      </c>
      <c r="N411" s="57">
        <f t="shared" si="402"/>
        <v>41.3982300884956</v>
      </c>
      <c r="O411" s="57">
        <f t="shared" si="390"/>
        <v>0.9625</v>
      </c>
      <c r="P411" s="53">
        <v>20</v>
      </c>
      <c r="Q411" s="62">
        <v>8</v>
      </c>
      <c r="R411" s="63">
        <f t="shared" si="391"/>
        <v>0.203488372093023</v>
      </c>
      <c r="S411" s="60">
        <f t="shared" si="392"/>
        <v>0.140056022408964</v>
      </c>
      <c r="T411" s="63">
        <f t="shared" si="393"/>
        <v>0</v>
      </c>
      <c r="U411" s="63">
        <v>0.01</v>
      </c>
      <c r="V411" s="63">
        <f t="shared" si="394"/>
        <v>0.300859230294299</v>
      </c>
      <c r="W411" s="63">
        <f t="shared" si="395"/>
        <v>0.0559593023255814</v>
      </c>
      <c r="X411" s="61">
        <v>0.188</v>
      </c>
      <c r="Y411" s="64">
        <v>3.5</v>
      </c>
      <c r="Z411" s="64">
        <v>0</v>
      </c>
      <c r="AA411" s="64">
        <f t="shared" si="396"/>
        <v>0.172</v>
      </c>
      <c r="AB411" s="57">
        <f t="shared" si="397"/>
        <v>3.2336</v>
      </c>
      <c r="AC411" s="57">
        <v>40</v>
      </c>
      <c r="AD411" s="65">
        <f t="shared" si="398"/>
        <v>35.3982300884956</v>
      </c>
      <c r="AE411" s="62">
        <f t="shared" si="403"/>
        <v>0.75</v>
      </c>
      <c r="AF411" s="63">
        <f t="shared" si="399"/>
        <v>0.257254579131509</v>
      </c>
      <c r="AG411" s="63">
        <f t="shared" si="400"/>
        <v>0.00545058139534884</v>
      </c>
      <c r="AH411" s="62">
        <v>6</v>
      </c>
      <c r="AI411" s="63">
        <f t="shared" si="401"/>
        <v>0.329344537815126</v>
      </c>
      <c r="AJ411" s="63"/>
      <c r="AK411" s="63"/>
      <c r="AL411" s="63"/>
      <c r="AM411" s="63"/>
      <c r="AN411" s="66"/>
      <c r="AO411" s="66"/>
      <c r="AP411" s="66"/>
      <c r="AQ411" s="66"/>
      <c r="AR411" s="66"/>
      <c r="AS411" s="66"/>
      <c r="AT411" s="66" t="s">
        <v>600</v>
      </c>
      <c r="AU411" s="66" t="s">
        <v>600</v>
      </c>
      <c r="AV411" s="66" t="s">
        <v>600</v>
      </c>
      <c r="AW411" s="66" t="s">
        <v>600</v>
      </c>
      <c r="AX411" s="66" t="s">
        <v>600</v>
      </c>
      <c r="AY411" s="66" t="s">
        <v>600</v>
      </c>
      <c r="AZ411" s="66" t="s">
        <v>600</v>
      </c>
      <c r="BA411" s="66" t="s">
        <v>600</v>
      </c>
      <c r="BB411" s="66" t="s">
        <v>600</v>
      </c>
      <c r="BC411" s="66" t="s">
        <v>600</v>
      </c>
      <c r="BD411" s="66" t="s">
        <v>600</v>
      </c>
      <c r="BE411" s="66" t="s">
        <v>600</v>
      </c>
      <c r="BF411" s="66" t="s">
        <v>600</v>
      </c>
      <c r="BG411" s="66" t="s">
        <v>600</v>
      </c>
      <c r="BH411" s="66" t="s">
        <v>600</v>
      </c>
      <c r="BI411" s="66" t="s">
        <v>600</v>
      </c>
      <c r="BJ411" s="66" t="s">
        <v>600</v>
      </c>
      <c r="BK411" s="66" t="s">
        <v>600</v>
      </c>
      <c r="BL411" s="66" t="s">
        <v>600</v>
      </c>
      <c r="BM411" s="66" t="s">
        <v>600</v>
      </c>
      <c r="BN411" s="66" t="s">
        <v>600</v>
      </c>
      <c r="BO411" s="66" t="s">
        <v>600</v>
      </c>
      <c r="BP411" s="66" t="s">
        <v>600</v>
      </c>
      <c r="BQ411" s="66" t="s">
        <v>600</v>
      </c>
      <c r="BR411" s="164"/>
      <c r="BS411" s="68" t="s">
        <v>601</v>
      </c>
    </row>
    <row r="412" ht="15.6" hidden="1" spans="1:71">
      <c r="A412" s="53" t="s">
        <v>516</v>
      </c>
      <c r="B412" s="53" t="s">
        <v>27</v>
      </c>
      <c r="C412" s="171" t="s">
        <v>120</v>
      </c>
      <c r="D412" s="182" t="s">
        <v>722</v>
      </c>
      <c r="E412" s="179">
        <v>17.2</v>
      </c>
      <c r="F412" s="56">
        <v>24.99</v>
      </c>
      <c r="G412" s="59">
        <f t="shared" si="383"/>
        <v>22.491</v>
      </c>
      <c r="H412" s="59">
        <f t="shared" si="384"/>
        <v>18.7425</v>
      </c>
      <c r="I412" s="165">
        <f t="shared" si="385"/>
        <v>1.65812123893805</v>
      </c>
      <c r="J412" s="60">
        <f t="shared" si="386"/>
        <v>0.0964023976126775</v>
      </c>
      <c r="K412" s="57">
        <f t="shared" si="387"/>
        <v>20.825</v>
      </c>
      <c r="L412" s="163">
        <f t="shared" si="388"/>
        <v>0.17406962785114</v>
      </c>
      <c r="M412" s="59">
        <f t="shared" si="389"/>
        <v>3.625</v>
      </c>
      <c r="N412" s="57">
        <f t="shared" si="402"/>
        <v>41.3982300884956</v>
      </c>
      <c r="O412" s="57">
        <f t="shared" si="390"/>
        <v>0.9625</v>
      </c>
      <c r="P412" s="53">
        <v>20</v>
      </c>
      <c r="Q412" s="62">
        <v>8</v>
      </c>
      <c r="R412" s="63">
        <f t="shared" si="391"/>
        <v>0.203488372093023</v>
      </c>
      <c r="S412" s="60">
        <f t="shared" si="392"/>
        <v>0.140056022408964</v>
      </c>
      <c r="T412" s="63">
        <f t="shared" si="393"/>
        <v>0.145290697674419</v>
      </c>
      <c r="U412" s="63">
        <v>0.01</v>
      </c>
      <c r="V412" s="63">
        <f t="shared" si="394"/>
        <v>0.300859230294299</v>
      </c>
      <c r="W412" s="63">
        <f t="shared" si="395"/>
        <v>0.0559593023255814</v>
      </c>
      <c r="X412" s="61">
        <v>0.188</v>
      </c>
      <c r="Y412" s="64">
        <v>3.5</v>
      </c>
      <c r="Z412" s="64">
        <f>F412*0.1</f>
        <v>2.499</v>
      </c>
      <c r="AA412" s="64">
        <f t="shared" si="396"/>
        <v>0.172</v>
      </c>
      <c r="AB412" s="57">
        <f t="shared" si="397"/>
        <v>3.2336</v>
      </c>
      <c r="AC412" s="57">
        <v>40</v>
      </c>
      <c r="AD412" s="65">
        <f t="shared" si="398"/>
        <v>35.3982300884956</v>
      </c>
      <c r="AE412" s="62">
        <f t="shared" si="403"/>
        <v>0.75</v>
      </c>
      <c r="AF412" s="63">
        <f t="shared" si="399"/>
        <v>0.257254579131509</v>
      </c>
      <c r="AG412" s="63">
        <f t="shared" si="400"/>
        <v>0.00545058139534884</v>
      </c>
      <c r="AH412" s="62">
        <v>6</v>
      </c>
      <c r="AI412" s="63">
        <f t="shared" si="401"/>
        <v>0.254827264239029</v>
      </c>
      <c r="AJ412" s="63"/>
      <c r="AK412" s="63"/>
      <c r="AL412" s="63"/>
      <c r="AM412" s="63"/>
      <c r="AN412" s="66"/>
      <c r="AO412" s="66"/>
      <c r="AP412" s="66"/>
      <c r="AQ412" s="66"/>
      <c r="AR412" s="66"/>
      <c r="AS412" s="66"/>
      <c r="AT412" s="66" t="s">
        <v>600</v>
      </c>
      <c r="AU412" s="66" t="s">
        <v>600</v>
      </c>
      <c r="AV412" s="66" t="s">
        <v>600</v>
      </c>
      <c r="AW412" s="66" t="s">
        <v>600</v>
      </c>
      <c r="AX412" s="66" t="s">
        <v>600</v>
      </c>
      <c r="AY412" s="66" t="s">
        <v>600</v>
      </c>
      <c r="AZ412" s="66" t="s">
        <v>600</v>
      </c>
      <c r="BA412" s="66" t="s">
        <v>600</v>
      </c>
      <c r="BB412" s="66" t="s">
        <v>600</v>
      </c>
      <c r="BC412" s="66" t="s">
        <v>600</v>
      </c>
      <c r="BD412" s="66" t="s">
        <v>600</v>
      </c>
      <c r="BE412" s="66" t="s">
        <v>600</v>
      </c>
      <c r="BF412" s="66" t="s">
        <v>600</v>
      </c>
      <c r="BG412" s="66" t="s">
        <v>600</v>
      </c>
      <c r="BH412" s="66" t="s">
        <v>600</v>
      </c>
      <c r="BI412" s="66" t="s">
        <v>600</v>
      </c>
      <c r="BJ412" s="66" t="s">
        <v>600</v>
      </c>
      <c r="BK412" s="66" t="s">
        <v>600</v>
      </c>
      <c r="BL412" s="66" t="s">
        <v>600</v>
      </c>
      <c r="BM412" s="66" t="s">
        <v>600</v>
      </c>
      <c r="BN412" s="66" t="s">
        <v>600</v>
      </c>
      <c r="BO412" s="66" t="s">
        <v>600</v>
      </c>
      <c r="BP412" s="66" t="s">
        <v>600</v>
      </c>
      <c r="BQ412" s="66" t="s">
        <v>600</v>
      </c>
      <c r="BR412" s="164"/>
      <c r="BS412" s="68" t="s">
        <v>601</v>
      </c>
    </row>
    <row r="413" ht="15.6" hidden="1" spans="1:71">
      <c r="A413" s="53" t="s">
        <v>516</v>
      </c>
      <c r="B413" s="53" t="s">
        <v>27</v>
      </c>
      <c r="C413" s="171" t="s">
        <v>120</v>
      </c>
      <c r="D413" s="182" t="s">
        <v>723</v>
      </c>
      <c r="E413" s="179">
        <v>17.2</v>
      </c>
      <c r="F413" s="56">
        <v>24.99</v>
      </c>
      <c r="G413" s="59">
        <f t="shared" si="383"/>
        <v>21.2415</v>
      </c>
      <c r="H413" s="59">
        <f t="shared" si="384"/>
        <v>17.70125</v>
      </c>
      <c r="I413" s="59">
        <f t="shared" si="385"/>
        <v>0.408621238938053</v>
      </c>
      <c r="J413" s="60">
        <f t="shared" si="386"/>
        <v>0.0237570487754682</v>
      </c>
      <c r="K413" s="57">
        <f t="shared" si="387"/>
        <v>20.825</v>
      </c>
      <c r="L413" s="163">
        <f t="shared" si="388"/>
        <v>0.17406962785114</v>
      </c>
      <c r="M413" s="59">
        <f t="shared" si="389"/>
        <v>3.625</v>
      </c>
      <c r="N413" s="57">
        <f t="shared" si="402"/>
        <v>41.3982300884956</v>
      </c>
      <c r="O413" s="57">
        <f t="shared" si="390"/>
        <v>0.9625</v>
      </c>
      <c r="P413" s="53">
        <v>20</v>
      </c>
      <c r="Q413" s="62">
        <v>8</v>
      </c>
      <c r="R413" s="63">
        <f t="shared" si="391"/>
        <v>0.203488372093023</v>
      </c>
      <c r="S413" s="60">
        <f t="shared" si="392"/>
        <v>0.140056022408964</v>
      </c>
      <c r="T413" s="63">
        <f t="shared" si="393"/>
        <v>0.217936046511628</v>
      </c>
      <c r="U413" s="63">
        <v>0.01</v>
      </c>
      <c r="V413" s="63">
        <f t="shared" si="394"/>
        <v>0.300859230294299</v>
      </c>
      <c r="W413" s="63">
        <f t="shared" si="395"/>
        <v>0.0559593023255814</v>
      </c>
      <c r="X413" s="61">
        <v>0.188</v>
      </c>
      <c r="Y413" s="64">
        <v>3.5</v>
      </c>
      <c r="Z413" s="64">
        <f>F413*0.15</f>
        <v>3.7485</v>
      </c>
      <c r="AA413" s="64">
        <f t="shared" si="396"/>
        <v>0.172</v>
      </c>
      <c r="AB413" s="57">
        <f t="shared" si="397"/>
        <v>3.2336</v>
      </c>
      <c r="AC413" s="57">
        <v>40</v>
      </c>
      <c r="AD413" s="65">
        <f t="shared" si="398"/>
        <v>35.3982300884956</v>
      </c>
      <c r="AE413" s="62">
        <f t="shared" si="403"/>
        <v>0.75</v>
      </c>
      <c r="AF413" s="63">
        <f t="shared" si="399"/>
        <v>0.257254579131509</v>
      </c>
      <c r="AG413" s="63">
        <f t="shared" si="400"/>
        <v>0.00545058139534884</v>
      </c>
      <c r="AH413" s="62">
        <v>6</v>
      </c>
      <c r="AI413" s="63">
        <f t="shared" si="401"/>
        <v>0.210993573900148</v>
      </c>
      <c r="AJ413" s="63"/>
      <c r="AK413" s="63"/>
      <c r="AL413" s="63"/>
      <c r="AM413" s="63"/>
      <c r="AN413" s="66"/>
      <c r="AO413" s="66"/>
      <c r="AP413" s="66"/>
      <c r="AQ413" s="66"/>
      <c r="AR413" s="66"/>
      <c r="AS413" s="66"/>
      <c r="AT413" s="66" t="s">
        <v>600</v>
      </c>
      <c r="AU413" s="66" t="s">
        <v>600</v>
      </c>
      <c r="AV413" s="66" t="s">
        <v>600</v>
      </c>
      <c r="AW413" s="66" t="s">
        <v>600</v>
      </c>
      <c r="AX413" s="66" t="s">
        <v>600</v>
      </c>
      <c r="AY413" s="66" t="s">
        <v>600</v>
      </c>
      <c r="AZ413" s="66" t="s">
        <v>600</v>
      </c>
      <c r="BA413" s="66" t="s">
        <v>600</v>
      </c>
      <c r="BB413" s="66" t="s">
        <v>600</v>
      </c>
      <c r="BC413" s="66" t="s">
        <v>600</v>
      </c>
      <c r="BD413" s="66" t="s">
        <v>600</v>
      </c>
      <c r="BE413" s="66" t="s">
        <v>600</v>
      </c>
      <c r="BF413" s="66" t="s">
        <v>600</v>
      </c>
      <c r="BG413" s="66" t="s">
        <v>600</v>
      </c>
      <c r="BH413" s="66" t="s">
        <v>600</v>
      </c>
      <c r="BI413" s="66" t="s">
        <v>600</v>
      </c>
      <c r="BJ413" s="66" t="s">
        <v>600</v>
      </c>
      <c r="BK413" s="66" t="s">
        <v>600</v>
      </c>
      <c r="BL413" s="66" t="s">
        <v>600</v>
      </c>
      <c r="BM413" s="66" t="s">
        <v>600</v>
      </c>
      <c r="BN413" s="66" t="s">
        <v>600</v>
      </c>
      <c r="BO413" s="66" t="s">
        <v>600</v>
      </c>
      <c r="BP413" s="66" t="s">
        <v>600</v>
      </c>
      <c r="BQ413" s="66" t="s">
        <v>600</v>
      </c>
      <c r="BR413" s="164"/>
      <c r="BS413" s="68" t="s">
        <v>601</v>
      </c>
    </row>
    <row r="414" ht="15.6" hidden="1" spans="1:71">
      <c r="A414" s="53" t="s">
        <v>605</v>
      </c>
      <c r="B414" s="53" t="s">
        <v>27</v>
      </c>
      <c r="C414" s="171" t="s">
        <v>120</v>
      </c>
      <c r="D414" s="170" t="s">
        <v>724</v>
      </c>
      <c r="E414" s="179">
        <v>17.2</v>
      </c>
      <c r="F414" s="56">
        <v>24.99</v>
      </c>
      <c r="G414" s="59">
        <f t="shared" si="383"/>
        <v>24.99</v>
      </c>
      <c r="H414" s="59">
        <f t="shared" si="384"/>
        <v>20.825</v>
      </c>
      <c r="I414" s="59">
        <f t="shared" si="385"/>
        <v>4.28212123893805</v>
      </c>
      <c r="J414" s="60">
        <f t="shared" si="386"/>
        <v>0.248960537147561</v>
      </c>
      <c r="K414" s="57">
        <f t="shared" si="387"/>
        <v>20.825</v>
      </c>
      <c r="L414" s="163">
        <f t="shared" si="388"/>
        <v>0.17406962785114</v>
      </c>
      <c r="M414" s="59">
        <f t="shared" si="389"/>
        <v>3.625</v>
      </c>
      <c r="N414" s="57">
        <f t="shared" si="402"/>
        <v>41.3982300884956</v>
      </c>
      <c r="O414" s="57">
        <f t="shared" si="390"/>
        <v>0.8375</v>
      </c>
      <c r="P414" s="53">
        <v>20</v>
      </c>
      <c r="Q414" s="62">
        <v>8</v>
      </c>
      <c r="R414" s="63">
        <f t="shared" si="391"/>
        <v>0.203488372093023</v>
      </c>
      <c r="S414" s="60">
        <f t="shared" si="392"/>
        <v>0.140056022408964</v>
      </c>
      <c r="T414" s="63">
        <f t="shared" si="393"/>
        <v>0</v>
      </c>
      <c r="U414" s="63">
        <v>0.01</v>
      </c>
      <c r="V414" s="63">
        <f t="shared" si="394"/>
        <v>0.300859230294299</v>
      </c>
      <c r="W414" s="63">
        <f t="shared" si="395"/>
        <v>0.0486918604651163</v>
      </c>
      <c r="X414" s="61">
        <v>0.188</v>
      </c>
      <c r="Y414" s="64">
        <v>3.5</v>
      </c>
      <c r="Z414" s="64">
        <f>F414*0</f>
        <v>0</v>
      </c>
      <c r="AA414" s="64">
        <f t="shared" si="396"/>
        <v>0.172</v>
      </c>
      <c r="AB414" s="57">
        <f t="shared" si="397"/>
        <v>3.2336</v>
      </c>
      <c r="AC414" s="57">
        <v>40</v>
      </c>
      <c r="AD414" s="65">
        <f t="shared" si="398"/>
        <v>35.3982300884956</v>
      </c>
      <c r="AE414" s="62">
        <f t="shared" si="403"/>
        <v>0.75</v>
      </c>
      <c r="AF414" s="63">
        <f t="shared" si="399"/>
        <v>0.257254579131509</v>
      </c>
      <c r="AG414" s="63">
        <f t="shared" si="400"/>
        <v>0.00545058139534884</v>
      </c>
      <c r="AH414" s="62">
        <v>6</v>
      </c>
      <c r="AI414" s="63">
        <f t="shared" si="401"/>
        <v>0.329344537815126</v>
      </c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 t="s">
        <v>600</v>
      </c>
      <c r="AU414" s="66" t="s">
        <v>600</v>
      </c>
      <c r="AV414" s="66" t="s">
        <v>600</v>
      </c>
      <c r="AW414" s="66" t="s">
        <v>600</v>
      </c>
      <c r="AX414" s="66" t="s">
        <v>600</v>
      </c>
      <c r="AY414" s="66" t="s">
        <v>600</v>
      </c>
      <c r="AZ414" s="66" t="s">
        <v>600</v>
      </c>
      <c r="BA414" s="66" t="s">
        <v>600</v>
      </c>
      <c r="BB414" s="66" t="s">
        <v>600</v>
      </c>
      <c r="BC414" s="66" t="s">
        <v>600</v>
      </c>
      <c r="BD414" s="66" t="s">
        <v>600</v>
      </c>
      <c r="BE414" s="66" t="s">
        <v>600</v>
      </c>
      <c r="BF414" s="66" t="s">
        <v>600</v>
      </c>
      <c r="BG414" s="66" t="s">
        <v>600</v>
      </c>
      <c r="BH414" s="66" t="s">
        <v>600</v>
      </c>
      <c r="BI414" s="66" t="s">
        <v>600</v>
      </c>
      <c r="BJ414" s="66" t="s">
        <v>600</v>
      </c>
      <c r="BK414" s="66" t="s">
        <v>600</v>
      </c>
      <c r="BL414" s="66" t="s">
        <v>600</v>
      </c>
      <c r="BM414" s="66" t="s">
        <v>600</v>
      </c>
      <c r="BN414" s="66" t="s">
        <v>600</v>
      </c>
      <c r="BO414" s="66" t="s">
        <v>600</v>
      </c>
      <c r="BP414" s="66" t="s">
        <v>600</v>
      </c>
      <c r="BQ414" s="66" t="s">
        <v>600</v>
      </c>
      <c r="BR414" s="70" t="e">
        <f>IF(E414&lt;#REF!,1,0)</f>
        <v>#REF!</v>
      </c>
      <c r="BS414" s="68" t="s">
        <v>601</v>
      </c>
    </row>
    <row r="415" ht="15.6" hidden="1" spans="1:71">
      <c r="A415" s="53" t="s">
        <v>607</v>
      </c>
      <c r="B415" s="53" t="s">
        <v>27</v>
      </c>
      <c r="C415" s="171" t="s">
        <v>120</v>
      </c>
      <c r="D415" s="170" t="s">
        <v>725</v>
      </c>
      <c r="E415" s="179">
        <v>17.2</v>
      </c>
      <c r="F415" s="56">
        <v>24.99</v>
      </c>
      <c r="G415" s="59">
        <f t="shared" si="383"/>
        <v>24.99</v>
      </c>
      <c r="H415" s="59">
        <f t="shared" si="384"/>
        <v>20.825</v>
      </c>
      <c r="I415" s="59">
        <f t="shared" si="385"/>
        <v>4.41712123893805</v>
      </c>
      <c r="J415" s="60">
        <f t="shared" si="386"/>
        <v>0.256809374356864</v>
      </c>
      <c r="K415" s="57">
        <f t="shared" si="387"/>
        <v>20.825</v>
      </c>
      <c r="L415" s="163">
        <f t="shared" si="388"/>
        <v>0.17406962785114</v>
      </c>
      <c r="M415" s="59">
        <f t="shared" si="389"/>
        <v>3.625</v>
      </c>
      <c r="N415" s="57">
        <f t="shared" si="402"/>
        <v>41.3982300884956</v>
      </c>
      <c r="O415" s="57">
        <f t="shared" si="390"/>
        <v>0.7025</v>
      </c>
      <c r="P415" s="53">
        <v>20</v>
      </c>
      <c r="Q415" s="62">
        <v>8</v>
      </c>
      <c r="R415" s="63">
        <f t="shared" si="391"/>
        <v>0.203488372093023</v>
      </c>
      <c r="S415" s="60">
        <f t="shared" si="392"/>
        <v>0.140056022408964</v>
      </c>
      <c r="T415" s="63">
        <f t="shared" si="393"/>
        <v>0</v>
      </c>
      <c r="U415" s="63">
        <v>0.01</v>
      </c>
      <c r="V415" s="63">
        <f t="shared" si="394"/>
        <v>0.300859230294299</v>
      </c>
      <c r="W415" s="63">
        <f t="shared" si="395"/>
        <v>0.040843023255814</v>
      </c>
      <c r="X415" s="61">
        <v>0.188</v>
      </c>
      <c r="Y415" s="64">
        <v>3.5</v>
      </c>
      <c r="Z415" s="64">
        <f>F415*0</f>
        <v>0</v>
      </c>
      <c r="AA415" s="64">
        <f t="shared" si="396"/>
        <v>0.172</v>
      </c>
      <c r="AB415" s="57">
        <f t="shared" si="397"/>
        <v>3.2336</v>
      </c>
      <c r="AC415" s="57">
        <v>40</v>
      </c>
      <c r="AD415" s="65">
        <f t="shared" si="398"/>
        <v>35.3982300884956</v>
      </c>
      <c r="AE415" s="62">
        <f t="shared" si="403"/>
        <v>0.75</v>
      </c>
      <c r="AF415" s="63">
        <f t="shared" si="399"/>
        <v>0.257254579131509</v>
      </c>
      <c r="AG415" s="63">
        <f t="shared" si="400"/>
        <v>0.00545058139534884</v>
      </c>
      <c r="AH415" s="62">
        <v>6</v>
      </c>
      <c r="AI415" s="63">
        <f t="shared" si="401"/>
        <v>0.329344537815126</v>
      </c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 t="s">
        <v>600</v>
      </c>
      <c r="AU415" s="66" t="s">
        <v>600</v>
      </c>
      <c r="AV415" s="66" t="s">
        <v>600</v>
      </c>
      <c r="AW415" s="66" t="s">
        <v>600</v>
      </c>
      <c r="AX415" s="66" t="s">
        <v>600</v>
      </c>
      <c r="AY415" s="66" t="s">
        <v>600</v>
      </c>
      <c r="AZ415" s="66" t="s">
        <v>600</v>
      </c>
      <c r="BA415" s="66" t="s">
        <v>600</v>
      </c>
      <c r="BB415" s="66" t="s">
        <v>600</v>
      </c>
      <c r="BC415" s="66" t="s">
        <v>600</v>
      </c>
      <c r="BD415" s="66" t="s">
        <v>600</v>
      </c>
      <c r="BE415" s="66" t="s">
        <v>600</v>
      </c>
      <c r="BF415" s="66" t="s">
        <v>600</v>
      </c>
      <c r="BG415" s="66" t="s">
        <v>600</v>
      </c>
      <c r="BH415" s="66" t="s">
        <v>600</v>
      </c>
      <c r="BI415" s="66" t="s">
        <v>600</v>
      </c>
      <c r="BJ415" s="66" t="s">
        <v>600</v>
      </c>
      <c r="BK415" s="66" t="s">
        <v>600</v>
      </c>
      <c r="BL415" s="66" t="s">
        <v>600</v>
      </c>
      <c r="BM415" s="66" t="s">
        <v>600</v>
      </c>
      <c r="BN415" s="66" t="s">
        <v>600</v>
      </c>
      <c r="BO415" s="66" t="s">
        <v>600</v>
      </c>
      <c r="BP415" s="66" t="s">
        <v>600</v>
      </c>
      <c r="BQ415" s="66" t="s">
        <v>600</v>
      </c>
      <c r="BR415" s="70" t="e">
        <f>IF(E415&lt;#REF!,1,0)</f>
        <v>#REF!</v>
      </c>
      <c r="BS415" s="68" t="s">
        <v>601</v>
      </c>
    </row>
    <row r="416" ht="15.6" hidden="1" spans="1:71">
      <c r="A416" s="53" t="s">
        <v>609</v>
      </c>
      <c r="B416" s="53" t="s">
        <v>27</v>
      </c>
      <c r="C416" s="171" t="s">
        <v>120</v>
      </c>
      <c r="D416" s="170" t="s">
        <v>726</v>
      </c>
      <c r="E416" s="179">
        <v>17.2</v>
      </c>
      <c r="F416" s="56">
        <v>24.99</v>
      </c>
      <c r="G416" s="59">
        <f t="shared" si="383"/>
        <v>24.99</v>
      </c>
      <c r="H416" s="59">
        <f t="shared" si="384"/>
        <v>20.825</v>
      </c>
      <c r="I416" s="59">
        <f t="shared" si="385"/>
        <v>4.20712123893805</v>
      </c>
      <c r="J416" s="60">
        <f t="shared" si="386"/>
        <v>0.244600072031282</v>
      </c>
      <c r="K416" s="57">
        <f t="shared" si="387"/>
        <v>20.825</v>
      </c>
      <c r="L416" s="163">
        <f t="shared" si="388"/>
        <v>0.17406962785114</v>
      </c>
      <c r="M416" s="59">
        <f t="shared" si="389"/>
        <v>3.625</v>
      </c>
      <c r="N416" s="57">
        <f t="shared" si="402"/>
        <v>41.3982300884956</v>
      </c>
      <c r="O416" s="57">
        <f t="shared" si="390"/>
        <v>0.9125</v>
      </c>
      <c r="P416" s="53">
        <v>20</v>
      </c>
      <c r="Q416" s="62">
        <v>8</v>
      </c>
      <c r="R416" s="63">
        <f t="shared" si="391"/>
        <v>0.203488372093023</v>
      </c>
      <c r="S416" s="60">
        <f t="shared" si="392"/>
        <v>0.140056022408964</v>
      </c>
      <c r="T416" s="63">
        <f t="shared" si="393"/>
        <v>0</v>
      </c>
      <c r="U416" s="63">
        <v>0.01</v>
      </c>
      <c r="V416" s="63">
        <f t="shared" si="394"/>
        <v>0.300859230294299</v>
      </c>
      <c r="W416" s="63">
        <f t="shared" si="395"/>
        <v>0.0530523255813954</v>
      </c>
      <c r="X416" s="61">
        <v>0.188</v>
      </c>
      <c r="Y416" s="64">
        <v>3.5</v>
      </c>
      <c r="Z416" s="64">
        <f>F416*0</f>
        <v>0</v>
      </c>
      <c r="AA416" s="64">
        <f t="shared" si="396"/>
        <v>0.172</v>
      </c>
      <c r="AB416" s="57">
        <f t="shared" si="397"/>
        <v>3.2336</v>
      </c>
      <c r="AC416" s="57">
        <v>40</v>
      </c>
      <c r="AD416" s="65">
        <f t="shared" si="398"/>
        <v>35.3982300884956</v>
      </c>
      <c r="AE416" s="62">
        <f t="shared" si="403"/>
        <v>0.75</v>
      </c>
      <c r="AF416" s="63">
        <f t="shared" si="399"/>
        <v>0.257254579131509</v>
      </c>
      <c r="AG416" s="63">
        <f t="shared" si="400"/>
        <v>0.00545058139534884</v>
      </c>
      <c r="AH416" s="62">
        <v>6</v>
      </c>
      <c r="AI416" s="63">
        <f t="shared" si="401"/>
        <v>0.329344537815126</v>
      </c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 t="s">
        <v>600</v>
      </c>
      <c r="AU416" s="66" t="s">
        <v>600</v>
      </c>
      <c r="AV416" s="66" t="s">
        <v>600</v>
      </c>
      <c r="AW416" s="66" t="s">
        <v>600</v>
      </c>
      <c r="AX416" s="66" t="s">
        <v>600</v>
      </c>
      <c r="AY416" s="66" t="s">
        <v>600</v>
      </c>
      <c r="AZ416" s="66" t="s">
        <v>600</v>
      </c>
      <c r="BA416" s="66" t="s">
        <v>600</v>
      </c>
      <c r="BB416" s="66" t="s">
        <v>600</v>
      </c>
      <c r="BC416" s="66" t="s">
        <v>600</v>
      </c>
      <c r="BD416" s="66" t="s">
        <v>600</v>
      </c>
      <c r="BE416" s="66" t="s">
        <v>600</v>
      </c>
      <c r="BF416" s="66" t="s">
        <v>600</v>
      </c>
      <c r="BG416" s="66" t="s">
        <v>600</v>
      </c>
      <c r="BH416" s="66" t="s">
        <v>600</v>
      </c>
      <c r="BI416" s="66" t="s">
        <v>600</v>
      </c>
      <c r="BJ416" s="66" t="s">
        <v>600</v>
      </c>
      <c r="BK416" s="66" t="s">
        <v>600</v>
      </c>
      <c r="BL416" s="66" t="s">
        <v>600</v>
      </c>
      <c r="BM416" s="66" t="s">
        <v>600</v>
      </c>
      <c r="BN416" s="66" t="s">
        <v>600</v>
      </c>
      <c r="BO416" s="66" t="s">
        <v>600</v>
      </c>
      <c r="BP416" s="66" t="s">
        <v>600</v>
      </c>
      <c r="BQ416" s="66" t="s">
        <v>600</v>
      </c>
      <c r="BR416" s="70" t="e">
        <f>IF(E416&lt;#REF!,1,0)</f>
        <v>#REF!</v>
      </c>
      <c r="BS416" s="68" t="s">
        <v>601</v>
      </c>
    </row>
    <row r="417" ht="15.6" hidden="1" spans="1:71">
      <c r="A417" s="53" t="s">
        <v>611</v>
      </c>
      <c r="B417" s="53" t="s">
        <v>27</v>
      </c>
      <c r="C417" s="171" t="s">
        <v>120</v>
      </c>
      <c r="D417" s="170" t="s">
        <v>727</v>
      </c>
      <c r="E417" s="179">
        <v>17.2</v>
      </c>
      <c r="F417" s="56">
        <v>24.99</v>
      </c>
      <c r="G417" s="59">
        <f t="shared" si="383"/>
        <v>24.99</v>
      </c>
      <c r="H417" s="59">
        <f t="shared" si="384"/>
        <v>20.825</v>
      </c>
      <c r="I417" s="59">
        <f t="shared" si="385"/>
        <v>4.40712123893805</v>
      </c>
      <c r="J417" s="60">
        <f t="shared" si="386"/>
        <v>0.256227979008026</v>
      </c>
      <c r="K417" s="57">
        <f t="shared" si="387"/>
        <v>20.825</v>
      </c>
      <c r="L417" s="163">
        <f t="shared" si="388"/>
        <v>0.17406962785114</v>
      </c>
      <c r="M417" s="59">
        <f t="shared" si="389"/>
        <v>3.625</v>
      </c>
      <c r="N417" s="57">
        <f t="shared" si="402"/>
        <v>41.3982300884956</v>
      </c>
      <c r="O417" s="57">
        <f t="shared" si="390"/>
        <v>0.7125</v>
      </c>
      <c r="P417" s="53">
        <v>20</v>
      </c>
      <c r="Q417" s="62">
        <v>8</v>
      </c>
      <c r="R417" s="63">
        <f t="shared" si="391"/>
        <v>0.203488372093023</v>
      </c>
      <c r="S417" s="60">
        <f t="shared" si="392"/>
        <v>0.140056022408964</v>
      </c>
      <c r="T417" s="63">
        <f t="shared" si="393"/>
        <v>0</v>
      </c>
      <c r="U417" s="63">
        <v>0.01</v>
      </c>
      <c r="V417" s="63">
        <f t="shared" si="394"/>
        <v>0.300859230294299</v>
      </c>
      <c r="W417" s="63">
        <f t="shared" si="395"/>
        <v>0.0414244186046512</v>
      </c>
      <c r="X417" s="61">
        <v>0.188</v>
      </c>
      <c r="Y417" s="64">
        <v>3.5</v>
      </c>
      <c r="Z417" s="64">
        <f>F417*0</f>
        <v>0</v>
      </c>
      <c r="AA417" s="64">
        <f t="shared" si="396"/>
        <v>0.172</v>
      </c>
      <c r="AB417" s="57">
        <f t="shared" si="397"/>
        <v>3.2336</v>
      </c>
      <c r="AC417" s="57">
        <v>40</v>
      </c>
      <c r="AD417" s="65">
        <f t="shared" si="398"/>
        <v>35.3982300884956</v>
      </c>
      <c r="AE417" s="62">
        <f t="shared" si="403"/>
        <v>0.75</v>
      </c>
      <c r="AF417" s="63">
        <f t="shared" si="399"/>
        <v>0.257254579131509</v>
      </c>
      <c r="AG417" s="63">
        <f t="shared" si="400"/>
        <v>0.00545058139534884</v>
      </c>
      <c r="AH417" s="62">
        <v>6</v>
      </c>
      <c r="AI417" s="63">
        <f t="shared" si="401"/>
        <v>0.329344537815126</v>
      </c>
      <c r="AJ417" s="63"/>
      <c r="AK417" s="63"/>
      <c r="AL417" s="63"/>
      <c r="AM417" s="63"/>
      <c r="AN417" s="66"/>
      <c r="AO417" s="66"/>
      <c r="AP417" s="66"/>
      <c r="AQ417" s="66"/>
      <c r="AR417" s="66"/>
      <c r="AS417" s="66"/>
      <c r="AT417" s="66" t="s">
        <v>600</v>
      </c>
      <c r="AU417" s="66" t="s">
        <v>600</v>
      </c>
      <c r="AV417" s="66" t="s">
        <v>600</v>
      </c>
      <c r="AW417" s="66" t="s">
        <v>600</v>
      </c>
      <c r="AX417" s="66" t="s">
        <v>600</v>
      </c>
      <c r="AY417" s="66" t="s">
        <v>600</v>
      </c>
      <c r="AZ417" s="66" t="s">
        <v>600</v>
      </c>
      <c r="BA417" s="66" t="s">
        <v>600</v>
      </c>
      <c r="BB417" s="66" t="s">
        <v>600</v>
      </c>
      <c r="BC417" s="66" t="s">
        <v>600</v>
      </c>
      <c r="BD417" s="66" t="s">
        <v>600</v>
      </c>
      <c r="BE417" s="66" t="s">
        <v>600</v>
      </c>
      <c r="BF417" s="66" t="s">
        <v>600</v>
      </c>
      <c r="BG417" s="66" t="s">
        <v>600</v>
      </c>
      <c r="BH417" s="66" t="s">
        <v>600</v>
      </c>
      <c r="BI417" s="66" t="s">
        <v>600</v>
      </c>
      <c r="BJ417" s="66" t="s">
        <v>600</v>
      </c>
      <c r="BK417" s="66" t="s">
        <v>600</v>
      </c>
      <c r="BL417" s="66" t="s">
        <v>600</v>
      </c>
      <c r="BM417" s="66" t="s">
        <v>600</v>
      </c>
      <c r="BN417" s="66" t="s">
        <v>600</v>
      </c>
      <c r="BO417" s="66" t="s">
        <v>600</v>
      </c>
      <c r="BP417" s="66" t="s">
        <v>600</v>
      </c>
      <c r="BQ417" s="66" t="s">
        <v>600</v>
      </c>
      <c r="BR417" s="70" t="e">
        <f>IF(E417&lt;#REF!,1,0)</f>
        <v>#REF!</v>
      </c>
      <c r="BS417" s="68" t="s">
        <v>601</v>
      </c>
    </row>
    <row r="419" ht="15.6" spans="1:71">
      <c r="A419" s="53" t="s">
        <v>300</v>
      </c>
      <c r="B419" s="53"/>
      <c r="C419" s="175" t="s">
        <v>122</v>
      </c>
      <c r="D419" s="168" t="s">
        <v>728</v>
      </c>
      <c r="E419" s="57">
        <v>69</v>
      </c>
      <c r="F419" s="69">
        <v>99.99</v>
      </c>
      <c r="G419" s="59">
        <f t="shared" ref="G419:G437" si="404">(F419-Z419)</f>
        <v>99.99</v>
      </c>
      <c r="H419" s="59">
        <f t="shared" ref="H419:H437" si="405">(F419-Z419)/1.2</f>
        <v>83.325</v>
      </c>
      <c r="I419" s="59">
        <f t="shared" ref="I419:I437" si="406">E419-N419/Q419-AB419-Y419-O419-Z419-AA419</f>
        <v>16.6680688298918</v>
      </c>
      <c r="J419" s="60">
        <f t="shared" ref="J419:J437" si="407">I419/E419</f>
        <v>0.241566214925969</v>
      </c>
      <c r="K419" s="57">
        <f t="shared" ref="K419:K437" si="408">F419/1.2</f>
        <v>83.325</v>
      </c>
      <c r="L419" s="163">
        <f t="shared" ref="L419:L437" si="409">(K419-E419)/K419</f>
        <v>0.171917191719172</v>
      </c>
      <c r="M419" s="59">
        <f t="shared" ref="M419:M437" si="410">F419/1.2-E419</f>
        <v>14.325</v>
      </c>
      <c r="N419" s="57">
        <f t="shared" ref="N419:N437" si="411">AD419+AH419</f>
        <v>237.389380530973</v>
      </c>
      <c r="O419" s="57">
        <f t="shared" ref="O419:O437" si="412">IFERROR(IF(A419="UK",8.95/P419,IF(A419="DE",7.75/P419,IF(A419="FR",14.25/P419,IF(A419="IT",15.25/P419,IF(A419="ES",19.25/P419,IF(A419="NL",16.75/P419,IF(A419="PL",14.05/P419,IF(A419="SE",18.25/P419,IF(A419="BE",14.25/P419))))))))),0)</f>
        <v>2.98333333333333</v>
      </c>
      <c r="P419" s="68">
        <v>3</v>
      </c>
      <c r="Q419" s="62">
        <v>9</v>
      </c>
      <c r="R419" s="63">
        <f t="shared" ref="R419:R437" si="413">Y419/E419</f>
        <v>0.144927536231884</v>
      </c>
      <c r="S419" s="60">
        <f t="shared" ref="S419:S437" si="414">Y419/F419</f>
        <v>0.1000100010001</v>
      </c>
      <c r="T419" s="63">
        <f t="shared" ref="T419:T437" si="415">Z419/E419</f>
        <v>0</v>
      </c>
      <c r="U419" s="63">
        <v>0.01</v>
      </c>
      <c r="V419" s="63">
        <f t="shared" ref="V419:V437" si="416">N419/(E419*Q419)</f>
        <v>0.382269533866302</v>
      </c>
      <c r="W419" s="63">
        <f t="shared" ref="W419:W437" si="417">O419/E419</f>
        <v>0.0432367149758454</v>
      </c>
      <c r="X419" s="61">
        <v>0.178</v>
      </c>
      <c r="Y419" s="64">
        <v>10</v>
      </c>
      <c r="Z419" s="64">
        <v>0</v>
      </c>
      <c r="AA419" s="64">
        <f t="shared" ref="AA419:AA437" si="418">E419*U419</f>
        <v>0.69</v>
      </c>
      <c r="AB419" s="57">
        <f t="shared" ref="AB419:AB437" si="419">E419*X419</f>
        <v>12.282</v>
      </c>
      <c r="AC419" s="57">
        <v>240</v>
      </c>
      <c r="AD419" s="65">
        <f t="shared" ref="AD419:AD437" si="420">AC419/1.13</f>
        <v>212.389380530973</v>
      </c>
      <c r="AE419" s="62">
        <f>11.1/8.5</f>
        <v>1.30588235294118</v>
      </c>
      <c r="AF419" s="63">
        <f t="shared" ref="AF419:AF437" si="421">AD419/(E419*Q419)</f>
        <v>0.342011884913001</v>
      </c>
      <c r="AG419" s="63">
        <f t="shared" ref="AG419:AG437" si="422">AE419/Q419/E419</f>
        <v>0.00210287013356067</v>
      </c>
      <c r="AH419" s="62">
        <v>25</v>
      </c>
      <c r="AI419" s="60">
        <f t="shared" ref="AI419:AI437" si="423">(K419-E419+AB419)/(K419-Z419)</f>
        <v>0.319315931593159</v>
      </c>
      <c r="AJ419" s="63"/>
      <c r="AK419" s="63"/>
      <c r="AL419" s="63"/>
      <c r="AM419" s="63"/>
      <c r="AN419" s="66"/>
      <c r="AO419" s="66"/>
      <c r="AP419" s="66"/>
      <c r="AQ419" s="66"/>
      <c r="AR419" s="66"/>
      <c r="AS419" s="66"/>
      <c r="AT419" s="66" t="s">
        <v>600</v>
      </c>
      <c r="AU419" s="66" t="s">
        <v>600</v>
      </c>
      <c r="AV419" s="66" t="s">
        <v>600</v>
      </c>
      <c r="AW419" s="66" t="s">
        <v>600</v>
      </c>
      <c r="AX419" s="66" t="s">
        <v>600</v>
      </c>
      <c r="AY419" s="66" t="s">
        <v>600</v>
      </c>
      <c r="AZ419" s="66" t="s">
        <v>600</v>
      </c>
      <c r="BA419" s="66" t="s">
        <v>600</v>
      </c>
      <c r="BB419" s="66" t="s">
        <v>600</v>
      </c>
      <c r="BC419" s="66" t="s">
        <v>600</v>
      </c>
      <c r="BD419" s="66" t="s">
        <v>600</v>
      </c>
      <c r="BE419" s="66" t="s">
        <v>600</v>
      </c>
      <c r="BF419" s="66" t="s">
        <v>600</v>
      </c>
      <c r="BG419" s="66" t="s">
        <v>600</v>
      </c>
      <c r="BH419" s="66" t="s">
        <v>600</v>
      </c>
      <c r="BI419" s="66" t="s">
        <v>600</v>
      </c>
      <c r="BJ419" s="66" t="s">
        <v>600</v>
      </c>
      <c r="BK419" s="66" t="s">
        <v>600</v>
      </c>
      <c r="BL419" s="66" t="s">
        <v>600</v>
      </c>
      <c r="BM419" s="66" t="s">
        <v>600</v>
      </c>
      <c r="BN419" s="66" t="s">
        <v>600</v>
      </c>
      <c r="BO419" s="66" t="s">
        <v>600</v>
      </c>
      <c r="BP419" s="66" t="s">
        <v>600</v>
      </c>
      <c r="BQ419" s="66" t="s">
        <v>600</v>
      </c>
      <c r="BR419" s="70" t="e">
        <f>IF(E419&lt;#REF!,1,0)</f>
        <v>#REF!</v>
      </c>
      <c r="BS419" s="68" t="s">
        <v>601</v>
      </c>
    </row>
    <row r="420" ht="15.6" spans="1:71">
      <c r="A420" s="53" t="s">
        <v>300</v>
      </c>
      <c r="B420" s="53"/>
      <c r="C420" s="171" t="s">
        <v>122</v>
      </c>
      <c r="D420" s="168" t="s">
        <v>729</v>
      </c>
      <c r="E420" s="57">
        <v>69</v>
      </c>
      <c r="F420" s="69">
        <v>99.99</v>
      </c>
      <c r="G420" s="59">
        <f t="shared" si="404"/>
        <v>89.991</v>
      </c>
      <c r="H420" s="59">
        <f t="shared" si="405"/>
        <v>74.9925</v>
      </c>
      <c r="I420" s="59">
        <f t="shared" si="406"/>
        <v>6.66906882989183</v>
      </c>
      <c r="J420" s="60">
        <f t="shared" si="407"/>
        <v>0.0966531714477077</v>
      </c>
      <c r="K420" s="57">
        <f t="shared" si="408"/>
        <v>83.325</v>
      </c>
      <c r="L420" s="163">
        <f t="shared" si="409"/>
        <v>0.171917191719172</v>
      </c>
      <c r="M420" s="59">
        <f t="shared" si="410"/>
        <v>14.325</v>
      </c>
      <c r="N420" s="57">
        <f t="shared" si="411"/>
        <v>237.389380530973</v>
      </c>
      <c r="O420" s="57">
        <f t="shared" si="412"/>
        <v>2.98333333333333</v>
      </c>
      <c r="P420" s="53">
        <v>3</v>
      </c>
      <c r="Q420" s="62">
        <v>9</v>
      </c>
      <c r="R420" s="63">
        <f t="shared" si="413"/>
        <v>0.144927536231884</v>
      </c>
      <c r="S420" s="60">
        <f t="shared" si="414"/>
        <v>0.1000100010001</v>
      </c>
      <c r="T420" s="63">
        <f t="shared" si="415"/>
        <v>0.144913043478261</v>
      </c>
      <c r="U420" s="63">
        <v>0.01</v>
      </c>
      <c r="V420" s="63">
        <f t="shared" si="416"/>
        <v>0.382269533866302</v>
      </c>
      <c r="W420" s="63">
        <f t="shared" si="417"/>
        <v>0.0432367149758454</v>
      </c>
      <c r="X420" s="61">
        <v>0.178</v>
      </c>
      <c r="Y420" s="64">
        <v>10</v>
      </c>
      <c r="Z420" s="64">
        <f>F420*0.1</f>
        <v>9.999</v>
      </c>
      <c r="AA420" s="64">
        <f t="shared" si="418"/>
        <v>0.69</v>
      </c>
      <c r="AB420" s="57">
        <f t="shared" si="419"/>
        <v>12.282</v>
      </c>
      <c r="AC420" s="57">
        <v>240</v>
      </c>
      <c r="AD420" s="65">
        <f t="shared" si="420"/>
        <v>212.389380530973</v>
      </c>
      <c r="AE420" s="62">
        <f>11.1/8.5</f>
        <v>1.30588235294118</v>
      </c>
      <c r="AF420" s="63">
        <f t="shared" si="421"/>
        <v>0.342011884913001</v>
      </c>
      <c r="AG420" s="63">
        <f t="shared" si="422"/>
        <v>0.00210287013356067</v>
      </c>
      <c r="AH420" s="62">
        <v>25</v>
      </c>
      <c r="AI420" s="60">
        <f t="shared" si="423"/>
        <v>0.362859013174045</v>
      </c>
      <c r="AJ420" s="63"/>
      <c r="AK420" s="63"/>
      <c r="AL420" s="63"/>
      <c r="AM420" s="63"/>
      <c r="AN420" s="66"/>
      <c r="AO420" s="66"/>
      <c r="AP420" s="66"/>
      <c r="AQ420" s="66"/>
      <c r="AR420" s="66"/>
      <c r="AS420" s="66"/>
      <c r="AT420" s="66" t="s">
        <v>600</v>
      </c>
      <c r="AU420" s="66" t="s">
        <v>600</v>
      </c>
      <c r="AV420" s="66" t="s">
        <v>600</v>
      </c>
      <c r="AW420" s="66" t="s">
        <v>600</v>
      </c>
      <c r="AX420" s="66" t="s">
        <v>600</v>
      </c>
      <c r="AY420" s="66" t="s">
        <v>600</v>
      </c>
      <c r="AZ420" s="66" t="s">
        <v>600</v>
      </c>
      <c r="BA420" s="66" t="s">
        <v>600</v>
      </c>
      <c r="BB420" s="66" t="s">
        <v>600</v>
      </c>
      <c r="BC420" s="66" t="s">
        <v>600</v>
      </c>
      <c r="BD420" s="66" t="s">
        <v>600</v>
      </c>
      <c r="BE420" s="66" t="s">
        <v>600</v>
      </c>
      <c r="BF420" s="66" t="s">
        <v>600</v>
      </c>
      <c r="BG420" s="66" t="s">
        <v>600</v>
      </c>
      <c r="BH420" s="66" t="s">
        <v>600</v>
      </c>
      <c r="BI420" s="66" t="s">
        <v>600</v>
      </c>
      <c r="BJ420" s="66" t="s">
        <v>600</v>
      </c>
      <c r="BK420" s="66" t="s">
        <v>600</v>
      </c>
      <c r="BL420" s="66" t="s">
        <v>600</v>
      </c>
      <c r="BM420" s="66" t="s">
        <v>600</v>
      </c>
      <c r="BN420" s="66" t="s">
        <v>600</v>
      </c>
      <c r="BO420" s="66" t="s">
        <v>600</v>
      </c>
      <c r="BP420" s="66" t="s">
        <v>600</v>
      </c>
      <c r="BQ420" s="66" t="s">
        <v>600</v>
      </c>
      <c r="BR420" s="70" t="e">
        <f>IF(E420&lt;#REF!,1,0)</f>
        <v>#REF!</v>
      </c>
      <c r="BS420" s="68" t="s">
        <v>601</v>
      </c>
    </row>
    <row r="421" ht="15.6" spans="1:71">
      <c r="A421" s="53" t="s">
        <v>300</v>
      </c>
      <c r="B421" s="53"/>
      <c r="C421" s="171" t="s">
        <v>122</v>
      </c>
      <c r="D421" s="168" t="s">
        <v>730</v>
      </c>
      <c r="E421" s="57">
        <v>69</v>
      </c>
      <c r="F421" s="69">
        <v>99.99</v>
      </c>
      <c r="G421" s="59">
        <f t="shared" si="404"/>
        <v>84.9915</v>
      </c>
      <c r="H421" s="59">
        <f t="shared" si="405"/>
        <v>70.82625</v>
      </c>
      <c r="I421" s="59">
        <f t="shared" si="406"/>
        <v>1.66956882989183</v>
      </c>
      <c r="J421" s="60">
        <f t="shared" si="407"/>
        <v>0.0241966497085773</v>
      </c>
      <c r="K421" s="57">
        <f t="shared" si="408"/>
        <v>83.325</v>
      </c>
      <c r="L421" s="163">
        <f t="shared" si="409"/>
        <v>0.171917191719172</v>
      </c>
      <c r="M421" s="59">
        <f t="shared" si="410"/>
        <v>14.325</v>
      </c>
      <c r="N421" s="57">
        <f t="shared" si="411"/>
        <v>237.389380530973</v>
      </c>
      <c r="O421" s="57">
        <f t="shared" si="412"/>
        <v>2.98333333333333</v>
      </c>
      <c r="P421" s="53">
        <v>3</v>
      </c>
      <c r="Q421" s="62">
        <v>9</v>
      </c>
      <c r="R421" s="63">
        <f t="shared" si="413"/>
        <v>0.144927536231884</v>
      </c>
      <c r="S421" s="60">
        <f t="shared" si="414"/>
        <v>0.1000100010001</v>
      </c>
      <c r="T421" s="63">
        <f t="shared" si="415"/>
        <v>0.217369565217391</v>
      </c>
      <c r="U421" s="63">
        <v>0.01</v>
      </c>
      <c r="V421" s="63">
        <f t="shared" si="416"/>
        <v>0.382269533866302</v>
      </c>
      <c r="W421" s="63">
        <f t="shared" si="417"/>
        <v>0.0432367149758454</v>
      </c>
      <c r="X421" s="61">
        <v>0.178</v>
      </c>
      <c r="Y421" s="64">
        <v>10</v>
      </c>
      <c r="Z421" s="64">
        <f>F421*0.15</f>
        <v>14.9985</v>
      </c>
      <c r="AA421" s="64">
        <f t="shared" si="418"/>
        <v>0.69</v>
      </c>
      <c r="AB421" s="57">
        <f t="shared" si="419"/>
        <v>12.282</v>
      </c>
      <c r="AC421" s="57">
        <v>240</v>
      </c>
      <c r="AD421" s="65">
        <f t="shared" si="420"/>
        <v>212.389380530973</v>
      </c>
      <c r="AE421" s="62">
        <f>11.1/8.5</f>
        <v>1.30588235294118</v>
      </c>
      <c r="AF421" s="63">
        <f t="shared" si="421"/>
        <v>0.342011884913001</v>
      </c>
      <c r="AG421" s="63">
        <f t="shared" si="422"/>
        <v>0.00210287013356067</v>
      </c>
      <c r="AH421" s="62">
        <v>25</v>
      </c>
      <c r="AI421" s="60">
        <f t="shared" si="423"/>
        <v>0.389409672674585</v>
      </c>
      <c r="AJ421" s="63"/>
      <c r="AK421" s="63"/>
      <c r="AL421" s="63"/>
      <c r="AM421" s="63"/>
      <c r="AN421" s="66"/>
      <c r="AO421" s="66"/>
      <c r="AP421" s="66"/>
      <c r="AQ421" s="66"/>
      <c r="AR421" s="66"/>
      <c r="AS421" s="66"/>
      <c r="AT421" s="66" t="s">
        <v>600</v>
      </c>
      <c r="AU421" s="66" t="s">
        <v>600</v>
      </c>
      <c r="AV421" s="66" t="s">
        <v>600</v>
      </c>
      <c r="AW421" s="66" t="s">
        <v>600</v>
      </c>
      <c r="AX421" s="66" t="s">
        <v>600</v>
      </c>
      <c r="AY421" s="66" t="s">
        <v>600</v>
      </c>
      <c r="AZ421" s="66" t="s">
        <v>600</v>
      </c>
      <c r="BA421" s="66" t="s">
        <v>600</v>
      </c>
      <c r="BB421" s="66" t="s">
        <v>600</v>
      </c>
      <c r="BC421" s="66" t="s">
        <v>600</v>
      </c>
      <c r="BD421" s="66" t="s">
        <v>600</v>
      </c>
      <c r="BE421" s="66" t="s">
        <v>600</v>
      </c>
      <c r="BF421" s="66" t="s">
        <v>600</v>
      </c>
      <c r="BG421" s="66" t="s">
        <v>600</v>
      </c>
      <c r="BH421" s="66" t="s">
        <v>600</v>
      </c>
      <c r="BI421" s="66" t="s">
        <v>600</v>
      </c>
      <c r="BJ421" s="66" t="s">
        <v>600</v>
      </c>
      <c r="BK421" s="66" t="s">
        <v>600</v>
      </c>
      <c r="BL421" s="66" t="s">
        <v>600</v>
      </c>
      <c r="BM421" s="66" t="s">
        <v>600</v>
      </c>
      <c r="BN421" s="66" t="s">
        <v>600</v>
      </c>
      <c r="BO421" s="66" t="s">
        <v>600</v>
      </c>
      <c r="BP421" s="66" t="s">
        <v>600</v>
      </c>
      <c r="BQ421" s="66" t="s">
        <v>600</v>
      </c>
      <c r="BR421" s="70" t="e">
        <f>IF(E421&lt;#REF!,1,0)</f>
        <v>#REF!</v>
      </c>
      <c r="BS421" s="68" t="s">
        <v>601</v>
      </c>
    </row>
    <row r="422" ht="15.6" spans="1:71">
      <c r="A422" s="53" t="s">
        <v>277</v>
      </c>
      <c r="B422" s="53"/>
      <c r="C422" s="171" t="s">
        <v>122</v>
      </c>
      <c r="D422" s="166" t="s">
        <v>728</v>
      </c>
      <c r="E422" s="57">
        <v>76</v>
      </c>
      <c r="F422" s="69">
        <v>109.99</v>
      </c>
      <c r="G422" s="59">
        <f t="shared" si="404"/>
        <v>109.99</v>
      </c>
      <c r="H422" s="59">
        <f t="shared" si="405"/>
        <v>91.6583333333333</v>
      </c>
      <c r="I422" s="59">
        <f t="shared" si="406"/>
        <v>18.694994100295</v>
      </c>
      <c r="J422" s="60">
        <f t="shared" si="407"/>
        <v>0.245986764477565</v>
      </c>
      <c r="K422" s="57">
        <f t="shared" si="408"/>
        <v>91.6583333333333</v>
      </c>
      <c r="L422" s="163">
        <f t="shared" si="409"/>
        <v>0.17083371215565</v>
      </c>
      <c r="M422" s="59">
        <f t="shared" si="410"/>
        <v>15.6583333333333</v>
      </c>
      <c r="N422" s="57">
        <f t="shared" si="411"/>
        <v>237.389380530973</v>
      </c>
      <c r="O422" s="57">
        <f t="shared" si="412"/>
        <v>2.58333333333333</v>
      </c>
      <c r="P422" s="53">
        <v>3</v>
      </c>
      <c r="Q422" s="62">
        <v>8</v>
      </c>
      <c r="R422" s="63">
        <f t="shared" si="413"/>
        <v>0.131578947368421</v>
      </c>
      <c r="S422" s="60">
        <f t="shared" si="414"/>
        <v>0.0909173561232839</v>
      </c>
      <c r="T422" s="63">
        <f t="shared" si="415"/>
        <v>0</v>
      </c>
      <c r="U422" s="63">
        <v>0.01</v>
      </c>
      <c r="V422" s="63">
        <f t="shared" si="416"/>
        <v>0.390443060083838</v>
      </c>
      <c r="W422" s="63">
        <f t="shared" si="417"/>
        <v>0.0339912280701754</v>
      </c>
      <c r="X422" s="61">
        <v>0.188</v>
      </c>
      <c r="Y422" s="64">
        <v>10</v>
      </c>
      <c r="Z422" s="64">
        <v>0</v>
      </c>
      <c r="AA422" s="64">
        <f t="shared" si="418"/>
        <v>0.76</v>
      </c>
      <c r="AB422" s="57">
        <f t="shared" si="419"/>
        <v>14.288</v>
      </c>
      <c r="AC422" s="57">
        <v>240</v>
      </c>
      <c r="AD422" s="65">
        <f t="shared" si="420"/>
        <v>212.389380530973</v>
      </c>
      <c r="AE422" s="62">
        <f t="shared" ref="AE422:AE437" si="424">11.1/7.4</f>
        <v>1.5</v>
      </c>
      <c r="AF422" s="63">
        <f t="shared" si="421"/>
        <v>0.349324639031206</v>
      </c>
      <c r="AG422" s="63">
        <f t="shared" si="422"/>
        <v>0.00246710526315789</v>
      </c>
      <c r="AH422" s="62">
        <v>25</v>
      </c>
      <c r="AI422" s="60">
        <f t="shared" si="423"/>
        <v>0.326716974270388</v>
      </c>
      <c r="AJ422" s="63"/>
      <c r="AK422" s="63"/>
      <c r="AL422" s="63"/>
      <c r="AM422" s="63"/>
      <c r="AN422" s="66"/>
      <c r="AO422" s="66"/>
      <c r="AP422" s="66"/>
      <c r="AQ422" s="66"/>
      <c r="AR422" s="66"/>
      <c r="AS422" s="66"/>
      <c r="AT422" s="66" t="s">
        <v>600</v>
      </c>
      <c r="AU422" s="66" t="s">
        <v>600</v>
      </c>
      <c r="AV422" s="66" t="s">
        <v>600</v>
      </c>
      <c r="AW422" s="66" t="s">
        <v>600</v>
      </c>
      <c r="AX422" s="66" t="s">
        <v>600</v>
      </c>
      <c r="AY422" s="66" t="s">
        <v>600</v>
      </c>
      <c r="AZ422" s="66" t="s">
        <v>600</v>
      </c>
      <c r="BA422" s="66" t="s">
        <v>600</v>
      </c>
      <c r="BB422" s="66" t="s">
        <v>600</v>
      </c>
      <c r="BC422" s="66" t="s">
        <v>600</v>
      </c>
      <c r="BD422" s="66" t="s">
        <v>600</v>
      </c>
      <c r="BE422" s="66" t="s">
        <v>600</v>
      </c>
      <c r="BF422" s="66" t="s">
        <v>600</v>
      </c>
      <c r="BG422" s="66" t="s">
        <v>600</v>
      </c>
      <c r="BH422" s="66" t="s">
        <v>600</v>
      </c>
      <c r="BI422" s="66" t="s">
        <v>600</v>
      </c>
      <c r="BJ422" s="66" t="s">
        <v>600</v>
      </c>
      <c r="BK422" s="66" t="s">
        <v>600</v>
      </c>
      <c r="BL422" s="66" t="s">
        <v>600</v>
      </c>
      <c r="BM422" s="66" t="s">
        <v>600</v>
      </c>
      <c r="BN422" s="66" t="s">
        <v>600</v>
      </c>
      <c r="BO422" s="66" t="s">
        <v>600</v>
      </c>
      <c r="BP422" s="66" t="s">
        <v>600</v>
      </c>
      <c r="BQ422" s="66" t="s">
        <v>600</v>
      </c>
      <c r="BR422" s="70" t="e">
        <f>IF(E422&lt;#REF!,1,0)</f>
        <v>#REF!</v>
      </c>
      <c r="BS422" s="68" t="s">
        <v>601</v>
      </c>
    </row>
    <row r="423" ht="15.6" spans="1:71">
      <c r="A423" s="53" t="s">
        <v>277</v>
      </c>
      <c r="B423" s="53"/>
      <c r="C423" s="171" t="s">
        <v>122</v>
      </c>
      <c r="D423" s="166" t="s">
        <v>729</v>
      </c>
      <c r="E423" s="57">
        <v>76</v>
      </c>
      <c r="F423" s="69">
        <v>109.99</v>
      </c>
      <c r="G423" s="59">
        <f t="shared" si="404"/>
        <v>98.991</v>
      </c>
      <c r="H423" s="59">
        <f t="shared" si="405"/>
        <v>82.4925</v>
      </c>
      <c r="I423" s="59">
        <f t="shared" si="406"/>
        <v>7.69599410029498</v>
      </c>
      <c r="J423" s="60">
        <f t="shared" si="407"/>
        <v>0.101263080267039</v>
      </c>
      <c r="K423" s="57">
        <f t="shared" si="408"/>
        <v>91.6583333333333</v>
      </c>
      <c r="L423" s="163">
        <f t="shared" si="409"/>
        <v>0.17083371215565</v>
      </c>
      <c r="M423" s="59">
        <f t="shared" si="410"/>
        <v>15.6583333333333</v>
      </c>
      <c r="N423" s="57">
        <f t="shared" si="411"/>
        <v>237.389380530973</v>
      </c>
      <c r="O423" s="57">
        <f t="shared" si="412"/>
        <v>2.58333333333333</v>
      </c>
      <c r="P423" s="53">
        <v>3</v>
      </c>
      <c r="Q423" s="62">
        <v>8</v>
      </c>
      <c r="R423" s="63">
        <f t="shared" si="413"/>
        <v>0.131578947368421</v>
      </c>
      <c r="S423" s="60">
        <f t="shared" si="414"/>
        <v>0.0909173561232839</v>
      </c>
      <c r="T423" s="63">
        <f t="shared" si="415"/>
        <v>0.144723684210526</v>
      </c>
      <c r="U423" s="63">
        <v>0.01</v>
      </c>
      <c r="V423" s="63">
        <f t="shared" si="416"/>
        <v>0.390443060083838</v>
      </c>
      <c r="W423" s="63">
        <f t="shared" si="417"/>
        <v>0.0339912280701754</v>
      </c>
      <c r="X423" s="61">
        <v>0.188</v>
      </c>
      <c r="Y423" s="64">
        <v>10</v>
      </c>
      <c r="Z423" s="64">
        <f>F423*0.1</f>
        <v>10.999</v>
      </c>
      <c r="AA423" s="64">
        <f t="shared" si="418"/>
        <v>0.76</v>
      </c>
      <c r="AB423" s="57">
        <f t="shared" si="419"/>
        <v>14.288</v>
      </c>
      <c r="AC423" s="57">
        <v>240</v>
      </c>
      <c r="AD423" s="65">
        <f t="shared" si="420"/>
        <v>212.389380530973</v>
      </c>
      <c r="AE423" s="62">
        <f t="shared" si="424"/>
        <v>1.5</v>
      </c>
      <c r="AF423" s="63">
        <f t="shared" si="421"/>
        <v>0.349324639031206</v>
      </c>
      <c r="AG423" s="63">
        <f t="shared" si="422"/>
        <v>0.00246710526315789</v>
      </c>
      <c r="AH423" s="62">
        <v>25</v>
      </c>
      <c r="AI423" s="60">
        <f t="shared" si="423"/>
        <v>0.371269288943623</v>
      </c>
      <c r="AJ423" s="63"/>
      <c r="AK423" s="63"/>
      <c r="AL423" s="63"/>
      <c r="AM423" s="63"/>
      <c r="AN423" s="66"/>
      <c r="AO423" s="66"/>
      <c r="AP423" s="66"/>
      <c r="AQ423" s="66"/>
      <c r="AR423" s="66"/>
      <c r="AS423" s="66"/>
      <c r="AT423" s="66" t="s">
        <v>600</v>
      </c>
      <c r="AU423" s="66" t="s">
        <v>600</v>
      </c>
      <c r="AV423" s="66" t="s">
        <v>600</v>
      </c>
      <c r="AW423" s="66" t="s">
        <v>600</v>
      </c>
      <c r="AX423" s="66" t="s">
        <v>600</v>
      </c>
      <c r="AY423" s="66" t="s">
        <v>600</v>
      </c>
      <c r="AZ423" s="66" t="s">
        <v>600</v>
      </c>
      <c r="BA423" s="66" t="s">
        <v>600</v>
      </c>
      <c r="BB423" s="66" t="s">
        <v>600</v>
      </c>
      <c r="BC423" s="66" t="s">
        <v>600</v>
      </c>
      <c r="BD423" s="66" t="s">
        <v>600</v>
      </c>
      <c r="BE423" s="66" t="s">
        <v>600</v>
      </c>
      <c r="BF423" s="66" t="s">
        <v>600</v>
      </c>
      <c r="BG423" s="66" t="s">
        <v>600</v>
      </c>
      <c r="BH423" s="66" t="s">
        <v>600</v>
      </c>
      <c r="BI423" s="66" t="s">
        <v>600</v>
      </c>
      <c r="BJ423" s="66" t="s">
        <v>600</v>
      </c>
      <c r="BK423" s="66" t="s">
        <v>600</v>
      </c>
      <c r="BL423" s="66" t="s">
        <v>600</v>
      </c>
      <c r="BM423" s="66" t="s">
        <v>600</v>
      </c>
      <c r="BN423" s="66" t="s">
        <v>600</v>
      </c>
      <c r="BO423" s="66" t="s">
        <v>600</v>
      </c>
      <c r="BP423" s="66" t="s">
        <v>600</v>
      </c>
      <c r="BQ423" s="66" t="s">
        <v>600</v>
      </c>
      <c r="BR423" s="70" t="e">
        <f>IF(E423&lt;#REF!,1,0)</f>
        <v>#REF!</v>
      </c>
      <c r="BS423" s="68" t="s">
        <v>601</v>
      </c>
    </row>
    <row r="424" ht="15.6" spans="1:71">
      <c r="A424" s="53" t="s">
        <v>277</v>
      </c>
      <c r="B424" s="53"/>
      <c r="C424" s="171" t="s">
        <v>122</v>
      </c>
      <c r="D424" s="166" t="s">
        <v>730</v>
      </c>
      <c r="E424" s="57">
        <v>76</v>
      </c>
      <c r="F424" s="69">
        <v>109.99</v>
      </c>
      <c r="G424" s="59">
        <f t="shared" si="404"/>
        <v>93.4915</v>
      </c>
      <c r="H424" s="59">
        <f t="shared" si="405"/>
        <v>77.9095833333333</v>
      </c>
      <c r="I424" s="59">
        <f t="shared" si="406"/>
        <v>2.19649410029498</v>
      </c>
      <c r="J424" s="60">
        <f t="shared" si="407"/>
        <v>0.028901238161776</v>
      </c>
      <c r="K424" s="57">
        <f t="shared" si="408"/>
        <v>91.6583333333333</v>
      </c>
      <c r="L424" s="163">
        <f t="shared" si="409"/>
        <v>0.17083371215565</v>
      </c>
      <c r="M424" s="59">
        <f t="shared" si="410"/>
        <v>15.6583333333333</v>
      </c>
      <c r="N424" s="57">
        <f t="shared" si="411"/>
        <v>237.389380530973</v>
      </c>
      <c r="O424" s="57">
        <f t="shared" si="412"/>
        <v>2.58333333333333</v>
      </c>
      <c r="P424" s="53">
        <v>3</v>
      </c>
      <c r="Q424" s="62">
        <v>8</v>
      </c>
      <c r="R424" s="63">
        <f t="shared" si="413"/>
        <v>0.131578947368421</v>
      </c>
      <c r="S424" s="60">
        <f t="shared" si="414"/>
        <v>0.0909173561232839</v>
      </c>
      <c r="T424" s="63">
        <f t="shared" si="415"/>
        <v>0.217085526315789</v>
      </c>
      <c r="U424" s="63">
        <v>0.01</v>
      </c>
      <c r="V424" s="63">
        <f t="shared" si="416"/>
        <v>0.390443060083838</v>
      </c>
      <c r="W424" s="63">
        <f t="shared" si="417"/>
        <v>0.0339912280701754</v>
      </c>
      <c r="X424" s="61">
        <v>0.188</v>
      </c>
      <c r="Y424" s="64">
        <v>10</v>
      </c>
      <c r="Z424" s="64">
        <f>F424*0.15</f>
        <v>16.4985</v>
      </c>
      <c r="AA424" s="64">
        <f t="shared" si="418"/>
        <v>0.76</v>
      </c>
      <c r="AB424" s="57">
        <f t="shared" si="419"/>
        <v>14.288</v>
      </c>
      <c r="AC424" s="57">
        <v>240</v>
      </c>
      <c r="AD424" s="65">
        <f t="shared" si="420"/>
        <v>212.389380530973</v>
      </c>
      <c r="AE424" s="62">
        <f t="shared" si="424"/>
        <v>1.5</v>
      </c>
      <c r="AF424" s="63">
        <f t="shared" si="421"/>
        <v>0.349324639031206</v>
      </c>
      <c r="AG424" s="63">
        <f t="shared" si="422"/>
        <v>0.00246710526315789</v>
      </c>
      <c r="AH424" s="62">
        <v>25</v>
      </c>
      <c r="AI424" s="60">
        <f t="shared" si="423"/>
        <v>0.398435334476083</v>
      </c>
      <c r="AJ424" s="63"/>
      <c r="AK424" s="63"/>
      <c r="AL424" s="63"/>
      <c r="AM424" s="63"/>
      <c r="AN424" s="66"/>
      <c r="AO424" s="66"/>
      <c r="AP424" s="66"/>
      <c r="AQ424" s="66"/>
      <c r="AR424" s="66"/>
      <c r="AS424" s="66"/>
      <c r="AT424" s="66" t="s">
        <v>600</v>
      </c>
      <c r="AU424" s="66" t="s">
        <v>600</v>
      </c>
      <c r="AV424" s="66" t="s">
        <v>600</v>
      </c>
      <c r="AW424" s="66" t="s">
        <v>600</v>
      </c>
      <c r="AX424" s="66" t="s">
        <v>600</v>
      </c>
      <c r="AY424" s="66" t="s">
        <v>600</v>
      </c>
      <c r="AZ424" s="66" t="s">
        <v>600</v>
      </c>
      <c r="BA424" s="66" t="s">
        <v>600</v>
      </c>
      <c r="BB424" s="66" t="s">
        <v>600</v>
      </c>
      <c r="BC424" s="66" t="s">
        <v>600</v>
      </c>
      <c r="BD424" s="66" t="s">
        <v>600</v>
      </c>
      <c r="BE424" s="66" t="s">
        <v>600</v>
      </c>
      <c r="BF424" s="66" t="s">
        <v>600</v>
      </c>
      <c r="BG424" s="66" t="s">
        <v>600</v>
      </c>
      <c r="BH424" s="66" t="s">
        <v>600</v>
      </c>
      <c r="BI424" s="66" t="s">
        <v>600</v>
      </c>
      <c r="BJ424" s="66" t="s">
        <v>600</v>
      </c>
      <c r="BK424" s="66" t="s">
        <v>600</v>
      </c>
      <c r="BL424" s="66" t="s">
        <v>600</v>
      </c>
      <c r="BM424" s="66" t="s">
        <v>600</v>
      </c>
      <c r="BN424" s="66" t="s">
        <v>600</v>
      </c>
      <c r="BO424" s="66" t="s">
        <v>600</v>
      </c>
      <c r="BP424" s="66" t="s">
        <v>600</v>
      </c>
      <c r="BQ424" s="66" t="s">
        <v>600</v>
      </c>
      <c r="BR424" s="70" t="e">
        <f>IF(E424&lt;#REF!,1,0)</f>
        <v>#REF!</v>
      </c>
      <c r="BS424" s="68" t="s">
        <v>601</v>
      </c>
    </row>
    <row r="425" ht="15.6" spans="1:71">
      <c r="A425" s="53" t="s">
        <v>511</v>
      </c>
      <c r="B425" s="53"/>
      <c r="C425" s="171" t="s">
        <v>122</v>
      </c>
      <c r="D425" s="166" t="s">
        <v>728</v>
      </c>
      <c r="E425" s="57">
        <v>79</v>
      </c>
      <c r="F425" s="69">
        <v>114.99</v>
      </c>
      <c r="G425" s="59">
        <f t="shared" si="404"/>
        <v>114.99</v>
      </c>
      <c r="H425" s="59">
        <f t="shared" si="405"/>
        <v>95.825</v>
      </c>
      <c r="I425" s="59">
        <f t="shared" si="406"/>
        <v>18.9343274336283</v>
      </c>
      <c r="J425" s="60">
        <f t="shared" si="407"/>
        <v>0.239675030805422</v>
      </c>
      <c r="K425" s="57">
        <f t="shared" si="408"/>
        <v>95.825</v>
      </c>
      <c r="L425" s="163">
        <f t="shared" si="409"/>
        <v>0.175580485259588</v>
      </c>
      <c r="M425" s="59">
        <f t="shared" si="410"/>
        <v>16.825</v>
      </c>
      <c r="N425" s="57">
        <f t="shared" si="411"/>
        <v>237.389380530973</v>
      </c>
      <c r="O425" s="57">
        <f t="shared" si="412"/>
        <v>4.75</v>
      </c>
      <c r="P425" s="53">
        <v>3</v>
      </c>
      <c r="Q425" s="62">
        <v>8</v>
      </c>
      <c r="R425" s="63">
        <f t="shared" si="413"/>
        <v>0.126582278481013</v>
      </c>
      <c r="S425" s="60">
        <f t="shared" si="414"/>
        <v>0.0869640838333768</v>
      </c>
      <c r="T425" s="63">
        <f t="shared" si="415"/>
        <v>0</v>
      </c>
      <c r="U425" s="63">
        <v>0.01</v>
      </c>
      <c r="V425" s="63">
        <f t="shared" si="416"/>
        <v>0.375616108435085</v>
      </c>
      <c r="W425" s="63">
        <f t="shared" si="417"/>
        <v>0.060126582278481</v>
      </c>
      <c r="X425" s="61">
        <v>0.188</v>
      </c>
      <c r="Y425" s="64">
        <v>10</v>
      </c>
      <c r="Z425" s="64">
        <v>0</v>
      </c>
      <c r="AA425" s="64">
        <f t="shared" si="418"/>
        <v>0.79</v>
      </c>
      <c r="AB425" s="57">
        <f t="shared" si="419"/>
        <v>14.852</v>
      </c>
      <c r="AC425" s="57">
        <v>240</v>
      </c>
      <c r="AD425" s="65">
        <f t="shared" si="420"/>
        <v>212.389380530973</v>
      </c>
      <c r="AE425" s="62">
        <f t="shared" si="424"/>
        <v>1.5</v>
      </c>
      <c r="AF425" s="63">
        <f t="shared" si="421"/>
        <v>0.336059146409768</v>
      </c>
      <c r="AG425" s="63">
        <f t="shared" si="422"/>
        <v>0.00237341772151899</v>
      </c>
      <c r="AH425" s="62">
        <v>25</v>
      </c>
      <c r="AI425" s="60">
        <f t="shared" si="423"/>
        <v>0.330571354030785</v>
      </c>
      <c r="AJ425" s="63"/>
      <c r="AK425" s="63"/>
      <c r="AL425" s="63"/>
      <c r="AM425" s="63"/>
      <c r="AN425" s="66"/>
      <c r="AO425" s="66"/>
      <c r="AP425" s="66"/>
      <c r="AQ425" s="66"/>
      <c r="AR425" s="66"/>
      <c r="AS425" s="66"/>
      <c r="AT425" s="66" t="s">
        <v>600</v>
      </c>
      <c r="AU425" s="66" t="s">
        <v>600</v>
      </c>
      <c r="AV425" s="66" t="s">
        <v>600</v>
      </c>
      <c r="AW425" s="66" t="s">
        <v>600</v>
      </c>
      <c r="AX425" s="66" t="s">
        <v>600</v>
      </c>
      <c r="AY425" s="66" t="s">
        <v>600</v>
      </c>
      <c r="AZ425" s="66" t="s">
        <v>600</v>
      </c>
      <c r="BA425" s="66" t="s">
        <v>600</v>
      </c>
      <c r="BB425" s="66" t="s">
        <v>600</v>
      </c>
      <c r="BC425" s="66" t="s">
        <v>600</v>
      </c>
      <c r="BD425" s="66" t="s">
        <v>600</v>
      </c>
      <c r="BE425" s="66" t="s">
        <v>600</v>
      </c>
      <c r="BF425" s="66" t="s">
        <v>600</v>
      </c>
      <c r="BG425" s="66" t="s">
        <v>600</v>
      </c>
      <c r="BH425" s="66" t="s">
        <v>600</v>
      </c>
      <c r="BI425" s="66" t="s">
        <v>600</v>
      </c>
      <c r="BJ425" s="66" t="s">
        <v>600</v>
      </c>
      <c r="BK425" s="66" t="s">
        <v>600</v>
      </c>
      <c r="BL425" s="66" t="s">
        <v>600</v>
      </c>
      <c r="BM425" s="66" t="s">
        <v>600</v>
      </c>
      <c r="BN425" s="66" t="s">
        <v>600</v>
      </c>
      <c r="BO425" s="66" t="s">
        <v>600</v>
      </c>
      <c r="BP425" s="66" t="s">
        <v>600</v>
      </c>
      <c r="BQ425" s="66" t="s">
        <v>600</v>
      </c>
      <c r="BR425" s="70" t="e">
        <f>IF(E425&lt;#REF!,1,0)</f>
        <v>#REF!</v>
      </c>
      <c r="BS425" s="68" t="s">
        <v>601</v>
      </c>
    </row>
    <row r="426" ht="15.6" spans="1:71">
      <c r="A426" s="53" t="s">
        <v>511</v>
      </c>
      <c r="B426" s="53"/>
      <c r="C426" s="171" t="s">
        <v>122</v>
      </c>
      <c r="D426" s="166" t="s">
        <v>729</v>
      </c>
      <c r="E426" s="57">
        <v>79</v>
      </c>
      <c r="F426" s="69">
        <v>114.99</v>
      </c>
      <c r="G426" s="59">
        <f t="shared" si="404"/>
        <v>103.491</v>
      </c>
      <c r="H426" s="59">
        <f t="shared" si="405"/>
        <v>86.2425</v>
      </c>
      <c r="I426" s="59">
        <f t="shared" si="406"/>
        <v>7.43532743362832</v>
      </c>
      <c r="J426" s="60">
        <f t="shared" si="407"/>
        <v>0.0941180687801053</v>
      </c>
      <c r="K426" s="57">
        <f t="shared" si="408"/>
        <v>95.825</v>
      </c>
      <c r="L426" s="163">
        <f t="shared" si="409"/>
        <v>0.175580485259588</v>
      </c>
      <c r="M426" s="59">
        <f t="shared" si="410"/>
        <v>16.825</v>
      </c>
      <c r="N426" s="57">
        <f t="shared" si="411"/>
        <v>237.389380530973</v>
      </c>
      <c r="O426" s="57">
        <f t="shared" si="412"/>
        <v>4.75</v>
      </c>
      <c r="P426" s="53">
        <v>3</v>
      </c>
      <c r="Q426" s="62">
        <v>8</v>
      </c>
      <c r="R426" s="63">
        <f t="shared" si="413"/>
        <v>0.126582278481013</v>
      </c>
      <c r="S426" s="60">
        <f t="shared" si="414"/>
        <v>0.0869640838333768</v>
      </c>
      <c r="T426" s="63">
        <f t="shared" si="415"/>
        <v>0.145556962025316</v>
      </c>
      <c r="U426" s="63">
        <v>0.01</v>
      </c>
      <c r="V426" s="63">
        <f t="shared" si="416"/>
        <v>0.375616108435085</v>
      </c>
      <c r="W426" s="63">
        <f t="shared" si="417"/>
        <v>0.060126582278481</v>
      </c>
      <c r="X426" s="61">
        <v>0.188</v>
      </c>
      <c r="Y426" s="64">
        <v>10</v>
      </c>
      <c r="Z426" s="64">
        <f>F426*0.1</f>
        <v>11.499</v>
      </c>
      <c r="AA426" s="64">
        <f t="shared" si="418"/>
        <v>0.79</v>
      </c>
      <c r="AB426" s="57">
        <f t="shared" si="419"/>
        <v>14.852</v>
      </c>
      <c r="AC426" s="57">
        <v>240</v>
      </c>
      <c r="AD426" s="65">
        <f t="shared" si="420"/>
        <v>212.389380530973</v>
      </c>
      <c r="AE426" s="62">
        <f t="shared" si="424"/>
        <v>1.5</v>
      </c>
      <c r="AF426" s="63">
        <f t="shared" si="421"/>
        <v>0.336059146409768</v>
      </c>
      <c r="AG426" s="63">
        <f t="shared" si="422"/>
        <v>0.00237341772151899</v>
      </c>
      <c r="AH426" s="62">
        <v>25</v>
      </c>
      <c r="AI426" s="60">
        <f t="shared" si="423"/>
        <v>0.375649265944074</v>
      </c>
      <c r="AJ426" s="63"/>
      <c r="AK426" s="63"/>
      <c r="AL426" s="63"/>
      <c r="AM426" s="63"/>
      <c r="AN426" s="66"/>
      <c r="AO426" s="66"/>
      <c r="AP426" s="66"/>
      <c r="AQ426" s="66"/>
      <c r="AR426" s="66"/>
      <c r="AS426" s="66"/>
      <c r="AT426" s="66" t="s">
        <v>600</v>
      </c>
      <c r="AU426" s="66" t="s">
        <v>600</v>
      </c>
      <c r="AV426" s="66" t="s">
        <v>600</v>
      </c>
      <c r="AW426" s="66" t="s">
        <v>600</v>
      </c>
      <c r="AX426" s="66" t="s">
        <v>600</v>
      </c>
      <c r="AY426" s="66" t="s">
        <v>600</v>
      </c>
      <c r="AZ426" s="66" t="s">
        <v>600</v>
      </c>
      <c r="BA426" s="66" t="s">
        <v>600</v>
      </c>
      <c r="BB426" s="66" t="s">
        <v>600</v>
      </c>
      <c r="BC426" s="66" t="s">
        <v>600</v>
      </c>
      <c r="BD426" s="66" t="s">
        <v>600</v>
      </c>
      <c r="BE426" s="66" t="s">
        <v>600</v>
      </c>
      <c r="BF426" s="66" t="s">
        <v>600</v>
      </c>
      <c r="BG426" s="66" t="s">
        <v>600</v>
      </c>
      <c r="BH426" s="66" t="s">
        <v>600</v>
      </c>
      <c r="BI426" s="66" t="s">
        <v>600</v>
      </c>
      <c r="BJ426" s="66" t="s">
        <v>600</v>
      </c>
      <c r="BK426" s="66" t="s">
        <v>600</v>
      </c>
      <c r="BL426" s="66" t="s">
        <v>600</v>
      </c>
      <c r="BM426" s="66" t="s">
        <v>600</v>
      </c>
      <c r="BN426" s="66" t="s">
        <v>600</v>
      </c>
      <c r="BO426" s="66" t="s">
        <v>600</v>
      </c>
      <c r="BP426" s="66" t="s">
        <v>600</v>
      </c>
      <c r="BQ426" s="66" t="s">
        <v>600</v>
      </c>
      <c r="BR426" s="70" t="e">
        <f>IF(E426&lt;#REF!,1,0)</f>
        <v>#REF!</v>
      </c>
      <c r="BS426" s="68" t="s">
        <v>601</v>
      </c>
    </row>
    <row r="427" ht="15.6" spans="1:71">
      <c r="A427" s="53" t="s">
        <v>511</v>
      </c>
      <c r="B427" s="53"/>
      <c r="C427" s="171" t="s">
        <v>122</v>
      </c>
      <c r="D427" s="166" t="s">
        <v>730</v>
      </c>
      <c r="E427" s="57">
        <v>79</v>
      </c>
      <c r="F427" s="69">
        <v>114.99</v>
      </c>
      <c r="G427" s="59">
        <f t="shared" si="404"/>
        <v>97.7415</v>
      </c>
      <c r="H427" s="59">
        <f t="shared" si="405"/>
        <v>81.45125</v>
      </c>
      <c r="I427" s="59">
        <f t="shared" si="406"/>
        <v>1.68582743362832</v>
      </c>
      <c r="J427" s="60">
        <f t="shared" si="407"/>
        <v>0.0213395877674471</v>
      </c>
      <c r="K427" s="57">
        <f t="shared" si="408"/>
        <v>95.825</v>
      </c>
      <c r="L427" s="163">
        <f t="shared" si="409"/>
        <v>0.175580485259588</v>
      </c>
      <c r="M427" s="59">
        <f t="shared" si="410"/>
        <v>16.825</v>
      </c>
      <c r="N427" s="57">
        <f t="shared" si="411"/>
        <v>237.389380530973</v>
      </c>
      <c r="O427" s="57">
        <f t="shared" si="412"/>
        <v>4.75</v>
      </c>
      <c r="P427" s="53">
        <v>3</v>
      </c>
      <c r="Q427" s="62">
        <v>8</v>
      </c>
      <c r="R427" s="63">
        <f t="shared" si="413"/>
        <v>0.126582278481013</v>
      </c>
      <c r="S427" s="60">
        <f t="shared" si="414"/>
        <v>0.0869640838333768</v>
      </c>
      <c r="T427" s="63">
        <f t="shared" si="415"/>
        <v>0.218335443037975</v>
      </c>
      <c r="U427" s="63">
        <v>0.01</v>
      </c>
      <c r="V427" s="63">
        <f t="shared" si="416"/>
        <v>0.375616108435085</v>
      </c>
      <c r="W427" s="63">
        <f t="shared" si="417"/>
        <v>0.060126582278481</v>
      </c>
      <c r="X427" s="61">
        <v>0.188</v>
      </c>
      <c r="Y427" s="64">
        <v>10</v>
      </c>
      <c r="Z427" s="64">
        <f>F427*0.15</f>
        <v>17.2485</v>
      </c>
      <c r="AA427" s="64">
        <f t="shared" si="418"/>
        <v>0.79</v>
      </c>
      <c r="AB427" s="57">
        <f t="shared" si="419"/>
        <v>14.852</v>
      </c>
      <c r="AC427" s="57">
        <v>240</v>
      </c>
      <c r="AD427" s="65">
        <f t="shared" si="420"/>
        <v>212.389380530973</v>
      </c>
      <c r="AE427" s="62">
        <f t="shared" si="424"/>
        <v>1.5</v>
      </c>
      <c r="AF427" s="63">
        <f t="shared" si="421"/>
        <v>0.336059146409768</v>
      </c>
      <c r="AG427" s="63">
        <f t="shared" si="422"/>
        <v>0.00237341772151899</v>
      </c>
      <c r="AH427" s="62">
        <v>25</v>
      </c>
      <c r="AI427" s="60">
        <f t="shared" si="423"/>
        <v>0.403135797598519</v>
      </c>
      <c r="AJ427" s="63"/>
      <c r="AK427" s="63"/>
      <c r="AL427" s="63"/>
      <c r="AM427" s="63"/>
      <c r="AN427" s="66"/>
      <c r="AO427" s="66"/>
      <c r="AP427" s="66"/>
      <c r="AQ427" s="66"/>
      <c r="AR427" s="66"/>
      <c r="AS427" s="66"/>
      <c r="AT427" s="66" t="s">
        <v>600</v>
      </c>
      <c r="AU427" s="66" t="s">
        <v>600</v>
      </c>
      <c r="AV427" s="66" t="s">
        <v>600</v>
      </c>
      <c r="AW427" s="66" t="s">
        <v>600</v>
      </c>
      <c r="AX427" s="66" t="s">
        <v>600</v>
      </c>
      <c r="AY427" s="66" t="s">
        <v>600</v>
      </c>
      <c r="AZ427" s="66" t="s">
        <v>600</v>
      </c>
      <c r="BA427" s="66" t="s">
        <v>600</v>
      </c>
      <c r="BB427" s="66" t="s">
        <v>600</v>
      </c>
      <c r="BC427" s="66" t="s">
        <v>600</v>
      </c>
      <c r="BD427" s="66" t="s">
        <v>600</v>
      </c>
      <c r="BE427" s="66" t="s">
        <v>600</v>
      </c>
      <c r="BF427" s="66" t="s">
        <v>600</v>
      </c>
      <c r="BG427" s="66" t="s">
        <v>600</v>
      </c>
      <c r="BH427" s="66" t="s">
        <v>600</v>
      </c>
      <c r="BI427" s="66" t="s">
        <v>600</v>
      </c>
      <c r="BJ427" s="66" t="s">
        <v>600</v>
      </c>
      <c r="BK427" s="66" t="s">
        <v>600</v>
      </c>
      <c r="BL427" s="66" t="s">
        <v>600</v>
      </c>
      <c r="BM427" s="66" t="s">
        <v>600</v>
      </c>
      <c r="BN427" s="66" t="s">
        <v>600</v>
      </c>
      <c r="BO427" s="66" t="s">
        <v>600</v>
      </c>
      <c r="BP427" s="66" t="s">
        <v>600</v>
      </c>
      <c r="BQ427" s="66" t="s">
        <v>600</v>
      </c>
      <c r="BR427" s="70" t="e">
        <f>IF(E427&lt;#REF!,1,0)</f>
        <v>#REF!</v>
      </c>
      <c r="BS427" s="68" t="s">
        <v>601</v>
      </c>
    </row>
    <row r="428" ht="15.6" spans="1:71">
      <c r="A428" s="53" t="s">
        <v>513</v>
      </c>
      <c r="B428" s="53"/>
      <c r="C428" s="171" t="s">
        <v>122</v>
      </c>
      <c r="D428" s="166" t="s">
        <v>728</v>
      </c>
      <c r="E428" s="57">
        <v>79</v>
      </c>
      <c r="F428" s="69">
        <v>114.99</v>
      </c>
      <c r="G428" s="59">
        <f t="shared" si="404"/>
        <v>114.99</v>
      </c>
      <c r="H428" s="59">
        <f t="shared" si="405"/>
        <v>95.825</v>
      </c>
      <c r="I428" s="59">
        <f t="shared" si="406"/>
        <v>18.600994100295</v>
      </c>
      <c r="J428" s="60">
        <f t="shared" si="407"/>
        <v>0.235455621522721</v>
      </c>
      <c r="K428" s="57">
        <f t="shared" si="408"/>
        <v>95.825</v>
      </c>
      <c r="L428" s="163">
        <f t="shared" si="409"/>
        <v>0.175580485259588</v>
      </c>
      <c r="M428" s="59">
        <f t="shared" si="410"/>
        <v>16.825</v>
      </c>
      <c r="N428" s="57">
        <f t="shared" si="411"/>
        <v>237.389380530973</v>
      </c>
      <c r="O428" s="57">
        <f t="shared" si="412"/>
        <v>5.08333333333333</v>
      </c>
      <c r="P428" s="53">
        <v>3</v>
      </c>
      <c r="Q428" s="62">
        <v>8</v>
      </c>
      <c r="R428" s="63">
        <f t="shared" si="413"/>
        <v>0.126582278481013</v>
      </c>
      <c r="S428" s="60">
        <f t="shared" si="414"/>
        <v>0.0869640838333768</v>
      </c>
      <c r="T428" s="63">
        <f t="shared" si="415"/>
        <v>0</v>
      </c>
      <c r="U428" s="63">
        <v>0.01</v>
      </c>
      <c r="V428" s="63">
        <f t="shared" si="416"/>
        <v>0.375616108435085</v>
      </c>
      <c r="W428" s="63">
        <f t="shared" si="417"/>
        <v>0.0643459915611814</v>
      </c>
      <c r="X428" s="61">
        <v>0.188</v>
      </c>
      <c r="Y428" s="64">
        <v>10</v>
      </c>
      <c r="Z428" s="64">
        <v>0</v>
      </c>
      <c r="AA428" s="64">
        <f t="shared" si="418"/>
        <v>0.79</v>
      </c>
      <c r="AB428" s="57">
        <f t="shared" si="419"/>
        <v>14.852</v>
      </c>
      <c r="AC428" s="57">
        <v>240</v>
      </c>
      <c r="AD428" s="65">
        <f t="shared" si="420"/>
        <v>212.389380530973</v>
      </c>
      <c r="AE428" s="62">
        <f t="shared" si="424"/>
        <v>1.5</v>
      </c>
      <c r="AF428" s="63">
        <f t="shared" si="421"/>
        <v>0.336059146409768</v>
      </c>
      <c r="AG428" s="63">
        <f t="shared" si="422"/>
        <v>0.00237341772151899</v>
      </c>
      <c r="AH428" s="62">
        <v>25</v>
      </c>
      <c r="AI428" s="60">
        <f t="shared" si="423"/>
        <v>0.330571354030785</v>
      </c>
      <c r="AJ428" s="63"/>
      <c r="AK428" s="63"/>
      <c r="AL428" s="63"/>
      <c r="AM428" s="63"/>
      <c r="AN428" s="66"/>
      <c r="AO428" s="66"/>
      <c r="AP428" s="66"/>
      <c r="AQ428" s="66"/>
      <c r="AR428" s="66"/>
      <c r="AS428" s="66"/>
      <c r="AT428" s="66" t="s">
        <v>600</v>
      </c>
      <c r="AU428" s="66" t="s">
        <v>600</v>
      </c>
      <c r="AV428" s="66" t="s">
        <v>600</v>
      </c>
      <c r="AW428" s="66" t="s">
        <v>600</v>
      </c>
      <c r="AX428" s="66" t="s">
        <v>600</v>
      </c>
      <c r="AY428" s="66" t="s">
        <v>600</v>
      </c>
      <c r="AZ428" s="66" t="s">
        <v>600</v>
      </c>
      <c r="BA428" s="66" t="s">
        <v>600</v>
      </c>
      <c r="BB428" s="66" t="s">
        <v>600</v>
      </c>
      <c r="BC428" s="66" t="s">
        <v>600</v>
      </c>
      <c r="BD428" s="66" t="s">
        <v>600</v>
      </c>
      <c r="BE428" s="66" t="s">
        <v>600</v>
      </c>
      <c r="BF428" s="66" t="s">
        <v>600</v>
      </c>
      <c r="BG428" s="66" t="s">
        <v>600</v>
      </c>
      <c r="BH428" s="66" t="s">
        <v>600</v>
      </c>
      <c r="BI428" s="66" t="s">
        <v>600</v>
      </c>
      <c r="BJ428" s="66" t="s">
        <v>600</v>
      </c>
      <c r="BK428" s="66" t="s">
        <v>600</v>
      </c>
      <c r="BL428" s="66" t="s">
        <v>600</v>
      </c>
      <c r="BM428" s="66" t="s">
        <v>600</v>
      </c>
      <c r="BN428" s="66" t="s">
        <v>600</v>
      </c>
      <c r="BO428" s="66" t="s">
        <v>600</v>
      </c>
      <c r="BP428" s="66" t="s">
        <v>600</v>
      </c>
      <c r="BQ428" s="66" t="s">
        <v>600</v>
      </c>
      <c r="BR428" s="70" t="e">
        <f>IF(E428&lt;#REF!,1,0)</f>
        <v>#REF!</v>
      </c>
      <c r="BS428" s="68" t="s">
        <v>601</v>
      </c>
    </row>
    <row r="429" ht="15.6" spans="1:71">
      <c r="A429" s="53" t="s">
        <v>513</v>
      </c>
      <c r="B429" s="53"/>
      <c r="C429" s="171" t="s">
        <v>122</v>
      </c>
      <c r="D429" s="166" t="s">
        <v>729</v>
      </c>
      <c r="E429" s="57">
        <v>79</v>
      </c>
      <c r="F429" s="69">
        <v>114.99</v>
      </c>
      <c r="G429" s="59">
        <f t="shared" si="404"/>
        <v>103.491</v>
      </c>
      <c r="H429" s="59">
        <f t="shared" si="405"/>
        <v>86.2425</v>
      </c>
      <c r="I429" s="59">
        <f t="shared" si="406"/>
        <v>7.10199410029499</v>
      </c>
      <c r="J429" s="60">
        <f t="shared" si="407"/>
        <v>0.0898986594974049</v>
      </c>
      <c r="K429" s="57">
        <f t="shared" si="408"/>
        <v>95.825</v>
      </c>
      <c r="L429" s="163">
        <f t="shared" si="409"/>
        <v>0.175580485259588</v>
      </c>
      <c r="M429" s="59">
        <f t="shared" si="410"/>
        <v>16.825</v>
      </c>
      <c r="N429" s="57">
        <f t="shared" si="411"/>
        <v>237.389380530973</v>
      </c>
      <c r="O429" s="57">
        <f t="shared" si="412"/>
        <v>5.08333333333333</v>
      </c>
      <c r="P429" s="53">
        <v>3</v>
      </c>
      <c r="Q429" s="62">
        <v>8</v>
      </c>
      <c r="R429" s="63">
        <f t="shared" si="413"/>
        <v>0.126582278481013</v>
      </c>
      <c r="S429" s="60">
        <f t="shared" si="414"/>
        <v>0.0869640838333768</v>
      </c>
      <c r="T429" s="63">
        <f t="shared" si="415"/>
        <v>0.145556962025316</v>
      </c>
      <c r="U429" s="63">
        <v>0.01</v>
      </c>
      <c r="V429" s="63">
        <f t="shared" si="416"/>
        <v>0.375616108435085</v>
      </c>
      <c r="W429" s="63">
        <f t="shared" si="417"/>
        <v>0.0643459915611814</v>
      </c>
      <c r="X429" s="61">
        <v>0.188</v>
      </c>
      <c r="Y429" s="64">
        <v>10</v>
      </c>
      <c r="Z429" s="64">
        <f>F429*0.1</f>
        <v>11.499</v>
      </c>
      <c r="AA429" s="64">
        <f t="shared" si="418"/>
        <v>0.79</v>
      </c>
      <c r="AB429" s="57">
        <f t="shared" si="419"/>
        <v>14.852</v>
      </c>
      <c r="AC429" s="57">
        <v>240</v>
      </c>
      <c r="AD429" s="65">
        <f t="shared" si="420"/>
        <v>212.389380530973</v>
      </c>
      <c r="AE429" s="62">
        <f t="shared" si="424"/>
        <v>1.5</v>
      </c>
      <c r="AF429" s="63">
        <f t="shared" si="421"/>
        <v>0.336059146409768</v>
      </c>
      <c r="AG429" s="63">
        <f t="shared" si="422"/>
        <v>0.00237341772151899</v>
      </c>
      <c r="AH429" s="62">
        <v>25</v>
      </c>
      <c r="AI429" s="60">
        <f t="shared" si="423"/>
        <v>0.375649265944074</v>
      </c>
      <c r="AJ429" s="63"/>
      <c r="AK429" s="63"/>
      <c r="AL429" s="63"/>
      <c r="AM429" s="63"/>
      <c r="AN429" s="66"/>
      <c r="AO429" s="66"/>
      <c r="AP429" s="66"/>
      <c r="AQ429" s="66"/>
      <c r="AR429" s="66"/>
      <c r="AS429" s="66"/>
      <c r="AT429" s="66" t="s">
        <v>600</v>
      </c>
      <c r="AU429" s="66" t="s">
        <v>600</v>
      </c>
      <c r="AV429" s="66" t="s">
        <v>600</v>
      </c>
      <c r="AW429" s="66" t="s">
        <v>600</v>
      </c>
      <c r="AX429" s="66" t="s">
        <v>600</v>
      </c>
      <c r="AY429" s="66" t="s">
        <v>600</v>
      </c>
      <c r="AZ429" s="66" t="s">
        <v>600</v>
      </c>
      <c r="BA429" s="66" t="s">
        <v>600</v>
      </c>
      <c r="BB429" s="66" t="s">
        <v>600</v>
      </c>
      <c r="BC429" s="66" t="s">
        <v>600</v>
      </c>
      <c r="BD429" s="66" t="s">
        <v>600</v>
      </c>
      <c r="BE429" s="66" t="s">
        <v>600</v>
      </c>
      <c r="BF429" s="66" t="s">
        <v>600</v>
      </c>
      <c r="BG429" s="66" t="s">
        <v>600</v>
      </c>
      <c r="BH429" s="66" t="s">
        <v>600</v>
      </c>
      <c r="BI429" s="66" t="s">
        <v>600</v>
      </c>
      <c r="BJ429" s="66" t="s">
        <v>600</v>
      </c>
      <c r="BK429" s="66" t="s">
        <v>600</v>
      </c>
      <c r="BL429" s="66" t="s">
        <v>600</v>
      </c>
      <c r="BM429" s="66" t="s">
        <v>600</v>
      </c>
      <c r="BN429" s="66" t="s">
        <v>600</v>
      </c>
      <c r="BO429" s="66" t="s">
        <v>600</v>
      </c>
      <c r="BP429" s="66" t="s">
        <v>600</v>
      </c>
      <c r="BQ429" s="66" t="s">
        <v>600</v>
      </c>
      <c r="BR429" s="70" t="e">
        <f>IF(E429&lt;#REF!,1,0)</f>
        <v>#REF!</v>
      </c>
      <c r="BS429" s="68" t="s">
        <v>601</v>
      </c>
    </row>
    <row r="430" ht="15.6" spans="1:71">
      <c r="A430" s="53" t="s">
        <v>513</v>
      </c>
      <c r="B430" s="53"/>
      <c r="C430" s="171" t="s">
        <v>122</v>
      </c>
      <c r="D430" s="166" t="s">
        <v>730</v>
      </c>
      <c r="E430" s="57">
        <v>79</v>
      </c>
      <c r="F430" s="69">
        <v>114.99</v>
      </c>
      <c r="G430" s="59">
        <f t="shared" si="404"/>
        <v>97.7415</v>
      </c>
      <c r="H430" s="59">
        <f t="shared" si="405"/>
        <v>81.45125</v>
      </c>
      <c r="I430" s="59">
        <f t="shared" si="406"/>
        <v>1.35249410029499</v>
      </c>
      <c r="J430" s="60">
        <f t="shared" si="407"/>
        <v>0.0171201784847467</v>
      </c>
      <c r="K430" s="57">
        <f t="shared" si="408"/>
        <v>95.825</v>
      </c>
      <c r="L430" s="163">
        <f t="shared" si="409"/>
        <v>0.175580485259588</v>
      </c>
      <c r="M430" s="59">
        <f t="shared" si="410"/>
        <v>16.825</v>
      </c>
      <c r="N430" s="57">
        <f t="shared" si="411"/>
        <v>237.389380530973</v>
      </c>
      <c r="O430" s="57">
        <f t="shared" si="412"/>
        <v>5.08333333333333</v>
      </c>
      <c r="P430" s="53">
        <v>3</v>
      </c>
      <c r="Q430" s="62">
        <v>8</v>
      </c>
      <c r="R430" s="63">
        <f t="shared" si="413"/>
        <v>0.126582278481013</v>
      </c>
      <c r="S430" s="60">
        <f t="shared" si="414"/>
        <v>0.0869640838333768</v>
      </c>
      <c r="T430" s="63">
        <f t="shared" si="415"/>
        <v>0.218335443037975</v>
      </c>
      <c r="U430" s="63">
        <v>0.01</v>
      </c>
      <c r="V430" s="63">
        <f t="shared" si="416"/>
        <v>0.375616108435085</v>
      </c>
      <c r="W430" s="63">
        <f t="shared" si="417"/>
        <v>0.0643459915611814</v>
      </c>
      <c r="X430" s="61">
        <v>0.188</v>
      </c>
      <c r="Y430" s="64">
        <v>10</v>
      </c>
      <c r="Z430" s="64">
        <f>F430*0.15</f>
        <v>17.2485</v>
      </c>
      <c r="AA430" s="64">
        <f t="shared" si="418"/>
        <v>0.79</v>
      </c>
      <c r="AB430" s="57">
        <f t="shared" si="419"/>
        <v>14.852</v>
      </c>
      <c r="AC430" s="57">
        <v>240</v>
      </c>
      <c r="AD430" s="65">
        <f t="shared" si="420"/>
        <v>212.389380530973</v>
      </c>
      <c r="AE430" s="62">
        <f t="shared" si="424"/>
        <v>1.5</v>
      </c>
      <c r="AF430" s="63">
        <f t="shared" si="421"/>
        <v>0.336059146409768</v>
      </c>
      <c r="AG430" s="63">
        <f t="shared" si="422"/>
        <v>0.00237341772151899</v>
      </c>
      <c r="AH430" s="62">
        <v>25</v>
      </c>
      <c r="AI430" s="60">
        <f t="shared" si="423"/>
        <v>0.403135797598519</v>
      </c>
      <c r="AJ430" s="63"/>
      <c r="AK430" s="63"/>
      <c r="AL430" s="63"/>
      <c r="AM430" s="63"/>
      <c r="AN430" s="66"/>
      <c r="AO430" s="66"/>
      <c r="AP430" s="66"/>
      <c r="AQ430" s="66"/>
      <c r="AR430" s="66"/>
      <c r="AS430" s="66"/>
      <c r="AT430" s="66" t="s">
        <v>600</v>
      </c>
      <c r="AU430" s="66" t="s">
        <v>600</v>
      </c>
      <c r="AV430" s="66" t="s">
        <v>600</v>
      </c>
      <c r="AW430" s="66" t="s">
        <v>600</v>
      </c>
      <c r="AX430" s="66" t="s">
        <v>600</v>
      </c>
      <c r="AY430" s="66" t="s">
        <v>600</v>
      </c>
      <c r="AZ430" s="66" t="s">
        <v>600</v>
      </c>
      <c r="BA430" s="66" t="s">
        <v>600</v>
      </c>
      <c r="BB430" s="66" t="s">
        <v>600</v>
      </c>
      <c r="BC430" s="66" t="s">
        <v>600</v>
      </c>
      <c r="BD430" s="66" t="s">
        <v>600</v>
      </c>
      <c r="BE430" s="66" t="s">
        <v>600</v>
      </c>
      <c r="BF430" s="66" t="s">
        <v>600</v>
      </c>
      <c r="BG430" s="66" t="s">
        <v>600</v>
      </c>
      <c r="BH430" s="66" t="s">
        <v>600</v>
      </c>
      <c r="BI430" s="66" t="s">
        <v>600</v>
      </c>
      <c r="BJ430" s="66" t="s">
        <v>600</v>
      </c>
      <c r="BK430" s="66" t="s">
        <v>600</v>
      </c>
      <c r="BL430" s="66" t="s">
        <v>600</v>
      </c>
      <c r="BM430" s="66" t="s">
        <v>600</v>
      </c>
      <c r="BN430" s="66" t="s">
        <v>600</v>
      </c>
      <c r="BO430" s="66" t="s">
        <v>600</v>
      </c>
      <c r="BP430" s="66" t="s">
        <v>600</v>
      </c>
      <c r="BQ430" s="66" t="s">
        <v>600</v>
      </c>
      <c r="BR430" s="70" t="e">
        <f>IF(E430&lt;#REF!,1,0)</f>
        <v>#REF!</v>
      </c>
      <c r="BS430" s="68" t="s">
        <v>601</v>
      </c>
    </row>
    <row r="431" ht="15.6" spans="1:71">
      <c r="A431" s="53" t="s">
        <v>516</v>
      </c>
      <c r="B431" s="53"/>
      <c r="C431" s="171" t="s">
        <v>122</v>
      </c>
      <c r="D431" s="166" t="s">
        <v>728</v>
      </c>
      <c r="E431" s="57">
        <v>79</v>
      </c>
      <c r="F431" s="69">
        <v>114.99</v>
      </c>
      <c r="G431" s="59">
        <f t="shared" si="404"/>
        <v>114.99</v>
      </c>
      <c r="H431" s="59">
        <f t="shared" si="405"/>
        <v>95.825</v>
      </c>
      <c r="I431" s="59">
        <f t="shared" si="406"/>
        <v>17.2676607669617</v>
      </c>
      <c r="J431" s="60">
        <f t="shared" si="407"/>
        <v>0.21857798439192</v>
      </c>
      <c r="K431" s="57">
        <f t="shared" si="408"/>
        <v>95.825</v>
      </c>
      <c r="L431" s="163">
        <f t="shared" si="409"/>
        <v>0.175580485259588</v>
      </c>
      <c r="M431" s="59">
        <f t="shared" si="410"/>
        <v>16.825</v>
      </c>
      <c r="N431" s="57">
        <f t="shared" si="411"/>
        <v>237.389380530973</v>
      </c>
      <c r="O431" s="57">
        <f t="shared" si="412"/>
        <v>6.41666666666667</v>
      </c>
      <c r="P431" s="53">
        <v>3</v>
      </c>
      <c r="Q431" s="62">
        <v>8</v>
      </c>
      <c r="R431" s="63">
        <f t="shared" si="413"/>
        <v>0.126582278481013</v>
      </c>
      <c r="S431" s="60">
        <f t="shared" si="414"/>
        <v>0.0869640838333768</v>
      </c>
      <c r="T431" s="63">
        <f t="shared" si="415"/>
        <v>0</v>
      </c>
      <c r="U431" s="63">
        <v>0.01</v>
      </c>
      <c r="V431" s="63">
        <f t="shared" si="416"/>
        <v>0.375616108435085</v>
      </c>
      <c r="W431" s="63">
        <f t="shared" si="417"/>
        <v>0.0812236286919831</v>
      </c>
      <c r="X431" s="61">
        <v>0.188</v>
      </c>
      <c r="Y431" s="64">
        <v>10</v>
      </c>
      <c r="Z431" s="64">
        <v>0</v>
      </c>
      <c r="AA431" s="64">
        <f t="shared" si="418"/>
        <v>0.79</v>
      </c>
      <c r="AB431" s="57">
        <f t="shared" si="419"/>
        <v>14.852</v>
      </c>
      <c r="AC431" s="57">
        <v>240</v>
      </c>
      <c r="AD431" s="65">
        <f t="shared" si="420"/>
        <v>212.389380530973</v>
      </c>
      <c r="AE431" s="62">
        <f t="shared" si="424"/>
        <v>1.5</v>
      </c>
      <c r="AF431" s="63">
        <f t="shared" si="421"/>
        <v>0.336059146409768</v>
      </c>
      <c r="AG431" s="63">
        <f t="shared" si="422"/>
        <v>0.00237341772151899</v>
      </c>
      <c r="AH431" s="62">
        <v>25</v>
      </c>
      <c r="AI431" s="60">
        <f t="shared" si="423"/>
        <v>0.330571354030785</v>
      </c>
      <c r="AJ431" s="63"/>
      <c r="AK431" s="63"/>
      <c r="AL431" s="63"/>
      <c r="AM431" s="63"/>
      <c r="AN431" s="66"/>
      <c r="AO431" s="66"/>
      <c r="AP431" s="66"/>
      <c r="AQ431" s="66"/>
      <c r="AR431" s="66"/>
      <c r="AS431" s="66"/>
      <c r="AT431" s="66" t="s">
        <v>600</v>
      </c>
      <c r="AU431" s="66" t="s">
        <v>600</v>
      </c>
      <c r="AV431" s="66" t="s">
        <v>600</v>
      </c>
      <c r="AW431" s="66" t="s">
        <v>600</v>
      </c>
      <c r="AX431" s="66" t="s">
        <v>600</v>
      </c>
      <c r="AY431" s="66" t="s">
        <v>600</v>
      </c>
      <c r="AZ431" s="66" t="s">
        <v>600</v>
      </c>
      <c r="BA431" s="66" t="s">
        <v>600</v>
      </c>
      <c r="BB431" s="66" t="s">
        <v>600</v>
      </c>
      <c r="BC431" s="66" t="s">
        <v>600</v>
      </c>
      <c r="BD431" s="66" t="s">
        <v>600</v>
      </c>
      <c r="BE431" s="66" t="s">
        <v>600</v>
      </c>
      <c r="BF431" s="66" t="s">
        <v>600</v>
      </c>
      <c r="BG431" s="66" t="s">
        <v>600</v>
      </c>
      <c r="BH431" s="66" t="s">
        <v>600</v>
      </c>
      <c r="BI431" s="66" t="s">
        <v>600</v>
      </c>
      <c r="BJ431" s="66" t="s">
        <v>600</v>
      </c>
      <c r="BK431" s="66" t="s">
        <v>600</v>
      </c>
      <c r="BL431" s="66" t="s">
        <v>600</v>
      </c>
      <c r="BM431" s="66" t="s">
        <v>600</v>
      </c>
      <c r="BN431" s="66" t="s">
        <v>600</v>
      </c>
      <c r="BO431" s="66" t="s">
        <v>600</v>
      </c>
      <c r="BP431" s="66" t="s">
        <v>600</v>
      </c>
      <c r="BQ431" s="66" t="s">
        <v>600</v>
      </c>
      <c r="BR431" s="70" t="e">
        <f>IF(E431&lt;#REF!,1,0)</f>
        <v>#REF!</v>
      </c>
      <c r="BS431" s="68" t="s">
        <v>601</v>
      </c>
    </row>
    <row r="432" ht="15.6" spans="1:71">
      <c r="A432" s="53" t="s">
        <v>516</v>
      </c>
      <c r="B432" s="53"/>
      <c r="C432" s="171" t="s">
        <v>122</v>
      </c>
      <c r="D432" s="166" t="s">
        <v>729</v>
      </c>
      <c r="E432" s="57">
        <v>79</v>
      </c>
      <c r="F432" s="69">
        <v>114.99</v>
      </c>
      <c r="G432" s="59">
        <f t="shared" si="404"/>
        <v>103.491</v>
      </c>
      <c r="H432" s="59">
        <f t="shared" si="405"/>
        <v>86.2425</v>
      </c>
      <c r="I432" s="59">
        <f t="shared" si="406"/>
        <v>5.76866076696165</v>
      </c>
      <c r="J432" s="60">
        <f t="shared" si="407"/>
        <v>0.0730210223666032</v>
      </c>
      <c r="K432" s="57">
        <f t="shared" si="408"/>
        <v>95.825</v>
      </c>
      <c r="L432" s="163">
        <f t="shared" si="409"/>
        <v>0.175580485259588</v>
      </c>
      <c r="M432" s="59">
        <f t="shared" si="410"/>
        <v>16.825</v>
      </c>
      <c r="N432" s="57">
        <f t="shared" si="411"/>
        <v>237.389380530973</v>
      </c>
      <c r="O432" s="57">
        <f t="shared" si="412"/>
        <v>6.41666666666667</v>
      </c>
      <c r="P432" s="53">
        <v>3</v>
      </c>
      <c r="Q432" s="62">
        <v>8</v>
      </c>
      <c r="R432" s="63">
        <f t="shared" si="413"/>
        <v>0.126582278481013</v>
      </c>
      <c r="S432" s="60">
        <f t="shared" si="414"/>
        <v>0.0869640838333768</v>
      </c>
      <c r="T432" s="63">
        <f t="shared" si="415"/>
        <v>0.145556962025316</v>
      </c>
      <c r="U432" s="63">
        <v>0.01</v>
      </c>
      <c r="V432" s="63">
        <f t="shared" si="416"/>
        <v>0.375616108435085</v>
      </c>
      <c r="W432" s="63">
        <f t="shared" si="417"/>
        <v>0.0812236286919831</v>
      </c>
      <c r="X432" s="61">
        <v>0.188</v>
      </c>
      <c r="Y432" s="64">
        <v>10</v>
      </c>
      <c r="Z432" s="64">
        <f>F432*0.1</f>
        <v>11.499</v>
      </c>
      <c r="AA432" s="64">
        <f t="shared" si="418"/>
        <v>0.79</v>
      </c>
      <c r="AB432" s="57">
        <f t="shared" si="419"/>
        <v>14.852</v>
      </c>
      <c r="AC432" s="57">
        <v>240</v>
      </c>
      <c r="AD432" s="65">
        <f t="shared" si="420"/>
        <v>212.389380530973</v>
      </c>
      <c r="AE432" s="62">
        <f t="shared" si="424"/>
        <v>1.5</v>
      </c>
      <c r="AF432" s="63">
        <f t="shared" si="421"/>
        <v>0.336059146409768</v>
      </c>
      <c r="AG432" s="63">
        <f t="shared" si="422"/>
        <v>0.00237341772151899</v>
      </c>
      <c r="AH432" s="62">
        <v>25</v>
      </c>
      <c r="AI432" s="60">
        <f t="shared" si="423"/>
        <v>0.375649265944074</v>
      </c>
      <c r="AJ432" s="63"/>
      <c r="AK432" s="63"/>
      <c r="AL432" s="63"/>
      <c r="AM432" s="63"/>
      <c r="AN432" s="66"/>
      <c r="AO432" s="66"/>
      <c r="AP432" s="66"/>
      <c r="AQ432" s="66"/>
      <c r="AR432" s="66"/>
      <c r="AS432" s="66"/>
      <c r="AT432" s="66" t="s">
        <v>600</v>
      </c>
      <c r="AU432" s="66" t="s">
        <v>600</v>
      </c>
      <c r="AV432" s="66" t="s">
        <v>600</v>
      </c>
      <c r="AW432" s="66" t="s">
        <v>600</v>
      </c>
      <c r="AX432" s="66" t="s">
        <v>600</v>
      </c>
      <c r="AY432" s="66" t="s">
        <v>600</v>
      </c>
      <c r="AZ432" s="66" t="s">
        <v>600</v>
      </c>
      <c r="BA432" s="66" t="s">
        <v>600</v>
      </c>
      <c r="BB432" s="66" t="s">
        <v>600</v>
      </c>
      <c r="BC432" s="66" t="s">
        <v>600</v>
      </c>
      <c r="BD432" s="66" t="s">
        <v>600</v>
      </c>
      <c r="BE432" s="66" t="s">
        <v>600</v>
      </c>
      <c r="BF432" s="66" t="s">
        <v>600</v>
      </c>
      <c r="BG432" s="66" t="s">
        <v>600</v>
      </c>
      <c r="BH432" s="66" t="s">
        <v>600</v>
      </c>
      <c r="BI432" s="66" t="s">
        <v>600</v>
      </c>
      <c r="BJ432" s="66" t="s">
        <v>600</v>
      </c>
      <c r="BK432" s="66" t="s">
        <v>600</v>
      </c>
      <c r="BL432" s="66" t="s">
        <v>600</v>
      </c>
      <c r="BM432" s="66" t="s">
        <v>600</v>
      </c>
      <c r="BN432" s="66" t="s">
        <v>600</v>
      </c>
      <c r="BO432" s="66" t="s">
        <v>600</v>
      </c>
      <c r="BP432" s="66" t="s">
        <v>600</v>
      </c>
      <c r="BQ432" s="66" t="s">
        <v>600</v>
      </c>
      <c r="BR432" s="70" t="e">
        <f>IF(E432&lt;#REF!,1,0)</f>
        <v>#REF!</v>
      </c>
      <c r="BS432" s="68" t="s">
        <v>601</v>
      </c>
    </row>
    <row r="433" ht="15.6" spans="1:71">
      <c r="A433" s="53" t="s">
        <v>516</v>
      </c>
      <c r="B433" s="53"/>
      <c r="C433" s="171" t="s">
        <v>122</v>
      </c>
      <c r="D433" s="166" t="s">
        <v>730</v>
      </c>
      <c r="E433" s="57">
        <v>79</v>
      </c>
      <c r="F433" s="69">
        <v>114.99</v>
      </c>
      <c r="G433" s="59">
        <f t="shared" si="404"/>
        <v>97.7415</v>
      </c>
      <c r="H433" s="59">
        <f t="shared" si="405"/>
        <v>81.45125</v>
      </c>
      <c r="I433" s="59">
        <f t="shared" si="406"/>
        <v>0.01916076696165</v>
      </c>
      <c r="J433" s="60">
        <f t="shared" si="407"/>
        <v>0.000242541353944937</v>
      </c>
      <c r="K433" s="57">
        <f t="shared" si="408"/>
        <v>95.825</v>
      </c>
      <c r="L433" s="163">
        <f t="shared" si="409"/>
        <v>0.175580485259588</v>
      </c>
      <c r="M433" s="59">
        <f t="shared" si="410"/>
        <v>16.825</v>
      </c>
      <c r="N433" s="57">
        <f t="shared" si="411"/>
        <v>237.389380530973</v>
      </c>
      <c r="O433" s="57">
        <f t="shared" si="412"/>
        <v>6.41666666666667</v>
      </c>
      <c r="P433" s="53">
        <v>3</v>
      </c>
      <c r="Q433" s="62">
        <v>8</v>
      </c>
      <c r="R433" s="63">
        <f t="shared" si="413"/>
        <v>0.126582278481013</v>
      </c>
      <c r="S433" s="60">
        <f t="shared" si="414"/>
        <v>0.0869640838333768</v>
      </c>
      <c r="T433" s="63">
        <f t="shared" si="415"/>
        <v>0.218335443037975</v>
      </c>
      <c r="U433" s="63">
        <v>0.01</v>
      </c>
      <c r="V433" s="63">
        <f t="shared" si="416"/>
        <v>0.375616108435085</v>
      </c>
      <c r="W433" s="63">
        <f t="shared" si="417"/>
        <v>0.0812236286919831</v>
      </c>
      <c r="X433" s="61">
        <v>0.188</v>
      </c>
      <c r="Y433" s="64">
        <v>10</v>
      </c>
      <c r="Z433" s="64">
        <f>F433*0.15</f>
        <v>17.2485</v>
      </c>
      <c r="AA433" s="64">
        <f t="shared" si="418"/>
        <v>0.79</v>
      </c>
      <c r="AB433" s="57">
        <f t="shared" si="419"/>
        <v>14.852</v>
      </c>
      <c r="AC433" s="57">
        <v>240</v>
      </c>
      <c r="AD433" s="65">
        <f t="shared" si="420"/>
        <v>212.389380530973</v>
      </c>
      <c r="AE433" s="62">
        <f t="shared" si="424"/>
        <v>1.5</v>
      </c>
      <c r="AF433" s="63">
        <f t="shared" si="421"/>
        <v>0.336059146409768</v>
      </c>
      <c r="AG433" s="63">
        <f t="shared" si="422"/>
        <v>0.00237341772151899</v>
      </c>
      <c r="AH433" s="62">
        <v>25</v>
      </c>
      <c r="AI433" s="60">
        <f t="shared" si="423"/>
        <v>0.403135797598519</v>
      </c>
      <c r="AJ433" s="63"/>
      <c r="AK433" s="63"/>
      <c r="AL433" s="63"/>
      <c r="AM433" s="63"/>
      <c r="AN433" s="66"/>
      <c r="AO433" s="66"/>
      <c r="AP433" s="66"/>
      <c r="AQ433" s="66"/>
      <c r="AR433" s="66"/>
      <c r="AS433" s="66"/>
      <c r="AT433" s="66" t="s">
        <v>600</v>
      </c>
      <c r="AU433" s="66" t="s">
        <v>600</v>
      </c>
      <c r="AV433" s="66" t="s">
        <v>600</v>
      </c>
      <c r="AW433" s="66" t="s">
        <v>600</v>
      </c>
      <c r="AX433" s="66" t="s">
        <v>600</v>
      </c>
      <c r="AY433" s="66" t="s">
        <v>600</v>
      </c>
      <c r="AZ433" s="66" t="s">
        <v>600</v>
      </c>
      <c r="BA433" s="66" t="s">
        <v>600</v>
      </c>
      <c r="BB433" s="66" t="s">
        <v>600</v>
      </c>
      <c r="BC433" s="66" t="s">
        <v>600</v>
      </c>
      <c r="BD433" s="66" t="s">
        <v>600</v>
      </c>
      <c r="BE433" s="66" t="s">
        <v>600</v>
      </c>
      <c r="BF433" s="66" t="s">
        <v>600</v>
      </c>
      <c r="BG433" s="66" t="s">
        <v>600</v>
      </c>
      <c r="BH433" s="66" t="s">
        <v>600</v>
      </c>
      <c r="BI433" s="66" t="s">
        <v>600</v>
      </c>
      <c r="BJ433" s="66" t="s">
        <v>600</v>
      </c>
      <c r="BK433" s="66" t="s">
        <v>600</v>
      </c>
      <c r="BL433" s="66" t="s">
        <v>600</v>
      </c>
      <c r="BM433" s="66" t="s">
        <v>600</v>
      </c>
      <c r="BN433" s="66" t="s">
        <v>600</v>
      </c>
      <c r="BO433" s="66" t="s">
        <v>600</v>
      </c>
      <c r="BP433" s="66" t="s">
        <v>600</v>
      </c>
      <c r="BQ433" s="66" t="s">
        <v>600</v>
      </c>
      <c r="BR433" s="70" t="e">
        <f>IF(E433&lt;#REF!,1,0)</f>
        <v>#REF!</v>
      </c>
      <c r="BS433" s="68" t="s">
        <v>601</v>
      </c>
    </row>
    <row r="434" ht="15.6" spans="1:71">
      <c r="A434" s="53" t="s">
        <v>605</v>
      </c>
      <c r="B434" s="53"/>
      <c r="C434" s="171" t="s">
        <v>122</v>
      </c>
      <c r="D434" s="168" t="s">
        <v>731</v>
      </c>
      <c r="E434" s="57">
        <v>82</v>
      </c>
      <c r="F434" s="69">
        <v>119.99</v>
      </c>
      <c r="G434" s="59">
        <f t="shared" si="404"/>
        <v>119.99</v>
      </c>
      <c r="H434" s="59">
        <f t="shared" si="405"/>
        <v>99.9916666666667</v>
      </c>
      <c r="I434" s="59">
        <f t="shared" si="406"/>
        <v>20.506994100295</v>
      </c>
      <c r="J434" s="60">
        <f t="shared" si="407"/>
        <v>0.250085293906036</v>
      </c>
      <c r="K434" s="57">
        <f t="shared" si="408"/>
        <v>99.9916666666667</v>
      </c>
      <c r="L434" s="163">
        <f t="shared" si="409"/>
        <v>0.179931660971748</v>
      </c>
      <c r="M434" s="59">
        <f t="shared" si="410"/>
        <v>17.9916666666667</v>
      </c>
      <c r="N434" s="57">
        <f t="shared" si="411"/>
        <v>237.389380530973</v>
      </c>
      <c r="O434" s="57">
        <f t="shared" si="412"/>
        <v>5.58333333333333</v>
      </c>
      <c r="P434" s="53">
        <v>3</v>
      </c>
      <c r="Q434" s="62">
        <v>8</v>
      </c>
      <c r="R434" s="63">
        <f t="shared" si="413"/>
        <v>0.121951219512195</v>
      </c>
      <c r="S434" s="60">
        <f t="shared" si="414"/>
        <v>0.0833402783565297</v>
      </c>
      <c r="T434" s="63">
        <f t="shared" si="415"/>
        <v>0</v>
      </c>
      <c r="U434" s="63">
        <v>0.01</v>
      </c>
      <c r="V434" s="63">
        <f t="shared" si="416"/>
        <v>0.36187405568746</v>
      </c>
      <c r="W434" s="63">
        <f t="shared" si="417"/>
        <v>0.0680894308943089</v>
      </c>
      <c r="X434" s="61">
        <v>0.188</v>
      </c>
      <c r="Y434" s="64">
        <v>10</v>
      </c>
      <c r="Z434" s="64">
        <v>0</v>
      </c>
      <c r="AA434" s="64">
        <f t="shared" si="418"/>
        <v>0.82</v>
      </c>
      <c r="AB434" s="57">
        <f t="shared" si="419"/>
        <v>15.416</v>
      </c>
      <c r="AC434" s="57">
        <v>240</v>
      </c>
      <c r="AD434" s="65">
        <f t="shared" si="420"/>
        <v>212.389380530973</v>
      </c>
      <c r="AE434" s="62">
        <f t="shared" si="424"/>
        <v>1.5</v>
      </c>
      <c r="AF434" s="63">
        <f t="shared" si="421"/>
        <v>0.323764299589899</v>
      </c>
      <c r="AG434" s="63">
        <f t="shared" si="422"/>
        <v>0.00228658536585366</v>
      </c>
      <c r="AH434" s="62">
        <v>25</v>
      </c>
      <c r="AI434" s="60">
        <f t="shared" si="423"/>
        <v>0.334104508709059</v>
      </c>
      <c r="AJ434" s="63"/>
      <c r="AK434" s="63"/>
      <c r="AL434" s="63"/>
      <c r="AM434" s="63"/>
      <c r="AN434" s="66"/>
      <c r="AO434" s="66"/>
      <c r="AP434" s="66"/>
      <c r="AQ434" s="66"/>
      <c r="AR434" s="66"/>
      <c r="AS434" s="66"/>
      <c r="AT434" s="66" t="s">
        <v>600</v>
      </c>
      <c r="AU434" s="66" t="s">
        <v>600</v>
      </c>
      <c r="AV434" s="66" t="s">
        <v>600</v>
      </c>
      <c r="AW434" s="66" t="s">
        <v>600</v>
      </c>
      <c r="AX434" s="66" t="s">
        <v>600</v>
      </c>
      <c r="AY434" s="66" t="s">
        <v>600</v>
      </c>
      <c r="AZ434" s="66" t="s">
        <v>600</v>
      </c>
      <c r="BA434" s="66" t="s">
        <v>600</v>
      </c>
      <c r="BB434" s="66" t="s">
        <v>600</v>
      </c>
      <c r="BC434" s="66" t="s">
        <v>600</v>
      </c>
      <c r="BD434" s="66" t="s">
        <v>600</v>
      </c>
      <c r="BE434" s="66" t="s">
        <v>600</v>
      </c>
      <c r="BF434" s="66" t="s">
        <v>600</v>
      </c>
      <c r="BG434" s="66" t="s">
        <v>600</v>
      </c>
      <c r="BH434" s="66" t="s">
        <v>600</v>
      </c>
      <c r="BI434" s="66" t="s">
        <v>600</v>
      </c>
      <c r="BJ434" s="66" t="s">
        <v>600</v>
      </c>
      <c r="BK434" s="66" t="s">
        <v>600</v>
      </c>
      <c r="BL434" s="66" t="s">
        <v>600</v>
      </c>
      <c r="BM434" s="66" t="s">
        <v>600</v>
      </c>
      <c r="BN434" s="66" t="s">
        <v>600</v>
      </c>
      <c r="BO434" s="66" t="s">
        <v>600</v>
      </c>
      <c r="BP434" s="66" t="s">
        <v>600</v>
      </c>
      <c r="BQ434" s="66" t="s">
        <v>600</v>
      </c>
      <c r="BR434" s="70" t="e">
        <f>IF(E434&lt;#REF!,1,0)</f>
        <v>#REF!</v>
      </c>
      <c r="BS434" s="68" t="s">
        <v>601</v>
      </c>
    </row>
    <row r="435" ht="15.6" spans="1:71">
      <c r="A435" s="53" t="s">
        <v>607</v>
      </c>
      <c r="B435" s="53"/>
      <c r="C435" s="171" t="s">
        <v>122</v>
      </c>
      <c r="D435" s="166" t="s">
        <v>731</v>
      </c>
      <c r="E435" s="57">
        <v>82</v>
      </c>
      <c r="F435" s="69">
        <v>119.99</v>
      </c>
      <c r="G435" s="59">
        <f t="shared" si="404"/>
        <v>119.99</v>
      </c>
      <c r="H435" s="59">
        <f t="shared" si="405"/>
        <v>99.9916666666667</v>
      </c>
      <c r="I435" s="59">
        <f t="shared" si="406"/>
        <v>21.406994100295</v>
      </c>
      <c r="J435" s="60">
        <f t="shared" si="407"/>
        <v>0.261060903662134</v>
      </c>
      <c r="K435" s="57">
        <f t="shared" si="408"/>
        <v>99.9916666666667</v>
      </c>
      <c r="L435" s="163">
        <f t="shared" si="409"/>
        <v>0.179931660971748</v>
      </c>
      <c r="M435" s="59">
        <f t="shared" si="410"/>
        <v>17.9916666666667</v>
      </c>
      <c r="N435" s="57">
        <f t="shared" si="411"/>
        <v>237.389380530973</v>
      </c>
      <c r="O435" s="57">
        <f t="shared" si="412"/>
        <v>4.68333333333333</v>
      </c>
      <c r="P435" s="53">
        <v>3</v>
      </c>
      <c r="Q435" s="62">
        <v>8</v>
      </c>
      <c r="R435" s="63">
        <f t="shared" si="413"/>
        <v>0.121951219512195</v>
      </c>
      <c r="S435" s="60">
        <f t="shared" si="414"/>
        <v>0.0833402783565297</v>
      </c>
      <c r="T435" s="63">
        <f t="shared" si="415"/>
        <v>0</v>
      </c>
      <c r="U435" s="63">
        <v>0.01</v>
      </c>
      <c r="V435" s="63">
        <f t="shared" si="416"/>
        <v>0.36187405568746</v>
      </c>
      <c r="W435" s="63">
        <f t="shared" si="417"/>
        <v>0.0571138211382114</v>
      </c>
      <c r="X435" s="61">
        <v>0.188</v>
      </c>
      <c r="Y435" s="64">
        <v>10</v>
      </c>
      <c r="Z435" s="64">
        <v>0</v>
      </c>
      <c r="AA435" s="64">
        <f t="shared" si="418"/>
        <v>0.82</v>
      </c>
      <c r="AB435" s="57">
        <f t="shared" si="419"/>
        <v>15.416</v>
      </c>
      <c r="AC435" s="57">
        <v>240</v>
      </c>
      <c r="AD435" s="65">
        <f t="shared" si="420"/>
        <v>212.389380530973</v>
      </c>
      <c r="AE435" s="62">
        <f t="shared" si="424"/>
        <v>1.5</v>
      </c>
      <c r="AF435" s="63">
        <f t="shared" si="421"/>
        <v>0.323764299589899</v>
      </c>
      <c r="AG435" s="63">
        <f t="shared" si="422"/>
        <v>0.00228658536585366</v>
      </c>
      <c r="AH435" s="62">
        <v>25</v>
      </c>
      <c r="AI435" s="60">
        <f t="shared" si="423"/>
        <v>0.334104508709059</v>
      </c>
      <c r="AJ435" s="63"/>
      <c r="AK435" s="63"/>
      <c r="AL435" s="63"/>
      <c r="AM435" s="63"/>
      <c r="AN435" s="66"/>
      <c r="AO435" s="66"/>
      <c r="AP435" s="66"/>
      <c r="AQ435" s="66"/>
      <c r="AR435" s="66"/>
      <c r="AS435" s="66"/>
      <c r="AT435" s="66" t="s">
        <v>600</v>
      </c>
      <c r="AU435" s="66" t="s">
        <v>600</v>
      </c>
      <c r="AV435" s="66" t="s">
        <v>600</v>
      </c>
      <c r="AW435" s="66" t="s">
        <v>600</v>
      </c>
      <c r="AX435" s="66" t="s">
        <v>600</v>
      </c>
      <c r="AY435" s="66" t="s">
        <v>600</v>
      </c>
      <c r="AZ435" s="66" t="s">
        <v>600</v>
      </c>
      <c r="BA435" s="66" t="s">
        <v>600</v>
      </c>
      <c r="BB435" s="66" t="s">
        <v>600</v>
      </c>
      <c r="BC435" s="66" t="s">
        <v>600</v>
      </c>
      <c r="BD435" s="66" t="s">
        <v>600</v>
      </c>
      <c r="BE435" s="66" t="s">
        <v>600</v>
      </c>
      <c r="BF435" s="66" t="s">
        <v>600</v>
      </c>
      <c r="BG435" s="66" t="s">
        <v>600</v>
      </c>
      <c r="BH435" s="66" t="s">
        <v>600</v>
      </c>
      <c r="BI435" s="66" t="s">
        <v>600</v>
      </c>
      <c r="BJ435" s="66" t="s">
        <v>600</v>
      </c>
      <c r="BK435" s="66" t="s">
        <v>600</v>
      </c>
      <c r="BL435" s="66" t="s">
        <v>600</v>
      </c>
      <c r="BM435" s="66" t="s">
        <v>600</v>
      </c>
      <c r="BN435" s="66" t="s">
        <v>600</v>
      </c>
      <c r="BO435" s="66" t="s">
        <v>600</v>
      </c>
      <c r="BP435" s="66" t="s">
        <v>600</v>
      </c>
      <c r="BQ435" s="66" t="s">
        <v>600</v>
      </c>
      <c r="BR435" s="70" t="e">
        <f>IF(E435&lt;#REF!,1,0)</f>
        <v>#REF!</v>
      </c>
      <c r="BS435" s="68" t="s">
        <v>601</v>
      </c>
    </row>
    <row r="436" ht="15.6" spans="1:71">
      <c r="A436" s="53" t="s">
        <v>609</v>
      </c>
      <c r="B436" s="53"/>
      <c r="C436" s="171" t="s">
        <v>122</v>
      </c>
      <c r="D436" s="166" t="s">
        <v>731</v>
      </c>
      <c r="E436" s="57">
        <v>82</v>
      </c>
      <c r="F436" s="69">
        <v>119.99</v>
      </c>
      <c r="G436" s="59">
        <f t="shared" si="404"/>
        <v>119.99</v>
      </c>
      <c r="H436" s="59">
        <f t="shared" si="405"/>
        <v>99.9916666666667</v>
      </c>
      <c r="I436" s="59">
        <f t="shared" si="406"/>
        <v>20.006994100295</v>
      </c>
      <c r="J436" s="60">
        <f t="shared" si="407"/>
        <v>0.243987732930427</v>
      </c>
      <c r="K436" s="57">
        <f t="shared" si="408"/>
        <v>99.9916666666667</v>
      </c>
      <c r="L436" s="163">
        <f t="shared" si="409"/>
        <v>0.179931660971748</v>
      </c>
      <c r="M436" s="59">
        <f t="shared" si="410"/>
        <v>17.9916666666667</v>
      </c>
      <c r="N436" s="57">
        <f t="shared" si="411"/>
        <v>237.389380530973</v>
      </c>
      <c r="O436" s="57">
        <f t="shared" si="412"/>
        <v>6.08333333333333</v>
      </c>
      <c r="P436" s="53">
        <v>3</v>
      </c>
      <c r="Q436" s="62">
        <v>8</v>
      </c>
      <c r="R436" s="63">
        <f t="shared" si="413"/>
        <v>0.121951219512195</v>
      </c>
      <c r="S436" s="60">
        <f t="shared" si="414"/>
        <v>0.0833402783565297</v>
      </c>
      <c r="T436" s="63">
        <f t="shared" si="415"/>
        <v>0</v>
      </c>
      <c r="U436" s="63">
        <v>0.01</v>
      </c>
      <c r="V436" s="63">
        <f t="shared" si="416"/>
        <v>0.36187405568746</v>
      </c>
      <c r="W436" s="63">
        <f t="shared" si="417"/>
        <v>0.0741869918699187</v>
      </c>
      <c r="X436" s="61">
        <v>0.188</v>
      </c>
      <c r="Y436" s="64">
        <v>10</v>
      </c>
      <c r="Z436" s="64">
        <v>0</v>
      </c>
      <c r="AA436" s="64">
        <f t="shared" si="418"/>
        <v>0.82</v>
      </c>
      <c r="AB436" s="57">
        <f t="shared" si="419"/>
        <v>15.416</v>
      </c>
      <c r="AC436" s="57">
        <v>240</v>
      </c>
      <c r="AD436" s="65">
        <f t="shared" si="420"/>
        <v>212.389380530973</v>
      </c>
      <c r="AE436" s="62">
        <f t="shared" si="424"/>
        <v>1.5</v>
      </c>
      <c r="AF436" s="63">
        <f t="shared" si="421"/>
        <v>0.323764299589899</v>
      </c>
      <c r="AG436" s="63">
        <f t="shared" si="422"/>
        <v>0.00228658536585366</v>
      </c>
      <c r="AH436" s="62">
        <v>25</v>
      </c>
      <c r="AI436" s="60">
        <f t="shared" si="423"/>
        <v>0.334104508709059</v>
      </c>
      <c r="AJ436" s="63"/>
      <c r="AK436" s="63"/>
      <c r="AL436" s="63"/>
      <c r="AM436" s="63"/>
      <c r="AN436" s="66"/>
      <c r="AO436" s="66"/>
      <c r="AP436" s="66"/>
      <c r="AQ436" s="66"/>
      <c r="AR436" s="66"/>
      <c r="AS436" s="66"/>
      <c r="AT436" s="66" t="s">
        <v>600</v>
      </c>
      <c r="AU436" s="66" t="s">
        <v>600</v>
      </c>
      <c r="AV436" s="66" t="s">
        <v>600</v>
      </c>
      <c r="AW436" s="66" t="s">
        <v>600</v>
      </c>
      <c r="AX436" s="66" t="s">
        <v>600</v>
      </c>
      <c r="AY436" s="66" t="s">
        <v>600</v>
      </c>
      <c r="AZ436" s="66" t="s">
        <v>600</v>
      </c>
      <c r="BA436" s="66" t="s">
        <v>600</v>
      </c>
      <c r="BB436" s="66" t="s">
        <v>600</v>
      </c>
      <c r="BC436" s="66" t="s">
        <v>600</v>
      </c>
      <c r="BD436" s="66" t="s">
        <v>600</v>
      </c>
      <c r="BE436" s="66" t="s">
        <v>600</v>
      </c>
      <c r="BF436" s="66" t="s">
        <v>600</v>
      </c>
      <c r="BG436" s="66" t="s">
        <v>600</v>
      </c>
      <c r="BH436" s="66" t="s">
        <v>600</v>
      </c>
      <c r="BI436" s="66" t="s">
        <v>600</v>
      </c>
      <c r="BJ436" s="66" t="s">
        <v>600</v>
      </c>
      <c r="BK436" s="66" t="s">
        <v>600</v>
      </c>
      <c r="BL436" s="66" t="s">
        <v>600</v>
      </c>
      <c r="BM436" s="66" t="s">
        <v>600</v>
      </c>
      <c r="BN436" s="66" t="s">
        <v>600</v>
      </c>
      <c r="BO436" s="66" t="s">
        <v>600</v>
      </c>
      <c r="BP436" s="66" t="s">
        <v>600</v>
      </c>
      <c r="BQ436" s="66" t="s">
        <v>600</v>
      </c>
      <c r="BR436" s="70" t="e">
        <f>IF(E436&lt;#REF!,1,0)</f>
        <v>#REF!</v>
      </c>
      <c r="BS436" s="68" t="s">
        <v>601</v>
      </c>
    </row>
    <row r="437" ht="15.6" spans="1:71">
      <c r="A437" s="53" t="s">
        <v>611</v>
      </c>
      <c r="B437" s="53"/>
      <c r="C437" s="171" t="s">
        <v>122</v>
      </c>
      <c r="D437" s="166" t="s">
        <v>731</v>
      </c>
      <c r="E437" s="57">
        <v>82</v>
      </c>
      <c r="F437" s="69">
        <v>119.99</v>
      </c>
      <c r="G437" s="59">
        <f t="shared" si="404"/>
        <v>119.99</v>
      </c>
      <c r="H437" s="59">
        <f t="shared" si="405"/>
        <v>99.9916666666667</v>
      </c>
      <c r="I437" s="59">
        <f t="shared" si="406"/>
        <v>21.3403274336283</v>
      </c>
      <c r="J437" s="60">
        <f t="shared" si="407"/>
        <v>0.260247895532053</v>
      </c>
      <c r="K437" s="57">
        <f t="shared" si="408"/>
        <v>99.9916666666667</v>
      </c>
      <c r="L437" s="163">
        <f t="shared" si="409"/>
        <v>0.179931660971748</v>
      </c>
      <c r="M437" s="59">
        <f t="shared" si="410"/>
        <v>17.9916666666667</v>
      </c>
      <c r="N437" s="57">
        <f t="shared" si="411"/>
        <v>237.389380530973</v>
      </c>
      <c r="O437" s="57">
        <f t="shared" si="412"/>
        <v>4.75</v>
      </c>
      <c r="P437" s="53">
        <v>3</v>
      </c>
      <c r="Q437" s="62">
        <v>8</v>
      </c>
      <c r="R437" s="63">
        <f t="shared" si="413"/>
        <v>0.121951219512195</v>
      </c>
      <c r="S437" s="60">
        <f t="shared" si="414"/>
        <v>0.0833402783565297</v>
      </c>
      <c r="T437" s="63">
        <f t="shared" si="415"/>
        <v>0</v>
      </c>
      <c r="U437" s="63">
        <v>0.01</v>
      </c>
      <c r="V437" s="63">
        <f t="shared" si="416"/>
        <v>0.36187405568746</v>
      </c>
      <c r="W437" s="63">
        <f t="shared" si="417"/>
        <v>0.0579268292682927</v>
      </c>
      <c r="X437" s="61">
        <v>0.188</v>
      </c>
      <c r="Y437" s="64">
        <v>10</v>
      </c>
      <c r="Z437" s="64">
        <v>0</v>
      </c>
      <c r="AA437" s="64">
        <f t="shared" si="418"/>
        <v>0.82</v>
      </c>
      <c r="AB437" s="57">
        <f t="shared" si="419"/>
        <v>15.416</v>
      </c>
      <c r="AC437" s="57">
        <v>240</v>
      </c>
      <c r="AD437" s="65">
        <f t="shared" si="420"/>
        <v>212.389380530973</v>
      </c>
      <c r="AE437" s="62">
        <f t="shared" si="424"/>
        <v>1.5</v>
      </c>
      <c r="AF437" s="63">
        <f t="shared" si="421"/>
        <v>0.323764299589899</v>
      </c>
      <c r="AG437" s="63">
        <f t="shared" si="422"/>
        <v>0.00228658536585366</v>
      </c>
      <c r="AH437" s="62">
        <v>25</v>
      </c>
      <c r="AI437" s="60">
        <f t="shared" si="423"/>
        <v>0.334104508709059</v>
      </c>
      <c r="AJ437" s="63"/>
      <c r="AK437" s="63"/>
      <c r="AL437" s="63"/>
      <c r="AM437" s="63"/>
      <c r="AN437" s="66"/>
      <c r="AO437" s="66"/>
      <c r="AP437" s="66"/>
      <c r="AQ437" s="66"/>
      <c r="AR437" s="66"/>
      <c r="AS437" s="66"/>
      <c r="AT437" s="66" t="s">
        <v>600</v>
      </c>
      <c r="AU437" s="66" t="s">
        <v>600</v>
      </c>
      <c r="AV437" s="66" t="s">
        <v>600</v>
      </c>
      <c r="AW437" s="66" t="s">
        <v>600</v>
      </c>
      <c r="AX437" s="66" t="s">
        <v>600</v>
      </c>
      <c r="AY437" s="66" t="s">
        <v>600</v>
      </c>
      <c r="AZ437" s="66" t="s">
        <v>600</v>
      </c>
      <c r="BA437" s="66" t="s">
        <v>600</v>
      </c>
      <c r="BB437" s="66" t="s">
        <v>600</v>
      </c>
      <c r="BC437" s="66" t="s">
        <v>600</v>
      </c>
      <c r="BD437" s="66" t="s">
        <v>600</v>
      </c>
      <c r="BE437" s="66" t="s">
        <v>600</v>
      </c>
      <c r="BF437" s="66" t="s">
        <v>600</v>
      </c>
      <c r="BG437" s="66" t="s">
        <v>600</v>
      </c>
      <c r="BH437" s="66" t="s">
        <v>600</v>
      </c>
      <c r="BI437" s="66" t="s">
        <v>600</v>
      </c>
      <c r="BJ437" s="66" t="s">
        <v>600</v>
      </c>
      <c r="BK437" s="66" t="s">
        <v>600</v>
      </c>
      <c r="BL437" s="66" t="s">
        <v>600</v>
      </c>
      <c r="BM437" s="66" t="s">
        <v>600</v>
      </c>
      <c r="BN437" s="66" t="s">
        <v>600</v>
      </c>
      <c r="BO437" s="66" t="s">
        <v>600</v>
      </c>
      <c r="BP437" s="66" t="s">
        <v>600</v>
      </c>
      <c r="BQ437" s="66" t="s">
        <v>600</v>
      </c>
      <c r="BR437" s="70" t="e">
        <f>IF(E437&lt;#REF!,1,0)</f>
        <v>#REF!</v>
      </c>
      <c r="BS437" s="68" t="s">
        <v>601</v>
      </c>
    </row>
  </sheetData>
  <conditionalFormatting sqref="G1:J1 N1:O1 Y1">
    <cfRule type="cellIs" dxfId="1" priority="3" operator="lessThanOrEqual">
      <formula>0</formula>
    </cfRule>
  </conditionalFormatting>
  <conditionalFormatting sqref="G2:I100 G102:G212 G214:I237 G239:I297 G299:I317 G319:I337 G339:I357 G359:I377 G379:I397 G399:I417 G419:J437 H102:I205 H207:J212 J22:J26 J47:J76 J97:J100 J122:J126 J139:J143 J159:J163 J176:J180 J196:J205 J234:J237 J254:J257 J274:J277 J294:J297 J314:J317 J334:J337 J354:J357 J374:J377 J394:J397 J414:J417 Y26:Z26 Y51:Y76 Y126:Z126 Y143:Z143 Y163:Z163 Y180:Z180 Y200:Z205 Y207:AA212 Y419:Y437 Z51 Z76 AA22:AA26 AA47:AA76 AA97:AA100 AA122:AA126 AA139:AA143 AA159:AA163 AA176:AA180 AA196:AA205 AA234:AA237 AA254:AA257 AA274:AA277 AA294:AA297 AA314:AA317 AA334:AA337 AA354:AA357 AA374:AA377 AA394:AA397 AA414:AA417 AA419:AA437">
    <cfRule type="cellIs" dxfId="1" priority="84" operator="lessThanOrEqual">
      <formula>0</formula>
    </cfRule>
  </conditionalFormatting>
  <conditionalFormatting sqref="J2:J5 J27:J30 J77:J80 J102:J105 J181:J183 J214:J217">
    <cfRule type="cellIs" dxfId="1" priority="15" operator="lessThanOrEqual">
      <formula>0</formula>
    </cfRule>
  </conditionalFormatting>
  <conditionalFormatting sqref="J2:J5 J27:J30 J77:J80 J102:J105 J181:J183 J214:J217 Y2:Z25 Y27:Z50 Y77:Z100 Y102:Z125 Y127:Z142 Y144:Z162 Y164:Z179 Y181:Z199 Y214:Z237 Y239:Z297 Y299:Z317 Y319:Z337 Y339:Z357 Y359:Z377 Y379:Z397 Y399:Z417 Z52:Z75 Z419:Z437 AA2:AA5 AA27:AA30 AA77:AA80 AA102:AA105 AA181:AA183 AA214:AA217">
    <cfRule type="cellIs" dxfId="1" priority="101" operator="lessThanOrEqual">
      <formula>0</formula>
    </cfRule>
  </conditionalFormatting>
  <conditionalFormatting sqref="J6:J21 J25:J26 J31:J46 J50:J76 J81:J96 J100 J106:J121 J125:J138 J142:J158 J162:J175 J179:J180 J184:J195 J199:J205 J207:J212 J218:J233 J237 J239:J253 J257:J273 J277:J293 J297 J299:J313 J317 J319:J333 J337 J339:J353 J357 J359:J373 J377 J379:J393 J397 J399:J413 J417 J419:J437 Y26:Z26 Y51:Y76 Y126:Z126 Y143:Z143 Y163:Z163 Y180:Z180 Y200:Z205 Y207:AA212 Y419:Y437 Z51 Z76 AA6:AA21 AA25:AA26 AA31:AA46 AA50:AA76 AA81:AA96 AA100 AA106:AA121 AA125:AA138 AA142:AA158 AA162:AA175 AA179:AA180 AA184:AA195 AA199:AA205 AA218:AA233 AA237 AA239:AA253 AA257:AA273 AA277:AA293 AA297 AA299:AA313 AA317 AA319:AA333 AA337 AA339:AA353 AA357 AA359:AA373 AA377 AA379:AA393 AA397 AA399:AA413 AA417 AA419:AA437">
    <cfRule type="cellIs" dxfId="1" priority="80" operator="lessThanOrEqual">
      <formula>0</formula>
    </cfRule>
  </conditionalFormatting>
  <conditionalFormatting sqref="J22:J26 J47:J76 J97:J100 J122:J126 J139:J143 J159:J163 J176:J180 J196:J205 J207:J212 J234:J237 J254:J257 J274:J277 J294:J297 J314:J317 J334:J337 J354:J357 J374:J377 J394:J397 J414:J417 J419:J437">
    <cfRule type="cellIs" dxfId="1" priority="4" operator="lessThanOrEqual">
      <formula>0</formula>
    </cfRule>
  </conditionalFormatting>
  <conditionalFormatting sqref="J22:J26 J47:J76 J97:J100 J122:J126 J139:J143 J159:J163 J176:J180 J196:J205 J207:J212 J234:J237 J254:J257 J274:J277 J294:J297 J314:J317 J334:J337 J354:J357 J374:J377 J394:J397 J414:J417 J419:J437 Y26:Z26 Y51:Y76 Y126:Z126 Y143:Z143 Y163:Z163 Y180:Z180 Y200:Z205 Y207:AA212 Y419:Y437 Z51 Z76 AA22:AA26 AA47:AA76 AA97:AA100 AA122:AA126 AA139:AA143 AA159:AA163 AA176:AA180 AA196:AA205 AA234:AA237 AA254:AA257 AA274:AA277 AA294:AA297 AA314:AA317 AA334:AA337 AA354:AA357 AA374:AA377 AA394:AA397 AA414:AA417 AA419:AA437">
    <cfRule type="cellIs" dxfId="1" priority="14" operator="lessThanOrEqual">
      <formula>0</formula>
    </cfRule>
  </conditionalFormatting>
  <conditionalFormatting sqref="J24:J26 J49:J76 J99:J100 J124:J126 J141:J143 J161:J163 J178:J180 J198:J205 J207:J212 J236:J237 J256:J257 J276:J277 J296:J297 J316:J317 J336:J337 J356:J357 J376:J377 J396:J397 J416:J417 J419:J437">
    <cfRule type="cellIs" dxfId="1" priority="1" operator="lessThanOrEqual">
      <formula>0</formula>
    </cfRule>
  </conditionalFormatting>
  <conditionalFormatting sqref="J24:J26 J49:J76 J99:J100 J124:J126 J141:J143 J161:J163 J178:J180 J198:J205 J207:J212 J236:J237 J256:J257 J276:J277 J296:J297 J316:J317 J336:J337 J356:J357 J376:J377 J396:J397 J416:J417 J419:J437 Y26:Z26 Y51:Y76 Y126:Z126 Y143:Z143 Y163:Z163 Y180:Z180 Y200:Z205 Y207:AA212 Y419:Y437 Z51 Z76 AA24:AA26 AA49:AA76 AA99:AA100 AA124:AA126 AA141:AA143 AA161:AA163 AA178:AA180 AA198:AA205 AA236:AA237 AA256:AA257 AA276:AA277 AA296:AA297 AA316:AA317 AA336:AA337 AA356:AA357 AA376:AA377 AA396:AA397 AA416:AA417 AA419:AA437">
    <cfRule type="cellIs" dxfId="1" priority="5" operator="lessThanOrEqual">
      <formula>0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214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17" defaultRowHeight="11.4"/>
  <cols>
    <col min="1" max="1" width="16.40625" customWidth="1"/>
    <col min="2" max="2" width="8.20833333333333" customWidth="1"/>
    <col min="3" max="3" width="8.89583333333333" customWidth="1"/>
    <col min="4" max="4" width="32.125" customWidth="1"/>
    <col min="5" max="7" width="10.4791666666667" hidden="1" customWidth="1"/>
    <col min="8" max="18" width="8.89583333333333" hidden="1" customWidth="1"/>
    <col min="19" max="19" width="7.67708333333333" hidden="1" customWidth="1"/>
    <col min="20" max="20" width="10.8333333333333" hidden="1" customWidth="1"/>
    <col min="21" max="27" width="7.67708333333333" hidden="1" customWidth="1"/>
    <col min="28" max="28" width="9.08333333333333" hidden="1" customWidth="1"/>
    <col min="29" max="29" width="8.89583333333333" hidden="1" customWidth="1"/>
    <col min="30" max="49" width="9.08333333333333" hidden="1" customWidth="1"/>
    <col min="50" max="58" width="6.45833333333333" hidden="1" customWidth="1"/>
    <col min="59" max="80" width="7.67708333333333" hidden="1" customWidth="1"/>
    <col min="81" max="89" width="6.45833333333333" hidden="1" customWidth="1"/>
    <col min="90" max="108" width="7.67708333333333" hidden="1" customWidth="1"/>
    <col min="109" max="183" width="7.86458333333333" hidden="1" customWidth="1"/>
    <col min="184" max="249" width="7.86458333333333" customWidth="1"/>
  </cols>
  <sheetData>
    <row r="1" ht="13.2" spans="1:249">
      <c r="A1" s="110" t="s">
        <v>732</v>
      </c>
      <c r="B1" s="110" t="s">
        <v>202</v>
      </c>
      <c r="C1" s="110" t="s">
        <v>451</v>
      </c>
      <c r="D1" s="110" t="s">
        <v>733</v>
      </c>
      <c r="E1" s="111">
        <v>45978</v>
      </c>
      <c r="F1" s="111">
        <v>45979</v>
      </c>
      <c r="G1" s="111">
        <v>45980</v>
      </c>
      <c r="H1" s="111">
        <v>45981</v>
      </c>
      <c r="I1" s="111">
        <v>45982</v>
      </c>
      <c r="J1" s="111">
        <v>45983</v>
      </c>
      <c r="K1" s="111">
        <v>45984</v>
      </c>
      <c r="L1" s="111">
        <v>45985</v>
      </c>
      <c r="M1" s="111">
        <v>45986</v>
      </c>
      <c r="N1" s="111">
        <v>45987</v>
      </c>
      <c r="O1" s="111">
        <v>45988</v>
      </c>
      <c r="P1" s="111">
        <v>45989</v>
      </c>
      <c r="Q1" s="111">
        <v>45990</v>
      </c>
      <c r="R1" s="111">
        <v>45991</v>
      </c>
      <c r="S1" s="111">
        <v>45992</v>
      </c>
      <c r="T1" s="111">
        <v>45993</v>
      </c>
      <c r="U1" s="111">
        <v>45994</v>
      </c>
      <c r="V1" s="111">
        <v>45995</v>
      </c>
      <c r="W1" s="111">
        <v>45996</v>
      </c>
      <c r="X1" s="111">
        <v>45997</v>
      </c>
      <c r="Y1" s="111">
        <v>45998</v>
      </c>
      <c r="Z1" s="111">
        <v>45999</v>
      </c>
      <c r="AA1" s="111">
        <v>46000</v>
      </c>
      <c r="AB1" s="111">
        <v>46001</v>
      </c>
      <c r="AC1" s="111">
        <v>46002</v>
      </c>
      <c r="AD1" s="111">
        <v>46003</v>
      </c>
      <c r="AE1" s="111">
        <v>46004</v>
      </c>
      <c r="AF1" s="111">
        <v>46005</v>
      </c>
      <c r="AG1" s="111">
        <v>46006</v>
      </c>
      <c r="AH1" s="111">
        <v>46007</v>
      </c>
      <c r="AI1" s="111">
        <v>46008</v>
      </c>
      <c r="AJ1" s="111">
        <v>46009</v>
      </c>
      <c r="AK1" s="111">
        <v>46010</v>
      </c>
      <c r="AL1" s="111">
        <v>46011</v>
      </c>
      <c r="AM1" s="111">
        <v>46012</v>
      </c>
      <c r="AN1" s="111">
        <v>46013</v>
      </c>
      <c r="AO1" s="111">
        <v>46014</v>
      </c>
      <c r="AP1" s="111">
        <v>46015</v>
      </c>
      <c r="AQ1" s="111">
        <v>46016</v>
      </c>
      <c r="AR1" s="111">
        <v>46017</v>
      </c>
      <c r="AS1" s="111">
        <v>46018</v>
      </c>
      <c r="AT1" s="111">
        <v>46019</v>
      </c>
      <c r="AU1" s="111">
        <v>46020</v>
      </c>
      <c r="AV1" s="111">
        <v>46021</v>
      </c>
      <c r="AW1" s="111">
        <v>46022</v>
      </c>
      <c r="AX1" s="111">
        <v>46023</v>
      </c>
      <c r="AY1" s="111">
        <v>46024</v>
      </c>
      <c r="AZ1" s="111">
        <v>46025</v>
      </c>
      <c r="BA1" s="111">
        <v>46026</v>
      </c>
      <c r="BB1" s="111">
        <v>46027</v>
      </c>
      <c r="BC1" s="111">
        <v>46028</v>
      </c>
      <c r="BD1" s="111">
        <v>46029</v>
      </c>
      <c r="BE1" s="111">
        <v>46030</v>
      </c>
      <c r="BF1" s="111">
        <v>46031</v>
      </c>
      <c r="BG1" s="111">
        <v>46032</v>
      </c>
      <c r="BH1" s="111">
        <v>46033</v>
      </c>
      <c r="BI1" s="111">
        <v>46034</v>
      </c>
      <c r="BJ1" s="111">
        <v>46035</v>
      </c>
      <c r="BK1" s="111">
        <v>46036</v>
      </c>
      <c r="BL1" s="111">
        <v>46037</v>
      </c>
      <c r="BM1" s="111">
        <v>46038</v>
      </c>
      <c r="BN1" s="111">
        <v>46039</v>
      </c>
      <c r="BO1" s="111">
        <v>46040</v>
      </c>
      <c r="BP1" s="111">
        <v>46041</v>
      </c>
      <c r="BQ1" s="111">
        <v>46042</v>
      </c>
      <c r="BR1" s="111">
        <v>46043</v>
      </c>
      <c r="BS1" s="111">
        <v>46044</v>
      </c>
      <c r="BT1" s="111">
        <v>46045</v>
      </c>
      <c r="BU1" s="111">
        <v>46046</v>
      </c>
      <c r="BV1" s="111">
        <v>46047</v>
      </c>
      <c r="BW1" s="111">
        <v>46048</v>
      </c>
      <c r="BX1" s="111">
        <v>46049</v>
      </c>
      <c r="BY1" s="111">
        <v>46050</v>
      </c>
      <c r="BZ1" s="111">
        <v>46051</v>
      </c>
      <c r="CA1" s="111">
        <v>46052</v>
      </c>
      <c r="CB1" s="111">
        <v>46053</v>
      </c>
      <c r="CC1" s="111">
        <v>46054</v>
      </c>
      <c r="CD1" s="111">
        <v>46055</v>
      </c>
      <c r="CE1" s="111">
        <v>46056</v>
      </c>
      <c r="CF1" s="111">
        <v>46057</v>
      </c>
      <c r="CG1" s="111">
        <v>46058</v>
      </c>
      <c r="CH1" s="111">
        <v>46059</v>
      </c>
      <c r="CI1" s="111">
        <v>46060</v>
      </c>
      <c r="CJ1" s="111">
        <v>46061</v>
      </c>
      <c r="CK1" s="111">
        <v>46062</v>
      </c>
      <c r="CL1" s="111">
        <v>46063</v>
      </c>
      <c r="CM1" s="111">
        <v>46064</v>
      </c>
      <c r="CN1" s="111">
        <v>46065</v>
      </c>
      <c r="CO1" s="111">
        <v>46066</v>
      </c>
      <c r="CP1" s="111">
        <v>46067</v>
      </c>
      <c r="CQ1" s="111">
        <v>46068</v>
      </c>
      <c r="CR1" s="111">
        <v>46069</v>
      </c>
      <c r="CS1" s="111">
        <v>46070</v>
      </c>
      <c r="CT1" s="111">
        <v>46071</v>
      </c>
      <c r="CU1" s="111">
        <v>46072</v>
      </c>
      <c r="CV1" s="111">
        <v>46073</v>
      </c>
      <c r="CW1" s="111">
        <v>46074</v>
      </c>
      <c r="CX1" s="111">
        <v>46075</v>
      </c>
      <c r="CY1" s="111">
        <v>46076</v>
      </c>
      <c r="CZ1" s="111">
        <v>46077</v>
      </c>
      <c r="DA1" s="111">
        <v>46078</v>
      </c>
      <c r="DB1" s="111">
        <v>46079</v>
      </c>
      <c r="DC1" s="111">
        <v>46080</v>
      </c>
      <c r="DD1" s="111">
        <v>46081</v>
      </c>
      <c r="DE1" s="111">
        <v>46082</v>
      </c>
      <c r="DF1" s="111">
        <v>46083</v>
      </c>
      <c r="DG1" s="111">
        <v>46084</v>
      </c>
      <c r="DH1" s="111">
        <v>46085</v>
      </c>
      <c r="DI1" s="111">
        <v>46086</v>
      </c>
      <c r="DJ1" s="111">
        <v>46087</v>
      </c>
      <c r="DK1" s="111">
        <v>46088</v>
      </c>
      <c r="DL1" s="111">
        <v>46089</v>
      </c>
      <c r="DM1" s="111">
        <v>46090</v>
      </c>
      <c r="DN1" s="111">
        <v>46091</v>
      </c>
      <c r="DO1" s="111">
        <v>46092</v>
      </c>
      <c r="DP1" s="111">
        <v>46093</v>
      </c>
      <c r="DQ1" s="111">
        <v>46094</v>
      </c>
      <c r="DR1" s="111">
        <v>46095</v>
      </c>
      <c r="DS1" s="111">
        <v>46096</v>
      </c>
      <c r="DT1" s="111">
        <v>46097</v>
      </c>
      <c r="DU1" s="111">
        <v>46098</v>
      </c>
      <c r="DV1" s="111">
        <v>46099</v>
      </c>
      <c r="DW1" s="111">
        <v>46100</v>
      </c>
      <c r="DX1" s="111">
        <v>46101</v>
      </c>
      <c r="DY1" s="111">
        <v>46102</v>
      </c>
      <c r="DZ1" s="111">
        <v>46103</v>
      </c>
      <c r="EA1" s="111">
        <v>46104</v>
      </c>
      <c r="EB1" s="111">
        <v>46105</v>
      </c>
      <c r="EC1" s="111">
        <v>46106</v>
      </c>
      <c r="ED1" s="111">
        <v>46107</v>
      </c>
      <c r="EE1" s="111">
        <v>46108</v>
      </c>
      <c r="EF1" s="111">
        <v>46109</v>
      </c>
      <c r="EG1" s="111">
        <v>46110</v>
      </c>
      <c r="EH1" s="111">
        <v>46111</v>
      </c>
      <c r="EI1" s="111">
        <v>46112</v>
      </c>
      <c r="EJ1" s="111">
        <v>46113</v>
      </c>
      <c r="EK1" s="111">
        <v>46114</v>
      </c>
      <c r="EL1" s="111">
        <v>46115</v>
      </c>
      <c r="EM1" s="111">
        <v>46116</v>
      </c>
      <c r="EN1" s="111">
        <v>46117</v>
      </c>
      <c r="EO1" s="111">
        <v>46118</v>
      </c>
      <c r="EP1" s="111">
        <v>46119</v>
      </c>
      <c r="EQ1" s="111">
        <v>46120</v>
      </c>
      <c r="ER1" s="111">
        <v>46121</v>
      </c>
      <c r="ES1" s="111">
        <v>46122</v>
      </c>
      <c r="ET1" s="111">
        <v>46123</v>
      </c>
      <c r="EU1" s="111">
        <v>46124</v>
      </c>
      <c r="EV1" s="111">
        <v>46125</v>
      </c>
      <c r="EW1" s="111">
        <v>46126</v>
      </c>
      <c r="EX1" s="111">
        <v>46127</v>
      </c>
      <c r="EY1" s="111">
        <v>46128</v>
      </c>
      <c r="EZ1" s="111">
        <v>46129</v>
      </c>
      <c r="FA1" s="111">
        <v>46130</v>
      </c>
      <c r="FB1" s="111">
        <v>46131</v>
      </c>
      <c r="FC1" s="111">
        <v>46132</v>
      </c>
      <c r="FD1" s="111">
        <v>46133</v>
      </c>
      <c r="FE1" s="111">
        <v>46134</v>
      </c>
      <c r="FF1" s="111">
        <v>46135</v>
      </c>
      <c r="FG1" s="111">
        <v>46136</v>
      </c>
      <c r="FH1" s="111">
        <v>46137</v>
      </c>
      <c r="FI1" s="111">
        <v>46138</v>
      </c>
      <c r="FJ1" s="111">
        <v>46139</v>
      </c>
      <c r="FK1" s="111">
        <v>46140</v>
      </c>
      <c r="FL1" s="111">
        <v>46141</v>
      </c>
      <c r="FM1" s="111">
        <v>46142</v>
      </c>
      <c r="FN1" s="111">
        <v>46143</v>
      </c>
      <c r="FO1" s="111">
        <v>46144</v>
      </c>
      <c r="FP1" s="111">
        <v>46145</v>
      </c>
      <c r="FQ1" s="111">
        <v>46146</v>
      </c>
      <c r="FR1" s="111">
        <v>46147</v>
      </c>
      <c r="FS1" s="111">
        <v>46148</v>
      </c>
      <c r="FT1" s="111">
        <v>46149</v>
      </c>
      <c r="FU1" s="111">
        <v>46150</v>
      </c>
      <c r="FV1" s="111">
        <v>46151</v>
      </c>
      <c r="FW1" s="111">
        <v>46152</v>
      </c>
      <c r="FX1" s="111">
        <v>46153</v>
      </c>
      <c r="FY1" s="111">
        <v>46154</v>
      </c>
      <c r="FZ1" s="111">
        <v>46155</v>
      </c>
      <c r="GA1" s="111">
        <v>46156</v>
      </c>
      <c r="GB1" s="111">
        <v>46157</v>
      </c>
      <c r="GC1" s="111">
        <v>46158</v>
      </c>
      <c r="GD1" s="111">
        <v>46159</v>
      </c>
      <c r="GE1" s="111">
        <v>46160</v>
      </c>
      <c r="GF1" s="111">
        <v>46161</v>
      </c>
      <c r="GG1" s="111">
        <v>46162</v>
      </c>
      <c r="GH1" s="111">
        <v>46163</v>
      </c>
      <c r="GI1" s="111">
        <v>46164</v>
      </c>
      <c r="GJ1" s="111">
        <v>46165</v>
      </c>
      <c r="GK1" s="111">
        <v>46166</v>
      </c>
      <c r="GL1" s="111">
        <v>46167</v>
      </c>
      <c r="GM1" s="111">
        <v>46168</v>
      </c>
      <c r="GN1" s="111">
        <v>46169</v>
      </c>
      <c r="GO1" s="111">
        <v>46170</v>
      </c>
      <c r="GP1" s="111">
        <v>46171</v>
      </c>
      <c r="GQ1" s="111">
        <v>46172</v>
      </c>
      <c r="GR1" s="111">
        <v>46173</v>
      </c>
      <c r="GS1" s="111">
        <v>46174</v>
      </c>
      <c r="GT1" s="112"/>
      <c r="GU1" s="112"/>
      <c r="GV1" s="112"/>
      <c r="GW1" s="112"/>
      <c r="GX1" s="112"/>
      <c r="GY1" s="112"/>
      <c r="GZ1" s="112"/>
      <c r="HA1" s="112"/>
      <c r="HB1" s="112"/>
      <c r="HC1" s="112"/>
      <c r="HD1" s="112"/>
      <c r="HE1" s="112"/>
      <c r="HF1" s="112"/>
      <c r="HG1" s="112"/>
      <c r="HH1" s="112"/>
      <c r="HI1" s="112"/>
      <c r="HJ1" s="112"/>
      <c r="HK1" s="112"/>
      <c r="HL1" s="112"/>
      <c r="HM1" s="112"/>
      <c r="HN1" s="112"/>
      <c r="HO1" s="112"/>
      <c r="HP1" s="112"/>
      <c r="HQ1" s="112"/>
      <c r="HR1" s="112"/>
      <c r="HS1" s="112"/>
      <c r="HT1" s="112"/>
      <c r="HU1" s="112"/>
      <c r="HV1" s="112"/>
      <c r="HW1" s="112"/>
      <c r="HX1" s="112"/>
      <c r="HY1" s="112"/>
      <c r="HZ1" s="112"/>
      <c r="IA1" s="112"/>
      <c r="IB1" s="112"/>
      <c r="IC1" s="112"/>
      <c r="ID1" s="112"/>
      <c r="IE1" s="112"/>
      <c r="IF1" s="112"/>
      <c r="IG1" s="112"/>
      <c r="IH1" s="112"/>
      <c r="II1" s="112"/>
      <c r="IJ1" s="112"/>
      <c r="IK1" s="112"/>
      <c r="IL1" s="112"/>
      <c r="IM1" s="112"/>
      <c r="IN1" s="112"/>
      <c r="IO1" s="112"/>
    </row>
    <row r="2" spans="1:249">
      <c r="A2" s="113" t="s">
        <v>734</v>
      </c>
      <c r="B2" s="114" t="s">
        <v>277</v>
      </c>
      <c r="C2" s="115" t="s">
        <v>735</v>
      </c>
      <c r="D2" s="116">
        <v>0.15</v>
      </c>
      <c r="E2" s="20" t="s">
        <v>546</v>
      </c>
      <c r="F2" s="20" t="s">
        <v>546</v>
      </c>
      <c r="G2" s="20" t="s">
        <v>546</v>
      </c>
      <c r="H2" s="20" t="s">
        <v>546</v>
      </c>
      <c r="I2" s="20" t="s">
        <v>546</v>
      </c>
      <c r="J2" s="20" t="s">
        <v>546</v>
      </c>
      <c r="K2" s="20" t="s">
        <v>546</v>
      </c>
      <c r="L2" s="20" t="s">
        <v>546</v>
      </c>
      <c r="M2" s="20" t="s">
        <v>546</v>
      </c>
      <c r="N2" s="20" t="s">
        <v>546</v>
      </c>
      <c r="O2" s="20" t="s">
        <v>546</v>
      </c>
      <c r="P2" s="20" t="s">
        <v>546</v>
      </c>
      <c r="Q2" s="20" t="s">
        <v>546</v>
      </c>
      <c r="R2" s="20" t="s">
        <v>546</v>
      </c>
      <c r="S2" s="20" t="s">
        <v>546</v>
      </c>
      <c r="T2" s="20" t="s">
        <v>546</v>
      </c>
      <c r="U2" s="20" t="s">
        <v>546</v>
      </c>
      <c r="V2" s="20" t="s">
        <v>546</v>
      </c>
      <c r="W2" s="20" t="s">
        <v>546</v>
      </c>
      <c r="X2" s="20" t="s">
        <v>546</v>
      </c>
      <c r="Y2" s="20" t="s">
        <v>546</v>
      </c>
      <c r="Z2" s="20" t="s">
        <v>546</v>
      </c>
      <c r="AA2" s="20" t="s">
        <v>546</v>
      </c>
      <c r="AB2" s="20" t="s">
        <v>546</v>
      </c>
      <c r="AC2" s="20" t="s">
        <v>546</v>
      </c>
      <c r="AD2" s="20" t="s">
        <v>546</v>
      </c>
      <c r="AE2" s="20" t="s">
        <v>546</v>
      </c>
      <c r="AF2" s="20" t="s">
        <v>546</v>
      </c>
      <c r="AG2" s="20" t="s">
        <v>546</v>
      </c>
      <c r="AH2" s="20" t="s">
        <v>546</v>
      </c>
      <c r="AI2" s="20" t="s">
        <v>546</v>
      </c>
      <c r="AJ2" s="20" t="s">
        <v>546</v>
      </c>
      <c r="AK2" s="20" t="s">
        <v>546</v>
      </c>
      <c r="AL2" s="20" t="s">
        <v>546</v>
      </c>
      <c r="AM2" s="20" t="s">
        <v>546</v>
      </c>
      <c r="AN2" s="20" t="s">
        <v>546</v>
      </c>
      <c r="AO2" s="20" t="s">
        <v>546</v>
      </c>
      <c r="AP2" s="20" t="s">
        <v>546</v>
      </c>
      <c r="AQ2" s="20" t="s">
        <v>546</v>
      </c>
      <c r="AR2" s="20" t="s">
        <v>546</v>
      </c>
      <c r="AS2" s="20" t="s">
        <v>546</v>
      </c>
      <c r="AT2" s="20" t="s">
        <v>546</v>
      </c>
      <c r="AU2" s="20" t="s">
        <v>546</v>
      </c>
      <c r="AV2" s="20" t="s">
        <v>546</v>
      </c>
      <c r="AW2" s="20" t="s">
        <v>546</v>
      </c>
      <c r="AX2" s="20" t="s">
        <v>546</v>
      </c>
      <c r="AY2" s="20" t="s">
        <v>546</v>
      </c>
      <c r="AZ2" s="20" t="s">
        <v>546</v>
      </c>
      <c r="BA2" s="20" t="s">
        <v>546</v>
      </c>
      <c r="BB2" s="20" t="s">
        <v>546</v>
      </c>
      <c r="BC2" s="20" t="s">
        <v>546</v>
      </c>
      <c r="BD2" s="20" t="s">
        <v>546</v>
      </c>
      <c r="BE2" s="20" t="s">
        <v>546</v>
      </c>
      <c r="BF2" s="20" t="s">
        <v>546</v>
      </c>
      <c r="BG2" s="20" t="s">
        <v>546</v>
      </c>
      <c r="BH2" s="20" t="s">
        <v>546</v>
      </c>
      <c r="BI2" s="20" t="s">
        <v>546</v>
      </c>
      <c r="BJ2" s="20" t="s">
        <v>546</v>
      </c>
      <c r="BK2" s="20" t="s">
        <v>546</v>
      </c>
      <c r="BL2" s="20" t="s">
        <v>546</v>
      </c>
      <c r="BM2" s="20" t="s">
        <v>546</v>
      </c>
      <c r="BN2" s="20" t="s">
        <v>546</v>
      </c>
      <c r="BO2" s="20" t="s">
        <v>546</v>
      </c>
      <c r="BP2" s="20" t="s">
        <v>546</v>
      </c>
      <c r="BQ2" s="20" t="s">
        <v>546</v>
      </c>
      <c r="BR2" s="20" t="s">
        <v>546</v>
      </c>
      <c r="BS2" s="20" t="s">
        <v>546</v>
      </c>
      <c r="BT2" s="20" t="s">
        <v>546</v>
      </c>
      <c r="BU2" s="20" t="s">
        <v>546</v>
      </c>
      <c r="BV2" s="20" t="s">
        <v>546</v>
      </c>
      <c r="BW2" s="20" t="s">
        <v>546</v>
      </c>
      <c r="BX2" s="20" t="s">
        <v>546</v>
      </c>
      <c r="BY2" s="20" t="s">
        <v>546</v>
      </c>
      <c r="BZ2" s="20" t="s">
        <v>546</v>
      </c>
      <c r="CA2" s="20" t="s">
        <v>546</v>
      </c>
      <c r="CB2" s="20" t="s">
        <v>546</v>
      </c>
      <c r="CC2" s="20" t="s">
        <v>546</v>
      </c>
      <c r="CD2" s="20" t="s">
        <v>546</v>
      </c>
      <c r="CE2" s="20" t="s">
        <v>546</v>
      </c>
      <c r="CF2" s="20" t="s">
        <v>546</v>
      </c>
      <c r="CG2" s="20" t="s">
        <v>546</v>
      </c>
      <c r="CH2" s="20" t="s">
        <v>546</v>
      </c>
      <c r="CI2" s="20" t="s">
        <v>546</v>
      </c>
      <c r="CJ2" s="20" t="s">
        <v>546</v>
      </c>
      <c r="CK2" s="20" t="s">
        <v>546</v>
      </c>
      <c r="CL2" s="20" t="s">
        <v>546</v>
      </c>
      <c r="CM2" s="20" t="s">
        <v>546</v>
      </c>
      <c r="CN2" s="20" t="s">
        <v>546</v>
      </c>
      <c r="CO2" s="20" t="s">
        <v>546</v>
      </c>
      <c r="CP2" s="20" t="s">
        <v>546</v>
      </c>
      <c r="CQ2" s="20" t="s">
        <v>546</v>
      </c>
      <c r="CR2" s="20" t="s">
        <v>546</v>
      </c>
      <c r="CS2" s="20" t="s">
        <v>546</v>
      </c>
      <c r="CT2" s="20" t="s">
        <v>546</v>
      </c>
      <c r="CU2" s="20" t="s">
        <v>546</v>
      </c>
      <c r="CV2" s="20" t="s">
        <v>546</v>
      </c>
      <c r="CW2" s="20" t="s">
        <v>546</v>
      </c>
      <c r="CX2" s="20" t="s">
        <v>546</v>
      </c>
      <c r="CY2" s="20" t="s">
        <v>546</v>
      </c>
      <c r="CZ2" s="20" t="s">
        <v>546</v>
      </c>
      <c r="DA2" s="20" t="s">
        <v>546</v>
      </c>
      <c r="DB2" s="20" t="s">
        <v>546</v>
      </c>
      <c r="DC2" s="20" t="s">
        <v>546</v>
      </c>
      <c r="DD2" s="20" t="s">
        <v>546</v>
      </c>
      <c r="DE2" s="20" t="s">
        <v>546</v>
      </c>
      <c r="DF2" s="20" t="s">
        <v>546</v>
      </c>
      <c r="DG2" s="20" t="s">
        <v>546</v>
      </c>
      <c r="DH2" s="20" t="s">
        <v>546</v>
      </c>
      <c r="DI2" s="20" t="s">
        <v>546</v>
      </c>
      <c r="DJ2" s="20" t="s">
        <v>546</v>
      </c>
      <c r="DK2" s="20" t="s">
        <v>546</v>
      </c>
      <c r="DL2" s="20" t="s">
        <v>546</v>
      </c>
      <c r="DM2" s="20" t="s">
        <v>546</v>
      </c>
      <c r="DN2" s="20" t="s">
        <v>546</v>
      </c>
      <c r="DO2" s="20" t="s">
        <v>546</v>
      </c>
      <c r="DP2" s="20" t="s">
        <v>546</v>
      </c>
      <c r="DQ2" s="20" t="s">
        <v>546</v>
      </c>
      <c r="DR2" s="20" t="s">
        <v>546</v>
      </c>
      <c r="DS2" s="20" t="s">
        <v>546</v>
      </c>
      <c r="DT2" s="20" t="s">
        <v>546</v>
      </c>
      <c r="DU2" s="20" t="s">
        <v>546</v>
      </c>
      <c r="DV2" s="20" t="s">
        <v>546</v>
      </c>
      <c r="DW2" s="20" t="s">
        <v>546</v>
      </c>
      <c r="DX2" s="20" t="s">
        <v>546</v>
      </c>
      <c r="DY2" s="20" t="s">
        <v>546</v>
      </c>
      <c r="DZ2" s="20" t="s">
        <v>546</v>
      </c>
      <c r="EA2" s="20" t="s">
        <v>546</v>
      </c>
      <c r="EB2" s="20" t="s">
        <v>546</v>
      </c>
      <c r="EC2" s="20" t="s">
        <v>546</v>
      </c>
      <c r="ED2" s="20" t="s">
        <v>546</v>
      </c>
      <c r="EE2" s="20" t="s">
        <v>546</v>
      </c>
      <c r="EF2" s="20" t="s">
        <v>546</v>
      </c>
      <c r="EG2" s="20" t="s">
        <v>546</v>
      </c>
      <c r="EH2" s="20" t="s">
        <v>546</v>
      </c>
      <c r="EI2" s="20" t="s">
        <v>546</v>
      </c>
      <c r="EJ2" s="20" t="s">
        <v>546</v>
      </c>
      <c r="EK2" s="20" t="s">
        <v>546</v>
      </c>
      <c r="EL2" s="20" t="s">
        <v>546</v>
      </c>
      <c r="EM2" s="20" t="s">
        <v>546</v>
      </c>
      <c r="EN2" s="20" t="s">
        <v>546</v>
      </c>
      <c r="EO2" s="20" t="s">
        <v>546</v>
      </c>
      <c r="EP2" s="117" t="s">
        <v>736</v>
      </c>
      <c r="EQ2" s="20" t="s">
        <v>546</v>
      </c>
      <c r="ER2" s="20" t="s">
        <v>546</v>
      </c>
      <c r="ES2" s="20" t="s">
        <v>546</v>
      </c>
      <c r="ET2" s="20" t="s">
        <v>546</v>
      </c>
      <c r="EU2" s="20" t="s">
        <v>546</v>
      </c>
      <c r="EV2" s="20" t="s">
        <v>546</v>
      </c>
      <c r="EW2" s="20" t="s">
        <v>546</v>
      </c>
      <c r="EX2" s="20" t="s">
        <v>546</v>
      </c>
      <c r="EY2" s="20" t="s">
        <v>546</v>
      </c>
      <c r="EZ2" s="20" t="s">
        <v>546</v>
      </c>
      <c r="FA2" s="117" t="s">
        <v>737</v>
      </c>
      <c r="FB2" s="20" t="s">
        <v>546</v>
      </c>
      <c r="FC2" s="20" t="s">
        <v>546</v>
      </c>
      <c r="FD2" s="20" t="s">
        <v>546</v>
      </c>
      <c r="FE2" s="20" t="s">
        <v>546</v>
      </c>
      <c r="FF2" s="20" t="s">
        <v>546</v>
      </c>
      <c r="FG2" s="20" t="s">
        <v>546</v>
      </c>
      <c r="FH2" s="20" t="s">
        <v>546</v>
      </c>
      <c r="FI2" s="20" t="s">
        <v>546</v>
      </c>
      <c r="FJ2" s="20" t="s">
        <v>546</v>
      </c>
      <c r="FK2" s="20" t="s">
        <v>546</v>
      </c>
      <c r="FL2" s="20" t="s">
        <v>546</v>
      </c>
      <c r="FM2" s="20" t="s">
        <v>546</v>
      </c>
      <c r="FN2" s="20" t="s">
        <v>546</v>
      </c>
      <c r="FO2" s="20" t="s">
        <v>546</v>
      </c>
      <c r="FP2" s="20" t="s">
        <v>546</v>
      </c>
      <c r="FQ2" s="20" t="s">
        <v>546</v>
      </c>
      <c r="FR2" s="20" t="s">
        <v>546</v>
      </c>
      <c r="FS2" s="20" t="s">
        <v>546</v>
      </c>
      <c r="FT2" s="20" t="s">
        <v>546</v>
      </c>
      <c r="FU2" s="20" t="s">
        <v>546</v>
      </c>
      <c r="FV2" s="20" t="s">
        <v>546</v>
      </c>
      <c r="FW2" s="20" t="s">
        <v>546</v>
      </c>
      <c r="FX2" s="20" t="s">
        <v>546</v>
      </c>
      <c r="FY2" s="20" t="s">
        <v>546</v>
      </c>
      <c r="FZ2" s="20" t="s">
        <v>546</v>
      </c>
      <c r="GA2" s="20" t="s">
        <v>546</v>
      </c>
      <c r="GB2" s="20" t="s">
        <v>546</v>
      </c>
      <c r="GC2" s="20" t="s">
        <v>546</v>
      </c>
      <c r="GD2" s="20" t="s">
        <v>546</v>
      </c>
      <c r="GE2" s="20" t="s">
        <v>546</v>
      </c>
      <c r="GF2" s="20" t="s">
        <v>546</v>
      </c>
      <c r="GG2" s="20" t="s">
        <v>546</v>
      </c>
      <c r="GH2" s="20" t="s">
        <v>546</v>
      </c>
      <c r="GI2" s="20" t="s">
        <v>546</v>
      </c>
      <c r="GJ2" s="20" t="s">
        <v>546</v>
      </c>
      <c r="GK2" s="20" t="s">
        <v>546</v>
      </c>
      <c r="GL2" s="20" t="s">
        <v>546</v>
      </c>
      <c r="GM2" s="20" t="s">
        <v>546</v>
      </c>
      <c r="GN2" s="20" t="s">
        <v>546</v>
      </c>
      <c r="GO2" s="20" t="s">
        <v>546</v>
      </c>
      <c r="GP2" s="20" t="s">
        <v>546</v>
      </c>
      <c r="GQ2" s="20" t="s">
        <v>546</v>
      </c>
      <c r="GR2" s="20" t="s">
        <v>546</v>
      </c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</row>
    <row r="3" spans="1:249">
      <c r="A3" s="118"/>
      <c r="B3" s="119"/>
      <c r="C3" s="21" t="s">
        <v>733</v>
      </c>
      <c r="D3" s="120" t="s">
        <v>738</v>
      </c>
      <c r="E3" s="121" t="s">
        <v>739</v>
      </c>
      <c r="F3" s="121"/>
      <c r="G3" s="20" t="s">
        <v>546</v>
      </c>
      <c r="H3" s="122" t="s">
        <v>740</v>
      </c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3" t="s">
        <v>741</v>
      </c>
      <c r="T3" s="123"/>
      <c r="U3" s="123"/>
      <c r="V3" s="123"/>
      <c r="W3" s="123"/>
      <c r="X3" s="123"/>
      <c r="Y3" s="20" t="s">
        <v>546</v>
      </c>
      <c r="Z3" s="20" t="s">
        <v>546</v>
      </c>
      <c r="AA3" s="20" t="s">
        <v>546</v>
      </c>
      <c r="AB3" s="20" t="s">
        <v>546</v>
      </c>
      <c r="AC3" s="20" t="s">
        <v>546</v>
      </c>
      <c r="AD3" s="20" t="s">
        <v>546</v>
      </c>
      <c r="AE3" s="20" t="s">
        <v>546</v>
      </c>
      <c r="AF3" s="20" t="s">
        <v>546</v>
      </c>
      <c r="AG3" s="20" t="s">
        <v>546</v>
      </c>
      <c r="AH3" s="20" t="s">
        <v>546</v>
      </c>
      <c r="AI3" s="20" t="s">
        <v>546</v>
      </c>
      <c r="AJ3" s="20" t="s">
        <v>546</v>
      </c>
      <c r="AK3" s="20" t="s">
        <v>546</v>
      </c>
      <c r="AL3" s="20" t="s">
        <v>546</v>
      </c>
      <c r="AM3" s="20" t="s">
        <v>546</v>
      </c>
      <c r="AN3" s="20" t="s">
        <v>546</v>
      </c>
      <c r="AO3" s="20" t="s">
        <v>546</v>
      </c>
      <c r="AP3" s="20" t="s">
        <v>546</v>
      </c>
      <c r="AQ3" s="20" t="s">
        <v>546</v>
      </c>
      <c r="AR3" s="20" t="s">
        <v>546</v>
      </c>
      <c r="AS3" s="20" t="s">
        <v>546</v>
      </c>
      <c r="AT3" s="20" t="s">
        <v>546</v>
      </c>
      <c r="AU3" s="20" t="s">
        <v>546</v>
      </c>
      <c r="AV3" s="20" t="s">
        <v>546</v>
      </c>
      <c r="AW3" s="20" t="s">
        <v>546</v>
      </c>
      <c r="AX3" s="20" t="s">
        <v>546</v>
      </c>
      <c r="AY3" s="20" t="s">
        <v>546</v>
      </c>
      <c r="AZ3" s="20" t="s">
        <v>546</v>
      </c>
      <c r="BA3" s="20" t="s">
        <v>546</v>
      </c>
      <c r="BB3" s="20" t="s">
        <v>546</v>
      </c>
      <c r="BC3" s="20" t="s">
        <v>546</v>
      </c>
      <c r="BD3" s="20" t="s">
        <v>546</v>
      </c>
      <c r="BE3" s="20" t="s">
        <v>546</v>
      </c>
      <c r="BF3" s="122" t="s">
        <v>742</v>
      </c>
      <c r="BG3" s="124"/>
      <c r="BH3" s="124"/>
      <c r="BI3" s="124"/>
      <c r="BJ3" s="124"/>
      <c r="BK3" s="124"/>
      <c r="BL3" s="124"/>
      <c r="BM3" s="124"/>
      <c r="BN3" s="124"/>
      <c r="BO3" s="124"/>
      <c r="BP3" s="124"/>
      <c r="BQ3" s="124"/>
      <c r="BR3" s="124"/>
      <c r="BS3" s="124"/>
      <c r="BT3" s="20" t="s">
        <v>546</v>
      </c>
      <c r="BU3" s="20" t="s">
        <v>546</v>
      </c>
      <c r="BV3" s="20" t="s">
        <v>546</v>
      </c>
      <c r="BW3" s="20" t="s">
        <v>546</v>
      </c>
      <c r="BX3" s="20" t="s">
        <v>546</v>
      </c>
      <c r="BY3" s="20" t="s">
        <v>546</v>
      </c>
      <c r="BZ3" s="20" t="s">
        <v>546</v>
      </c>
      <c r="CA3" s="20" t="s">
        <v>546</v>
      </c>
      <c r="CB3" s="20" t="s">
        <v>546</v>
      </c>
      <c r="CC3" s="20" t="s">
        <v>546</v>
      </c>
      <c r="CD3" s="122" t="s">
        <v>743</v>
      </c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20" t="s">
        <v>546</v>
      </c>
      <c r="CP3" s="20" t="s">
        <v>546</v>
      </c>
      <c r="CQ3" s="20" t="s">
        <v>546</v>
      </c>
      <c r="CR3" s="124" t="s">
        <v>742</v>
      </c>
      <c r="CS3" s="124"/>
      <c r="CT3" s="124"/>
      <c r="CU3" s="124"/>
      <c r="CV3" s="124"/>
      <c r="CW3" s="124"/>
      <c r="CX3" s="124"/>
      <c r="CY3" s="124"/>
      <c r="CZ3" s="124"/>
      <c r="DA3" s="124"/>
      <c r="DB3" s="124"/>
      <c r="DC3" s="124"/>
      <c r="DD3" s="124"/>
      <c r="DE3" s="124"/>
      <c r="DF3" s="122" t="s">
        <v>744</v>
      </c>
      <c r="DG3" s="124"/>
      <c r="DH3" s="124"/>
      <c r="DI3" s="124"/>
      <c r="DJ3" s="124"/>
      <c r="DK3" s="124"/>
      <c r="DL3" s="124"/>
      <c r="DM3" s="124"/>
      <c r="DN3" s="124"/>
      <c r="DO3" s="124"/>
      <c r="DP3" s="124"/>
      <c r="DQ3" s="124"/>
      <c r="DR3" s="124"/>
      <c r="DS3" s="124"/>
      <c r="DT3" s="122" t="s">
        <v>745</v>
      </c>
      <c r="DU3" s="124"/>
      <c r="DV3" s="124"/>
      <c r="DW3" s="124"/>
      <c r="DX3" s="124"/>
      <c r="DY3" s="124"/>
      <c r="DZ3" s="124"/>
      <c r="EA3" s="124"/>
      <c r="EB3" s="124"/>
      <c r="EC3" s="124"/>
      <c r="ED3" s="124"/>
      <c r="EE3" s="124"/>
      <c r="EF3" s="124"/>
      <c r="EG3" s="124"/>
      <c r="EH3" s="20" t="s">
        <v>546</v>
      </c>
      <c r="EI3" s="20" t="s">
        <v>546</v>
      </c>
      <c r="EJ3" s="20" t="s">
        <v>546</v>
      </c>
      <c r="EK3" s="20" t="s">
        <v>546</v>
      </c>
      <c r="EL3" s="20" t="s">
        <v>546</v>
      </c>
      <c r="EM3" s="20" t="s">
        <v>546</v>
      </c>
      <c r="EN3" s="20" t="s">
        <v>546</v>
      </c>
      <c r="EO3" s="20" t="s">
        <v>546</v>
      </c>
      <c r="EP3" s="20" t="s">
        <v>546</v>
      </c>
      <c r="EQ3" s="20" t="s">
        <v>546</v>
      </c>
      <c r="ER3" s="20" t="s">
        <v>546</v>
      </c>
      <c r="ES3" s="20" t="s">
        <v>546</v>
      </c>
      <c r="ET3" s="20" t="s">
        <v>546</v>
      </c>
      <c r="EU3" s="20" t="s">
        <v>546</v>
      </c>
      <c r="EV3" s="20" t="s">
        <v>546</v>
      </c>
      <c r="EW3" s="20" t="s">
        <v>546</v>
      </c>
      <c r="EX3" s="20" t="s">
        <v>546</v>
      </c>
      <c r="EY3" s="20" t="s">
        <v>546</v>
      </c>
      <c r="EZ3" s="20" t="s">
        <v>546</v>
      </c>
      <c r="FA3" s="20" t="s">
        <v>546</v>
      </c>
      <c r="FB3" s="20" t="s">
        <v>546</v>
      </c>
      <c r="FC3" s="122" t="s">
        <v>745</v>
      </c>
      <c r="FD3" s="124"/>
      <c r="FE3" s="124"/>
      <c r="FF3" s="124"/>
      <c r="FG3" s="124"/>
      <c r="FH3" s="124"/>
      <c r="FI3" s="124"/>
      <c r="FJ3" s="124"/>
      <c r="FK3" s="124"/>
      <c r="FL3" s="124"/>
      <c r="FM3" s="124"/>
      <c r="FN3" s="124"/>
      <c r="FO3" s="124"/>
      <c r="FP3" s="124"/>
      <c r="FQ3" s="20" t="s">
        <v>546</v>
      </c>
      <c r="FR3" s="20" t="s">
        <v>546</v>
      </c>
      <c r="FS3" s="20" t="s">
        <v>546</v>
      </c>
      <c r="FT3" s="20" t="s">
        <v>546</v>
      </c>
      <c r="FU3" s="20" t="s">
        <v>546</v>
      </c>
      <c r="FV3" s="20" t="s">
        <v>546</v>
      </c>
      <c r="FW3" s="20" t="s">
        <v>546</v>
      </c>
      <c r="FX3" s="20" t="s">
        <v>546</v>
      </c>
      <c r="FY3" s="20" t="s">
        <v>546</v>
      </c>
      <c r="FZ3" s="20" t="s">
        <v>546</v>
      </c>
      <c r="GA3" s="20" t="s">
        <v>546</v>
      </c>
      <c r="GB3" s="20" t="s">
        <v>546</v>
      </c>
      <c r="GC3" s="20" t="s">
        <v>546</v>
      </c>
      <c r="GD3" s="20" t="s">
        <v>546</v>
      </c>
      <c r="GE3" s="122" t="s">
        <v>746</v>
      </c>
      <c r="GF3" s="124"/>
      <c r="GG3" s="124"/>
      <c r="GH3" s="124"/>
      <c r="GI3" s="124"/>
      <c r="GJ3" s="124"/>
      <c r="GK3" s="124"/>
      <c r="GL3" s="124"/>
      <c r="GM3" s="124"/>
      <c r="GN3" s="124"/>
      <c r="GO3" s="124"/>
      <c r="GP3" s="124"/>
      <c r="GQ3" s="124"/>
      <c r="GR3" s="124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</row>
    <row r="4" spans="1:249">
      <c r="A4" s="118"/>
      <c r="B4" s="119" t="s">
        <v>511</v>
      </c>
      <c r="C4" s="21" t="s">
        <v>735</v>
      </c>
      <c r="D4" s="125">
        <v>0.15</v>
      </c>
      <c r="E4" s="20" t="s">
        <v>546</v>
      </c>
      <c r="F4" s="20" t="s">
        <v>546</v>
      </c>
      <c r="G4" s="20" t="s">
        <v>546</v>
      </c>
      <c r="H4" s="20" t="s">
        <v>546</v>
      </c>
      <c r="I4" s="20" t="s">
        <v>546</v>
      </c>
      <c r="J4" s="20" t="s">
        <v>546</v>
      </c>
      <c r="K4" s="20" t="s">
        <v>546</v>
      </c>
      <c r="L4" s="20" t="s">
        <v>546</v>
      </c>
      <c r="M4" s="20" t="s">
        <v>546</v>
      </c>
      <c r="N4" s="20" t="s">
        <v>546</v>
      </c>
      <c r="O4" s="20" t="s">
        <v>546</v>
      </c>
      <c r="P4" s="20" t="s">
        <v>546</v>
      </c>
      <c r="Q4" s="20" t="s">
        <v>546</v>
      </c>
      <c r="R4" s="20" t="s">
        <v>546</v>
      </c>
      <c r="S4" s="20" t="s">
        <v>546</v>
      </c>
      <c r="T4" s="20" t="s">
        <v>546</v>
      </c>
      <c r="U4" s="20" t="s">
        <v>546</v>
      </c>
      <c r="V4" s="20" t="s">
        <v>546</v>
      </c>
      <c r="W4" s="20" t="s">
        <v>546</v>
      </c>
      <c r="X4" s="20" t="s">
        <v>546</v>
      </c>
      <c r="Y4" s="20" t="s">
        <v>546</v>
      </c>
      <c r="Z4" s="20" t="s">
        <v>546</v>
      </c>
      <c r="AA4" s="20" t="s">
        <v>546</v>
      </c>
      <c r="AB4" s="20" t="s">
        <v>546</v>
      </c>
      <c r="AC4" s="20" t="s">
        <v>546</v>
      </c>
      <c r="AD4" s="20" t="s">
        <v>546</v>
      </c>
      <c r="AE4" s="20" t="s">
        <v>546</v>
      </c>
      <c r="AF4" s="20" t="s">
        <v>546</v>
      </c>
      <c r="AG4" s="20" t="s">
        <v>546</v>
      </c>
      <c r="AH4" s="20" t="s">
        <v>546</v>
      </c>
      <c r="AI4" s="20" t="s">
        <v>546</v>
      </c>
      <c r="AJ4" s="20" t="s">
        <v>546</v>
      </c>
      <c r="AK4" s="20" t="s">
        <v>546</v>
      </c>
      <c r="AL4" s="20" t="s">
        <v>546</v>
      </c>
      <c r="AM4" s="20" t="s">
        <v>546</v>
      </c>
      <c r="AN4" s="20" t="s">
        <v>546</v>
      </c>
      <c r="AO4" s="20" t="s">
        <v>546</v>
      </c>
      <c r="AP4" s="20" t="s">
        <v>546</v>
      </c>
      <c r="AQ4" s="20" t="s">
        <v>546</v>
      </c>
      <c r="AR4" s="20" t="s">
        <v>546</v>
      </c>
      <c r="AS4" s="20" t="s">
        <v>546</v>
      </c>
      <c r="AT4" s="20" t="s">
        <v>546</v>
      </c>
      <c r="AU4" s="20" t="s">
        <v>546</v>
      </c>
      <c r="AV4" s="20" t="s">
        <v>546</v>
      </c>
      <c r="AW4" s="20" t="s">
        <v>546</v>
      </c>
      <c r="AX4" s="20" t="s">
        <v>546</v>
      </c>
      <c r="AY4" s="20" t="s">
        <v>546</v>
      </c>
      <c r="AZ4" s="20" t="s">
        <v>546</v>
      </c>
      <c r="BA4" s="20" t="s">
        <v>546</v>
      </c>
      <c r="BB4" s="121" t="s">
        <v>747</v>
      </c>
      <c r="BC4" s="121"/>
      <c r="BD4" s="121"/>
      <c r="BE4" s="121"/>
      <c r="BF4" s="121"/>
      <c r="BG4" s="121"/>
      <c r="BH4" s="121"/>
      <c r="BI4" s="117" t="s">
        <v>747</v>
      </c>
      <c r="BJ4" s="121"/>
      <c r="BK4" s="121"/>
      <c r="BL4" s="121"/>
      <c r="BM4" s="121"/>
      <c r="BN4" s="121"/>
      <c r="BO4" s="121"/>
      <c r="BP4" s="117" t="s">
        <v>747</v>
      </c>
      <c r="BQ4" s="121"/>
      <c r="BR4" s="121"/>
      <c r="BS4" s="121"/>
      <c r="BT4" s="121"/>
      <c r="BU4" s="121"/>
      <c r="BV4" s="121"/>
      <c r="BW4" s="117" t="s">
        <v>747</v>
      </c>
      <c r="BX4" s="121"/>
      <c r="BY4" s="121"/>
      <c r="BZ4" s="121"/>
      <c r="CA4" s="121"/>
      <c r="CB4" s="121"/>
      <c r="CC4" s="20" t="s">
        <v>546</v>
      </c>
      <c r="CD4" s="20" t="s">
        <v>546</v>
      </c>
      <c r="CE4" s="20" t="s">
        <v>546</v>
      </c>
      <c r="CF4" s="20" t="s">
        <v>546</v>
      </c>
      <c r="CG4" s="20" t="s">
        <v>546</v>
      </c>
      <c r="CH4" s="20" t="s">
        <v>546</v>
      </c>
      <c r="CI4" s="20" t="s">
        <v>546</v>
      </c>
      <c r="CJ4" s="20" t="s">
        <v>546</v>
      </c>
      <c r="CK4" s="20" t="s">
        <v>546</v>
      </c>
      <c r="CL4" s="20" t="s">
        <v>546</v>
      </c>
      <c r="CM4" s="20" t="s">
        <v>546</v>
      </c>
      <c r="CN4" s="20" t="s">
        <v>546</v>
      </c>
      <c r="CO4" s="20" t="s">
        <v>546</v>
      </c>
      <c r="CP4" s="20" t="s">
        <v>546</v>
      </c>
      <c r="CQ4" s="20" t="s">
        <v>546</v>
      </c>
      <c r="CR4" s="20" t="s">
        <v>546</v>
      </c>
      <c r="CS4" s="20" t="s">
        <v>546</v>
      </c>
      <c r="CT4" s="20" t="s">
        <v>546</v>
      </c>
      <c r="CU4" s="20" t="s">
        <v>546</v>
      </c>
      <c r="CV4" s="20" t="s">
        <v>546</v>
      </c>
      <c r="CW4" s="20" t="s">
        <v>546</v>
      </c>
      <c r="CX4" s="20" t="s">
        <v>546</v>
      </c>
      <c r="CY4" s="20" t="s">
        <v>546</v>
      </c>
      <c r="CZ4" s="20" t="s">
        <v>546</v>
      </c>
      <c r="DA4" s="20" t="s">
        <v>546</v>
      </c>
      <c r="DB4" s="20" t="s">
        <v>546</v>
      </c>
      <c r="DC4" s="20" t="s">
        <v>546</v>
      </c>
      <c r="DD4" s="20" t="s">
        <v>546</v>
      </c>
      <c r="DE4" s="20" t="s">
        <v>546</v>
      </c>
      <c r="DF4" s="20" t="s">
        <v>546</v>
      </c>
      <c r="DG4" s="20" t="s">
        <v>546</v>
      </c>
      <c r="DH4" s="20" t="s">
        <v>546</v>
      </c>
      <c r="DI4" s="20" t="s">
        <v>546</v>
      </c>
      <c r="DJ4" s="20" t="s">
        <v>546</v>
      </c>
      <c r="DK4" s="20" t="s">
        <v>546</v>
      </c>
      <c r="DL4" s="20" t="s">
        <v>546</v>
      </c>
      <c r="DM4" s="20" t="s">
        <v>546</v>
      </c>
      <c r="DN4" s="20" t="s">
        <v>546</v>
      </c>
      <c r="DO4" s="20" t="s">
        <v>546</v>
      </c>
      <c r="DP4" s="20" t="s">
        <v>546</v>
      </c>
      <c r="DQ4" s="20" t="s">
        <v>546</v>
      </c>
      <c r="DR4" s="20" t="s">
        <v>546</v>
      </c>
      <c r="DS4" s="20" t="s">
        <v>546</v>
      </c>
      <c r="DT4" s="20" t="s">
        <v>546</v>
      </c>
      <c r="DU4" s="20" t="s">
        <v>546</v>
      </c>
      <c r="DV4" s="20" t="s">
        <v>546</v>
      </c>
      <c r="DW4" s="20" t="s">
        <v>546</v>
      </c>
      <c r="DX4" s="20" t="s">
        <v>546</v>
      </c>
      <c r="DY4" s="20" t="s">
        <v>546</v>
      </c>
      <c r="DZ4" s="20" t="s">
        <v>546</v>
      </c>
      <c r="EA4" s="20" t="s">
        <v>546</v>
      </c>
      <c r="EB4" s="20" t="s">
        <v>546</v>
      </c>
      <c r="EC4" s="20" t="s">
        <v>546</v>
      </c>
      <c r="ED4" s="20" t="s">
        <v>546</v>
      </c>
      <c r="EE4" s="20" t="s">
        <v>546</v>
      </c>
      <c r="EF4" s="20" t="s">
        <v>546</v>
      </c>
      <c r="EG4" s="20" t="s">
        <v>546</v>
      </c>
      <c r="EH4" s="20" t="s">
        <v>546</v>
      </c>
      <c r="EI4" s="20" t="s">
        <v>546</v>
      </c>
      <c r="EJ4" s="20" t="s">
        <v>546</v>
      </c>
      <c r="EK4" s="20" t="s">
        <v>546</v>
      </c>
      <c r="EL4" s="20" t="s">
        <v>546</v>
      </c>
      <c r="EM4" s="20" t="s">
        <v>546</v>
      </c>
      <c r="EN4" s="20" t="s">
        <v>546</v>
      </c>
      <c r="EO4" s="20" t="s">
        <v>546</v>
      </c>
      <c r="EP4" s="20" t="s">
        <v>546</v>
      </c>
      <c r="EQ4" s="20" t="s">
        <v>546</v>
      </c>
      <c r="ER4" s="20" t="s">
        <v>546</v>
      </c>
      <c r="ES4" s="20" t="s">
        <v>546</v>
      </c>
      <c r="ET4" s="20" t="s">
        <v>546</v>
      </c>
      <c r="EU4" s="20" t="s">
        <v>546</v>
      </c>
      <c r="EV4" s="20" t="s">
        <v>546</v>
      </c>
      <c r="EW4" s="20" t="s">
        <v>546</v>
      </c>
      <c r="EX4" s="20" t="s">
        <v>546</v>
      </c>
      <c r="EY4" s="20" t="s">
        <v>546</v>
      </c>
      <c r="EZ4" s="20" t="s">
        <v>546</v>
      </c>
      <c r="FA4" s="20" t="s">
        <v>546</v>
      </c>
      <c r="FB4" s="20" t="s">
        <v>546</v>
      </c>
      <c r="FC4" s="20" t="s">
        <v>546</v>
      </c>
      <c r="FD4" s="20" t="s">
        <v>546</v>
      </c>
      <c r="FE4" s="20" t="s">
        <v>546</v>
      </c>
      <c r="FF4" s="20" t="s">
        <v>546</v>
      </c>
      <c r="FG4" s="20" t="s">
        <v>546</v>
      </c>
      <c r="FH4" s="20" t="s">
        <v>546</v>
      </c>
      <c r="FI4" s="20" t="s">
        <v>546</v>
      </c>
      <c r="FJ4" s="20" t="s">
        <v>546</v>
      </c>
      <c r="FK4" s="20" t="s">
        <v>546</v>
      </c>
      <c r="FL4" s="20" t="s">
        <v>546</v>
      </c>
      <c r="FM4" s="20" t="s">
        <v>546</v>
      </c>
      <c r="FN4" s="20" t="s">
        <v>546</v>
      </c>
      <c r="FO4" s="20" t="s">
        <v>546</v>
      </c>
      <c r="FP4" s="20" t="s">
        <v>546</v>
      </c>
      <c r="FQ4" s="20" t="s">
        <v>546</v>
      </c>
      <c r="FR4" s="20" t="s">
        <v>546</v>
      </c>
      <c r="FS4" s="20" t="s">
        <v>546</v>
      </c>
      <c r="FT4" s="20" t="s">
        <v>546</v>
      </c>
      <c r="FU4" s="20" t="s">
        <v>546</v>
      </c>
      <c r="FV4" s="20" t="s">
        <v>546</v>
      </c>
      <c r="FW4" s="20" t="s">
        <v>546</v>
      </c>
      <c r="FX4" s="20" t="s">
        <v>546</v>
      </c>
      <c r="FY4" s="20" t="s">
        <v>546</v>
      </c>
      <c r="FZ4" s="20" t="s">
        <v>546</v>
      </c>
      <c r="GA4" s="20" t="s">
        <v>546</v>
      </c>
      <c r="GB4" s="20" t="s">
        <v>546</v>
      </c>
      <c r="GC4" s="20" t="s">
        <v>546</v>
      </c>
      <c r="GD4" s="20" t="s">
        <v>546</v>
      </c>
      <c r="GE4" s="20" t="s">
        <v>546</v>
      </c>
      <c r="GF4" s="20" t="s">
        <v>546</v>
      </c>
      <c r="GG4" s="20" t="s">
        <v>546</v>
      </c>
      <c r="GH4" s="20" t="s">
        <v>546</v>
      </c>
      <c r="GI4" s="20" t="s">
        <v>546</v>
      </c>
      <c r="GJ4" s="20" t="s">
        <v>546</v>
      </c>
      <c r="GK4" s="20" t="s">
        <v>546</v>
      </c>
      <c r="GL4" s="20" t="s">
        <v>546</v>
      </c>
      <c r="GM4" s="20" t="s">
        <v>546</v>
      </c>
      <c r="GN4" s="20" t="s">
        <v>546</v>
      </c>
      <c r="GO4" s="20" t="s">
        <v>546</v>
      </c>
      <c r="GP4" s="20" t="s">
        <v>546</v>
      </c>
      <c r="GQ4" s="20" t="s">
        <v>546</v>
      </c>
      <c r="GR4" s="20" t="s">
        <v>546</v>
      </c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</row>
    <row r="5" spans="1:249">
      <c r="A5" s="118"/>
      <c r="B5" s="119"/>
      <c r="C5" s="21" t="s">
        <v>733</v>
      </c>
      <c r="D5" s="120" t="s">
        <v>748</v>
      </c>
      <c r="E5" s="121" t="s">
        <v>749</v>
      </c>
      <c r="F5" s="121"/>
      <c r="G5" s="20" t="s">
        <v>546</v>
      </c>
      <c r="H5" s="122" t="s">
        <v>750</v>
      </c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 t="s">
        <v>751</v>
      </c>
      <c r="U5" s="123"/>
      <c r="V5" s="123"/>
      <c r="W5" s="123"/>
      <c r="X5" s="123"/>
      <c r="Y5" s="20" t="s">
        <v>546</v>
      </c>
      <c r="Z5" s="20" t="s">
        <v>546</v>
      </c>
      <c r="AA5" s="20" t="s">
        <v>546</v>
      </c>
      <c r="AB5" s="20" t="s">
        <v>546</v>
      </c>
      <c r="AC5" s="20" t="s">
        <v>546</v>
      </c>
      <c r="AD5" s="20" t="s">
        <v>546</v>
      </c>
      <c r="AE5" s="20" t="s">
        <v>546</v>
      </c>
      <c r="AF5" s="20" t="s">
        <v>546</v>
      </c>
      <c r="AG5" s="20" t="s">
        <v>546</v>
      </c>
      <c r="AH5" s="20" t="s">
        <v>546</v>
      </c>
      <c r="AI5" s="20" t="s">
        <v>546</v>
      </c>
      <c r="AJ5" s="20" t="s">
        <v>546</v>
      </c>
      <c r="AK5" s="20" t="s">
        <v>546</v>
      </c>
      <c r="AL5" s="20" t="s">
        <v>546</v>
      </c>
      <c r="AM5" s="20" t="s">
        <v>546</v>
      </c>
      <c r="AN5" s="20" t="s">
        <v>546</v>
      </c>
      <c r="AO5" s="20" t="s">
        <v>546</v>
      </c>
      <c r="AP5" s="20" t="s">
        <v>546</v>
      </c>
      <c r="AQ5" s="20" t="s">
        <v>546</v>
      </c>
      <c r="AR5" s="20" t="s">
        <v>546</v>
      </c>
      <c r="AS5" s="20" t="s">
        <v>546</v>
      </c>
      <c r="AT5" s="20" t="s">
        <v>546</v>
      </c>
      <c r="AU5" s="20" t="s">
        <v>546</v>
      </c>
      <c r="AV5" s="20" t="s">
        <v>546</v>
      </c>
      <c r="AW5" s="20" t="s">
        <v>546</v>
      </c>
      <c r="AX5" s="20" t="s">
        <v>546</v>
      </c>
      <c r="AY5" s="20" t="s">
        <v>546</v>
      </c>
      <c r="AZ5" s="20" t="s">
        <v>546</v>
      </c>
      <c r="BA5" s="20" t="s">
        <v>546</v>
      </c>
      <c r="BB5" s="20" t="s">
        <v>546</v>
      </c>
      <c r="BC5" s="20" t="s">
        <v>546</v>
      </c>
      <c r="BD5" s="20" t="s">
        <v>546</v>
      </c>
      <c r="BE5" s="20" t="s">
        <v>546</v>
      </c>
      <c r="BF5" s="20" t="s">
        <v>546</v>
      </c>
      <c r="BG5" s="20" t="s">
        <v>546</v>
      </c>
      <c r="BH5" s="20" t="s">
        <v>546</v>
      </c>
      <c r="BI5" s="20" t="s">
        <v>546</v>
      </c>
      <c r="BJ5" s="20" t="s">
        <v>546</v>
      </c>
      <c r="BK5" s="20" t="s">
        <v>546</v>
      </c>
      <c r="BL5" s="20" t="s">
        <v>546</v>
      </c>
      <c r="BM5" s="20" t="s">
        <v>546</v>
      </c>
      <c r="BN5" s="20" t="s">
        <v>546</v>
      </c>
      <c r="BO5" s="20" t="s">
        <v>546</v>
      </c>
      <c r="BP5" s="20" t="s">
        <v>546</v>
      </c>
      <c r="BQ5" s="20" t="s">
        <v>546</v>
      </c>
      <c r="BR5" s="20" t="s">
        <v>546</v>
      </c>
      <c r="BS5" s="20" t="s">
        <v>546</v>
      </c>
      <c r="BT5" s="20" t="s">
        <v>546</v>
      </c>
      <c r="BU5" s="20" t="s">
        <v>546</v>
      </c>
      <c r="BV5" s="20" t="s">
        <v>546</v>
      </c>
      <c r="BW5" s="20" t="s">
        <v>546</v>
      </c>
      <c r="BX5" s="20" t="s">
        <v>546</v>
      </c>
      <c r="BY5" s="20" t="s">
        <v>546</v>
      </c>
      <c r="BZ5" s="20" t="s">
        <v>546</v>
      </c>
      <c r="CA5" s="20" t="s">
        <v>546</v>
      </c>
      <c r="CB5" s="20" t="s">
        <v>546</v>
      </c>
      <c r="CC5" s="20" t="s">
        <v>546</v>
      </c>
      <c r="CD5" s="20" t="s">
        <v>546</v>
      </c>
      <c r="CE5" s="20" t="s">
        <v>546</v>
      </c>
      <c r="CF5" s="20" t="s">
        <v>546</v>
      </c>
      <c r="CG5" s="20" t="s">
        <v>546</v>
      </c>
      <c r="CH5" s="122" t="s">
        <v>752</v>
      </c>
      <c r="CI5" s="124"/>
      <c r="CJ5" s="124"/>
      <c r="CK5" s="124"/>
      <c r="CL5" s="124"/>
      <c r="CM5" s="124"/>
      <c r="CN5" s="124"/>
      <c r="CO5" s="20" t="s">
        <v>546</v>
      </c>
      <c r="CP5" s="20" t="s">
        <v>546</v>
      </c>
      <c r="CQ5" s="20" t="s">
        <v>546</v>
      </c>
      <c r="CR5" s="122" t="s">
        <v>753</v>
      </c>
      <c r="CS5" s="122"/>
      <c r="CT5" s="122"/>
      <c r="CU5" s="122"/>
      <c r="CV5" s="122"/>
      <c r="CW5" s="122"/>
      <c r="CX5" s="122"/>
      <c r="CY5" s="122"/>
      <c r="CZ5" s="20" t="s">
        <v>546</v>
      </c>
      <c r="DA5" s="20" t="s">
        <v>546</v>
      </c>
      <c r="DB5" s="20" t="s">
        <v>546</v>
      </c>
      <c r="DC5" s="20" t="s">
        <v>546</v>
      </c>
      <c r="DD5" s="122" t="s">
        <v>754</v>
      </c>
      <c r="DE5" s="124"/>
      <c r="DF5" s="124"/>
      <c r="DG5" s="124"/>
      <c r="DH5" s="124"/>
      <c r="DI5" s="124"/>
      <c r="DJ5" s="124"/>
      <c r="DK5" s="124"/>
      <c r="DL5" s="124"/>
      <c r="DM5" s="124"/>
      <c r="DN5" s="124"/>
      <c r="DO5" s="124"/>
      <c r="DP5" s="124"/>
      <c r="DQ5" s="124"/>
      <c r="DR5" s="20" t="s">
        <v>546</v>
      </c>
      <c r="DS5" s="20" t="s">
        <v>546</v>
      </c>
      <c r="DT5" s="20" t="s">
        <v>546</v>
      </c>
      <c r="DU5" s="122" t="s">
        <v>755</v>
      </c>
      <c r="DV5" s="122"/>
      <c r="DW5" s="122"/>
      <c r="DX5" s="20" t="s">
        <v>546</v>
      </c>
      <c r="DY5" s="20" t="s">
        <v>546</v>
      </c>
      <c r="DZ5" s="20" t="s">
        <v>546</v>
      </c>
      <c r="EA5" s="20" t="s">
        <v>546</v>
      </c>
      <c r="EB5" s="20" t="s">
        <v>546</v>
      </c>
      <c r="EC5" s="20" t="s">
        <v>546</v>
      </c>
      <c r="ED5" s="20" t="s">
        <v>546</v>
      </c>
      <c r="EE5" s="20" t="s">
        <v>546</v>
      </c>
      <c r="EF5" s="20" t="s">
        <v>546</v>
      </c>
      <c r="EG5" s="20" t="s">
        <v>546</v>
      </c>
      <c r="EH5" s="20" t="s">
        <v>546</v>
      </c>
      <c r="EI5" s="20" t="s">
        <v>546</v>
      </c>
      <c r="EJ5" s="20" t="s">
        <v>546</v>
      </c>
      <c r="EK5" s="20" t="s">
        <v>546</v>
      </c>
      <c r="EL5" s="20" t="s">
        <v>546</v>
      </c>
      <c r="EM5" s="20" t="s">
        <v>546</v>
      </c>
      <c r="EN5" s="20" t="s">
        <v>546</v>
      </c>
      <c r="EO5" s="20" t="s">
        <v>546</v>
      </c>
      <c r="EP5" s="20" t="s">
        <v>546</v>
      </c>
      <c r="EQ5" s="20" t="s">
        <v>546</v>
      </c>
      <c r="ER5" s="20" t="s">
        <v>546</v>
      </c>
      <c r="ES5" s="20" t="s">
        <v>546</v>
      </c>
      <c r="ET5" s="20" t="s">
        <v>546</v>
      </c>
      <c r="EU5" s="20" t="s">
        <v>546</v>
      </c>
      <c r="EV5" s="20" t="s">
        <v>546</v>
      </c>
      <c r="EW5" s="20" t="s">
        <v>546</v>
      </c>
      <c r="EX5" s="20" t="s">
        <v>546</v>
      </c>
      <c r="EY5" s="20" t="s">
        <v>546</v>
      </c>
      <c r="EZ5" s="20" t="s">
        <v>546</v>
      </c>
      <c r="FA5" s="20" t="s">
        <v>546</v>
      </c>
      <c r="FB5" s="20" t="s">
        <v>546</v>
      </c>
      <c r="FC5" s="20" t="s">
        <v>546</v>
      </c>
      <c r="FD5" s="20" t="s">
        <v>546</v>
      </c>
      <c r="FE5" s="20" t="s">
        <v>546</v>
      </c>
      <c r="FF5" s="20" t="s">
        <v>546</v>
      </c>
      <c r="FG5" s="122" t="s">
        <v>756</v>
      </c>
      <c r="FH5" s="124"/>
      <c r="FI5" s="124"/>
      <c r="FJ5" s="124"/>
      <c r="FK5" s="124"/>
      <c r="FL5" s="124"/>
      <c r="FM5" s="124"/>
      <c r="FN5" s="124"/>
      <c r="FO5" s="124"/>
      <c r="FP5" s="124"/>
      <c r="FQ5" s="124"/>
      <c r="FR5" s="124"/>
      <c r="FS5" s="124"/>
      <c r="FT5" s="124"/>
      <c r="FU5" s="122" t="s">
        <v>757</v>
      </c>
      <c r="FV5" s="124"/>
      <c r="FW5" s="124"/>
      <c r="FX5" s="124"/>
      <c r="FY5" s="124"/>
      <c r="FZ5" s="124"/>
      <c r="GA5" s="124"/>
      <c r="GB5" s="124"/>
      <c r="GC5" s="124"/>
      <c r="GD5" s="124"/>
      <c r="GE5" s="124"/>
      <c r="GF5" s="124"/>
      <c r="GG5" s="124"/>
      <c r="GH5" s="124"/>
      <c r="GI5" s="20" t="s">
        <v>546</v>
      </c>
      <c r="GJ5" s="20" t="s">
        <v>546</v>
      </c>
      <c r="GK5" s="20" t="s">
        <v>546</v>
      </c>
      <c r="GL5" s="20" t="s">
        <v>546</v>
      </c>
      <c r="GM5" s="20" t="s">
        <v>546</v>
      </c>
      <c r="GN5" s="20" t="s">
        <v>546</v>
      </c>
      <c r="GO5" s="20" t="s">
        <v>546</v>
      </c>
      <c r="GP5" s="20" t="s">
        <v>546</v>
      </c>
      <c r="GQ5" s="20" t="s">
        <v>546</v>
      </c>
      <c r="GR5" s="20" t="s">
        <v>546</v>
      </c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</row>
    <row r="6" spans="1:249">
      <c r="A6" s="118"/>
      <c r="B6" s="119" t="s">
        <v>513</v>
      </c>
      <c r="C6" s="21" t="s">
        <v>735</v>
      </c>
      <c r="D6" s="125">
        <v>0.15</v>
      </c>
      <c r="E6" s="20" t="s">
        <v>546</v>
      </c>
      <c r="F6" s="20" t="s">
        <v>546</v>
      </c>
      <c r="G6" s="20" t="s">
        <v>546</v>
      </c>
      <c r="H6" s="20" t="s">
        <v>546</v>
      </c>
      <c r="I6" s="20" t="s">
        <v>546</v>
      </c>
      <c r="J6" s="20" t="s">
        <v>546</v>
      </c>
      <c r="K6" s="20" t="s">
        <v>546</v>
      </c>
      <c r="L6" s="20" t="s">
        <v>546</v>
      </c>
      <c r="M6" s="20" t="s">
        <v>546</v>
      </c>
      <c r="N6" s="20" t="s">
        <v>546</v>
      </c>
      <c r="O6" s="20" t="s">
        <v>546</v>
      </c>
      <c r="P6" s="20" t="s">
        <v>546</v>
      </c>
      <c r="Q6" s="20" t="s">
        <v>546</v>
      </c>
      <c r="R6" s="20" t="s">
        <v>546</v>
      </c>
      <c r="S6" s="20" t="s">
        <v>546</v>
      </c>
      <c r="T6" s="20" t="s">
        <v>546</v>
      </c>
      <c r="U6" s="20" t="s">
        <v>546</v>
      </c>
      <c r="V6" s="20" t="s">
        <v>546</v>
      </c>
      <c r="W6" s="20" t="s">
        <v>546</v>
      </c>
      <c r="X6" s="20" t="s">
        <v>546</v>
      </c>
      <c r="Y6" s="20" t="s">
        <v>546</v>
      </c>
      <c r="Z6" s="20" t="s">
        <v>546</v>
      </c>
      <c r="AA6" s="20" t="s">
        <v>546</v>
      </c>
      <c r="AB6" s="20" t="s">
        <v>546</v>
      </c>
      <c r="AC6" s="20" t="s">
        <v>546</v>
      </c>
      <c r="AD6" s="20" t="s">
        <v>546</v>
      </c>
      <c r="AE6" s="20" t="s">
        <v>546</v>
      </c>
      <c r="AF6" s="20" t="s">
        <v>546</v>
      </c>
      <c r="AG6" s="20" t="s">
        <v>546</v>
      </c>
      <c r="AH6" s="20" t="s">
        <v>546</v>
      </c>
      <c r="AI6" s="20" t="s">
        <v>546</v>
      </c>
      <c r="AJ6" s="20" t="s">
        <v>546</v>
      </c>
      <c r="AK6" s="20" t="s">
        <v>546</v>
      </c>
      <c r="AL6" s="20" t="s">
        <v>546</v>
      </c>
      <c r="AM6" s="20" t="s">
        <v>546</v>
      </c>
      <c r="AN6" s="20" t="s">
        <v>546</v>
      </c>
      <c r="AO6" s="20" t="s">
        <v>546</v>
      </c>
      <c r="AP6" s="20" t="s">
        <v>546</v>
      </c>
      <c r="AQ6" s="20" t="s">
        <v>546</v>
      </c>
      <c r="AR6" s="20" t="s">
        <v>546</v>
      </c>
      <c r="AS6" s="20" t="s">
        <v>546</v>
      </c>
      <c r="AT6" s="20" t="s">
        <v>546</v>
      </c>
      <c r="AU6" s="20" t="s">
        <v>546</v>
      </c>
      <c r="AV6" s="20" t="s">
        <v>546</v>
      </c>
      <c r="AW6" s="20" t="s">
        <v>546</v>
      </c>
      <c r="AX6" s="20" t="s">
        <v>546</v>
      </c>
      <c r="AY6" s="20" t="s">
        <v>546</v>
      </c>
      <c r="AZ6" s="20" t="s">
        <v>546</v>
      </c>
      <c r="BA6" s="20" t="s">
        <v>546</v>
      </c>
      <c r="BB6" s="117" t="s">
        <v>747</v>
      </c>
      <c r="BC6" s="121"/>
      <c r="BD6" s="20" t="s">
        <v>546</v>
      </c>
      <c r="BE6" s="20" t="s">
        <v>546</v>
      </c>
      <c r="BF6" s="20" t="s">
        <v>546</v>
      </c>
      <c r="BG6" s="20" t="s">
        <v>546</v>
      </c>
      <c r="BH6" s="20" t="s">
        <v>546</v>
      </c>
      <c r="BI6" s="20" t="s">
        <v>546</v>
      </c>
      <c r="BJ6" s="20" t="s">
        <v>546</v>
      </c>
      <c r="BK6" s="20" t="s">
        <v>546</v>
      </c>
      <c r="BL6" s="20" t="s">
        <v>546</v>
      </c>
      <c r="BM6" s="20" t="s">
        <v>546</v>
      </c>
      <c r="BN6" s="20" t="s">
        <v>546</v>
      </c>
      <c r="BO6" s="20" t="s">
        <v>546</v>
      </c>
      <c r="BP6" s="20" t="s">
        <v>546</v>
      </c>
      <c r="BQ6" s="20" t="s">
        <v>546</v>
      </c>
      <c r="BR6" s="20" t="s">
        <v>546</v>
      </c>
      <c r="BS6" s="20" t="s">
        <v>546</v>
      </c>
      <c r="BT6" s="20" t="s">
        <v>546</v>
      </c>
      <c r="BU6" s="20" t="s">
        <v>546</v>
      </c>
      <c r="BV6" s="20" t="s">
        <v>546</v>
      </c>
      <c r="BW6" s="20" t="s">
        <v>546</v>
      </c>
      <c r="BX6" s="20" t="s">
        <v>546</v>
      </c>
      <c r="BY6" s="20" t="s">
        <v>546</v>
      </c>
      <c r="BZ6" s="117" t="s">
        <v>758</v>
      </c>
      <c r="CA6" s="20" t="s">
        <v>546</v>
      </c>
      <c r="CB6" s="20" t="s">
        <v>546</v>
      </c>
      <c r="CC6" s="20" t="s">
        <v>546</v>
      </c>
      <c r="CD6" s="20" t="s">
        <v>546</v>
      </c>
      <c r="CE6" s="20" t="s">
        <v>546</v>
      </c>
      <c r="CF6" s="20" t="s">
        <v>546</v>
      </c>
      <c r="CG6" s="20" t="s">
        <v>546</v>
      </c>
      <c r="CH6" s="20" t="s">
        <v>546</v>
      </c>
      <c r="CI6" s="20" t="s">
        <v>546</v>
      </c>
      <c r="CJ6" s="20" t="s">
        <v>546</v>
      </c>
      <c r="CK6" s="20" t="s">
        <v>546</v>
      </c>
      <c r="CL6" s="121" t="s">
        <v>758</v>
      </c>
      <c r="CM6" s="121"/>
      <c r="CN6" s="121"/>
      <c r="CO6" s="121"/>
      <c r="CP6" s="20" t="s">
        <v>546</v>
      </c>
      <c r="CQ6" s="20" t="s">
        <v>546</v>
      </c>
      <c r="CR6" s="20" t="s">
        <v>546</v>
      </c>
      <c r="CS6" s="20" t="s">
        <v>546</v>
      </c>
      <c r="CT6" s="20" t="s">
        <v>546</v>
      </c>
      <c r="CU6" s="20" t="s">
        <v>546</v>
      </c>
      <c r="CV6" s="20" t="s">
        <v>546</v>
      </c>
      <c r="CW6" s="20" t="s">
        <v>546</v>
      </c>
      <c r="CX6" s="20" t="s">
        <v>546</v>
      </c>
      <c r="CY6" s="20" t="s">
        <v>546</v>
      </c>
      <c r="CZ6" s="20" t="s">
        <v>546</v>
      </c>
      <c r="DA6" s="20" t="s">
        <v>546</v>
      </c>
      <c r="DB6" s="20" t="s">
        <v>546</v>
      </c>
      <c r="DC6" s="20" t="s">
        <v>546</v>
      </c>
      <c r="DD6" s="20" t="s">
        <v>546</v>
      </c>
      <c r="DE6" s="20" t="s">
        <v>546</v>
      </c>
      <c r="DF6" s="20" t="s">
        <v>546</v>
      </c>
      <c r="DG6" s="20" t="s">
        <v>546</v>
      </c>
      <c r="DH6" s="20" t="s">
        <v>546</v>
      </c>
      <c r="DI6" s="20" t="s">
        <v>546</v>
      </c>
      <c r="DJ6" s="20" t="s">
        <v>546</v>
      </c>
      <c r="DK6" s="20" t="s">
        <v>546</v>
      </c>
      <c r="DL6" s="20" t="s">
        <v>546</v>
      </c>
      <c r="DM6" s="20" t="s">
        <v>546</v>
      </c>
      <c r="DN6" s="20" t="s">
        <v>546</v>
      </c>
      <c r="DO6" s="126" t="s">
        <v>546</v>
      </c>
      <c r="DP6" s="20" t="s">
        <v>546</v>
      </c>
      <c r="DQ6" s="20" t="s">
        <v>546</v>
      </c>
      <c r="DR6" s="20" t="s">
        <v>546</v>
      </c>
      <c r="DS6" s="20" t="s">
        <v>546</v>
      </c>
      <c r="DT6" s="20" t="s">
        <v>546</v>
      </c>
      <c r="DU6" s="20" t="s">
        <v>546</v>
      </c>
      <c r="DV6" s="20" t="s">
        <v>546</v>
      </c>
      <c r="DW6" s="20" t="s">
        <v>546</v>
      </c>
      <c r="DX6" s="20" t="s">
        <v>546</v>
      </c>
      <c r="DY6" s="20" t="s">
        <v>546</v>
      </c>
      <c r="DZ6" s="20" t="s">
        <v>546</v>
      </c>
      <c r="EA6" s="20" t="s">
        <v>546</v>
      </c>
      <c r="EB6" s="20" t="s">
        <v>546</v>
      </c>
      <c r="EC6" s="20" t="s">
        <v>546</v>
      </c>
      <c r="ED6" s="20" t="s">
        <v>546</v>
      </c>
      <c r="EE6" s="20" t="s">
        <v>546</v>
      </c>
      <c r="EF6" s="20" t="s">
        <v>546</v>
      </c>
      <c r="EG6" s="20" t="s">
        <v>546</v>
      </c>
      <c r="EH6" s="20" t="s">
        <v>546</v>
      </c>
      <c r="EI6" s="20" t="s">
        <v>546</v>
      </c>
      <c r="EJ6" s="20" t="s">
        <v>546</v>
      </c>
      <c r="EK6" s="20" t="s">
        <v>546</v>
      </c>
      <c r="EL6" s="20" t="s">
        <v>546</v>
      </c>
      <c r="EM6" s="20" t="s">
        <v>546</v>
      </c>
      <c r="EN6" s="20" t="s">
        <v>546</v>
      </c>
      <c r="EO6" s="20" t="s">
        <v>546</v>
      </c>
      <c r="EP6" s="20" t="s">
        <v>546</v>
      </c>
      <c r="EQ6" s="20" t="s">
        <v>546</v>
      </c>
      <c r="ER6" s="20" t="s">
        <v>546</v>
      </c>
      <c r="ES6" s="20" t="s">
        <v>546</v>
      </c>
      <c r="ET6" s="20" t="s">
        <v>546</v>
      </c>
      <c r="EU6" s="20" t="s">
        <v>546</v>
      </c>
      <c r="EV6" s="20" t="s">
        <v>546</v>
      </c>
      <c r="EW6" s="20" t="s">
        <v>546</v>
      </c>
      <c r="EX6" s="20" t="s">
        <v>546</v>
      </c>
      <c r="EY6" s="20" t="s">
        <v>546</v>
      </c>
      <c r="EZ6" s="20" t="s">
        <v>546</v>
      </c>
      <c r="FA6" s="20" t="s">
        <v>546</v>
      </c>
      <c r="FB6" s="20" t="s">
        <v>546</v>
      </c>
      <c r="FC6" s="20" t="s">
        <v>546</v>
      </c>
      <c r="FD6" s="20" t="s">
        <v>546</v>
      </c>
      <c r="FE6" s="20" t="s">
        <v>546</v>
      </c>
      <c r="FF6" s="20" t="s">
        <v>546</v>
      </c>
      <c r="FG6" s="20" t="s">
        <v>546</v>
      </c>
      <c r="FH6" s="20" t="s">
        <v>546</v>
      </c>
      <c r="FI6" s="20" t="s">
        <v>546</v>
      </c>
      <c r="FJ6" s="20" t="s">
        <v>546</v>
      </c>
      <c r="FK6" s="20" t="s">
        <v>546</v>
      </c>
      <c r="FL6" s="20" t="s">
        <v>546</v>
      </c>
      <c r="FM6" s="20" t="s">
        <v>546</v>
      </c>
      <c r="FN6" s="20" t="s">
        <v>546</v>
      </c>
      <c r="FO6" s="20" t="s">
        <v>546</v>
      </c>
      <c r="FP6" s="20" t="s">
        <v>546</v>
      </c>
      <c r="FQ6" s="20" t="s">
        <v>546</v>
      </c>
      <c r="FR6" s="20" t="s">
        <v>546</v>
      </c>
      <c r="FS6" s="20" t="s">
        <v>546</v>
      </c>
      <c r="FT6" s="20" t="s">
        <v>546</v>
      </c>
      <c r="FU6" s="20" t="s">
        <v>546</v>
      </c>
      <c r="FV6" s="20" t="s">
        <v>546</v>
      </c>
      <c r="FW6" s="20" t="s">
        <v>546</v>
      </c>
      <c r="FX6" s="20" t="s">
        <v>546</v>
      </c>
      <c r="FY6" s="20" t="s">
        <v>546</v>
      </c>
      <c r="FZ6" s="20" t="s">
        <v>546</v>
      </c>
      <c r="GA6" s="20" t="s">
        <v>546</v>
      </c>
      <c r="GB6" s="20" t="s">
        <v>546</v>
      </c>
      <c r="GC6" s="20" t="s">
        <v>546</v>
      </c>
      <c r="GD6" s="20" t="s">
        <v>546</v>
      </c>
      <c r="GE6" s="20" t="s">
        <v>546</v>
      </c>
      <c r="GF6" s="20" t="s">
        <v>546</v>
      </c>
      <c r="GG6" s="20" t="s">
        <v>546</v>
      </c>
      <c r="GH6" s="20" t="s">
        <v>546</v>
      </c>
      <c r="GI6" s="20" t="s">
        <v>546</v>
      </c>
      <c r="GJ6" s="20" t="s">
        <v>546</v>
      </c>
      <c r="GK6" s="20" t="s">
        <v>546</v>
      </c>
      <c r="GL6" s="20" t="s">
        <v>546</v>
      </c>
      <c r="GM6" s="20" t="s">
        <v>546</v>
      </c>
      <c r="GN6" s="20" t="s">
        <v>546</v>
      </c>
      <c r="GO6" s="20" t="s">
        <v>546</v>
      </c>
      <c r="GP6" s="20" t="s">
        <v>546</v>
      </c>
      <c r="GQ6" s="20" t="s">
        <v>546</v>
      </c>
      <c r="GR6" s="20" t="s">
        <v>546</v>
      </c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</row>
    <row r="7" spans="1:249">
      <c r="A7" s="118"/>
      <c r="B7" s="119"/>
      <c r="C7" s="21" t="s">
        <v>733</v>
      </c>
      <c r="D7" s="120" t="s">
        <v>759</v>
      </c>
      <c r="E7" s="121" t="s">
        <v>739</v>
      </c>
      <c r="F7" s="121"/>
      <c r="G7" s="20" t="s">
        <v>546</v>
      </c>
      <c r="H7" s="122" t="s">
        <v>760</v>
      </c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20" t="s">
        <v>546</v>
      </c>
      <c r="U7" s="20" t="s">
        <v>546</v>
      </c>
      <c r="V7" s="20" t="s">
        <v>546</v>
      </c>
      <c r="W7" s="20" t="s">
        <v>546</v>
      </c>
      <c r="X7" s="20" t="s">
        <v>546</v>
      </c>
      <c r="Y7" s="20" t="s">
        <v>546</v>
      </c>
      <c r="Z7" s="20" t="s">
        <v>546</v>
      </c>
      <c r="AA7" s="20" t="s">
        <v>546</v>
      </c>
      <c r="AB7" s="20" t="s">
        <v>546</v>
      </c>
      <c r="AC7" s="20" t="s">
        <v>546</v>
      </c>
      <c r="AD7" s="20" t="s">
        <v>546</v>
      </c>
      <c r="AE7" s="20" t="s">
        <v>546</v>
      </c>
      <c r="AF7" s="20" t="s">
        <v>546</v>
      </c>
      <c r="AG7" s="20" t="s">
        <v>546</v>
      </c>
      <c r="AH7" s="20" t="s">
        <v>546</v>
      </c>
      <c r="AI7" s="20" t="s">
        <v>546</v>
      </c>
      <c r="AJ7" s="20" t="s">
        <v>546</v>
      </c>
      <c r="AK7" s="20" t="s">
        <v>546</v>
      </c>
      <c r="AL7" s="20" t="s">
        <v>546</v>
      </c>
      <c r="AM7" s="20" t="s">
        <v>546</v>
      </c>
      <c r="AN7" s="20" t="s">
        <v>546</v>
      </c>
      <c r="AO7" s="20" t="s">
        <v>546</v>
      </c>
      <c r="AP7" s="20" t="s">
        <v>546</v>
      </c>
      <c r="AQ7" s="20" t="s">
        <v>546</v>
      </c>
      <c r="AR7" s="20" t="s">
        <v>546</v>
      </c>
      <c r="AS7" s="20" t="s">
        <v>546</v>
      </c>
      <c r="AT7" s="20" t="s">
        <v>546</v>
      </c>
      <c r="AU7" s="20" t="s">
        <v>546</v>
      </c>
      <c r="AV7" s="20" t="s">
        <v>546</v>
      </c>
      <c r="AW7" s="20" t="s">
        <v>546</v>
      </c>
      <c r="AX7" s="20" t="s">
        <v>546</v>
      </c>
      <c r="AY7" s="20" t="s">
        <v>546</v>
      </c>
      <c r="AZ7" s="20" t="s">
        <v>546</v>
      </c>
      <c r="BA7" s="20" t="s">
        <v>546</v>
      </c>
      <c r="BB7" s="20" t="s">
        <v>546</v>
      </c>
      <c r="BC7" s="20" t="s">
        <v>546</v>
      </c>
      <c r="BD7" s="122" t="s">
        <v>761</v>
      </c>
      <c r="BE7" s="124"/>
      <c r="BF7" s="124"/>
      <c r="BG7" s="124"/>
      <c r="BH7" s="124"/>
      <c r="BI7" s="124"/>
      <c r="BJ7" s="124"/>
      <c r="BK7" s="124"/>
      <c r="BL7" s="124"/>
      <c r="BM7" s="124"/>
      <c r="BN7" s="124"/>
      <c r="BO7" s="124"/>
      <c r="BP7" s="124"/>
      <c r="BQ7" s="124"/>
      <c r="BR7" s="122" t="s">
        <v>762</v>
      </c>
      <c r="BS7" s="122"/>
      <c r="BT7" s="122"/>
      <c r="BU7" s="122"/>
      <c r="BV7" s="122"/>
      <c r="BW7" s="122"/>
      <c r="BX7" s="122"/>
      <c r="BY7" s="122"/>
      <c r="BZ7" s="20" t="s">
        <v>546</v>
      </c>
      <c r="CA7" s="20" t="s">
        <v>546</v>
      </c>
      <c r="CB7" s="20" t="s">
        <v>546</v>
      </c>
      <c r="CC7" s="20" t="s">
        <v>546</v>
      </c>
      <c r="CD7" s="20" t="s">
        <v>546</v>
      </c>
      <c r="CE7" s="20" t="s">
        <v>546</v>
      </c>
      <c r="CF7" s="20" t="s">
        <v>546</v>
      </c>
      <c r="CG7" s="20" t="s">
        <v>546</v>
      </c>
      <c r="CH7" s="20" t="s">
        <v>546</v>
      </c>
      <c r="CI7" s="20" t="s">
        <v>546</v>
      </c>
      <c r="CJ7" s="20" t="s">
        <v>546</v>
      </c>
      <c r="CK7" s="20" t="s">
        <v>546</v>
      </c>
      <c r="CL7" s="20" t="s">
        <v>546</v>
      </c>
      <c r="CM7" s="20" t="s">
        <v>546</v>
      </c>
      <c r="CN7" s="20" t="s">
        <v>546</v>
      </c>
      <c r="CO7" s="20" t="s">
        <v>546</v>
      </c>
      <c r="CP7" s="20" t="s">
        <v>546</v>
      </c>
      <c r="CQ7" s="20" t="s">
        <v>546</v>
      </c>
      <c r="CR7" s="20" t="s">
        <v>546</v>
      </c>
      <c r="CS7" s="20" t="s">
        <v>546</v>
      </c>
      <c r="CT7" s="122" t="s">
        <v>763</v>
      </c>
      <c r="CU7" s="122"/>
      <c r="CV7" s="122"/>
      <c r="CW7" s="122"/>
      <c r="CX7" s="122"/>
      <c r="CY7" s="122"/>
      <c r="CZ7" s="20" t="s">
        <v>546</v>
      </c>
      <c r="DA7" s="20" t="s">
        <v>546</v>
      </c>
      <c r="DB7" s="20" t="s">
        <v>546</v>
      </c>
      <c r="DC7" s="20" t="s">
        <v>546</v>
      </c>
      <c r="DD7" s="20" t="s">
        <v>546</v>
      </c>
      <c r="DE7" s="20" t="s">
        <v>546</v>
      </c>
      <c r="DF7" s="20" t="s">
        <v>546</v>
      </c>
      <c r="DG7" s="20" t="s">
        <v>546</v>
      </c>
      <c r="DH7" s="20" t="s">
        <v>546</v>
      </c>
      <c r="DI7" s="20" t="s">
        <v>546</v>
      </c>
      <c r="DJ7" s="20" t="s">
        <v>546</v>
      </c>
      <c r="DK7" s="20" t="s">
        <v>546</v>
      </c>
      <c r="DL7" s="20" t="s">
        <v>546</v>
      </c>
      <c r="DM7" s="20" t="s">
        <v>546</v>
      </c>
      <c r="DN7" s="20" t="s">
        <v>546</v>
      </c>
      <c r="DO7" s="20" t="s">
        <v>546</v>
      </c>
      <c r="DP7" s="20" t="s">
        <v>546</v>
      </c>
      <c r="DQ7" s="20" t="s">
        <v>546</v>
      </c>
      <c r="DR7" s="20" t="s">
        <v>546</v>
      </c>
      <c r="DS7" s="20" t="s">
        <v>546</v>
      </c>
      <c r="DT7" s="20" t="s">
        <v>546</v>
      </c>
      <c r="DU7" s="20" t="s">
        <v>546</v>
      </c>
      <c r="DV7" s="20" t="s">
        <v>546</v>
      </c>
      <c r="DW7" s="20" t="s">
        <v>546</v>
      </c>
      <c r="DX7" s="20" t="s">
        <v>546</v>
      </c>
      <c r="DY7" s="20" t="s">
        <v>546</v>
      </c>
      <c r="DZ7" s="20" t="s">
        <v>546</v>
      </c>
      <c r="EA7" s="20" t="s">
        <v>546</v>
      </c>
      <c r="EB7" s="20" t="s">
        <v>546</v>
      </c>
      <c r="EC7" s="20" t="s">
        <v>546</v>
      </c>
      <c r="ED7" s="20" t="s">
        <v>546</v>
      </c>
      <c r="EE7" s="20" t="s">
        <v>546</v>
      </c>
      <c r="EF7" s="20" t="s">
        <v>546</v>
      </c>
      <c r="EG7" s="20" t="s">
        <v>546</v>
      </c>
      <c r="EH7" s="20" t="s">
        <v>546</v>
      </c>
      <c r="EI7" s="20" t="s">
        <v>546</v>
      </c>
      <c r="EJ7" s="20" t="s">
        <v>546</v>
      </c>
      <c r="EK7" s="122" t="s">
        <v>764</v>
      </c>
      <c r="EL7" s="124"/>
      <c r="EM7" s="124"/>
      <c r="EN7" s="124"/>
      <c r="EO7" s="124"/>
      <c r="EP7" s="124"/>
      <c r="EQ7" s="124"/>
      <c r="ER7" s="124"/>
      <c r="ES7" s="124"/>
      <c r="ET7" s="124"/>
      <c r="EU7" s="124"/>
      <c r="EV7" s="124"/>
      <c r="EW7" s="124"/>
      <c r="EX7" s="124"/>
      <c r="EY7" s="20" t="s">
        <v>546</v>
      </c>
      <c r="EZ7" s="20" t="s">
        <v>546</v>
      </c>
      <c r="FA7" s="122" t="s">
        <v>764</v>
      </c>
      <c r="FB7" s="124"/>
      <c r="FC7" s="124"/>
      <c r="FD7" s="124"/>
      <c r="FE7" s="124"/>
      <c r="FF7" s="124"/>
      <c r="FG7" s="124"/>
      <c r="FH7" s="124"/>
      <c r="FI7" s="124"/>
      <c r="FJ7" s="124"/>
      <c r="FK7" s="124"/>
      <c r="FL7" s="124"/>
      <c r="FM7" s="124"/>
      <c r="FN7" s="124"/>
      <c r="FO7" s="122" t="s">
        <v>765</v>
      </c>
      <c r="FP7" s="124"/>
      <c r="FQ7" s="124"/>
      <c r="FR7" s="124"/>
      <c r="FS7" s="124"/>
      <c r="FT7" s="124"/>
      <c r="FU7" s="124"/>
      <c r="FV7" s="124"/>
      <c r="FW7" s="124"/>
      <c r="FX7" s="124"/>
      <c r="FY7" s="124"/>
      <c r="FZ7" s="124"/>
      <c r="GA7" s="124"/>
      <c r="GB7" s="124"/>
      <c r="GC7" s="20" t="s">
        <v>546</v>
      </c>
      <c r="GD7" s="20" t="s">
        <v>546</v>
      </c>
      <c r="GE7" s="20" t="s">
        <v>546</v>
      </c>
      <c r="GF7" s="20" t="s">
        <v>546</v>
      </c>
      <c r="GG7" s="20" t="s">
        <v>546</v>
      </c>
      <c r="GH7" s="20" t="s">
        <v>546</v>
      </c>
      <c r="GI7" s="20" t="s">
        <v>546</v>
      </c>
      <c r="GJ7" s="20" t="s">
        <v>546</v>
      </c>
      <c r="GK7" s="20" t="s">
        <v>546</v>
      </c>
      <c r="GL7" s="20" t="s">
        <v>546</v>
      </c>
      <c r="GM7" s="20" t="s">
        <v>546</v>
      </c>
      <c r="GN7" s="20" t="s">
        <v>546</v>
      </c>
      <c r="GO7" s="20" t="s">
        <v>546</v>
      </c>
      <c r="GP7" s="20" t="s">
        <v>546</v>
      </c>
      <c r="GQ7" s="20" t="s">
        <v>546</v>
      </c>
      <c r="GR7" s="20" t="s">
        <v>546</v>
      </c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</row>
    <row r="8" spans="1:249">
      <c r="A8" s="118"/>
      <c r="B8" s="119" t="s">
        <v>516</v>
      </c>
      <c r="C8" s="21" t="s">
        <v>735</v>
      </c>
      <c r="D8" s="125">
        <v>0.15</v>
      </c>
      <c r="E8" s="20" t="s">
        <v>546</v>
      </c>
      <c r="F8" s="20" t="s">
        <v>546</v>
      </c>
      <c r="G8" s="20" t="s">
        <v>546</v>
      </c>
      <c r="H8" s="20" t="s">
        <v>546</v>
      </c>
      <c r="I8" s="20" t="s">
        <v>546</v>
      </c>
      <c r="J8" s="20" t="s">
        <v>546</v>
      </c>
      <c r="K8" s="20" t="s">
        <v>546</v>
      </c>
      <c r="L8" s="20" t="s">
        <v>546</v>
      </c>
      <c r="M8" s="20" t="s">
        <v>546</v>
      </c>
      <c r="N8" s="20" t="s">
        <v>546</v>
      </c>
      <c r="O8" s="20" t="s">
        <v>546</v>
      </c>
      <c r="P8" s="20" t="s">
        <v>546</v>
      </c>
      <c r="Q8" s="20" t="s">
        <v>546</v>
      </c>
      <c r="R8" s="20" t="s">
        <v>546</v>
      </c>
      <c r="S8" s="20" t="s">
        <v>546</v>
      </c>
      <c r="T8" s="20" t="s">
        <v>546</v>
      </c>
      <c r="U8" s="20" t="s">
        <v>546</v>
      </c>
      <c r="V8" s="20" t="s">
        <v>546</v>
      </c>
      <c r="W8" s="20" t="s">
        <v>546</v>
      </c>
      <c r="X8" s="20" t="s">
        <v>546</v>
      </c>
      <c r="Y8" s="20" t="s">
        <v>546</v>
      </c>
      <c r="Z8" s="20" t="s">
        <v>546</v>
      </c>
      <c r="AA8" s="20" t="s">
        <v>546</v>
      </c>
      <c r="AB8" s="20" t="s">
        <v>546</v>
      </c>
      <c r="AC8" s="20" t="s">
        <v>546</v>
      </c>
      <c r="AD8" s="20" t="s">
        <v>546</v>
      </c>
      <c r="AE8" s="20" t="s">
        <v>546</v>
      </c>
      <c r="AF8" s="20" t="s">
        <v>546</v>
      </c>
      <c r="AG8" s="20" t="s">
        <v>546</v>
      </c>
      <c r="AH8" s="20" t="s">
        <v>546</v>
      </c>
      <c r="AI8" s="20" t="s">
        <v>546</v>
      </c>
      <c r="AJ8" s="20" t="s">
        <v>546</v>
      </c>
      <c r="AK8" s="20" t="s">
        <v>546</v>
      </c>
      <c r="AL8" s="20" t="s">
        <v>546</v>
      </c>
      <c r="AM8" s="20" t="s">
        <v>546</v>
      </c>
      <c r="AN8" s="20" t="s">
        <v>546</v>
      </c>
      <c r="AO8" s="20" t="s">
        <v>546</v>
      </c>
      <c r="AP8" s="20" t="s">
        <v>546</v>
      </c>
      <c r="AQ8" s="20" t="s">
        <v>546</v>
      </c>
      <c r="AR8" s="20" t="s">
        <v>546</v>
      </c>
      <c r="AS8" s="20" t="s">
        <v>546</v>
      </c>
      <c r="AT8" s="20" t="s">
        <v>546</v>
      </c>
      <c r="AU8" s="20" t="s">
        <v>546</v>
      </c>
      <c r="AV8" s="20" t="s">
        <v>546</v>
      </c>
      <c r="AW8" s="20" t="s">
        <v>546</v>
      </c>
      <c r="AX8" s="20" t="s">
        <v>546</v>
      </c>
      <c r="AY8" s="20" t="s">
        <v>546</v>
      </c>
      <c r="AZ8" s="20" t="s">
        <v>546</v>
      </c>
      <c r="BA8" s="20" t="s">
        <v>546</v>
      </c>
      <c r="BB8" s="20" t="s">
        <v>546</v>
      </c>
      <c r="BC8" s="20"/>
      <c r="BD8" s="20"/>
      <c r="BE8" s="20" t="s">
        <v>546</v>
      </c>
      <c r="BF8" s="20" t="s">
        <v>546</v>
      </c>
      <c r="BG8" s="20" t="s">
        <v>546</v>
      </c>
      <c r="BH8" s="20" t="s">
        <v>546</v>
      </c>
      <c r="BI8" s="20" t="s">
        <v>546</v>
      </c>
      <c r="BJ8" s="20" t="s">
        <v>546</v>
      </c>
      <c r="BK8" s="20" t="s">
        <v>546</v>
      </c>
      <c r="BL8" s="20" t="s">
        <v>546</v>
      </c>
      <c r="BM8" s="20" t="s">
        <v>546</v>
      </c>
      <c r="BN8" s="20" t="s">
        <v>546</v>
      </c>
      <c r="BO8" s="20" t="s">
        <v>546</v>
      </c>
      <c r="BP8" s="20" t="s">
        <v>546</v>
      </c>
      <c r="BQ8" s="20" t="s">
        <v>546</v>
      </c>
      <c r="BR8" s="20" t="s">
        <v>546</v>
      </c>
      <c r="BS8" s="20" t="s">
        <v>546</v>
      </c>
      <c r="BT8" s="20" t="s">
        <v>546</v>
      </c>
      <c r="BU8" s="20" t="s">
        <v>546</v>
      </c>
      <c r="BV8" s="20" t="s">
        <v>546</v>
      </c>
      <c r="BW8" s="20" t="s">
        <v>546</v>
      </c>
      <c r="BX8" s="20" t="s">
        <v>546</v>
      </c>
      <c r="BY8" s="20" t="s">
        <v>546</v>
      </c>
      <c r="BZ8" s="117" t="s">
        <v>758</v>
      </c>
      <c r="CA8" s="117"/>
      <c r="CB8" s="20" t="s">
        <v>546</v>
      </c>
      <c r="CC8" s="20" t="s">
        <v>546</v>
      </c>
      <c r="CD8" s="20" t="s">
        <v>546</v>
      </c>
      <c r="CE8" s="20" t="s">
        <v>546</v>
      </c>
      <c r="CF8" s="20" t="s">
        <v>546</v>
      </c>
      <c r="CG8" s="20" t="s">
        <v>546</v>
      </c>
      <c r="CH8" s="20" t="s">
        <v>546</v>
      </c>
      <c r="CI8" s="20" t="s">
        <v>546</v>
      </c>
      <c r="CJ8" s="20" t="s">
        <v>546</v>
      </c>
      <c r="CK8" s="121" t="s">
        <v>758</v>
      </c>
      <c r="CL8" s="121"/>
      <c r="CM8" s="121"/>
      <c r="CN8" s="121"/>
      <c r="CO8" s="121"/>
      <c r="CP8" s="20" t="s">
        <v>546</v>
      </c>
      <c r="CQ8" s="20" t="s">
        <v>546</v>
      </c>
      <c r="CR8" s="20" t="s">
        <v>546</v>
      </c>
      <c r="CS8" s="20" t="s">
        <v>546</v>
      </c>
      <c r="CT8" s="20" t="s">
        <v>546</v>
      </c>
      <c r="CU8" s="20" t="s">
        <v>546</v>
      </c>
      <c r="CV8" s="20" t="s">
        <v>546</v>
      </c>
      <c r="CW8" s="20" t="s">
        <v>546</v>
      </c>
      <c r="CX8" s="20" t="s">
        <v>546</v>
      </c>
      <c r="CY8" s="20" t="s">
        <v>546</v>
      </c>
      <c r="CZ8" s="20" t="s">
        <v>546</v>
      </c>
      <c r="DA8" s="117" t="s">
        <v>766</v>
      </c>
      <c r="DB8" s="117"/>
      <c r="DC8" s="117"/>
      <c r="DD8" s="117"/>
      <c r="DE8" s="20" t="s">
        <v>546</v>
      </c>
      <c r="DF8" s="20" t="s">
        <v>546</v>
      </c>
      <c r="DG8" s="20" t="s">
        <v>546</v>
      </c>
      <c r="DH8" s="20" t="s">
        <v>546</v>
      </c>
      <c r="DI8" s="117" t="s">
        <v>736</v>
      </c>
      <c r="DJ8" s="20" t="s">
        <v>546</v>
      </c>
      <c r="DK8" s="20" t="s">
        <v>546</v>
      </c>
      <c r="DL8" s="20" t="s">
        <v>546</v>
      </c>
      <c r="DM8" s="20" t="s">
        <v>546</v>
      </c>
      <c r="DN8" s="20" t="s">
        <v>546</v>
      </c>
      <c r="DO8" s="126" t="s">
        <v>546</v>
      </c>
      <c r="DP8" s="20" t="s">
        <v>546</v>
      </c>
      <c r="DQ8" s="20" t="s">
        <v>546</v>
      </c>
      <c r="DR8" s="20" t="s">
        <v>546</v>
      </c>
      <c r="DS8" s="20" t="s">
        <v>546</v>
      </c>
      <c r="DT8" s="20" t="s">
        <v>546</v>
      </c>
      <c r="DU8" s="20" t="s">
        <v>546</v>
      </c>
      <c r="DV8" s="20" t="s">
        <v>546</v>
      </c>
      <c r="DW8" s="20" t="s">
        <v>546</v>
      </c>
      <c r="DX8" s="20" t="s">
        <v>546</v>
      </c>
      <c r="DY8" s="20" t="s">
        <v>546</v>
      </c>
      <c r="DZ8" s="20" t="s">
        <v>546</v>
      </c>
      <c r="EA8" s="20" t="s">
        <v>546</v>
      </c>
      <c r="EB8" s="20" t="s">
        <v>546</v>
      </c>
      <c r="EC8" s="20" t="s">
        <v>546</v>
      </c>
      <c r="ED8" s="20" t="s">
        <v>546</v>
      </c>
      <c r="EE8" s="20" t="s">
        <v>546</v>
      </c>
      <c r="EF8" s="20" t="s">
        <v>546</v>
      </c>
      <c r="EG8" s="20" t="s">
        <v>546</v>
      </c>
      <c r="EH8" s="20" t="s">
        <v>546</v>
      </c>
      <c r="EI8" s="20" t="s">
        <v>546</v>
      </c>
      <c r="EJ8" s="20" t="s">
        <v>546</v>
      </c>
      <c r="EK8" s="20" t="s">
        <v>546</v>
      </c>
      <c r="EL8" s="20" t="s">
        <v>546</v>
      </c>
      <c r="EM8" s="20" t="s">
        <v>546</v>
      </c>
      <c r="EN8" s="20" t="s">
        <v>546</v>
      </c>
      <c r="EO8" s="20" t="s">
        <v>546</v>
      </c>
      <c r="EP8" s="20" t="s">
        <v>546</v>
      </c>
      <c r="EQ8" s="20" t="s">
        <v>546</v>
      </c>
      <c r="ER8" s="20" t="s">
        <v>546</v>
      </c>
      <c r="ES8" s="20" t="s">
        <v>546</v>
      </c>
      <c r="ET8" s="20" t="s">
        <v>546</v>
      </c>
      <c r="EU8" s="20" t="s">
        <v>546</v>
      </c>
      <c r="EV8" s="20" t="s">
        <v>546</v>
      </c>
      <c r="EW8" s="121" t="s">
        <v>767</v>
      </c>
      <c r="EX8" s="121"/>
      <c r="EY8" s="20" t="s">
        <v>546</v>
      </c>
      <c r="EZ8" s="20" t="s">
        <v>546</v>
      </c>
      <c r="FA8" s="20" t="s">
        <v>546</v>
      </c>
      <c r="FB8" s="20" t="s">
        <v>546</v>
      </c>
      <c r="FC8" s="20" t="s">
        <v>546</v>
      </c>
      <c r="FD8" s="20" t="s">
        <v>546</v>
      </c>
      <c r="FE8" s="20" t="s">
        <v>546</v>
      </c>
      <c r="FF8" s="20" t="s">
        <v>546</v>
      </c>
      <c r="FG8" s="20" t="s">
        <v>546</v>
      </c>
      <c r="FH8" s="20" t="s">
        <v>546</v>
      </c>
      <c r="FI8" s="20" t="s">
        <v>546</v>
      </c>
      <c r="FJ8" s="20" t="s">
        <v>546</v>
      </c>
      <c r="FK8" s="20" t="s">
        <v>546</v>
      </c>
      <c r="FL8" s="20" t="s">
        <v>546</v>
      </c>
      <c r="FM8" s="20" t="s">
        <v>546</v>
      </c>
      <c r="FN8" s="20" t="s">
        <v>546</v>
      </c>
      <c r="FO8" s="20" t="s">
        <v>546</v>
      </c>
      <c r="FP8" s="20" t="s">
        <v>546</v>
      </c>
      <c r="FQ8" s="20" t="s">
        <v>546</v>
      </c>
      <c r="FR8" s="20" t="s">
        <v>546</v>
      </c>
      <c r="FS8" s="20" t="s">
        <v>546</v>
      </c>
      <c r="FT8" s="20" t="s">
        <v>546</v>
      </c>
      <c r="FU8" s="20" t="s">
        <v>546</v>
      </c>
      <c r="FV8" s="20" t="s">
        <v>546</v>
      </c>
      <c r="FW8" s="20" t="s">
        <v>546</v>
      </c>
      <c r="FX8" s="20" t="s">
        <v>546</v>
      </c>
      <c r="FY8" s="20" t="s">
        <v>546</v>
      </c>
      <c r="FZ8" s="20" t="s">
        <v>546</v>
      </c>
      <c r="GA8" s="20" t="s">
        <v>546</v>
      </c>
      <c r="GB8" s="20" t="s">
        <v>546</v>
      </c>
      <c r="GC8" s="20" t="s">
        <v>546</v>
      </c>
      <c r="GD8" s="20" t="s">
        <v>546</v>
      </c>
      <c r="GE8" s="20" t="s">
        <v>546</v>
      </c>
      <c r="GF8" s="20" t="s">
        <v>546</v>
      </c>
      <c r="GG8" s="20" t="s">
        <v>546</v>
      </c>
      <c r="GH8" s="20" t="s">
        <v>546</v>
      </c>
      <c r="GI8" s="20" t="s">
        <v>546</v>
      </c>
      <c r="GJ8" s="20" t="s">
        <v>546</v>
      </c>
      <c r="GK8" s="20" t="s">
        <v>546</v>
      </c>
      <c r="GL8" s="20" t="s">
        <v>546</v>
      </c>
      <c r="GM8" s="20" t="s">
        <v>546</v>
      </c>
      <c r="GN8" s="20" t="s">
        <v>546</v>
      </c>
      <c r="GO8" s="20" t="s">
        <v>546</v>
      </c>
      <c r="GP8" s="20" t="s">
        <v>546</v>
      </c>
      <c r="GQ8" s="20" t="s">
        <v>546</v>
      </c>
      <c r="GR8" s="20" t="s">
        <v>546</v>
      </c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</row>
    <row r="9" spans="1:249">
      <c r="A9" s="118"/>
      <c r="B9" s="119"/>
      <c r="C9" s="21" t="s">
        <v>733</v>
      </c>
      <c r="D9" s="120" t="s">
        <v>768</v>
      </c>
      <c r="E9" s="121" t="s">
        <v>739</v>
      </c>
      <c r="F9" s="121"/>
      <c r="G9" s="20" t="s">
        <v>546</v>
      </c>
      <c r="H9" s="122" t="s">
        <v>769</v>
      </c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20" t="s">
        <v>546</v>
      </c>
      <c r="T9" s="20" t="s">
        <v>546</v>
      </c>
      <c r="U9" s="117" t="s">
        <v>770</v>
      </c>
      <c r="V9" s="117"/>
      <c r="W9" s="117"/>
      <c r="X9" s="117"/>
      <c r="Y9" s="20" t="s">
        <v>546</v>
      </c>
      <c r="Z9" s="20" t="s">
        <v>546</v>
      </c>
      <c r="AA9" s="20" t="s">
        <v>546</v>
      </c>
      <c r="AB9" s="20" t="s">
        <v>546</v>
      </c>
      <c r="AC9" s="20" t="s">
        <v>546</v>
      </c>
      <c r="AD9" s="20" t="s">
        <v>546</v>
      </c>
      <c r="AE9" s="20" t="s">
        <v>546</v>
      </c>
      <c r="AF9" s="20" t="s">
        <v>546</v>
      </c>
      <c r="AG9" s="20" t="s">
        <v>546</v>
      </c>
      <c r="AH9" s="20" t="s">
        <v>546</v>
      </c>
      <c r="AI9" s="20" t="s">
        <v>546</v>
      </c>
      <c r="AJ9" s="20" t="s">
        <v>546</v>
      </c>
      <c r="AK9" s="20" t="s">
        <v>546</v>
      </c>
      <c r="AL9" s="20" t="s">
        <v>546</v>
      </c>
      <c r="AM9" s="20" t="s">
        <v>546</v>
      </c>
      <c r="AN9" s="20" t="s">
        <v>546</v>
      </c>
      <c r="AO9" s="20" t="s">
        <v>546</v>
      </c>
      <c r="AP9" s="20" t="s">
        <v>546</v>
      </c>
      <c r="AQ9" s="20" t="s">
        <v>546</v>
      </c>
      <c r="AR9" s="20" t="s">
        <v>546</v>
      </c>
      <c r="AS9" s="20" t="s">
        <v>546</v>
      </c>
      <c r="AT9" s="20" t="s">
        <v>546</v>
      </c>
      <c r="AU9" s="20" t="s">
        <v>546</v>
      </c>
      <c r="AV9" s="20" t="s">
        <v>546</v>
      </c>
      <c r="AW9" s="20" t="s">
        <v>546</v>
      </c>
      <c r="AX9" s="20" t="s">
        <v>546</v>
      </c>
      <c r="AY9" s="20" t="s">
        <v>546</v>
      </c>
      <c r="AZ9" s="20" t="s">
        <v>546</v>
      </c>
      <c r="BA9" s="20" t="s">
        <v>546</v>
      </c>
      <c r="BB9" s="20" t="s">
        <v>546</v>
      </c>
      <c r="BC9" s="20" t="s">
        <v>546</v>
      </c>
      <c r="BD9" s="20" t="s">
        <v>546</v>
      </c>
      <c r="BE9" s="20" t="s">
        <v>546</v>
      </c>
      <c r="BF9" s="20" t="s">
        <v>546</v>
      </c>
      <c r="BG9" s="20" t="s">
        <v>546</v>
      </c>
      <c r="BH9" s="122" t="s">
        <v>771</v>
      </c>
      <c r="BI9" s="124"/>
      <c r="BJ9" s="124"/>
      <c r="BK9" s="124"/>
      <c r="BL9" s="124"/>
      <c r="BM9" s="124"/>
      <c r="BN9" s="124"/>
      <c r="BO9" s="124"/>
      <c r="BP9" s="124"/>
      <c r="BQ9" s="124"/>
      <c r="BR9" s="124"/>
      <c r="BS9" s="124"/>
      <c r="BT9" s="124"/>
      <c r="BU9" s="124"/>
      <c r="BV9" s="20" t="s">
        <v>546</v>
      </c>
      <c r="BW9" s="20" t="s">
        <v>546</v>
      </c>
      <c r="BX9" s="20" t="s">
        <v>546</v>
      </c>
      <c r="BY9" s="20" t="s">
        <v>546</v>
      </c>
      <c r="BZ9" s="20" t="s">
        <v>546</v>
      </c>
      <c r="CA9" s="20" t="s">
        <v>546</v>
      </c>
      <c r="CB9" s="20" t="s">
        <v>546</v>
      </c>
      <c r="CC9" s="20" t="s">
        <v>546</v>
      </c>
      <c r="CD9" s="122" t="s">
        <v>772</v>
      </c>
      <c r="CE9" s="122"/>
      <c r="CF9" s="122"/>
      <c r="CG9" s="122"/>
      <c r="CH9" s="122"/>
      <c r="CI9" s="122"/>
      <c r="CJ9" s="122"/>
      <c r="CK9" s="20" t="s">
        <v>546</v>
      </c>
      <c r="CL9" s="20" t="s">
        <v>546</v>
      </c>
      <c r="CM9" s="20" t="s">
        <v>546</v>
      </c>
      <c r="CN9" s="20" t="s">
        <v>546</v>
      </c>
      <c r="CO9" s="20" t="s">
        <v>546</v>
      </c>
      <c r="CP9" s="20" t="s">
        <v>546</v>
      </c>
      <c r="CQ9" s="20" t="s">
        <v>546</v>
      </c>
      <c r="CR9" s="20" t="s">
        <v>546</v>
      </c>
      <c r="CS9" s="20" t="s">
        <v>546</v>
      </c>
      <c r="CT9" s="20" t="s">
        <v>546</v>
      </c>
      <c r="CU9" s="20" t="s">
        <v>546</v>
      </c>
      <c r="CV9" s="20" t="s">
        <v>546</v>
      </c>
      <c r="CW9" s="20" t="s">
        <v>546</v>
      </c>
      <c r="CX9" s="20" t="s">
        <v>546</v>
      </c>
      <c r="CY9" s="20" t="s">
        <v>546</v>
      </c>
      <c r="CZ9" s="20" t="s">
        <v>546</v>
      </c>
      <c r="DA9" s="20" t="s">
        <v>546</v>
      </c>
      <c r="DB9" s="20" t="s">
        <v>546</v>
      </c>
      <c r="DC9" s="20" t="s">
        <v>546</v>
      </c>
      <c r="DD9" s="20" t="s">
        <v>546</v>
      </c>
      <c r="DE9" s="20" t="s">
        <v>546</v>
      </c>
      <c r="DF9" s="20" t="s">
        <v>546</v>
      </c>
      <c r="DG9" s="20" t="s">
        <v>546</v>
      </c>
      <c r="DH9" s="20" t="s">
        <v>546</v>
      </c>
      <c r="DI9" s="20" t="s">
        <v>546</v>
      </c>
      <c r="DJ9" s="20" t="s">
        <v>546</v>
      </c>
      <c r="DK9" s="20" t="s">
        <v>546</v>
      </c>
      <c r="DL9" s="20" t="s">
        <v>546</v>
      </c>
      <c r="DM9" s="20" t="s">
        <v>546</v>
      </c>
      <c r="DN9" s="20" t="s">
        <v>546</v>
      </c>
      <c r="DO9" s="20" t="s">
        <v>546</v>
      </c>
      <c r="DP9" s="20" t="s">
        <v>546</v>
      </c>
      <c r="DQ9" s="20" t="s">
        <v>546</v>
      </c>
      <c r="DR9" s="20" t="s">
        <v>546</v>
      </c>
      <c r="DS9" s="20" t="s">
        <v>546</v>
      </c>
      <c r="DT9" s="20" t="s">
        <v>546</v>
      </c>
      <c r="DU9" s="122" t="s">
        <v>773</v>
      </c>
      <c r="DV9" s="124"/>
      <c r="DW9" s="124"/>
      <c r="DX9" s="124"/>
      <c r="DY9" s="124"/>
      <c r="DZ9" s="124"/>
      <c r="EA9" s="124"/>
      <c r="EB9" s="124"/>
      <c r="EC9" s="124"/>
      <c r="ED9" s="124"/>
      <c r="EE9" s="124"/>
      <c r="EF9" s="124"/>
      <c r="EG9" s="124"/>
      <c r="EH9" s="124"/>
      <c r="EI9" s="20" t="s">
        <v>546</v>
      </c>
      <c r="EJ9" s="20" t="s">
        <v>546</v>
      </c>
      <c r="EK9" s="122" t="s">
        <v>774</v>
      </c>
      <c r="EL9" s="124"/>
      <c r="EM9" s="124"/>
      <c r="EN9" s="124"/>
      <c r="EO9" s="124"/>
      <c r="EP9" s="124"/>
      <c r="EQ9" s="124"/>
      <c r="ER9" s="124"/>
      <c r="ES9" s="124"/>
      <c r="ET9" s="124"/>
      <c r="EU9" s="124"/>
      <c r="EV9" s="124"/>
      <c r="EW9" s="124"/>
      <c r="EX9" s="124"/>
      <c r="EY9" s="20" t="s">
        <v>546</v>
      </c>
      <c r="EZ9" s="20" t="s">
        <v>546</v>
      </c>
      <c r="FA9" s="20" t="s">
        <v>546</v>
      </c>
      <c r="FB9" s="20" t="s">
        <v>546</v>
      </c>
      <c r="FC9" s="20" t="s">
        <v>546</v>
      </c>
      <c r="FD9" s="20" t="s">
        <v>546</v>
      </c>
      <c r="FE9" s="20" t="s">
        <v>546</v>
      </c>
      <c r="FF9" s="20" t="s">
        <v>546</v>
      </c>
      <c r="FG9" s="20" t="s">
        <v>546</v>
      </c>
      <c r="FH9" s="20" t="s">
        <v>546</v>
      </c>
      <c r="FI9" s="20" t="s">
        <v>546</v>
      </c>
      <c r="FJ9" s="20" t="s">
        <v>546</v>
      </c>
      <c r="FK9" s="20" t="s">
        <v>546</v>
      </c>
      <c r="FL9" s="20" t="s">
        <v>546</v>
      </c>
      <c r="FM9" s="20" t="s">
        <v>546</v>
      </c>
      <c r="FN9" s="20" t="s">
        <v>546</v>
      </c>
      <c r="FO9" s="20" t="s">
        <v>546</v>
      </c>
      <c r="FP9" s="20" t="s">
        <v>546</v>
      </c>
      <c r="FQ9" s="122" t="s">
        <v>775</v>
      </c>
      <c r="FR9" s="124"/>
      <c r="FS9" s="124"/>
      <c r="FT9" s="124"/>
      <c r="FU9" s="124"/>
      <c r="FV9" s="124"/>
      <c r="FW9" s="124"/>
      <c r="FX9" s="124"/>
      <c r="FY9" s="124"/>
      <c r="FZ9" s="124"/>
      <c r="GA9" s="124"/>
      <c r="GB9" s="124"/>
      <c r="GC9" s="124"/>
      <c r="GD9" s="124"/>
      <c r="GE9" s="20" t="s">
        <v>546</v>
      </c>
      <c r="GF9" s="20" t="s">
        <v>546</v>
      </c>
      <c r="GG9" s="20" t="s">
        <v>546</v>
      </c>
      <c r="GH9" s="20" t="s">
        <v>546</v>
      </c>
      <c r="GI9" s="20" t="s">
        <v>546</v>
      </c>
      <c r="GJ9" s="20" t="s">
        <v>546</v>
      </c>
      <c r="GK9" s="20" t="s">
        <v>546</v>
      </c>
      <c r="GL9" s="20" t="s">
        <v>546</v>
      </c>
      <c r="GM9" s="20" t="s">
        <v>546</v>
      </c>
      <c r="GN9" s="20" t="s">
        <v>546</v>
      </c>
      <c r="GO9" s="20" t="s">
        <v>546</v>
      </c>
      <c r="GP9" s="20" t="s">
        <v>546</v>
      </c>
      <c r="GQ9" s="20" t="s">
        <v>546</v>
      </c>
      <c r="GR9" s="20" t="s">
        <v>546</v>
      </c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</row>
    <row r="10" spans="1:249">
      <c r="A10" s="118"/>
      <c r="B10" s="119" t="s">
        <v>300</v>
      </c>
      <c r="C10" s="21" t="s">
        <v>735</v>
      </c>
      <c r="D10" s="125">
        <v>0.15</v>
      </c>
      <c r="E10" s="20" t="s">
        <v>546</v>
      </c>
      <c r="F10" s="20" t="s">
        <v>546</v>
      </c>
      <c r="G10" s="20" t="s">
        <v>546</v>
      </c>
      <c r="H10" s="20" t="s">
        <v>546</v>
      </c>
      <c r="I10" s="20" t="s">
        <v>546</v>
      </c>
      <c r="J10" s="20" t="s">
        <v>546</v>
      </c>
      <c r="K10" s="20" t="s">
        <v>546</v>
      </c>
      <c r="L10" s="20" t="s">
        <v>546</v>
      </c>
      <c r="M10" s="20" t="s">
        <v>546</v>
      </c>
      <c r="N10" s="20" t="s">
        <v>546</v>
      </c>
      <c r="O10" s="20" t="s">
        <v>546</v>
      </c>
      <c r="P10" s="20" t="s">
        <v>546</v>
      </c>
      <c r="Q10" s="20" t="s">
        <v>546</v>
      </c>
      <c r="R10" s="20" t="s">
        <v>546</v>
      </c>
      <c r="S10" s="20" t="s">
        <v>546</v>
      </c>
      <c r="T10" s="20" t="s">
        <v>546</v>
      </c>
      <c r="U10" s="20" t="s">
        <v>546</v>
      </c>
      <c r="V10" s="20" t="s">
        <v>546</v>
      </c>
      <c r="W10" s="20" t="s">
        <v>546</v>
      </c>
      <c r="X10" s="20" t="s">
        <v>546</v>
      </c>
      <c r="Y10" s="20" t="s">
        <v>546</v>
      </c>
      <c r="Z10" s="20" t="s">
        <v>546</v>
      </c>
      <c r="AA10" s="20" t="s">
        <v>546</v>
      </c>
      <c r="AB10" s="20" t="s">
        <v>546</v>
      </c>
      <c r="AC10" s="121" t="s">
        <v>776</v>
      </c>
      <c r="AD10" s="121"/>
      <c r="AE10" s="121"/>
      <c r="AF10" s="20" t="s">
        <v>546</v>
      </c>
      <c r="AG10" s="20" t="s">
        <v>546</v>
      </c>
      <c r="AH10" s="20" t="s">
        <v>546</v>
      </c>
      <c r="AI10" s="20" t="s">
        <v>546</v>
      </c>
      <c r="AJ10" s="20" t="s">
        <v>546</v>
      </c>
      <c r="AK10" s="20" t="s">
        <v>546</v>
      </c>
      <c r="AL10" s="20" t="s">
        <v>546</v>
      </c>
      <c r="AM10" s="20" t="s">
        <v>546</v>
      </c>
      <c r="AN10" s="20" t="s">
        <v>546</v>
      </c>
      <c r="AO10" s="20" t="s">
        <v>546</v>
      </c>
      <c r="AP10" s="20" t="s">
        <v>546</v>
      </c>
      <c r="AQ10" s="20" t="s">
        <v>546</v>
      </c>
      <c r="AR10" s="20" t="s">
        <v>546</v>
      </c>
      <c r="AS10" s="20" t="s">
        <v>546</v>
      </c>
      <c r="AT10" s="20" t="s">
        <v>546</v>
      </c>
      <c r="AU10" s="127" t="s">
        <v>777</v>
      </c>
      <c r="AV10" s="127"/>
      <c r="AW10" s="127"/>
      <c r="AX10" s="20" t="s">
        <v>546</v>
      </c>
      <c r="AY10" s="20" t="s">
        <v>546</v>
      </c>
      <c r="AZ10" s="20" t="s">
        <v>546</v>
      </c>
      <c r="BA10" s="20" t="s">
        <v>546</v>
      </c>
      <c r="BB10" s="20" t="s">
        <v>546</v>
      </c>
      <c r="BC10" s="20" t="s">
        <v>546</v>
      </c>
      <c r="BD10" s="20" t="s">
        <v>546</v>
      </c>
      <c r="BE10" s="20" t="s">
        <v>546</v>
      </c>
      <c r="BF10" s="20" t="s">
        <v>546</v>
      </c>
      <c r="BG10" s="20" t="s">
        <v>546</v>
      </c>
      <c r="BH10" s="20" t="s">
        <v>546</v>
      </c>
      <c r="BI10" s="20" t="s">
        <v>546</v>
      </c>
      <c r="BJ10" s="20" t="s">
        <v>546</v>
      </c>
      <c r="BK10" s="20" t="s">
        <v>546</v>
      </c>
      <c r="BL10" s="20" t="s">
        <v>546</v>
      </c>
      <c r="BM10" s="20" t="s">
        <v>546</v>
      </c>
      <c r="BN10" s="20" t="s">
        <v>546</v>
      </c>
      <c r="BO10" s="20" t="s">
        <v>546</v>
      </c>
      <c r="BP10" s="20" t="s">
        <v>546</v>
      </c>
      <c r="BQ10" s="20" t="s">
        <v>546</v>
      </c>
      <c r="BR10" s="20" t="s">
        <v>546</v>
      </c>
      <c r="BS10" s="20" t="s">
        <v>546</v>
      </c>
      <c r="BT10" s="20" t="s">
        <v>546</v>
      </c>
      <c r="BU10" s="20" t="s">
        <v>546</v>
      </c>
      <c r="BV10" s="20" t="s">
        <v>546</v>
      </c>
      <c r="BW10" s="20" t="s">
        <v>546</v>
      </c>
      <c r="BX10" s="20" t="s">
        <v>546</v>
      </c>
      <c r="BY10" s="20" t="s">
        <v>546</v>
      </c>
      <c r="BZ10" s="117" t="s">
        <v>766</v>
      </c>
      <c r="CA10" s="117"/>
      <c r="CB10" s="20" t="s">
        <v>546</v>
      </c>
      <c r="CC10" s="20" t="s">
        <v>546</v>
      </c>
      <c r="CD10" s="20" t="s">
        <v>546</v>
      </c>
      <c r="CE10" s="20" t="s">
        <v>546</v>
      </c>
      <c r="CF10" s="20" t="s">
        <v>546</v>
      </c>
      <c r="CG10" s="20" t="s">
        <v>546</v>
      </c>
      <c r="CH10" s="20" t="s">
        <v>546</v>
      </c>
      <c r="CI10" s="20" t="s">
        <v>546</v>
      </c>
      <c r="CJ10" s="20" t="s">
        <v>546</v>
      </c>
      <c r="CK10" s="117" t="s">
        <v>758</v>
      </c>
      <c r="CL10" s="121"/>
      <c r="CM10" s="121"/>
      <c r="CN10" s="121"/>
      <c r="CO10" s="121"/>
      <c r="CP10" s="20" t="s">
        <v>546</v>
      </c>
      <c r="CQ10" s="20" t="s">
        <v>546</v>
      </c>
      <c r="CR10" s="20" t="s">
        <v>546</v>
      </c>
      <c r="CS10" s="20" t="s">
        <v>546</v>
      </c>
      <c r="CT10" s="20" t="s">
        <v>546</v>
      </c>
      <c r="CU10" s="20" t="s">
        <v>546</v>
      </c>
      <c r="CV10" s="20" t="s">
        <v>546</v>
      </c>
      <c r="CW10" s="20" t="s">
        <v>546</v>
      </c>
      <c r="CX10" s="20" t="s">
        <v>546</v>
      </c>
      <c r="CY10" s="20" t="s">
        <v>546</v>
      </c>
      <c r="CZ10" s="20" t="s">
        <v>546</v>
      </c>
      <c r="DA10" s="20" t="s">
        <v>546</v>
      </c>
      <c r="DB10" s="20" t="s">
        <v>546</v>
      </c>
      <c r="DC10" s="121" t="s">
        <v>758</v>
      </c>
      <c r="DD10" s="121"/>
      <c r="DE10" s="20" t="s">
        <v>546</v>
      </c>
      <c r="DF10" s="20" t="s">
        <v>546</v>
      </c>
      <c r="DG10" s="20" t="s">
        <v>546</v>
      </c>
      <c r="DH10" s="20" t="s">
        <v>546</v>
      </c>
      <c r="DI10" s="20" t="s">
        <v>546</v>
      </c>
      <c r="DJ10" s="20" t="s">
        <v>546</v>
      </c>
      <c r="DK10" s="20" t="s">
        <v>546</v>
      </c>
      <c r="DL10" s="20" t="s">
        <v>546</v>
      </c>
      <c r="DM10" s="20" t="s">
        <v>546</v>
      </c>
      <c r="DN10" s="20" t="s">
        <v>546</v>
      </c>
      <c r="DO10" s="20" t="s">
        <v>546</v>
      </c>
      <c r="DP10" s="20" t="s">
        <v>546</v>
      </c>
      <c r="DQ10" s="20" t="s">
        <v>546</v>
      </c>
      <c r="DR10" s="20" t="s">
        <v>546</v>
      </c>
      <c r="DS10" s="20" t="s">
        <v>546</v>
      </c>
      <c r="DT10" s="20" t="s">
        <v>546</v>
      </c>
      <c r="DU10" s="20" t="s">
        <v>546</v>
      </c>
      <c r="DV10" s="20" t="s">
        <v>546</v>
      </c>
      <c r="DW10" s="20" t="s">
        <v>546</v>
      </c>
      <c r="DX10" s="20" t="s">
        <v>546</v>
      </c>
      <c r="DY10" s="20" t="s">
        <v>546</v>
      </c>
      <c r="DZ10" s="20" t="s">
        <v>546</v>
      </c>
      <c r="EA10" s="20" t="s">
        <v>546</v>
      </c>
      <c r="EB10" s="20" t="s">
        <v>546</v>
      </c>
      <c r="EC10" s="20" t="s">
        <v>546</v>
      </c>
      <c r="ED10" s="20" t="s">
        <v>546</v>
      </c>
      <c r="EE10" s="20" t="s">
        <v>546</v>
      </c>
      <c r="EF10" s="20" t="s">
        <v>546</v>
      </c>
      <c r="EG10" s="20" t="s">
        <v>546</v>
      </c>
      <c r="EH10" s="20" t="s">
        <v>546</v>
      </c>
      <c r="EI10" s="20" t="s">
        <v>546</v>
      </c>
      <c r="EJ10" s="20" t="s">
        <v>546</v>
      </c>
      <c r="EK10" s="20" t="s">
        <v>546</v>
      </c>
      <c r="EL10" s="20" t="s">
        <v>546</v>
      </c>
      <c r="EM10" s="20" t="s">
        <v>546</v>
      </c>
      <c r="EN10" s="20" t="s">
        <v>546</v>
      </c>
      <c r="EO10" s="20" t="s">
        <v>546</v>
      </c>
      <c r="EP10" s="117" t="s">
        <v>766</v>
      </c>
      <c r="EQ10" s="20" t="s">
        <v>546</v>
      </c>
      <c r="ER10" s="20" t="s">
        <v>546</v>
      </c>
      <c r="ES10" s="20" t="s">
        <v>546</v>
      </c>
      <c r="ET10" s="20" t="s">
        <v>546</v>
      </c>
      <c r="EU10" s="20" t="s">
        <v>546</v>
      </c>
      <c r="EV10" s="20" t="s">
        <v>546</v>
      </c>
      <c r="EW10" s="20" t="s">
        <v>546</v>
      </c>
      <c r="EX10" s="20" t="s">
        <v>546</v>
      </c>
      <c r="EY10" s="20" t="s">
        <v>546</v>
      </c>
      <c r="EZ10" s="20" t="s">
        <v>546</v>
      </c>
      <c r="FA10" s="20" t="s">
        <v>546</v>
      </c>
      <c r="FB10" s="20" t="s">
        <v>546</v>
      </c>
      <c r="FC10" s="20" t="s">
        <v>546</v>
      </c>
      <c r="FD10" s="20" t="s">
        <v>546</v>
      </c>
      <c r="FE10" s="20" t="s">
        <v>546</v>
      </c>
      <c r="FF10" s="20" t="s">
        <v>546</v>
      </c>
      <c r="FG10" s="20" t="s">
        <v>546</v>
      </c>
      <c r="FH10" s="20" t="s">
        <v>546</v>
      </c>
      <c r="FI10" s="20" t="s">
        <v>546</v>
      </c>
      <c r="FJ10" s="20" t="s">
        <v>546</v>
      </c>
      <c r="FK10" s="20" t="s">
        <v>546</v>
      </c>
      <c r="FL10" s="20" t="s">
        <v>546</v>
      </c>
      <c r="FM10" s="20" t="s">
        <v>546</v>
      </c>
      <c r="FN10" s="20" t="s">
        <v>546</v>
      </c>
      <c r="FO10" s="20" t="s">
        <v>546</v>
      </c>
      <c r="FP10" s="20" t="s">
        <v>546</v>
      </c>
      <c r="FQ10" s="20" t="s">
        <v>546</v>
      </c>
      <c r="FR10" s="20" t="s">
        <v>546</v>
      </c>
      <c r="FS10" s="20" t="s">
        <v>546</v>
      </c>
      <c r="FT10" s="20" t="s">
        <v>546</v>
      </c>
      <c r="FU10" s="20" t="s">
        <v>546</v>
      </c>
      <c r="FV10" s="20" t="s">
        <v>546</v>
      </c>
      <c r="FW10" s="20" t="s">
        <v>546</v>
      </c>
      <c r="FX10" s="20" t="s">
        <v>546</v>
      </c>
      <c r="FY10" s="20" t="s">
        <v>546</v>
      </c>
      <c r="FZ10" s="20" t="s">
        <v>546</v>
      </c>
      <c r="GA10" s="20" t="s">
        <v>546</v>
      </c>
      <c r="GB10" s="20" t="s">
        <v>546</v>
      </c>
      <c r="GC10" s="20" t="s">
        <v>546</v>
      </c>
      <c r="GD10" s="20" t="s">
        <v>546</v>
      </c>
      <c r="GE10" s="20" t="s">
        <v>546</v>
      </c>
      <c r="GF10" s="20" t="s">
        <v>546</v>
      </c>
      <c r="GG10" s="20" t="s">
        <v>546</v>
      </c>
      <c r="GH10" s="20" t="s">
        <v>546</v>
      </c>
      <c r="GI10" s="20" t="s">
        <v>546</v>
      </c>
      <c r="GJ10" s="20" t="s">
        <v>546</v>
      </c>
      <c r="GK10" s="20" t="s">
        <v>546</v>
      </c>
      <c r="GL10" s="20" t="s">
        <v>546</v>
      </c>
      <c r="GM10" s="20" t="s">
        <v>546</v>
      </c>
      <c r="GN10" s="20" t="s">
        <v>546</v>
      </c>
      <c r="GO10" s="20" t="s">
        <v>546</v>
      </c>
      <c r="GP10" s="20" t="s">
        <v>546</v>
      </c>
      <c r="GQ10" s="20" t="s">
        <v>546</v>
      </c>
      <c r="GR10" s="20" t="s">
        <v>546</v>
      </c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</row>
    <row r="11" spans="1:249">
      <c r="A11" s="128"/>
      <c r="B11" s="129"/>
      <c r="C11" s="130" t="s">
        <v>733</v>
      </c>
      <c r="D11" s="120" t="s">
        <v>778</v>
      </c>
      <c r="E11" s="20" t="s">
        <v>546</v>
      </c>
      <c r="F11" s="20" t="s">
        <v>546</v>
      </c>
      <c r="G11" s="20" t="s">
        <v>546</v>
      </c>
      <c r="H11" s="122" t="s">
        <v>779</v>
      </c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20" t="s">
        <v>546</v>
      </c>
      <c r="U11" s="20" t="s">
        <v>546</v>
      </c>
      <c r="V11" s="20" t="s">
        <v>546</v>
      </c>
      <c r="W11" s="20" t="s">
        <v>546</v>
      </c>
      <c r="X11" s="20" t="s">
        <v>546</v>
      </c>
      <c r="Y11" s="20" t="s">
        <v>546</v>
      </c>
      <c r="Z11" s="20" t="s">
        <v>546</v>
      </c>
      <c r="AA11" s="20" t="s">
        <v>546</v>
      </c>
      <c r="AB11" s="20" t="s">
        <v>546</v>
      </c>
      <c r="AC11" s="20" t="s">
        <v>546</v>
      </c>
      <c r="AD11" s="20" t="s">
        <v>546</v>
      </c>
      <c r="AE11" s="20" t="s">
        <v>546</v>
      </c>
      <c r="AF11" s="117" t="s">
        <v>780</v>
      </c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20" t="s">
        <v>546</v>
      </c>
      <c r="AU11" s="20" t="s">
        <v>546</v>
      </c>
      <c r="AV11" s="20" t="s">
        <v>546</v>
      </c>
      <c r="AW11" s="20" t="s">
        <v>546</v>
      </c>
      <c r="AX11" s="20" t="s">
        <v>546</v>
      </c>
      <c r="AY11" s="20" t="s">
        <v>546</v>
      </c>
      <c r="AZ11" s="20" t="s">
        <v>546</v>
      </c>
      <c r="BA11" s="20" t="s">
        <v>546</v>
      </c>
      <c r="BB11" s="20" t="s">
        <v>546</v>
      </c>
      <c r="BC11" s="20" t="s">
        <v>546</v>
      </c>
      <c r="BD11" s="20" t="s">
        <v>546</v>
      </c>
      <c r="BE11" s="20" t="s">
        <v>546</v>
      </c>
      <c r="BF11" s="20" t="s">
        <v>546</v>
      </c>
      <c r="BG11" s="20" t="s">
        <v>546</v>
      </c>
      <c r="BH11" s="20" t="s">
        <v>546</v>
      </c>
      <c r="BI11" s="20" t="s">
        <v>546</v>
      </c>
      <c r="BJ11" s="20" t="s">
        <v>546</v>
      </c>
      <c r="BK11" s="122" t="s">
        <v>781</v>
      </c>
      <c r="BL11" s="124"/>
      <c r="BM11" s="124"/>
      <c r="BN11" s="124"/>
      <c r="BO11" s="124"/>
      <c r="BP11" s="124"/>
      <c r="BQ11" s="124"/>
      <c r="BR11" s="124"/>
      <c r="BS11" s="124"/>
      <c r="BT11" s="124"/>
      <c r="BU11" s="124"/>
      <c r="BV11" s="124"/>
      <c r="BW11" s="124"/>
      <c r="BX11" s="124"/>
      <c r="BY11" s="124"/>
      <c r="BZ11" s="20" t="s">
        <v>546</v>
      </c>
      <c r="CA11" s="20" t="s">
        <v>546</v>
      </c>
      <c r="CB11" s="20" t="s">
        <v>546</v>
      </c>
      <c r="CC11" s="20" t="s">
        <v>546</v>
      </c>
      <c r="CD11" s="20" t="s">
        <v>546</v>
      </c>
      <c r="CE11" s="20" t="s">
        <v>546</v>
      </c>
      <c r="CF11" s="20" t="s">
        <v>546</v>
      </c>
      <c r="CG11" s="20" t="s">
        <v>546</v>
      </c>
      <c r="CH11" s="20" t="s">
        <v>546</v>
      </c>
      <c r="CI11" s="20" t="s">
        <v>546</v>
      </c>
      <c r="CJ11" s="20" t="s">
        <v>546</v>
      </c>
      <c r="CK11" s="20" t="s">
        <v>546</v>
      </c>
      <c r="CL11" s="20" t="s">
        <v>546</v>
      </c>
      <c r="CM11" s="20" t="s">
        <v>546</v>
      </c>
      <c r="CN11" s="20" t="s">
        <v>546</v>
      </c>
      <c r="CO11" s="20" t="s">
        <v>546</v>
      </c>
      <c r="CP11" s="122" t="s">
        <v>782</v>
      </c>
      <c r="CQ11" s="124"/>
      <c r="CR11" s="124"/>
      <c r="CS11" s="124"/>
      <c r="CT11" s="124"/>
      <c r="CU11" s="124"/>
      <c r="CV11" s="124"/>
      <c r="CW11" s="124"/>
      <c r="CX11" s="124"/>
      <c r="CY11" s="124"/>
      <c r="CZ11" s="124"/>
      <c r="DA11" s="124"/>
      <c r="DB11" s="20" t="s">
        <v>546</v>
      </c>
      <c r="DC11" s="20" t="s">
        <v>546</v>
      </c>
      <c r="DD11" s="20" t="s">
        <v>546</v>
      </c>
      <c r="DE11" s="124" t="s">
        <v>783</v>
      </c>
      <c r="DF11" s="124"/>
      <c r="DG11" s="124"/>
      <c r="DH11" s="124"/>
      <c r="DI11" s="124"/>
      <c r="DJ11" s="124"/>
      <c r="DK11" s="124"/>
      <c r="DL11" s="124"/>
      <c r="DM11" s="124"/>
      <c r="DN11" s="124"/>
      <c r="DO11" s="124"/>
      <c r="DP11" s="124"/>
      <c r="DQ11" s="124"/>
      <c r="DR11" s="124"/>
      <c r="DS11" s="20" t="s">
        <v>546</v>
      </c>
      <c r="DT11" s="20" t="s">
        <v>546</v>
      </c>
      <c r="DU11" s="20" t="s">
        <v>546</v>
      </c>
      <c r="DV11" s="20" t="s">
        <v>546</v>
      </c>
      <c r="DW11" s="20" t="s">
        <v>546</v>
      </c>
      <c r="DX11" s="20" t="s">
        <v>546</v>
      </c>
      <c r="DY11" s="20" t="s">
        <v>546</v>
      </c>
      <c r="DZ11" s="20" t="s">
        <v>546</v>
      </c>
      <c r="EA11" s="20" t="s">
        <v>546</v>
      </c>
      <c r="EB11" s="20" t="s">
        <v>546</v>
      </c>
      <c r="EC11" s="20" t="s">
        <v>546</v>
      </c>
      <c r="ED11" s="20" t="s">
        <v>546</v>
      </c>
      <c r="EE11" s="20" t="s">
        <v>546</v>
      </c>
      <c r="EF11" s="20" t="s">
        <v>546</v>
      </c>
      <c r="EG11" s="20" t="s">
        <v>546</v>
      </c>
      <c r="EH11" s="20" t="s">
        <v>546</v>
      </c>
      <c r="EI11" s="20" t="s">
        <v>546</v>
      </c>
      <c r="EJ11" s="20" t="s">
        <v>546</v>
      </c>
      <c r="EK11" s="20" t="s">
        <v>546</v>
      </c>
      <c r="EL11" s="20" t="s">
        <v>546</v>
      </c>
      <c r="EM11" s="20" t="s">
        <v>546</v>
      </c>
      <c r="EN11" s="20" t="s">
        <v>546</v>
      </c>
      <c r="EO11" s="20" t="s">
        <v>546</v>
      </c>
      <c r="EP11" s="20" t="s">
        <v>546</v>
      </c>
      <c r="EQ11" s="20" t="s">
        <v>546</v>
      </c>
      <c r="ER11" s="20" t="s">
        <v>546</v>
      </c>
      <c r="ES11" s="20" t="s">
        <v>546</v>
      </c>
      <c r="ET11" s="20" t="s">
        <v>546</v>
      </c>
      <c r="EU11" s="20" t="s">
        <v>546</v>
      </c>
      <c r="EV11" s="20" t="s">
        <v>546</v>
      </c>
      <c r="EW11" s="20" t="s">
        <v>546</v>
      </c>
      <c r="EX11" s="20" t="s">
        <v>546</v>
      </c>
      <c r="EY11" s="20" t="s">
        <v>546</v>
      </c>
      <c r="EZ11" s="20" t="s">
        <v>546</v>
      </c>
      <c r="FA11" s="20" t="s">
        <v>546</v>
      </c>
      <c r="FB11" s="20" t="s">
        <v>546</v>
      </c>
      <c r="FC11" s="20" t="s">
        <v>546</v>
      </c>
      <c r="FD11" s="20" t="s">
        <v>546</v>
      </c>
      <c r="FE11" s="20" t="s">
        <v>546</v>
      </c>
      <c r="FF11" s="20" t="s">
        <v>546</v>
      </c>
      <c r="FG11" s="20" t="s">
        <v>546</v>
      </c>
      <c r="FH11" s="20" t="s">
        <v>546</v>
      </c>
      <c r="FI11" s="20" t="s">
        <v>546</v>
      </c>
      <c r="FJ11" s="20" t="s">
        <v>546</v>
      </c>
      <c r="FK11" s="122" t="s">
        <v>784</v>
      </c>
      <c r="FL11" s="122"/>
      <c r="FM11" s="122"/>
      <c r="FN11" s="122"/>
      <c r="FO11" s="122"/>
      <c r="FP11" s="122"/>
      <c r="FQ11" s="122"/>
      <c r="FR11" s="122"/>
      <c r="FS11" s="122"/>
      <c r="FT11" s="122"/>
      <c r="FU11" s="122"/>
      <c r="FV11" s="122"/>
      <c r="FW11" s="20" t="s">
        <v>546</v>
      </c>
      <c r="FX11" s="20" t="s">
        <v>546</v>
      </c>
      <c r="FY11" s="122" t="s">
        <v>785</v>
      </c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20"/>
      <c r="GL11" s="20"/>
      <c r="GM11" s="20" t="s">
        <v>546</v>
      </c>
      <c r="GN11" s="20" t="s">
        <v>546</v>
      </c>
      <c r="GO11" s="20" t="s">
        <v>546</v>
      </c>
      <c r="GP11" s="20" t="s">
        <v>546</v>
      </c>
      <c r="GQ11" s="20" t="s">
        <v>546</v>
      </c>
      <c r="GR11" s="20" t="s">
        <v>546</v>
      </c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</row>
    <row r="12" spans="1:249">
      <c r="A12" s="113" t="s">
        <v>786</v>
      </c>
      <c r="B12" s="114" t="s">
        <v>277</v>
      </c>
      <c r="C12" s="115" t="s">
        <v>735</v>
      </c>
      <c r="D12" s="116">
        <v>0.15</v>
      </c>
      <c r="E12" s="20"/>
      <c r="F12" s="20"/>
      <c r="G12" s="20"/>
      <c r="H12" s="20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20"/>
      <c r="V12" s="20"/>
      <c r="W12" s="20"/>
      <c r="X12" s="20"/>
      <c r="Y12" s="20"/>
      <c r="Z12" s="20"/>
      <c r="AA12" s="20"/>
      <c r="AB12" s="124"/>
      <c r="AC12" s="124"/>
      <c r="AD12" s="124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 t="s">
        <v>546</v>
      </c>
      <c r="BC12" s="20" t="s">
        <v>546</v>
      </c>
      <c r="BD12" s="20" t="s">
        <v>546</v>
      </c>
      <c r="BE12" s="20" t="s">
        <v>546</v>
      </c>
      <c r="BF12" s="20" t="s">
        <v>546</v>
      </c>
      <c r="BG12" s="20" t="s">
        <v>546</v>
      </c>
      <c r="BH12" s="20" t="s">
        <v>546</v>
      </c>
      <c r="BI12" s="20" t="s">
        <v>546</v>
      </c>
      <c r="BJ12" s="20" t="s">
        <v>546</v>
      </c>
      <c r="BK12" s="20" t="s">
        <v>546</v>
      </c>
      <c r="BL12" s="20" t="s">
        <v>546</v>
      </c>
      <c r="BM12" s="117" t="s">
        <v>787</v>
      </c>
      <c r="BN12" s="121"/>
      <c r="BO12" s="121"/>
      <c r="BP12" s="20" t="s">
        <v>546</v>
      </c>
      <c r="BQ12" s="20" t="s">
        <v>546</v>
      </c>
      <c r="BR12" s="20" t="s">
        <v>546</v>
      </c>
      <c r="BS12" s="20" t="s">
        <v>546</v>
      </c>
      <c r="BT12" s="20" t="s">
        <v>546</v>
      </c>
      <c r="BU12" s="20" t="s">
        <v>546</v>
      </c>
      <c r="BV12" s="20" t="s">
        <v>546</v>
      </c>
      <c r="BW12" s="20" t="s">
        <v>546</v>
      </c>
      <c r="BX12" s="20" t="s">
        <v>546</v>
      </c>
      <c r="BY12" s="20" t="s">
        <v>546</v>
      </c>
      <c r="BZ12" s="20" t="s">
        <v>546</v>
      </c>
      <c r="CA12" s="20" t="s">
        <v>546</v>
      </c>
      <c r="CB12" s="20" t="s">
        <v>546</v>
      </c>
      <c r="CC12" s="20" t="s">
        <v>546</v>
      </c>
      <c r="CD12" s="20" t="s">
        <v>546</v>
      </c>
      <c r="CE12" s="20" t="s">
        <v>546</v>
      </c>
      <c r="CF12" s="20" t="s">
        <v>546</v>
      </c>
      <c r="CG12" s="20" t="s">
        <v>546</v>
      </c>
      <c r="CH12" s="20" t="s">
        <v>546</v>
      </c>
      <c r="CI12" s="20" t="s">
        <v>546</v>
      </c>
      <c r="CJ12" s="20" t="s">
        <v>546</v>
      </c>
      <c r="CK12" s="20" t="s">
        <v>546</v>
      </c>
      <c r="CL12" s="20" t="s">
        <v>546</v>
      </c>
      <c r="CM12" s="117" t="s">
        <v>758</v>
      </c>
      <c r="CN12" s="121"/>
      <c r="CO12" s="121"/>
      <c r="CP12" s="121"/>
      <c r="CQ12" s="121"/>
      <c r="CR12" s="121"/>
      <c r="CS12" s="121"/>
      <c r="CT12" s="121"/>
      <c r="CU12" s="121"/>
      <c r="CV12" s="121"/>
      <c r="CW12" s="121"/>
      <c r="CX12" s="121"/>
      <c r="CY12" s="121"/>
      <c r="CZ12" s="121"/>
      <c r="DA12" s="121"/>
      <c r="DB12" s="20" t="s">
        <v>546</v>
      </c>
      <c r="DC12" s="20" t="s">
        <v>546</v>
      </c>
      <c r="DD12" s="20" t="s">
        <v>546</v>
      </c>
      <c r="DE12" s="20" t="s">
        <v>546</v>
      </c>
      <c r="DF12" s="20" t="s">
        <v>546</v>
      </c>
      <c r="DG12" s="20" t="s">
        <v>546</v>
      </c>
      <c r="DH12" s="20" t="s">
        <v>546</v>
      </c>
      <c r="DI12" s="20" t="s">
        <v>546</v>
      </c>
      <c r="DJ12" s="20" t="s">
        <v>546</v>
      </c>
      <c r="DK12" s="20" t="s">
        <v>546</v>
      </c>
      <c r="DL12" s="20" t="s">
        <v>546</v>
      </c>
      <c r="DM12" s="20" t="s">
        <v>546</v>
      </c>
      <c r="DN12" s="20" t="s">
        <v>546</v>
      </c>
      <c r="DO12" s="20" t="s">
        <v>546</v>
      </c>
      <c r="DP12" s="20" t="s">
        <v>546</v>
      </c>
      <c r="DQ12" s="20" t="s">
        <v>546</v>
      </c>
      <c r="DR12" s="20" t="s">
        <v>546</v>
      </c>
      <c r="DS12" s="20" t="s">
        <v>546</v>
      </c>
      <c r="DT12" s="20" t="s">
        <v>546</v>
      </c>
      <c r="DU12" s="20" t="s">
        <v>546</v>
      </c>
      <c r="DV12" s="20" t="s">
        <v>546</v>
      </c>
      <c r="DW12" s="20" t="s">
        <v>546</v>
      </c>
      <c r="DX12" s="20" t="s">
        <v>546</v>
      </c>
      <c r="DY12" s="20" t="s">
        <v>546</v>
      </c>
      <c r="DZ12" s="20" t="s">
        <v>546</v>
      </c>
      <c r="EA12" s="20" t="s">
        <v>546</v>
      </c>
      <c r="EB12" s="20" t="s">
        <v>546</v>
      </c>
      <c r="EC12" s="20" t="s">
        <v>546</v>
      </c>
      <c r="ED12" s="20" t="s">
        <v>546</v>
      </c>
      <c r="EE12" s="20" t="s">
        <v>546</v>
      </c>
      <c r="EF12" s="20" t="s">
        <v>546</v>
      </c>
      <c r="EG12" s="20" t="s">
        <v>546</v>
      </c>
      <c r="EH12" s="20" t="s">
        <v>546</v>
      </c>
      <c r="EI12" s="20" t="s">
        <v>546</v>
      </c>
      <c r="EJ12" s="20" t="s">
        <v>546</v>
      </c>
      <c r="EK12" s="20" t="s">
        <v>546</v>
      </c>
      <c r="EL12" s="20" t="s">
        <v>546</v>
      </c>
      <c r="EM12" s="20" t="s">
        <v>546</v>
      </c>
      <c r="EN12" s="20" t="s">
        <v>546</v>
      </c>
      <c r="EO12" s="20" t="s">
        <v>546</v>
      </c>
      <c r="EP12" s="20" t="s">
        <v>546</v>
      </c>
      <c r="EQ12" s="20" t="s">
        <v>546</v>
      </c>
      <c r="ER12" s="20" t="s">
        <v>546</v>
      </c>
      <c r="ES12" s="20" t="s">
        <v>546</v>
      </c>
      <c r="ET12" s="20" t="s">
        <v>546</v>
      </c>
      <c r="EU12" s="20" t="s">
        <v>546</v>
      </c>
      <c r="EV12" s="20" t="s">
        <v>546</v>
      </c>
      <c r="EW12" s="117" t="s">
        <v>737</v>
      </c>
      <c r="EX12" s="121"/>
      <c r="EY12" s="121"/>
      <c r="EZ12" s="121"/>
      <c r="FA12" s="20" t="s">
        <v>546</v>
      </c>
      <c r="FB12" s="20" t="s">
        <v>546</v>
      </c>
      <c r="FC12" s="20" t="s">
        <v>546</v>
      </c>
      <c r="FD12" s="20" t="s">
        <v>546</v>
      </c>
      <c r="FE12" s="20" t="s">
        <v>546</v>
      </c>
      <c r="FF12" s="20" t="s">
        <v>546</v>
      </c>
      <c r="FG12" s="20" t="s">
        <v>546</v>
      </c>
      <c r="FH12" s="20" t="s">
        <v>546</v>
      </c>
      <c r="FI12" s="20" t="s">
        <v>546</v>
      </c>
      <c r="FJ12" s="20" t="s">
        <v>546</v>
      </c>
      <c r="FK12" s="20" t="s">
        <v>546</v>
      </c>
      <c r="FL12" s="20" t="s">
        <v>546</v>
      </c>
      <c r="FM12" s="20" t="s">
        <v>546</v>
      </c>
      <c r="FN12" s="20" t="s">
        <v>546</v>
      </c>
      <c r="FO12" s="20" t="s">
        <v>546</v>
      </c>
      <c r="FP12" s="20" t="s">
        <v>546</v>
      </c>
      <c r="FQ12" s="20" t="s">
        <v>546</v>
      </c>
      <c r="FR12" s="20" t="s">
        <v>546</v>
      </c>
      <c r="FS12" s="20" t="s">
        <v>546</v>
      </c>
      <c r="FT12" s="20" t="s">
        <v>546</v>
      </c>
      <c r="FU12" s="20" t="s">
        <v>546</v>
      </c>
      <c r="FV12" s="20" t="s">
        <v>546</v>
      </c>
      <c r="FW12" s="20" t="s">
        <v>546</v>
      </c>
      <c r="FX12" s="20" t="s">
        <v>546</v>
      </c>
      <c r="FY12" s="20" t="s">
        <v>546</v>
      </c>
      <c r="FZ12" s="20" t="s">
        <v>546</v>
      </c>
      <c r="GA12" s="20" t="s">
        <v>546</v>
      </c>
      <c r="GB12" s="20" t="s">
        <v>546</v>
      </c>
      <c r="GC12" s="20" t="s">
        <v>546</v>
      </c>
      <c r="GD12" s="20" t="s">
        <v>546</v>
      </c>
      <c r="GE12" s="20" t="s">
        <v>546</v>
      </c>
      <c r="GF12" s="20" t="s">
        <v>546</v>
      </c>
      <c r="GG12" s="20" t="s">
        <v>546</v>
      </c>
      <c r="GH12" s="20" t="s">
        <v>546</v>
      </c>
      <c r="GI12" s="20" t="s">
        <v>546</v>
      </c>
      <c r="GJ12" s="20" t="s">
        <v>546</v>
      </c>
      <c r="GK12" s="20" t="s">
        <v>546</v>
      </c>
      <c r="GL12" s="20" t="s">
        <v>546</v>
      </c>
      <c r="GM12" s="20" t="s">
        <v>546</v>
      </c>
      <c r="GN12" s="20" t="s">
        <v>546</v>
      </c>
      <c r="GO12" s="20" t="s">
        <v>546</v>
      </c>
      <c r="GP12" s="20" t="s">
        <v>546</v>
      </c>
      <c r="GQ12" s="20" t="s">
        <v>546</v>
      </c>
      <c r="GR12" s="20" t="s">
        <v>546</v>
      </c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</row>
    <row r="13" spans="1:249">
      <c r="A13" s="131"/>
      <c r="B13" s="119"/>
      <c r="C13" s="21" t="s">
        <v>733</v>
      </c>
      <c r="D13" s="120" t="s">
        <v>788</v>
      </c>
      <c r="E13" s="20"/>
      <c r="F13" s="20"/>
      <c r="G13" s="20"/>
      <c r="H13" s="20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20"/>
      <c r="V13" s="20"/>
      <c r="W13" s="20"/>
      <c r="X13" s="20"/>
      <c r="Y13" s="20"/>
      <c r="Z13" s="20"/>
      <c r="AA13" s="20"/>
      <c r="AB13" s="124"/>
      <c r="AC13" s="124"/>
      <c r="AD13" s="124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 t="s">
        <v>546</v>
      </c>
      <c r="BC13" s="20" t="s">
        <v>546</v>
      </c>
      <c r="BD13" s="20" t="s">
        <v>546</v>
      </c>
      <c r="BE13" s="20" t="s">
        <v>546</v>
      </c>
      <c r="BF13" s="20" t="s">
        <v>546</v>
      </c>
      <c r="BG13" s="20" t="s">
        <v>546</v>
      </c>
      <c r="BH13" s="20" t="s">
        <v>546</v>
      </c>
      <c r="BI13" s="20" t="s">
        <v>546</v>
      </c>
      <c r="BJ13" s="20" t="s">
        <v>546</v>
      </c>
      <c r="BK13" s="20" t="s">
        <v>546</v>
      </c>
      <c r="BL13" s="20" t="s">
        <v>546</v>
      </c>
      <c r="BM13" s="20" t="s">
        <v>546</v>
      </c>
      <c r="BN13" s="20" t="s">
        <v>546</v>
      </c>
      <c r="BO13" s="20" t="s">
        <v>546</v>
      </c>
      <c r="BP13" s="122" t="s">
        <v>789</v>
      </c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20" t="s">
        <v>546</v>
      </c>
      <c r="CD13" s="20" t="s">
        <v>546</v>
      </c>
      <c r="CE13" s="20" t="s">
        <v>546</v>
      </c>
      <c r="CF13" s="122" t="s">
        <v>790</v>
      </c>
      <c r="CG13" s="122"/>
      <c r="CH13" s="122"/>
      <c r="CI13" s="122"/>
      <c r="CJ13" s="122"/>
      <c r="CK13" s="122"/>
      <c r="CL13" s="122"/>
      <c r="CM13" s="20" t="s">
        <v>546</v>
      </c>
      <c r="CN13" s="20" t="s">
        <v>546</v>
      </c>
      <c r="CO13" s="20" t="s">
        <v>546</v>
      </c>
      <c r="CP13" s="20" t="s">
        <v>546</v>
      </c>
      <c r="CQ13" s="20" t="s">
        <v>546</v>
      </c>
      <c r="CR13" s="20" t="s">
        <v>546</v>
      </c>
      <c r="CS13" s="20" t="s">
        <v>546</v>
      </c>
      <c r="CT13" s="20" t="s">
        <v>546</v>
      </c>
      <c r="CU13" s="20" t="s">
        <v>546</v>
      </c>
      <c r="CV13" s="20" t="s">
        <v>546</v>
      </c>
      <c r="CW13" s="20" t="s">
        <v>546</v>
      </c>
      <c r="CX13" s="20" t="s">
        <v>546</v>
      </c>
      <c r="CY13" s="20" t="s">
        <v>546</v>
      </c>
      <c r="CZ13" s="20" t="s">
        <v>546</v>
      </c>
      <c r="DA13" s="20" t="s">
        <v>546</v>
      </c>
      <c r="DB13" s="20" t="s">
        <v>546</v>
      </c>
      <c r="DC13" s="20" t="s">
        <v>546</v>
      </c>
      <c r="DD13" s="20" t="s">
        <v>546</v>
      </c>
      <c r="DE13" s="20" t="s">
        <v>546</v>
      </c>
      <c r="DF13" s="20" t="s">
        <v>546</v>
      </c>
      <c r="DG13" s="20" t="s">
        <v>546</v>
      </c>
      <c r="DH13" s="20" t="s">
        <v>546</v>
      </c>
      <c r="DI13" s="20" t="s">
        <v>546</v>
      </c>
      <c r="DJ13" s="122" t="s">
        <v>791</v>
      </c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20" t="s">
        <v>546</v>
      </c>
      <c r="DY13" s="20" t="s">
        <v>546</v>
      </c>
      <c r="DZ13" s="20" t="s">
        <v>546</v>
      </c>
      <c r="EA13" s="20" t="s">
        <v>546</v>
      </c>
      <c r="EB13" s="20" t="s">
        <v>546</v>
      </c>
      <c r="EC13" s="20" t="s">
        <v>546</v>
      </c>
      <c r="ED13" s="20" t="s">
        <v>546</v>
      </c>
      <c r="EE13" s="20" t="s">
        <v>546</v>
      </c>
      <c r="EF13" s="20" t="s">
        <v>546</v>
      </c>
      <c r="EG13" s="20" t="s">
        <v>546</v>
      </c>
      <c r="EH13" s="20" t="s">
        <v>546</v>
      </c>
      <c r="EI13" s="122" t="s">
        <v>792</v>
      </c>
      <c r="EJ13" s="124"/>
      <c r="EK13" s="124"/>
      <c r="EL13" s="124"/>
      <c r="EM13" s="124"/>
      <c r="EN13" s="124"/>
      <c r="EO13" s="124"/>
      <c r="EP13" s="124"/>
      <c r="EQ13" s="124"/>
      <c r="ER13" s="124"/>
      <c r="ES13" s="124"/>
      <c r="ET13" s="124"/>
      <c r="EU13" s="124"/>
      <c r="EV13" s="124"/>
      <c r="EW13" s="20" t="s">
        <v>546</v>
      </c>
      <c r="EX13" s="20" t="s">
        <v>546</v>
      </c>
      <c r="EY13" s="20" t="s">
        <v>546</v>
      </c>
      <c r="EZ13" s="20" t="s">
        <v>546</v>
      </c>
      <c r="FA13" s="122" t="s">
        <v>791</v>
      </c>
      <c r="FB13" s="124"/>
      <c r="FC13" s="124"/>
      <c r="FD13" s="124"/>
      <c r="FE13" s="124"/>
      <c r="FF13" s="124"/>
      <c r="FG13" s="124"/>
      <c r="FH13" s="124"/>
      <c r="FI13" s="124"/>
      <c r="FJ13" s="124"/>
      <c r="FK13" s="124"/>
      <c r="FL13" s="124"/>
      <c r="FM13" s="124"/>
      <c r="FN13" s="124"/>
      <c r="FO13" s="20" t="s">
        <v>546</v>
      </c>
      <c r="FP13" s="20" t="s">
        <v>546</v>
      </c>
      <c r="FQ13" s="122" t="s">
        <v>791</v>
      </c>
      <c r="FR13" s="122"/>
      <c r="FS13" s="122"/>
      <c r="FT13" s="122"/>
      <c r="FU13" s="122"/>
      <c r="FV13" s="122"/>
      <c r="FW13" s="122"/>
      <c r="FX13" s="122"/>
      <c r="FY13" s="20" t="s">
        <v>546</v>
      </c>
      <c r="FZ13" s="20" t="s">
        <v>546</v>
      </c>
      <c r="GA13" s="20" t="s">
        <v>546</v>
      </c>
      <c r="GB13" s="20" t="s">
        <v>546</v>
      </c>
      <c r="GC13" s="20" t="s">
        <v>546</v>
      </c>
      <c r="GD13" s="20" t="s">
        <v>546</v>
      </c>
      <c r="GE13" s="20" t="s">
        <v>546</v>
      </c>
      <c r="GF13" s="20" t="s">
        <v>546</v>
      </c>
      <c r="GG13" s="20" t="s">
        <v>546</v>
      </c>
      <c r="GH13" s="20" t="s">
        <v>546</v>
      </c>
      <c r="GI13" s="20" t="s">
        <v>546</v>
      </c>
      <c r="GJ13" s="20" t="s">
        <v>546</v>
      </c>
      <c r="GK13" s="20" t="s">
        <v>546</v>
      </c>
      <c r="GL13" s="20" t="s">
        <v>546</v>
      </c>
      <c r="GM13" s="20" t="s">
        <v>546</v>
      </c>
      <c r="GN13" s="20" t="s">
        <v>546</v>
      </c>
      <c r="GO13" s="20" t="s">
        <v>546</v>
      </c>
      <c r="GP13" s="20" t="s">
        <v>546</v>
      </c>
      <c r="GQ13" s="20" t="s">
        <v>546</v>
      </c>
      <c r="GR13" s="20" t="s">
        <v>546</v>
      </c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</row>
    <row r="14" spans="1:249">
      <c r="A14" s="131"/>
      <c r="B14" s="119" t="s">
        <v>511</v>
      </c>
      <c r="C14" s="21" t="s">
        <v>735</v>
      </c>
      <c r="D14" s="125">
        <v>0.15</v>
      </c>
      <c r="E14" s="20"/>
      <c r="F14" s="20"/>
      <c r="G14" s="20"/>
      <c r="H14" s="20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20"/>
      <c r="V14" s="20"/>
      <c r="W14" s="20"/>
      <c r="X14" s="20"/>
      <c r="Y14" s="20"/>
      <c r="Z14" s="20"/>
      <c r="AA14" s="20"/>
      <c r="AB14" s="124"/>
      <c r="AC14" s="124"/>
      <c r="AD14" s="124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 t="s">
        <v>546</v>
      </c>
      <c r="BC14" s="20" t="s">
        <v>546</v>
      </c>
      <c r="BD14" s="20" t="s">
        <v>546</v>
      </c>
      <c r="BE14" s="20" t="s">
        <v>546</v>
      </c>
      <c r="BF14" s="20" t="s">
        <v>546</v>
      </c>
      <c r="BG14" s="20" t="s">
        <v>546</v>
      </c>
      <c r="BH14" s="20" t="s">
        <v>546</v>
      </c>
      <c r="BI14" s="20" t="s">
        <v>546</v>
      </c>
      <c r="BJ14" s="20" t="s">
        <v>546</v>
      </c>
      <c r="BK14" s="20" t="s">
        <v>546</v>
      </c>
      <c r="BL14" s="20" t="s">
        <v>546</v>
      </c>
      <c r="BM14" s="121" t="s">
        <v>787</v>
      </c>
      <c r="BN14" s="121"/>
      <c r="BO14" s="121"/>
      <c r="BP14" s="20" t="s">
        <v>546</v>
      </c>
      <c r="BQ14" s="20" t="s">
        <v>546</v>
      </c>
      <c r="BR14" s="20" t="s">
        <v>546</v>
      </c>
      <c r="BS14" s="20" t="s">
        <v>546</v>
      </c>
      <c r="BT14" s="20" t="s">
        <v>546</v>
      </c>
      <c r="BU14" s="20" t="s">
        <v>546</v>
      </c>
      <c r="BV14" s="20" t="s">
        <v>546</v>
      </c>
      <c r="BW14" s="20" t="s">
        <v>546</v>
      </c>
      <c r="BX14" s="20" t="s">
        <v>546</v>
      </c>
      <c r="BY14" s="20" t="s">
        <v>546</v>
      </c>
      <c r="BZ14" s="20" t="s">
        <v>546</v>
      </c>
      <c r="CA14" s="20" t="s">
        <v>546</v>
      </c>
      <c r="CB14" s="20" t="s">
        <v>546</v>
      </c>
      <c r="CC14" s="132" t="s">
        <v>766</v>
      </c>
      <c r="CD14" s="132"/>
      <c r="CE14" s="132"/>
      <c r="CF14" s="20" t="s">
        <v>546</v>
      </c>
      <c r="CG14" s="20" t="s">
        <v>546</v>
      </c>
      <c r="CH14" s="20" t="s">
        <v>546</v>
      </c>
      <c r="CI14" s="20" t="s">
        <v>546</v>
      </c>
      <c r="CJ14" s="20" t="s">
        <v>546</v>
      </c>
      <c r="CK14" s="20" t="s">
        <v>546</v>
      </c>
      <c r="CL14" s="20" t="s">
        <v>546</v>
      </c>
      <c r="CM14" s="20" t="s">
        <v>546</v>
      </c>
      <c r="CN14" s="20" t="s">
        <v>546</v>
      </c>
      <c r="CO14" s="20" t="s">
        <v>546</v>
      </c>
      <c r="CP14" s="20" t="s">
        <v>546</v>
      </c>
      <c r="CQ14" s="20" t="s">
        <v>546</v>
      </c>
      <c r="CR14" s="20" t="s">
        <v>546</v>
      </c>
      <c r="CS14" s="20" t="s">
        <v>546</v>
      </c>
      <c r="CT14" s="20" t="s">
        <v>546</v>
      </c>
      <c r="CU14" s="20" t="s">
        <v>546</v>
      </c>
      <c r="CV14" s="20" t="s">
        <v>546</v>
      </c>
      <c r="CW14" s="20" t="s">
        <v>546</v>
      </c>
      <c r="CX14" s="20" t="s">
        <v>546</v>
      </c>
      <c r="CY14" s="20" t="s">
        <v>546</v>
      </c>
      <c r="CZ14" s="20" t="s">
        <v>546</v>
      </c>
      <c r="DA14" s="20" t="s">
        <v>546</v>
      </c>
      <c r="DB14" s="20" t="s">
        <v>546</v>
      </c>
      <c r="DC14" s="20" t="s">
        <v>546</v>
      </c>
      <c r="DD14" s="20" t="s">
        <v>546</v>
      </c>
      <c r="DE14" s="20" t="s">
        <v>546</v>
      </c>
      <c r="DF14" s="20" t="s">
        <v>546</v>
      </c>
      <c r="DG14" s="20" t="s">
        <v>546</v>
      </c>
      <c r="DH14" s="20" t="s">
        <v>546</v>
      </c>
      <c r="DI14" s="20" t="s">
        <v>546</v>
      </c>
      <c r="DJ14" s="20" t="s">
        <v>546</v>
      </c>
      <c r="DK14" s="20" t="s">
        <v>546</v>
      </c>
      <c r="DL14" s="20" t="s">
        <v>546</v>
      </c>
      <c r="DM14" s="20" t="s">
        <v>546</v>
      </c>
      <c r="DN14" s="20" t="s">
        <v>546</v>
      </c>
      <c r="DO14" s="20" t="s">
        <v>546</v>
      </c>
      <c r="DP14" s="20" t="s">
        <v>546</v>
      </c>
      <c r="DQ14" s="20" t="s">
        <v>546</v>
      </c>
      <c r="DR14" s="20" t="s">
        <v>546</v>
      </c>
      <c r="DS14" s="20" t="s">
        <v>546</v>
      </c>
      <c r="DT14" s="20" t="s">
        <v>546</v>
      </c>
      <c r="DU14" s="20" t="s">
        <v>546</v>
      </c>
      <c r="DV14" s="20" t="s">
        <v>546</v>
      </c>
      <c r="DW14" s="20" t="s">
        <v>546</v>
      </c>
      <c r="DX14" s="20" t="s">
        <v>546</v>
      </c>
      <c r="DY14" s="20" t="s">
        <v>546</v>
      </c>
      <c r="DZ14" s="20" t="s">
        <v>546</v>
      </c>
      <c r="EA14" s="20" t="s">
        <v>546</v>
      </c>
      <c r="EB14" s="20" t="s">
        <v>546</v>
      </c>
      <c r="EC14" s="20" t="s">
        <v>546</v>
      </c>
      <c r="ED14" s="20" t="s">
        <v>546</v>
      </c>
      <c r="EE14" s="20" t="s">
        <v>546</v>
      </c>
      <c r="EF14" s="20" t="s">
        <v>546</v>
      </c>
      <c r="EG14" s="20" t="s">
        <v>546</v>
      </c>
      <c r="EH14" s="117" t="s">
        <v>737</v>
      </c>
      <c r="EI14" s="121"/>
      <c r="EJ14" s="121"/>
      <c r="EK14" s="121"/>
      <c r="EL14" s="121"/>
      <c r="EM14" s="121"/>
      <c r="EN14" s="121"/>
      <c r="EO14" s="121"/>
      <c r="EP14" s="121"/>
      <c r="EQ14" s="121"/>
      <c r="ER14" s="121"/>
      <c r="ES14" s="121"/>
      <c r="ET14" s="121"/>
      <c r="EU14" s="121"/>
      <c r="EV14" s="121" t="s">
        <v>737</v>
      </c>
      <c r="EW14" s="121"/>
      <c r="EX14" s="121"/>
      <c r="EY14" s="121"/>
      <c r="EZ14" s="121"/>
      <c r="FA14" s="121"/>
      <c r="FB14" s="121"/>
      <c r="FC14" s="126" t="s">
        <v>793</v>
      </c>
      <c r="FD14" s="126"/>
      <c r="FE14" s="20" t="s">
        <v>546</v>
      </c>
      <c r="FF14" s="20" t="s">
        <v>546</v>
      </c>
      <c r="FG14" s="20" t="s">
        <v>546</v>
      </c>
      <c r="FH14" s="20" t="s">
        <v>546</v>
      </c>
      <c r="FI14" s="20" t="s">
        <v>546</v>
      </c>
      <c r="FJ14" s="20" t="s">
        <v>546</v>
      </c>
      <c r="FK14" s="20" t="s">
        <v>546</v>
      </c>
      <c r="FL14" s="20" t="s">
        <v>546</v>
      </c>
      <c r="FM14" s="20" t="s">
        <v>546</v>
      </c>
      <c r="FN14" s="20" t="s">
        <v>546</v>
      </c>
      <c r="FO14" s="20" t="s">
        <v>546</v>
      </c>
      <c r="FP14" s="20" t="s">
        <v>546</v>
      </c>
      <c r="FQ14" s="20" t="s">
        <v>546</v>
      </c>
      <c r="FR14" s="20" t="s">
        <v>546</v>
      </c>
      <c r="FS14" s="20" t="s">
        <v>546</v>
      </c>
      <c r="FT14" s="20" t="s">
        <v>546</v>
      </c>
      <c r="FU14" s="20" t="s">
        <v>546</v>
      </c>
      <c r="FV14" s="20" t="s">
        <v>546</v>
      </c>
      <c r="FW14" s="20" t="s">
        <v>546</v>
      </c>
      <c r="FX14" s="20" t="s">
        <v>546</v>
      </c>
      <c r="FY14" s="20" t="s">
        <v>546</v>
      </c>
      <c r="FZ14" s="20" t="s">
        <v>546</v>
      </c>
      <c r="GA14" s="20" t="s">
        <v>546</v>
      </c>
      <c r="GB14" s="20" t="s">
        <v>546</v>
      </c>
      <c r="GC14" s="20" t="s">
        <v>546</v>
      </c>
      <c r="GD14" s="20" t="s">
        <v>546</v>
      </c>
      <c r="GE14" s="20" t="s">
        <v>546</v>
      </c>
      <c r="GF14" s="20" t="s">
        <v>546</v>
      </c>
      <c r="GG14" s="20" t="s">
        <v>546</v>
      </c>
      <c r="GH14" s="20" t="s">
        <v>546</v>
      </c>
      <c r="GI14" s="20" t="s">
        <v>546</v>
      </c>
      <c r="GJ14" s="20" t="s">
        <v>546</v>
      </c>
      <c r="GK14" s="20" t="s">
        <v>546</v>
      </c>
      <c r="GL14" s="20" t="s">
        <v>546</v>
      </c>
      <c r="GM14" s="20" t="s">
        <v>546</v>
      </c>
      <c r="GN14" s="20" t="s">
        <v>546</v>
      </c>
      <c r="GO14" s="20" t="s">
        <v>546</v>
      </c>
      <c r="GP14" s="20" t="s">
        <v>546</v>
      </c>
      <c r="GQ14" s="20" t="s">
        <v>546</v>
      </c>
      <c r="GR14" s="20" t="s">
        <v>546</v>
      </c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</row>
    <row r="15" spans="1:249">
      <c r="A15" s="131"/>
      <c r="B15" s="119"/>
      <c r="C15" s="21" t="s">
        <v>733</v>
      </c>
      <c r="D15" s="120" t="s">
        <v>794</v>
      </c>
      <c r="E15" s="20"/>
      <c r="F15" s="20"/>
      <c r="G15" s="20"/>
      <c r="H15" s="20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20"/>
      <c r="V15" s="20"/>
      <c r="W15" s="20"/>
      <c r="X15" s="20"/>
      <c r="Y15" s="20"/>
      <c r="Z15" s="20"/>
      <c r="AA15" s="20"/>
      <c r="AB15" s="124"/>
      <c r="AC15" s="124"/>
      <c r="AD15" s="124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 t="s">
        <v>546</v>
      </c>
      <c r="BC15" s="20" t="s">
        <v>546</v>
      </c>
      <c r="BD15" s="20" t="s">
        <v>546</v>
      </c>
      <c r="BE15" s="20" t="s">
        <v>546</v>
      </c>
      <c r="BF15" s="20" t="s">
        <v>546</v>
      </c>
      <c r="BG15" s="20" t="s">
        <v>546</v>
      </c>
      <c r="BH15" s="20" t="s">
        <v>546</v>
      </c>
      <c r="BI15" s="20" t="s">
        <v>546</v>
      </c>
      <c r="BJ15" s="20" t="s">
        <v>546</v>
      </c>
      <c r="BK15" s="20" t="s">
        <v>546</v>
      </c>
      <c r="BL15" s="20" t="s">
        <v>546</v>
      </c>
      <c r="BM15" s="20" t="s">
        <v>546</v>
      </c>
      <c r="BN15" s="20" t="s">
        <v>546</v>
      </c>
      <c r="BO15" s="20" t="s">
        <v>546</v>
      </c>
      <c r="BP15" s="122" t="s">
        <v>795</v>
      </c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20" t="s">
        <v>546</v>
      </c>
      <c r="CD15" s="20" t="s">
        <v>546</v>
      </c>
      <c r="CE15" s="20" t="s">
        <v>546</v>
      </c>
      <c r="CF15" s="20" t="s">
        <v>546</v>
      </c>
      <c r="CG15" s="20" t="s">
        <v>546</v>
      </c>
      <c r="CH15" s="122" t="s">
        <v>796</v>
      </c>
      <c r="CI15" s="124"/>
      <c r="CJ15" s="124"/>
      <c r="CK15" s="124"/>
      <c r="CL15" s="124"/>
      <c r="CM15" s="124"/>
      <c r="CN15" s="124"/>
      <c r="CO15" s="20" t="s">
        <v>546</v>
      </c>
      <c r="CP15" s="20" t="s">
        <v>546</v>
      </c>
      <c r="CQ15" s="20" t="s">
        <v>546</v>
      </c>
      <c r="CR15" s="20" t="s">
        <v>546</v>
      </c>
      <c r="CS15" s="20" t="s">
        <v>546</v>
      </c>
      <c r="CT15" s="20" t="s">
        <v>546</v>
      </c>
      <c r="CU15" s="20" t="s">
        <v>546</v>
      </c>
      <c r="CV15" s="20" t="s">
        <v>546</v>
      </c>
      <c r="CW15" s="20" t="s">
        <v>546</v>
      </c>
      <c r="CX15" s="20" t="s">
        <v>546</v>
      </c>
      <c r="CY15" s="20" t="s">
        <v>546</v>
      </c>
      <c r="CZ15" s="20" t="s">
        <v>546</v>
      </c>
      <c r="DA15" s="20" t="s">
        <v>546</v>
      </c>
      <c r="DB15" s="20" t="s">
        <v>546</v>
      </c>
      <c r="DC15" s="20" t="s">
        <v>546</v>
      </c>
      <c r="DD15" s="20" t="s">
        <v>546</v>
      </c>
      <c r="DE15" s="20" t="s">
        <v>546</v>
      </c>
      <c r="DF15" s="20" t="s">
        <v>546</v>
      </c>
      <c r="DG15" s="20" t="s">
        <v>546</v>
      </c>
      <c r="DH15" s="20" t="s">
        <v>546</v>
      </c>
      <c r="DI15" s="20" t="s">
        <v>546</v>
      </c>
      <c r="DJ15" s="20" t="s">
        <v>546</v>
      </c>
      <c r="DK15" s="20" t="s">
        <v>546</v>
      </c>
      <c r="DL15" s="20" t="s">
        <v>546</v>
      </c>
      <c r="DM15" s="20" t="s">
        <v>546</v>
      </c>
      <c r="DN15" s="20" t="s">
        <v>546</v>
      </c>
      <c r="DO15" s="20" t="s">
        <v>546</v>
      </c>
      <c r="DP15" s="20" t="s">
        <v>546</v>
      </c>
      <c r="DQ15" s="20" t="s">
        <v>546</v>
      </c>
      <c r="DR15" s="20" t="s">
        <v>546</v>
      </c>
      <c r="DS15" s="20" t="s">
        <v>546</v>
      </c>
      <c r="DT15" s="20" t="s">
        <v>546</v>
      </c>
      <c r="DU15" s="20" t="s">
        <v>546</v>
      </c>
      <c r="DV15" s="20" t="s">
        <v>546</v>
      </c>
      <c r="DW15" s="20" t="s">
        <v>546</v>
      </c>
      <c r="DX15" s="20" t="s">
        <v>546</v>
      </c>
      <c r="DY15" s="20" t="s">
        <v>546</v>
      </c>
      <c r="DZ15" s="20" t="s">
        <v>546</v>
      </c>
      <c r="EA15" s="20" t="s">
        <v>546</v>
      </c>
      <c r="EB15" s="20" t="s">
        <v>546</v>
      </c>
      <c r="EC15" s="20" t="s">
        <v>546</v>
      </c>
      <c r="ED15" s="20" t="s">
        <v>546</v>
      </c>
      <c r="EE15" s="20" t="s">
        <v>546</v>
      </c>
      <c r="EF15" s="20" t="s">
        <v>546</v>
      </c>
      <c r="EG15" s="20" t="s">
        <v>546</v>
      </c>
      <c r="EH15" s="20" t="s">
        <v>546</v>
      </c>
      <c r="EI15" s="20" t="s">
        <v>546</v>
      </c>
      <c r="EJ15" s="20" t="s">
        <v>546</v>
      </c>
      <c r="EK15" s="20" t="s">
        <v>546</v>
      </c>
      <c r="EL15" s="20" t="s">
        <v>546</v>
      </c>
      <c r="EM15" s="20" t="s">
        <v>546</v>
      </c>
      <c r="EN15" s="20" t="s">
        <v>546</v>
      </c>
      <c r="EO15" s="20" t="s">
        <v>546</v>
      </c>
      <c r="EP15" s="20" t="s">
        <v>546</v>
      </c>
      <c r="EQ15" s="20" t="s">
        <v>546</v>
      </c>
      <c r="ER15" s="20" t="s">
        <v>546</v>
      </c>
      <c r="ES15" s="20" t="s">
        <v>546</v>
      </c>
      <c r="ET15" s="20" t="s">
        <v>546</v>
      </c>
      <c r="EU15" s="20" t="s">
        <v>546</v>
      </c>
      <c r="EV15" s="20" t="s">
        <v>546</v>
      </c>
      <c r="EW15" s="20" t="s">
        <v>546</v>
      </c>
      <c r="EX15" s="20" t="s">
        <v>546</v>
      </c>
      <c r="EY15" s="20" t="s">
        <v>546</v>
      </c>
      <c r="EZ15" s="20" t="s">
        <v>546</v>
      </c>
      <c r="FA15" s="20" t="s">
        <v>546</v>
      </c>
      <c r="FB15" s="20" t="s">
        <v>546</v>
      </c>
      <c r="FC15" s="20" t="s">
        <v>546</v>
      </c>
      <c r="FD15" s="20" t="s">
        <v>546</v>
      </c>
      <c r="FE15" s="122" t="s">
        <v>797</v>
      </c>
      <c r="FF15" s="124"/>
      <c r="FG15" s="124"/>
      <c r="FH15" s="124"/>
      <c r="FI15" s="124"/>
      <c r="FJ15" s="124"/>
      <c r="FK15" s="124"/>
      <c r="FL15" s="124"/>
      <c r="FM15" s="124"/>
      <c r="FN15" s="124"/>
      <c r="FO15" s="124"/>
      <c r="FP15" s="124"/>
      <c r="FQ15" s="124"/>
      <c r="FR15" s="124"/>
      <c r="FS15" s="20" t="s">
        <v>546</v>
      </c>
      <c r="FT15" s="20" t="s">
        <v>546</v>
      </c>
      <c r="FU15" s="20" t="s">
        <v>546</v>
      </c>
      <c r="FV15" s="20" t="s">
        <v>546</v>
      </c>
      <c r="FW15" s="20" t="s">
        <v>546</v>
      </c>
      <c r="FX15" s="20" t="s">
        <v>546</v>
      </c>
      <c r="FY15" s="20" t="s">
        <v>546</v>
      </c>
      <c r="FZ15" s="20" t="s">
        <v>546</v>
      </c>
      <c r="GA15" s="20" t="s">
        <v>546</v>
      </c>
      <c r="GB15" s="20" t="s">
        <v>546</v>
      </c>
      <c r="GC15" s="20" t="s">
        <v>546</v>
      </c>
      <c r="GD15" s="20" t="s">
        <v>546</v>
      </c>
      <c r="GE15" s="20" t="s">
        <v>546</v>
      </c>
      <c r="GF15" s="20" t="s">
        <v>546</v>
      </c>
      <c r="GG15" s="20" t="s">
        <v>546</v>
      </c>
      <c r="GH15" s="20" t="s">
        <v>546</v>
      </c>
      <c r="GI15" s="20" t="s">
        <v>546</v>
      </c>
      <c r="GJ15" s="20" t="s">
        <v>546</v>
      </c>
      <c r="GK15" s="20" t="s">
        <v>546</v>
      </c>
      <c r="GL15" s="20" t="s">
        <v>546</v>
      </c>
      <c r="GM15" s="20" t="s">
        <v>546</v>
      </c>
      <c r="GN15" s="20" t="s">
        <v>546</v>
      </c>
      <c r="GO15" s="20" t="s">
        <v>546</v>
      </c>
      <c r="GP15" s="20" t="s">
        <v>546</v>
      </c>
      <c r="GQ15" s="20" t="s">
        <v>546</v>
      </c>
      <c r="GR15" s="20" t="s">
        <v>546</v>
      </c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</row>
    <row r="16" spans="1:249">
      <c r="A16" s="131"/>
      <c r="B16" s="119" t="s">
        <v>513</v>
      </c>
      <c r="C16" s="21" t="s">
        <v>735</v>
      </c>
      <c r="D16" s="125">
        <v>0.15</v>
      </c>
      <c r="E16" s="20"/>
      <c r="F16" s="20"/>
      <c r="G16" s="20"/>
      <c r="H16" s="20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20"/>
      <c r="V16" s="20"/>
      <c r="W16" s="20"/>
      <c r="X16" s="20"/>
      <c r="Y16" s="20"/>
      <c r="Z16" s="20"/>
      <c r="AA16" s="20"/>
      <c r="AB16" s="124"/>
      <c r="AC16" s="124"/>
      <c r="AD16" s="124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 t="s">
        <v>546</v>
      </c>
      <c r="BC16" s="20" t="s">
        <v>546</v>
      </c>
      <c r="BD16" s="20" t="s">
        <v>546</v>
      </c>
      <c r="BE16" s="20" t="s">
        <v>546</v>
      </c>
      <c r="BF16" s="20" t="s">
        <v>546</v>
      </c>
      <c r="BG16" s="20" t="s">
        <v>546</v>
      </c>
      <c r="BH16" s="20" t="s">
        <v>546</v>
      </c>
      <c r="BI16" s="14"/>
      <c r="BJ16" s="20"/>
      <c r="BK16" s="20"/>
      <c r="BL16" s="20"/>
      <c r="BM16" s="20"/>
      <c r="BN16" s="20"/>
      <c r="BO16" s="20"/>
      <c r="BP16" s="20"/>
      <c r="BQ16" s="20" t="s">
        <v>546</v>
      </c>
      <c r="BR16" s="20" t="s">
        <v>546</v>
      </c>
      <c r="BS16" s="20" t="s">
        <v>546</v>
      </c>
      <c r="BT16" s="20" t="s">
        <v>546</v>
      </c>
      <c r="BU16" s="20" t="s">
        <v>546</v>
      </c>
      <c r="BV16" s="20" t="s">
        <v>546</v>
      </c>
      <c r="BW16" s="20" t="s">
        <v>546</v>
      </c>
      <c r="BX16" s="20" t="s">
        <v>546</v>
      </c>
      <c r="BY16" s="20" t="s">
        <v>546</v>
      </c>
      <c r="BZ16" s="117" t="s">
        <v>766</v>
      </c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20" t="s">
        <v>546</v>
      </c>
      <c r="CL16" s="20" t="s">
        <v>546</v>
      </c>
      <c r="CM16" s="20" t="s">
        <v>546</v>
      </c>
      <c r="CN16" s="20" t="s">
        <v>546</v>
      </c>
      <c r="CO16" s="121" t="s">
        <v>758</v>
      </c>
      <c r="CP16" s="121"/>
      <c r="CQ16" s="121"/>
      <c r="CR16" s="121"/>
      <c r="CS16" s="121"/>
      <c r="CT16" s="121"/>
      <c r="CU16" s="121"/>
      <c r="CV16" s="121"/>
      <c r="CW16" s="121"/>
      <c r="CX16" s="121"/>
      <c r="CY16" s="121"/>
      <c r="CZ16" s="121"/>
      <c r="DA16" s="121"/>
      <c r="DB16" s="20" t="s">
        <v>546</v>
      </c>
      <c r="DC16" s="20" t="s">
        <v>546</v>
      </c>
      <c r="DD16" s="20" t="s">
        <v>546</v>
      </c>
      <c r="DE16" s="20" t="s">
        <v>546</v>
      </c>
      <c r="DF16" s="20" t="s">
        <v>546</v>
      </c>
      <c r="DG16" s="117" t="s">
        <v>798</v>
      </c>
      <c r="DH16" s="121"/>
      <c r="DI16" s="121"/>
      <c r="DJ16" s="121"/>
      <c r="DK16" s="121"/>
      <c r="DL16" s="121"/>
      <c r="DM16" s="121"/>
      <c r="DN16" s="121"/>
      <c r="DO16" s="121"/>
      <c r="DP16" s="121"/>
      <c r="DQ16" s="121"/>
      <c r="DR16" s="121"/>
      <c r="DS16" s="121"/>
      <c r="DT16" s="117" t="s">
        <v>758</v>
      </c>
      <c r="DU16" s="121"/>
      <c r="DV16" s="121"/>
      <c r="DW16" s="121"/>
      <c r="DX16" s="121"/>
      <c r="DY16" s="121"/>
      <c r="DZ16" s="121"/>
      <c r="EA16" s="121"/>
      <c r="EB16" s="121"/>
      <c r="EC16" s="121"/>
      <c r="ED16" s="121"/>
      <c r="EE16" s="121"/>
      <c r="EF16" s="121"/>
      <c r="EG16" s="121"/>
      <c r="EH16" s="121" t="s">
        <v>737</v>
      </c>
      <c r="EI16" s="121"/>
      <c r="EJ16" s="121"/>
      <c r="EK16" s="121"/>
      <c r="EL16" s="121"/>
      <c r="EM16" s="121"/>
      <c r="EN16" s="121"/>
      <c r="EO16" s="121"/>
      <c r="EP16" s="121"/>
      <c r="EQ16" s="121"/>
      <c r="ER16" s="121"/>
      <c r="ES16" s="121"/>
      <c r="ET16" s="121"/>
      <c r="EU16" s="121"/>
      <c r="EV16" s="126" t="s">
        <v>737</v>
      </c>
      <c r="EW16" s="126"/>
      <c r="EX16" s="126"/>
      <c r="EY16" s="126"/>
      <c r="EZ16" s="126"/>
      <c r="FA16" s="126"/>
      <c r="FB16" s="126"/>
      <c r="FC16" s="121" t="s">
        <v>793</v>
      </c>
      <c r="FD16" s="121"/>
      <c r="FE16" s="121"/>
      <c r="FF16" s="121"/>
      <c r="FG16" s="121"/>
      <c r="FH16" s="121"/>
      <c r="FI16" s="121"/>
      <c r="FJ16" s="121"/>
      <c r="FK16" s="121"/>
      <c r="FL16" s="121"/>
      <c r="FM16" s="121"/>
      <c r="FN16" s="121"/>
      <c r="FO16" s="20" t="s">
        <v>546</v>
      </c>
      <c r="FP16" s="20" t="s">
        <v>546</v>
      </c>
      <c r="FQ16" s="20" t="s">
        <v>546</v>
      </c>
      <c r="FR16" s="20" t="s">
        <v>546</v>
      </c>
      <c r="FS16" s="20" t="s">
        <v>546</v>
      </c>
      <c r="FT16" s="20" t="s">
        <v>546</v>
      </c>
      <c r="FU16" s="20" t="s">
        <v>546</v>
      </c>
      <c r="FV16" s="20" t="s">
        <v>546</v>
      </c>
      <c r="FW16" s="20" t="s">
        <v>546</v>
      </c>
      <c r="FX16" s="20" t="s">
        <v>546</v>
      </c>
      <c r="FY16" s="20" t="s">
        <v>546</v>
      </c>
      <c r="FZ16" s="20" t="s">
        <v>546</v>
      </c>
      <c r="GA16" s="20" t="s">
        <v>546</v>
      </c>
      <c r="GB16" s="20" t="s">
        <v>546</v>
      </c>
      <c r="GC16" s="20" t="s">
        <v>546</v>
      </c>
      <c r="GD16" s="20" t="s">
        <v>546</v>
      </c>
      <c r="GE16" s="20" t="s">
        <v>546</v>
      </c>
      <c r="GF16" s="20" t="s">
        <v>546</v>
      </c>
      <c r="GG16" s="20" t="s">
        <v>546</v>
      </c>
      <c r="GH16" s="20" t="s">
        <v>546</v>
      </c>
      <c r="GI16" s="20" t="s">
        <v>546</v>
      </c>
      <c r="GJ16" s="20" t="s">
        <v>546</v>
      </c>
      <c r="GK16" s="20" t="s">
        <v>546</v>
      </c>
      <c r="GL16" s="20" t="s">
        <v>546</v>
      </c>
      <c r="GM16" s="20" t="s">
        <v>546</v>
      </c>
      <c r="GN16" s="20" t="s">
        <v>546</v>
      </c>
      <c r="GO16" s="20" t="s">
        <v>546</v>
      </c>
      <c r="GP16" s="20" t="s">
        <v>546</v>
      </c>
      <c r="GQ16" s="20" t="s">
        <v>546</v>
      </c>
      <c r="GR16" s="20" t="s">
        <v>546</v>
      </c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</row>
    <row r="17" spans="1:249">
      <c r="A17" s="131"/>
      <c r="B17" s="119"/>
      <c r="C17" s="21" t="s">
        <v>733</v>
      </c>
      <c r="D17" s="120" t="s">
        <v>799</v>
      </c>
      <c r="E17" s="20"/>
      <c r="F17" s="20"/>
      <c r="G17" s="20"/>
      <c r="H17" s="20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20"/>
      <c r="V17" s="20"/>
      <c r="W17" s="20"/>
      <c r="X17" s="20"/>
      <c r="Y17" s="20"/>
      <c r="Z17" s="20"/>
      <c r="AA17" s="20"/>
      <c r="AB17" s="124"/>
      <c r="AC17" s="124"/>
      <c r="AD17" s="124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 t="s">
        <v>546</v>
      </c>
      <c r="BC17" s="20" t="s">
        <v>546</v>
      </c>
      <c r="BD17" s="20" t="s">
        <v>546</v>
      </c>
      <c r="BE17" s="20" t="s">
        <v>546</v>
      </c>
      <c r="BF17" s="20" t="s">
        <v>546</v>
      </c>
      <c r="BG17" s="20" t="s">
        <v>546</v>
      </c>
      <c r="BH17" s="20" t="s">
        <v>546</v>
      </c>
      <c r="BI17" s="20" t="s">
        <v>546</v>
      </c>
      <c r="BJ17" s="20" t="s">
        <v>546</v>
      </c>
      <c r="BK17" s="20" t="s">
        <v>546</v>
      </c>
      <c r="BL17" s="20" t="s">
        <v>546</v>
      </c>
      <c r="BM17" s="20" t="s">
        <v>546</v>
      </c>
      <c r="BN17" s="20" t="s">
        <v>546</v>
      </c>
      <c r="BO17" s="20" t="s">
        <v>546</v>
      </c>
      <c r="BP17" s="122" t="s">
        <v>800</v>
      </c>
      <c r="BQ17" s="122"/>
      <c r="BR17" s="122"/>
      <c r="BS17" s="122"/>
      <c r="BT17" s="122"/>
      <c r="BU17" s="122"/>
      <c r="BV17" s="122"/>
      <c r="BW17" s="122"/>
      <c r="BX17" s="122"/>
      <c r="BY17" s="122"/>
      <c r="BZ17" s="20" t="s">
        <v>546</v>
      </c>
      <c r="CA17" s="20" t="s">
        <v>546</v>
      </c>
      <c r="CB17" s="20" t="s">
        <v>546</v>
      </c>
      <c r="CC17" s="20" t="s">
        <v>546</v>
      </c>
      <c r="CD17" s="20" t="s">
        <v>546</v>
      </c>
      <c r="CE17" s="20" t="s">
        <v>546</v>
      </c>
      <c r="CF17" s="20" t="s">
        <v>546</v>
      </c>
      <c r="CG17" s="20" t="s">
        <v>546</v>
      </c>
      <c r="CH17" s="122" t="s">
        <v>801</v>
      </c>
      <c r="CI17" s="124"/>
      <c r="CJ17" s="124"/>
      <c r="CK17" s="124"/>
      <c r="CL17" s="124"/>
      <c r="CM17" s="124"/>
      <c r="CN17" s="124"/>
      <c r="CO17" s="20" t="s">
        <v>546</v>
      </c>
      <c r="CP17" s="20" t="s">
        <v>546</v>
      </c>
      <c r="CQ17" s="20" t="s">
        <v>546</v>
      </c>
      <c r="CR17" s="20" t="s">
        <v>546</v>
      </c>
      <c r="CS17" s="20" t="s">
        <v>546</v>
      </c>
      <c r="CT17" s="20" t="s">
        <v>546</v>
      </c>
      <c r="CU17" s="20" t="s">
        <v>546</v>
      </c>
      <c r="CV17" s="20" t="s">
        <v>546</v>
      </c>
      <c r="CW17" s="20" t="s">
        <v>546</v>
      </c>
      <c r="CX17" s="20" t="s">
        <v>546</v>
      </c>
      <c r="CY17" s="20" t="s">
        <v>546</v>
      </c>
      <c r="CZ17" s="20" t="s">
        <v>546</v>
      </c>
      <c r="DA17" s="20" t="s">
        <v>546</v>
      </c>
      <c r="DB17" s="20" t="s">
        <v>546</v>
      </c>
      <c r="DC17" s="20" t="s">
        <v>546</v>
      </c>
      <c r="DD17" s="20" t="s">
        <v>546</v>
      </c>
      <c r="DE17" s="20" t="s">
        <v>546</v>
      </c>
      <c r="DF17" s="20" t="s">
        <v>546</v>
      </c>
      <c r="DG17" s="20" t="s">
        <v>546</v>
      </c>
      <c r="DH17" s="20" t="s">
        <v>546</v>
      </c>
      <c r="DI17" s="20" t="s">
        <v>546</v>
      </c>
      <c r="DJ17" s="20" t="s">
        <v>546</v>
      </c>
      <c r="DK17" s="20" t="s">
        <v>546</v>
      </c>
      <c r="DL17" s="20" t="s">
        <v>546</v>
      </c>
      <c r="DM17" s="20" t="s">
        <v>546</v>
      </c>
      <c r="DN17" s="20" t="s">
        <v>546</v>
      </c>
      <c r="DO17" s="20" t="s">
        <v>546</v>
      </c>
      <c r="DP17" s="20" t="s">
        <v>546</v>
      </c>
      <c r="DQ17" s="20" t="s">
        <v>546</v>
      </c>
      <c r="DR17" s="20" t="s">
        <v>546</v>
      </c>
      <c r="DS17" s="20" t="s">
        <v>546</v>
      </c>
      <c r="DT17" s="20" t="s">
        <v>546</v>
      </c>
      <c r="DU17" s="20" t="s">
        <v>546</v>
      </c>
      <c r="DV17" s="20" t="s">
        <v>546</v>
      </c>
      <c r="DW17" s="20" t="s">
        <v>546</v>
      </c>
      <c r="DX17" s="20" t="s">
        <v>546</v>
      </c>
      <c r="DY17" s="20" t="s">
        <v>546</v>
      </c>
      <c r="DZ17" s="20" t="s">
        <v>546</v>
      </c>
      <c r="EA17" s="20" t="s">
        <v>546</v>
      </c>
      <c r="EB17" s="20" t="s">
        <v>546</v>
      </c>
      <c r="EC17" s="20" t="s">
        <v>546</v>
      </c>
      <c r="ED17" s="20" t="s">
        <v>546</v>
      </c>
      <c r="EE17" s="20" t="s">
        <v>546</v>
      </c>
      <c r="EF17" s="20" t="s">
        <v>546</v>
      </c>
      <c r="EG17" s="20" t="s">
        <v>546</v>
      </c>
      <c r="EH17" s="20" t="s">
        <v>546</v>
      </c>
      <c r="EI17" s="20" t="s">
        <v>546</v>
      </c>
      <c r="EJ17" s="20" t="s">
        <v>546</v>
      </c>
      <c r="EK17" s="20" t="s">
        <v>546</v>
      </c>
      <c r="EL17" s="20" t="s">
        <v>546</v>
      </c>
      <c r="EM17" s="20" t="s">
        <v>546</v>
      </c>
      <c r="EN17" s="20" t="s">
        <v>546</v>
      </c>
      <c r="EO17" s="20" t="s">
        <v>546</v>
      </c>
      <c r="EP17" s="20" t="s">
        <v>546</v>
      </c>
      <c r="EQ17" s="20" t="s">
        <v>546</v>
      </c>
      <c r="ER17" s="20" t="s">
        <v>546</v>
      </c>
      <c r="ES17" s="20" t="s">
        <v>546</v>
      </c>
      <c r="ET17" s="20" t="s">
        <v>546</v>
      </c>
      <c r="EU17" s="20" t="s">
        <v>546</v>
      </c>
      <c r="EV17" s="20" t="s">
        <v>546</v>
      </c>
      <c r="EW17" s="20" t="s">
        <v>546</v>
      </c>
      <c r="EX17" s="20" t="s">
        <v>546</v>
      </c>
      <c r="EY17" s="20" t="s">
        <v>546</v>
      </c>
      <c r="EZ17" s="20" t="s">
        <v>546</v>
      </c>
      <c r="FA17" s="20" t="s">
        <v>546</v>
      </c>
      <c r="FB17" s="20" t="s">
        <v>546</v>
      </c>
      <c r="FC17" s="20" t="s">
        <v>546</v>
      </c>
      <c r="FD17" s="20" t="s">
        <v>546</v>
      </c>
      <c r="FE17" s="20" t="s">
        <v>546</v>
      </c>
      <c r="FF17" s="20" t="s">
        <v>546</v>
      </c>
      <c r="FG17" s="20" t="s">
        <v>546</v>
      </c>
      <c r="FH17" s="20" t="s">
        <v>546</v>
      </c>
      <c r="FI17" s="20" t="s">
        <v>546</v>
      </c>
      <c r="FJ17" s="20" t="s">
        <v>546</v>
      </c>
      <c r="FK17" s="20" t="s">
        <v>546</v>
      </c>
      <c r="FL17" s="20" t="s">
        <v>546</v>
      </c>
      <c r="FM17" s="20" t="s">
        <v>546</v>
      </c>
      <c r="FN17" s="20" t="s">
        <v>546</v>
      </c>
      <c r="FO17" s="20" t="s">
        <v>546</v>
      </c>
      <c r="FP17" s="20" t="s">
        <v>546</v>
      </c>
      <c r="FQ17" s="20" t="s">
        <v>546</v>
      </c>
      <c r="FR17" s="20" t="s">
        <v>546</v>
      </c>
      <c r="FS17" s="20" t="s">
        <v>546</v>
      </c>
      <c r="FT17" s="20" t="s">
        <v>546</v>
      </c>
      <c r="FU17" s="20" t="s">
        <v>546</v>
      </c>
      <c r="FV17" s="20" t="s">
        <v>546</v>
      </c>
      <c r="FW17" s="20" t="s">
        <v>546</v>
      </c>
      <c r="FX17" s="20" t="s">
        <v>546</v>
      </c>
      <c r="FY17" s="20" t="s">
        <v>546</v>
      </c>
      <c r="FZ17" s="20" t="s">
        <v>546</v>
      </c>
      <c r="GA17" s="20" t="s">
        <v>546</v>
      </c>
      <c r="GB17" s="20" t="s">
        <v>546</v>
      </c>
      <c r="GC17" s="20" t="s">
        <v>546</v>
      </c>
      <c r="GD17" s="20" t="s">
        <v>546</v>
      </c>
      <c r="GE17" s="20" t="s">
        <v>546</v>
      </c>
      <c r="GF17" s="20" t="s">
        <v>546</v>
      </c>
      <c r="GG17" s="20" t="s">
        <v>546</v>
      </c>
      <c r="GH17" s="20" t="s">
        <v>546</v>
      </c>
      <c r="GI17" s="20" t="s">
        <v>546</v>
      </c>
      <c r="GJ17" s="20" t="s">
        <v>546</v>
      </c>
      <c r="GK17" s="20" t="s">
        <v>546</v>
      </c>
      <c r="GL17" s="20" t="s">
        <v>546</v>
      </c>
      <c r="GM17" s="20" t="s">
        <v>546</v>
      </c>
      <c r="GN17" s="20" t="s">
        <v>546</v>
      </c>
      <c r="GO17" s="20" t="s">
        <v>546</v>
      </c>
      <c r="GP17" s="20" t="s">
        <v>546</v>
      </c>
      <c r="GQ17" s="20" t="s">
        <v>546</v>
      </c>
      <c r="GR17" s="20" t="s">
        <v>546</v>
      </c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</row>
    <row r="18" spans="1:249">
      <c r="A18" s="131"/>
      <c r="B18" s="119" t="s">
        <v>516</v>
      </c>
      <c r="C18" s="21" t="s">
        <v>735</v>
      </c>
      <c r="D18" s="125">
        <v>0.15</v>
      </c>
      <c r="E18" s="20"/>
      <c r="F18" s="20"/>
      <c r="G18" s="20"/>
      <c r="H18" s="20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20"/>
      <c r="V18" s="20"/>
      <c r="W18" s="20"/>
      <c r="X18" s="20"/>
      <c r="Y18" s="20"/>
      <c r="Z18" s="20"/>
      <c r="AA18" s="20"/>
      <c r="AB18" s="124"/>
      <c r="AC18" s="124"/>
      <c r="AD18" s="124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 t="s">
        <v>546</v>
      </c>
      <c r="BC18" s="20" t="s">
        <v>546</v>
      </c>
      <c r="BD18" s="20" t="s">
        <v>546</v>
      </c>
      <c r="BE18" s="20" t="s">
        <v>546</v>
      </c>
      <c r="BF18" s="20" t="s">
        <v>546</v>
      </c>
      <c r="BG18" s="20" t="s">
        <v>546</v>
      </c>
      <c r="BH18" s="20" t="s">
        <v>546</v>
      </c>
      <c r="BI18" s="20" t="s">
        <v>546</v>
      </c>
      <c r="BJ18" s="20" t="s">
        <v>546</v>
      </c>
      <c r="BK18" s="20" t="s">
        <v>546</v>
      </c>
      <c r="BL18" s="20" t="s">
        <v>546</v>
      </c>
      <c r="BM18" s="121" t="s">
        <v>787</v>
      </c>
      <c r="BN18" s="121"/>
      <c r="BO18" s="121"/>
      <c r="BP18" s="20" t="s">
        <v>546</v>
      </c>
      <c r="BQ18" s="20" t="s">
        <v>546</v>
      </c>
      <c r="BR18" s="20" t="s">
        <v>546</v>
      </c>
      <c r="BS18" s="20" t="s">
        <v>546</v>
      </c>
      <c r="BT18" s="20" t="s">
        <v>546</v>
      </c>
      <c r="BU18" s="20" t="s">
        <v>546</v>
      </c>
      <c r="BV18" s="20" t="s">
        <v>546</v>
      </c>
      <c r="BW18" s="20" t="s">
        <v>546</v>
      </c>
      <c r="BX18" s="20" t="s">
        <v>546</v>
      </c>
      <c r="BY18" s="20" t="s">
        <v>546</v>
      </c>
      <c r="BZ18" s="121" t="s">
        <v>766</v>
      </c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20" t="s">
        <v>546</v>
      </c>
      <c r="CL18" s="20" t="s">
        <v>546</v>
      </c>
      <c r="CM18" s="20" t="s">
        <v>546</v>
      </c>
      <c r="CN18" s="20" t="s">
        <v>546</v>
      </c>
      <c r="CO18" s="121" t="s">
        <v>758</v>
      </c>
      <c r="CP18" s="121"/>
      <c r="CQ18" s="121"/>
      <c r="CR18" s="121"/>
      <c r="CS18" s="121"/>
      <c r="CT18" s="121"/>
      <c r="CU18" s="121"/>
      <c r="CV18" s="121"/>
      <c r="CW18" s="121"/>
      <c r="CX18" s="121"/>
      <c r="CY18" s="121"/>
      <c r="CZ18" s="121"/>
      <c r="DA18" s="121"/>
      <c r="DB18" s="20" t="s">
        <v>546</v>
      </c>
      <c r="DC18" s="20" t="s">
        <v>546</v>
      </c>
      <c r="DD18" s="20" t="s">
        <v>546</v>
      </c>
      <c r="DE18" s="20" t="s">
        <v>546</v>
      </c>
      <c r="DF18" s="20" t="s">
        <v>546</v>
      </c>
      <c r="DG18" s="121" t="s">
        <v>798</v>
      </c>
      <c r="DH18" s="121"/>
      <c r="DI18" s="121"/>
      <c r="DJ18" s="121"/>
      <c r="DK18" s="121"/>
      <c r="DL18" s="121"/>
      <c r="DM18" s="121"/>
      <c r="DN18" s="121"/>
      <c r="DO18" s="121"/>
      <c r="DP18" s="121"/>
      <c r="DQ18" s="121"/>
      <c r="DR18" s="121"/>
      <c r="DS18" s="121"/>
      <c r="DT18" s="121" t="s">
        <v>758</v>
      </c>
      <c r="DU18" s="121"/>
      <c r="DV18" s="121"/>
      <c r="DW18" s="121"/>
      <c r="DX18" s="121"/>
      <c r="DY18" s="121"/>
      <c r="DZ18" s="121"/>
      <c r="EA18" s="121"/>
      <c r="EB18" s="121"/>
      <c r="EC18" s="121"/>
      <c r="ED18" s="121"/>
      <c r="EE18" s="121"/>
      <c r="EF18" s="121"/>
      <c r="EG18" s="121"/>
      <c r="EH18" s="121" t="s">
        <v>737</v>
      </c>
      <c r="EI18" s="121"/>
      <c r="EJ18" s="121"/>
      <c r="EK18" s="121"/>
      <c r="EL18" s="121"/>
      <c r="EM18" s="121"/>
      <c r="EN18" s="121"/>
      <c r="EO18" s="121"/>
      <c r="EP18" s="121"/>
      <c r="EQ18" s="121"/>
      <c r="ER18" s="121"/>
      <c r="ES18" s="121"/>
      <c r="ET18" s="121"/>
      <c r="EU18" s="121"/>
      <c r="EV18" s="20" t="s">
        <v>546</v>
      </c>
      <c r="EW18" s="117" t="s">
        <v>767</v>
      </c>
      <c r="EX18" s="117"/>
      <c r="EY18" s="20" t="s">
        <v>546</v>
      </c>
      <c r="EZ18" s="20" t="s">
        <v>546</v>
      </c>
      <c r="FA18" s="117" t="s">
        <v>737</v>
      </c>
      <c r="FB18" s="121"/>
      <c r="FC18" s="121"/>
      <c r="FD18" s="121"/>
      <c r="FE18" s="121"/>
      <c r="FF18" s="121"/>
      <c r="FG18" s="121"/>
      <c r="FH18" s="121"/>
      <c r="FI18" s="121"/>
      <c r="FJ18" s="121"/>
      <c r="FK18" s="121"/>
      <c r="FL18" s="121"/>
      <c r="FM18" s="121"/>
      <c r="FN18" s="121"/>
      <c r="FO18" s="20" t="s">
        <v>546</v>
      </c>
      <c r="FP18" s="20" t="s">
        <v>546</v>
      </c>
      <c r="FQ18" s="20" t="s">
        <v>546</v>
      </c>
      <c r="FR18" s="20" t="s">
        <v>546</v>
      </c>
      <c r="FS18" s="20" t="s">
        <v>546</v>
      </c>
      <c r="FT18" s="20" t="s">
        <v>546</v>
      </c>
      <c r="FU18" s="20" t="s">
        <v>546</v>
      </c>
      <c r="FV18" s="20" t="s">
        <v>546</v>
      </c>
      <c r="FW18" s="20" t="s">
        <v>546</v>
      </c>
      <c r="FX18" s="20" t="s">
        <v>546</v>
      </c>
      <c r="FY18" s="20" t="s">
        <v>546</v>
      </c>
      <c r="FZ18" s="20" t="s">
        <v>546</v>
      </c>
      <c r="GA18" s="20" t="s">
        <v>546</v>
      </c>
      <c r="GB18" s="20" t="s">
        <v>546</v>
      </c>
      <c r="GC18" s="20" t="s">
        <v>546</v>
      </c>
      <c r="GD18" s="20" t="s">
        <v>546</v>
      </c>
      <c r="GE18" s="20" t="s">
        <v>546</v>
      </c>
      <c r="GF18" s="20" t="s">
        <v>546</v>
      </c>
      <c r="GG18" s="20" t="s">
        <v>546</v>
      </c>
      <c r="GH18" s="20" t="s">
        <v>546</v>
      </c>
      <c r="GI18" s="20" t="s">
        <v>546</v>
      </c>
      <c r="GJ18" s="20" t="s">
        <v>546</v>
      </c>
      <c r="GK18" s="20" t="s">
        <v>546</v>
      </c>
      <c r="GL18" s="20" t="s">
        <v>546</v>
      </c>
      <c r="GM18" s="20" t="s">
        <v>546</v>
      </c>
      <c r="GN18" s="20" t="s">
        <v>546</v>
      </c>
      <c r="GO18" s="20" t="s">
        <v>546</v>
      </c>
      <c r="GP18" s="20" t="s">
        <v>546</v>
      </c>
      <c r="GQ18" s="20" t="s">
        <v>546</v>
      </c>
      <c r="GR18" s="20" t="s">
        <v>546</v>
      </c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</row>
    <row r="19" spans="1:249">
      <c r="A19" s="131"/>
      <c r="B19" s="119"/>
      <c r="C19" s="21" t="s">
        <v>733</v>
      </c>
      <c r="D19" s="120" t="s">
        <v>802</v>
      </c>
      <c r="E19" s="20"/>
      <c r="F19" s="20"/>
      <c r="G19" s="20"/>
      <c r="H19" s="20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20"/>
      <c r="V19" s="20"/>
      <c r="W19" s="20"/>
      <c r="X19" s="20"/>
      <c r="Y19" s="20"/>
      <c r="Z19" s="20"/>
      <c r="AA19" s="20"/>
      <c r="AB19" s="124"/>
      <c r="AC19" s="124"/>
      <c r="AD19" s="124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 t="s">
        <v>546</v>
      </c>
      <c r="BC19" s="20" t="s">
        <v>546</v>
      </c>
      <c r="BD19" s="20" t="s">
        <v>546</v>
      </c>
      <c r="BE19" s="20" t="s">
        <v>546</v>
      </c>
      <c r="BF19" s="20" t="s">
        <v>546</v>
      </c>
      <c r="BG19" s="20" t="s">
        <v>546</v>
      </c>
      <c r="BH19" s="20" t="s">
        <v>546</v>
      </c>
      <c r="BI19" s="20" t="s">
        <v>546</v>
      </c>
      <c r="BJ19" s="20" t="s">
        <v>546</v>
      </c>
      <c r="BK19" s="20" t="s">
        <v>546</v>
      </c>
      <c r="BL19" s="20" t="s">
        <v>546</v>
      </c>
      <c r="BM19" s="20" t="s">
        <v>546</v>
      </c>
      <c r="BN19" s="20" t="s">
        <v>546</v>
      </c>
      <c r="BO19" s="20" t="s">
        <v>546</v>
      </c>
      <c r="BP19" s="122" t="s">
        <v>803</v>
      </c>
      <c r="BQ19" s="122"/>
      <c r="BR19" s="122"/>
      <c r="BS19" s="122"/>
      <c r="BT19" s="122"/>
      <c r="BU19" s="122"/>
      <c r="BV19" s="122"/>
      <c r="BW19" s="122"/>
      <c r="BX19" s="122"/>
      <c r="BY19" s="122"/>
      <c r="BZ19" s="20" t="s">
        <v>546</v>
      </c>
      <c r="CA19" s="20" t="s">
        <v>546</v>
      </c>
      <c r="CB19" s="20" t="s">
        <v>546</v>
      </c>
      <c r="CC19" s="20" t="s">
        <v>546</v>
      </c>
      <c r="CD19" s="20" t="s">
        <v>546</v>
      </c>
      <c r="CE19" s="20" t="s">
        <v>546</v>
      </c>
      <c r="CF19" s="20" t="s">
        <v>546</v>
      </c>
      <c r="CG19" s="20" t="s">
        <v>546</v>
      </c>
      <c r="CH19" s="122" t="s">
        <v>804</v>
      </c>
      <c r="CI19" s="124"/>
      <c r="CJ19" s="124"/>
      <c r="CK19" s="124"/>
      <c r="CL19" s="124"/>
      <c r="CM19" s="124"/>
      <c r="CN19" s="124"/>
      <c r="CO19" s="20" t="s">
        <v>546</v>
      </c>
      <c r="CP19" s="20" t="s">
        <v>546</v>
      </c>
      <c r="CQ19" s="20" t="s">
        <v>546</v>
      </c>
      <c r="CR19" s="20" t="s">
        <v>546</v>
      </c>
      <c r="CS19" s="20" t="s">
        <v>546</v>
      </c>
      <c r="CT19" s="20" t="s">
        <v>546</v>
      </c>
      <c r="CU19" s="20" t="s">
        <v>546</v>
      </c>
      <c r="CV19" s="20" t="s">
        <v>546</v>
      </c>
      <c r="CW19" s="20" t="s">
        <v>546</v>
      </c>
      <c r="CX19" s="20" t="s">
        <v>546</v>
      </c>
      <c r="CY19" s="20" t="s">
        <v>546</v>
      </c>
      <c r="CZ19" s="20" t="s">
        <v>546</v>
      </c>
      <c r="DA19" s="20" t="s">
        <v>546</v>
      </c>
      <c r="DB19" s="20" t="s">
        <v>546</v>
      </c>
      <c r="DC19" s="20" t="s">
        <v>546</v>
      </c>
      <c r="DD19" s="20" t="s">
        <v>546</v>
      </c>
      <c r="DE19" s="20" t="s">
        <v>546</v>
      </c>
      <c r="DF19" s="20" t="s">
        <v>546</v>
      </c>
      <c r="DG19" s="20" t="s">
        <v>546</v>
      </c>
      <c r="DH19" s="20" t="s">
        <v>546</v>
      </c>
      <c r="DI19" s="20" t="s">
        <v>546</v>
      </c>
      <c r="DJ19" s="20" t="s">
        <v>546</v>
      </c>
      <c r="DK19" s="20" t="s">
        <v>546</v>
      </c>
      <c r="DL19" s="20" t="s">
        <v>546</v>
      </c>
      <c r="DM19" s="20" t="s">
        <v>546</v>
      </c>
      <c r="DN19" s="20" t="s">
        <v>546</v>
      </c>
      <c r="DO19" s="20" t="s">
        <v>546</v>
      </c>
      <c r="DP19" s="20" t="s">
        <v>546</v>
      </c>
      <c r="DQ19" s="20" t="s">
        <v>546</v>
      </c>
      <c r="DR19" s="20" t="s">
        <v>546</v>
      </c>
      <c r="DS19" s="20" t="s">
        <v>546</v>
      </c>
      <c r="DT19" s="20" t="s">
        <v>546</v>
      </c>
      <c r="DU19" s="20" t="s">
        <v>546</v>
      </c>
      <c r="DV19" s="20" t="s">
        <v>546</v>
      </c>
      <c r="DW19" s="20" t="s">
        <v>546</v>
      </c>
      <c r="DX19" s="20" t="s">
        <v>546</v>
      </c>
      <c r="DY19" s="20" t="s">
        <v>546</v>
      </c>
      <c r="DZ19" s="20" t="s">
        <v>546</v>
      </c>
      <c r="EA19" s="20" t="s">
        <v>546</v>
      </c>
      <c r="EB19" s="20" t="s">
        <v>546</v>
      </c>
      <c r="EC19" s="20" t="s">
        <v>546</v>
      </c>
      <c r="ED19" s="20" t="s">
        <v>546</v>
      </c>
      <c r="EE19" s="20" t="s">
        <v>546</v>
      </c>
      <c r="EF19" s="20" t="s">
        <v>546</v>
      </c>
      <c r="EG19" s="20" t="s">
        <v>546</v>
      </c>
      <c r="EH19" s="20" t="s">
        <v>546</v>
      </c>
      <c r="EI19" s="20" t="s">
        <v>546</v>
      </c>
      <c r="EJ19" s="20" t="s">
        <v>546</v>
      </c>
      <c r="EK19" s="20" t="s">
        <v>546</v>
      </c>
      <c r="EL19" s="20" t="s">
        <v>546</v>
      </c>
      <c r="EM19" s="20" t="s">
        <v>546</v>
      </c>
      <c r="EN19" s="20" t="s">
        <v>546</v>
      </c>
      <c r="EO19" s="20" t="s">
        <v>546</v>
      </c>
      <c r="EP19" s="20" t="s">
        <v>546</v>
      </c>
      <c r="EQ19" s="20" t="s">
        <v>546</v>
      </c>
      <c r="ER19" s="20" t="s">
        <v>546</v>
      </c>
      <c r="ES19" s="20" t="s">
        <v>546</v>
      </c>
      <c r="ET19" s="20" t="s">
        <v>546</v>
      </c>
      <c r="EU19" s="20" t="s">
        <v>546</v>
      </c>
      <c r="EV19" s="20" t="s">
        <v>546</v>
      </c>
      <c r="EW19" s="20" t="s">
        <v>546</v>
      </c>
      <c r="EX19" s="20" t="s">
        <v>546</v>
      </c>
      <c r="EY19" s="20" t="s">
        <v>546</v>
      </c>
      <c r="EZ19" s="20" t="s">
        <v>546</v>
      </c>
      <c r="FA19" s="20" t="s">
        <v>546</v>
      </c>
      <c r="FB19" s="20" t="s">
        <v>546</v>
      </c>
      <c r="FC19" s="20" t="s">
        <v>546</v>
      </c>
      <c r="FD19" s="20" t="s">
        <v>546</v>
      </c>
      <c r="FE19" s="20" t="s">
        <v>546</v>
      </c>
      <c r="FF19" s="20" t="s">
        <v>546</v>
      </c>
      <c r="FG19" s="20" t="s">
        <v>546</v>
      </c>
      <c r="FH19" s="20" t="s">
        <v>546</v>
      </c>
      <c r="FI19" s="20" t="s">
        <v>546</v>
      </c>
      <c r="FJ19" s="20" t="s">
        <v>546</v>
      </c>
      <c r="FK19" s="122" t="s">
        <v>805</v>
      </c>
      <c r="FL19" s="124"/>
      <c r="FM19" s="124"/>
      <c r="FN19" s="124"/>
      <c r="FO19" s="124"/>
      <c r="FP19" s="124"/>
      <c r="FQ19" s="124"/>
      <c r="FR19" s="124"/>
      <c r="FS19" s="124"/>
      <c r="FT19" s="124"/>
      <c r="FU19" s="124"/>
      <c r="FV19" s="124"/>
      <c r="FW19" s="124"/>
      <c r="FX19" s="124"/>
      <c r="FY19" s="20" t="s">
        <v>546</v>
      </c>
      <c r="FZ19" s="20" t="s">
        <v>546</v>
      </c>
      <c r="GA19" s="20" t="s">
        <v>546</v>
      </c>
      <c r="GB19" s="20" t="s">
        <v>546</v>
      </c>
      <c r="GC19" s="20" t="s">
        <v>546</v>
      </c>
      <c r="GD19" s="20" t="s">
        <v>546</v>
      </c>
      <c r="GE19" s="20" t="s">
        <v>546</v>
      </c>
      <c r="GF19" s="20" t="s">
        <v>546</v>
      </c>
      <c r="GG19" s="20" t="s">
        <v>546</v>
      </c>
      <c r="GH19" s="20" t="s">
        <v>546</v>
      </c>
      <c r="GI19" s="20" t="s">
        <v>546</v>
      </c>
      <c r="GJ19" s="20" t="s">
        <v>546</v>
      </c>
      <c r="GK19" s="20" t="s">
        <v>546</v>
      </c>
      <c r="GL19" s="20" t="s">
        <v>546</v>
      </c>
      <c r="GM19" s="20" t="s">
        <v>546</v>
      </c>
      <c r="GN19" s="20" t="s">
        <v>546</v>
      </c>
      <c r="GO19" s="20" t="s">
        <v>546</v>
      </c>
      <c r="GP19" s="20" t="s">
        <v>546</v>
      </c>
      <c r="GQ19" s="20" t="s">
        <v>546</v>
      </c>
      <c r="GR19" s="20" t="s">
        <v>546</v>
      </c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</row>
    <row r="20" spans="1:249">
      <c r="A20" s="131"/>
      <c r="B20" s="119" t="s">
        <v>300</v>
      </c>
      <c r="C20" s="21" t="s">
        <v>735</v>
      </c>
      <c r="D20" s="125">
        <v>0.15</v>
      </c>
      <c r="E20" s="20"/>
      <c r="F20" s="20"/>
      <c r="G20" s="20"/>
      <c r="H20" s="20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20"/>
      <c r="V20" s="20"/>
      <c r="W20" s="20"/>
      <c r="X20" s="20"/>
      <c r="Y20" s="20"/>
      <c r="Z20" s="20"/>
      <c r="AA20" s="20"/>
      <c r="AB20" s="124"/>
      <c r="AC20" s="124"/>
      <c r="AD20" s="124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117" t="s">
        <v>787</v>
      </c>
      <c r="BC20" s="117"/>
      <c r="BD20" s="117"/>
      <c r="BE20" s="117"/>
      <c r="BF20" s="117"/>
      <c r="BG20" s="117"/>
      <c r="BH20" s="117"/>
      <c r="BI20" s="117"/>
      <c r="BJ20" s="117"/>
      <c r="BK20" s="117"/>
      <c r="BL20" s="117"/>
      <c r="BM20" s="20" t="s">
        <v>546</v>
      </c>
      <c r="BN20" s="20" t="s">
        <v>546</v>
      </c>
      <c r="BO20" s="20" t="s">
        <v>546</v>
      </c>
      <c r="BP20" s="20" t="s">
        <v>546</v>
      </c>
      <c r="BQ20" s="20" t="s">
        <v>546</v>
      </c>
      <c r="BR20" s="20" t="s">
        <v>546</v>
      </c>
      <c r="BS20" s="20" t="s">
        <v>546</v>
      </c>
      <c r="BT20" s="20" t="s">
        <v>546</v>
      </c>
      <c r="BU20" s="20" t="s">
        <v>546</v>
      </c>
      <c r="BV20" s="20" t="s">
        <v>546</v>
      </c>
      <c r="BW20" s="20" t="s">
        <v>546</v>
      </c>
      <c r="BX20" s="20" t="s">
        <v>546</v>
      </c>
      <c r="BY20" s="20" t="s">
        <v>546</v>
      </c>
      <c r="BZ20" s="20" t="s">
        <v>546</v>
      </c>
      <c r="CA20" s="20" t="s">
        <v>546</v>
      </c>
      <c r="CB20" s="20" t="s">
        <v>546</v>
      </c>
      <c r="CC20" s="132" t="s">
        <v>766</v>
      </c>
      <c r="CD20" s="121"/>
      <c r="CE20" s="121"/>
      <c r="CF20" s="121"/>
      <c r="CG20" s="121"/>
      <c r="CH20" s="121"/>
      <c r="CI20" s="121"/>
      <c r="CJ20" s="121"/>
      <c r="CK20" s="20" t="s">
        <v>546</v>
      </c>
      <c r="CL20" s="20" t="s">
        <v>546</v>
      </c>
      <c r="CM20" s="20" t="s">
        <v>546</v>
      </c>
      <c r="CN20" s="20" t="s">
        <v>546</v>
      </c>
      <c r="CO20" s="117" t="s">
        <v>766</v>
      </c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20" t="s">
        <v>546</v>
      </c>
      <c r="DC20" s="20" t="s">
        <v>546</v>
      </c>
      <c r="DD20" s="20" t="s">
        <v>546</v>
      </c>
      <c r="DE20" s="20" t="s">
        <v>546</v>
      </c>
      <c r="DF20" s="20" t="s">
        <v>546</v>
      </c>
      <c r="DG20" s="20" t="s">
        <v>546</v>
      </c>
      <c r="DH20" s="20" t="s">
        <v>546</v>
      </c>
      <c r="DI20" s="20" t="s">
        <v>546</v>
      </c>
      <c r="DJ20" s="20" t="s">
        <v>546</v>
      </c>
      <c r="DK20" s="20" t="s">
        <v>546</v>
      </c>
      <c r="DL20" s="20" t="s">
        <v>546</v>
      </c>
      <c r="DM20" s="20" t="s">
        <v>546</v>
      </c>
      <c r="DN20" s="20" t="s">
        <v>546</v>
      </c>
      <c r="DO20" s="20" t="s">
        <v>546</v>
      </c>
      <c r="DP20" s="20" t="s">
        <v>546</v>
      </c>
      <c r="DQ20" s="20" t="s">
        <v>546</v>
      </c>
      <c r="DR20" s="20" t="s">
        <v>546</v>
      </c>
      <c r="DS20" s="20" t="s">
        <v>546</v>
      </c>
      <c r="DT20" s="20" t="s">
        <v>546</v>
      </c>
      <c r="DU20" s="20" t="s">
        <v>546</v>
      </c>
      <c r="DV20" s="20" t="s">
        <v>546</v>
      </c>
      <c r="DW20" s="20" t="s">
        <v>546</v>
      </c>
      <c r="DX20" s="20" t="s">
        <v>546</v>
      </c>
      <c r="DY20" s="20" t="s">
        <v>546</v>
      </c>
      <c r="DZ20" s="20" t="s">
        <v>546</v>
      </c>
      <c r="EA20" s="20" t="s">
        <v>546</v>
      </c>
      <c r="EB20" s="20" t="s">
        <v>546</v>
      </c>
      <c r="EC20" s="20" t="s">
        <v>546</v>
      </c>
      <c r="ED20" s="20" t="s">
        <v>546</v>
      </c>
      <c r="EE20" s="20" t="s">
        <v>546</v>
      </c>
      <c r="EF20" s="20" t="s">
        <v>546</v>
      </c>
      <c r="EG20" s="20" t="s">
        <v>546</v>
      </c>
      <c r="EH20" s="20" t="s">
        <v>546</v>
      </c>
      <c r="EI20" s="20" t="s">
        <v>546</v>
      </c>
      <c r="EJ20" s="20" t="s">
        <v>546</v>
      </c>
      <c r="EK20" s="117" t="s">
        <v>766</v>
      </c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20" t="s">
        <v>546</v>
      </c>
      <c r="EW20" s="117" t="s">
        <v>806</v>
      </c>
      <c r="EX20" s="117"/>
      <c r="EY20" s="117"/>
      <c r="EZ20" s="117"/>
      <c r="FA20" s="20" t="s">
        <v>546</v>
      </c>
      <c r="FB20" s="20" t="s">
        <v>546</v>
      </c>
      <c r="FC20" s="20" t="s">
        <v>546</v>
      </c>
      <c r="FD20" s="20" t="s">
        <v>546</v>
      </c>
      <c r="FE20" s="20" t="s">
        <v>546</v>
      </c>
      <c r="FF20" s="20" t="s">
        <v>546</v>
      </c>
      <c r="FG20" s="20" t="s">
        <v>546</v>
      </c>
      <c r="FH20" s="20" t="s">
        <v>546</v>
      </c>
      <c r="FI20" s="20" t="s">
        <v>546</v>
      </c>
      <c r="FJ20" s="20" t="s">
        <v>546</v>
      </c>
      <c r="FK20" s="20" t="s">
        <v>546</v>
      </c>
      <c r="FL20" s="20" t="s">
        <v>546</v>
      </c>
      <c r="FM20" s="20" t="s">
        <v>546</v>
      </c>
      <c r="FN20" s="20" t="s">
        <v>546</v>
      </c>
      <c r="FO20" s="20" t="s">
        <v>546</v>
      </c>
      <c r="FP20" s="20" t="s">
        <v>546</v>
      </c>
      <c r="FQ20" s="20" t="s">
        <v>546</v>
      </c>
      <c r="FR20" s="20" t="s">
        <v>546</v>
      </c>
      <c r="FS20" s="20" t="s">
        <v>546</v>
      </c>
      <c r="FT20" s="20" t="s">
        <v>546</v>
      </c>
      <c r="FU20" s="20" t="s">
        <v>546</v>
      </c>
      <c r="FV20" s="20" t="s">
        <v>546</v>
      </c>
      <c r="FW20" s="20" t="s">
        <v>546</v>
      </c>
      <c r="FX20" s="20" t="s">
        <v>546</v>
      </c>
      <c r="FY20" s="20" t="s">
        <v>546</v>
      </c>
      <c r="FZ20" s="20" t="s">
        <v>546</v>
      </c>
      <c r="GA20" s="20" t="s">
        <v>546</v>
      </c>
      <c r="GB20" s="20" t="s">
        <v>546</v>
      </c>
      <c r="GC20" s="20" t="s">
        <v>546</v>
      </c>
      <c r="GD20" s="20" t="s">
        <v>546</v>
      </c>
      <c r="GE20" s="20" t="s">
        <v>546</v>
      </c>
      <c r="GF20" s="20" t="s">
        <v>546</v>
      </c>
      <c r="GG20" s="20" t="s">
        <v>546</v>
      </c>
      <c r="GH20" s="20" t="s">
        <v>546</v>
      </c>
      <c r="GI20" s="20" t="s">
        <v>546</v>
      </c>
      <c r="GJ20" s="20" t="s">
        <v>546</v>
      </c>
      <c r="GK20" s="20" t="s">
        <v>546</v>
      </c>
      <c r="GL20" s="20" t="s">
        <v>546</v>
      </c>
      <c r="GM20" s="20" t="s">
        <v>546</v>
      </c>
      <c r="GN20" s="20" t="s">
        <v>546</v>
      </c>
      <c r="GO20" s="20" t="s">
        <v>546</v>
      </c>
      <c r="GP20" s="20" t="s">
        <v>546</v>
      </c>
      <c r="GQ20" s="20" t="s">
        <v>546</v>
      </c>
      <c r="GR20" s="20" t="s">
        <v>546</v>
      </c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</row>
    <row r="21" spans="1:249">
      <c r="A21" s="133"/>
      <c r="B21" s="129"/>
      <c r="C21" s="130" t="s">
        <v>733</v>
      </c>
      <c r="D21" s="134" t="s">
        <v>807</v>
      </c>
      <c r="E21" s="20"/>
      <c r="F21" s="20"/>
      <c r="G21" s="20"/>
      <c r="H21" s="20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20"/>
      <c r="V21" s="20"/>
      <c r="W21" s="20"/>
      <c r="X21" s="20"/>
      <c r="Y21" s="20"/>
      <c r="Z21" s="20"/>
      <c r="AA21" s="20"/>
      <c r="AB21" s="124"/>
      <c r="AC21" s="124"/>
      <c r="AD21" s="124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 t="s">
        <v>546</v>
      </c>
      <c r="BC21" s="20" t="s">
        <v>546</v>
      </c>
      <c r="BD21" s="20" t="s">
        <v>546</v>
      </c>
      <c r="BE21" s="20" t="s">
        <v>546</v>
      </c>
      <c r="BF21" s="20" t="s">
        <v>546</v>
      </c>
      <c r="BG21" s="20" t="s">
        <v>546</v>
      </c>
      <c r="BH21" s="20" t="s">
        <v>546</v>
      </c>
      <c r="BI21" s="20" t="s">
        <v>546</v>
      </c>
      <c r="BJ21" s="20" t="s">
        <v>546</v>
      </c>
      <c r="BK21" s="20" t="s">
        <v>546</v>
      </c>
      <c r="BL21" s="20" t="s">
        <v>546</v>
      </c>
      <c r="BM21" s="122" t="s">
        <v>808</v>
      </c>
      <c r="BN21" s="124"/>
      <c r="BO21" s="124"/>
      <c r="BP21" s="124"/>
      <c r="BQ21" s="124"/>
      <c r="BR21" s="124"/>
      <c r="BS21" s="124"/>
      <c r="BT21" s="124"/>
      <c r="BU21" s="124"/>
      <c r="BV21" s="124"/>
      <c r="BW21" s="124"/>
      <c r="BX21" s="124"/>
      <c r="BY21" s="124"/>
      <c r="BZ21" s="124"/>
      <c r="CA21" s="124"/>
      <c r="CB21" s="20" t="s">
        <v>546</v>
      </c>
      <c r="CC21" s="20" t="s">
        <v>546</v>
      </c>
      <c r="CD21" s="20" t="s">
        <v>546</v>
      </c>
      <c r="CE21" s="20" t="s">
        <v>546</v>
      </c>
      <c r="CF21" s="20" t="s">
        <v>546</v>
      </c>
      <c r="CG21" s="20" t="s">
        <v>546</v>
      </c>
      <c r="CH21" s="122" t="s">
        <v>809</v>
      </c>
      <c r="CI21" s="124"/>
      <c r="CJ21" s="124"/>
      <c r="CK21" s="124"/>
      <c r="CL21" s="124"/>
      <c r="CM21" s="124"/>
      <c r="CN21" s="124"/>
      <c r="CO21" s="20" t="s">
        <v>546</v>
      </c>
      <c r="CP21" s="20" t="s">
        <v>546</v>
      </c>
      <c r="CQ21" s="20" t="s">
        <v>546</v>
      </c>
      <c r="CR21" s="20" t="s">
        <v>546</v>
      </c>
      <c r="CS21" s="20" t="s">
        <v>546</v>
      </c>
      <c r="CT21" s="20" t="s">
        <v>546</v>
      </c>
      <c r="CU21" s="20" t="s">
        <v>546</v>
      </c>
      <c r="CV21" s="20" t="s">
        <v>546</v>
      </c>
      <c r="CW21" s="20" t="s">
        <v>546</v>
      </c>
      <c r="CX21" s="20" t="s">
        <v>546</v>
      </c>
      <c r="CY21" s="20" t="s">
        <v>546</v>
      </c>
      <c r="CZ21" s="20" t="s">
        <v>546</v>
      </c>
      <c r="DA21" s="20" t="s">
        <v>546</v>
      </c>
      <c r="DB21" s="20" t="s">
        <v>546</v>
      </c>
      <c r="DC21" s="20" t="s">
        <v>546</v>
      </c>
      <c r="DD21" s="20" t="s">
        <v>546</v>
      </c>
      <c r="DE21" s="20" t="s">
        <v>546</v>
      </c>
      <c r="DF21" s="122" t="s">
        <v>810</v>
      </c>
      <c r="DG21" s="124"/>
      <c r="DH21" s="124"/>
      <c r="DI21" s="124"/>
      <c r="DJ21" s="124"/>
      <c r="DK21" s="124"/>
      <c r="DL21" s="124"/>
      <c r="DM21" s="124"/>
      <c r="DN21" s="20" t="s">
        <v>546</v>
      </c>
      <c r="DO21" s="20" t="s">
        <v>546</v>
      </c>
      <c r="DP21" s="20" t="s">
        <v>546</v>
      </c>
      <c r="DQ21" s="20" t="s">
        <v>546</v>
      </c>
      <c r="DR21" s="20" t="s">
        <v>546</v>
      </c>
      <c r="DS21" s="20" t="s">
        <v>546</v>
      </c>
      <c r="DT21" s="20" t="s">
        <v>546</v>
      </c>
      <c r="DU21" s="20" t="s">
        <v>546</v>
      </c>
      <c r="DV21" s="20" t="s">
        <v>546</v>
      </c>
      <c r="DW21" s="122" t="s">
        <v>811</v>
      </c>
      <c r="DX21" s="124"/>
      <c r="DY21" s="124"/>
      <c r="DZ21" s="124"/>
      <c r="EA21" s="124"/>
      <c r="EB21" s="124"/>
      <c r="EC21" s="124"/>
      <c r="ED21" s="124"/>
      <c r="EE21" s="124"/>
      <c r="EF21" s="124"/>
      <c r="EG21" s="124"/>
      <c r="EH21" s="124"/>
      <c r="EI21" s="124"/>
      <c r="EJ21" s="20" t="s">
        <v>546</v>
      </c>
      <c r="EK21" s="20" t="s">
        <v>546</v>
      </c>
      <c r="EL21" s="20" t="s">
        <v>546</v>
      </c>
      <c r="EM21" s="20" t="s">
        <v>546</v>
      </c>
      <c r="EN21" s="20" t="s">
        <v>546</v>
      </c>
      <c r="EO21" s="20" t="s">
        <v>546</v>
      </c>
      <c r="EP21" s="20" t="s">
        <v>546</v>
      </c>
      <c r="EQ21" s="20" t="s">
        <v>546</v>
      </c>
      <c r="ER21" s="20" t="s">
        <v>546</v>
      </c>
      <c r="ES21" s="20" t="s">
        <v>546</v>
      </c>
      <c r="ET21" s="20" t="s">
        <v>546</v>
      </c>
      <c r="EU21" s="20" t="s">
        <v>546</v>
      </c>
      <c r="EV21" s="20" t="s">
        <v>546</v>
      </c>
      <c r="EW21" s="20" t="s">
        <v>546</v>
      </c>
      <c r="EX21" s="20" t="s">
        <v>546</v>
      </c>
      <c r="EY21" s="20" t="s">
        <v>546</v>
      </c>
      <c r="EZ21" s="20" t="s">
        <v>546</v>
      </c>
      <c r="FA21" s="122" t="s">
        <v>812</v>
      </c>
      <c r="FB21" s="122"/>
      <c r="FC21" s="122"/>
      <c r="FD21" s="122"/>
      <c r="FE21" s="122"/>
      <c r="FF21" s="122"/>
      <c r="FG21" s="122"/>
      <c r="FH21" s="122"/>
      <c r="FI21" s="122"/>
      <c r="FJ21" s="122"/>
      <c r="FK21" s="20" t="s">
        <v>546</v>
      </c>
      <c r="FL21" s="20" t="s">
        <v>546</v>
      </c>
      <c r="FM21" s="20" t="s">
        <v>546</v>
      </c>
      <c r="FN21" s="20" t="s">
        <v>546</v>
      </c>
      <c r="FO21" s="20" t="s">
        <v>546</v>
      </c>
      <c r="FP21" s="20" t="s">
        <v>546</v>
      </c>
      <c r="FQ21" s="20" t="s">
        <v>546</v>
      </c>
      <c r="FR21" s="20" t="s">
        <v>546</v>
      </c>
      <c r="FS21" s="122" t="s">
        <v>813</v>
      </c>
      <c r="FT21" s="124"/>
      <c r="FU21" s="124"/>
      <c r="FV21" s="124"/>
      <c r="FW21" s="124"/>
      <c r="FX21" s="124"/>
      <c r="FY21" s="124"/>
      <c r="FZ21" s="20" t="s">
        <v>546</v>
      </c>
      <c r="GA21" s="20" t="s">
        <v>546</v>
      </c>
      <c r="GB21" s="20" t="s">
        <v>546</v>
      </c>
      <c r="GC21" s="20" t="s">
        <v>546</v>
      </c>
      <c r="GD21" s="20" t="s">
        <v>546</v>
      </c>
      <c r="GE21" s="20" t="s">
        <v>546</v>
      </c>
      <c r="GF21" s="20" t="s">
        <v>546</v>
      </c>
      <c r="GG21" s="20" t="s">
        <v>546</v>
      </c>
      <c r="GH21" s="20" t="s">
        <v>546</v>
      </c>
      <c r="GI21" s="20" t="s">
        <v>546</v>
      </c>
      <c r="GJ21" s="20" t="s">
        <v>546</v>
      </c>
      <c r="GK21" s="20" t="s">
        <v>546</v>
      </c>
      <c r="GL21" s="20" t="s">
        <v>546</v>
      </c>
      <c r="GM21" s="20" t="s">
        <v>546</v>
      </c>
      <c r="GN21" s="20" t="s">
        <v>546</v>
      </c>
      <c r="GO21" s="20" t="s">
        <v>546</v>
      </c>
      <c r="GP21" s="20" t="s">
        <v>546</v>
      </c>
      <c r="GQ21" s="20" t="s">
        <v>546</v>
      </c>
      <c r="GR21" s="20" t="s">
        <v>546</v>
      </c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</row>
    <row r="22" spans="1:249">
      <c r="A22" s="113" t="s">
        <v>814</v>
      </c>
      <c r="B22" s="114" t="s">
        <v>277</v>
      </c>
      <c r="C22" s="115" t="s">
        <v>735</v>
      </c>
      <c r="D22" s="116">
        <v>0.15</v>
      </c>
      <c r="E22" s="123" t="s">
        <v>815</v>
      </c>
      <c r="F22" s="123"/>
      <c r="G22" s="123"/>
      <c r="H22" s="122" t="s">
        <v>816</v>
      </c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17" t="s">
        <v>817</v>
      </c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 t="s">
        <v>546</v>
      </c>
      <c r="AY22" s="20" t="s">
        <v>546</v>
      </c>
      <c r="AZ22" s="20" t="s">
        <v>546</v>
      </c>
      <c r="BA22" s="20" t="s">
        <v>546</v>
      </c>
      <c r="BB22" s="20" t="s">
        <v>546</v>
      </c>
      <c r="BC22" s="20" t="s">
        <v>546</v>
      </c>
      <c r="BD22" s="20" t="s">
        <v>546</v>
      </c>
      <c r="BE22" s="20" t="s">
        <v>546</v>
      </c>
      <c r="BF22" s="121" t="s">
        <v>818</v>
      </c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17" t="s">
        <v>819</v>
      </c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</row>
    <row r="23" spans="1:249">
      <c r="A23" s="118"/>
      <c r="B23" s="119"/>
      <c r="C23" s="21" t="s">
        <v>733</v>
      </c>
      <c r="D23" s="120" t="s">
        <v>820</v>
      </c>
      <c r="E23" s="20" t="s">
        <v>546</v>
      </c>
      <c r="F23" s="20" t="s">
        <v>546</v>
      </c>
      <c r="G23" s="20" t="s">
        <v>546</v>
      </c>
      <c r="H23" s="20" t="s">
        <v>546</v>
      </c>
      <c r="I23" s="20" t="s">
        <v>546</v>
      </c>
      <c r="J23" s="20" t="s">
        <v>546</v>
      </c>
      <c r="K23" s="20" t="s">
        <v>546</v>
      </c>
      <c r="L23" s="20" t="s">
        <v>546</v>
      </c>
      <c r="M23" s="20" t="s">
        <v>546</v>
      </c>
      <c r="N23" s="20" t="s">
        <v>546</v>
      </c>
      <c r="O23" s="20" t="s">
        <v>546</v>
      </c>
      <c r="P23" s="20" t="s">
        <v>546</v>
      </c>
      <c r="Q23" s="20" t="s">
        <v>546</v>
      </c>
      <c r="R23" s="20" t="s">
        <v>546</v>
      </c>
      <c r="S23" s="20" t="s">
        <v>546</v>
      </c>
      <c r="T23" s="20" t="s">
        <v>546</v>
      </c>
      <c r="U23" s="20" t="s">
        <v>546</v>
      </c>
      <c r="V23" s="20" t="s">
        <v>546</v>
      </c>
      <c r="W23" s="20" t="s">
        <v>546</v>
      </c>
      <c r="X23" s="20" t="s">
        <v>546</v>
      </c>
      <c r="Y23" s="20" t="s">
        <v>546</v>
      </c>
      <c r="Z23" s="20" t="s">
        <v>546</v>
      </c>
      <c r="AA23" s="20" t="s">
        <v>546</v>
      </c>
      <c r="AB23" s="20" t="s">
        <v>546</v>
      </c>
      <c r="AC23" s="20" t="s">
        <v>546</v>
      </c>
      <c r="AD23" s="20" t="s">
        <v>546</v>
      </c>
      <c r="AE23" s="20" t="s">
        <v>546</v>
      </c>
      <c r="AF23" s="20" t="s">
        <v>546</v>
      </c>
      <c r="AG23" s="20" t="s">
        <v>546</v>
      </c>
      <c r="AH23" s="20" t="s">
        <v>546</v>
      </c>
      <c r="AI23" s="20" t="s">
        <v>546</v>
      </c>
      <c r="AJ23" s="20" t="s">
        <v>546</v>
      </c>
      <c r="AK23" s="20" t="s">
        <v>546</v>
      </c>
      <c r="AL23" s="20" t="s">
        <v>546</v>
      </c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20" t="s">
        <v>546</v>
      </c>
      <c r="AY23" s="20" t="s">
        <v>546</v>
      </c>
      <c r="AZ23" s="20" t="s">
        <v>546</v>
      </c>
      <c r="BA23" s="20" t="s">
        <v>546</v>
      </c>
      <c r="BB23" s="20" t="s">
        <v>546</v>
      </c>
      <c r="BC23" s="20" t="s">
        <v>546</v>
      </c>
      <c r="BD23" s="20" t="s">
        <v>546</v>
      </c>
      <c r="BE23" s="20" t="s">
        <v>546</v>
      </c>
      <c r="BF23" s="20" t="s">
        <v>546</v>
      </c>
      <c r="BG23" s="20" t="s">
        <v>546</v>
      </c>
      <c r="BH23" s="20" t="s">
        <v>546</v>
      </c>
      <c r="BI23" s="20" t="s">
        <v>546</v>
      </c>
      <c r="BJ23" s="20" t="s">
        <v>546</v>
      </c>
      <c r="BK23" s="20" t="s">
        <v>546</v>
      </c>
      <c r="BL23" s="20" t="s">
        <v>546</v>
      </c>
      <c r="BM23" s="20" t="s">
        <v>546</v>
      </c>
      <c r="BN23" s="20" t="s">
        <v>546</v>
      </c>
      <c r="BO23" s="20" t="s">
        <v>546</v>
      </c>
      <c r="BP23" s="20" t="s">
        <v>546</v>
      </c>
      <c r="BQ23" s="20" t="s">
        <v>546</v>
      </c>
      <c r="BR23" s="20" t="s">
        <v>546</v>
      </c>
      <c r="BS23" s="20" t="s">
        <v>546</v>
      </c>
      <c r="BT23" s="20" t="s">
        <v>546</v>
      </c>
      <c r="BU23" s="20" t="s">
        <v>546</v>
      </c>
      <c r="BV23" s="20" t="s">
        <v>546</v>
      </c>
      <c r="BW23" s="20" t="s">
        <v>546</v>
      </c>
      <c r="BX23" s="20" t="s">
        <v>546</v>
      </c>
      <c r="BY23" s="20" t="s">
        <v>546</v>
      </c>
      <c r="BZ23" s="20" t="s">
        <v>546</v>
      </c>
      <c r="CA23" s="20" t="s">
        <v>546</v>
      </c>
      <c r="CB23" s="20" t="s">
        <v>546</v>
      </c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</row>
    <row r="24" spans="1:249">
      <c r="A24" s="118"/>
      <c r="B24" s="119" t="s">
        <v>511</v>
      </c>
      <c r="C24" s="21" t="s">
        <v>735</v>
      </c>
      <c r="D24" s="125">
        <v>0.15</v>
      </c>
      <c r="E24" s="20" t="s">
        <v>546</v>
      </c>
      <c r="F24" s="20" t="s">
        <v>546</v>
      </c>
      <c r="G24" s="20" t="s">
        <v>546</v>
      </c>
      <c r="H24" s="20" t="s">
        <v>546</v>
      </c>
      <c r="I24" s="20" t="s">
        <v>546</v>
      </c>
      <c r="J24" s="20" t="s">
        <v>546</v>
      </c>
      <c r="K24" s="20" t="s">
        <v>546</v>
      </c>
      <c r="L24" s="20" t="s">
        <v>546</v>
      </c>
      <c r="M24" s="20" t="s">
        <v>546</v>
      </c>
      <c r="N24" s="20" t="s">
        <v>546</v>
      </c>
      <c r="O24" s="20" t="s">
        <v>546</v>
      </c>
      <c r="P24" s="20" t="s">
        <v>546</v>
      </c>
      <c r="Q24" s="20" t="s">
        <v>546</v>
      </c>
      <c r="R24" s="20" t="s">
        <v>546</v>
      </c>
      <c r="S24" s="20" t="s">
        <v>546</v>
      </c>
      <c r="T24" s="117" t="s">
        <v>821</v>
      </c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20" t="s">
        <v>546</v>
      </c>
      <c r="AY24" s="20" t="s">
        <v>546</v>
      </c>
      <c r="AZ24" s="20" t="s">
        <v>546</v>
      </c>
      <c r="BA24" s="20" t="s">
        <v>546</v>
      </c>
      <c r="BB24" s="20" t="s">
        <v>546</v>
      </c>
      <c r="BC24" s="20" t="s">
        <v>546</v>
      </c>
      <c r="BD24" s="20" t="s">
        <v>546</v>
      </c>
      <c r="BE24" s="20" t="s">
        <v>546</v>
      </c>
      <c r="BF24" s="121" t="s">
        <v>818</v>
      </c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 t="s">
        <v>819</v>
      </c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20" t="s">
        <v>546</v>
      </c>
      <c r="CD24" s="20" t="s">
        <v>546</v>
      </c>
      <c r="CE24" s="20" t="s">
        <v>546</v>
      </c>
      <c r="CF24" s="20" t="s">
        <v>546</v>
      </c>
      <c r="CG24" s="20" t="s">
        <v>546</v>
      </c>
      <c r="CH24" s="20" t="s">
        <v>546</v>
      </c>
      <c r="CI24" s="20" t="s">
        <v>546</v>
      </c>
      <c r="CJ24" s="20" t="s">
        <v>546</v>
      </c>
      <c r="CK24" s="20" t="s">
        <v>546</v>
      </c>
      <c r="CL24" s="20" t="s">
        <v>546</v>
      </c>
      <c r="CM24" s="20" t="s">
        <v>546</v>
      </c>
      <c r="CN24" s="20" t="s">
        <v>546</v>
      </c>
      <c r="CO24" s="20" t="s">
        <v>546</v>
      </c>
      <c r="CP24" s="20" t="s">
        <v>546</v>
      </c>
      <c r="CQ24" s="20" t="s">
        <v>546</v>
      </c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</row>
    <row r="25" ht="12" spans="1:249">
      <c r="A25" s="118"/>
      <c r="B25" s="119"/>
      <c r="C25" s="21" t="s">
        <v>733</v>
      </c>
      <c r="D25" s="120" t="s">
        <v>822</v>
      </c>
      <c r="E25" s="123" t="s">
        <v>823</v>
      </c>
      <c r="F25" s="123"/>
      <c r="G25" s="123"/>
      <c r="H25" s="122" t="s">
        <v>824</v>
      </c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20" t="s">
        <v>546</v>
      </c>
      <c r="U25" s="20" t="s">
        <v>546</v>
      </c>
      <c r="V25" s="20" t="s">
        <v>546</v>
      </c>
      <c r="W25" s="20" t="s">
        <v>546</v>
      </c>
      <c r="X25" s="20" t="s">
        <v>546</v>
      </c>
      <c r="Y25" s="20" t="s">
        <v>546</v>
      </c>
      <c r="Z25" s="20" t="s">
        <v>546</v>
      </c>
      <c r="AA25" s="20" t="s">
        <v>546</v>
      </c>
      <c r="AB25" s="20" t="s">
        <v>546</v>
      </c>
      <c r="AC25" s="20" t="s">
        <v>546</v>
      </c>
      <c r="AD25" s="20" t="s">
        <v>546</v>
      </c>
      <c r="AE25" s="20" t="s">
        <v>546</v>
      </c>
      <c r="AF25" s="20" t="s">
        <v>546</v>
      </c>
      <c r="AG25" s="20" t="s">
        <v>546</v>
      </c>
      <c r="AH25" s="20" t="s">
        <v>546</v>
      </c>
      <c r="AI25" s="20" t="s">
        <v>546</v>
      </c>
      <c r="AJ25" s="20" t="s">
        <v>546</v>
      </c>
      <c r="AK25" s="20" t="s">
        <v>546</v>
      </c>
      <c r="AL25" s="20" t="s">
        <v>546</v>
      </c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20" t="s">
        <v>546</v>
      </c>
      <c r="AY25" s="20" t="s">
        <v>546</v>
      </c>
      <c r="AZ25" s="20" t="s">
        <v>546</v>
      </c>
      <c r="BA25" s="20" t="s">
        <v>546</v>
      </c>
      <c r="BB25" s="20" t="s">
        <v>546</v>
      </c>
      <c r="BC25" s="20" t="s">
        <v>546</v>
      </c>
      <c r="BD25" s="20" t="s">
        <v>546</v>
      </c>
      <c r="BE25" s="20" t="s">
        <v>546</v>
      </c>
      <c r="BF25" s="20" t="s">
        <v>546</v>
      </c>
      <c r="BG25" s="20" t="s">
        <v>546</v>
      </c>
      <c r="BH25" s="20" t="s">
        <v>546</v>
      </c>
      <c r="BI25" s="20" t="s">
        <v>546</v>
      </c>
      <c r="BJ25" s="20" t="s">
        <v>546</v>
      </c>
      <c r="BK25" s="20" t="s">
        <v>546</v>
      </c>
      <c r="BL25" s="20" t="s">
        <v>546</v>
      </c>
      <c r="BM25" s="20" t="s">
        <v>546</v>
      </c>
      <c r="BN25" s="20" t="s">
        <v>546</v>
      </c>
      <c r="BO25" s="20" t="s">
        <v>546</v>
      </c>
      <c r="BP25" s="20" t="s">
        <v>546</v>
      </c>
      <c r="BQ25" s="20" t="s">
        <v>546</v>
      </c>
      <c r="BR25" s="20" t="s">
        <v>546</v>
      </c>
      <c r="BS25" s="20" t="s">
        <v>546</v>
      </c>
      <c r="BT25" s="20" t="s">
        <v>546</v>
      </c>
      <c r="BU25" s="20" t="s">
        <v>546</v>
      </c>
      <c r="BV25" s="20" t="s">
        <v>546</v>
      </c>
      <c r="BW25" s="20" t="s">
        <v>546</v>
      </c>
      <c r="BX25" s="20" t="s">
        <v>546</v>
      </c>
      <c r="BY25" s="20" t="s">
        <v>546</v>
      </c>
      <c r="BZ25" s="20" t="s">
        <v>546</v>
      </c>
      <c r="CA25" s="20" t="s">
        <v>546</v>
      </c>
      <c r="CB25" s="20" t="s">
        <v>546</v>
      </c>
      <c r="CC25" s="20" t="s">
        <v>546</v>
      </c>
      <c r="CD25" s="122" t="s">
        <v>825</v>
      </c>
      <c r="CE25" s="124"/>
      <c r="CF25" s="124"/>
      <c r="CG25" s="124"/>
      <c r="CH25" s="124"/>
      <c r="CI25" s="124"/>
      <c r="CJ25" s="124"/>
      <c r="CK25" s="124"/>
      <c r="CL25" s="124"/>
      <c r="CM25" s="124"/>
      <c r="CN25" s="124"/>
      <c r="CO25" s="124"/>
      <c r="CP25" s="124"/>
      <c r="CQ25" s="12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</row>
    <row r="26" spans="1:249">
      <c r="A26" s="118"/>
      <c r="B26" s="119" t="s">
        <v>513</v>
      </c>
      <c r="C26" s="21" t="s">
        <v>735</v>
      </c>
      <c r="D26" s="125">
        <v>0.15</v>
      </c>
      <c r="E26" s="20" t="s">
        <v>546</v>
      </c>
      <c r="F26" s="20" t="s">
        <v>546</v>
      </c>
      <c r="G26" s="20" t="s">
        <v>546</v>
      </c>
      <c r="H26" s="20" t="s">
        <v>546</v>
      </c>
      <c r="I26" s="20" t="s">
        <v>546</v>
      </c>
      <c r="J26" s="20" t="s">
        <v>546</v>
      </c>
      <c r="K26" s="20" t="s">
        <v>546</v>
      </c>
      <c r="L26" s="20" t="s">
        <v>546</v>
      </c>
      <c r="M26" s="20" t="s">
        <v>546</v>
      </c>
      <c r="N26" s="20" t="s">
        <v>546</v>
      </c>
      <c r="O26" s="20" t="s">
        <v>546</v>
      </c>
      <c r="P26" s="20" t="s">
        <v>546</v>
      </c>
      <c r="Q26" s="20" t="s">
        <v>546</v>
      </c>
      <c r="R26" s="20" t="s">
        <v>546</v>
      </c>
      <c r="S26" s="20" t="s">
        <v>546</v>
      </c>
      <c r="T26" s="121" t="s">
        <v>821</v>
      </c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20" t="s">
        <v>546</v>
      </c>
      <c r="AY26" s="20" t="s">
        <v>546</v>
      </c>
      <c r="AZ26" s="20" t="s">
        <v>546</v>
      </c>
      <c r="BA26" s="20" t="s">
        <v>546</v>
      </c>
      <c r="BB26" s="20" t="s">
        <v>546</v>
      </c>
      <c r="BC26" s="20" t="s">
        <v>546</v>
      </c>
      <c r="BD26" s="20" t="s">
        <v>546</v>
      </c>
      <c r="BE26" s="20" t="s">
        <v>546</v>
      </c>
      <c r="BF26" s="20" t="s">
        <v>546</v>
      </c>
      <c r="BG26" s="20" t="s">
        <v>546</v>
      </c>
      <c r="BH26" s="20" t="s">
        <v>546</v>
      </c>
      <c r="BI26" s="20" t="s">
        <v>546</v>
      </c>
      <c r="BJ26" s="20" t="s">
        <v>546</v>
      </c>
      <c r="BK26" s="20" t="s">
        <v>546</v>
      </c>
      <c r="BL26" s="20" t="s">
        <v>546</v>
      </c>
      <c r="BM26" s="20" t="s">
        <v>546</v>
      </c>
      <c r="BN26" s="20" t="s">
        <v>546</v>
      </c>
      <c r="BO26" s="20" t="s">
        <v>546</v>
      </c>
      <c r="BP26" s="20" t="s">
        <v>546</v>
      </c>
      <c r="BQ26" s="20" t="s">
        <v>546</v>
      </c>
      <c r="BR26" s="121" t="s">
        <v>819</v>
      </c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20" t="s">
        <v>546</v>
      </c>
      <c r="CD26" s="20" t="s">
        <v>546</v>
      </c>
      <c r="CE26" s="20" t="s">
        <v>546</v>
      </c>
      <c r="CF26" s="20" t="s">
        <v>546</v>
      </c>
      <c r="CG26" s="20" t="s">
        <v>546</v>
      </c>
      <c r="CH26" s="20" t="s">
        <v>546</v>
      </c>
      <c r="CI26" s="20" t="s">
        <v>546</v>
      </c>
      <c r="CJ26" s="20" t="s">
        <v>546</v>
      </c>
      <c r="CK26" s="20" t="s">
        <v>546</v>
      </c>
      <c r="CL26" s="20" t="s">
        <v>546</v>
      </c>
      <c r="CM26" s="20" t="s">
        <v>546</v>
      </c>
      <c r="CN26" s="20" t="s">
        <v>546</v>
      </c>
      <c r="CO26" s="20" t="s">
        <v>546</v>
      </c>
      <c r="CP26" s="20" t="s">
        <v>546</v>
      </c>
      <c r="CQ26" s="20" t="s">
        <v>546</v>
      </c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</row>
    <row r="27" spans="1:249">
      <c r="A27" s="118"/>
      <c r="B27" s="119"/>
      <c r="C27" s="21" t="s">
        <v>733</v>
      </c>
      <c r="D27" s="120" t="s">
        <v>826</v>
      </c>
      <c r="E27" s="123" t="s">
        <v>827</v>
      </c>
      <c r="F27" s="123"/>
      <c r="G27" s="123"/>
      <c r="H27" s="122" t="s">
        <v>828</v>
      </c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20" t="s">
        <v>546</v>
      </c>
      <c r="U27" s="20" t="s">
        <v>546</v>
      </c>
      <c r="V27" s="20" t="s">
        <v>546</v>
      </c>
      <c r="W27" s="20" t="s">
        <v>546</v>
      </c>
      <c r="X27" s="20" t="s">
        <v>546</v>
      </c>
      <c r="Y27" s="20" t="s">
        <v>546</v>
      </c>
      <c r="Z27" s="20" t="s">
        <v>546</v>
      </c>
      <c r="AA27" s="20" t="s">
        <v>546</v>
      </c>
      <c r="AB27" s="20" t="s">
        <v>546</v>
      </c>
      <c r="AC27" s="20" t="s">
        <v>546</v>
      </c>
      <c r="AD27" s="20" t="s">
        <v>546</v>
      </c>
      <c r="AE27" s="20" t="s">
        <v>546</v>
      </c>
      <c r="AF27" s="20" t="s">
        <v>546</v>
      </c>
      <c r="AG27" s="20" t="s">
        <v>546</v>
      </c>
      <c r="AH27" s="20" t="s">
        <v>546</v>
      </c>
      <c r="AI27" s="20" t="s">
        <v>546</v>
      </c>
      <c r="AJ27" s="20" t="s">
        <v>546</v>
      </c>
      <c r="AK27" s="20" t="s">
        <v>546</v>
      </c>
      <c r="AL27" s="20" t="s">
        <v>546</v>
      </c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20" t="s">
        <v>546</v>
      </c>
      <c r="AY27" s="20" t="s">
        <v>546</v>
      </c>
      <c r="AZ27" s="20" t="s">
        <v>546</v>
      </c>
      <c r="BA27" s="20" t="s">
        <v>546</v>
      </c>
      <c r="BB27" s="20" t="s">
        <v>546</v>
      </c>
      <c r="BC27" s="20" t="s">
        <v>546</v>
      </c>
      <c r="BD27" s="20" t="s">
        <v>546</v>
      </c>
      <c r="BE27" s="20" t="s">
        <v>546</v>
      </c>
      <c r="BF27" s="20" t="s">
        <v>546</v>
      </c>
      <c r="BG27" s="20" t="s">
        <v>546</v>
      </c>
      <c r="BH27" s="20" t="s">
        <v>546</v>
      </c>
      <c r="BI27" s="20" t="s">
        <v>546</v>
      </c>
      <c r="BJ27" s="20" t="s">
        <v>546</v>
      </c>
      <c r="BK27" s="20" t="s">
        <v>546</v>
      </c>
      <c r="BL27" s="20" t="s">
        <v>546</v>
      </c>
      <c r="BM27" s="20" t="s">
        <v>546</v>
      </c>
      <c r="BN27" s="20" t="s">
        <v>546</v>
      </c>
      <c r="BO27" s="20" t="s">
        <v>546</v>
      </c>
      <c r="BP27" s="20" t="s">
        <v>546</v>
      </c>
      <c r="BQ27" s="20" t="s">
        <v>546</v>
      </c>
      <c r="BR27" s="20" t="s">
        <v>546</v>
      </c>
      <c r="BS27" s="20" t="s">
        <v>546</v>
      </c>
      <c r="BT27" s="20" t="s">
        <v>546</v>
      </c>
      <c r="BU27" s="20" t="s">
        <v>546</v>
      </c>
      <c r="BV27" s="20" t="s">
        <v>546</v>
      </c>
      <c r="BW27" s="20" t="s">
        <v>546</v>
      </c>
      <c r="BX27" s="20" t="s">
        <v>546</v>
      </c>
      <c r="BY27" s="20" t="s">
        <v>546</v>
      </c>
      <c r="BZ27" s="20" t="s">
        <v>546</v>
      </c>
      <c r="CA27" s="20" t="s">
        <v>546</v>
      </c>
      <c r="CB27" s="20" t="s">
        <v>546</v>
      </c>
      <c r="CC27" s="20" t="s">
        <v>546</v>
      </c>
      <c r="CD27" s="122" t="s">
        <v>829</v>
      </c>
      <c r="CE27" s="124"/>
      <c r="CF27" s="124"/>
      <c r="CG27" s="124"/>
      <c r="CH27" s="124"/>
      <c r="CI27" s="124"/>
      <c r="CJ27" s="124"/>
      <c r="CK27" s="124"/>
      <c r="CL27" s="124"/>
      <c r="CM27" s="124"/>
      <c r="CN27" s="124"/>
      <c r="CO27" s="124"/>
      <c r="CP27" s="124"/>
      <c r="CQ27" s="12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</row>
    <row r="28" spans="1:249">
      <c r="A28" s="118"/>
      <c r="B28" s="119" t="s">
        <v>516</v>
      </c>
      <c r="C28" s="21" t="s">
        <v>735</v>
      </c>
      <c r="D28" s="125">
        <v>0.15</v>
      </c>
      <c r="E28" s="20" t="s">
        <v>546</v>
      </c>
      <c r="F28" s="20" t="s">
        <v>546</v>
      </c>
      <c r="G28" s="20" t="s">
        <v>546</v>
      </c>
      <c r="H28" s="20" t="s">
        <v>546</v>
      </c>
      <c r="I28" s="20" t="s">
        <v>546</v>
      </c>
      <c r="J28" s="20" t="s">
        <v>546</v>
      </c>
      <c r="K28" s="20" t="s">
        <v>546</v>
      </c>
      <c r="L28" s="20" t="s">
        <v>546</v>
      </c>
      <c r="M28" s="20" t="s">
        <v>546</v>
      </c>
      <c r="N28" s="20" t="s">
        <v>546</v>
      </c>
      <c r="O28" s="20" t="s">
        <v>546</v>
      </c>
      <c r="P28" s="20" t="s">
        <v>546</v>
      </c>
      <c r="Q28" s="20" t="s">
        <v>546</v>
      </c>
      <c r="R28" s="20" t="s">
        <v>546</v>
      </c>
      <c r="S28" s="20" t="s">
        <v>546</v>
      </c>
      <c r="T28" s="117" t="s">
        <v>830</v>
      </c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20" t="s">
        <v>546</v>
      </c>
      <c r="AY28" s="20" t="s">
        <v>546</v>
      </c>
      <c r="AZ28" s="20" t="s">
        <v>546</v>
      </c>
      <c r="BA28" s="20" t="s">
        <v>546</v>
      </c>
      <c r="BB28" s="20" t="s">
        <v>546</v>
      </c>
      <c r="BC28" s="20" t="s">
        <v>546</v>
      </c>
      <c r="BD28" s="20" t="s">
        <v>546</v>
      </c>
      <c r="BE28" s="20" t="s">
        <v>546</v>
      </c>
      <c r="BF28" s="121" t="s">
        <v>818</v>
      </c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 t="s">
        <v>819</v>
      </c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</row>
    <row r="29" ht="12" spans="1:249">
      <c r="A29" s="128"/>
      <c r="B29" s="129"/>
      <c r="C29" s="130" t="s">
        <v>733</v>
      </c>
      <c r="D29" s="134" t="s">
        <v>831</v>
      </c>
      <c r="E29" s="123" t="s">
        <v>832</v>
      </c>
      <c r="F29" s="123"/>
      <c r="G29" s="123"/>
      <c r="H29" s="122" t="s">
        <v>833</v>
      </c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20" t="s">
        <v>546</v>
      </c>
      <c r="U29" s="20" t="s">
        <v>546</v>
      </c>
      <c r="V29" s="20" t="s">
        <v>546</v>
      </c>
      <c r="W29" s="20" t="s">
        <v>546</v>
      </c>
      <c r="X29" s="20" t="s">
        <v>546</v>
      </c>
      <c r="Y29" s="20" t="s">
        <v>546</v>
      </c>
      <c r="Z29" s="20" t="s">
        <v>546</v>
      </c>
      <c r="AA29" s="20" t="s">
        <v>546</v>
      </c>
      <c r="AB29" s="20" t="s">
        <v>546</v>
      </c>
      <c r="AC29" s="20" t="s">
        <v>546</v>
      </c>
      <c r="AD29" s="20" t="s">
        <v>546</v>
      </c>
      <c r="AE29" s="20" t="s">
        <v>546</v>
      </c>
      <c r="AF29" s="20" t="s">
        <v>546</v>
      </c>
      <c r="AG29" s="20" t="s">
        <v>546</v>
      </c>
      <c r="AH29" s="20" t="s">
        <v>546</v>
      </c>
      <c r="AI29" s="20" t="s">
        <v>546</v>
      </c>
      <c r="AJ29" s="20" t="s">
        <v>546</v>
      </c>
      <c r="AK29" s="20" t="s">
        <v>546</v>
      </c>
      <c r="AL29" s="20" t="s">
        <v>546</v>
      </c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20" t="s">
        <v>546</v>
      </c>
      <c r="AY29" s="20" t="s">
        <v>546</v>
      </c>
      <c r="AZ29" s="20" t="s">
        <v>546</v>
      </c>
      <c r="BA29" s="20" t="s">
        <v>546</v>
      </c>
      <c r="BB29" s="20" t="s">
        <v>546</v>
      </c>
      <c r="BC29" s="20" t="s">
        <v>546</v>
      </c>
      <c r="BD29" s="20" t="s">
        <v>546</v>
      </c>
      <c r="BE29" s="20" t="s">
        <v>546</v>
      </c>
      <c r="BF29" s="20" t="s">
        <v>546</v>
      </c>
      <c r="BG29" s="20" t="s">
        <v>546</v>
      </c>
      <c r="BH29" s="20" t="s">
        <v>546</v>
      </c>
      <c r="BI29" s="20" t="s">
        <v>546</v>
      </c>
      <c r="BJ29" s="20" t="s">
        <v>546</v>
      </c>
      <c r="BK29" s="20" t="s">
        <v>546</v>
      </c>
      <c r="BL29" s="20" t="s">
        <v>546</v>
      </c>
      <c r="BM29" s="20" t="s">
        <v>546</v>
      </c>
      <c r="BN29" s="20" t="s">
        <v>546</v>
      </c>
      <c r="BO29" s="20" t="s">
        <v>546</v>
      </c>
      <c r="BP29" s="20" t="s">
        <v>546</v>
      </c>
      <c r="BQ29" s="20" t="s">
        <v>546</v>
      </c>
      <c r="BR29" s="20" t="s">
        <v>546</v>
      </c>
      <c r="BS29" s="20" t="s">
        <v>546</v>
      </c>
      <c r="BT29" s="20" t="s">
        <v>546</v>
      </c>
      <c r="BU29" s="20" t="s">
        <v>546</v>
      </c>
      <c r="BV29" s="20" t="s">
        <v>546</v>
      </c>
      <c r="BW29" s="20" t="s">
        <v>546</v>
      </c>
      <c r="BX29" s="20" t="s">
        <v>546</v>
      </c>
      <c r="BY29" s="20" t="s">
        <v>546</v>
      </c>
      <c r="BZ29" s="20" t="s">
        <v>546</v>
      </c>
      <c r="CA29" s="20" t="s">
        <v>546</v>
      </c>
      <c r="CB29" s="20" t="s">
        <v>546</v>
      </c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</row>
    <row r="30" spans="1:249">
      <c r="A30" s="108" t="s">
        <v>834</v>
      </c>
      <c r="B30" s="119" t="s">
        <v>277</v>
      </c>
      <c r="C30" s="15" t="s">
        <v>735</v>
      </c>
      <c r="D30" s="135">
        <v>0.15</v>
      </c>
      <c r="E30" s="14" t="s">
        <v>546</v>
      </c>
      <c r="F30" s="14" t="s">
        <v>546</v>
      </c>
      <c r="G30" s="14" t="s">
        <v>546</v>
      </c>
      <c r="H30" s="20" t="s">
        <v>546</v>
      </c>
      <c r="I30" s="20" t="s">
        <v>546</v>
      </c>
      <c r="J30" s="20" t="s">
        <v>546</v>
      </c>
      <c r="K30" s="20" t="s">
        <v>546</v>
      </c>
      <c r="L30" s="20" t="s">
        <v>546</v>
      </c>
      <c r="M30" s="20" t="s">
        <v>546</v>
      </c>
      <c r="N30" s="20" t="s">
        <v>546</v>
      </c>
      <c r="O30" s="20" t="s">
        <v>546</v>
      </c>
      <c r="P30" s="20" t="s">
        <v>546</v>
      </c>
      <c r="Q30" s="20" t="s">
        <v>546</v>
      </c>
      <c r="R30" s="20" t="s">
        <v>546</v>
      </c>
      <c r="S30" s="15"/>
      <c r="T30" s="14" t="s">
        <v>546</v>
      </c>
      <c r="U30" s="14">
        <v>10</v>
      </c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20" t="s">
        <v>546</v>
      </c>
      <c r="AK30" s="20" t="s">
        <v>546</v>
      </c>
      <c r="AL30" s="20" t="s">
        <v>546</v>
      </c>
      <c r="AM30" s="20" t="s">
        <v>546</v>
      </c>
      <c r="AN30" s="20" t="s">
        <v>546</v>
      </c>
      <c r="AO30" s="20" t="s">
        <v>546</v>
      </c>
      <c r="AP30" s="20" t="s">
        <v>546</v>
      </c>
      <c r="AQ30" s="20" t="s">
        <v>546</v>
      </c>
      <c r="AR30" s="20" t="s">
        <v>546</v>
      </c>
      <c r="AS30" s="20" t="s">
        <v>546</v>
      </c>
      <c r="AT30" s="20" t="s">
        <v>546</v>
      </c>
      <c r="AU30" s="20" t="s">
        <v>546</v>
      </c>
      <c r="AV30" s="20" t="s">
        <v>546</v>
      </c>
      <c r="AW30" s="20" t="s">
        <v>546</v>
      </c>
      <c r="AX30" s="20" t="s">
        <v>546</v>
      </c>
      <c r="AY30" s="20" t="s">
        <v>546</v>
      </c>
      <c r="AZ30" s="20" t="s">
        <v>546</v>
      </c>
      <c r="BA30" s="20" t="s">
        <v>546</v>
      </c>
      <c r="BB30" s="20" t="s">
        <v>546</v>
      </c>
      <c r="BC30" s="20" t="s">
        <v>546</v>
      </c>
      <c r="BD30" s="20" t="s">
        <v>546</v>
      </c>
      <c r="BE30" s="20" t="s">
        <v>546</v>
      </c>
      <c r="BF30" s="20" t="s">
        <v>546</v>
      </c>
      <c r="BG30" s="20" t="s">
        <v>546</v>
      </c>
      <c r="BH30" s="20" t="s">
        <v>546</v>
      </c>
      <c r="BI30" s="20" t="s">
        <v>546</v>
      </c>
      <c r="BJ30" s="20" t="s">
        <v>546</v>
      </c>
      <c r="BK30" s="20" t="s">
        <v>546</v>
      </c>
      <c r="BL30" s="20" t="s">
        <v>546</v>
      </c>
      <c r="BM30" s="20" t="s">
        <v>546</v>
      </c>
      <c r="BN30" s="20" t="s">
        <v>546</v>
      </c>
      <c r="BO30" s="20" t="s">
        <v>546</v>
      </c>
      <c r="BP30" s="20" t="s">
        <v>546</v>
      </c>
      <c r="BQ30" s="20" t="s">
        <v>546</v>
      </c>
      <c r="BR30" s="20" t="s">
        <v>546</v>
      </c>
      <c r="BS30" s="20" t="s">
        <v>546</v>
      </c>
      <c r="BT30" s="20" t="s">
        <v>546</v>
      </c>
      <c r="BU30" s="20" t="s">
        <v>546</v>
      </c>
      <c r="BV30" s="20" t="s">
        <v>546</v>
      </c>
      <c r="BW30" s="20" t="s">
        <v>546</v>
      </c>
      <c r="BX30" s="20" t="s">
        <v>546</v>
      </c>
      <c r="BY30" s="20" t="s">
        <v>546</v>
      </c>
      <c r="BZ30" s="20" t="s">
        <v>546</v>
      </c>
      <c r="CA30" s="20" t="s">
        <v>546</v>
      </c>
      <c r="CB30" s="20" t="s">
        <v>546</v>
      </c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</row>
    <row r="31" spans="1:249">
      <c r="A31" s="21"/>
      <c r="B31" s="119"/>
      <c r="C31" s="21" t="s">
        <v>733</v>
      </c>
      <c r="D31" s="136" t="s">
        <v>835</v>
      </c>
      <c r="E31" s="123" t="s">
        <v>836</v>
      </c>
      <c r="F31" s="123"/>
      <c r="G31" s="123"/>
      <c r="H31" s="20" t="s">
        <v>546</v>
      </c>
      <c r="I31" s="20" t="s">
        <v>546</v>
      </c>
      <c r="J31" s="20" t="s">
        <v>546</v>
      </c>
      <c r="K31" s="20" t="s">
        <v>546</v>
      </c>
      <c r="L31" s="20" t="s">
        <v>546</v>
      </c>
      <c r="M31" s="20" t="s">
        <v>546</v>
      </c>
      <c r="N31" s="20" t="s">
        <v>546</v>
      </c>
      <c r="O31" s="20" t="s">
        <v>546</v>
      </c>
      <c r="P31" s="20" t="s">
        <v>546</v>
      </c>
      <c r="Q31" s="20" t="s">
        <v>546</v>
      </c>
      <c r="R31" s="20" t="s">
        <v>546</v>
      </c>
      <c r="S31" s="20" t="s">
        <v>546</v>
      </c>
      <c r="T31" s="117" t="s">
        <v>739</v>
      </c>
      <c r="U31" s="117"/>
      <c r="V31" s="117"/>
      <c r="W31" s="117"/>
      <c r="X31" s="117"/>
      <c r="Y31" s="117"/>
      <c r="Z31" s="117"/>
      <c r="AA31" s="117"/>
      <c r="AB31" s="14"/>
      <c r="AC31" s="14"/>
      <c r="AD31" s="14"/>
      <c r="AE31" s="14"/>
      <c r="AF31" s="14"/>
      <c r="AG31" s="14"/>
      <c r="AH31" s="14"/>
      <c r="AI31" s="14"/>
      <c r="AJ31" s="20" t="s">
        <v>546</v>
      </c>
      <c r="AK31" s="20" t="s">
        <v>546</v>
      </c>
      <c r="AL31" s="20" t="s">
        <v>546</v>
      </c>
      <c r="AM31" s="20" t="s">
        <v>546</v>
      </c>
      <c r="AN31" s="20" t="s">
        <v>546</v>
      </c>
      <c r="AO31" s="20" t="s">
        <v>546</v>
      </c>
      <c r="AP31" s="20" t="s">
        <v>546</v>
      </c>
      <c r="AQ31" s="20" t="s">
        <v>546</v>
      </c>
      <c r="AR31" s="20" t="s">
        <v>546</v>
      </c>
      <c r="AS31" s="20" t="s">
        <v>546</v>
      </c>
      <c r="AT31" s="20" t="s">
        <v>546</v>
      </c>
      <c r="AU31" s="20" t="s">
        <v>546</v>
      </c>
      <c r="AV31" s="20" t="s">
        <v>546</v>
      </c>
      <c r="AW31" s="20" t="s">
        <v>546</v>
      </c>
      <c r="AX31" s="20" t="s">
        <v>546</v>
      </c>
      <c r="AY31" s="20" t="s">
        <v>546</v>
      </c>
      <c r="AZ31" s="20" t="s">
        <v>546</v>
      </c>
      <c r="BA31" s="20" t="s">
        <v>546</v>
      </c>
      <c r="BB31" s="20" t="s">
        <v>546</v>
      </c>
      <c r="BC31" s="20" t="s">
        <v>546</v>
      </c>
      <c r="BD31" s="20" t="s">
        <v>546</v>
      </c>
      <c r="BE31" s="20" t="s">
        <v>546</v>
      </c>
      <c r="BF31" s="20" t="s">
        <v>546</v>
      </c>
      <c r="BG31" s="20" t="s">
        <v>546</v>
      </c>
      <c r="BH31" s="20" t="s">
        <v>546</v>
      </c>
      <c r="BI31" s="20" t="s">
        <v>546</v>
      </c>
      <c r="BJ31" s="20" t="s">
        <v>546</v>
      </c>
      <c r="BK31" s="20" t="s">
        <v>546</v>
      </c>
      <c r="BL31" s="20" t="s">
        <v>546</v>
      </c>
      <c r="BM31" s="20" t="s">
        <v>546</v>
      </c>
      <c r="BN31" s="20" t="s">
        <v>546</v>
      </c>
      <c r="BO31" s="20" t="s">
        <v>546</v>
      </c>
      <c r="BP31" s="20" t="s">
        <v>546</v>
      </c>
      <c r="BQ31" s="20" t="s">
        <v>546</v>
      </c>
      <c r="BR31" s="20" t="s">
        <v>546</v>
      </c>
      <c r="BS31" s="20" t="s">
        <v>546</v>
      </c>
      <c r="BT31" s="20" t="s">
        <v>546</v>
      </c>
      <c r="BU31" s="20" t="s">
        <v>546</v>
      </c>
      <c r="BV31" s="20" t="s">
        <v>546</v>
      </c>
      <c r="BW31" s="20" t="s">
        <v>546</v>
      </c>
      <c r="BX31" s="20" t="s">
        <v>546</v>
      </c>
      <c r="BY31" s="20" t="s">
        <v>546</v>
      </c>
      <c r="BZ31" s="20" t="s">
        <v>546</v>
      </c>
      <c r="CA31" s="20" t="s">
        <v>546</v>
      </c>
      <c r="CB31" s="20" t="s">
        <v>546</v>
      </c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</row>
    <row r="32" spans="1:249">
      <c r="A32" s="21"/>
      <c r="B32" s="119" t="s">
        <v>511</v>
      </c>
      <c r="C32" s="21" t="s">
        <v>735</v>
      </c>
      <c r="D32" s="135">
        <v>0.15</v>
      </c>
      <c r="E32" s="20" t="s">
        <v>546</v>
      </c>
      <c r="F32" s="20" t="s">
        <v>546</v>
      </c>
      <c r="G32" s="20" t="s">
        <v>546</v>
      </c>
      <c r="H32" s="20" t="s">
        <v>546</v>
      </c>
      <c r="I32" s="20" t="s">
        <v>546</v>
      </c>
      <c r="J32" s="20" t="s">
        <v>546</v>
      </c>
      <c r="K32" s="20" t="s">
        <v>546</v>
      </c>
      <c r="L32" s="20" t="s">
        <v>546</v>
      </c>
      <c r="M32" s="20" t="s">
        <v>546</v>
      </c>
      <c r="N32" s="20" t="s">
        <v>546</v>
      </c>
      <c r="O32" s="20" t="s">
        <v>546</v>
      </c>
      <c r="P32" s="20" t="s">
        <v>546</v>
      </c>
      <c r="Q32" s="20" t="s">
        <v>546</v>
      </c>
      <c r="R32" s="20" t="s">
        <v>546</v>
      </c>
      <c r="S32" s="20" t="s">
        <v>546</v>
      </c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20" t="s">
        <v>546</v>
      </c>
      <c r="AK32" s="20" t="s">
        <v>546</v>
      </c>
      <c r="AL32" s="20" t="s">
        <v>546</v>
      </c>
      <c r="AM32" s="20" t="s">
        <v>546</v>
      </c>
      <c r="AN32" s="20" t="s">
        <v>546</v>
      </c>
      <c r="AO32" s="20" t="s">
        <v>546</v>
      </c>
      <c r="AP32" s="20" t="s">
        <v>546</v>
      </c>
      <c r="AQ32" s="20" t="s">
        <v>546</v>
      </c>
      <c r="AR32" s="20" t="s">
        <v>546</v>
      </c>
      <c r="AS32" s="20" t="s">
        <v>546</v>
      </c>
      <c r="AT32" s="20" t="s">
        <v>546</v>
      </c>
      <c r="AU32" s="20" t="s">
        <v>546</v>
      </c>
      <c r="AV32" s="20" t="s">
        <v>546</v>
      </c>
      <c r="AW32" s="20" t="s">
        <v>546</v>
      </c>
      <c r="AX32" s="20" t="s">
        <v>546</v>
      </c>
      <c r="AY32" s="20" t="s">
        <v>546</v>
      </c>
      <c r="AZ32" s="20" t="s">
        <v>546</v>
      </c>
      <c r="BA32" s="20" t="s">
        <v>546</v>
      </c>
      <c r="BB32" s="20" t="s">
        <v>546</v>
      </c>
      <c r="BC32" s="20" t="s">
        <v>546</v>
      </c>
      <c r="BD32" s="20" t="s">
        <v>546</v>
      </c>
      <c r="BE32" s="20" t="s">
        <v>546</v>
      </c>
      <c r="BF32" s="121" t="s">
        <v>837</v>
      </c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</row>
    <row r="33" spans="1:249">
      <c r="A33" s="21"/>
      <c r="B33" s="119"/>
      <c r="C33" s="21" t="s">
        <v>733</v>
      </c>
      <c r="D33" s="136" t="s">
        <v>838</v>
      </c>
      <c r="E33" s="20" t="s">
        <v>546</v>
      </c>
      <c r="F33" s="20" t="s">
        <v>546</v>
      </c>
      <c r="G33" s="20" t="s">
        <v>546</v>
      </c>
      <c r="H33" s="122" t="s">
        <v>839</v>
      </c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20" t="s">
        <v>546</v>
      </c>
      <c r="U33" s="14" t="s">
        <v>840</v>
      </c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20" t="s">
        <v>546</v>
      </c>
      <c r="AK33" s="20" t="s">
        <v>546</v>
      </c>
      <c r="AL33" s="20" t="s">
        <v>546</v>
      </c>
      <c r="AM33" s="20" t="s">
        <v>546</v>
      </c>
      <c r="AN33" s="20" t="s">
        <v>546</v>
      </c>
      <c r="AO33" s="20" t="s">
        <v>546</v>
      </c>
      <c r="AP33" s="20" t="s">
        <v>546</v>
      </c>
      <c r="AQ33" s="20" t="s">
        <v>546</v>
      </c>
      <c r="AR33" s="20" t="s">
        <v>546</v>
      </c>
      <c r="AS33" s="20" t="s">
        <v>546</v>
      </c>
      <c r="AT33" s="20" t="s">
        <v>546</v>
      </c>
      <c r="AU33" s="20" t="s">
        <v>546</v>
      </c>
      <c r="AV33" s="20" t="s">
        <v>546</v>
      </c>
      <c r="AW33" s="20" t="s">
        <v>546</v>
      </c>
      <c r="AX33" s="20" t="s">
        <v>546</v>
      </c>
      <c r="AY33" s="20" t="s">
        <v>546</v>
      </c>
      <c r="AZ33" s="20" t="s">
        <v>546</v>
      </c>
      <c r="BA33" s="20" t="s">
        <v>546</v>
      </c>
      <c r="BB33" s="20" t="s">
        <v>546</v>
      </c>
      <c r="BC33" s="20" t="s">
        <v>546</v>
      </c>
      <c r="BD33" s="20" t="s">
        <v>546</v>
      </c>
      <c r="BE33" s="20" t="s">
        <v>546</v>
      </c>
      <c r="BF33" s="20" t="s">
        <v>546</v>
      </c>
      <c r="BG33" s="20" t="s">
        <v>546</v>
      </c>
      <c r="BH33" s="20" t="s">
        <v>546</v>
      </c>
      <c r="BI33" s="20" t="s">
        <v>546</v>
      </c>
      <c r="BJ33" s="20" t="s">
        <v>546</v>
      </c>
      <c r="BK33" s="20" t="s">
        <v>546</v>
      </c>
      <c r="BL33" s="20" t="s">
        <v>546</v>
      </c>
      <c r="BM33" s="20" t="s">
        <v>546</v>
      </c>
      <c r="BN33" s="20" t="s">
        <v>546</v>
      </c>
      <c r="BO33" s="20" t="s">
        <v>546</v>
      </c>
      <c r="BP33" s="20" t="s">
        <v>546</v>
      </c>
      <c r="BQ33" s="20" t="s">
        <v>546</v>
      </c>
      <c r="BR33" s="20" t="s">
        <v>546</v>
      </c>
      <c r="BS33" s="20" t="s">
        <v>546</v>
      </c>
      <c r="BT33" s="20" t="s">
        <v>546</v>
      </c>
      <c r="BU33" s="20" t="s">
        <v>546</v>
      </c>
      <c r="BV33" s="20" t="s">
        <v>546</v>
      </c>
      <c r="BW33" s="20" t="s">
        <v>546</v>
      </c>
      <c r="BX33" s="20" t="s">
        <v>546</v>
      </c>
      <c r="BY33" s="20" t="s">
        <v>546</v>
      </c>
      <c r="BZ33" s="20" t="s">
        <v>546</v>
      </c>
      <c r="CA33" s="20" t="s">
        <v>546</v>
      </c>
      <c r="CB33" s="20" t="s">
        <v>546</v>
      </c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</row>
    <row r="34" spans="1:249">
      <c r="A34" s="21"/>
      <c r="B34" s="119" t="s">
        <v>513</v>
      </c>
      <c r="C34" s="21" t="s">
        <v>735</v>
      </c>
      <c r="D34" s="135">
        <v>0.15</v>
      </c>
      <c r="E34" s="20" t="s">
        <v>546</v>
      </c>
      <c r="F34" s="20" t="s">
        <v>546</v>
      </c>
      <c r="G34" s="20" t="s">
        <v>546</v>
      </c>
      <c r="H34" s="20" t="s">
        <v>546</v>
      </c>
      <c r="I34" s="20" t="s">
        <v>546</v>
      </c>
      <c r="J34" s="20" t="s">
        <v>546</v>
      </c>
      <c r="K34" s="20" t="s">
        <v>546</v>
      </c>
      <c r="L34" s="20" t="s">
        <v>546</v>
      </c>
      <c r="M34" s="20" t="s">
        <v>546</v>
      </c>
      <c r="N34" s="20" t="s">
        <v>546</v>
      </c>
      <c r="O34" s="20" t="s">
        <v>546</v>
      </c>
      <c r="P34" s="20" t="s">
        <v>546</v>
      </c>
      <c r="Q34" s="20" t="s">
        <v>546</v>
      </c>
      <c r="R34" s="20" t="s">
        <v>546</v>
      </c>
      <c r="S34" s="20" t="s">
        <v>546</v>
      </c>
      <c r="T34" s="20" t="s">
        <v>546</v>
      </c>
      <c r="U34" s="20" t="s">
        <v>546</v>
      </c>
      <c r="V34" s="20" t="s">
        <v>546</v>
      </c>
      <c r="W34" s="20" t="s">
        <v>546</v>
      </c>
      <c r="X34" s="20" t="s">
        <v>546</v>
      </c>
      <c r="Y34" s="20" t="s">
        <v>546</v>
      </c>
      <c r="Z34" s="20" t="s">
        <v>546</v>
      </c>
      <c r="AA34" s="20" t="s">
        <v>546</v>
      </c>
      <c r="AB34" s="122" t="s">
        <v>841</v>
      </c>
      <c r="AC34" s="124"/>
      <c r="AD34" s="124"/>
      <c r="AE34" s="20" t="s">
        <v>546</v>
      </c>
      <c r="AF34" s="20" t="s">
        <v>546</v>
      </c>
      <c r="AG34" s="20" t="s">
        <v>546</v>
      </c>
      <c r="AH34" s="20" t="s">
        <v>546</v>
      </c>
      <c r="AI34" s="20" t="s">
        <v>546</v>
      </c>
      <c r="AJ34" s="20" t="s">
        <v>546</v>
      </c>
      <c r="AK34" s="20" t="s">
        <v>546</v>
      </c>
      <c r="AL34" s="20" t="s">
        <v>546</v>
      </c>
      <c r="AM34" s="20" t="s">
        <v>546</v>
      </c>
      <c r="AN34" s="20" t="s">
        <v>546</v>
      </c>
      <c r="AO34" s="20" t="s">
        <v>546</v>
      </c>
      <c r="AP34" s="20" t="s">
        <v>546</v>
      </c>
      <c r="AQ34" s="20" t="s">
        <v>546</v>
      </c>
      <c r="AR34" s="20" t="s">
        <v>546</v>
      </c>
      <c r="AS34" s="20" t="s">
        <v>546</v>
      </c>
      <c r="AT34" s="20" t="s">
        <v>546</v>
      </c>
      <c r="AU34" s="20" t="s">
        <v>546</v>
      </c>
      <c r="AV34" s="20" t="s">
        <v>546</v>
      </c>
      <c r="AW34" s="20" t="s">
        <v>546</v>
      </c>
      <c r="AX34" s="20" t="s">
        <v>546</v>
      </c>
      <c r="AY34" s="20" t="s">
        <v>546</v>
      </c>
      <c r="AZ34" s="20" t="s">
        <v>546</v>
      </c>
      <c r="BA34" s="20" t="s">
        <v>546</v>
      </c>
      <c r="BB34" s="20" t="s">
        <v>546</v>
      </c>
      <c r="BC34" s="20" t="s">
        <v>546</v>
      </c>
      <c r="BD34" s="20" t="s">
        <v>546</v>
      </c>
      <c r="BE34" s="20" t="s">
        <v>546</v>
      </c>
      <c r="BF34" s="117" t="s">
        <v>837</v>
      </c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</row>
    <row r="35" spans="1:249">
      <c r="A35" s="21"/>
      <c r="B35" s="119"/>
      <c r="C35" s="21" t="s">
        <v>733</v>
      </c>
      <c r="D35" s="136" t="s">
        <v>842</v>
      </c>
      <c r="E35" s="20" t="s">
        <v>546</v>
      </c>
      <c r="F35" s="20" t="s">
        <v>546</v>
      </c>
      <c r="G35" s="20" t="s">
        <v>546</v>
      </c>
      <c r="H35" s="20" t="s">
        <v>546</v>
      </c>
      <c r="I35" s="20" t="s">
        <v>546</v>
      </c>
      <c r="J35" s="122" t="s">
        <v>843</v>
      </c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20" t="s">
        <v>546</v>
      </c>
      <c r="W35" s="20" t="s">
        <v>546</v>
      </c>
      <c r="X35" s="20" t="s">
        <v>546</v>
      </c>
      <c r="Y35" s="20" t="s">
        <v>546</v>
      </c>
      <c r="Z35" s="20" t="s">
        <v>546</v>
      </c>
      <c r="AA35" s="20" t="s">
        <v>546</v>
      </c>
      <c r="AB35" s="20" t="s">
        <v>546</v>
      </c>
      <c r="AC35" s="20" t="s">
        <v>546</v>
      </c>
      <c r="AD35" s="20" t="s">
        <v>546</v>
      </c>
      <c r="AE35" s="137" t="s">
        <v>843</v>
      </c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20" t="s">
        <v>546</v>
      </c>
      <c r="AY35" s="20" t="s">
        <v>546</v>
      </c>
      <c r="AZ35" s="20" t="s">
        <v>546</v>
      </c>
      <c r="BA35" s="20" t="s">
        <v>546</v>
      </c>
      <c r="BB35" s="20" t="s">
        <v>546</v>
      </c>
      <c r="BC35" s="20" t="s">
        <v>546</v>
      </c>
      <c r="BD35" s="20" t="s">
        <v>546</v>
      </c>
      <c r="BE35" s="20" t="s">
        <v>546</v>
      </c>
      <c r="BF35" s="20" t="s">
        <v>546</v>
      </c>
      <c r="BG35" s="20" t="s">
        <v>546</v>
      </c>
      <c r="BH35" s="20" t="s">
        <v>546</v>
      </c>
      <c r="BI35" s="20" t="s">
        <v>546</v>
      </c>
      <c r="BJ35" s="20" t="s">
        <v>546</v>
      </c>
      <c r="BK35" s="20" t="s">
        <v>546</v>
      </c>
      <c r="BL35" s="20" t="s">
        <v>546</v>
      </c>
      <c r="BM35" s="20" t="s">
        <v>546</v>
      </c>
      <c r="BN35" s="20" t="s">
        <v>546</v>
      </c>
      <c r="BO35" s="20" t="s">
        <v>546</v>
      </c>
      <c r="BP35" s="20" t="s">
        <v>546</v>
      </c>
      <c r="BQ35" s="20" t="s">
        <v>546</v>
      </c>
      <c r="BR35" s="20" t="s">
        <v>546</v>
      </c>
      <c r="BS35" s="20" t="s">
        <v>546</v>
      </c>
      <c r="BT35" s="20" t="s">
        <v>546</v>
      </c>
      <c r="BU35" s="20" t="s">
        <v>546</v>
      </c>
      <c r="BV35" s="20" t="s">
        <v>546</v>
      </c>
      <c r="BW35" s="20" t="s">
        <v>546</v>
      </c>
      <c r="BX35" s="20" t="s">
        <v>546</v>
      </c>
      <c r="BY35" s="20" t="s">
        <v>546</v>
      </c>
      <c r="BZ35" s="20" t="s">
        <v>546</v>
      </c>
      <c r="CA35" s="20" t="s">
        <v>546</v>
      </c>
      <c r="CB35" s="20" t="s">
        <v>546</v>
      </c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</row>
    <row r="36" spans="1:249">
      <c r="A36" s="21"/>
      <c r="B36" s="119" t="s">
        <v>516</v>
      </c>
      <c r="C36" s="21" t="s">
        <v>735</v>
      </c>
      <c r="D36" s="135">
        <v>0.15</v>
      </c>
      <c r="E36" s="20" t="s">
        <v>546</v>
      </c>
      <c r="F36" s="20" t="s">
        <v>546</v>
      </c>
      <c r="G36" s="20" t="s">
        <v>546</v>
      </c>
      <c r="H36" s="20" t="s">
        <v>546</v>
      </c>
      <c r="I36" s="20" t="s">
        <v>546</v>
      </c>
      <c r="J36" s="20" t="s">
        <v>546</v>
      </c>
      <c r="K36" s="20" t="s">
        <v>546</v>
      </c>
      <c r="L36" s="20" t="s">
        <v>546</v>
      </c>
      <c r="M36" s="20" t="s">
        <v>546</v>
      </c>
      <c r="N36" s="20" t="s">
        <v>546</v>
      </c>
      <c r="O36" s="20" t="s">
        <v>546</v>
      </c>
      <c r="P36" s="20" t="s">
        <v>546</v>
      </c>
      <c r="Q36" s="20" t="s">
        <v>546</v>
      </c>
      <c r="R36" s="20" t="s">
        <v>546</v>
      </c>
      <c r="S36" s="20" t="s">
        <v>546</v>
      </c>
      <c r="T36" s="20" t="s">
        <v>546</v>
      </c>
      <c r="U36" s="20" t="s">
        <v>546</v>
      </c>
      <c r="V36" s="20" t="s">
        <v>546</v>
      </c>
      <c r="W36" s="20" t="s">
        <v>546</v>
      </c>
      <c r="X36" s="20" t="s">
        <v>546</v>
      </c>
      <c r="Y36" s="20" t="s">
        <v>546</v>
      </c>
      <c r="Z36" s="20" t="s">
        <v>546</v>
      </c>
      <c r="AA36" s="20" t="s">
        <v>546</v>
      </c>
      <c r="AB36" s="124" t="s">
        <v>841</v>
      </c>
      <c r="AC36" s="124"/>
      <c r="AD36" s="124"/>
      <c r="AE36" s="20" t="s">
        <v>546</v>
      </c>
      <c r="AF36" s="20" t="s">
        <v>546</v>
      </c>
      <c r="AG36" s="20" t="s">
        <v>546</v>
      </c>
      <c r="AH36" s="20" t="s">
        <v>546</v>
      </c>
      <c r="AI36" s="20" t="s">
        <v>546</v>
      </c>
      <c r="AJ36" s="20" t="s">
        <v>546</v>
      </c>
      <c r="AK36" s="20" t="s">
        <v>546</v>
      </c>
      <c r="AL36" s="20" t="s">
        <v>546</v>
      </c>
      <c r="AM36" s="20" t="s">
        <v>546</v>
      </c>
      <c r="AN36" s="20" t="s">
        <v>546</v>
      </c>
      <c r="AO36" s="20" t="s">
        <v>546</v>
      </c>
      <c r="AP36" s="20" t="s">
        <v>546</v>
      </c>
      <c r="AQ36" s="20" t="s">
        <v>546</v>
      </c>
      <c r="AR36" s="20" t="s">
        <v>546</v>
      </c>
      <c r="AS36" s="20" t="s">
        <v>546</v>
      </c>
      <c r="AT36" s="20" t="s">
        <v>546</v>
      </c>
      <c r="AU36" s="20" t="s">
        <v>546</v>
      </c>
      <c r="AV36" s="20" t="s">
        <v>546</v>
      </c>
      <c r="AW36" s="20" t="s">
        <v>546</v>
      </c>
      <c r="AX36" s="20" t="s">
        <v>546</v>
      </c>
      <c r="AY36" s="20" t="s">
        <v>546</v>
      </c>
      <c r="AZ36" s="20" t="s">
        <v>546</v>
      </c>
      <c r="BA36" s="20" t="s">
        <v>546</v>
      </c>
      <c r="BB36" s="20" t="s">
        <v>546</v>
      </c>
      <c r="BC36" s="20" t="s">
        <v>546</v>
      </c>
      <c r="BD36" s="20" t="s">
        <v>546</v>
      </c>
      <c r="BE36" s="20" t="s">
        <v>546</v>
      </c>
      <c r="BF36" s="20" t="s">
        <v>546</v>
      </c>
      <c r="BG36" s="20" t="s">
        <v>546</v>
      </c>
      <c r="BH36" s="20" t="s">
        <v>546</v>
      </c>
      <c r="BI36" s="20" t="s">
        <v>546</v>
      </c>
      <c r="BJ36" s="20" t="s">
        <v>546</v>
      </c>
      <c r="BK36" s="20" t="s">
        <v>546</v>
      </c>
      <c r="BL36" s="20" t="s">
        <v>546</v>
      </c>
      <c r="BM36" s="20" t="s">
        <v>546</v>
      </c>
      <c r="BN36" s="20" t="s">
        <v>546</v>
      </c>
      <c r="BO36" s="20" t="s">
        <v>546</v>
      </c>
      <c r="BP36" s="20" t="s">
        <v>546</v>
      </c>
      <c r="BQ36" s="20" t="s">
        <v>546</v>
      </c>
      <c r="BR36" s="20" t="s">
        <v>546</v>
      </c>
      <c r="BS36" s="20" t="s">
        <v>546</v>
      </c>
      <c r="BT36" s="20" t="s">
        <v>546</v>
      </c>
      <c r="BU36" s="20" t="s">
        <v>546</v>
      </c>
      <c r="BV36" s="20" t="s">
        <v>546</v>
      </c>
      <c r="BW36" s="20" t="s">
        <v>546</v>
      </c>
      <c r="BX36" s="20" t="s">
        <v>546</v>
      </c>
      <c r="BY36" s="20" t="s">
        <v>546</v>
      </c>
      <c r="BZ36" s="20" t="s">
        <v>546</v>
      </c>
      <c r="CA36" s="20" t="s">
        <v>546</v>
      </c>
      <c r="CB36" s="20" t="s">
        <v>546</v>
      </c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</row>
    <row r="37" spans="1:249">
      <c r="A37" s="21"/>
      <c r="B37" s="119"/>
      <c r="C37" s="21" t="s">
        <v>733</v>
      </c>
      <c r="D37" s="136" t="s">
        <v>844</v>
      </c>
      <c r="E37" s="20" t="s">
        <v>546</v>
      </c>
      <c r="F37" s="20" t="s">
        <v>546</v>
      </c>
      <c r="G37" s="20" t="s">
        <v>546</v>
      </c>
      <c r="H37" s="20" t="s">
        <v>546</v>
      </c>
      <c r="I37" s="20" t="s">
        <v>546</v>
      </c>
      <c r="J37" s="124" t="s">
        <v>843</v>
      </c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20" t="s">
        <v>546</v>
      </c>
      <c r="W37" s="20" t="s">
        <v>546</v>
      </c>
      <c r="X37" s="20" t="s">
        <v>546</v>
      </c>
      <c r="Y37" s="20" t="s">
        <v>546</v>
      </c>
      <c r="Z37" s="20" t="s">
        <v>546</v>
      </c>
      <c r="AA37" s="20" t="s">
        <v>546</v>
      </c>
      <c r="AB37" s="20" t="s">
        <v>546</v>
      </c>
      <c r="AC37" s="20" t="s">
        <v>546</v>
      </c>
      <c r="AD37" s="20" t="s">
        <v>546</v>
      </c>
      <c r="AE37" s="137" t="s">
        <v>843</v>
      </c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20" t="s">
        <v>546</v>
      </c>
      <c r="AY37" s="20" t="s">
        <v>546</v>
      </c>
      <c r="AZ37" s="20" t="s">
        <v>546</v>
      </c>
      <c r="BA37" s="20" t="s">
        <v>546</v>
      </c>
      <c r="BB37" s="20" t="s">
        <v>546</v>
      </c>
      <c r="BC37" s="20" t="s">
        <v>546</v>
      </c>
      <c r="BD37" s="20" t="s">
        <v>546</v>
      </c>
      <c r="BE37" s="20" t="s">
        <v>546</v>
      </c>
      <c r="BF37" s="20" t="s">
        <v>546</v>
      </c>
      <c r="BG37" s="20" t="s">
        <v>546</v>
      </c>
      <c r="BH37" s="20" t="s">
        <v>546</v>
      </c>
      <c r="BI37" s="20" t="s">
        <v>546</v>
      </c>
      <c r="BJ37" s="20" t="s">
        <v>546</v>
      </c>
      <c r="BK37" s="20" t="s">
        <v>546</v>
      </c>
      <c r="BL37" s="20" t="s">
        <v>546</v>
      </c>
      <c r="BM37" s="20" t="s">
        <v>546</v>
      </c>
      <c r="BN37" s="20" t="s">
        <v>546</v>
      </c>
      <c r="BO37" s="20" t="s">
        <v>546</v>
      </c>
      <c r="BP37" s="20" t="s">
        <v>546</v>
      </c>
      <c r="BQ37" s="20" t="s">
        <v>546</v>
      </c>
      <c r="BR37" s="20" t="s">
        <v>546</v>
      </c>
      <c r="BS37" s="20" t="s">
        <v>546</v>
      </c>
      <c r="BT37" s="20" t="s">
        <v>546</v>
      </c>
      <c r="BU37" s="20" t="s">
        <v>546</v>
      </c>
      <c r="BV37" s="20" t="s">
        <v>546</v>
      </c>
      <c r="BW37" s="20" t="s">
        <v>546</v>
      </c>
      <c r="BX37" s="20" t="s">
        <v>546</v>
      </c>
      <c r="BY37" s="20" t="s">
        <v>546</v>
      </c>
      <c r="BZ37" s="20" t="s">
        <v>546</v>
      </c>
      <c r="CA37" s="20" t="s">
        <v>546</v>
      </c>
      <c r="CB37" s="20" t="s">
        <v>546</v>
      </c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</row>
    <row r="38" spans="1:249">
      <c r="A38" s="21"/>
      <c r="B38" s="119" t="s">
        <v>300</v>
      </c>
      <c r="C38" s="21" t="s">
        <v>735</v>
      </c>
      <c r="D38" s="135">
        <v>0.15</v>
      </c>
      <c r="E38" s="20" t="s">
        <v>546</v>
      </c>
      <c r="F38" s="20" t="s">
        <v>546</v>
      </c>
      <c r="G38" s="20" t="s">
        <v>546</v>
      </c>
      <c r="H38" s="20" t="s">
        <v>546</v>
      </c>
      <c r="I38" s="20" t="s">
        <v>546</v>
      </c>
      <c r="J38" s="20" t="s">
        <v>546</v>
      </c>
      <c r="K38" s="20" t="s">
        <v>546</v>
      </c>
      <c r="L38" s="20" t="s">
        <v>546</v>
      </c>
      <c r="M38" s="20" t="s">
        <v>546</v>
      </c>
      <c r="N38" s="20" t="s">
        <v>546</v>
      </c>
      <c r="O38" s="20" t="s">
        <v>546</v>
      </c>
      <c r="P38" s="20" t="s">
        <v>546</v>
      </c>
      <c r="Q38" s="20" t="s">
        <v>546</v>
      </c>
      <c r="R38" s="20" t="s">
        <v>546</v>
      </c>
      <c r="S38" s="20" t="s">
        <v>546</v>
      </c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20" t="s">
        <v>546</v>
      </c>
      <c r="AK38" s="20" t="s">
        <v>546</v>
      </c>
      <c r="AL38" s="20" t="s">
        <v>546</v>
      </c>
      <c r="AM38" s="20" t="s">
        <v>546</v>
      </c>
      <c r="AN38" s="20" t="s">
        <v>546</v>
      </c>
      <c r="AO38" s="20" t="s">
        <v>546</v>
      </c>
      <c r="AP38" s="20" t="s">
        <v>546</v>
      </c>
      <c r="AQ38" s="20" t="s">
        <v>546</v>
      </c>
      <c r="AR38" s="20" t="s">
        <v>546</v>
      </c>
      <c r="AS38" s="20" t="s">
        <v>546</v>
      </c>
      <c r="AT38" s="20" t="s">
        <v>546</v>
      </c>
      <c r="AU38" s="20" t="s">
        <v>546</v>
      </c>
      <c r="AV38" s="20" t="s">
        <v>546</v>
      </c>
      <c r="AW38" s="20" t="s">
        <v>546</v>
      </c>
      <c r="AX38" s="20" t="s">
        <v>546</v>
      </c>
      <c r="AY38" s="20" t="s">
        <v>546</v>
      </c>
      <c r="AZ38" s="20" t="s">
        <v>546</v>
      </c>
      <c r="BA38" s="20" t="s">
        <v>546</v>
      </c>
      <c r="BB38" s="20" t="s">
        <v>546</v>
      </c>
      <c r="BC38" s="20" t="s">
        <v>546</v>
      </c>
      <c r="BD38" s="20" t="s">
        <v>546</v>
      </c>
      <c r="BE38" s="20" t="s">
        <v>546</v>
      </c>
      <c r="BF38" s="20" t="s">
        <v>546</v>
      </c>
      <c r="BG38" s="20" t="s">
        <v>546</v>
      </c>
      <c r="BH38" s="20" t="s">
        <v>546</v>
      </c>
      <c r="BI38" s="20" t="s">
        <v>546</v>
      </c>
      <c r="BJ38" s="20" t="s">
        <v>546</v>
      </c>
      <c r="BK38" s="20" t="s">
        <v>546</v>
      </c>
      <c r="BL38" s="20" t="s">
        <v>546</v>
      </c>
      <c r="BM38" s="20" t="s">
        <v>546</v>
      </c>
      <c r="BN38" s="20" t="s">
        <v>546</v>
      </c>
      <c r="BO38" s="20" t="s">
        <v>546</v>
      </c>
      <c r="BP38" s="20" t="s">
        <v>546</v>
      </c>
      <c r="BQ38" s="20" t="s">
        <v>546</v>
      </c>
      <c r="BR38" s="20" t="s">
        <v>546</v>
      </c>
      <c r="BS38" s="20" t="s">
        <v>546</v>
      </c>
      <c r="BT38" s="20" t="s">
        <v>546</v>
      </c>
      <c r="BU38" s="20" t="s">
        <v>546</v>
      </c>
      <c r="BV38" s="20" t="s">
        <v>546</v>
      </c>
      <c r="BW38" s="20" t="s">
        <v>546</v>
      </c>
      <c r="BX38" s="20" t="s">
        <v>546</v>
      </c>
      <c r="BY38" s="20" t="s">
        <v>546</v>
      </c>
      <c r="BZ38" s="20" t="s">
        <v>546</v>
      </c>
      <c r="CA38" s="20" t="s">
        <v>546</v>
      </c>
      <c r="CB38" s="20" t="s">
        <v>546</v>
      </c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</row>
    <row r="39" spans="1:249">
      <c r="A39" s="21"/>
      <c r="B39" s="119"/>
      <c r="C39" s="21" t="s">
        <v>733</v>
      </c>
      <c r="D39" s="138" t="s">
        <v>845</v>
      </c>
      <c r="E39" s="20" t="s">
        <v>546</v>
      </c>
      <c r="F39" s="20" t="s">
        <v>546</v>
      </c>
      <c r="G39" s="20" t="s">
        <v>546</v>
      </c>
      <c r="H39" s="20" t="s">
        <v>546</v>
      </c>
      <c r="I39" s="20" t="s">
        <v>546</v>
      </c>
      <c r="J39" s="20" t="s">
        <v>546</v>
      </c>
      <c r="K39" s="20" t="s">
        <v>546</v>
      </c>
      <c r="L39" s="20" t="s">
        <v>546</v>
      </c>
      <c r="M39" s="20" t="s">
        <v>546</v>
      </c>
      <c r="N39" s="20" t="s">
        <v>546</v>
      </c>
      <c r="O39" s="20" t="s">
        <v>546</v>
      </c>
      <c r="P39" s="20" t="s">
        <v>546</v>
      </c>
      <c r="Q39" s="20" t="s">
        <v>546</v>
      </c>
      <c r="R39" s="20" t="s">
        <v>546</v>
      </c>
      <c r="S39" s="20" t="s">
        <v>546</v>
      </c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20" t="s">
        <v>546</v>
      </c>
      <c r="AK39" s="20" t="s">
        <v>546</v>
      </c>
      <c r="AL39" s="20" t="s">
        <v>546</v>
      </c>
      <c r="AM39" s="20" t="s">
        <v>546</v>
      </c>
      <c r="AN39" s="20" t="s">
        <v>546</v>
      </c>
      <c r="AO39" s="20" t="s">
        <v>546</v>
      </c>
      <c r="AP39" s="20" t="s">
        <v>546</v>
      </c>
      <c r="AQ39" s="20" t="s">
        <v>546</v>
      </c>
      <c r="AR39" s="20" t="s">
        <v>546</v>
      </c>
      <c r="AS39" s="20" t="s">
        <v>546</v>
      </c>
      <c r="AT39" s="20" t="s">
        <v>546</v>
      </c>
      <c r="AU39" s="20" t="s">
        <v>546</v>
      </c>
      <c r="AV39" s="20" t="s">
        <v>546</v>
      </c>
      <c r="AW39" s="20" t="s">
        <v>546</v>
      </c>
      <c r="AX39" s="20" t="s">
        <v>546</v>
      </c>
      <c r="AY39" s="20" t="s">
        <v>546</v>
      </c>
      <c r="AZ39" s="20" t="s">
        <v>546</v>
      </c>
      <c r="BA39" s="20" t="s">
        <v>546</v>
      </c>
      <c r="BB39" s="20" t="s">
        <v>546</v>
      </c>
      <c r="BC39" s="20" t="s">
        <v>546</v>
      </c>
      <c r="BD39" s="20" t="s">
        <v>546</v>
      </c>
      <c r="BE39" s="20" t="s">
        <v>546</v>
      </c>
      <c r="BF39" s="20" t="s">
        <v>546</v>
      </c>
      <c r="BG39" s="20" t="s">
        <v>546</v>
      </c>
      <c r="BH39" s="20" t="s">
        <v>546</v>
      </c>
      <c r="BI39" s="20" t="s">
        <v>546</v>
      </c>
      <c r="BJ39" s="20" t="s">
        <v>546</v>
      </c>
      <c r="BK39" s="20" t="s">
        <v>546</v>
      </c>
      <c r="BL39" s="20" t="s">
        <v>546</v>
      </c>
      <c r="BM39" s="20" t="s">
        <v>546</v>
      </c>
      <c r="BN39" s="20" t="s">
        <v>546</v>
      </c>
      <c r="BO39" s="20" t="s">
        <v>546</v>
      </c>
      <c r="BP39" s="20" t="s">
        <v>546</v>
      </c>
      <c r="BQ39" s="20" t="s">
        <v>546</v>
      </c>
      <c r="BR39" s="20" t="s">
        <v>546</v>
      </c>
      <c r="BS39" s="20" t="s">
        <v>546</v>
      </c>
      <c r="BT39" s="20" t="s">
        <v>546</v>
      </c>
      <c r="BU39" s="20" t="s">
        <v>546</v>
      </c>
      <c r="BV39" s="20" t="s">
        <v>546</v>
      </c>
      <c r="BW39" s="20" t="s">
        <v>546</v>
      </c>
      <c r="BX39" s="20" t="s">
        <v>546</v>
      </c>
      <c r="BY39" s="20" t="s">
        <v>546</v>
      </c>
      <c r="BZ39" s="20" t="s">
        <v>546</v>
      </c>
      <c r="CA39" s="20" t="s">
        <v>546</v>
      </c>
      <c r="CB39" s="20" t="s">
        <v>546</v>
      </c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</row>
    <row r="40" spans="1:249">
      <c r="A40" s="113" t="s">
        <v>846</v>
      </c>
      <c r="B40" s="114" t="s">
        <v>277</v>
      </c>
      <c r="C40" s="115" t="s">
        <v>735</v>
      </c>
      <c r="D40" s="116">
        <v>0.15</v>
      </c>
      <c r="E40" s="20" t="s">
        <v>546</v>
      </c>
      <c r="F40" s="20" t="s">
        <v>546</v>
      </c>
      <c r="G40" s="20" t="s">
        <v>546</v>
      </c>
      <c r="H40" s="20" t="s">
        <v>546</v>
      </c>
      <c r="I40" s="122" t="s">
        <v>847</v>
      </c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20" t="s">
        <v>546</v>
      </c>
      <c r="V40" s="20" t="s">
        <v>546</v>
      </c>
      <c r="W40" s="20" t="s">
        <v>546</v>
      </c>
      <c r="X40" s="20" t="s">
        <v>546</v>
      </c>
      <c r="Y40" s="20" t="s">
        <v>546</v>
      </c>
      <c r="Z40" s="20" t="s">
        <v>546</v>
      </c>
      <c r="AA40" s="20" t="s">
        <v>546</v>
      </c>
      <c r="AB40" s="124" t="s">
        <v>776</v>
      </c>
      <c r="AC40" s="124"/>
      <c r="AD40" s="124"/>
      <c r="AE40" s="20" t="s">
        <v>546</v>
      </c>
      <c r="AF40" s="20" t="s">
        <v>546</v>
      </c>
      <c r="AG40" s="20" t="s">
        <v>546</v>
      </c>
      <c r="AH40" s="20" t="s">
        <v>546</v>
      </c>
      <c r="AI40" s="20" t="s">
        <v>546</v>
      </c>
      <c r="AJ40" s="20" t="s">
        <v>546</v>
      </c>
      <c r="AK40" s="20" t="s">
        <v>546</v>
      </c>
      <c r="AL40" s="20" t="s">
        <v>546</v>
      </c>
      <c r="AM40" s="20" t="s">
        <v>546</v>
      </c>
      <c r="AN40" s="20" t="s">
        <v>546</v>
      </c>
      <c r="AO40" s="20" t="s">
        <v>546</v>
      </c>
      <c r="AP40" s="20" t="s">
        <v>546</v>
      </c>
      <c r="AQ40" s="20" t="s">
        <v>546</v>
      </c>
      <c r="AR40" s="20" t="s">
        <v>546</v>
      </c>
      <c r="AS40" s="20" t="s">
        <v>546</v>
      </c>
      <c r="AT40" s="20" t="s">
        <v>546</v>
      </c>
      <c r="AU40" s="20" t="s">
        <v>546</v>
      </c>
      <c r="AV40" s="20" t="s">
        <v>546</v>
      </c>
      <c r="AW40" s="20" t="s">
        <v>546</v>
      </c>
      <c r="AX40" s="20" t="s">
        <v>546</v>
      </c>
      <c r="AY40" s="20" t="s">
        <v>546</v>
      </c>
      <c r="AZ40" s="20" t="s">
        <v>546</v>
      </c>
      <c r="BA40" s="20" t="s">
        <v>546</v>
      </c>
      <c r="BB40" s="20" t="s">
        <v>546</v>
      </c>
      <c r="BC40" s="20" t="s">
        <v>546</v>
      </c>
      <c r="BD40" s="20" t="s">
        <v>546</v>
      </c>
      <c r="BE40" s="20" t="s">
        <v>546</v>
      </c>
      <c r="BF40" s="20" t="s">
        <v>546</v>
      </c>
      <c r="BG40" s="20" t="s">
        <v>546</v>
      </c>
      <c r="BH40" s="20" t="s">
        <v>546</v>
      </c>
      <c r="BI40" s="20" t="s">
        <v>546</v>
      </c>
      <c r="BJ40" s="20" t="s">
        <v>546</v>
      </c>
      <c r="BK40" s="20" t="s">
        <v>546</v>
      </c>
      <c r="BL40" s="20" t="s">
        <v>546</v>
      </c>
      <c r="BM40" s="20" t="s">
        <v>546</v>
      </c>
      <c r="BN40" s="20" t="s">
        <v>546</v>
      </c>
      <c r="BO40" s="20" t="s">
        <v>546</v>
      </c>
      <c r="BP40" s="20" t="s">
        <v>546</v>
      </c>
      <c r="BQ40" s="20" t="s">
        <v>546</v>
      </c>
      <c r="BR40" s="20" t="s">
        <v>546</v>
      </c>
      <c r="BS40" s="20" t="s">
        <v>546</v>
      </c>
      <c r="BT40" s="20" t="s">
        <v>546</v>
      </c>
      <c r="BU40" s="20" t="s">
        <v>848</v>
      </c>
      <c r="BV40" s="20" t="s">
        <v>848</v>
      </c>
      <c r="BW40" s="20" t="s">
        <v>848</v>
      </c>
      <c r="BX40" s="20" t="s">
        <v>848</v>
      </c>
      <c r="BY40" s="20" t="s">
        <v>848</v>
      </c>
      <c r="BZ40" s="20" t="s">
        <v>848</v>
      </c>
      <c r="CA40" s="20" t="s">
        <v>848</v>
      </c>
      <c r="CB40" s="20" t="s">
        <v>848</v>
      </c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</row>
    <row r="41" spans="1:249">
      <c r="A41" s="118"/>
      <c r="B41" s="119"/>
      <c r="C41" s="21" t="s">
        <v>733</v>
      </c>
      <c r="D41" s="139" t="s">
        <v>849</v>
      </c>
      <c r="E41" s="20" t="s">
        <v>546</v>
      </c>
      <c r="F41" s="20" t="s">
        <v>546</v>
      </c>
      <c r="G41" s="20" t="s">
        <v>546</v>
      </c>
      <c r="H41" s="20" t="s">
        <v>546</v>
      </c>
      <c r="I41" s="20" t="s">
        <v>546</v>
      </c>
      <c r="J41" s="20" t="s">
        <v>546</v>
      </c>
      <c r="K41" s="20" t="s">
        <v>546</v>
      </c>
      <c r="L41" s="20" t="s">
        <v>546</v>
      </c>
      <c r="M41" s="20" t="s">
        <v>546</v>
      </c>
      <c r="N41" s="20" t="s">
        <v>546</v>
      </c>
      <c r="O41" s="20" t="s">
        <v>546</v>
      </c>
      <c r="P41" s="20" t="s">
        <v>546</v>
      </c>
      <c r="Q41" s="20" t="s">
        <v>546</v>
      </c>
      <c r="R41" s="20" t="s">
        <v>546</v>
      </c>
      <c r="S41" s="20" t="s">
        <v>546</v>
      </c>
      <c r="T41" s="20" t="s">
        <v>546</v>
      </c>
      <c r="U41" s="117" t="s">
        <v>850</v>
      </c>
      <c r="V41" s="117"/>
      <c r="W41" s="117"/>
      <c r="X41" s="117"/>
      <c r="Y41" s="117"/>
      <c r="Z41" s="20" t="s">
        <v>546</v>
      </c>
      <c r="AA41" s="20" t="s">
        <v>546</v>
      </c>
      <c r="AB41" s="20" t="s">
        <v>546</v>
      </c>
      <c r="AC41" s="20" t="s">
        <v>546</v>
      </c>
      <c r="AD41" s="20" t="s">
        <v>546</v>
      </c>
      <c r="AE41" s="122" t="s">
        <v>851</v>
      </c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20" t="s">
        <v>546</v>
      </c>
      <c r="AT41" s="20" t="s">
        <v>546</v>
      </c>
      <c r="AU41" s="20" t="s">
        <v>546</v>
      </c>
      <c r="AV41" s="20" t="s">
        <v>546</v>
      </c>
      <c r="AW41" s="20" t="s">
        <v>546</v>
      </c>
      <c r="AX41" s="20" t="s">
        <v>546</v>
      </c>
      <c r="AY41" s="20" t="s">
        <v>546</v>
      </c>
      <c r="AZ41" s="20" t="s">
        <v>546</v>
      </c>
      <c r="BA41" s="20" t="s">
        <v>546</v>
      </c>
      <c r="BB41" s="20" t="s">
        <v>546</v>
      </c>
      <c r="BC41" s="20" t="s">
        <v>546</v>
      </c>
      <c r="BD41" s="20" t="s">
        <v>546</v>
      </c>
      <c r="BE41" s="20" t="s">
        <v>546</v>
      </c>
      <c r="BF41" s="20" t="s">
        <v>546</v>
      </c>
      <c r="BG41" s="20" t="s">
        <v>546</v>
      </c>
      <c r="BH41" s="20" t="s">
        <v>546</v>
      </c>
      <c r="BI41" s="20" t="s">
        <v>546</v>
      </c>
      <c r="BJ41" s="20" t="s">
        <v>546</v>
      </c>
      <c r="BK41" s="20" t="s">
        <v>546</v>
      </c>
      <c r="BL41" s="20" t="s">
        <v>546</v>
      </c>
      <c r="BM41" s="20" t="s">
        <v>546</v>
      </c>
      <c r="BN41" s="20" t="s">
        <v>546</v>
      </c>
      <c r="BO41" s="20" t="s">
        <v>546</v>
      </c>
      <c r="BP41" s="20" t="s">
        <v>546</v>
      </c>
      <c r="BQ41" s="20" t="s">
        <v>546</v>
      </c>
      <c r="BR41" s="20" t="s">
        <v>546</v>
      </c>
      <c r="BS41" s="20" t="s">
        <v>546</v>
      </c>
      <c r="BT41" s="20" t="s">
        <v>546</v>
      </c>
      <c r="BU41" s="20" t="s">
        <v>848</v>
      </c>
      <c r="BV41" s="20" t="s">
        <v>848</v>
      </c>
      <c r="BW41" s="20" t="s">
        <v>848</v>
      </c>
      <c r="BX41" s="20" t="s">
        <v>848</v>
      </c>
      <c r="BY41" s="20" t="s">
        <v>848</v>
      </c>
      <c r="BZ41" s="20" t="s">
        <v>848</v>
      </c>
      <c r="CA41" s="20" t="s">
        <v>848</v>
      </c>
      <c r="CB41" s="20" t="s">
        <v>848</v>
      </c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</row>
    <row r="42" spans="1:249">
      <c r="A42" s="118"/>
      <c r="B42" s="119" t="s">
        <v>511</v>
      </c>
      <c r="C42" s="21" t="s">
        <v>735</v>
      </c>
      <c r="D42" s="125">
        <v>0.15</v>
      </c>
      <c r="E42" s="20" t="s">
        <v>546</v>
      </c>
      <c r="F42" s="20" t="s">
        <v>546</v>
      </c>
      <c r="G42" s="20" t="s">
        <v>546</v>
      </c>
      <c r="H42" s="20" t="s">
        <v>546</v>
      </c>
      <c r="I42" s="20" t="s">
        <v>546</v>
      </c>
      <c r="J42" s="20" t="s">
        <v>546</v>
      </c>
      <c r="K42" s="20" t="s">
        <v>546</v>
      </c>
      <c r="L42" s="20" t="s">
        <v>546</v>
      </c>
      <c r="M42" s="20" t="s">
        <v>546</v>
      </c>
      <c r="N42" s="20" t="s">
        <v>546</v>
      </c>
      <c r="O42" s="20" t="s">
        <v>546</v>
      </c>
      <c r="P42" s="20" t="s">
        <v>546</v>
      </c>
      <c r="Q42" s="20" t="s">
        <v>546</v>
      </c>
      <c r="R42" s="20" t="s">
        <v>546</v>
      </c>
      <c r="S42" s="20" t="s">
        <v>546</v>
      </c>
      <c r="T42" s="20" t="s">
        <v>546</v>
      </c>
      <c r="U42" s="20" t="s">
        <v>546</v>
      </c>
      <c r="V42" s="20" t="s">
        <v>546</v>
      </c>
      <c r="W42" s="20" t="s">
        <v>546</v>
      </c>
      <c r="X42" s="20" t="s">
        <v>546</v>
      </c>
      <c r="Y42" s="20" t="s">
        <v>546</v>
      </c>
      <c r="Z42" s="20" t="s">
        <v>546</v>
      </c>
      <c r="AA42" s="20" t="s">
        <v>546</v>
      </c>
      <c r="AB42" s="20" t="s">
        <v>546</v>
      </c>
      <c r="AC42" s="20" t="s">
        <v>546</v>
      </c>
      <c r="AD42" s="20" t="s">
        <v>546</v>
      </c>
      <c r="AE42" s="20" t="s">
        <v>546</v>
      </c>
      <c r="AF42" s="20" t="s">
        <v>546</v>
      </c>
      <c r="AG42" s="20" t="s">
        <v>546</v>
      </c>
      <c r="AH42" s="20" t="s">
        <v>546</v>
      </c>
      <c r="AI42" s="20" t="s">
        <v>546</v>
      </c>
      <c r="AJ42" s="20" t="s">
        <v>546</v>
      </c>
      <c r="AK42" s="20" t="s">
        <v>546</v>
      </c>
      <c r="AL42" s="20" t="s">
        <v>546</v>
      </c>
      <c r="AM42" s="20" t="s">
        <v>546</v>
      </c>
      <c r="AN42" s="20" t="s">
        <v>546</v>
      </c>
      <c r="AO42" s="20" t="s">
        <v>546</v>
      </c>
      <c r="AP42" s="20" t="s">
        <v>546</v>
      </c>
      <c r="AQ42" s="20" t="s">
        <v>546</v>
      </c>
      <c r="AR42" s="20" t="s">
        <v>546</v>
      </c>
      <c r="AS42" s="20" t="s">
        <v>546</v>
      </c>
      <c r="AT42" s="20" t="s">
        <v>546</v>
      </c>
      <c r="AU42" s="20" t="s">
        <v>546</v>
      </c>
      <c r="AV42" s="20" t="s">
        <v>546</v>
      </c>
      <c r="AW42" s="20" t="s">
        <v>546</v>
      </c>
      <c r="AX42" s="20" t="s">
        <v>546</v>
      </c>
      <c r="AY42" s="20" t="s">
        <v>546</v>
      </c>
      <c r="AZ42" s="20" t="s">
        <v>546</v>
      </c>
      <c r="BA42" s="20" t="s">
        <v>546</v>
      </c>
      <c r="BB42" s="20" t="s">
        <v>546</v>
      </c>
      <c r="BC42" s="20" t="s">
        <v>546</v>
      </c>
      <c r="BD42" s="20" t="s">
        <v>546</v>
      </c>
      <c r="BE42" s="20" t="s">
        <v>546</v>
      </c>
      <c r="BF42" s="20" t="s">
        <v>546</v>
      </c>
      <c r="BG42" s="20" t="s">
        <v>546</v>
      </c>
      <c r="BH42" s="20" t="s">
        <v>546</v>
      </c>
      <c r="BI42" s="20" t="s">
        <v>546</v>
      </c>
      <c r="BJ42" s="20" t="s">
        <v>546</v>
      </c>
      <c r="BK42" s="20" t="s">
        <v>546</v>
      </c>
      <c r="BL42" s="20" t="s">
        <v>546</v>
      </c>
      <c r="BM42" s="20" t="s">
        <v>546</v>
      </c>
      <c r="BN42" s="20" t="s">
        <v>546</v>
      </c>
      <c r="BO42" s="20" t="s">
        <v>546</v>
      </c>
      <c r="BP42" s="20" t="s">
        <v>546</v>
      </c>
      <c r="BQ42" s="20" t="s">
        <v>546</v>
      </c>
      <c r="BR42" s="20" t="s">
        <v>546</v>
      </c>
      <c r="BS42" s="20" t="s">
        <v>546</v>
      </c>
      <c r="BT42" s="20" t="s">
        <v>546</v>
      </c>
      <c r="BU42" s="20" t="s">
        <v>848</v>
      </c>
      <c r="BV42" s="20" t="s">
        <v>848</v>
      </c>
      <c r="BW42" s="20" t="s">
        <v>848</v>
      </c>
      <c r="BX42" s="20" t="s">
        <v>848</v>
      </c>
      <c r="BY42" s="20" t="s">
        <v>848</v>
      </c>
      <c r="BZ42" s="20" t="s">
        <v>848</v>
      </c>
      <c r="CA42" s="20" t="s">
        <v>848</v>
      </c>
      <c r="CB42" s="20" t="s">
        <v>848</v>
      </c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</row>
    <row r="43" spans="1:249">
      <c r="A43" s="118"/>
      <c r="B43" s="119"/>
      <c r="C43" s="21" t="s">
        <v>733</v>
      </c>
      <c r="D43" s="139" t="s">
        <v>852</v>
      </c>
      <c r="E43" s="117" t="s">
        <v>853</v>
      </c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20" t="s">
        <v>854</v>
      </c>
      <c r="U43" s="117" t="s">
        <v>855</v>
      </c>
      <c r="V43" s="117"/>
      <c r="W43" s="117"/>
      <c r="X43" s="117"/>
      <c r="Y43" s="117"/>
      <c r="Z43" s="20" t="s">
        <v>546</v>
      </c>
      <c r="AA43" s="20" t="s">
        <v>546</v>
      </c>
      <c r="AB43" s="20" t="s">
        <v>546</v>
      </c>
      <c r="AC43" s="20" t="s">
        <v>546</v>
      </c>
      <c r="AD43" s="20" t="s">
        <v>546</v>
      </c>
      <c r="AE43" s="122" t="s">
        <v>856</v>
      </c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20" t="s">
        <v>546</v>
      </c>
      <c r="AT43" s="20" t="s">
        <v>546</v>
      </c>
      <c r="AU43" s="20" t="s">
        <v>546</v>
      </c>
      <c r="AV43" s="20" t="s">
        <v>546</v>
      </c>
      <c r="AW43" s="20" t="s">
        <v>546</v>
      </c>
      <c r="AX43" s="20" t="s">
        <v>546</v>
      </c>
      <c r="AY43" s="20" t="s">
        <v>546</v>
      </c>
      <c r="AZ43" s="20" t="s">
        <v>546</v>
      </c>
      <c r="BA43" s="20" t="s">
        <v>546</v>
      </c>
      <c r="BB43" s="20" t="s">
        <v>546</v>
      </c>
      <c r="BC43" s="20" t="s">
        <v>546</v>
      </c>
      <c r="BD43" s="20" t="s">
        <v>546</v>
      </c>
      <c r="BE43" s="20" t="s">
        <v>546</v>
      </c>
      <c r="BF43" s="20" t="s">
        <v>546</v>
      </c>
      <c r="BG43" s="20" t="s">
        <v>546</v>
      </c>
      <c r="BH43" s="20" t="s">
        <v>546</v>
      </c>
      <c r="BI43" s="20" t="s">
        <v>546</v>
      </c>
      <c r="BJ43" s="20" t="s">
        <v>546</v>
      </c>
      <c r="BK43" s="20" t="s">
        <v>546</v>
      </c>
      <c r="BL43" s="20" t="s">
        <v>546</v>
      </c>
      <c r="BM43" s="20" t="s">
        <v>546</v>
      </c>
      <c r="BN43" s="20" t="s">
        <v>546</v>
      </c>
      <c r="BO43" s="20" t="s">
        <v>546</v>
      </c>
      <c r="BP43" s="20" t="s">
        <v>546</v>
      </c>
      <c r="BQ43" s="20" t="s">
        <v>546</v>
      </c>
      <c r="BR43" s="20" t="s">
        <v>546</v>
      </c>
      <c r="BS43" s="20" t="s">
        <v>546</v>
      </c>
      <c r="BT43" s="20" t="s">
        <v>546</v>
      </c>
      <c r="BU43" s="20" t="s">
        <v>848</v>
      </c>
      <c r="BV43" s="20" t="s">
        <v>848</v>
      </c>
      <c r="BW43" s="20" t="s">
        <v>848</v>
      </c>
      <c r="BX43" s="20" t="s">
        <v>848</v>
      </c>
      <c r="BY43" s="20" t="s">
        <v>848</v>
      </c>
      <c r="BZ43" s="20" t="s">
        <v>848</v>
      </c>
      <c r="CA43" s="20" t="s">
        <v>848</v>
      </c>
      <c r="CB43" s="20" t="s">
        <v>848</v>
      </c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</row>
    <row r="44" spans="1:249">
      <c r="A44" s="118"/>
      <c r="B44" s="119" t="s">
        <v>513</v>
      </c>
      <c r="C44" s="21" t="s">
        <v>735</v>
      </c>
      <c r="D44" s="125">
        <v>0.15</v>
      </c>
      <c r="E44" s="20" t="s">
        <v>546</v>
      </c>
      <c r="F44" s="20" t="s">
        <v>546</v>
      </c>
      <c r="G44" s="20" t="s">
        <v>546</v>
      </c>
      <c r="H44" s="20" t="s">
        <v>546</v>
      </c>
      <c r="I44" s="20" t="s">
        <v>546</v>
      </c>
      <c r="J44" s="20" t="s">
        <v>546</v>
      </c>
      <c r="K44" s="20" t="s">
        <v>546</v>
      </c>
      <c r="L44" s="20" t="s">
        <v>546</v>
      </c>
      <c r="M44" s="20" t="s">
        <v>546</v>
      </c>
      <c r="N44" s="20" t="s">
        <v>546</v>
      </c>
      <c r="O44" s="20" t="s">
        <v>546</v>
      </c>
      <c r="P44" s="20" t="s">
        <v>546</v>
      </c>
      <c r="Q44" s="20" t="s">
        <v>546</v>
      </c>
      <c r="R44" s="20" t="s">
        <v>546</v>
      </c>
      <c r="S44" s="20" t="s">
        <v>546</v>
      </c>
      <c r="T44" s="20" t="s">
        <v>546</v>
      </c>
      <c r="U44" s="20" t="s">
        <v>546</v>
      </c>
      <c r="V44" s="20" t="s">
        <v>546</v>
      </c>
      <c r="W44" s="20" t="s">
        <v>546</v>
      </c>
      <c r="X44" s="20" t="s">
        <v>546</v>
      </c>
      <c r="Y44" s="20" t="s">
        <v>546</v>
      </c>
      <c r="Z44" s="20" t="s">
        <v>546</v>
      </c>
      <c r="AA44" s="20" t="s">
        <v>546</v>
      </c>
      <c r="AB44" s="20" t="s">
        <v>546</v>
      </c>
      <c r="AC44" s="20" t="s">
        <v>546</v>
      </c>
      <c r="AD44" s="20" t="s">
        <v>546</v>
      </c>
      <c r="AE44" s="20" t="s">
        <v>546</v>
      </c>
      <c r="AF44" s="20" t="s">
        <v>546</v>
      </c>
      <c r="AG44" s="20" t="s">
        <v>546</v>
      </c>
      <c r="AH44" s="20" t="s">
        <v>546</v>
      </c>
      <c r="AI44" s="20" t="s">
        <v>546</v>
      </c>
      <c r="AJ44" s="20" t="s">
        <v>546</v>
      </c>
      <c r="AK44" s="20" t="s">
        <v>546</v>
      </c>
      <c r="AL44" s="20" t="s">
        <v>546</v>
      </c>
      <c r="AM44" s="20" t="s">
        <v>546</v>
      </c>
      <c r="AN44" s="121" t="s">
        <v>857</v>
      </c>
      <c r="AO44" s="121"/>
      <c r="AP44" s="121"/>
      <c r="AQ44" s="121"/>
      <c r="AR44" s="121"/>
      <c r="AS44" s="121"/>
      <c r="AT44" s="121"/>
      <c r="AU44" s="121"/>
      <c r="AV44" s="121"/>
      <c r="AW44" s="121"/>
      <c r="AX44" s="20" t="s">
        <v>546</v>
      </c>
      <c r="AY44" s="20" t="s">
        <v>546</v>
      </c>
      <c r="AZ44" s="20" t="s">
        <v>546</v>
      </c>
      <c r="BA44" s="20" t="s">
        <v>546</v>
      </c>
      <c r="BB44" s="20" t="s">
        <v>546</v>
      </c>
      <c r="BC44" s="20" t="s">
        <v>546</v>
      </c>
      <c r="BD44" s="20" t="s">
        <v>546</v>
      </c>
      <c r="BE44" s="20" t="s">
        <v>546</v>
      </c>
      <c r="BF44" s="20" t="s">
        <v>546</v>
      </c>
      <c r="BG44" s="20" t="s">
        <v>546</v>
      </c>
      <c r="BH44" s="20" t="s">
        <v>546</v>
      </c>
      <c r="BI44" s="20" t="s">
        <v>546</v>
      </c>
      <c r="BJ44" s="20" t="s">
        <v>546</v>
      </c>
      <c r="BK44" s="20" t="s">
        <v>546</v>
      </c>
      <c r="BL44" s="20" t="s">
        <v>546</v>
      </c>
      <c r="BM44" s="20" t="s">
        <v>546</v>
      </c>
      <c r="BN44" s="20" t="s">
        <v>546</v>
      </c>
      <c r="BO44" s="20" t="s">
        <v>546</v>
      </c>
      <c r="BP44" s="20" t="s">
        <v>546</v>
      </c>
      <c r="BQ44" s="20" t="s">
        <v>546</v>
      </c>
      <c r="BR44" s="20" t="s">
        <v>546</v>
      </c>
      <c r="BS44" s="20" t="s">
        <v>546</v>
      </c>
      <c r="BT44" s="20" t="s">
        <v>546</v>
      </c>
      <c r="BU44" s="20" t="s">
        <v>848</v>
      </c>
      <c r="BV44" s="20" t="s">
        <v>848</v>
      </c>
      <c r="BW44" s="20" t="s">
        <v>848</v>
      </c>
      <c r="BX44" s="20" t="s">
        <v>848</v>
      </c>
      <c r="BY44" s="20" t="s">
        <v>848</v>
      </c>
      <c r="BZ44" s="20" t="s">
        <v>848</v>
      </c>
      <c r="CA44" s="20" t="s">
        <v>848</v>
      </c>
      <c r="CB44" s="20" t="s">
        <v>848</v>
      </c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</row>
    <row r="45" spans="1:249">
      <c r="A45" s="118"/>
      <c r="B45" s="119"/>
      <c r="C45" s="21" t="s">
        <v>733</v>
      </c>
      <c r="D45" s="139" t="s">
        <v>858</v>
      </c>
      <c r="E45" s="117" t="s">
        <v>859</v>
      </c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20" t="s">
        <v>546</v>
      </c>
      <c r="U45" s="117" t="s">
        <v>860</v>
      </c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20" t="s">
        <v>546</v>
      </c>
      <c r="AH45" s="20" t="s">
        <v>546</v>
      </c>
      <c r="AI45" s="20" t="s">
        <v>546</v>
      </c>
      <c r="AJ45" s="20" t="s">
        <v>546</v>
      </c>
      <c r="AK45" s="20" t="s">
        <v>546</v>
      </c>
      <c r="AL45" s="20" t="s">
        <v>546</v>
      </c>
      <c r="AM45" s="20" t="s">
        <v>546</v>
      </c>
      <c r="AN45" s="20" t="s">
        <v>546</v>
      </c>
      <c r="AO45" s="20" t="s">
        <v>546</v>
      </c>
      <c r="AP45" s="20" t="s">
        <v>546</v>
      </c>
      <c r="AQ45" s="20" t="s">
        <v>546</v>
      </c>
      <c r="AR45" s="20" t="s">
        <v>546</v>
      </c>
      <c r="AS45" s="20" t="s">
        <v>546</v>
      </c>
      <c r="AT45" s="20" t="s">
        <v>546</v>
      </c>
      <c r="AU45" s="20" t="s">
        <v>546</v>
      </c>
      <c r="AV45" s="20" t="s">
        <v>546</v>
      </c>
      <c r="AW45" s="20" t="s">
        <v>546</v>
      </c>
      <c r="AX45" s="20" t="s">
        <v>546</v>
      </c>
      <c r="AY45" s="20" t="s">
        <v>546</v>
      </c>
      <c r="AZ45" s="20" t="s">
        <v>546</v>
      </c>
      <c r="BA45" s="20" t="s">
        <v>546</v>
      </c>
      <c r="BB45" s="20" t="s">
        <v>546</v>
      </c>
      <c r="BC45" s="20" t="s">
        <v>546</v>
      </c>
      <c r="BD45" s="20" t="s">
        <v>546</v>
      </c>
      <c r="BE45" s="20" t="s">
        <v>546</v>
      </c>
      <c r="BF45" s="20" t="s">
        <v>546</v>
      </c>
      <c r="BG45" s="20" t="s">
        <v>546</v>
      </c>
      <c r="BH45" s="20" t="s">
        <v>546</v>
      </c>
      <c r="BI45" s="20" t="s">
        <v>546</v>
      </c>
      <c r="BJ45" s="20" t="s">
        <v>546</v>
      </c>
      <c r="BK45" s="20" t="s">
        <v>546</v>
      </c>
      <c r="BL45" s="20" t="s">
        <v>546</v>
      </c>
      <c r="BM45" s="20" t="s">
        <v>546</v>
      </c>
      <c r="BN45" s="20" t="s">
        <v>546</v>
      </c>
      <c r="BO45" s="20" t="s">
        <v>546</v>
      </c>
      <c r="BP45" s="20" t="s">
        <v>546</v>
      </c>
      <c r="BQ45" s="20" t="s">
        <v>546</v>
      </c>
      <c r="BR45" s="20" t="s">
        <v>546</v>
      </c>
      <c r="BS45" s="20" t="s">
        <v>546</v>
      </c>
      <c r="BT45" s="20" t="s">
        <v>546</v>
      </c>
      <c r="BU45" s="20" t="s">
        <v>848</v>
      </c>
      <c r="BV45" s="20" t="s">
        <v>848</v>
      </c>
      <c r="BW45" s="20" t="s">
        <v>848</v>
      </c>
      <c r="BX45" s="20" t="s">
        <v>848</v>
      </c>
      <c r="BY45" s="20" t="s">
        <v>848</v>
      </c>
      <c r="BZ45" s="20" t="s">
        <v>848</v>
      </c>
      <c r="CA45" s="20" t="s">
        <v>848</v>
      </c>
      <c r="CB45" s="20" t="s">
        <v>848</v>
      </c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</row>
    <row r="46" spans="1:249">
      <c r="A46" s="118"/>
      <c r="B46" s="119" t="s">
        <v>516</v>
      </c>
      <c r="C46" s="21" t="s">
        <v>735</v>
      </c>
      <c r="D46" s="125">
        <v>0.15</v>
      </c>
      <c r="E46" s="20" t="s">
        <v>546</v>
      </c>
      <c r="F46" s="20" t="s">
        <v>546</v>
      </c>
      <c r="G46" s="20" t="s">
        <v>546</v>
      </c>
      <c r="H46" s="20" t="s">
        <v>546</v>
      </c>
      <c r="I46" s="20" t="s">
        <v>546</v>
      </c>
      <c r="J46" s="20" t="s">
        <v>546</v>
      </c>
      <c r="K46" s="20" t="s">
        <v>546</v>
      </c>
      <c r="L46" s="20" t="s">
        <v>546</v>
      </c>
      <c r="M46" s="20" t="s">
        <v>546</v>
      </c>
      <c r="N46" s="20" t="s">
        <v>546</v>
      </c>
      <c r="O46" s="20" t="s">
        <v>546</v>
      </c>
      <c r="P46" s="20" t="s">
        <v>546</v>
      </c>
      <c r="Q46" s="20" t="s">
        <v>546</v>
      </c>
      <c r="R46" s="20" t="s">
        <v>546</v>
      </c>
      <c r="S46" s="20" t="s">
        <v>546</v>
      </c>
      <c r="T46" s="117" t="s">
        <v>861</v>
      </c>
      <c r="U46" s="117"/>
      <c r="V46" s="117"/>
      <c r="W46" s="117"/>
      <c r="X46" s="117"/>
      <c r="Y46" s="117"/>
      <c r="Z46" s="20" t="s">
        <v>546</v>
      </c>
      <c r="AA46" s="20" t="s">
        <v>546</v>
      </c>
      <c r="AB46" s="122" t="s">
        <v>841</v>
      </c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20" t="s">
        <v>546</v>
      </c>
      <c r="AN46" s="121" t="s">
        <v>857</v>
      </c>
      <c r="AO46" s="121"/>
      <c r="AP46" s="121"/>
      <c r="AQ46" s="121"/>
      <c r="AR46" s="121"/>
      <c r="AS46" s="121"/>
      <c r="AT46" s="121"/>
      <c r="AU46" s="121"/>
      <c r="AV46" s="121"/>
      <c r="AW46" s="121"/>
      <c r="AX46" s="20" t="s">
        <v>546</v>
      </c>
      <c r="AY46" s="20" t="s">
        <v>546</v>
      </c>
      <c r="AZ46" s="20" t="s">
        <v>546</v>
      </c>
      <c r="BA46" s="20" t="s">
        <v>546</v>
      </c>
      <c r="BB46" s="20" t="s">
        <v>546</v>
      </c>
      <c r="BC46" s="20" t="s">
        <v>546</v>
      </c>
      <c r="BD46" s="20" t="s">
        <v>546</v>
      </c>
      <c r="BE46" s="20" t="s">
        <v>546</v>
      </c>
      <c r="BF46" s="20" t="s">
        <v>546</v>
      </c>
      <c r="BG46" s="20" t="s">
        <v>546</v>
      </c>
      <c r="BH46" s="20" t="s">
        <v>546</v>
      </c>
      <c r="BI46" s="20" t="s">
        <v>546</v>
      </c>
      <c r="BJ46" s="20" t="s">
        <v>546</v>
      </c>
      <c r="BK46" s="20" t="s">
        <v>546</v>
      </c>
      <c r="BL46" s="20" t="s">
        <v>546</v>
      </c>
      <c r="BM46" s="20" t="s">
        <v>546</v>
      </c>
      <c r="BN46" s="20" t="s">
        <v>546</v>
      </c>
      <c r="BO46" s="20" t="s">
        <v>546</v>
      </c>
      <c r="BP46" s="20" t="s">
        <v>546</v>
      </c>
      <c r="BQ46" s="20" t="s">
        <v>546</v>
      </c>
      <c r="BR46" s="20" t="s">
        <v>546</v>
      </c>
      <c r="BS46" s="20" t="s">
        <v>546</v>
      </c>
      <c r="BT46" s="20" t="s">
        <v>546</v>
      </c>
      <c r="BU46" s="20" t="s">
        <v>848</v>
      </c>
      <c r="BV46" s="20" t="s">
        <v>848</v>
      </c>
      <c r="BW46" s="20" t="s">
        <v>848</v>
      </c>
      <c r="BX46" s="20" t="s">
        <v>848</v>
      </c>
      <c r="BY46" s="20" t="s">
        <v>848</v>
      </c>
      <c r="BZ46" s="20" t="s">
        <v>848</v>
      </c>
      <c r="CA46" s="20" t="s">
        <v>848</v>
      </c>
      <c r="CB46" s="20" t="s">
        <v>848</v>
      </c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</row>
    <row r="47" spans="1:249">
      <c r="A47" s="128"/>
      <c r="B47" s="129"/>
      <c r="C47" s="130" t="s">
        <v>733</v>
      </c>
      <c r="D47" s="140" t="s">
        <v>862</v>
      </c>
      <c r="E47" s="20" t="s">
        <v>546</v>
      </c>
      <c r="F47" s="20" t="s">
        <v>546</v>
      </c>
      <c r="G47" s="20" t="s">
        <v>546</v>
      </c>
      <c r="H47" s="20" t="s">
        <v>546</v>
      </c>
      <c r="I47" s="20" t="s">
        <v>546</v>
      </c>
      <c r="J47" s="20" t="s">
        <v>546</v>
      </c>
      <c r="K47" s="20" t="s">
        <v>546</v>
      </c>
      <c r="L47" s="20" t="s">
        <v>546</v>
      </c>
      <c r="M47" s="20" t="s">
        <v>546</v>
      </c>
      <c r="N47" s="20" t="s">
        <v>546</v>
      </c>
      <c r="O47" s="20" t="s">
        <v>546</v>
      </c>
      <c r="P47" s="20" t="s">
        <v>546</v>
      </c>
      <c r="Q47" s="20" t="s">
        <v>546</v>
      </c>
      <c r="R47" s="20" t="s">
        <v>546</v>
      </c>
      <c r="S47" s="20" t="s">
        <v>546</v>
      </c>
      <c r="T47" s="20" t="s">
        <v>546</v>
      </c>
      <c r="U47" s="20" t="s">
        <v>546</v>
      </c>
      <c r="V47" s="20" t="s">
        <v>546</v>
      </c>
      <c r="W47" s="20" t="s">
        <v>546</v>
      </c>
      <c r="X47" s="20" t="s">
        <v>546</v>
      </c>
      <c r="Y47" s="20" t="s">
        <v>546</v>
      </c>
      <c r="Z47" s="20" t="s">
        <v>546</v>
      </c>
      <c r="AA47" s="20" t="s">
        <v>546</v>
      </c>
      <c r="AB47" s="20" t="s">
        <v>546</v>
      </c>
      <c r="AC47" s="20" t="s">
        <v>546</v>
      </c>
      <c r="AD47" s="20" t="s">
        <v>546</v>
      </c>
      <c r="AE47" s="20" t="s">
        <v>546</v>
      </c>
      <c r="AF47" s="20" t="s">
        <v>546</v>
      </c>
      <c r="AG47" s="20" t="s">
        <v>546</v>
      </c>
      <c r="AH47" s="20" t="s">
        <v>546</v>
      </c>
      <c r="AI47" s="20" t="s">
        <v>546</v>
      </c>
      <c r="AJ47" s="20" t="s">
        <v>546</v>
      </c>
      <c r="AK47" s="20" t="s">
        <v>546</v>
      </c>
      <c r="AL47" s="20" t="s">
        <v>546</v>
      </c>
      <c r="AM47" s="20" t="s">
        <v>546</v>
      </c>
      <c r="AN47" s="20" t="s">
        <v>546</v>
      </c>
      <c r="AO47" s="20" t="s">
        <v>546</v>
      </c>
      <c r="AP47" s="20" t="s">
        <v>546</v>
      </c>
      <c r="AQ47" s="20" t="s">
        <v>546</v>
      </c>
      <c r="AR47" s="20" t="s">
        <v>546</v>
      </c>
      <c r="AS47" s="20" t="s">
        <v>546</v>
      </c>
      <c r="AT47" s="20" t="s">
        <v>546</v>
      </c>
      <c r="AU47" s="20" t="s">
        <v>546</v>
      </c>
      <c r="AV47" s="20" t="s">
        <v>546</v>
      </c>
      <c r="AW47" s="20" t="s">
        <v>546</v>
      </c>
      <c r="AX47" s="20" t="s">
        <v>546</v>
      </c>
      <c r="AY47" s="20" t="s">
        <v>546</v>
      </c>
      <c r="AZ47" s="20" t="s">
        <v>546</v>
      </c>
      <c r="BA47" s="20" t="s">
        <v>546</v>
      </c>
      <c r="BB47" s="20" t="s">
        <v>546</v>
      </c>
      <c r="BC47" s="20" t="s">
        <v>546</v>
      </c>
      <c r="BD47" s="20" t="s">
        <v>546</v>
      </c>
      <c r="BE47" s="20" t="s">
        <v>546</v>
      </c>
      <c r="BF47" s="20" t="s">
        <v>546</v>
      </c>
      <c r="BG47" s="20" t="s">
        <v>546</v>
      </c>
      <c r="BH47" s="20" t="s">
        <v>546</v>
      </c>
      <c r="BI47" s="20" t="s">
        <v>546</v>
      </c>
      <c r="BJ47" s="20" t="s">
        <v>546</v>
      </c>
      <c r="BK47" s="20" t="s">
        <v>546</v>
      </c>
      <c r="BL47" s="20" t="s">
        <v>546</v>
      </c>
      <c r="BM47" s="20" t="s">
        <v>546</v>
      </c>
      <c r="BN47" s="20" t="s">
        <v>546</v>
      </c>
      <c r="BO47" s="20" t="s">
        <v>546</v>
      </c>
      <c r="BP47" s="20" t="s">
        <v>546</v>
      </c>
      <c r="BQ47" s="20" t="s">
        <v>546</v>
      </c>
      <c r="BR47" s="20" t="s">
        <v>546</v>
      </c>
      <c r="BS47" s="20" t="s">
        <v>546</v>
      </c>
      <c r="BT47" s="20" t="s">
        <v>546</v>
      </c>
      <c r="BU47" s="20" t="s">
        <v>848</v>
      </c>
      <c r="BV47" s="20" t="s">
        <v>848</v>
      </c>
      <c r="BW47" s="20" t="s">
        <v>848</v>
      </c>
      <c r="BX47" s="20" t="s">
        <v>848</v>
      </c>
      <c r="BY47" s="20" t="s">
        <v>848</v>
      </c>
      <c r="BZ47" s="20" t="s">
        <v>848</v>
      </c>
      <c r="CA47" s="20" t="s">
        <v>848</v>
      </c>
      <c r="CB47" s="20" t="s">
        <v>848</v>
      </c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</row>
    <row r="48" spans="1:249">
      <c r="A48" s="113" t="s">
        <v>863</v>
      </c>
      <c r="B48" s="114" t="s">
        <v>277</v>
      </c>
      <c r="C48" s="141" t="s">
        <v>735</v>
      </c>
      <c r="D48" s="116">
        <v>0.15</v>
      </c>
      <c r="E48" s="117" t="s">
        <v>864</v>
      </c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20" t="s">
        <v>546</v>
      </c>
      <c r="V48" s="20" t="s">
        <v>546</v>
      </c>
      <c r="W48" s="20" t="s">
        <v>546</v>
      </c>
      <c r="X48" s="20" t="s">
        <v>546</v>
      </c>
      <c r="Y48" s="20" t="s">
        <v>546</v>
      </c>
      <c r="Z48" s="20" t="s">
        <v>546</v>
      </c>
      <c r="AA48" s="20" t="s">
        <v>546</v>
      </c>
      <c r="AB48" s="20" t="s">
        <v>546</v>
      </c>
      <c r="AC48" s="20" t="s">
        <v>546</v>
      </c>
      <c r="AD48" s="20" t="s">
        <v>546</v>
      </c>
      <c r="AE48" s="20" t="s">
        <v>546</v>
      </c>
      <c r="AF48" s="20" t="s">
        <v>546</v>
      </c>
      <c r="AG48" s="20" t="s">
        <v>546</v>
      </c>
      <c r="AH48" s="20" t="s">
        <v>546</v>
      </c>
      <c r="AI48" s="20" t="s">
        <v>546</v>
      </c>
      <c r="AJ48" s="20" t="s">
        <v>546</v>
      </c>
      <c r="AK48" s="20" t="s">
        <v>546</v>
      </c>
      <c r="AL48" s="20" t="s">
        <v>546</v>
      </c>
      <c r="AM48" s="20" t="s">
        <v>546</v>
      </c>
      <c r="AN48" s="20" t="s">
        <v>546</v>
      </c>
      <c r="AO48" s="20" t="s">
        <v>546</v>
      </c>
      <c r="AP48" s="20" t="s">
        <v>546</v>
      </c>
      <c r="AQ48" s="20" t="s">
        <v>546</v>
      </c>
      <c r="AR48" s="20" t="s">
        <v>546</v>
      </c>
      <c r="AS48" s="20" t="s">
        <v>546</v>
      </c>
      <c r="AT48" s="20" t="s">
        <v>546</v>
      </c>
      <c r="AU48" s="20" t="s">
        <v>546</v>
      </c>
      <c r="AV48" s="20" t="s">
        <v>546</v>
      </c>
      <c r="AW48" s="20" t="s">
        <v>546</v>
      </c>
      <c r="AX48" s="20" t="s">
        <v>546</v>
      </c>
      <c r="AY48" s="20" t="s">
        <v>546</v>
      </c>
      <c r="AZ48" s="20" t="s">
        <v>546</v>
      </c>
      <c r="BA48" s="20" t="s">
        <v>546</v>
      </c>
      <c r="BB48" s="20"/>
      <c r="BC48" s="20"/>
      <c r="BD48" s="20"/>
      <c r="BE48" s="20" t="s">
        <v>546</v>
      </c>
      <c r="BF48" s="20" t="s">
        <v>546</v>
      </c>
      <c r="BG48" s="20" t="s">
        <v>546</v>
      </c>
      <c r="BH48" s="20" t="s">
        <v>546</v>
      </c>
      <c r="BI48" s="20" t="s">
        <v>546</v>
      </c>
      <c r="BJ48" s="20" t="s">
        <v>546</v>
      </c>
      <c r="BK48" s="20" t="s">
        <v>546</v>
      </c>
      <c r="BL48" s="20" t="s">
        <v>546</v>
      </c>
      <c r="BM48" s="20" t="s">
        <v>546</v>
      </c>
      <c r="BN48" s="20" t="s">
        <v>546</v>
      </c>
      <c r="BO48" s="20" t="s">
        <v>546</v>
      </c>
      <c r="BP48" s="20" t="s">
        <v>546</v>
      </c>
      <c r="BQ48" s="20" t="s">
        <v>546</v>
      </c>
      <c r="BR48" s="20" t="s">
        <v>546</v>
      </c>
      <c r="BS48" s="20" t="s">
        <v>546</v>
      </c>
      <c r="BT48" s="20" t="s">
        <v>546</v>
      </c>
      <c r="BU48" s="20" t="s">
        <v>546</v>
      </c>
      <c r="BV48" s="20" t="s">
        <v>546</v>
      </c>
      <c r="BW48" s="20" t="s">
        <v>546</v>
      </c>
      <c r="BX48" s="20" t="s">
        <v>546</v>
      </c>
      <c r="BY48" s="20" t="s">
        <v>546</v>
      </c>
      <c r="BZ48" s="20" t="s">
        <v>546</v>
      </c>
      <c r="CA48" s="121" t="s">
        <v>865</v>
      </c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</row>
    <row r="49" spans="1:249">
      <c r="A49" s="118"/>
      <c r="B49" s="119"/>
      <c r="C49" s="21" t="s">
        <v>733</v>
      </c>
      <c r="D49" s="120" t="s">
        <v>866</v>
      </c>
      <c r="E49" s="20" t="s">
        <v>546</v>
      </c>
      <c r="F49" s="20" t="s">
        <v>546</v>
      </c>
      <c r="G49" s="20" t="s">
        <v>546</v>
      </c>
      <c r="H49" s="20" t="s">
        <v>546</v>
      </c>
      <c r="I49" s="20" t="s">
        <v>546</v>
      </c>
      <c r="J49" s="20" t="s">
        <v>546</v>
      </c>
      <c r="K49" s="20" t="s">
        <v>546</v>
      </c>
      <c r="L49" s="20" t="s">
        <v>546</v>
      </c>
      <c r="M49" s="20" t="s">
        <v>546</v>
      </c>
      <c r="N49" s="20" t="s">
        <v>546</v>
      </c>
      <c r="O49" s="20" t="s">
        <v>546</v>
      </c>
      <c r="P49" s="20" t="s">
        <v>546</v>
      </c>
      <c r="Q49" s="20" t="s">
        <v>546</v>
      </c>
      <c r="R49" s="20" t="s">
        <v>546</v>
      </c>
      <c r="S49" s="20" t="s">
        <v>546</v>
      </c>
      <c r="T49" s="20" t="s">
        <v>546</v>
      </c>
      <c r="U49" s="117" t="s">
        <v>867</v>
      </c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20" t="s">
        <v>546</v>
      </c>
      <c r="AJ49" s="20" t="s">
        <v>546</v>
      </c>
      <c r="AK49" s="20" t="s">
        <v>546</v>
      </c>
      <c r="AL49" s="20" t="s">
        <v>546</v>
      </c>
      <c r="AM49" s="117" t="s">
        <v>868</v>
      </c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20" t="s">
        <v>546</v>
      </c>
      <c r="AY49" s="20" t="s">
        <v>546</v>
      </c>
      <c r="AZ49" s="20" t="s">
        <v>546</v>
      </c>
      <c r="BA49" s="20" t="s">
        <v>546</v>
      </c>
      <c r="BB49" s="20" t="s">
        <v>546</v>
      </c>
      <c r="BC49" s="20" t="s">
        <v>546</v>
      </c>
      <c r="BD49" s="20" t="s">
        <v>546</v>
      </c>
      <c r="BE49" s="20" t="s">
        <v>546</v>
      </c>
      <c r="BF49" s="20" t="s">
        <v>546</v>
      </c>
      <c r="BG49" s="20" t="s">
        <v>546</v>
      </c>
      <c r="BH49" s="20" t="s">
        <v>546</v>
      </c>
      <c r="BI49" s="122" t="s">
        <v>869</v>
      </c>
      <c r="BJ49" s="124"/>
      <c r="BK49" s="124"/>
      <c r="BL49" s="124"/>
      <c r="BM49" s="124"/>
      <c r="BN49" s="124"/>
      <c r="BO49" s="124"/>
      <c r="BP49" s="124"/>
      <c r="BQ49" s="124"/>
      <c r="BR49" s="124"/>
      <c r="BS49" s="124"/>
      <c r="BT49" s="124"/>
      <c r="BU49" s="124"/>
      <c r="BV49" s="124"/>
      <c r="BW49" s="20" t="s">
        <v>546</v>
      </c>
      <c r="BX49" s="20" t="s">
        <v>546</v>
      </c>
      <c r="BY49" s="20" t="s">
        <v>546</v>
      </c>
      <c r="BZ49" s="20" t="s">
        <v>546</v>
      </c>
      <c r="CA49" s="20" t="s">
        <v>546</v>
      </c>
      <c r="CB49" s="20" t="s">
        <v>546</v>
      </c>
      <c r="CC49" s="20" t="s">
        <v>546</v>
      </c>
      <c r="CD49" s="20" t="s">
        <v>546</v>
      </c>
      <c r="CE49" s="20" t="s">
        <v>546</v>
      </c>
      <c r="CF49" s="20" t="s">
        <v>546</v>
      </c>
      <c r="CG49" s="20" t="s">
        <v>546</v>
      </c>
      <c r="CH49" s="20" t="s">
        <v>546</v>
      </c>
      <c r="CI49" s="20" t="s">
        <v>546</v>
      </c>
      <c r="CJ49" s="20" t="s">
        <v>546</v>
      </c>
      <c r="CK49" s="20" t="s">
        <v>546</v>
      </c>
      <c r="CL49" s="20" t="s">
        <v>546</v>
      </c>
      <c r="CM49" s="20" t="s">
        <v>546</v>
      </c>
      <c r="CN49" s="20" t="s">
        <v>546</v>
      </c>
      <c r="CO49" s="20" t="s">
        <v>546</v>
      </c>
      <c r="CP49" s="20" t="s">
        <v>546</v>
      </c>
      <c r="CQ49" s="20" t="s">
        <v>546</v>
      </c>
      <c r="CR49" s="20" t="s">
        <v>546</v>
      </c>
      <c r="CS49" s="20" t="s">
        <v>546</v>
      </c>
      <c r="CT49" s="20" t="s">
        <v>546</v>
      </c>
      <c r="CU49" s="20" t="s">
        <v>546</v>
      </c>
      <c r="CV49" s="20" t="s">
        <v>546</v>
      </c>
      <c r="CW49" s="20" t="s">
        <v>546</v>
      </c>
      <c r="CX49" s="20" t="s">
        <v>546</v>
      </c>
      <c r="CY49" s="20" t="s">
        <v>546</v>
      </c>
      <c r="CZ49" s="20" t="s">
        <v>546</v>
      </c>
      <c r="DA49" s="20" t="s">
        <v>546</v>
      </c>
      <c r="DB49" s="20" t="s">
        <v>546</v>
      </c>
      <c r="DC49" s="20" t="s">
        <v>546</v>
      </c>
      <c r="DD49" s="20" t="s">
        <v>546</v>
      </c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</row>
    <row r="50" spans="1:249">
      <c r="A50" s="118"/>
      <c r="B50" s="119" t="s">
        <v>511</v>
      </c>
      <c r="C50" s="21" t="s">
        <v>735</v>
      </c>
      <c r="D50" s="125">
        <v>0.15</v>
      </c>
      <c r="E50" s="20" t="s">
        <v>546</v>
      </c>
      <c r="F50" s="20" t="s">
        <v>546</v>
      </c>
      <c r="G50" s="20" t="s">
        <v>546</v>
      </c>
      <c r="H50" s="20" t="s">
        <v>546</v>
      </c>
      <c r="I50" s="20" t="s">
        <v>546</v>
      </c>
      <c r="J50" s="20" t="s">
        <v>546</v>
      </c>
      <c r="K50" s="20" t="s">
        <v>546</v>
      </c>
      <c r="L50" s="20" t="s">
        <v>546</v>
      </c>
      <c r="M50" s="20" t="s">
        <v>546</v>
      </c>
      <c r="N50" s="20" t="s">
        <v>546</v>
      </c>
      <c r="O50" s="20" t="s">
        <v>546</v>
      </c>
      <c r="P50" s="20" t="s">
        <v>546</v>
      </c>
      <c r="Q50" s="20" t="s">
        <v>546</v>
      </c>
      <c r="R50" s="20" t="s">
        <v>546</v>
      </c>
      <c r="S50" s="20" t="s">
        <v>546</v>
      </c>
      <c r="T50" s="20" t="s">
        <v>546</v>
      </c>
      <c r="U50" s="20" t="s">
        <v>546</v>
      </c>
      <c r="V50" s="20" t="s">
        <v>546</v>
      </c>
      <c r="W50" s="117" t="s">
        <v>870</v>
      </c>
      <c r="X50" s="117"/>
      <c r="Y50" s="117"/>
      <c r="Z50" s="20" t="s">
        <v>546</v>
      </c>
      <c r="AA50" s="20" t="s">
        <v>546</v>
      </c>
      <c r="AB50" s="20" t="s">
        <v>546</v>
      </c>
      <c r="AC50" s="20" t="s">
        <v>546</v>
      </c>
      <c r="AD50" s="20" t="s">
        <v>546</v>
      </c>
      <c r="AE50" s="20" t="s">
        <v>546</v>
      </c>
      <c r="AF50" s="20" t="s">
        <v>546</v>
      </c>
      <c r="AG50" s="20" t="s">
        <v>546</v>
      </c>
      <c r="AH50" s="20" t="s">
        <v>546</v>
      </c>
      <c r="AI50" s="20" t="s">
        <v>546</v>
      </c>
      <c r="AJ50" s="20" t="s">
        <v>546</v>
      </c>
      <c r="AK50" s="20" t="s">
        <v>546</v>
      </c>
      <c r="AL50" s="20" t="s">
        <v>546</v>
      </c>
      <c r="AM50" s="20" t="s">
        <v>546</v>
      </c>
      <c r="AN50" s="20" t="s">
        <v>546</v>
      </c>
      <c r="AO50" s="20" t="s">
        <v>546</v>
      </c>
      <c r="AP50" s="20" t="s">
        <v>546</v>
      </c>
      <c r="AQ50" s="20" t="s">
        <v>546</v>
      </c>
      <c r="AR50" s="20" t="s">
        <v>546</v>
      </c>
      <c r="AS50" s="20" t="s">
        <v>546</v>
      </c>
      <c r="AT50" s="20" t="s">
        <v>546</v>
      </c>
      <c r="AU50" s="20" t="s">
        <v>546</v>
      </c>
      <c r="AV50" s="20" t="s">
        <v>546</v>
      </c>
      <c r="AW50" s="20" t="s">
        <v>546</v>
      </c>
      <c r="AX50" s="20" t="s">
        <v>546</v>
      </c>
      <c r="AY50" s="20" t="s">
        <v>546</v>
      </c>
      <c r="AZ50" s="20" t="s">
        <v>546</v>
      </c>
      <c r="BA50" s="20" t="s">
        <v>546</v>
      </c>
      <c r="BB50" s="20" t="s">
        <v>546</v>
      </c>
      <c r="BC50" s="20" t="s">
        <v>546</v>
      </c>
      <c r="BD50" s="20" t="s">
        <v>546</v>
      </c>
      <c r="BE50" s="20" t="s">
        <v>546</v>
      </c>
      <c r="BF50" s="20" t="s">
        <v>546</v>
      </c>
      <c r="BG50" s="20" t="s">
        <v>546</v>
      </c>
      <c r="BH50" s="20" t="s">
        <v>546</v>
      </c>
      <c r="BI50" s="20" t="s">
        <v>546</v>
      </c>
      <c r="BJ50" s="20" t="s">
        <v>546</v>
      </c>
      <c r="BK50" s="20" t="s">
        <v>546</v>
      </c>
      <c r="BL50" s="20" t="s">
        <v>546</v>
      </c>
      <c r="BM50" s="20" t="s">
        <v>546</v>
      </c>
      <c r="BN50" s="20" t="s">
        <v>546</v>
      </c>
      <c r="BO50" s="20" t="s">
        <v>546</v>
      </c>
      <c r="BP50" s="20" t="s">
        <v>546</v>
      </c>
      <c r="BQ50" s="20" t="s">
        <v>546</v>
      </c>
      <c r="BR50" s="20" t="s">
        <v>546</v>
      </c>
      <c r="BS50" s="20" t="s">
        <v>546</v>
      </c>
      <c r="BT50" s="20" t="s">
        <v>546</v>
      </c>
      <c r="BU50" s="20" t="s">
        <v>546</v>
      </c>
      <c r="BV50" s="20" t="s">
        <v>546</v>
      </c>
      <c r="BW50" s="20" t="s">
        <v>546</v>
      </c>
      <c r="BX50" s="20" t="s">
        <v>546</v>
      </c>
      <c r="BY50" s="20" t="s">
        <v>546</v>
      </c>
      <c r="BZ50" s="20" t="s">
        <v>546</v>
      </c>
      <c r="CA50" s="121" t="s">
        <v>865</v>
      </c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</row>
    <row r="51" spans="1:249">
      <c r="A51" s="118"/>
      <c r="B51" s="119"/>
      <c r="C51" s="21" t="s">
        <v>733</v>
      </c>
      <c r="D51" s="120" t="s">
        <v>871</v>
      </c>
      <c r="E51" s="20" t="s">
        <v>546</v>
      </c>
      <c r="F51" s="20" t="s">
        <v>546</v>
      </c>
      <c r="G51" s="20" t="s">
        <v>546</v>
      </c>
      <c r="H51" s="20" t="s">
        <v>546</v>
      </c>
      <c r="I51" s="122" t="s">
        <v>872</v>
      </c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20" t="s">
        <v>546</v>
      </c>
      <c r="X51" s="20" t="s">
        <v>546</v>
      </c>
      <c r="Y51" s="20" t="s">
        <v>546</v>
      </c>
      <c r="Z51" s="20" t="s">
        <v>546</v>
      </c>
      <c r="AA51" s="20" t="s">
        <v>546</v>
      </c>
      <c r="AB51" s="20" t="s">
        <v>546</v>
      </c>
      <c r="AC51" s="20" t="s">
        <v>546</v>
      </c>
      <c r="AD51" s="20" t="s">
        <v>546</v>
      </c>
      <c r="AE51" s="122" t="s">
        <v>873</v>
      </c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20" t="s">
        <v>546</v>
      </c>
      <c r="AT51" s="20" t="s">
        <v>546</v>
      </c>
      <c r="AU51" s="20" t="s">
        <v>546</v>
      </c>
      <c r="AV51" s="20" t="s">
        <v>546</v>
      </c>
      <c r="AW51" s="20" t="s">
        <v>546</v>
      </c>
      <c r="AX51" s="20" t="s">
        <v>546</v>
      </c>
      <c r="AY51" s="20" t="s">
        <v>546</v>
      </c>
      <c r="AZ51" s="20" t="s">
        <v>546</v>
      </c>
      <c r="BA51" s="20" t="s">
        <v>546</v>
      </c>
      <c r="BB51" s="20" t="s">
        <v>546</v>
      </c>
      <c r="BC51" s="20" t="s">
        <v>546</v>
      </c>
      <c r="BD51" s="122" t="s">
        <v>874</v>
      </c>
      <c r="BE51" s="124"/>
      <c r="BF51" s="124"/>
      <c r="BG51" s="124"/>
      <c r="BH51" s="124"/>
      <c r="BI51" s="124"/>
      <c r="BJ51" s="124"/>
      <c r="BK51" s="124"/>
      <c r="BL51" s="124"/>
      <c r="BM51" s="124"/>
      <c r="BN51" s="124"/>
      <c r="BO51" s="124"/>
      <c r="BP51" s="124"/>
      <c r="BQ51" s="124"/>
      <c r="BR51" s="20" t="s">
        <v>546</v>
      </c>
      <c r="BS51" s="20" t="s">
        <v>546</v>
      </c>
      <c r="BT51" s="20" t="s">
        <v>546</v>
      </c>
      <c r="BU51" s="20" t="s">
        <v>546</v>
      </c>
      <c r="BV51" s="20" t="s">
        <v>546</v>
      </c>
      <c r="BW51" s="20" t="s">
        <v>546</v>
      </c>
      <c r="BX51" s="20" t="s">
        <v>546</v>
      </c>
      <c r="BY51" s="20" t="s">
        <v>546</v>
      </c>
      <c r="BZ51" s="20" t="s">
        <v>546</v>
      </c>
      <c r="CA51" s="20" t="s">
        <v>546</v>
      </c>
      <c r="CB51" s="20" t="s">
        <v>546</v>
      </c>
      <c r="CC51" s="20" t="s">
        <v>546</v>
      </c>
      <c r="CD51" s="20" t="s">
        <v>546</v>
      </c>
      <c r="CE51" s="20" t="s">
        <v>546</v>
      </c>
      <c r="CF51" s="20" t="s">
        <v>546</v>
      </c>
      <c r="CG51" s="20" t="s">
        <v>546</v>
      </c>
      <c r="CH51" s="20" t="s">
        <v>546</v>
      </c>
      <c r="CI51" s="20" t="s">
        <v>546</v>
      </c>
      <c r="CJ51" s="20" t="s">
        <v>546</v>
      </c>
      <c r="CK51" s="20" t="s">
        <v>546</v>
      </c>
      <c r="CL51" s="20" t="s">
        <v>546</v>
      </c>
      <c r="CM51" s="20" t="s">
        <v>546</v>
      </c>
      <c r="CN51" s="20" t="s">
        <v>546</v>
      </c>
      <c r="CO51" s="20" t="s">
        <v>546</v>
      </c>
      <c r="CP51" s="20" t="s">
        <v>546</v>
      </c>
      <c r="CQ51" s="20" t="s">
        <v>546</v>
      </c>
      <c r="CR51" s="20" t="s">
        <v>546</v>
      </c>
      <c r="CS51" s="20" t="s">
        <v>546</v>
      </c>
      <c r="CT51" s="20" t="s">
        <v>546</v>
      </c>
      <c r="CU51" s="20" t="s">
        <v>546</v>
      </c>
      <c r="CV51" s="20" t="s">
        <v>546</v>
      </c>
      <c r="CW51" s="20" t="s">
        <v>546</v>
      </c>
      <c r="CX51" s="20" t="s">
        <v>546</v>
      </c>
      <c r="CY51" s="20" t="s">
        <v>546</v>
      </c>
      <c r="CZ51" s="20" t="s">
        <v>546</v>
      </c>
      <c r="DA51" s="20" t="s">
        <v>546</v>
      </c>
      <c r="DB51" s="20" t="s">
        <v>546</v>
      </c>
      <c r="DC51" s="20" t="s">
        <v>546</v>
      </c>
      <c r="DD51" s="20" t="s">
        <v>546</v>
      </c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</row>
    <row r="52" spans="1:249">
      <c r="A52" s="118"/>
      <c r="B52" s="119" t="s">
        <v>513</v>
      </c>
      <c r="C52" s="21" t="s">
        <v>735</v>
      </c>
      <c r="D52" s="125">
        <v>0.15</v>
      </c>
      <c r="E52" s="20" t="s">
        <v>546</v>
      </c>
      <c r="F52" s="20" t="s">
        <v>546</v>
      </c>
      <c r="G52" s="20" t="s">
        <v>546</v>
      </c>
      <c r="H52" s="20" t="s">
        <v>546</v>
      </c>
      <c r="I52" s="20" t="s">
        <v>546</v>
      </c>
      <c r="J52" s="20" t="s">
        <v>546</v>
      </c>
      <c r="K52" s="20" t="s">
        <v>546</v>
      </c>
      <c r="L52" s="20" t="s">
        <v>546</v>
      </c>
      <c r="M52" s="20" t="s">
        <v>546</v>
      </c>
      <c r="N52" s="20" t="s">
        <v>546</v>
      </c>
      <c r="O52" s="20" t="s">
        <v>546</v>
      </c>
      <c r="P52" s="20" t="s">
        <v>546</v>
      </c>
      <c r="Q52" s="20" t="s">
        <v>546</v>
      </c>
      <c r="R52" s="20" t="s">
        <v>546</v>
      </c>
      <c r="S52" s="20" t="s">
        <v>546</v>
      </c>
      <c r="T52" s="20" t="s">
        <v>546</v>
      </c>
      <c r="U52" s="20" t="s">
        <v>546</v>
      </c>
      <c r="V52" s="20" t="s">
        <v>546</v>
      </c>
      <c r="W52" s="20" t="s">
        <v>546</v>
      </c>
      <c r="X52" s="20" t="s">
        <v>546</v>
      </c>
      <c r="Y52" s="20" t="s">
        <v>546</v>
      </c>
      <c r="Z52" s="20" t="s">
        <v>546</v>
      </c>
      <c r="AA52" s="20" t="s">
        <v>546</v>
      </c>
      <c r="AB52" s="20" t="s">
        <v>546</v>
      </c>
      <c r="AC52" s="20" t="s">
        <v>546</v>
      </c>
      <c r="AD52" s="20" t="s">
        <v>546</v>
      </c>
      <c r="AE52" s="20" t="s">
        <v>546</v>
      </c>
      <c r="AF52" s="20" t="s">
        <v>546</v>
      </c>
      <c r="AG52" s="20" t="s">
        <v>546</v>
      </c>
      <c r="AH52" s="20" t="s">
        <v>546</v>
      </c>
      <c r="AI52" s="20" t="s">
        <v>546</v>
      </c>
      <c r="AJ52" s="20" t="s">
        <v>546</v>
      </c>
      <c r="AK52" s="20" t="s">
        <v>546</v>
      </c>
      <c r="AL52" s="20" t="s">
        <v>546</v>
      </c>
      <c r="AM52" s="20" t="s">
        <v>546</v>
      </c>
      <c r="AN52" s="20" t="s">
        <v>546</v>
      </c>
      <c r="AO52" s="20" t="s">
        <v>546</v>
      </c>
      <c r="AP52" s="20" t="s">
        <v>546</v>
      </c>
      <c r="AQ52" s="20" t="s">
        <v>546</v>
      </c>
      <c r="AR52" s="20" t="s">
        <v>546</v>
      </c>
      <c r="AS52" s="20" t="s">
        <v>546</v>
      </c>
      <c r="AT52" s="20" t="s">
        <v>546</v>
      </c>
      <c r="AU52" s="20" t="s">
        <v>546</v>
      </c>
      <c r="AV52" s="20" t="s">
        <v>546</v>
      </c>
      <c r="AW52" s="20" t="s">
        <v>546</v>
      </c>
      <c r="AX52" s="20" t="s">
        <v>546</v>
      </c>
      <c r="AY52" s="20" t="s">
        <v>546</v>
      </c>
      <c r="AZ52" s="20" t="s">
        <v>546</v>
      </c>
      <c r="BA52" s="117" t="s">
        <v>875</v>
      </c>
      <c r="BB52" s="121"/>
      <c r="BC52" s="121"/>
      <c r="BD52" s="121"/>
      <c r="BE52" s="121"/>
      <c r="BF52" s="121"/>
      <c r="BG52" s="121"/>
      <c r="BH52" s="121"/>
      <c r="BI52" s="20" t="s">
        <v>546</v>
      </c>
      <c r="BJ52" s="20" t="s">
        <v>546</v>
      </c>
      <c r="BK52" s="20" t="s">
        <v>546</v>
      </c>
      <c r="BL52" s="20" t="s">
        <v>546</v>
      </c>
      <c r="BM52" s="20" t="s">
        <v>546</v>
      </c>
      <c r="BN52" s="20" t="s">
        <v>546</v>
      </c>
      <c r="BO52" s="20" t="s">
        <v>546</v>
      </c>
      <c r="BP52" s="20" t="s">
        <v>546</v>
      </c>
      <c r="BQ52" s="20" t="s">
        <v>546</v>
      </c>
      <c r="BR52" s="20" t="s">
        <v>546</v>
      </c>
      <c r="BS52" s="20" t="s">
        <v>546</v>
      </c>
      <c r="BT52" s="20" t="s">
        <v>546</v>
      </c>
      <c r="BU52" s="20" t="s">
        <v>546</v>
      </c>
      <c r="BV52" s="20" t="s">
        <v>546</v>
      </c>
      <c r="BW52" s="20" t="s">
        <v>546</v>
      </c>
      <c r="BX52" s="20" t="s">
        <v>546</v>
      </c>
      <c r="BY52" s="20" t="s">
        <v>546</v>
      </c>
      <c r="BZ52" s="20" t="s">
        <v>546</v>
      </c>
      <c r="CA52" s="121" t="s">
        <v>865</v>
      </c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</row>
    <row r="53" spans="1:249">
      <c r="A53" s="118"/>
      <c r="B53" s="119"/>
      <c r="C53" s="21" t="s">
        <v>733</v>
      </c>
      <c r="D53" s="120" t="s">
        <v>876</v>
      </c>
      <c r="E53" s="20" t="s">
        <v>546</v>
      </c>
      <c r="F53" s="20" t="s">
        <v>546</v>
      </c>
      <c r="G53" s="20" t="s">
        <v>546</v>
      </c>
      <c r="H53" s="20" t="s">
        <v>546</v>
      </c>
      <c r="I53" s="122" t="s">
        <v>877</v>
      </c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17" t="s">
        <v>878</v>
      </c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20" t="s">
        <v>546</v>
      </c>
      <c r="AL53" s="20" t="s">
        <v>546</v>
      </c>
      <c r="AM53" s="122" t="s">
        <v>879</v>
      </c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20" t="s">
        <v>546</v>
      </c>
      <c r="AY53" s="20" t="s">
        <v>546</v>
      </c>
      <c r="AZ53" s="20" t="s">
        <v>546</v>
      </c>
      <c r="BA53" s="20" t="s">
        <v>546</v>
      </c>
      <c r="BB53" s="20" t="s">
        <v>546</v>
      </c>
      <c r="BC53" s="20" t="s">
        <v>546</v>
      </c>
      <c r="BD53" s="20" t="s">
        <v>546</v>
      </c>
      <c r="BE53" s="20" t="s">
        <v>546</v>
      </c>
      <c r="BF53" s="20" t="s">
        <v>546</v>
      </c>
      <c r="BG53" s="20" t="s">
        <v>546</v>
      </c>
      <c r="BH53" s="20" t="s">
        <v>546</v>
      </c>
      <c r="BI53" s="20" t="s">
        <v>546</v>
      </c>
      <c r="BJ53" s="20" t="s">
        <v>546</v>
      </c>
      <c r="BK53" s="20" t="s">
        <v>546</v>
      </c>
      <c r="BL53" s="20" t="s">
        <v>546</v>
      </c>
      <c r="BM53" s="20" t="s">
        <v>546</v>
      </c>
      <c r="BN53" s="20" t="s">
        <v>546</v>
      </c>
      <c r="BO53" s="20" t="s">
        <v>546</v>
      </c>
      <c r="BP53" s="20" t="s">
        <v>546</v>
      </c>
      <c r="BQ53" s="20" t="s">
        <v>546</v>
      </c>
      <c r="BR53" s="20" t="s">
        <v>546</v>
      </c>
      <c r="BS53" s="20" t="s">
        <v>546</v>
      </c>
      <c r="BT53" s="20" t="s">
        <v>546</v>
      </c>
      <c r="BU53" s="20" t="s">
        <v>546</v>
      </c>
      <c r="BV53" s="20" t="s">
        <v>546</v>
      </c>
      <c r="BW53" s="20" t="s">
        <v>546</v>
      </c>
      <c r="BX53" s="20" t="s">
        <v>546</v>
      </c>
      <c r="BY53" s="20" t="s">
        <v>546</v>
      </c>
      <c r="BZ53" s="20" t="s">
        <v>546</v>
      </c>
      <c r="CA53" s="20" t="s">
        <v>546</v>
      </c>
      <c r="CB53" s="20" t="s">
        <v>546</v>
      </c>
      <c r="CC53" s="20" t="s">
        <v>546</v>
      </c>
      <c r="CD53" s="20" t="s">
        <v>546</v>
      </c>
      <c r="CE53" s="20" t="s">
        <v>546</v>
      </c>
      <c r="CF53" s="20" t="s">
        <v>546</v>
      </c>
      <c r="CG53" s="20" t="s">
        <v>546</v>
      </c>
      <c r="CH53" s="20" t="s">
        <v>546</v>
      </c>
      <c r="CI53" s="20" t="s">
        <v>546</v>
      </c>
      <c r="CJ53" s="20" t="s">
        <v>546</v>
      </c>
      <c r="CK53" s="20" t="s">
        <v>546</v>
      </c>
      <c r="CL53" s="20" t="s">
        <v>546</v>
      </c>
      <c r="CM53" s="20" t="s">
        <v>546</v>
      </c>
      <c r="CN53" s="20" t="s">
        <v>546</v>
      </c>
      <c r="CO53" s="20" t="s">
        <v>546</v>
      </c>
      <c r="CP53" s="20" t="s">
        <v>546</v>
      </c>
      <c r="CQ53" s="20" t="s">
        <v>546</v>
      </c>
      <c r="CR53" s="20" t="s">
        <v>546</v>
      </c>
      <c r="CS53" s="20" t="s">
        <v>546</v>
      </c>
      <c r="CT53" s="20" t="s">
        <v>546</v>
      </c>
      <c r="CU53" s="20" t="s">
        <v>546</v>
      </c>
      <c r="CV53" s="20" t="s">
        <v>546</v>
      </c>
      <c r="CW53" s="20" t="s">
        <v>546</v>
      </c>
      <c r="CX53" s="20" t="s">
        <v>546</v>
      </c>
      <c r="CY53" s="20" t="s">
        <v>546</v>
      </c>
      <c r="CZ53" s="20" t="s">
        <v>546</v>
      </c>
      <c r="DA53" s="20" t="s">
        <v>546</v>
      </c>
      <c r="DB53" s="20" t="s">
        <v>546</v>
      </c>
      <c r="DC53" s="20" t="s">
        <v>546</v>
      </c>
      <c r="DD53" s="20" t="s">
        <v>546</v>
      </c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</row>
    <row r="54" spans="1:249">
      <c r="A54" s="118"/>
      <c r="B54" s="119" t="s">
        <v>516</v>
      </c>
      <c r="C54" s="21" t="s">
        <v>735</v>
      </c>
      <c r="D54" s="125">
        <v>0.15</v>
      </c>
      <c r="E54" s="20" t="s">
        <v>546</v>
      </c>
      <c r="F54" s="20" t="s">
        <v>546</v>
      </c>
      <c r="G54" s="20" t="s">
        <v>546</v>
      </c>
      <c r="H54" s="20" t="s">
        <v>546</v>
      </c>
      <c r="I54" s="20" t="s">
        <v>546</v>
      </c>
      <c r="J54" s="20" t="s">
        <v>546</v>
      </c>
      <c r="K54" s="20" t="s">
        <v>546</v>
      </c>
      <c r="L54" s="20" t="s">
        <v>546</v>
      </c>
      <c r="M54" s="20" t="s">
        <v>546</v>
      </c>
      <c r="N54" s="20" t="s">
        <v>546</v>
      </c>
      <c r="O54" s="20" t="s">
        <v>546</v>
      </c>
      <c r="P54" s="20" t="s">
        <v>546</v>
      </c>
      <c r="Q54" s="20" t="s">
        <v>546</v>
      </c>
      <c r="R54" s="20" t="s">
        <v>546</v>
      </c>
      <c r="S54" s="20" t="s">
        <v>546</v>
      </c>
      <c r="T54" s="20" t="s">
        <v>546</v>
      </c>
      <c r="U54" s="20" t="s">
        <v>546</v>
      </c>
      <c r="V54" s="20" t="s">
        <v>546</v>
      </c>
      <c r="W54" s="20" t="s">
        <v>546</v>
      </c>
      <c r="X54" s="20" t="s">
        <v>546</v>
      </c>
      <c r="Y54" s="20" t="s">
        <v>546</v>
      </c>
      <c r="Z54" s="20" t="s">
        <v>546</v>
      </c>
      <c r="AA54" s="20" t="s">
        <v>546</v>
      </c>
      <c r="AB54" s="20" t="s">
        <v>546</v>
      </c>
      <c r="AC54" s="20" t="s">
        <v>546</v>
      </c>
      <c r="AD54" s="20" t="s">
        <v>546</v>
      </c>
      <c r="AE54" s="20" t="s">
        <v>546</v>
      </c>
      <c r="AF54" s="20" t="s">
        <v>546</v>
      </c>
      <c r="AG54" s="20" t="s">
        <v>546</v>
      </c>
      <c r="AH54" s="20" t="s">
        <v>546</v>
      </c>
      <c r="AI54" s="20" t="s">
        <v>546</v>
      </c>
      <c r="AJ54" s="20" t="s">
        <v>546</v>
      </c>
      <c r="AK54" s="20" t="s">
        <v>546</v>
      </c>
      <c r="AL54" s="20" t="s">
        <v>546</v>
      </c>
      <c r="AM54" s="20" t="s">
        <v>546</v>
      </c>
      <c r="AN54" s="20" t="s">
        <v>546</v>
      </c>
      <c r="AO54" s="20" t="s">
        <v>546</v>
      </c>
      <c r="AP54" s="20" t="s">
        <v>546</v>
      </c>
      <c r="AQ54" s="20" t="s">
        <v>546</v>
      </c>
      <c r="AR54" s="20" t="s">
        <v>546</v>
      </c>
      <c r="AS54" s="20" t="s">
        <v>546</v>
      </c>
      <c r="AT54" s="20" t="s">
        <v>546</v>
      </c>
      <c r="AU54" s="20" t="s">
        <v>546</v>
      </c>
      <c r="AV54" s="20" t="s">
        <v>546</v>
      </c>
      <c r="AW54" s="20" t="s">
        <v>546</v>
      </c>
      <c r="AX54" s="20" t="s">
        <v>546</v>
      </c>
      <c r="AY54" s="20" t="s">
        <v>546</v>
      </c>
      <c r="AZ54" s="20" t="s">
        <v>546</v>
      </c>
      <c r="BA54" s="124" t="s">
        <v>880</v>
      </c>
      <c r="BB54" s="124"/>
      <c r="BC54" s="124"/>
      <c r="BD54" s="124"/>
      <c r="BE54" s="124"/>
      <c r="BF54" s="124"/>
      <c r="BG54" s="124"/>
      <c r="BH54" s="124"/>
      <c r="BI54" s="20" t="s">
        <v>546</v>
      </c>
      <c r="BJ54" s="20" t="s">
        <v>546</v>
      </c>
      <c r="BK54" s="20" t="s">
        <v>546</v>
      </c>
      <c r="BL54" s="20" t="s">
        <v>546</v>
      </c>
      <c r="BM54" s="20" t="s">
        <v>546</v>
      </c>
      <c r="BN54" s="20" t="s">
        <v>546</v>
      </c>
      <c r="BO54" s="20" t="s">
        <v>546</v>
      </c>
      <c r="BP54" s="20" t="s">
        <v>546</v>
      </c>
      <c r="BQ54" s="20" t="s">
        <v>546</v>
      </c>
      <c r="BR54" s="20" t="s">
        <v>546</v>
      </c>
      <c r="BS54" s="20" t="s">
        <v>546</v>
      </c>
      <c r="BT54" s="20" t="s">
        <v>546</v>
      </c>
      <c r="BU54" s="20" t="s">
        <v>546</v>
      </c>
      <c r="BV54" s="20" t="s">
        <v>546</v>
      </c>
      <c r="BW54" s="20" t="s">
        <v>546</v>
      </c>
      <c r="BX54" s="20" t="s">
        <v>546</v>
      </c>
      <c r="BY54" s="20" t="s">
        <v>546</v>
      </c>
      <c r="BZ54" s="20" t="s">
        <v>546</v>
      </c>
      <c r="CA54" s="117" t="s">
        <v>865</v>
      </c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</row>
    <row r="55" spans="1:249">
      <c r="A55" s="128"/>
      <c r="B55" s="129"/>
      <c r="C55" s="130" t="s">
        <v>733</v>
      </c>
      <c r="D55" s="140" t="s">
        <v>866</v>
      </c>
      <c r="E55" s="20" t="s">
        <v>546</v>
      </c>
      <c r="F55" s="20" t="s">
        <v>546</v>
      </c>
      <c r="G55" s="20" t="s">
        <v>546</v>
      </c>
      <c r="H55" s="20" t="s">
        <v>546</v>
      </c>
      <c r="I55" s="122" t="s">
        <v>881</v>
      </c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20" t="s">
        <v>546</v>
      </c>
      <c r="X55" s="20" t="s">
        <v>546</v>
      </c>
      <c r="Y55" s="20" t="s">
        <v>546</v>
      </c>
      <c r="Z55" s="142" t="s">
        <v>882</v>
      </c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22" t="s">
        <v>883</v>
      </c>
      <c r="AO55" s="124"/>
      <c r="AP55" s="124"/>
      <c r="AQ55" s="124"/>
      <c r="AR55" s="124"/>
      <c r="AS55" s="124"/>
      <c r="AT55" s="124"/>
      <c r="AU55" s="124"/>
      <c r="AV55" s="124"/>
      <c r="AW55" s="124"/>
      <c r="AX55" s="20" t="s">
        <v>546</v>
      </c>
      <c r="AY55" s="20" t="s">
        <v>546</v>
      </c>
      <c r="AZ55" s="20" t="s">
        <v>546</v>
      </c>
      <c r="BA55" s="20" t="s">
        <v>546</v>
      </c>
      <c r="BB55" s="20" t="s">
        <v>546</v>
      </c>
      <c r="BC55" s="20" t="s">
        <v>546</v>
      </c>
      <c r="BD55" s="20" t="s">
        <v>546</v>
      </c>
      <c r="BE55" s="20" t="s">
        <v>546</v>
      </c>
      <c r="BF55" s="20" t="s">
        <v>546</v>
      </c>
      <c r="BG55" s="20" t="s">
        <v>546</v>
      </c>
      <c r="BH55" s="20" t="s">
        <v>546</v>
      </c>
      <c r="BI55" s="122" t="s">
        <v>884</v>
      </c>
      <c r="BJ55" s="124"/>
      <c r="BK55" s="124"/>
      <c r="BL55" s="124"/>
      <c r="BM55" s="124"/>
      <c r="BN55" s="124"/>
      <c r="BO55" s="124"/>
      <c r="BP55" s="124"/>
      <c r="BQ55" s="124"/>
      <c r="BR55" s="124"/>
      <c r="BS55" s="124"/>
      <c r="BT55" s="124"/>
      <c r="BU55" s="124"/>
      <c r="BV55" s="124"/>
      <c r="BW55" s="20" t="s">
        <v>546</v>
      </c>
      <c r="BX55" s="20" t="s">
        <v>546</v>
      </c>
      <c r="BY55" s="20" t="s">
        <v>546</v>
      </c>
      <c r="BZ55" s="20" t="s">
        <v>546</v>
      </c>
      <c r="CA55" s="20" t="s">
        <v>546</v>
      </c>
      <c r="CB55" s="20" t="s">
        <v>546</v>
      </c>
      <c r="CC55" s="20" t="s">
        <v>546</v>
      </c>
      <c r="CD55" s="20" t="s">
        <v>546</v>
      </c>
      <c r="CE55" s="20" t="s">
        <v>546</v>
      </c>
      <c r="CF55" s="20" t="s">
        <v>546</v>
      </c>
      <c r="CG55" s="20" t="s">
        <v>546</v>
      </c>
      <c r="CH55" s="20" t="s">
        <v>546</v>
      </c>
      <c r="CI55" s="20" t="s">
        <v>546</v>
      </c>
      <c r="CJ55" s="20" t="s">
        <v>546</v>
      </c>
      <c r="CK55" s="20" t="s">
        <v>546</v>
      </c>
      <c r="CL55" s="20" t="s">
        <v>546</v>
      </c>
      <c r="CM55" s="20" t="s">
        <v>546</v>
      </c>
      <c r="CN55" s="20" t="s">
        <v>546</v>
      </c>
      <c r="CO55" s="20" t="s">
        <v>546</v>
      </c>
      <c r="CP55" s="20" t="s">
        <v>546</v>
      </c>
      <c r="CQ55" s="20" t="s">
        <v>546</v>
      </c>
      <c r="CR55" s="20" t="s">
        <v>546</v>
      </c>
      <c r="CS55" s="20" t="s">
        <v>546</v>
      </c>
      <c r="CT55" s="20" t="s">
        <v>546</v>
      </c>
      <c r="CU55" s="20" t="s">
        <v>546</v>
      </c>
      <c r="CV55" s="20" t="s">
        <v>546</v>
      </c>
      <c r="CW55" s="20" t="s">
        <v>546</v>
      </c>
      <c r="CX55" s="20" t="s">
        <v>546</v>
      </c>
      <c r="CY55" s="20" t="s">
        <v>546</v>
      </c>
      <c r="CZ55" s="20" t="s">
        <v>546</v>
      </c>
      <c r="DA55" s="20" t="s">
        <v>546</v>
      </c>
      <c r="DB55" s="20" t="s">
        <v>546</v>
      </c>
      <c r="DC55" s="20" t="s">
        <v>546</v>
      </c>
      <c r="DD55" s="20" t="s">
        <v>546</v>
      </c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</row>
    <row r="56" spans="1:249">
      <c r="A56" s="113" t="s">
        <v>885</v>
      </c>
      <c r="B56" s="114" t="s">
        <v>277</v>
      </c>
      <c r="C56" s="115" t="s">
        <v>735</v>
      </c>
      <c r="D56" s="116">
        <v>0.15</v>
      </c>
      <c r="E56" s="20" t="s">
        <v>546</v>
      </c>
      <c r="F56" s="20" t="s">
        <v>546</v>
      </c>
      <c r="G56" s="20" t="s">
        <v>546</v>
      </c>
      <c r="H56" s="20" t="s">
        <v>546</v>
      </c>
      <c r="I56" s="20" t="s">
        <v>546</v>
      </c>
      <c r="J56" s="20" t="s">
        <v>546</v>
      </c>
      <c r="K56" s="20" t="s">
        <v>546</v>
      </c>
      <c r="L56" s="20" t="s">
        <v>546</v>
      </c>
      <c r="M56" s="20" t="s">
        <v>546</v>
      </c>
      <c r="N56" s="20" t="s">
        <v>546</v>
      </c>
      <c r="O56" s="20" t="s">
        <v>546</v>
      </c>
      <c r="P56" s="20" t="s">
        <v>546</v>
      </c>
      <c r="Q56" s="20" t="s">
        <v>546</v>
      </c>
      <c r="R56" s="20" t="s">
        <v>546</v>
      </c>
      <c r="S56" s="20" t="s">
        <v>546</v>
      </c>
      <c r="T56" s="20" t="s">
        <v>546</v>
      </c>
      <c r="U56" s="20" t="s">
        <v>546</v>
      </c>
      <c r="V56" s="20" t="s">
        <v>546</v>
      </c>
      <c r="W56" s="20" t="s">
        <v>546</v>
      </c>
      <c r="X56" s="20" t="s">
        <v>546</v>
      </c>
      <c r="Y56" s="20" t="s">
        <v>546</v>
      </c>
      <c r="Z56" s="20" t="s">
        <v>546</v>
      </c>
      <c r="AA56" s="20" t="s">
        <v>546</v>
      </c>
      <c r="AB56" s="20" t="s">
        <v>546</v>
      </c>
      <c r="AC56" s="20" t="s">
        <v>546</v>
      </c>
      <c r="AD56" s="20" t="s">
        <v>546</v>
      </c>
      <c r="AE56" s="20" t="s">
        <v>546</v>
      </c>
      <c r="AF56" s="20" t="s">
        <v>546</v>
      </c>
      <c r="AG56" s="20" t="s">
        <v>546</v>
      </c>
      <c r="AH56" s="20" t="s">
        <v>546</v>
      </c>
      <c r="AI56" s="20" t="s">
        <v>546</v>
      </c>
      <c r="AJ56" s="20" t="s">
        <v>546</v>
      </c>
      <c r="AK56" s="20" t="s">
        <v>546</v>
      </c>
      <c r="AL56" s="20" t="s">
        <v>546</v>
      </c>
      <c r="AM56" s="20" t="s">
        <v>546</v>
      </c>
      <c r="AN56" s="20" t="s">
        <v>546</v>
      </c>
      <c r="AO56" s="20" t="s">
        <v>546</v>
      </c>
      <c r="AP56" s="20" t="s">
        <v>546</v>
      </c>
      <c r="AQ56" s="20" t="s">
        <v>546</v>
      </c>
      <c r="AR56" s="20" t="s">
        <v>546</v>
      </c>
      <c r="AS56" s="20" t="s">
        <v>546</v>
      </c>
      <c r="AT56" s="20" t="s">
        <v>546</v>
      </c>
      <c r="AU56" s="20" t="s">
        <v>546</v>
      </c>
      <c r="AV56" s="20" t="s">
        <v>546</v>
      </c>
      <c r="AW56" s="20" t="s">
        <v>546</v>
      </c>
      <c r="AX56" s="20" t="s">
        <v>546</v>
      </c>
      <c r="AY56" s="20" t="s">
        <v>546</v>
      </c>
      <c r="AZ56" s="20" t="s">
        <v>546</v>
      </c>
      <c r="BA56" s="20" t="s">
        <v>546</v>
      </c>
      <c r="BB56" s="20" t="s">
        <v>546</v>
      </c>
      <c r="BC56" s="20" t="s">
        <v>546</v>
      </c>
      <c r="BD56" s="20" t="s">
        <v>546</v>
      </c>
      <c r="BE56" s="20" t="s">
        <v>546</v>
      </c>
      <c r="BF56" s="20" t="s">
        <v>546</v>
      </c>
      <c r="BG56" s="20" t="s">
        <v>546</v>
      </c>
      <c r="BH56" s="20" t="s">
        <v>546</v>
      </c>
      <c r="BI56" s="14" t="s">
        <v>848</v>
      </c>
      <c r="BJ56" s="20" t="s">
        <v>848</v>
      </c>
      <c r="BK56" s="20" t="s">
        <v>848</v>
      </c>
      <c r="BL56" s="20" t="s">
        <v>848</v>
      </c>
      <c r="BM56" s="20" t="s">
        <v>848</v>
      </c>
      <c r="BN56" s="20" t="s">
        <v>848</v>
      </c>
      <c r="BO56" s="20" t="s">
        <v>848</v>
      </c>
      <c r="BP56" s="20" t="s">
        <v>848</v>
      </c>
      <c r="BQ56" s="20" t="s">
        <v>848</v>
      </c>
      <c r="BR56" s="20" t="s">
        <v>848</v>
      </c>
      <c r="BS56" s="20" t="s">
        <v>848</v>
      </c>
      <c r="BT56" s="20" t="s">
        <v>848</v>
      </c>
      <c r="BU56" s="20" t="s">
        <v>848</v>
      </c>
      <c r="BV56" s="20" t="s">
        <v>848</v>
      </c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14"/>
      <c r="FU56" s="14"/>
      <c r="FV56" s="14"/>
      <c r="FW56" s="14"/>
      <c r="FX56" s="14"/>
      <c r="FY56" s="14"/>
      <c r="FZ56" s="14"/>
      <c r="GA56" s="14"/>
      <c r="GB56" s="14"/>
      <c r="GC56" s="14"/>
      <c r="GD56" s="14"/>
      <c r="GE56" s="14"/>
      <c r="GF56" s="14"/>
      <c r="GG56" s="14"/>
      <c r="GH56" s="14"/>
      <c r="GI56" s="14"/>
      <c r="GJ56" s="14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14"/>
      <c r="GV56" s="14"/>
      <c r="GW56" s="14"/>
      <c r="GX56" s="14"/>
      <c r="GY56" s="14"/>
      <c r="GZ56" s="14"/>
      <c r="HA56" s="14"/>
      <c r="HB56" s="14"/>
      <c r="HC56" s="14"/>
      <c r="HD56" s="14"/>
      <c r="HE56" s="14"/>
      <c r="HF56" s="14"/>
      <c r="HG56" s="14"/>
      <c r="HH56" s="14"/>
      <c r="HI56" s="14"/>
      <c r="HJ56" s="14"/>
      <c r="HK56" s="14"/>
      <c r="HL56" s="14"/>
      <c r="HM56" s="14"/>
      <c r="HN56" s="14"/>
      <c r="HO56" s="14"/>
      <c r="HP56" s="14"/>
      <c r="HQ56" s="14"/>
      <c r="HR56" s="14"/>
      <c r="HS56" s="14"/>
      <c r="HT56" s="14"/>
      <c r="HU56" s="14"/>
      <c r="HV56" s="14"/>
      <c r="HW56" s="14"/>
      <c r="HX56" s="14"/>
      <c r="HY56" s="14"/>
      <c r="HZ56" s="14"/>
      <c r="IA56" s="14"/>
      <c r="IB56" s="14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4"/>
    </row>
    <row r="57" ht="12" spans="1:249">
      <c r="A57" s="131"/>
      <c r="B57" s="119"/>
      <c r="C57" s="21" t="s">
        <v>733</v>
      </c>
      <c r="D57" s="120" t="s">
        <v>886</v>
      </c>
      <c r="E57" s="20" t="s">
        <v>546</v>
      </c>
      <c r="F57" s="20" t="s">
        <v>546</v>
      </c>
      <c r="G57" s="20" t="s">
        <v>546</v>
      </c>
      <c r="H57" s="122" t="s">
        <v>887</v>
      </c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20" t="s">
        <v>546</v>
      </c>
      <c r="U57" s="20" t="s">
        <v>546</v>
      </c>
      <c r="V57" s="20" t="s">
        <v>546</v>
      </c>
      <c r="W57" s="20" t="s">
        <v>546</v>
      </c>
      <c r="X57" s="20" t="s">
        <v>546</v>
      </c>
      <c r="Y57" s="20" t="s">
        <v>546</v>
      </c>
      <c r="Z57" s="20" t="s">
        <v>546</v>
      </c>
      <c r="AA57" s="20" t="s">
        <v>546</v>
      </c>
      <c r="AB57" s="20" t="s">
        <v>546</v>
      </c>
      <c r="AC57" s="20" t="s">
        <v>546</v>
      </c>
      <c r="AD57" s="20" t="s">
        <v>546</v>
      </c>
      <c r="AE57" s="20" t="s">
        <v>546</v>
      </c>
      <c r="AF57" s="20" t="s">
        <v>546</v>
      </c>
      <c r="AG57" s="20" t="s">
        <v>546</v>
      </c>
      <c r="AH57" s="20" t="s">
        <v>546</v>
      </c>
      <c r="AI57" s="20" t="s">
        <v>546</v>
      </c>
      <c r="AJ57" s="20" t="s">
        <v>546</v>
      </c>
      <c r="AK57" s="20" t="s">
        <v>546</v>
      </c>
      <c r="AL57" s="20" t="s">
        <v>546</v>
      </c>
      <c r="AM57" s="20" t="s">
        <v>546</v>
      </c>
      <c r="AN57" s="20" t="s">
        <v>546</v>
      </c>
      <c r="AO57" s="20" t="s">
        <v>546</v>
      </c>
      <c r="AP57" s="20" t="s">
        <v>546</v>
      </c>
      <c r="AQ57" s="20" t="s">
        <v>546</v>
      </c>
      <c r="AR57" s="20" t="s">
        <v>546</v>
      </c>
      <c r="AS57" s="20" t="s">
        <v>546</v>
      </c>
      <c r="AT57" s="20" t="s">
        <v>546</v>
      </c>
      <c r="AU57" s="20" t="s">
        <v>546</v>
      </c>
      <c r="AV57" s="20" t="s">
        <v>546</v>
      </c>
      <c r="AW57" s="20" t="s">
        <v>546</v>
      </c>
      <c r="AX57" s="20" t="s">
        <v>546</v>
      </c>
      <c r="AY57" s="20" t="s">
        <v>546</v>
      </c>
      <c r="AZ57" s="20" t="s">
        <v>546</v>
      </c>
      <c r="BA57" s="20" t="s">
        <v>546</v>
      </c>
      <c r="BB57" s="20" t="s">
        <v>546</v>
      </c>
      <c r="BC57" s="20" t="s">
        <v>546</v>
      </c>
      <c r="BD57" s="20" t="s">
        <v>546</v>
      </c>
      <c r="BE57" s="20" t="s">
        <v>546</v>
      </c>
      <c r="BF57" s="20" t="s">
        <v>546</v>
      </c>
      <c r="BG57" s="20" t="s">
        <v>546</v>
      </c>
      <c r="BH57" s="20" t="s">
        <v>546</v>
      </c>
      <c r="BI57" s="20" t="s">
        <v>848</v>
      </c>
      <c r="BJ57" s="20" t="s">
        <v>848</v>
      </c>
      <c r="BK57" s="20" t="s">
        <v>848</v>
      </c>
      <c r="BL57" s="20" t="s">
        <v>848</v>
      </c>
      <c r="BM57" s="20" t="s">
        <v>848</v>
      </c>
      <c r="BN57" s="20" t="s">
        <v>848</v>
      </c>
      <c r="BO57" s="20" t="s">
        <v>848</v>
      </c>
      <c r="BP57" s="20" t="s">
        <v>848</v>
      </c>
      <c r="BQ57" s="20" t="s">
        <v>848</v>
      </c>
      <c r="BR57" s="20" t="s">
        <v>848</v>
      </c>
      <c r="BS57" s="20" t="s">
        <v>848</v>
      </c>
      <c r="BT57" s="20" t="s">
        <v>848</v>
      </c>
      <c r="BU57" s="20" t="s">
        <v>848</v>
      </c>
      <c r="BV57" s="20" t="s">
        <v>848</v>
      </c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4"/>
      <c r="FJ57" s="14"/>
      <c r="FK57" s="14"/>
      <c r="FL57" s="14"/>
      <c r="FM57" s="14"/>
      <c r="FN57" s="14"/>
      <c r="FO57" s="14"/>
      <c r="FP57" s="14"/>
      <c r="FQ57" s="14"/>
      <c r="FR57" s="14"/>
      <c r="FS57" s="14"/>
      <c r="FT57" s="14"/>
      <c r="FU57" s="14"/>
      <c r="FV57" s="14"/>
      <c r="FW57" s="14"/>
      <c r="FX57" s="14"/>
      <c r="FY57" s="14"/>
      <c r="FZ57" s="14"/>
      <c r="GA57" s="14"/>
      <c r="GB57" s="14"/>
      <c r="GC57" s="14"/>
      <c r="GD57" s="14"/>
      <c r="GE57" s="14"/>
      <c r="GF57" s="14"/>
      <c r="GG57" s="14"/>
      <c r="GH57" s="14"/>
      <c r="GI57" s="14"/>
      <c r="GJ57" s="14"/>
      <c r="GK57" s="14"/>
      <c r="GL57" s="14"/>
      <c r="GM57" s="14"/>
      <c r="GN57" s="14"/>
      <c r="GO57" s="14"/>
      <c r="GP57" s="14"/>
      <c r="GQ57" s="14"/>
      <c r="GR57" s="14"/>
      <c r="GS57" s="14"/>
      <c r="GT57" s="14"/>
      <c r="GU57" s="14"/>
      <c r="GV57" s="14"/>
      <c r="GW57" s="14"/>
      <c r="GX57" s="14"/>
      <c r="GY57" s="14"/>
      <c r="GZ57" s="14"/>
      <c r="HA57" s="14"/>
      <c r="HB57" s="14"/>
      <c r="HC57" s="14"/>
      <c r="HD57" s="14"/>
      <c r="HE57" s="14"/>
      <c r="HF57" s="14"/>
      <c r="HG57" s="14"/>
      <c r="HH57" s="14"/>
      <c r="HI57" s="14"/>
      <c r="HJ57" s="14"/>
      <c r="HK57" s="14"/>
      <c r="HL57" s="14"/>
      <c r="HM57" s="14"/>
      <c r="HN57" s="14"/>
      <c r="HO57" s="14"/>
      <c r="HP57" s="14"/>
      <c r="HQ57" s="14"/>
      <c r="HR57" s="14"/>
      <c r="HS57" s="14"/>
      <c r="HT57" s="14"/>
      <c r="HU57" s="14"/>
      <c r="HV57" s="14"/>
      <c r="HW57" s="14"/>
      <c r="HX57" s="14"/>
      <c r="HY57" s="14"/>
      <c r="HZ57" s="14"/>
      <c r="IA57" s="14"/>
      <c r="IB57" s="14"/>
      <c r="IC57" s="14"/>
      <c r="ID57" s="14"/>
      <c r="IE57" s="14"/>
      <c r="IF57" s="14"/>
      <c r="IG57" s="14"/>
      <c r="IH57" s="14"/>
      <c r="II57" s="14"/>
      <c r="IJ57" s="14"/>
      <c r="IK57" s="14"/>
      <c r="IL57" s="14"/>
      <c r="IM57" s="14"/>
      <c r="IN57" s="14"/>
      <c r="IO57" s="14"/>
    </row>
    <row r="58" spans="1:249">
      <c r="A58" s="131"/>
      <c r="B58" s="119" t="s">
        <v>511</v>
      </c>
      <c r="C58" s="21" t="s">
        <v>735</v>
      </c>
      <c r="D58" s="125">
        <v>0.15</v>
      </c>
      <c r="E58" s="144" t="s">
        <v>888</v>
      </c>
      <c r="F58" s="144"/>
      <c r="G58" s="144"/>
      <c r="H58" s="20" t="s">
        <v>546</v>
      </c>
      <c r="I58" s="20" t="s">
        <v>546</v>
      </c>
      <c r="J58" s="20" t="s">
        <v>546</v>
      </c>
      <c r="K58" s="20" t="s">
        <v>546</v>
      </c>
      <c r="L58" s="20" t="s">
        <v>546</v>
      </c>
      <c r="M58" s="20" t="s">
        <v>546</v>
      </c>
      <c r="N58" s="20" t="s">
        <v>546</v>
      </c>
      <c r="O58" s="20" t="s">
        <v>546</v>
      </c>
      <c r="P58" s="20" t="s">
        <v>546</v>
      </c>
      <c r="Q58" s="20" t="s">
        <v>546</v>
      </c>
      <c r="R58" s="20" t="s">
        <v>546</v>
      </c>
      <c r="S58" s="20" t="s">
        <v>546</v>
      </c>
      <c r="T58" s="20" t="s">
        <v>546</v>
      </c>
      <c r="U58" s="20" t="s">
        <v>546</v>
      </c>
      <c r="V58" s="20" t="s">
        <v>546</v>
      </c>
      <c r="W58" s="20" t="s">
        <v>546</v>
      </c>
      <c r="X58" s="20" t="s">
        <v>546</v>
      </c>
      <c r="Y58" s="20" t="s">
        <v>546</v>
      </c>
      <c r="Z58" s="20" t="s">
        <v>546</v>
      </c>
      <c r="AA58" s="20" t="s">
        <v>546</v>
      </c>
      <c r="AB58" s="20" t="s">
        <v>546</v>
      </c>
      <c r="AC58" s="20" t="s">
        <v>546</v>
      </c>
      <c r="AD58" s="20" t="s">
        <v>546</v>
      </c>
      <c r="AE58" s="20" t="s">
        <v>546</v>
      </c>
      <c r="AF58" s="20" t="s">
        <v>546</v>
      </c>
      <c r="AG58" s="20" t="s">
        <v>546</v>
      </c>
      <c r="AH58" s="20" t="s">
        <v>546</v>
      </c>
      <c r="AI58" s="20" t="s">
        <v>546</v>
      </c>
      <c r="AJ58" s="20" t="s">
        <v>546</v>
      </c>
      <c r="AK58" s="20" t="s">
        <v>546</v>
      </c>
      <c r="AL58" s="20" t="s">
        <v>546</v>
      </c>
      <c r="AM58" s="20" t="s">
        <v>546</v>
      </c>
      <c r="AN58" s="20" t="s">
        <v>546</v>
      </c>
      <c r="AO58" s="20" t="s">
        <v>546</v>
      </c>
      <c r="AP58" s="20" t="s">
        <v>546</v>
      </c>
      <c r="AQ58" s="20" t="s">
        <v>546</v>
      </c>
      <c r="AR58" s="20" t="s">
        <v>546</v>
      </c>
      <c r="AS58" s="20" t="s">
        <v>546</v>
      </c>
      <c r="AT58" s="20" t="s">
        <v>546</v>
      </c>
      <c r="AU58" s="20" t="s">
        <v>546</v>
      </c>
      <c r="AV58" s="20" t="s">
        <v>546</v>
      </c>
      <c r="AW58" s="20" t="s">
        <v>546</v>
      </c>
      <c r="AX58" s="20" t="s">
        <v>546</v>
      </c>
      <c r="AY58" s="20" t="s">
        <v>546</v>
      </c>
      <c r="AZ58" s="20" t="s">
        <v>546</v>
      </c>
      <c r="BA58" s="20" t="s">
        <v>546</v>
      </c>
      <c r="BB58" s="20" t="s">
        <v>546</v>
      </c>
      <c r="BC58" s="20" t="s">
        <v>546</v>
      </c>
      <c r="BD58" s="20" t="s">
        <v>546</v>
      </c>
      <c r="BE58" s="20" t="s">
        <v>546</v>
      </c>
      <c r="BF58" s="20" t="s">
        <v>546</v>
      </c>
      <c r="BG58" s="20" t="s">
        <v>546</v>
      </c>
      <c r="BH58" s="20" t="s">
        <v>546</v>
      </c>
      <c r="BI58" s="20" t="s">
        <v>848</v>
      </c>
      <c r="BJ58" s="20" t="s">
        <v>848</v>
      </c>
      <c r="BK58" s="20" t="s">
        <v>848</v>
      </c>
      <c r="BL58" s="20" t="s">
        <v>848</v>
      </c>
      <c r="BM58" s="20" t="s">
        <v>848</v>
      </c>
      <c r="BN58" s="20" t="s">
        <v>848</v>
      </c>
      <c r="BO58" s="20" t="s">
        <v>848</v>
      </c>
      <c r="BP58" s="20" t="s">
        <v>848</v>
      </c>
      <c r="BQ58" s="20" t="s">
        <v>848</v>
      </c>
      <c r="BR58" s="20" t="s">
        <v>848</v>
      </c>
      <c r="BS58" s="20" t="s">
        <v>848</v>
      </c>
      <c r="BT58" s="20" t="s">
        <v>848</v>
      </c>
      <c r="BU58" s="20" t="s">
        <v>848</v>
      </c>
      <c r="BV58" s="20" t="s">
        <v>848</v>
      </c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14"/>
      <c r="FU58" s="14"/>
      <c r="FV58" s="14"/>
      <c r="FW58" s="14"/>
      <c r="FX58" s="14"/>
      <c r="FY58" s="14"/>
      <c r="FZ58" s="14"/>
      <c r="GA58" s="14"/>
      <c r="GB58" s="14"/>
      <c r="GC58" s="14"/>
      <c r="GD58" s="14"/>
      <c r="GE58" s="14"/>
      <c r="GF58" s="14"/>
      <c r="GG58" s="14"/>
      <c r="GH58" s="14"/>
      <c r="GI58" s="14"/>
      <c r="GJ58" s="14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14"/>
      <c r="GV58" s="14"/>
      <c r="GW58" s="14"/>
      <c r="GX58" s="14"/>
      <c r="GY58" s="14"/>
      <c r="GZ58" s="14"/>
      <c r="HA58" s="14"/>
      <c r="HB58" s="14"/>
      <c r="HC58" s="14"/>
      <c r="HD58" s="14"/>
      <c r="HE58" s="14"/>
      <c r="HF58" s="14"/>
      <c r="HG58" s="14"/>
      <c r="HH58" s="14"/>
      <c r="HI58" s="14"/>
      <c r="HJ58" s="14"/>
      <c r="HK58" s="14"/>
      <c r="HL58" s="14"/>
      <c r="HM58" s="14"/>
      <c r="HN58" s="14"/>
      <c r="HO58" s="14"/>
      <c r="HP58" s="14"/>
      <c r="HQ58" s="14"/>
      <c r="HR58" s="14"/>
      <c r="HS58" s="14"/>
      <c r="HT58" s="14"/>
      <c r="HU58" s="14"/>
      <c r="HV58" s="14"/>
      <c r="HW58" s="14"/>
      <c r="HX58" s="14"/>
      <c r="HY58" s="14"/>
      <c r="HZ58" s="14"/>
      <c r="IA58" s="14"/>
      <c r="IB58" s="14"/>
      <c r="IC58" s="14"/>
      <c r="ID58" s="14"/>
      <c r="IE58" s="14"/>
      <c r="IF58" s="14"/>
      <c r="IG58" s="14"/>
      <c r="IH58" s="14"/>
      <c r="II58" s="14"/>
      <c r="IJ58" s="14"/>
      <c r="IK58" s="14"/>
      <c r="IL58" s="14"/>
      <c r="IM58" s="14"/>
      <c r="IN58" s="14"/>
      <c r="IO58" s="14"/>
    </row>
    <row r="59" spans="1:249">
      <c r="A59" s="131"/>
      <c r="B59" s="119"/>
      <c r="C59" s="21" t="s">
        <v>733</v>
      </c>
      <c r="D59" s="120" t="s">
        <v>889</v>
      </c>
      <c r="E59" s="20" t="s">
        <v>546</v>
      </c>
      <c r="F59" s="20" t="s">
        <v>546</v>
      </c>
      <c r="G59" s="20" t="s">
        <v>546</v>
      </c>
      <c r="H59" s="122" t="s">
        <v>890</v>
      </c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20" t="s">
        <v>546</v>
      </c>
      <c r="U59" s="117" t="s">
        <v>891</v>
      </c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20" t="s">
        <v>546</v>
      </c>
      <c r="AJ59" s="20" t="s">
        <v>546</v>
      </c>
      <c r="AK59" s="20" t="s">
        <v>546</v>
      </c>
      <c r="AL59" s="20" t="s">
        <v>546</v>
      </c>
      <c r="AM59" s="20" t="s">
        <v>546</v>
      </c>
      <c r="AN59" s="20" t="s">
        <v>546</v>
      </c>
      <c r="AO59" s="20" t="s">
        <v>546</v>
      </c>
      <c r="AP59" s="20" t="s">
        <v>546</v>
      </c>
      <c r="AQ59" s="20" t="s">
        <v>546</v>
      </c>
      <c r="AR59" s="20" t="s">
        <v>546</v>
      </c>
      <c r="AS59" s="20" t="s">
        <v>546</v>
      </c>
      <c r="AT59" s="20" t="s">
        <v>546</v>
      </c>
      <c r="AU59" s="20" t="s">
        <v>546</v>
      </c>
      <c r="AV59" s="20" t="s">
        <v>546</v>
      </c>
      <c r="AW59" s="20" t="s">
        <v>546</v>
      </c>
      <c r="AX59" s="20" t="s">
        <v>546</v>
      </c>
      <c r="AY59" s="20" t="s">
        <v>546</v>
      </c>
      <c r="AZ59" s="20" t="s">
        <v>546</v>
      </c>
      <c r="BA59" s="20" t="s">
        <v>546</v>
      </c>
      <c r="BB59" s="20" t="s">
        <v>546</v>
      </c>
      <c r="BC59" s="20" t="s">
        <v>546</v>
      </c>
      <c r="BD59" s="20" t="s">
        <v>546</v>
      </c>
      <c r="BE59" s="20" t="s">
        <v>546</v>
      </c>
      <c r="BF59" s="20" t="s">
        <v>546</v>
      </c>
      <c r="BG59" s="20" t="s">
        <v>546</v>
      </c>
      <c r="BH59" s="20" t="s">
        <v>546</v>
      </c>
      <c r="BI59" s="20" t="s">
        <v>848</v>
      </c>
      <c r="BJ59" s="20" t="s">
        <v>848</v>
      </c>
      <c r="BK59" s="20" t="s">
        <v>848</v>
      </c>
      <c r="BL59" s="20" t="s">
        <v>848</v>
      </c>
      <c r="BM59" s="20" t="s">
        <v>848</v>
      </c>
      <c r="BN59" s="20" t="s">
        <v>848</v>
      </c>
      <c r="BO59" s="20" t="s">
        <v>848</v>
      </c>
      <c r="BP59" s="20" t="s">
        <v>848</v>
      </c>
      <c r="BQ59" s="20" t="s">
        <v>848</v>
      </c>
      <c r="BR59" s="20" t="s">
        <v>848</v>
      </c>
      <c r="BS59" s="20" t="s">
        <v>848</v>
      </c>
      <c r="BT59" s="20" t="s">
        <v>848</v>
      </c>
      <c r="BU59" s="20" t="s">
        <v>848</v>
      </c>
      <c r="BV59" s="20" t="s">
        <v>848</v>
      </c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/>
      <c r="FP59" s="14"/>
      <c r="FQ59" s="14"/>
      <c r="FR59" s="14"/>
      <c r="FS59" s="14"/>
      <c r="FT59" s="14"/>
      <c r="FU59" s="14"/>
      <c r="FV59" s="14"/>
      <c r="FW59" s="14"/>
      <c r="FX59" s="14"/>
      <c r="FY59" s="14"/>
      <c r="FZ59" s="14"/>
      <c r="GA59" s="14"/>
      <c r="GB59" s="14"/>
      <c r="GC59" s="14"/>
      <c r="GD59" s="14"/>
      <c r="GE59" s="14"/>
      <c r="GF59" s="14"/>
      <c r="GG59" s="14"/>
      <c r="GH59" s="14"/>
      <c r="GI59" s="14"/>
      <c r="GJ59" s="14"/>
      <c r="GK59" s="14"/>
      <c r="GL59" s="14"/>
      <c r="GM59" s="14"/>
      <c r="GN59" s="14"/>
      <c r="GO59" s="14"/>
      <c r="GP59" s="14"/>
      <c r="GQ59" s="14"/>
      <c r="GR59" s="14"/>
      <c r="GS59" s="14"/>
      <c r="GT59" s="14"/>
      <c r="GU59" s="14"/>
      <c r="GV59" s="14"/>
      <c r="GW59" s="14"/>
      <c r="GX59" s="14"/>
      <c r="GY59" s="14"/>
      <c r="GZ59" s="14"/>
      <c r="HA59" s="14"/>
      <c r="HB59" s="14"/>
      <c r="HC59" s="14"/>
      <c r="HD59" s="14"/>
      <c r="HE59" s="14"/>
      <c r="HF59" s="14"/>
      <c r="HG59" s="14"/>
      <c r="HH59" s="14"/>
      <c r="HI59" s="14"/>
      <c r="HJ59" s="14"/>
      <c r="HK59" s="14"/>
      <c r="HL59" s="14"/>
      <c r="HM59" s="14"/>
      <c r="HN59" s="14"/>
      <c r="HO59" s="14"/>
      <c r="HP59" s="14"/>
      <c r="HQ59" s="14"/>
      <c r="HR59" s="14"/>
      <c r="HS59" s="14"/>
      <c r="HT59" s="14"/>
      <c r="HU59" s="14"/>
      <c r="HV59" s="14"/>
      <c r="HW59" s="14"/>
      <c r="HX59" s="14"/>
      <c r="HY59" s="14"/>
      <c r="HZ59" s="14"/>
      <c r="IA59" s="14"/>
      <c r="IB59" s="14"/>
      <c r="IC59" s="14"/>
      <c r="ID59" s="14"/>
      <c r="IE59" s="14"/>
      <c r="IF59" s="14"/>
      <c r="IG59" s="14"/>
      <c r="IH59" s="14"/>
      <c r="II59" s="14"/>
      <c r="IJ59" s="14"/>
      <c r="IK59" s="14"/>
      <c r="IL59" s="14"/>
      <c r="IM59" s="14"/>
      <c r="IN59" s="14"/>
      <c r="IO59" s="14"/>
    </row>
    <row r="60" spans="1:249">
      <c r="A60" s="131"/>
      <c r="B60" s="119" t="s">
        <v>513</v>
      </c>
      <c r="C60" s="21" t="s">
        <v>735</v>
      </c>
      <c r="D60" s="125">
        <v>0.15</v>
      </c>
      <c r="E60" s="20" t="s">
        <v>546</v>
      </c>
      <c r="F60" s="20" t="s">
        <v>546</v>
      </c>
      <c r="G60" s="20" t="s">
        <v>546</v>
      </c>
      <c r="H60" s="20" t="s">
        <v>546</v>
      </c>
      <c r="I60" s="20" t="s">
        <v>546</v>
      </c>
      <c r="J60" s="20" t="s">
        <v>546</v>
      </c>
      <c r="K60" s="20" t="s">
        <v>546</v>
      </c>
      <c r="L60" s="20" t="s">
        <v>546</v>
      </c>
      <c r="M60" s="20" t="s">
        <v>546</v>
      </c>
      <c r="N60" s="20" t="s">
        <v>546</v>
      </c>
      <c r="O60" s="20" t="s">
        <v>546</v>
      </c>
      <c r="P60" s="20" t="s">
        <v>546</v>
      </c>
      <c r="Q60" s="20" t="s">
        <v>546</v>
      </c>
      <c r="R60" s="20" t="s">
        <v>546</v>
      </c>
      <c r="S60" s="20" t="s">
        <v>546</v>
      </c>
      <c r="T60" s="117" t="s">
        <v>841</v>
      </c>
      <c r="U60" s="117"/>
      <c r="V60" s="117"/>
      <c r="W60" s="117"/>
      <c r="X60" s="117"/>
      <c r="Y60" s="117"/>
      <c r="Z60" s="20" t="s">
        <v>546</v>
      </c>
      <c r="AA60" s="20" t="s">
        <v>546</v>
      </c>
      <c r="AB60" s="122" t="s">
        <v>776</v>
      </c>
      <c r="AC60" s="124"/>
      <c r="AD60" s="124"/>
      <c r="AE60" s="20" t="s">
        <v>546</v>
      </c>
      <c r="AF60" s="20" t="s">
        <v>546</v>
      </c>
      <c r="AG60" s="20" t="s">
        <v>546</v>
      </c>
      <c r="AH60" s="20" t="s">
        <v>546</v>
      </c>
      <c r="AI60" s="20" t="s">
        <v>546</v>
      </c>
      <c r="AJ60" s="20" t="s">
        <v>546</v>
      </c>
      <c r="AK60" s="20" t="s">
        <v>546</v>
      </c>
      <c r="AL60" s="20" t="s">
        <v>546</v>
      </c>
      <c r="AM60" s="20" t="s">
        <v>546</v>
      </c>
      <c r="AN60" s="20" t="s">
        <v>546</v>
      </c>
      <c r="AO60" s="20" t="s">
        <v>546</v>
      </c>
      <c r="AP60" s="20" t="s">
        <v>546</v>
      </c>
      <c r="AQ60" s="20" t="s">
        <v>546</v>
      </c>
      <c r="AR60" s="20" t="s">
        <v>546</v>
      </c>
      <c r="AS60" s="20" t="s">
        <v>546</v>
      </c>
      <c r="AT60" s="20" t="s">
        <v>546</v>
      </c>
      <c r="AU60" s="20" t="s">
        <v>546</v>
      </c>
      <c r="AV60" s="20" t="s">
        <v>546</v>
      </c>
      <c r="AW60" s="20" t="s">
        <v>546</v>
      </c>
      <c r="AX60" s="20" t="s">
        <v>546</v>
      </c>
      <c r="AY60" s="20" t="s">
        <v>546</v>
      </c>
      <c r="AZ60" s="20" t="s">
        <v>546</v>
      </c>
      <c r="BA60" s="20" t="s">
        <v>546</v>
      </c>
      <c r="BB60" s="20" t="s">
        <v>546</v>
      </c>
      <c r="BC60" s="20" t="s">
        <v>546</v>
      </c>
      <c r="BD60" s="20" t="s">
        <v>546</v>
      </c>
      <c r="BE60" s="20" t="s">
        <v>546</v>
      </c>
      <c r="BF60" s="20" t="s">
        <v>546</v>
      </c>
      <c r="BG60" s="20" t="s">
        <v>546</v>
      </c>
      <c r="BH60" s="20" t="s">
        <v>546</v>
      </c>
      <c r="BI60" s="20" t="s">
        <v>848</v>
      </c>
      <c r="BJ60" s="20" t="s">
        <v>848</v>
      </c>
      <c r="BK60" s="20" t="s">
        <v>848</v>
      </c>
      <c r="BL60" s="20" t="s">
        <v>848</v>
      </c>
      <c r="BM60" s="20" t="s">
        <v>848</v>
      </c>
      <c r="BN60" s="20" t="s">
        <v>848</v>
      </c>
      <c r="BO60" s="20" t="s">
        <v>848</v>
      </c>
      <c r="BP60" s="20" t="s">
        <v>848</v>
      </c>
      <c r="BQ60" s="20" t="s">
        <v>848</v>
      </c>
      <c r="BR60" s="20" t="s">
        <v>848</v>
      </c>
      <c r="BS60" s="20" t="s">
        <v>848</v>
      </c>
      <c r="BT60" s="20" t="s">
        <v>848</v>
      </c>
      <c r="BU60" s="20" t="s">
        <v>848</v>
      </c>
      <c r="BV60" s="20" t="s">
        <v>848</v>
      </c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14"/>
      <c r="FU60" s="14"/>
      <c r="FV60" s="14"/>
      <c r="FW60" s="14"/>
      <c r="FX60" s="14"/>
      <c r="FY60" s="14"/>
      <c r="FZ60" s="14"/>
      <c r="GA60" s="14"/>
      <c r="GB60" s="14"/>
      <c r="GC60" s="14"/>
      <c r="GD60" s="14"/>
      <c r="GE60" s="14"/>
      <c r="GF60" s="14"/>
      <c r="GG60" s="14"/>
      <c r="GH60" s="14"/>
      <c r="GI60" s="14"/>
      <c r="GJ60" s="14"/>
      <c r="GK60" s="14"/>
      <c r="GL60" s="14"/>
      <c r="GM60" s="14"/>
      <c r="GN60" s="14"/>
      <c r="GO60" s="14"/>
      <c r="GP60" s="14"/>
      <c r="GQ60" s="14"/>
      <c r="GR60" s="14"/>
      <c r="GS60" s="14"/>
      <c r="GT60" s="14"/>
      <c r="GU60" s="14"/>
      <c r="GV60" s="14"/>
      <c r="GW60" s="14"/>
      <c r="GX60" s="14"/>
      <c r="GY60" s="14"/>
      <c r="GZ60" s="14"/>
      <c r="HA60" s="14"/>
      <c r="HB60" s="14"/>
      <c r="HC60" s="14"/>
      <c r="HD60" s="14"/>
      <c r="HE60" s="14"/>
      <c r="HF60" s="14"/>
      <c r="HG60" s="14"/>
      <c r="HH60" s="14"/>
      <c r="HI60" s="14"/>
      <c r="HJ60" s="14"/>
      <c r="HK60" s="14"/>
      <c r="HL60" s="14"/>
      <c r="HM60" s="14"/>
      <c r="HN60" s="14"/>
      <c r="HO60" s="14"/>
      <c r="HP60" s="14"/>
      <c r="HQ60" s="14"/>
      <c r="HR60" s="14"/>
      <c r="HS60" s="14"/>
      <c r="HT60" s="14"/>
      <c r="HU60" s="14"/>
      <c r="HV60" s="14"/>
      <c r="HW60" s="14"/>
      <c r="HX60" s="14"/>
      <c r="HY60" s="14"/>
      <c r="HZ60" s="14"/>
      <c r="IA60" s="14"/>
      <c r="IB60" s="14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4"/>
    </row>
    <row r="61" spans="1:249">
      <c r="A61" s="131"/>
      <c r="B61" s="119"/>
      <c r="C61" s="21" t="s">
        <v>733</v>
      </c>
      <c r="D61" s="120" t="s">
        <v>892</v>
      </c>
      <c r="E61" s="20" t="s">
        <v>546</v>
      </c>
      <c r="F61" s="20" t="s">
        <v>546</v>
      </c>
      <c r="G61" s="20" t="s">
        <v>546</v>
      </c>
      <c r="H61" s="122" t="s">
        <v>893</v>
      </c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20" t="s">
        <v>546</v>
      </c>
      <c r="U61" s="20" t="s">
        <v>546</v>
      </c>
      <c r="V61" s="20" t="s">
        <v>546</v>
      </c>
      <c r="W61" s="20" t="s">
        <v>546</v>
      </c>
      <c r="X61" s="20" t="s">
        <v>546</v>
      </c>
      <c r="Y61" s="20" t="s">
        <v>546</v>
      </c>
      <c r="Z61" s="20" t="s">
        <v>546</v>
      </c>
      <c r="AA61" s="20" t="s">
        <v>546</v>
      </c>
      <c r="AB61" s="20" t="s">
        <v>546</v>
      </c>
      <c r="AC61" s="20" t="s">
        <v>546</v>
      </c>
      <c r="AD61" s="20" t="s">
        <v>546</v>
      </c>
      <c r="AE61" s="122" t="s">
        <v>894</v>
      </c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20" t="s">
        <v>546</v>
      </c>
      <c r="AT61" s="20" t="s">
        <v>546</v>
      </c>
      <c r="AU61" s="20" t="s">
        <v>546</v>
      </c>
      <c r="AV61" s="20" t="s">
        <v>546</v>
      </c>
      <c r="AW61" s="20" t="s">
        <v>546</v>
      </c>
      <c r="AX61" s="20" t="s">
        <v>546</v>
      </c>
      <c r="AY61" s="20" t="s">
        <v>546</v>
      </c>
      <c r="AZ61" s="20" t="s">
        <v>546</v>
      </c>
      <c r="BA61" s="20" t="s">
        <v>546</v>
      </c>
      <c r="BB61" s="20" t="s">
        <v>546</v>
      </c>
      <c r="BC61" s="20" t="s">
        <v>546</v>
      </c>
      <c r="BD61" s="20" t="s">
        <v>546</v>
      </c>
      <c r="BE61" s="20" t="s">
        <v>546</v>
      </c>
      <c r="BF61" s="20" t="s">
        <v>546</v>
      </c>
      <c r="BG61" s="20" t="s">
        <v>546</v>
      </c>
      <c r="BH61" s="20" t="s">
        <v>546</v>
      </c>
      <c r="BI61" s="20" t="s">
        <v>848</v>
      </c>
      <c r="BJ61" s="20" t="s">
        <v>848</v>
      </c>
      <c r="BK61" s="20" t="s">
        <v>848</v>
      </c>
      <c r="BL61" s="20" t="s">
        <v>848</v>
      </c>
      <c r="BM61" s="20" t="s">
        <v>848</v>
      </c>
      <c r="BN61" s="20" t="s">
        <v>848</v>
      </c>
      <c r="BO61" s="20" t="s">
        <v>848</v>
      </c>
      <c r="BP61" s="20" t="s">
        <v>848</v>
      </c>
      <c r="BQ61" s="20" t="s">
        <v>848</v>
      </c>
      <c r="BR61" s="20" t="s">
        <v>848</v>
      </c>
      <c r="BS61" s="20" t="s">
        <v>848</v>
      </c>
      <c r="BT61" s="20" t="s">
        <v>848</v>
      </c>
      <c r="BU61" s="20" t="s">
        <v>848</v>
      </c>
      <c r="BV61" s="20" t="s">
        <v>848</v>
      </c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14"/>
      <c r="FU61" s="14"/>
      <c r="FV61" s="14"/>
      <c r="FW61" s="14"/>
      <c r="FX61" s="14"/>
      <c r="FY61" s="14"/>
      <c r="FZ61" s="14"/>
      <c r="GA61" s="14"/>
      <c r="GB61" s="14"/>
      <c r="GC61" s="14"/>
      <c r="GD61" s="14"/>
      <c r="GE61" s="14"/>
      <c r="GF61" s="14"/>
      <c r="GG61" s="14"/>
      <c r="GH61" s="14"/>
      <c r="GI61" s="14"/>
      <c r="GJ61" s="14"/>
      <c r="GK61" s="14"/>
      <c r="GL61" s="14"/>
      <c r="GM61" s="14"/>
      <c r="GN61" s="14"/>
      <c r="GO61" s="14"/>
      <c r="GP61" s="14"/>
      <c r="GQ61" s="14"/>
      <c r="GR61" s="14"/>
      <c r="GS61" s="14"/>
      <c r="GT61" s="14"/>
      <c r="GU61" s="14"/>
      <c r="GV61" s="14"/>
      <c r="GW61" s="14"/>
      <c r="GX61" s="14"/>
      <c r="GY61" s="14"/>
      <c r="GZ61" s="14"/>
      <c r="HA61" s="14"/>
      <c r="HB61" s="14"/>
      <c r="HC61" s="14"/>
      <c r="HD61" s="14"/>
      <c r="HE61" s="14"/>
      <c r="HF61" s="14"/>
      <c r="HG61" s="14"/>
      <c r="HH61" s="14"/>
      <c r="HI61" s="14"/>
      <c r="HJ61" s="14"/>
      <c r="HK61" s="14"/>
      <c r="HL61" s="14"/>
      <c r="HM61" s="14"/>
      <c r="HN61" s="14"/>
      <c r="HO61" s="14"/>
      <c r="HP61" s="14"/>
      <c r="HQ61" s="14"/>
      <c r="HR61" s="14"/>
      <c r="HS61" s="14"/>
      <c r="HT61" s="14"/>
      <c r="HU61" s="14"/>
      <c r="HV61" s="14"/>
      <c r="HW61" s="14"/>
      <c r="HX61" s="14"/>
      <c r="HY61" s="14"/>
      <c r="HZ61" s="14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4"/>
    </row>
    <row r="62" spans="1:249">
      <c r="A62" s="131"/>
      <c r="B62" s="119" t="s">
        <v>516</v>
      </c>
      <c r="C62" s="21" t="s">
        <v>735</v>
      </c>
      <c r="D62" s="125">
        <v>0.15</v>
      </c>
      <c r="E62" s="20" t="s">
        <v>546</v>
      </c>
      <c r="F62" s="20" t="s">
        <v>546</v>
      </c>
      <c r="G62" s="20" t="s">
        <v>546</v>
      </c>
      <c r="H62" s="20" t="s">
        <v>546</v>
      </c>
      <c r="I62" s="20" t="s">
        <v>546</v>
      </c>
      <c r="J62" s="20" t="s">
        <v>546</v>
      </c>
      <c r="K62" s="20" t="s">
        <v>546</v>
      </c>
      <c r="L62" s="20" t="s">
        <v>546</v>
      </c>
      <c r="M62" s="20" t="s">
        <v>546</v>
      </c>
      <c r="N62" s="20" t="s">
        <v>546</v>
      </c>
      <c r="O62" s="20" t="s">
        <v>546</v>
      </c>
      <c r="P62" s="20" t="s">
        <v>546</v>
      </c>
      <c r="Q62" s="20" t="s">
        <v>546</v>
      </c>
      <c r="R62" s="20" t="s">
        <v>546</v>
      </c>
      <c r="S62" s="20" t="s">
        <v>546</v>
      </c>
      <c r="T62" s="20" t="s">
        <v>546</v>
      </c>
      <c r="U62" s="20" t="s">
        <v>546</v>
      </c>
      <c r="V62" s="20" t="s">
        <v>546</v>
      </c>
      <c r="W62" s="20" t="s">
        <v>546</v>
      </c>
      <c r="X62" s="20" t="s">
        <v>546</v>
      </c>
      <c r="Y62" s="20" t="s">
        <v>546</v>
      </c>
      <c r="Z62" s="20" t="s">
        <v>546</v>
      </c>
      <c r="AA62" s="20" t="s">
        <v>546</v>
      </c>
      <c r="AB62" s="20" t="s">
        <v>546</v>
      </c>
      <c r="AC62" s="20" t="s">
        <v>546</v>
      </c>
      <c r="AD62" s="20" t="s">
        <v>546</v>
      </c>
      <c r="AE62" s="20" t="s">
        <v>546</v>
      </c>
      <c r="AF62" s="20" t="s">
        <v>546</v>
      </c>
      <c r="AG62" s="20" t="s">
        <v>546</v>
      </c>
      <c r="AH62" s="20" t="s">
        <v>546</v>
      </c>
      <c r="AI62" s="20" t="s">
        <v>546</v>
      </c>
      <c r="AJ62" s="20" t="s">
        <v>546</v>
      </c>
      <c r="AK62" s="20" t="s">
        <v>546</v>
      </c>
      <c r="AL62" s="20" t="s">
        <v>546</v>
      </c>
      <c r="AM62" s="20" t="s">
        <v>546</v>
      </c>
      <c r="AN62" s="20" t="s">
        <v>546</v>
      </c>
      <c r="AO62" s="20" t="s">
        <v>546</v>
      </c>
      <c r="AP62" s="20" t="s">
        <v>546</v>
      </c>
      <c r="AQ62" s="20" t="s">
        <v>546</v>
      </c>
      <c r="AR62" s="20" t="s">
        <v>546</v>
      </c>
      <c r="AS62" s="20" t="s">
        <v>546</v>
      </c>
      <c r="AT62" s="20" t="s">
        <v>546</v>
      </c>
      <c r="AU62" s="20" t="s">
        <v>546</v>
      </c>
      <c r="AV62" s="20" t="s">
        <v>546</v>
      </c>
      <c r="AW62" s="20" t="s">
        <v>546</v>
      </c>
      <c r="AX62" s="20" t="s">
        <v>546</v>
      </c>
      <c r="AY62" s="20" t="s">
        <v>546</v>
      </c>
      <c r="AZ62" s="20" t="s">
        <v>546</v>
      </c>
      <c r="BA62" s="20" t="s">
        <v>546</v>
      </c>
      <c r="BB62" s="20" t="s">
        <v>546</v>
      </c>
      <c r="BC62" s="20" t="s">
        <v>546</v>
      </c>
      <c r="BD62" s="20" t="s">
        <v>546</v>
      </c>
      <c r="BE62" s="20" t="s">
        <v>546</v>
      </c>
      <c r="BF62" s="20" t="s">
        <v>546</v>
      </c>
      <c r="BG62" s="20" t="s">
        <v>546</v>
      </c>
      <c r="BH62" s="20" t="s">
        <v>546</v>
      </c>
      <c r="BI62" s="20" t="s">
        <v>848</v>
      </c>
      <c r="BJ62" s="20" t="s">
        <v>848</v>
      </c>
      <c r="BK62" s="20" t="s">
        <v>848</v>
      </c>
      <c r="BL62" s="20" t="s">
        <v>848</v>
      </c>
      <c r="BM62" s="20" t="s">
        <v>848</v>
      </c>
      <c r="BN62" s="20" t="s">
        <v>848</v>
      </c>
      <c r="BO62" s="20" t="s">
        <v>848</v>
      </c>
      <c r="BP62" s="20" t="s">
        <v>848</v>
      </c>
      <c r="BQ62" s="20" t="s">
        <v>848</v>
      </c>
      <c r="BR62" s="20" t="s">
        <v>848</v>
      </c>
      <c r="BS62" s="20" t="s">
        <v>848</v>
      </c>
      <c r="BT62" s="20" t="s">
        <v>848</v>
      </c>
      <c r="BU62" s="20" t="s">
        <v>848</v>
      </c>
      <c r="BV62" s="20" t="s">
        <v>848</v>
      </c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</row>
    <row r="63" ht="12" spans="1:249">
      <c r="A63" s="131"/>
      <c r="B63" s="119"/>
      <c r="C63" s="21" t="s">
        <v>733</v>
      </c>
      <c r="D63" s="120" t="s">
        <v>895</v>
      </c>
      <c r="E63" s="117" t="s">
        <v>896</v>
      </c>
      <c r="F63" s="121"/>
      <c r="G63" s="121"/>
      <c r="H63" s="122" t="s">
        <v>897</v>
      </c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1" t="s">
        <v>898</v>
      </c>
      <c r="U63" s="121"/>
      <c r="V63" s="121"/>
      <c r="W63" s="20" t="s">
        <v>546</v>
      </c>
      <c r="X63" s="20" t="s">
        <v>546</v>
      </c>
      <c r="Y63" s="20" t="s">
        <v>546</v>
      </c>
      <c r="Z63" s="20" t="s">
        <v>546</v>
      </c>
      <c r="AA63" s="20" t="s">
        <v>546</v>
      </c>
      <c r="AB63" s="20" t="s">
        <v>546</v>
      </c>
      <c r="AC63" s="20" t="s">
        <v>546</v>
      </c>
      <c r="AD63" s="20" t="s">
        <v>546</v>
      </c>
      <c r="AE63" s="20" t="s">
        <v>546</v>
      </c>
      <c r="AF63" s="20" t="s">
        <v>546</v>
      </c>
      <c r="AG63" s="20" t="s">
        <v>546</v>
      </c>
      <c r="AH63" s="20" t="s">
        <v>546</v>
      </c>
      <c r="AI63" s="20" t="s">
        <v>546</v>
      </c>
      <c r="AJ63" s="20" t="s">
        <v>546</v>
      </c>
      <c r="AK63" s="20" t="s">
        <v>546</v>
      </c>
      <c r="AL63" s="20" t="s">
        <v>546</v>
      </c>
      <c r="AM63" s="20" t="s">
        <v>546</v>
      </c>
      <c r="AN63" s="20" t="s">
        <v>546</v>
      </c>
      <c r="AO63" s="20" t="s">
        <v>546</v>
      </c>
      <c r="AP63" s="20" t="s">
        <v>546</v>
      </c>
      <c r="AQ63" s="20" t="s">
        <v>546</v>
      </c>
      <c r="AR63" s="20" t="s">
        <v>546</v>
      </c>
      <c r="AS63" s="20" t="s">
        <v>546</v>
      </c>
      <c r="AT63" s="20" t="s">
        <v>546</v>
      </c>
      <c r="AU63" s="20" t="s">
        <v>546</v>
      </c>
      <c r="AV63" s="20" t="s">
        <v>546</v>
      </c>
      <c r="AW63" s="20" t="s">
        <v>546</v>
      </c>
      <c r="AX63" s="20" t="s">
        <v>546</v>
      </c>
      <c r="AY63" s="20" t="s">
        <v>546</v>
      </c>
      <c r="AZ63" s="20" t="s">
        <v>546</v>
      </c>
      <c r="BA63" s="20" t="s">
        <v>546</v>
      </c>
      <c r="BB63" s="20" t="s">
        <v>546</v>
      </c>
      <c r="BC63" s="20" t="s">
        <v>546</v>
      </c>
      <c r="BD63" s="20" t="s">
        <v>546</v>
      </c>
      <c r="BE63" s="20" t="s">
        <v>546</v>
      </c>
      <c r="BF63" s="20" t="s">
        <v>546</v>
      </c>
      <c r="BG63" s="20" t="s">
        <v>546</v>
      </c>
      <c r="BH63" s="20" t="s">
        <v>546</v>
      </c>
      <c r="BI63" s="20" t="s">
        <v>848</v>
      </c>
      <c r="BJ63" s="20" t="s">
        <v>848</v>
      </c>
      <c r="BK63" s="20" t="s">
        <v>848</v>
      </c>
      <c r="BL63" s="20" t="s">
        <v>848</v>
      </c>
      <c r="BM63" s="20" t="s">
        <v>848</v>
      </c>
      <c r="BN63" s="20" t="s">
        <v>848</v>
      </c>
      <c r="BO63" s="20" t="s">
        <v>848</v>
      </c>
      <c r="BP63" s="20" t="s">
        <v>848</v>
      </c>
      <c r="BQ63" s="20" t="s">
        <v>848</v>
      </c>
      <c r="BR63" s="20" t="s">
        <v>848</v>
      </c>
      <c r="BS63" s="20" t="s">
        <v>848</v>
      </c>
      <c r="BT63" s="20" t="s">
        <v>848</v>
      </c>
      <c r="BU63" s="20" t="s">
        <v>848</v>
      </c>
      <c r="BV63" s="20" t="s">
        <v>848</v>
      </c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14"/>
      <c r="FU63" s="14"/>
      <c r="FV63" s="14"/>
      <c r="FW63" s="14"/>
      <c r="FX63" s="14"/>
      <c r="FY63" s="14"/>
      <c r="FZ63" s="14"/>
      <c r="GA63" s="14"/>
      <c r="GB63" s="14"/>
      <c r="GC63" s="14"/>
      <c r="GD63" s="14"/>
      <c r="GE63" s="14"/>
      <c r="GF63" s="14"/>
      <c r="GG63" s="14"/>
      <c r="GH63" s="14"/>
      <c r="GI63" s="14"/>
      <c r="GJ63" s="14"/>
      <c r="GK63" s="14"/>
      <c r="GL63" s="14"/>
      <c r="GM63" s="14"/>
      <c r="GN63" s="14"/>
      <c r="GO63" s="14"/>
      <c r="GP63" s="14"/>
      <c r="GQ63" s="14"/>
      <c r="GR63" s="14"/>
      <c r="GS63" s="14"/>
      <c r="GT63" s="14"/>
      <c r="GU63" s="14"/>
      <c r="GV63" s="14"/>
      <c r="GW63" s="14"/>
      <c r="GX63" s="14"/>
      <c r="GY63" s="14"/>
      <c r="GZ63" s="14"/>
      <c r="HA63" s="14"/>
      <c r="HB63" s="14"/>
      <c r="HC63" s="14"/>
      <c r="HD63" s="14"/>
      <c r="HE63" s="14"/>
      <c r="HF63" s="14"/>
      <c r="HG63" s="14"/>
      <c r="HH63" s="14"/>
      <c r="HI63" s="14"/>
      <c r="HJ63" s="14"/>
      <c r="HK63" s="14"/>
      <c r="HL63" s="14"/>
      <c r="HM63" s="14"/>
      <c r="HN63" s="14"/>
      <c r="HO63" s="14"/>
      <c r="HP63" s="14"/>
      <c r="HQ63" s="14"/>
      <c r="HR63" s="14"/>
      <c r="HS63" s="14"/>
      <c r="HT63" s="14"/>
      <c r="HU63" s="14"/>
      <c r="HV63" s="14"/>
      <c r="HW63" s="14"/>
      <c r="HX63" s="14"/>
      <c r="HY63" s="14"/>
      <c r="HZ63" s="14"/>
      <c r="IA63" s="14"/>
      <c r="IB63" s="14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4"/>
    </row>
    <row r="64" spans="1:249">
      <c r="A64" s="131"/>
      <c r="B64" s="119" t="s">
        <v>300</v>
      </c>
      <c r="C64" s="21" t="s">
        <v>735</v>
      </c>
      <c r="D64" s="125">
        <v>0.15</v>
      </c>
      <c r="E64" s="20" t="s">
        <v>546</v>
      </c>
      <c r="F64" s="20" t="s">
        <v>546</v>
      </c>
      <c r="G64" s="20" t="s">
        <v>546</v>
      </c>
      <c r="H64" s="20" t="s">
        <v>546</v>
      </c>
      <c r="I64" s="20" t="s">
        <v>546</v>
      </c>
      <c r="J64" s="20" t="s">
        <v>546</v>
      </c>
      <c r="K64" s="20" t="s">
        <v>546</v>
      </c>
      <c r="L64" s="20" t="s">
        <v>546</v>
      </c>
      <c r="M64" s="20" t="s">
        <v>546</v>
      </c>
      <c r="N64" s="20" t="s">
        <v>546</v>
      </c>
      <c r="O64" s="20" t="s">
        <v>546</v>
      </c>
      <c r="P64" s="20" t="s">
        <v>546</v>
      </c>
      <c r="Q64" s="20" t="s">
        <v>546</v>
      </c>
      <c r="R64" s="20" t="s">
        <v>546</v>
      </c>
      <c r="S64" s="20" t="s">
        <v>546</v>
      </c>
      <c r="T64" s="20" t="s">
        <v>546</v>
      </c>
      <c r="U64" s="20" t="s">
        <v>546</v>
      </c>
      <c r="V64" s="20" t="s">
        <v>546</v>
      </c>
      <c r="W64" s="20" t="s">
        <v>546</v>
      </c>
      <c r="X64" s="20" t="s">
        <v>546</v>
      </c>
      <c r="Y64" s="20" t="s">
        <v>546</v>
      </c>
      <c r="Z64" s="20" t="s">
        <v>546</v>
      </c>
      <c r="AA64" s="20" t="s">
        <v>546</v>
      </c>
      <c r="AB64" s="20" t="s">
        <v>546</v>
      </c>
      <c r="AC64" s="20" t="s">
        <v>546</v>
      </c>
      <c r="AD64" s="20" t="s">
        <v>546</v>
      </c>
      <c r="AE64" s="20" t="s">
        <v>546</v>
      </c>
      <c r="AF64" s="20" t="s">
        <v>546</v>
      </c>
      <c r="AG64" s="20" t="s">
        <v>546</v>
      </c>
      <c r="AH64" s="20" t="s">
        <v>546</v>
      </c>
      <c r="AI64" s="20" t="s">
        <v>546</v>
      </c>
      <c r="AJ64" s="20" t="s">
        <v>546</v>
      </c>
      <c r="AK64" s="20" t="s">
        <v>546</v>
      </c>
      <c r="AL64" s="20" t="s">
        <v>546</v>
      </c>
      <c r="AM64" s="20" t="s">
        <v>546</v>
      </c>
      <c r="AN64" s="124" t="s">
        <v>777</v>
      </c>
      <c r="AO64" s="124"/>
      <c r="AP64" s="124"/>
      <c r="AQ64" s="124"/>
      <c r="AR64" s="124"/>
      <c r="AS64" s="124"/>
      <c r="AT64" s="124"/>
      <c r="AU64" s="124"/>
      <c r="AV64" s="124"/>
      <c r="AW64" s="124"/>
      <c r="AX64" s="20" t="s">
        <v>546</v>
      </c>
      <c r="AY64" s="20" t="s">
        <v>546</v>
      </c>
      <c r="AZ64" s="20" t="s">
        <v>546</v>
      </c>
      <c r="BA64" s="20" t="s">
        <v>546</v>
      </c>
      <c r="BB64" s="117" t="s">
        <v>899</v>
      </c>
      <c r="BC64" s="117"/>
      <c r="BD64" s="117"/>
      <c r="BE64" s="117"/>
      <c r="BF64" s="117"/>
      <c r="BG64" s="117"/>
      <c r="BH64" s="117"/>
      <c r="BI64" s="20" t="s">
        <v>546</v>
      </c>
      <c r="BJ64" s="20" t="s">
        <v>546</v>
      </c>
      <c r="BK64" s="20" t="s">
        <v>546</v>
      </c>
      <c r="BL64" s="20" t="s">
        <v>546</v>
      </c>
      <c r="BM64" s="20" t="s">
        <v>546</v>
      </c>
      <c r="BN64" s="20" t="s">
        <v>546</v>
      </c>
      <c r="BO64" s="20" t="s">
        <v>546</v>
      </c>
      <c r="BP64" s="20" t="s">
        <v>546</v>
      </c>
      <c r="BQ64" s="20" t="s">
        <v>546</v>
      </c>
      <c r="BR64" s="20" t="s">
        <v>546</v>
      </c>
      <c r="BS64" s="20" t="s">
        <v>546</v>
      </c>
      <c r="BT64" s="20" t="s">
        <v>546</v>
      </c>
      <c r="BU64" s="20" t="s">
        <v>546</v>
      </c>
      <c r="BV64" s="20" t="s">
        <v>546</v>
      </c>
      <c r="BW64" s="20" t="s">
        <v>546</v>
      </c>
      <c r="BX64" s="20" t="s">
        <v>546</v>
      </c>
      <c r="BY64" s="20" t="s">
        <v>546</v>
      </c>
      <c r="BZ64" s="20" t="s">
        <v>546</v>
      </c>
      <c r="CA64" s="121" t="s">
        <v>865</v>
      </c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14"/>
      <c r="FU64" s="14"/>
      <c r="FV64" s="14"/>
      <c r="FW64" s="14"/>
      <c r="FX64" s="14"/>
      <c r="FY64" s="14"/>
      <c r="FZ64" s="14"/>
      <c r="GA64" s="14"/>
      <c r="GB64" s="14"/>
      <c r="GC64" s="14"/>
      <c r="GD64" s="14"/>
      <c r="GE64" s="14"/>
      <c r="GF64" s="14"/>
      <c r="GG64" s="14"/>
      <c r="GH64" s="14"/>
      <c r="GI64" s="14"/>
      <c r="GJ64" s="14"/>
      <c r="GK64" s="14"/>
      <c r="GL64" s="14"/>
      <c r="GM64" s="14"/>
      <c r="GN64" s="14"/>
      <c r="GO64" s="14"/>
      <c r="GP64" s="14"/>
      <c r="GQ64" s="14"/>
      <c r="GR64" s="14"/>
      <c r="GS64" s="14"/>
      <c r="GT64" s="14"/>
      <c r="GU64" s="14"/>
      <c r="GV64" s="14"/>
      <c r="GW64" s="14"/>
      <c r="GX64" s="14"/>
      <c r="GY64" s="14"/>
      <c r="GZ64" s="14"/>
      <c r="HA64" s="14"/>
      <c r="HB64" s="14"/>
      <c r="HC64" s="14"/>
      <c r="HD64" s="14"/>
      <c r="HE64" s="14"/>
      <c r="HF64" s="14"/>
      <c r="HG64" s="14"/>
      <c r="HH64" s="14"/>
      <c r="HI64" s="14"/>
      <c r="HJ64" s="14"/>
      <c r="HK64" s="14"/>
      <c r="HL64" s="14"/>
      <c r="HM64" s="14"/>
      <c r="HN64" s="14"/>
      <c r="HO64" s="14"/>
      <c r="HP64" s="14"/>
      <c r="HQ64" s="14"/>
      <c r="HR64" s="14"/>
      <c r="HS64" s="14"/>
      <c r="HT64" s="14"/>
      <c r="HU64" s="14"/>
      <c r="HV64" s="14"/>
      <c r="HW64" s="14"/>
      <c r="HX64" s="14"/>
      <c r="HY64" s="14"/>
      <c r="HZ64" s="14"/>
      <c r="IA64" s="14"/>
      <c r="IB64" s="14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4"/>
    </row>
    <row r="65" spans="1:249">
      <c r="A65" s="133"/>
      <c r="B65" s="129"/>
      <c r="C65" s="130" t="s">
        <v>733</v>
      </c>
      <c r="D65" s="134" t="s">
        <v>900</v>
      </c>
      <c r="E65" s="20" t="s">
        <v>546</v>
      </c>
      <c r="F65" s="20" t="s">
        <v>546</v>
      </c>
      <c r="G65" s="20" t="s">
        <v>546</v>
      </c>
      <c r="H65" s="124" t="s">
        <v>901</v>
      </c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20" t="s">
        <v>546</v>
      </c>
      <c r="U65" s="20" t="s">
        <v>546</v>
      </c>
      <c r="V65" s="20" t="s">
        <v>546</v>
      </c>
      <c r="W65" s="20" t="s">
        <v>546</v>
      </c>
      <c r="X65" s="20" t="s">
        <v>546</v>
      </c>
      <c r="Y65" s="20" t="s">
        <v>546</v>
      </c>
      <c r="Z65" s="142" t="s">
        <v>902</v>
      </c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20" t="s">
        <v>546</v>
      </c>
      <c r="AO65" s="20" t="s">
        <v>546</v>
      </c>
      <c r="AP65" s="20" t="s">
        <v>546</v>
      </c>
      <c r="AQ65" s="20" t="s">
        <v>546</v>
      </c>
      <c r="AR65" s="20" t="s">
        <v>546</v>
      </c>
      <c r="AS65" s="20" t="s">
        <v>546</v>
      </c>
      <c r="AT65" s="20" t="s">
        <v>546</v>
      </c>
      <c r="AU65" s="20" t="s">
        <v>546</v>
      </c>
      <c r="AV65" s="20" t="s">
        <v>546</v>
      </c>
      <c r="AW65" s="20" t="s">
        <v>546</v>
      </c>
      <c r="AX65" s="20" t="s">
        <v>546</v>
      </c>
      <c r="AY65" s="20" t="s">
        <v>546</v>
      </c>
      <c r="AZ65" s="20" t="s">
        <v>546</v>
      </c>
      <c r="BA65" s="20" t="s">
        <v>546</v>
      </c>
      <c r="BB65" s="20" t="s">
        <v>546</v>
      </c>
      <c r="BC65" s="20" t="s">
        <v>546</v>
      </c>
      <c r="BD65" s="20" t="s">
        <v>546</v>
      </c>
      <c r="BE65" s="20" t="s">
        <v>546</v>
      </c>
      <c r="BF65" s="20" t="s">
        <v>546</v>
      </c>
      <c r="BG65" s="20" t="s">
        <v>546</v>
      </c>
      <c r="BH65" s="20" t="s">
        <v>546</v>
      </c>
      <c r="BI65" s="122" t="s">
        <v>903</v>
      </c>
      <c r="BJ65" s="124"/>
      <c r="BK65" s="124"/>
      <c r="BL65" s="124"/>
      <c r="BM65" s="124"/>
      <c r="BN65" s="124"/>
      <c r="BO65" s="124"/>
      <c r="BP65" s="124"/>
      <c r="BQ65" s="124"/>
      <c r="BR65" s="124"/>
      <c r="BS65" s="124"/>
      <c r="BT65" s="124"/>
      <c r="BU65" s="124"/>
      <c r="BV65" s="124"/>
      <c r="BW65" s="20" t="s">
        <v>546</v>
      </c>
      <c r="BX65" s="20" t="s">
        <v>546</v>
      </c>
      <c r="BY65" s="20" t="s">
        <v>546</v>
      </c>
      <c r="BZ65" s="20" t="s">
        <v>546</v>
      </c>
      <c r="CA65" s="20" t="s">
        <v>546</v>
      </c>
      <c r="CB65" s="20" t="s">
        <v>546</v>
      </c>
      <c r="CC65" s="20" t="s">
        <v>546</v>
      </c>
      <c r="CD65" s="20" t="s">
        <v>546</v>
      </c>
      <c r="CE65" s="20" t="s">
        <v>546</v>
      </c>
      <c r="CF65" s="20" t="s">
        <v>546</v>
      </c>
      <c r="CG65" s="20" t="s">
        <v>546</v>
      </c>
      <c r="CH65" s="20" t="s">
        <v>546</v>
      </c>
      <c r="CI65" s="20" t="s">
        <v>546</v>
      </c>
      <c r="CJ65" s="20" t="s">
        <v>546</v>
      </c>
      <c r="CK65" s="20" t="s">
        <v>546</v>
      </c>
      <c r="CL65" s="20" t="s">
        <v>546</v>
      </c>
      <c r="CM65" s="20" t="s">
        <v>546</v>
      </c>
      <c r="CN65" s="20" t="s">
        <v>546</v>
      </c>
      <c r="CO65" s="20" t="s">
        <v>546</v>
      </c>
      <c r="CP65" s="20" t="s">
        <v>546</v>
      </c>
      <c r="CQ65" s="20" t="s">
        <v>546</v>
      </c>
      <c r="CR65" s="20" t="s">
        <v>546</v>
      </c>
      <c r="CS65" s="20" t="s">
        <v>546</v>
      </c>
      <c r="CT65" s="20" t="s">
        <v>546</v>
      </c>
      <c r="CU65" s="20" t="s">
        <v>546</v>
      </c>
      <c r="CV65" s="20" t="s">
        <v>546</v>
      </c>
      <c r="CW65" s="20" t="s">
        <v>546</v>
      </c>
      <c r="CX65" s="20" t="s">
        <v>546</v>
      </c>
      <c r="CY65" s="20" t="s">
        <v>546</v>
      </c>
      <c r="CZ65" s="20" t="s">
        <v>546</v>
      </c>
      <c r="DA65" s="20" t="s">
        <v>546</v>
      </c>
      <c r="DB65" s="20" t="s">
        <v>546</v>
      </c>
      <c r="DC65" s="20" t="s">
        <v>546</v>
      </c>
      <c r="DD65" s="20" t="s">
        <v>546</v>
      </c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14"/>
      <c r="FU65" s="14"/>
      <c r="FV65" s="14"/>
      <c r="FW65" s="14"/>
      <c r="FX65" s="14"/>
      <c r="FY65" s="14"/>
      <c r="FZ65" s="14"/>
      <c r="GA65" s="14"/>
      <c r="GB65" s="14"/>
      <c r="GC65" s="14"/>
      <c r="GD65" s="14"/>
      <c r="GE65" s="14"/>
      <c r="GF65" s="14"/>
      <c r="GG65" s="14"/>
      <c r="GH65" s="14"/>
      <c r="GI65" s="14"/>
      <c r="GJ65" s="14"/>
      <c r="GK65" s="14"/>
      <c r="GL65" s="14"/>
      <c r="GM65" s="14"/>
      <c r="GN65" s="14"/>
      <c r="GO65" s="14"/>
      <c r="GP65" s="14"/>
      <c r="GQ65" s="14"/>
      <c r="GR65" s="14"/>
      <c r="GS65" s="14"/>
      <c r="GT65" s="14"/>
      <c r="GU65" s="14"/>
      <c r="GV65" s="14"/>
      <c r="GW65" s="14"/>
      <c r="GX65" s="14"/>
      <c r="GY65" s="14"/>
      <c r="GZ65" s="14"/>
      <c r="HA65" s="14"/>
      <c r="HB65" s="14"/>
      <c r="HC65" s="14"/>
      <c r="HD65" s="14"/>
      <c r="HE65" s="14"/>
      <c r="HF65" s="14"/>
      <c r="HG65" s="14"/>
      <c r="HH65" s="14"/>
      <c r="HI65" s="14"/>
      <c r="HJ65" s="14"/>
      <c r="HK65" s="14"/>
      <c r="HL65" s="14"/>
      <c r="HM65" s="14"/>
      <c r="HN65" s="14"/>
      <c r="HO65" s="14"/>
      <c r="HP65" s="14"/>
      <c r="HQ65" s="14"/>
      <c r="HR65" s="14"/>
      <c r="HS65" s="14"/>
      <c r="HT65" s="14"/>
      <c r="HU65" s="14"/>
      <c r="HV65" s="14"/>
      <c r="HW65" s="14"/>
      <c r="HX65" s="14"/>
      <c r="HY65" s="14"/>
      <c r="HZ65" s="14"/>
      <c r="IA65" s="14"/>
      <c r="IB65" s="14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4"/>
      <c r="IN65" s="14"/>
      <c r="IO65" s="14"/>
    </row>
    <row r="66" spans="1:249">
      <c r="B66" s="145"/>
      <c r="E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5"/>
      <c r="FU66" s="15"/>
      <c r="FV66" s="15"/>
      <c r="FW66" s="15"/>
      <c r="FX66" s="15"/>
      <c r="FY66" s="15"/>
      <c r="FZ66" s="15"/>
      <c r="GA66" s="15"/>
      <c r="GB66" s="15"/>
      <c r="GC66" s="15"/>
      <c r="GD66" s="15"/>
      <c r="GE66" s="15"/>
      <c r="GF66" s="15"/>
      <c r="GG66" s="15"/>
      <c r="GH66" s="15"/>
      <c r="GI66" s="15"/>
      <c r="GJ66" s="15"/>
      <c r="GK66" s="15"/>
      <c r="GL66" s="15"/>
      <c r="GM66" s="15"/>
      <c r="GN66" s="15"/>
      <c r="GO66" s="15"/>
      <c r="GP66" s="15"/>
      <c r="GQ66" s="15"/>
      <c r="GR66" s="15"/>
      <c r="GS66" s="15"/>
      <c r="GT66" s="15"/>
      <c r="GU66" s="15"/>
      <c r="GV66" s="15"/>
      <c r="GW66" s="15"/>
      <c r="GX66" s="15"/>
      <c r="GY66" s="15"/>
      <c r="GZ66" s="15"/>
      <c r="HA66" s="15"/>
      <c r="HB66" s="15"/>
      <c r="HC66" s="15"/>
      <c r="HD66" s="15"/>
      <c r="HE66" s="15"/>
      <c r="HF66" s="15"/>
      <c r="HG66" s="15"/>
      <c r="HH66" s="15"/>
      <c r="HI66" s="15"/>
      <c r="HJ66" s="15"/>
      <c r="HK66" s="15"/>
      <c r="HL66" s="15"/>
      <c r="HM66" s="15"/>
      <c r="HN66" s="15"/>
      <c r="HO66" s="15"/>
      <c r="HP66" s="15"/>
      <c r="HQ66" s="15"/>
      <c r="HR66" s="15"/>
      <c r="HS66" s="15"/>
      <c r="HT66" s="15"/>
      <c r="HU66" s="15"/>
      <c r="HV66" s="15"/>
      <c r="HW66" s="15"/>
      <c r="HX66" s="15"/>
      <c r="HY66" s="15"/>
      <c r="HZ66" s="15"/>
      <c r="IA66" s="15"/>
      <c r="IB66" s="15"/>
      <c r="IC66" s="15"/>
      <c r="ID66" s="15"/>
      <c r="IE66" s="15"/>
      <c r="IF66" s="15"/>
      <c r="IG66" s="15"/>
      <c r="IH66" s="15"/>
      <c r="II66" s="15"/>
      <c r="IJ66" s="15"/>
      <c r="IK66" s="15"/>
      <c r="IL66" s="15"/>
      <c r="IM66" s="15"/>
      <c r="IN66" s="15"/>
      <c r="IO66" s="15"/>
    </row>
    <row r="67" spans="1:249">
      <c r="B67" s="145"/>
      <c r="E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5"/>
      <c r="FU67" s="15"/>
      <c r="FV67" s="15"/>
      <c r="FW67" s="15"/>
      <c r="FX67" s="15"/>
      <c r="FY67" s="15"/>
      <c r="FZ67" s="15"/>
      <c r="GA67" s="15"/>
      <c r="GB67" s="15"/>
      <c r="GC67" s="15"/>
      <c r="GD67" s="15"/>
      <c r="GE67" s="15"/>
      <c r="GF67" s="15"/>
      <c r="GG67" s="15"/>
      <c r="GH67" s="15"/>
      <c r="GI67" s="15"/>
      <c r="GJ67" s="15"/>
      <c r="GK67" s="15"/>
      <c r="GL67" s="15"/>
      <c r="GM67" s="15"/>
      <c r="GN67" s="15"/>
      <c r="GO67" s="15"/>
      <c r="GP67" s="15"/>
      <c r="GQ67" s="15"/>
      <c r="GR67" s="15"/>
      <c r="GS67" s="15"/>
      <c r="GT67" s="15"/>
      <c r="GU67" s="15"/>
      <c r="GV67" s="15"/>
      <c r="GW67" s="15"/>
      <c r="GX67" s="15"/>
      <c r="GY67" s="15"/>
      <c r="GZ67" s="15"/>
      <c r="HA67" s="15"/>
      <c r="HB67" s="15"/>
      <c r="HC67" s="15"/>
      <c r="HD67" s="15"/>
      <c r="HE67" s="15"/>
      <c r="HF67" s="15"/>
      <c r="HG67" s="15"/>
      <c r="HH67" s="15"/>
      <c r="HI67" s="15"/>
      <c r="HJ67" s="15"/>
      <c r="HK67" s="15"/>
      <c r="HL67" s="15"/>
      <c r="HM67" s="15"/>
      <c r="HN67" s="15"/>
      <c r="HO67" s="15"/>
      <c r="HP67" s="15"/>
      <c r="HQ67" s="15"/>
      <c r="HR67" s="15"/>
      <c r="HS67" s="15"/>
      <c r="HT67" s="15"/>
      <c r="HU67" s="15"/>
      <c r="HV67" s="15"/>
      <c r="HW67" s="15"/>
      <c r="HX67" s="15"/>
      <c r="HY67" s="15"/>
      <c r="HZ67" s="15"/>
      <c r="IA67" s="15"/>
      <c r="IB67" s="15"/>
      <c r="IC67" s="15"/>
      <c r="ID67" s="15"/>
      <c r="IE67" s="15"/>
      <c r="IF67" s="15"/>
      <c r="IG67" s="15"/>
      <c r="IH67" s="15"/>
      <c r="II67" s="15"/>
      <c r="IJ67" s="15"/>
      <c r="IK67" s="15"/>
      <c r="IL67" s="15"/>
      <c r="IM67" s="15"/>
      <c r="IN67" s="15"/>
      <c r="IO67" s="15"/>
    </row>
    <row r="68" spans="1:249">
      <c r="B68" s="145"/>
      <c r="E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  <c r="FU68" s="15"/>
      <c r="FV68" s="15"/>
      <c r="FW68" s="15"/>
      <c r="FX68" s="15"/>
      <c r="FY68" s="15"/>
      <c r="FZ68" s="15"/>
      <c r="GA68" s="15"/>
      <c r="GB68" s="15"/>
      <c r="GC68" s="15"/>
      <c r="GD68" s="15"/>
      <c r="GE68" s="15"/>
      <c r="GF68" s="15"/>
      <c r="GG68" s="15"/>
      <c r="GH68" s="15"/>
      <c r="GI68" s="15"/>
      <c r="GJ68" s="15"/>
      <c r="GK68" s="15"/>
      <c r="GL68" s="15"/>
      <c r="GM68" s="15"/>
      <c r="GN68" s="15"/>
      <c r="GO68" s="15"/>
      <c r="GP68" s="15"/>
      <c r="GQ68" s="15"/>
      <c r="GR68" s="15"/>
      <c r="GS68" s="15"/>
      <c r="GT68" s="15"/>
      <c r="GU68" s="15"/>
      <c r="GV68" s="15"/>
      <c r="GW68" s="15"/>
      <c r="GX68" s="15"/>
      <c r="GY68" s="15"/>
      <c r="GZ68" s="15"/>
      <c r="HA68" s="15"/>
      <c r="HB68" s="15"/>
      <c r="HC68" s="15"/>
      <c r="HD68" s="15"/>
      <c r="HE68" s="15"/>
      <c r="HF68" s="15"/>
      <c r="HG68" s="15"/>
      <c r="HH68" s="15"/>
      <c r="HI68" s="15"/>
      <c r="HJ68" s="15"/>
      <c r="HK68" s="15"/>
      <c r="HL68" s="15"/>
      <c r="HM68" s="15"/>
      <c r="HN68" s="15"/>
      <c r="HO68" s="15"/>
      <c r="HP68" s="15"/>
      <c r="HQ68" s="15"/>
      <c r="HR68" s="15"/>
      <c r="HS68" s="15"/>
      <c r="HT68" s="15"/>
      <c r="HU68" s="15"/>
      <c r="HV68" s="15"/>
      <c r="HW68" s="15"/>
      <c r="HX68" s="15"/>
      <c r="HY68" s="15"/>
      <c r="HZ68" s="15"/>
      <c r="IA68" s="15"/>
      <c r="IB68" s="15"/>
      <c r="IC68" s="15"/>
      <c r="ID68" s="15"/>
      <c r="IE68" s="15"/>
      <c r="IF68" s="15"/>
      <c r="IG68" s="15"/>
      <c r="IH68" s="15"/>
      <c r="II68" s="15"/>
      <c r="IJ68" s="15"/>
      <c r="IK68" s="15"/>
      <c r="IL68" s="15"/>
      <c r="IM68" s="15"/>
      <c r="IN68" s="15"/>
      <c r="IO68" s="15"/>
    </row>
    <row r="69" spans="1:249">
      <c r="B69" s="145"/>
      <c r="E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  <c r="FY69" s="15"/>
      <c r="FZ69" s="15"/>
      <c r="GA69" s="15"/>
      <c r="GB69" s="15"/>
      <c r="GC69" s="15"/>
      <c r="GD69" s="15"/>
      <c r="GE69" s="15"/>
      <c r="GF69" s="15"/>
      <c r="GG69" s="15"/>
      <c r="GH69" s="15"/>
      <c r="GI69" s="15"/>
      <c r="GJ69" s="15"/>
      <c r="GK69" s="15"/>
      <c r="GL69" s="15"/>
      <c r="GM69" s="15"/>
      <c r="GN69" s="15"/>
      <c r="GO69" s="15"/>
      <c r="GP69" s="15"/>
      <c r="GQ69" s="15"/>
      <c r="GR69" s="15"/>
      <c r="GS69" s="15"/>
      <c r="GT69" s="15"/>
      <c r="GU69" s="15"/>
      <c r="GV69" s="15"/>
      <c r="GW69" s="15"/>
      <c r="GX69" s="15"/>
      <c r="GY69" s="15"/>
      <c r="GZ69" s="15"/>
      <c r="HA69" s="15"/>
      <c r="HB69" s="15"/>
      <c r="HC69" s="15"/>
      <c r="HD69" s="15"/>
      <c r="HE69" s="15"/>
      <c r="HF69" s="15"/>
      <c r="HG69" s="15"/>
      <c r="HH69" s="15"/>
      <c r="HI69" s="15"/>
      <c r="HJ69" s="15"/>
      <c r="HK69" s="15"/>
      <c r="HL69" s="15"/>
      <c r="HM69" s="15"/>
      <c r="HN69" s="15"/>
      <c r="HO69" s="15"/>
      <c r="HP69" s="15"/>
      <c r="HQ69" s="15"/>
      <c r="HR69" s="15"/>
      <c r="HS69" s="15"/>
      <c r="HT69" s="15"/>
      <c r="HU69" s="15"/>
      <c r="HV69" s="15"/>
      <c r="HW69" s="15"/>
      <c r="HX69" s="15"/>
      <c r="HY69" s="15"/>
      <c r="HZ69" s="15"/>
      <c r="IA69" s="15"/>
      <c r="IB69" s="15"/>
      <c r="IC69" s="15"/>
      <c r="ID69" s="15"/>
      <c r="IE69" s="15"/>
      <c r="IF69" s="15"/>
      <c r="IG69" s="15"/>
      <c r="IH69" s="15"/>
      <c r="II69" s="15"/>
      <c r="IJ69" s="15"/>
      <c r="IK69" s="15"/>
      <c r="IL69" s="15"/>
      <c r="IM69" s="15"/>
      <c r="IN69" s="15"/>
      <c r="IO69" s="15"/>
    </row>
    <row r="70" spans="1:249">
      <c r="B70" s="145"/>
      <c r="E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  <c r="FU70" s="15"/>
      <c r="FV70" s="15"/>
      <c r="FW70" s="15"/>
      <c r="FX70" s="15"/>
      <c r="FY70" s="15"/>
      <c r="FZ70" s="15"/>
      <c r="GA70" s="15"/>
      <c r="GB70" s="15"/>
      <c r="GC70" s="15"/>
      <c r="GD70" s="15"/>
      <c r="GE70" s="15"/>
      <c r="GF70" s="15"/>
      <c r="GG70" s="15"/>
      <c r="GH70" s="15"/>
      <c r="GI70" s="15"/>
      <c r="GJ70" s="15"/>
      <c r="GK70" s="15"/>
      <c r="GL70" s="15"/>
      <c r="GM70" s="15"/>
      <c r="GN70" s="15"/>
      <c r="GO70" s="15"/>
      <c r="GP70" s="15"/>
      <c r="GQ70" s="15"/>
      <c r="GR70" s="15"/>
      <c r="GS70" s="15"/>
      <c r="GT70" s="15"/>
      <c r="GU70" s="15"/>
      <c r="GV70" s="15"/>
      <c r="GW70" s="15"/>
      <c r="GX70" s="15"/>
      <c r="GY70" s="15"/>
      <c r="GZ70" s="15"/>
      <c r="HA70" s="15"/>
      <c r="HB70" s="15"/>
      <c r="HC70" s="15"/>
      <c r="HD70" s="15"/>
      <c r="HE70" s="15"/>
      <c r="HF70" s="15"/>
      <c r="HG70" s="15"/>
      <c r="HH70" s="15"/>
      <c r="HI70" s="15"/>
      <c r="HJ70" s="15"/>
      <c r="HK70" s="15"/>
      <c r="HL70" s="15"/>
      <c r="HM70" s="15"/>
      <c r="HN70" s="15"/>
      <c r="HO70" s="15"/>
      <c r="HP70" s="15"/>
      <c r="HQ70" s="15"/>
      <c r="HR70" s="15"/>
      <c r="HS70" s="15"/>
      <c r="HT70" s="15"/>
      <c r="HU70" s="15"/>
      <c r="HV70" s="15"/>
      <c r="HW70" s="15"/>
      <c r="HX70" s="15"/>
      <c r="HY70" s="15"/>
      <c r="HZ70" s="15"/>
      <c r="IA70" s="15"/>
      <c r="IB70" s="15"/>
      <c r="IC70" s="15"/>
      <c r="ID70" s="15"/>
      <c r="IE70" s="15"/>
      <c r="IF70" s="15"/>
      <c r="IG70" s="15"/>
      <c r="IH70" s="15"/>
      <c r="II70" s="15"/>
      <c r="IJ70" s="15"/>
      <c r="IK70" s="15"/>
      <c r="IL70" s="15"/>
      <c r="IM70" s="15"/>
      <c r="IN70" s="15"/>
      <c r="IO70" s="15"/>
    </row>
    <row r="71" spans="1:249">
      <c r="B71" s="145"/>
      <c r="E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5"/>
      <c r="FU71" s="15"/>
      <c r="FV71" s="15"/>
      <c r="FW71" s="15"/>
      <c r="FX71" s="15"/>
      <c r="FY71" s="15"/>
      <c r="FZ71" s="15"/>
      <c r="GA71" s="15"/>
      <c r="GB71" s="15"/>
      <c r="GC71" s="15"/>
      <c r="GD71" s="15"/>
      <c r="GE71" s="15"/>
      <c r="GF71" s="15"/>
      <c r="GG71" s="15"/>
      <c r="GH71" s="15"/>
      <c r="GI71" s="15"/>
      <c r="GJ71" s="15"/>
      <c r="GK71" s="15"/>
      <c r="GL71" s="15"/>
      <c r="GM71" s="15"/>
      <c r="GN71" s="15"/>
      <c r="GO71" s="15"/>
      <c r="GP71" s="15"/>
      <c r="GQ71" s="15"/>
      <c r="GR71" s="15"/>
      <c r="GS71" s="15"/>
      <c r="GT71" s="15"/>
      <c r="GU71" s="15"/>
      <c r="GV71" s="15"/>
      <c r="GW71" s="15"/>
      <c r="GX71" s="15"/>
      <c r="GY71" s="15"/>
      <c r="GZ71" s="15"/>
      <c r="HA71" s="15"/>
      <c r="HB71" s="15"/>
      <c r="HC71" s="15"/>
      <c r="HD71" s="15"/>
      <c r="HE71" s="15"/>
      <c r="HF71" s="15"/>
      <c r="HG71" s="15"/>
      <c r="HH71" s="15"/>
      <c r="HI71" s="15"/>
      <c r="HJ71" s="15"/>
      <c r="HK71" s="15"/>
      <c r="HL71" s="15"/>
      <c r="HM71" s="15"/>
      <c r="HN71" s="15"/>
      <c r="HO71" s="15"/>
      <c r="HP71" s="15"/>
      <c r="HQ71" s="15"/>
      <c r="HR71" s="15"/>
      <c r="HS71" s="15"/>
      <c r="HT71" s="15"/>
      <c r="HU71" s="15"/>
      <c r="HV71" s="15"/>
      <c r="HW71" s="15"/>
      <c r="HX71" s="15"/>
      <c r="HY71" s="15"/>
      <c r="HZ71" s="15"/>
      <c r="IA71" s="15"/>
      <c r="IB71" s="15"/>
      <c r="IC71" s="15"/>
      <c r="ID71" s="15"/>
      <c r="IE71" s="15"/>
      <c r="IF71" s="15"/>
      <c r="IG71" s="15"/>
      <c r="IH71" s="15"/>
      <c r="II71" s="15"/>
      <c r="IJ71" s="15"/>
      <c r="IK71" s="15"/>
      <c r="IL71" s="15"/>
      <c r="IM71" s="15"/>
      <c r="IN71" s="15"/>
      <c r="IO71" s="15"/>
    </row>
    <row r="72" spans="1:249">
      <c r="B72" s="145"/>
      <c r="E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5"/>
      <c r="FU72" s="15"/>
      <c r="FV72" s="15"/>
      <c r="FW72" s="15"/>
      <c r="FX72" s="15"/>
      <c r="FY72" s="15"/>
      <c r="FZ72" s="15"/>
      <c r="GA72" s="15"/>
      <c r="GB72" s="15"/>
      <c r="GC72" s="15"/>
      <c r="GD72" s="15"/>
      <c r="GE72" s="15"/>
      <c r="GF72" s="15"/>
      <c r="GG72" s="15"/>
      <c r="GH72" s="15"/>
      <c r="GI72" s="15"/>
      <c r="GJ72" s="15"/>
      <c r="GK72" s="15"/>
      <c r="GL72" s="15"/>
      <c r="GM72" s="15"/>
      <c r="GN72" s="15"/>
      <c r="GO72" s="15"/>
      <c r="GP72" s="15"/>
      <c r="GQ72" s="15"/>
      <c r="GR72" s="15"/>
      <c r="GS72" s="15"/>
      <c r="GT72" s="15"/>
      <c r="GU72" s="15"/>
      <c r="GV72" s="15"/>
      <c r="GW72" s="15"/>
      <c r="GX72" s="15"/>
      <c r="GY72" s="15"/>
      <c r="GZ72" s="15"/>
      <c r="HA72" s="15"/>
      <c r="HB72" s="15"/>
      <c r="HC72" s="15"/>
      <c r="HD72" s="15"/>
      <c r="HE72" s="15"/>
      <c r="HF72" s="15"/>
      <c r="HG72" s="15"/>
      <c r="HH72" s="15"/>
      <c r="HI72" s="15"/>
      <c r="HJ72" s="15"/>
      <c r="HK72" s="15"/>
      <c r="HL72" s="15"/>
      <c r="HM72" s="15"/>
      <c r="HN72" s="15"/>
      <c r="HO72" s="15"/>
      <c r="HP72" s="15"/>
      <c r="HQ72" s="15"/>
      <c r="HR72" s="15"/>
      <c r="HS72" s="15"/>
      <c r="HT72" s="15"/>
      <c r="HU72" s="15"/>
      <c r="HV72" s="15"/>
      <c r="HW72" s="15"/>
      <c r="HX72" s="15"/>
      <c r="HY72" s="15"/>
      <c r="HZ72" s="15"/>
      <c r="IA72" s="15"/>
      <c r="IB72" s="15"/>
      <c r="IC72" s="15"/>
      <c r="ID72" s="15"/>
      <c r="IE72" s="15"/>
      <c r="IF72" s="15"/>
      <c r="IG72" s="15"/>
      <c r="IH72" s="15"/>
      <c r="II72" s="15"/>
      <c r="IJ72" s="15"/>
      <c r="IK72" s="15"/>
      <c r="IL72" s="15"/>
      <c r="IM72" s="15"/>
      <c r="IN72" s="15"/>
      <c r="IO72" s="15"/>
    </row>
    <row r="73" spans="1:249">
      <c r="B73" s="145"/>
      <c r="E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5"/>
      <c r="GG73" s="15"/>
      <c r="GH73" s="15"/>
      <c r="GI73" s="15"/>
      <c r="GJ73" s="15"/>
      <c r="GK73" s="15"/>
      <c r="GL73" s="15"/>
      <c r="GM73" s="15"/>
      <c r="GN73" s="15"/>
      <c r="GO73" s="15"/>
      <c r="GP73" s="15"/>
      <c r="GQ73" s="15"/>
      <c r="GR73" s="15"/>
      <c r="GS73" s="15"/>
      <c r="GT73" s="15"/>
      <c r="GU73" s="15"/>
      <c r="GV73" s="15"/>
      <c r="GW73" s="15"/>
      <c r="GX73" s="15"/>
      <c r="GY73" s="15"/>
      <c r="GZ73" s="15"/>
      <c r="HA73" s="15"/>
      <c r="HB73" s="15"/>
      <c r="HC73" s="15"/>
      <c r="HD73" s="15"/>
      <c r="HE73" s="15"/>
      <c r="HF73" s="15"/>
      <c r="HG73" s="15"/>
      <c r="HH73" s="15"/>
      <c r="HI73" s="15"/>
      <c r="HJ73" s="15"/>
      <c r="HK73" s="15"/>
      <c r="HL73" s="15"/>
      <c r="HM73" s="15"/>
      <c r="HN73" s="15"/>
      <c r="HO73" s="15"/>
      <c r="HP73" s="15"/>
      <c r="HQ73" s="15"/>
      <c r="HR73" s="15"/>
      <c r="HS73" s="15"/>
      <c r="HT73" s="15"/>
      <c r="HU73" s="15"/>
      <c r="HV73" s="15"/>
      <c r="HW73" s="15"/>
      <c r="HX73" s="15"/>
      <c r="HY73" s="15"/>
      <c r="HZ73" s="15"/>
      <c r="IA73" s="15"/>
      <c r="IB73" s="15"/>
      <c r="IC73" s="15"/>
      <c r="ID73" s="15"/>
      <c r="IE73" s="15"/>
      <c r="IF73" s="15"/>
      <c r="IG73" s="15"/>
      <c r="IH73" s="15"/>
      <c r="II73" s="15"/>
      <c r="IJ73" s="15"/>
      <c r="IK73" s="15"/>
      <c r="IL73" s="15"/>
      <c r="IM73" s="15"/>
      <c r="IN73" s="15"/>
      <c r="IO73" s="15"/>
    </row>
    <row r="74" spans="1:249">
      <c r="B74" s="145"/>
      <c r="E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  <c r="FU74" s="15"/>
      <c r="FV74" s="15"/>
      <c r="FW74" s="15"/>
      <c r="FX74" s="15"/>
      <c r="FY74" s="15"/>
      <c r="FZ74" s="15"/>
      <c r="GA74" s="15"/>
      <c r="GB74" s="15"/>
      <c r="GC74" s="15"/>
      <c r="GD74" s="15"/>
      <c r="GE74" s="15"/>
      <c r="GF74" s="15"/>
      <c r="GG74" s="15"/>
      <c r="GH74" s="15"/>
      <c r="GI74" s="15"/>
      <c r="GJ74" s="15"/>
      <c r="GK74" s="15"/>
      <c r="GL74" s="15"/>
      <c r="GM74" s="15"/>
      <c r="GN74" s="15"/>
      <c r="GO74" s="15"/>
      <c r="GP74" s="15"/>
      <c r="GQ74" s="15"/>
      <c r="GR74" s="15"/>
      <c r="GS74" s="15"/>
      <c r="GT74" s="15"/>
      <c r="GU74" s="15"/>
      <c r="GV74" s="15"/>
      <c r="GW74" s="15"/>
      <c r="GX74" s="15"/>
      <c r="GY74" s="15"/>
      <c r="GZ74" s="15"/>
      <c r="HA74" s="15"/>
      <c r="HB74" s="15"/>
      <c r="HC74" s="15"/>
      <c r="HD74" s="15"/>
      <c r="HE74" s="15"/>
      <c r="HF74" s="15"/>
      <c r="HG74" s="15"/>
      <c r="HH74" s="15"/>
      <c r="HI74" s="15"/>
      <c r="HJ74" s="15"/>
      <c r="HK74" s="15"/>
      <c r="HL74" s="15"/>
      <c r="HM74" s="15"/>
      <c r="HN74" s="15"/>
      <c r="HO74" s="15"/>
      <c r="HP74" s="15"/>
      <c r="HQ74" s="15"/>
      <c r="HR74" s="15"/>
      <c r="HS74" s="15"/>
      <c r="HT74" s="15"/>
      <c r="HU74" s="15"/>
      <c r="HV74" s="15"/>
      <c r="HW74" s="15"/>
      <c r="HX74" s="15"/>
      <c r="HY74" s="15"/>
      <c r="HZ74" s="15"/>
      <c r="IA74" s="15"/>
      <c r="IB74" s="15"/>
      <c r="IC74" s="15"/>
      <c r="ID74" s="15"/>
      <c r="IE74" s="15"/>
      <c r="IF74" s="15"/>
      <c r="IG74" s="15"/>
      <c r="IH74" s="15"/>
      <c r="II74" s="15"/>
      <c r="IJ74" s="15"/>
      <c r="IK74" s="15"/>
      <c r="IL74" s="15"/>
      <c r="IM74" s="15"/>
      <c r="IN74" s="15"/>
      <c r="IO74" s="15"/>
    </row>
    <row r="75" spans="1:249">
      <c r="B75" s="145"/>
      <c r="E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5"/>
      <c r="FU75" s="15"/>
      <c r="FV75" s="15"/>
      <c r="FW75" s="15"/>
      <c r="FX75" s="15"/>
      <c r="FY75" s="15"/>
      <c r="FZ75" s="15"/>
      <c r="GA75" s="15"/>
      <c r="GB75" s="15"/>
      <c r="GC75" s="15"/>
      <c r="GD75" s="15"/>
      <c r="GE75" s="15"/>
      <c r="GF75" s="15"/>
      <c r="GG75" s="15"/>
      <c r="GH75" s="15"/>
      <c r="GI75" s="15"/>
      <c r="GJ75" s="15"/>
      <c r="GK75" s="15"/>
      <c r="GL75" s="15"/>
      <c r="GM75" s="15"/>
      <c r="GN75" s="15"/>
      <c r="GO75" s="15"/>
      <c r="GP75" s="15"/>
      <c r="GQ75" s="15"/>
      <c r="GR75" s="15"/>
      <c r="GS75" s="15"/>
      <c r="GT75" s="15"/>
      <c r="GU75" s="15"/>
      <c r="GV75" s="15"/>
      <c r="GW75" s="15"/>
      <c r="GX75" s="15"/>
      <c r="GY75" s="15"/>
      <c r="GZ75" s="15"/>
      <c r="HA75" s="15"/>
      <c r="HB75" s="15"/>
      <c r="HC75" s="15"/>
      <c r="HD75" s="15"/>
      <c r="HE75" s="15"/>
      <c r="HF75" s="15"/>
      <c r="HG75" s="15"/>
      <c r="HH75" s="15"/>
      <c r="HI75" s="15"/>
      <c r="HJ75" s="15"/>
      <c r="HK75" s="15"/>
      <c r="HL75" s="15"/>
      <c r="HM75" s="15"/>
      <c r="HN75" s="15"/>
      <c r="HO75" s="15"/>
      <c r="HP75" s="15"/>
      <c r="HQ75" s="15"/>
      <c r="HR75" s="15"/>
      <c r="HS75" s="15"/>
      <c r="HT75" s="15"/>
      <c r="HU75" s="15"/>
      <c r="HV75" s="15"/>
      <c r="HW75" s="15"/>
      <c r="HX75" s="15"/>
      <c r="HY75" s="15"/>
      <c r="HZ75" s="15"/>
      <c r="IA75" s="15"/>
      <c r="IB75" s="15"/>
      <c r="IC75" s="15"/>
      <c r="ID75" s="15"/>
      <c r="IE75" s="15"/>
      <c r="IF75" s="15"/>
      <c r="IG75" s="15"/>
      <c r="IH75" s="15"/>
      <c r="II75" s="15"/>
      <c r="IJ75" s="15"/>
      <c r="IK75" s="15"/>
      <c r="IL75" s="15"/>
      <c r="IM75" s="15"/>
      <c r="IN75" s="15"/>
      <c r="IO75" s="15"/>
    </row>
    <row r="76" spans="1:249">
      <c r="B76" s="145"/>
      <c r="E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5"/>
      <c r="GL76" s="15"/>
      <c r="GM76" s="15"/>
      <c r="GN76" s="15"/>
      <c r="GO76" s="15"/>
      <c r="GP76" s="15"/>
      <c r="GQ76" s="15"/>
      <c r="GR76" s="15"/>
      <c r="GS76" s="15"/>
      <c r="GT76" s="15"/>
      <c r="GU76" s="15"/>
      <c r="GV76" s="15"/>
      <c r="GW76" s="15"/>
      <c r="GX76" s="15"/>
      <c r="GY76" s="15"/>
      <c r="GZ76" s="15"/>
      <c r="HA76" s="15"/>
      <c r="HB76" s="15"/>
      <c r="HC76" s="15"/>
      <c r="HD76" s="15"/>
      <c r="HE76" s="15"/>
      <c r="HF76" s="15"/>
      <c r="HG76" s="15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  <c r="HW76" s="15"/>
      <c r="HX76" s="15"/>
      <c r="HY76" s="15"/>
      <c r="HZ76" s="15"/>
      <c r="IA76" s="15"/>
      <c r="IB76" s="15"/>
      <c r="IC76" s="15"/>
      <c r="ID76" s="15"/>
      <c r="IE76" s="15"/>
      <c r="IF76" s="15"/>
      <c r="IG76" s="15"/>
      <c r="IH76" s="15"/>
      <c r="II76" s="15"/>
      <c r="IJ76" s="15"/>
      <c r="IK76" s="15"/>
      <c r="IL76" s="15"/>
      <c r="IM76" s="15"/>
      <c r="IN76" s="15"/>
      <c r="IO76" s="15"/>
    </row>
    <row r="77" spans="1:249">
      <c r="B77" s="145"/>
      <c r="E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</row>
    <row r="78" spans="1:249">
      <c r="B78" s="145"/>
      <c r="E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5"/>
      <c r="GL78" s="15"/>
      <c r="GM78" s="15"/>
      <c r="GN78" s="15"/>
      <c r="GO78" s="15"/>
      <c r="GP78" s="15"/>
      <c r="GQ78" s="15"/>
      <c r="GR78" s="15"/>
      <c r="GS78" s="15"/>
      <c r="GT78" s="15"/>
      <c r="GU78" s="15"/>
      <c r="GV78" s="15"/>
      <c r="GW78" s="15"/>
      <c r="GX78" s="15"/>
      <c r="GY78" s="15"/>
      <c r="GZ78" s="15"/>
      <c r="HA78" s="15"/>
      <c r="HB78" s="15"/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  <c r="HW78" s="15"/>
      <c r="HX78" s="15"/>
      <c r="HY78" s="15"/>
      <c r="HZ78" s="15"/>
      <c r="IA78" s="15"/>
      <c r="IB78" s="15"/>
      <c r="IC78" s="15"/>
      <c r="ID78" s="15"/>
      <c r="IE78" s="15"/>
      <c r="IF78" s="15"/>
      <c r="IG78" s="15"/>
      <c r="IH78" s="15"/>
      <c r="II78" s="15"/>
      <c r="IJ78" s="15"/>
      <c r="IK78" s="15"/>
      <c r="IL78" s="15"/>
      <c r="IM78" s="15"/>
      <c r="IN78" s="15"/>
      <c r="IO78" s="15"/>
    </row>
    <row r="79" spans="1:249">
      <c r="B79" s="145"/>
      <c r="E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  <c r="FY79" s="15"/>
      <c r="FZ79" s="15"/>
      <c r="GA79" s="15"/>
      <c r="GB79" s="15"/>
      <c r="GC79" s="15"/>
      <c r="GD79" s="15"/>
      <c r="GE79" s="15"/>
      <c r="GF79" s="15"/>
      <c r="GG79" s="15"/>
      <c r="GH79" s="15"/>
      <c r="GI79" s="15"/>
      <c r="GJ79" s="15"/>
      <c r="GK79" s="15"/>
      <c r="GL79" s="15"/>
      <c r="GM79" s="15"/>
      <c r="GN79" s="15"/>
      <c r="GO79" s="15"/>
      <c r="GP79" s="15"/>
      <c r="GQ79" s="15"/>
      <c r="GR79" s="15"/>
      <c r="GS79" s="15"/>
      <c r="GT79" s="15"/>
      <c r="GU79" s="15"/>
      <c r="GV79" s="15"/>
      <c r="GW79" s="15"/>
      <c r="GX79" s="15"/>
      <c r="GY79" s="15"/>
      <c r="GZ79" s="15"/>
      <c r="HA79" s="15"/>
      <c r="HB79" s="15"/>
      <c r="HC79" s="15"/>
      <c r="HD79" s="15"/>
      <c r="HE79" s="15"/>
      <c r="HF79" s="15"/>
      <c r="HG79" s="15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  <c r="HW79" s="15"/>
      <c r="HX79" s="15"/>
      <c r="HY79" s="15"/>
      <c r="HZ79" s="15"/>
      <c r="IA79" s="15"/>
      <c r="IB79" s="15"/>
      <c r="IC79" s="15"/>
      <c r="ID79" s="15"/>
      <c r="IE79" s="15"/>
      <c r="IF79" s="15"/>
      <c r="IG79" s="15"/>
      <c r="IH79" s="15"/>
      <c r="II79" s="15"/>
      <c r="IJ79" s="15"/>
      <c r="IK79" s="15"/>
      <c r="IL79" s="15"/>
      <c r="IM79" s="15"/>
      <c r="IN79" s="15"/>
      <c r="IO79" s="15"/>
    </row>
    <row r="80" spans="1:249">
      <c r="B80" s="145"/>
      <c r="E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  <c r="FY80" s="15"/>
      <c r="FZ80" s="15"/>
      <c r="GA80" s="15"/>
      <c r="GB80" s="15"/>
      <c r="GC80" s="15"/>
      <c r="GD80" s="15"/>
      <c r="GE80" s="15"/>
      <c r="GF80" s="15"/>
      <c r="GG80" s="15"/>
      <c r="GH80" s="15"/>
      <c r="GI80" s="15"/>
      <c r="GJ80" s="15"/>
      <c r="GK80" s="15"/>
      <c r="GL80" s="15"/>
      <c r="GM80" s="15"/>
      <c r="GN80" s="15"/>
      <c r="GO80" s="15"/>
      <c r="GP80" s="15"/>
      <c r="GQ80" s="15"/>
      <c r="GR80" s="15"/>
      <c r="GS80" s="15"/>
      <c r="GT80" s="15"/>
      <c r="GU80" s="15"/>
      <c r="GV80" s="15"/>
      <c r="GW80" s="15"/>
      <c r="GX80" s="15"/>
      <c r="GY80" s="15"/>
      <c r="GZ80" s="15"/>
      <c r="HA80" s="15"/>
      <c r="HB80" s="15"/>
      <c r="HC80" s="15"/>
      <c r="HD80" s="15"/>
      <c r="HE80" s="15"/>
      <c r="HF80" s="15"/>
      <c r="HG80" s="15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  <c r="HW80" s="15"/>
      <c r="HX80" s="15"/>
      <c r="HY80" s="15"/>
      <c r="HZ80" s="15"/>
      <c r="IA80" s="15"/>
      <c r="IB80" s="15"/>
      <c r="IC80" s="15"/>
      <c r="ID80" s="15"/>
      <c r="IE80" s="15"/>
      <c r="IF80" s="15"/>
      <c r="IG80" s="15"/>
      <c r="IH80" s="15"/>
      <c r="II80" s="15"/>
      <c r="IJ80" s="15"/>
      <c r="IK80" s="15"/>
      <c r="IL80" s="15"/>
      <c r="IM80" s="15"/>
      <c r="IN80" s="15"/>
      <c r="IO80" s="15"/>
    </row>
    <row r="81" spans="2:249">
      <c r="B81" s="145"/>
      <c r="E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  <c r="FY81" s="15"/>
      <c r="FZ81" s="15"/>
      <c r="GA81" s="15"/>
      <c r="GB81" s="15"/>
      <c r="GC81" s="15"/>
      <c r="GD81" s="15"/>
      <c r="GE81" s="15"/>
      <c r="GF81" s="15"/>
      <c r="GG81" s="15"/>
      <c r="GH81" s="15"/>
      <c r="GI81" s="15"/>
      <c r="GJ81" s="15"/>
      <c r="GK81" s="15"/>
      <c r="GL81" s="15"/>
      <c r="GM81" s="15"/>
      <c r="GN81" s="15"/>
      <c r="GO81" s="15"/>
      <c r="GP81" s="15"/>
      <c r="GQ81" s="15"/>
      <c r="GR81" s="15"/>
      <c r="GS81" s="15"/>
      <c r="GT81" s="15"/>
      <c r="GU81" s="15"/>
      <c r="GV81" s="15"/>
      <c r="GW81" s="15"/>
      <c r="GX81" s="15"/>
      <c r="GY81" s="15"/>
      <c r="GZ81" s="15"/>
      <c r="HA81" s="15"/>
      <c r="HB81" s="15"/>
      <c r="HC81" s="15"/>
      <c r="HD81" s="15"/>
      <c r="HE81" s="15"/>
      <c r="HF81" s="15"/>
      <c r="HG81" s="15"/>
      <c r="HH81" s="15"/>
      <c r="HI81" s="15"/>
      <c r="HJ81" s="15"/>
      <c r="HK81" s="15"/>
      <c r="HL81" s="15"/>
      <c r="HM81" s="15"/>
      <c r="HN81" s="15"/>
      <c r="HO81" s="15"/>
      <c r="HP81" s="15"/>
      <c r="HQ81" s="15"/>
      <c r="HR81" s="15"/>
      <c r="HS81" s="15"/>
      <c r="HT81" s="15"/>
      <c r="HU81" s="15"/>
      <c r="HV81" s="15"/>
      <c r="HW81" s="15"/>
      <c r="HX81" s="15"/>
      <c r="HY81" s="15"/>
      <c r="HZ81" s="15"/>
      <c r="IA81" s="15"/>
      <c r="IB81" s="15"/>
      <c r="IC81" s="15"/>
      <c r="ID81" s="15"/>
      <c r="IE81" s="15"/>
      <c r="IF81" s="15"/>
      <c r="IG81" s="15"/>
      <c r="IH81" s="15"/>
      <c r="II81" s="15"/>
      <c r="IJ81" s="15"/>
      <c r="IK81" s="15"/>
      <c r="IL81" s="15"/>
      <c r="IM81" s="15"/>
      <c r="IN81" s="15"/>
      <c r="IO81" s="15"/>
    </row>
    <row r="82" spans="2:249">
      <c r="B82" s="145"/>
      <c r="E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  <c r="FY82" s="15"/>
      <c r="FZ82" s="15"/>
      <c r="GA82" s="15"/>
      <c r="GB82" s="15"/>
      <c r="GC82" s="15"/>
      <c r="GD82" s="15"/>
      <c r="GE82" s="15"/>
      <c r="GF82" s="15"/>
      <c r="GG82" s="15"/>
      <c r="GH82" s="15"/>
      <c r="GI82" s="15"/>
      <c r="GJ82" s="15"/>
      <c r="GK82" s="15"/>
      <c r="GL82" s="15"/>
      <c r="GM82" s="15"/>
      <c r="GN82" s="15"/>
      <c r="GO82" s="15"/>
      <c r="GP82" s="15"/>
      <c r="GQ82" s="15"/>
      <c r="GR82" s="15"/>
      <c r="GS82" s="15"/>
      <c r="GT82" s="15"/>
      <c r="GU82" s="15"/>
      <c r="GV82" s="15"/>
      <c r="GW82" s="15"/>
      <c r="GX82" s="15"/>
      <c r="GY82" s="15"/>
      <c r="GZ82" s="15"/>
      <c r="HA82" s="15"/>
      <c r="HB82" s="15"/>
      <c r="HC82" s="15"/>
      <c r="HD82" s="15"/>
      <c r="HE82" s="15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  <c r="HW82" s="15"/>
      <c r="HX82" s="15"/>
      <c r="HY82" s="15"/>
      <c r="HZ82" s="15"/>
      <c r="IA82" s="15"/>
      <c r="IB82" s="15"/>
      <c r="IC82" s="15"/>
      <c r="ID82" s="15"/>
      <c r="IE82" s="15"/>
      <c r="IF82" s="15"/>
      <c r="IG82" s="15"/>
      <c r="IH82" s="15"/>
      <c r="II82" s="15"/>
      <c r="IJ82" s="15"/>
      <c r="IK82" s="15"/>
      <c r="IL82" s="15"/>
      <c r="IM82" s="15"/>
      <c r="IN82" s="15"/>
      <c r="IO82" s="15"/>
    </row>
    <row r="83" spans="2:249">
      <c r="B83" s="145"/>
      <c r="E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5"/>
      <c r="FU83" s="15"/>
      <c r="FV83" s="15"/>
      <c r="FW83" s="15"/>
      <c r="FX83" s="15"/>
      <c r="FY83" s="15"/>
      <c r="FZ83" s="15"/>
      <c r="GA83" s="15"/>
      <c r="GB83" s="15"/>
      <c r="GC83" s="15"/>
      <c r="GD83" s="15"/>
      <c r="GE83" s="15"/>
      <c r="GF83" s="15"/>
      <c r="GG83" s="15"/>
      <c r="GH83" s="15"/>
      <c r="GI83" s="15"/>
      <c r="GJ83" s="15"/>
      <c r="GK83" s="15"/>
      <c r="GL83" s="15"/>
      <c r="GM83" s="15"/>
      <c r="GN83" s="15"/>
      <c r="GO83" s="15"/>
      <c r="GP83" s="15"/>
      <c r="GQ83" s="15"/>
      <c r="GR83" s="15"/>
      <c r="GS83" s="15"/>
      <c r="GT83" s="15"/>
      <c r="GU83" s="15"/>
      <c r="GV83" s="15"/>
      <c r="GW83" s="15"/>
      <c r="GX83" s="15"/>
      <c r="GY83" s="15"/>
      <c r="GZ83" s="15"/>
      <c r="HA83" s="15"/>
      <c r="HB83" s="15"/>
      <c r="HC83" s="15"/>
      <c r="HD83" s="15"/>
      <c r="HE83" s="15"/>
      <c r="HF83" s="15"/>
      <c r="HG83" s="15"/>
      <c r="HH83" s="15"/>
      <c r="HI83" s="15"/>
      <c r="HJ83" s="15"/>
      <c r="HK83" s="15"/>
      <c r="HL83" s="15"/>
      <c r="HM83" s="15"/>
      <c r="HN83" s="15"/>
      <c r="HO83" s="15"/>
      <c r="HP83" s="15"/>
      <c r="HQ83" s="15"/>
      <c r="HR83" s="15"/>
      <c r="HS83" s="15"/>
      <c r="HT83" s="15"/>
      <c r="HU83" s="15"/>
      <c r="HV83" s="15"/>
      <c r="HW83" s="15"/>
      <c r="HX83" s="15"/>
      <c r="HY83" s="15"/>
      <c r="HZ83" s="15"/>
      <c r="IA83" s="15"/>
      <c r="IB83" s="15"/>
      <c r="IC83" s="15"/>
      <c r="ID83" s="15"/>
      <c r="IE83" s="15"/>
      <c r="IF83" s="15"/>
      <c r="IG83" s="15"/>
      <c r="IH83" s="15"/>
      <c r="II83" s="15"/>
      <c r="IJ83" s="15"/>
      <c r="IK83" s="15"/>
      <c r="IL83" s="15"/>
      <c r="IM83" s="15"/>
      <c r="IN83" s="15"/>
      <c r="IO83" s="15"/>
    </row>
    <row r="84" spans="2:249">
      <c r="B84" s="145"/>
      <c r="E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/>
      <c r="GG84" s="15"/>
      <c r="GH84" s="15"/>
      <c r="GI84" s="15"/>
      <c r="GJ84" s="15"/>
      <c r="GK84" s="15"/>
      <c r="GL84" s="15"/>
      <c r="GM84" s="15"/>
      <c r="GN84" s="15"/>
      <c r="GO84" s="15"/>
      <c r="GP84" s="15"/>
      <c r="GQ84" s="15"/>
      <c r="GR84" s="15"/>
      <c r="GS84" s="15"/>
      <c r="GT84" s="15"/>
      <c r="GU84" s="15"/>
      <c r="GV84" s="15"/>
      <c r="GW84" s="15"/>
      <c r="GX84" s="15"/>
      <c r="GY84" s="15"/>
      <c r="GZ84" s="15"/>
      <c r="HA84" s="15"/>
      <c r="HB84" s="15"/>
      <c r="HC84" s="15"/>
      <c r="HD84" s="15"/>
      <c r="HE84" s="15"/>
      <c r="HF84" s="15"/>
      <c r="HG84" s="15"/>
      <c r="HH84" s="15"/>
      <c r="HI84" s="15"/>
      <c r="HJ84" s="15"/>
      <c r="HK84" s="15"/>
      <c r="HL84" s="15"/>
      <c r="HM84" s="15"/>
      <c r="HN84" s="15"/>
      <c r="HO84" s="15"/>
      <c r="HP84" s="15"/>
      <c r="HQ84" s="15"/>
      <c r="HR84" s="15"/>
      <c r="HS84" s="15"/>
      <c r="HT84" s="15"/>
      <c r="HU84" s="15"/>
      <c r="HV84" s="15"/>
      <c r="HW84" s="15"/>
      <c r="HX84" s="15"/>
      <c r="HY84" s="15"/>
      <c r="HZ84" s="15"/>
      <c r="IA84" s="15"/>
      <c r="IB84" s="15"/>
      <c r="IC84" s="15"/>
      <c r="ID84" s="15"/>
      <c r="IE84" s="15"/>
      <c r="IF84" s="15"/>
      <c r="IG84" s="15"/>
      <c r="IH84" s="15"/>
      <c r="II84" s="15"/>
      <c r="IJ84" s="15"/>
      <c r="IK84" s="15"/>
      <c r="IL84" s="15"/>
      <c r="IM84" s="15"/>
      <c r="IN84" s="15"/>
      <c r="IO84" s="15"/>
    </row>
    <row r="85" spans="2:249">
      <c r="B85" s="145"/>
      <c r="E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  <c r="FO85" s="15"/>
      <c r="FP85" s="15"/>
      <c r="FQ85" s="15"/>
      <c r="FR85" s="15"/>
      <c r="FS85" s="15"/>
      <c r="FT85" s="15"/>
      <c r="FU85" s="15"/>
      <c r="FV85" s="15"/>
      <c r="FW85" s="15"/>
      <c r="FX85" s="15"/>
      <c r="FY85" s="15"/>
      <c r="FZ85" s="15"/>
      <c r="GA85" s="15"/>
      <c r="GB85" s="15"/>
      <c r="GC85" s="15"/>
      <c r="GD85" s="15"/>
      <c r="GE85" s="15"/>
      <c r="GF85" s="15"/>
      <c r="GG85" s="15"/>
      <c r="GH85" s="15"/>
      <c r="GI85" s="15"/>
      <c r="GJ85" s="15"/>
      <c r="GK85" s="15"/>
      <c r="GL85" s="15"/>
      <c r="GM85" s="15"/>
      <c r="GN85" s="15"/>
      <c r="GO85" s="15"/>
      <c r="GP85" s="15"/>
      <c r="GQ85" s="15"/>
      <c r="GR85" s="15"/>
      <c r="GS85" s="15"/>
      <c r="GT85" s="15"/>
      <c r="GU85" s="15"/>
      <c r="GV85" s="15"/>
      <c r="GW85" s="15"/>
      <c r="GX85" s="15"/>
      <c r="GY85" s="15"/>
      <c r="GZ85" s="15"/>
      <c r="HA85" s="15"/>
      <c r="HB85" s="15"/>
      <c r="HC85" s="15"/>
      <c r="HD85" s="15"/>
      <c r="HE85" s="15"/>
      <c r="HF85" s="15"/>
      <c r="HG85" s="15"/>
      <c r="HH85" s="15"/>
      <c r="HI85" s="15"/>
      <c r="HJ85" s="15"/>
      <c r="HK85" s="15"/>
      <c r="HL85" s="15"/>
      <c r="HM85" s="15"/>
      <c r="HN85" s="15"/>
      <c r="HO85" s="15"/>
      <c r="HP85" s="15"/>
      <c r="HQ85" s="15"/>
      <c r="HR85" s="15"/>
      <c r="HS85" s="15"/>
      <c r="HT85" s="15"/>
      <c r="HU85" s="15"/>
      <c r="HV85" s="15"/>
      <c r="HW85" s="15"/>
      <c r="HX85" s="15"/>
      <c r="HY85" s="15"/>
      <c r="HZ85" s="15"/>
      <c r="IA85" s="15"/>
      <c r="IB85" s="15"/>
      <c r="IC85" s="15"/>
      <c r="ID85" s="15"/>
      <c r="IE85" s="15"/>
      <c r="IF85" s="15"/>
      <c r="IG85" s="15"/>
      <c r="IH85" s="15"/>
      <c r="II85" s="15"/>
      <c r="IJ85" s="15"/>
      <c r="IK85" s="15"/>
      <c r="IL85" s="15"/>
      <c r="IM85" s="15"/>
      <c r="IN85" s="15"/>
      <c r="IO85" s="15"/>
    </row>
    <row r="86" spans="2:249">
      <c r="B86" s="145"/>
      <c r="E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5"/>
      <c r="FU86" s="15"/>
      <c r="FV86" s="15"/>
      <c r="FW86" s="15"/>
      <c r="FX86" s="15"/>
      <c r="FY86" s="15"/>
      <c r="FZ86" s="15"/>
      <c r="GA86" s="15"/>
      <c r="GB86" s="15"/>
      <c r="GC86" s="15"/>
      <c r="GD86" s="15"/>
      <c r="GE86" s="15"/>
      <c r="GF86" s="15"/>
      <c r="GG86" s="15"/>
      <c r="GH86" s="15"/>
      <c r="GI86" s="15"/>
      <c r="GJ86" s="15"/>
      <c r="GK86" s="15"/>
      <c r="GL86" s="15"/>
      <c r="GM86" s="15"/>
      <c r="GN86" s="15"/>
      <c r="GO86" s="15"/>
      <c r="GP86" s="15"/>
      <c r="GQ86" s="15"/>
      <c r="GR86" s="15"/>
      <c r="GS86" s="15"/>
      <c r="GT86" s="15"/>
      <c r="GU86" s="15"/>
      <c r="GV86" s="15"/>
      <c r="GW86" s="15"/>
      <c r="GX86" s="15"/>
      <c r="GY86" s="15"/>
      <c r="GZ86" s="15"/>
      <c r="HA86" s="15"/>
      <c r="HB86" s="15"/>
      <c r="HC86" s="15"/>
      <c r="HD86" s="15"/>
      <c r="HE86" s="15"/>
      <c r="HF86" s="15"/>
      <c r="HG86" s="15"/>
      <c r="HH86" s="15"/>
      <c r="HI86" s="15"/>
      <c r="HJ86" s="15"/>
      <c r="HK86" s="15"/>
      <c r="HL86" s="15"/>
      <c r="HM86" s="15"/>
      <c r="HN86" s="15"/>
      <c r="HO86" s="15"/>
      <c r="HP86" s="15"/>
      <c r="HQ86" s="15"/>
      <c r="HR86" s="15"/>
      <c r="HS86" s="15"/>
      <c r="HT86" s="15"/>
      <c r="HU86" s="15"/>
      <c r="HV86" s="15"/>
      <c r="HW86" s="15"/>
      <c r="HX86" s="15"/>
      <c r="HY86" s="15"/>
      <c r="HZ86" s="15"/>
      <c r="IA86" s="15"/>
      <c r="IB86" s="15"/>
      <c r="IC86" s="15"/>
      <c r="ID86" s="15"/>
      <c r="IE86" s="15"/>
      <c r="IF86" s="15"/>
      <c r="IG86" s="15"/>
      <c r="IH86" s="15"/>
      <c r="II86" s="15"/>
      <c r="IJ86" s="15"/>
      <c r="IK86" s="15"/>
      <c r="IL86" s="15"/>
      <c r="IM86" s="15"/>
      <c r="IN86" s="15"/>
      <c r="IO86" s="15"/>
    </row>
    <row r="87" spans="2:249">
      <c r="B87" s="145"/>
      <c r="E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5"/>
      <c r="FU87" s="15"/>
      <c r="FV87" s="15"/>
      <c r="FW87" s="15"/>
      <c r="FX87" s="15"/>
      <c r="FY87" s="15"/>
      <c r="FZ87" s="15"/>
      <c r="GA87" s="15"/>
      <c r="GB87" s="15"/>
      <c r="GC87" s="15"/>
      <c r="GD87" s="15"/>
      <c r="GE87" s="15"/>
      <c r="GF87" s="15"/>
      <c r="GG87" s="15"/>
      <c r="GH87" s="15"/>
      <c r="GI87" s="15"/>
      <c r="GJ87" s="15"/>
      <c r="GK87" s="15"/>
      <c r="GL87" s="15"/>
      <c r="GM87" s="15"/>
      <c r="GN87" s="15"/>
      <c r="GO87" s="15"/>
      <c r="GP87" s="15"/>
      <c r="GQ87" s="15"/>
      <c r="GR87" s="15"/>
      <c r="GS87" s="15"/>
      <c r="GT87" s="15"/>
      <c r="GU87" s="15"/>
      <c r="GV87" s="15"/>
      <c r="GW87" s="15"/>
      <c r="GX87" s="15"/>
      <c r="GY87" s="15"/>
      <c r="GZ87" s="15"/>
      <c r="HA87" s="15"/>
      <c r="HB87" s="15"/>
      <c r="HC87" s="15"/>
      <c r="HD87" s="15"/>
      <c r="HE87" s="15"/>
      <c r="HF87" s="15"/>
      <c r="HG87" s="15"/>
      <c r="HH87" s="15"/>
      <c r="HI87" s="15"/>
      <c r="HJ87" s="15"/>
      <c r="HK87" s="15"/>
      <c r="HL87" s="15"/>
      <c r="HM87" s="15"/>
      <c r="HN87" s="15"/>
      <c r="HO87" s="15"/>
      <c r="HP87" s="15"/>
      <c r="HQ87" s="15"/>
      <c r="HR87" s="15"/>
      <c r="HS87" s="15"/>
      <c r="HT87" s="15"/>
      <c r="HU87" s="15"/>
      <c r="HV87" s="15"/>
      <c r="HW87" s="15"/>
      <c r="HX87" s="15"/>
      <c r="HY87" s="15"/>
      <c r="HZ87" s="15"/>
      <c r="IA87" s="15"/>
      <c r="IB87" s="15"/>
      <c r="IC87" s="15"/>
      <c r="ID87" s="15"/>
      <c r="IE87" s="15"/>
      <c r="IF87" s="15"/>
      <c r="IG87" s="15"/>
      <c r="IH87" s="15"/>
      <c r="II87" s="15"/>
      <c r="IJ87" s="15"/>
      <c r="IK87" s="15"/>
      <c r="IL87" s="15"/>
      <c r="IM87" s="15"/>
      <c r="IN87" s="15"/>
      <c r="IO87" s="15"/>
    </row>
    <row r="88" spans="2:249">
      <c r="B88" s="145"/>
      <c r="E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  <c r="FU88" s="15"/>
      <c r="FV88" s="15"/>
      <c r="FW88" s="15"/>
      <c r="FX88" s="15"/>
      <c r="FY88" s="15"/>
      <c r="FZ88" s="15"/>
      <c r="GA88" s="15"/>
      <c r="GB88" s="15"/>
      <c r="GC88" s="15"/>
      <c r="GD88" s="15"/>
      <c r="GE88" s="15"/>
      <c r="GF88" s="15"/>
      <c r="GG88" s="15"/>
      <c r="GH88" s="15"/>
      <c r="GI88" s="15"/>
      <c r="GJ88" s="15"/>
      <c r="GK88" s="15"/>
      <c r="GL88" s="15"/>
      <c r="GM88" s="15"/>
      <c r="GN88" s="15"/>
      <c r="GO88" s="15"/>
      <c r="GP88" s="15"/>
      <c r="GQ88" s="15"/>
      <c r="GR88" s="15"/>
      <c r="GS88" s="15"/>
      <c r="GT88" s="15"/>
      <c r="GU88" s="15"/>
      <c r="GV88" s="15"/>
      <c r="GW88" s="15"/>
      <c r="GX88" s="15"/>
      <c r="GY88" s="15"/>
      <c r="GZ88" s="15"/>
      <c r="HA88" s="15"/>
      <c r="HB88" s="15"/>
      <c r="HC88" s="15"/>
      <c r="HD88" s="15"/>
      <c r="HE88" s="15"/>
      <c r="HF88" s="15"/>
      <c r="HG88" s="15"/>
      <c r="HH88" s="15"/>
      <c r="HI88" s="15"/>
      <c r="HJ88" s="15"/>
      <c r="HK88" s="15"/>
      <c r="HL88" s="15"/>
      <c r="HM88" s="15"/>
      <c r="HN88" s="15"/>
      <c r="HO88" s="15"/>
      <c r="HP88" s="15"/>
      <c r="HQ88" s="15"/>
      <c r="HR88" s="15"/>
      <c r="HS88" s="15"/>
      <c r="HT88" s="15"/>
      <c r="HU88" s="15"/>
      <c r="HV88" s="15"/>
      <c r="HW88" s="15"/>
      <c r="HX88" s="15"/>
      <c r="HY88" s="15"/>
      <c r="HZ88" s="15"/>
      <c r="IA88" s="15"/>
      <c r="IB88" s="15"/>
      <c r="IC88" s="15"/>
      <c r="ID88" s="15"/>
      <c r="IE88" s="15"/>
      <c r="IF88" s="15"/>
      <c r="IG88" s="15"/>
      <c r="IH88" s="15"/>
      <c r="II88" s="15"/>
      <c r="IJ88" s="15"/>
      <c r="IK88" s="15"/>
      <c r="IL88" s="15"/>
      <c r="IM88" s="15"/>
      <c r="IN88" s="15"/>
      <c r="IO88" s="15"/>
    </row>
    <row r="89" spans="2:249">
      <c r="B89" s="145"/>
      <c r="E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  <c r="FY89" s="15"/>
      <c r="FZ89" s="15"/>
      <c r="GA89" s="15"/>
      <c r="GB89" s="15"/>
      <c r="GC89" s="15"/>
      <c r="GD89" s="15"/>
      <c r="GE89" s="15"/>
      <c r="GF89" s="15"/>
      <c r="GG89" s="15"/>
      <c r="GH89" s="15"/>
      <c r="GI89" s="15"/>
      <c r="GJ89" s="15"/>
      <c r="GK89" s="15"/>
      <c r="GL89" s="15"/>
      <c r="GM89" s="15"/>
      <c r="GN89" s="15"/>
      <c r="GO89" s="15"/>
      <c r="GP89" s="15"/>
      <c r="GQ89" s="15"/>
      <c r="GR89" s="15"/>
      <c r="GS89" s="15"/>
      <c r="GT89" s="15"/>
      <c r="GU89" s="15"/>
      <c r="GV89" s="15"/>
      <c r="GW89" s="15"/>
      <c r="GX89" s="15"/>
      <c r="GY89" s="15"/>
      <c r="GZ89" s="15"/>
      <c r="HA89" s="15"/>
      <c r="HB89" s="15"/>
      <c r="HC89" s="15"/>
      <c r="HD89" s="15"/>
      <c r="HE89" s="15"/>
      <c r="HF89" s="15"/>
      <c r="HG89" s="15"/>
      <c r="HH89" s="15"/>
      <c r="HI89" s="15"/>
      <c r="HJ89" s="15"/>
      <c r="HK89" s="15"/>
      <c r="HL89" s="15"/>
      <c r="HM89" s="15"/>
      <c r="HN89" s="15"/>
      <c r="HO89" s="15"/>
      <c r="HP89" s="15"/>
      <c r="HQ89" s="15"/>
      <c r="HR89" s="15"/>
      <c r="HS89" s="15"/>
      <c r="HT89" s="15"/>
      <c r="HU89" s="15"/>
      <c r="HV89" s="15"/>
      <c r="HW89" s="15"/>
      <c r="HX89" s="15"/>
      <c r="HY89" s="15"/>
      <c r="HZ89" s="15"/>
      <c r="IA89" s="15"/>
      <c r="IB89" s="15"/>
      <c r="IC89" s="15"/>
      <c r="ID89" s="15"/>
      <c r="IE89" s="15"/>
      <c r="IF89" s="15"/>
      <c r="IG89" s="15"/>
      <c r="IH89" s="15"/>
      <c r="II89" s="15"/>
      <c r="IJ89" s="15"/>
      <c r="IK89" s="15"/>
      <c r="IL89" s="15"/>
      <c r="IM89" s="15"/>
      <c r="IN89" s="15"/>
      <c r="IO89" s="15"/>
    </row>
    <row r="90" spans="2:249">
      <c r="B90" s="145"/>
      <c r="E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  <c r="FY90" s="15"/>
      <c r="FZ90" s="15"/>
      <c r="GA90" s="15"/>
      <c r="GB90" s="15"/>
      <c r="GC90" s="15"/>
      <c r="GD90" s="15"/>
      <c r="GE90" s="15"/>
      <c r="GF90" s="15"/>
      <c r="GG90" s="15"/>
      <c r="GH90" s="15"/>
      <c r="GI90" s="15"/>
      <c r="GJ90" s="15"/>
      <c r="GK90" s="15"/>
      <c r="GL90" s="15"/>
      <c r="GM90" s="15"/>
      <c r="GN90" s="15"/>
      <c r="GO90" s="15"/>
      <c r="GP90" s="15"/>
      <c r="GQ90" s="15"/>
      <c r="GR90" s="15"/>
      <c r="GS90" s="15"/>
      <c r="GT90" s="15"/>
      <c r="GU90" s="15"/>
      <c r="GV90" s="15"/>
      <c r="GW90" s="15"/>
      <c r="GX90" s="15"/>
      <c r="GY90" s="15"/>
      <c r="GZ90" s="15"/>
      <c r="HA90" s="15"/>
      <c r="HB90" s="15"/>
      <c r="HC90" s="15"/>
      <c r="HD90" s="15"/>
      <c r="HE90" s="15"/>
      <c r="HF90" s="15"/>
      <c r="HG90" s="15"/>
      <c r="HH90" s="15"/>
      <c r="HI90" s="15"/>
      <c r="HJ90" s="15"/>
      <c r="HK90" s="15"/>
      <c r="HL90" s="15"/>
      <c r="HM90" s="15"/>
      <c r="HN90" s="15"/>
      <c r="HO90" s="15"/>
      <c r="HP90" s="15"/>
      <c r="HQ90" s="15"/>
      <c r="HR90" s="15"/>
      <c r="HS90" s="15"/>
      <c r="HT90" s="15"/>
      <c r="HU90" s="15"/>
      <c r="HV90" s="15"/>
      <c r="HW90" s="15"/>
      <c r="HX90" s="15"/>
      <c r="HY90" s="15"/>
      <c r="HZ90" s="15"/>
      <c r="IA90" s="15"/>
      <c r="IB90" s="15"/>
      <c r="IC90" s="15"/>
      <c r="ID90" s="15"/>
      <c r="IE90" s="15"/>
      <c r="IF90" s="15"/>
      <c r="IG90" s="15"/>
      <c r="IH90" s="15"/>
      <c r="II90" s="15"/>
      <c r="IJ90" s="15"/>
      <c r="IK90" s="15"/>
      <c r="IL90" s="15"/>
      <c r="IM90" s="15"/>
      <c r="IN90" s="15"/>
      <c r="IO90" s="15"/>
    </row>
    <row r="91" spans="2:249">
      <c r="B91" s="145"/>
      <c r="E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/>
      <c r="FT91" s="15"/>
      <c r="FU91" s="15"/>
      <c r="FV91" s="15"/>
      <c r="FW91" s="15"/>
      <c r="FX91" s="15"/>
      <c r="FY91" s="15"/>
      <c r="FZ91" s="15"/>
      <c r="GA91" s="15"/>
      <c r="GB91" s="15"/>
      <c r="GC91" s="15"/>
      <c r="GD91" s="15"/>
      <c r="GE91" s="15"/>
      <c r="GF91" s="15"/>
      <c r="GG91" s="15"/>
      <c r="GH91" s="15"/>
      <c r="GI91" s="15"/>
      <c r="GJ91" s="15"/>
      <c r="GK91" s="15"/>
      <c r="GL91" s="15"/>
      <c r="GM91" s="15"/>
      <c r="GN91" s="15"/>
      <c r="GO91" s="15"/>
      <c r="GP91" s="15"/>
      <c r="GQ91" s="15"/>
      <c r="GR91" s="15"/>
      <c r="GS91" s="15"/>
      <c r="GT91" s="15"/>
      <c r="GU91" s="15"/>
      <c r="GV91" s="15"/>
      <c r="GW91" s="15"/>
      <c r="GX91" s="15"/>
      <c r="GY91" s="15"/>
      <c r="GZ91" s="15"/>
      <c r="HA91" s="15"/>
      <c r="HB91" s="15"/>
      <c r="HC91" s="15"/>
      <c r="HD91" s="15"/>
      <c r="HE91" s="15"/>
      <c r="HF91" s="15"/>
      <c r="HG91" s="15"/>
      <c r="HH91" s="15"/>
      <c r="HI91" s="15"/>
      <c r="HJ91" s="15"/>
      <c r="HK91" s="15"/>
      <c r="HL91" s="15"/>
      <c r="HM91" s="15"/>
      <c r="HN91" s="15"/>
      <c r="HO91" s="15"/>
      <c r="HP91" s="15"/>
      <c r="HQ91" s="15"/>
      <c r="HR91" s="15"/>
      <c r="HS91" s="15"/>
      <c r="HT91" s="15"/>
      <c r="HU91" s="15"/>
      <c r="HV91" s="15"/>
      <c r="HW91" s="15"/>
      <c r="HX91" s="15"/>
      <c r="HY91" s="15"/>
      <c r="HZ91" s="15"/>
      <c r="IA91" s="15"/>
      <c r="IB91" s="15"/>
      <c r="IC91" s="15"/>
      <c r="ID91" s="15"/>
      <c r="IE91" s="15"/>
      <c r="IF91" s="15"/>
      <c r="IG91" s="15"/>
      <c r="IH91" s="15"/>
      <c r="II91" s="15"/>
      <c r="IJ91" s="15"/>
      <c r="IK91" s="15"/>
      <c r="IL91" s="15"/>
      <c r="IM91" s="15"/>
      <c r="IN91" s="15"/>
      <c r="IO91" s="15"/>
    </row>
    <row r="92" spans="2:249">
      <c r="B92" s="145"/>
      <c r="E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5"/>
      <c r="FU92" s="15"/>
      <c r="FV92" s="15"/>
      <c r="FW92" s="15"/>
      <c r="FX92" s="15"/>
      <c r="FY92" s="15"/>
      <c r="FZ92" s="15"/>
      <c r="GA92" s="15"/>
      <c r="GB92" s="15"/>
      <c r="GC92" s="15"/>
      <c r="GD92" s="15"/>
      <c r="GE92" s="15"/>
      <c r="GF92" s="15"/>
      <c r="GG92" s="15"/>
      <c r="GH92" s="15"/>
      <c r="GI92" s="15"/>
      <c r="GJ92" s="15"/>
      <c r="GK92" s="15"/>
      <c r="GL92" s="15"/>
      <c r="GM92" s="15"/>
      <c r="GN92" s="15"/>
      <c r="GO92" s="15"/>
      <c r="GP92" s="15"/>
      <c r="GQ92" s="15"/>
      <c r="GR92" s="15"/>
      <c r="GS92" s="15"/>
      <c r="GT92" s="15"/>
      <c r="GU92" s="15"/>
      <c r="GV92" s="15"/>
      <c r="GW92" s="15"/>
      <c r="GX92" s="15"/>
      <c r="GY92" s="15"/>
      <c r="GZ92" s="15"/>
      <c r="HA92" s="15"/>
      <c r="HB92" s="15"/>
      <c r="HC92" s="15"/>
      <c r="HD92" s="15"/>
      <c r="HE92" s="15"/>
      <c r="HF92" s="15"/>
      <c r="HG92" s="15"/>
      <c r="HH92" s="15"/>
      <c r="HI92" s="15"/>
      <c r="HJ92" s="15"/>
      <c r="HK92" s="15"/>
      <c r="HL92" s="15"/>
      <c r="HM92" s="15"/>
      <c r="HN92" s="15"/>
      <c r="HO92" s="15"/>
      <c r="HP92" s="15"/>
      <c r="HQ92" s="15"/>
      <c r="HR92" s="15"/>
      <c r="HS92" s="15"/>
      <c r="HT92" s="15"/>
      <c r="HU92" s="15"/>
      <c r="HV92" s="15"/>
      <c r="HW92" s="15"/>
      <c r="HX92" s="15"/>
      <c r="HY92" s="15"/>
      <c r="HZ92" s="15"/>
      <c r="IA92" s="15"/>
      <c r="IB92" s="15"/>
      <c r="IC92" s="15"/>
      <c r="ID92" s="15"/>
      <c r="IE92" s="15"/>
      <c r="IF92" s="15"/>
      <c r="IG92" s="15"/>
      <c r="IH92" s="15"/>
      <c r="II92" s="15"/>
      <c r="IJ92" s="15"/>
      <c r="IK92" s="15"/>
      <c r="IL92" s="15"/>
      <c r="IM92" s="15"/>
      <c r="IN92" s="15"/>
      <c r="IO92" s="15"/>
    </row>
    <row r="93" spans="2:249">
      <c r="B93" s="145"/>
      <c r="E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5"/>
      <c r="GL93" s="15"/>
      <c r="GM93" s="15"/>
      <c r="GN93" s="15"/>
      <c r="GO93" s="15"/>
      <c r="GP93" s="15"/>
      <c r="GQ93" s="15"/>
      <c r="GR93" s="15"/>
      <c r="GS93" s="15"/>
      <c r="GT93" s="15"/>
      <c r="GU93" s="15"/>
      <c r="GV93" s="15"/>
      <c r="GW93" s="15"/>
      <c r="GX93" s="15"/>
      <c r="GY93" s="15"/>
      <c r="GZ93" s="15"/>
      <c r="HA93" s="15"/>
      <c r="HB93" s="15"/>
      <c r="HC93" s="15"/>
      <c r="HD93" s="15"/>
      <c r="HE93" s="15"/>
      <c r="HF93" s="15"/>
      <c r="HG93" s="15"/>
      <c r="HH93" s="15"/>
      <c r="HI93" s="15"/>
      <c r="HJ93" s="15"/>
      <c r="HK93" s="15"/>
      <c r="HL93" s="15"/>
      <c r="HM93" s="15"/>
      <c r="HN93" s="15"/>
      <c r="HO93" s="15"/>
      <c r="HP93" s="15"/>
      <c r="HQ93" s="15"/>
      <c r="HR93" s="15"/>
      <c r="HS93" s="15"/>
      <c r="HT93" s="15"/>
      <c r="HU93" s="15"/>
      <c r="HV93" s="15"/>
      <c r="HW93" s="15"/>
      <c r="HX93" s="15"/>
      <c r="HY93" s="15"/>
      <c r="HZ93" s="15"/>
      <c r="IA93" s="15"/>
      <c r="IB93" s="15"/>
      <c r="IC93" s="15"/>
      <c r="ID93" s="15"/>
      <c r="IE93" s="15"/>
      <c r="IF93" s="15"/>
      <c r="IG93" s="15"/>
      <c r="IH93" s="15"/>
      <c r="II93" s="15"/>
      <c r="IJ93" s="15"/>
      <c r="IK93" s="15"/>
      <c r="IL93" s="15"/>
      <c r="IM93" s="15"/>
      <c r="IN93" s="15"/>
      <c r="IO93" s="15"/>
    </row>
    <row r="94" spans="2:249">
      <c r="B94" s="145"/>
      <c r="E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5"/>
      <c r="GK94" s="15"/>
      <c r="GL94" s="15"/>
      <c r="GM94" s="15"/>
      <c r="GN94" s="15"/>
      <c r="GO94" s="15"/>
      <c r="GP94" s="15"/>
      <c r="GQ94" s="15"/>
      <c r="GR94" s="15"/>
      <c r="GS94" s="15"/>
      <c r="GT94" s="15"/>
      <c r="GU94" s="15"/>
      <c r="GV94" s="15"/>
      <c r="GW94" s="15"/>
      <c r="GX94" s="15"/>
      <c r="GY94" s="15"/>
      <c r="GZ94" s="15"/>
      <c r="HA94" s="15"/>
      <c r="HB94" s="15"/>
      <c r="HC94" s="15"/>
      <c r="HD94" s="15"/>
      <c r="HE94" s="15"/>
      <c r="HF94" s="15"/>
      <c r="HG94" s="15"/>
      <c r="HH94" s="15"/>
      <c r="HI94" s="15"/>
      <c r="HJ94" s="15"/>
      <c r="HK94" s="15"/>
      <c r="HL94" s="15"/>
      <c r="HM94" s="15"/>
      <c r="HN94" s="15"/>
      <c r="HO94" s="15"/>
      <c r="HP94" s="15"/>
      <c r="HQ94" s="15"/>
      <c r="HR94" s="15"/>
      <c r="HS94" s="15"/>
      <c r="HT94" s="15"/>
      <c r="HU94" s="15"/>
      <c r="HV94" s="15"/>
      <c r="HW94" s="15"/>
      <c r="HX94" s="15"/>
      <c r="HY94" s="15"/>
      <c r="HZ94" s="15"/>
      <c r="IA94" s="15"/>
      <c r="IB94" s="15"/>
      <c r="IC94" s="15"/>
      <c r="ID94" s="15"/>
      <c r="IE94" s="15"/>
      <c r="IF94" s="15"/>
      <c r="IG94" s="15"/>
      <c r="IH94" s="15"/>
      <c r="II94" s="15"/>
      <c r="IJ94" s="15"/>
      <c r="IK94" s="15"/>
      <c r="IL94" s="15"/>
      <c r="IM94" s="15"/>
      <c r="IN94" s="15"/>
      <c r="IO94" s="15"/>
    </row>
    <row r="95" spans="2:249">
      <c r="B95" s="145"/>
      <c r="E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  <c r="FY95" s="15"/>
      <c r="FZ95" s="15"/>
      <c r="GA95" s="15"/>
      <c r="GB95" s="15"/>
      <c r="GC95" s="15"/>
      <c r="GD95" s="15"/>
      <c r="GE95" s="15"/>
      <c r="GF95" s="15"/>
      <c r="GG95" s="15"/>
      <c r="GH95" s="15"/>
      <c r="GI95" s="15"/>
      <c r="GJ95" s="15"/>
      <c r="GK95" s="15"/>
      <c r="GL95" s="15"/>
      <c r="GM95" s="15"/>
      <c r="GN95" s="15"/>
      <c r="GO95" s="15"/>
      <c r="GP95" s="15"/>
      <c r="GQ95" s="15"/>
      <c r="GR95" s="15"/>
      <c r="GS95" s="15"/>
      <c r="GT95" s="15"/>
      <c r="GU95" s="15"/>
      <c r="GV95" s="15"/>
      <c r="GW95" s="15"/>
      <c r="GX95" s="15"/>
      <c r="GY95" s="15"/>
      <c r="GZ95" s="15"/>
      <c r="HA95" s="15"/>
      <c r="HB95" s="15"/>
      <c r="HC95" s="15"/>
      <c r="HD95" s="15"/>
      <c r="HE95" s="15"/>
      <c r="HF95" s="15"/>
      <c r="HG95" s="15"/>
      <c r="HH95" s="15"/>
      <c r="HI95" s="15"/>
      <c r="HJ95" s="15"/>
      <c r="HK95" s="15"/>
      <c r="HL95" s="15"/>
      <c r="HM95" s="15"/>
      <c r="HN95" s="15"/>
      <c r="HO95" s="15"/>
      <c r="HP95" s="15"/>
      <c r="HQ95" s="15"/>
      <c r="HR95" s="15"/>
      <c r="HS95" s="15"/>
      <c r="HT95" s="15"/>
      <c r="HU95" s="15"/>
      <c r="HV95" s="15"/>
      <c r="HW95" s="15"/>
      <c r="HX95" s="15"/>
      <c r="HY95" s="15"/>
      <c r="HZ95" s="15"/>
      <c r="IA95" s="15"/>
      <c r="IB95" s="15"/>
      <c r="IC95" s="15"/>
      <c r="ID95" s="15"/>
      <c r="IE95" s="15"/>
      <c r="IF95" s="15"/>
      <c r="IG95" s="15"/>
      <c r="IH95" s="15"/>
      <c r="II95" s="15"/>
      <c r="IJ95" s="15"/>
      <c r="IK95" s="15"/>
      <c r="IL95" s="15"/>
      <c r="IM95" s="15"/>
      <c r="IN95" s="15"/>
      <c r="IO95" s="15"/>
    </row>
    <row r="96" spans="2:249">
      <c r="B96" s="145"/>
      <c r="E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5"/>
      <c r="FU96" s="15"/>
      <c r="FV96" s="15"/>
      <c r="FW96" s="15"/>
      <c r="FX96" s="15"/>
      <c r="FY96" s="15"/>
      <c r="FZ96" s="15"/>
      <c r="GA96" s="15"/>
      <c r="GB96" s="15"/>
      <c r="GC96" s="15"/>
      <c r="GD96" s="15"/>
      <c r="GE96" s="15"/>
      <c r="GF96" s="15"/>
      <c r="GG96" s="15"/>
      <c r="GH96" s="15"/>
      <c r="GI96" s="15"/>
      <c r="GJ96" s="15"/>
      <c r="GK96" s="15"/>
      <c r="GL96" s="15"/>
      <c r="GM96" s="15"/>
      <c r="GN96" s="15"/>
      <c r="GO96" s="15"/>
      <c r="GP96" s="15"/>
      <c r="GQ96" s="15"/>
      <c r="GR96" s="15"/>
      <c r="GS96" s="15"/>
      <c r="GT96" s="15"/>
      <c r="GU96" s="15"/>
      <c r="GV96" s="15"/>
      <c r="GW96" s="15"/>
      <c r="GX96" s="15"/>
      <c r="GY96" s="15"/>
      <c r="GZ96" s="15"/>
      <c r="HA96" s="15"/>
      <c r="HB96" s="15"/>
      <c r="HC96" s="15"/>
      <c r="HD96" s="15"/>
      <c r="HE96" s="15"/>
      <c r="HF96" s="15"/>
      <c r="HG96" s="15"/>
      <c r="HH96" s="15"/>
      <c r="HI96" s="15"/>
      <c r="HJ96" s="15"/>
      <c r="HK96" s="15"/>
      <c r="HL96" s="15"/>
      <c r="HM96" s="15"/>
      <c r="HN96" s="15"/>
      <c r="HO96" s="15"/>
      <c r="HP96" s="15"/>
      <c r="HQ96" s="15"/>
      <c r="HR96" s="15"/>
      <c r="HS96" s="15"/>
      <c r="HT96" s="15"/>
      <c r="HU96" s="15"/>
      <c r="HV96" s="15"/>
      <c r="HW96" s="15"/>
      <c r="HX96" s="15"/>
      <c r="HY96" s="15"/>
      <c r="HZ96" s="15"/>
      <c r="IA96" s="15"/>
      <c r="IB96" s="15"/>
      <c r="IC96" s="15"/>
      <c r="ID96" s="15"/>
      <c r="IE96" s="15"/>
      <c r="IF96" s="15"/>
      <c r="IG96" s="15"/>
      <c r="IH96" s="15"/>
      <c r="II96" s="15"/>
      <c r="IJ96" s="15"/>
      <c r="IK96" s="15"/>
      <c r="IL96" s="15"/>
      <c r="IM96" s="15"/>
      <c r="IN96" s="15"/>
      <c r="IO96" s="15"/>
    </row>
    <row r="97" spans="2:249">
      <c r="B97" s="145"/>
      <c r="E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  <c r="FY97" s="15"/>
      <c r="FZ97" s="15"/>
      <c r="GA97" s="15"/>
      <c r="GB97" s="15"/>
      <c r="GC97" s="15"/>
      <c r="GD97" s="15"/>
      <c r="GE97" s="15"/>
      <c r="GF97" s="15"/>
      <c r="GG97" s="15"/>
      <c r="GH97" s="15"/>
      <c r="GI97" s="15"/>
      <c r="GJ97" s="15"/>
      <c r="GK97" s="15"/>
      <c r="GL97" s="15"/>
      <c r="GM97" s="15"/>
      <c r="GN97" s="15"/>
      <c r="GO97" s="15"/>
      <c r="GP97" s="15"/>
      <c r="GQ97" s="15"/>
      <c r="GR97" s="15"/>
      <c r="GS97" s="15"/>
      <c r="GT97" s="15"/>
      <c r="GU97" s="15"/>
      <c r="GV97" s="15"/>
      <c r="GW97" s="15"/>
      <c r="GX97" s="15"/>
      <c r="GY97" s="15"/>
      <c r="GZ97" s="15"/>
      <c r="HA97" s="15"/>
      <c r="HB97" s="15"/>
      <c r="HC97" s="15"/>
      <c r="HD97" s="15"/>
      <c r="HE97" s="15"/>
      <c r="HF97" s="15"/>
      <c r="HG97" s="15"/>
      <c r="HH97" s="15"/>
      <c r="HI97" s="15"/>
      <c r="HJ97" s="15"/>
      <c r="HK97" s="15"/>
      <c r="HL97" s="15"/>
      <c r="HM97" s="15"/>
      <c r="HN97" s="15"/>
      <c r="HO97" s="15"/>
      <c r="HP97" s="15"/>
      <c r="HQ97" s="15"/>
      <c r="HR97" s="15"/>
      <c r="HS97" s="15"/>
      <c r="HT97" s="15"/>
      <c r="HU97" s="15"/>
      <c r="HV97" s="15"/>
      <c r="HW97" s="15"/>
      <c r="HX97" s="15"/>
      <c r="HY97" s="15"/>
      <c r="HZ97" s="15"/>
      <c r="IA97" s="15"/>
      <c r="IB97" s="15"/>
      <c r="IC97" s="15"/>
      <c r="ID97" s="15"/>
      <c r="IE97" s="15"/>
      <c r="IF97" s="15"/>
      <c r="IG97" s="15"/>
      <c r="IH97" s="15"/>
      <c r="II97" s="15"/>
      <c r="IJ97" s="15"/>
      <c r="IK97" s="15"/>
      <c r="IL97" s="15"/>
      <c r="IM97" s="15"/>
      <c r="IN97" s="15"/>
      <c r="IO97" s="15"/>
    </row>
    <row r="98" spans="2:249">
      <c r="B98" s="145"/>
      <c r="E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5"/>
      <c r="FU98" s="15"/>
      <c r="FV98" s="15"/>
      <c r="FW98" s="15"/>
      <c r="FX98" s="15"/>
      <c r="FY98" s="15"/>
      <c r="FZ98" s="15"/>
      <c r="GA98" s="15"/>
      <c r="GB98" s="15"/>
      <c r="GC98" s="15"/>
      <c r="GD98" s="15"/>
      <c r="GE98" s="15"/>
      <c r="GF98" s="15"/>
      <c r="GG98" s="15"/>
      <c r="GH98" s="15"/>
      <c r="GI98" s="15"/>
      <c r="GJ98" s="15"/>
      <c r="GK98" s="15"/>
      <c r="GL98" s="15"/>
      <c r="GM98" s="15"/>
      <c r="GN98" s="15"/>
      <c r="GO98" s="15"/>
      <c r="GP98" s="15"/>
      <c r="GQ98" s="15"/>
      <c r="GR98" s="15"/>
      <c r="GS98" s="15"/>
      <c r="GT98" s="15"/>
      <c r="GU98" s="15"/>
      <c r="GV98" s="15"/>
      <c r="GW98" s="15"/>
      <c r="GX98" s="15"/>
      <c r="GY98" s="15"/>
      <c r="GZ98" s="15"/>
      <c r="HA98" s="15"/>
      <c r="HB98" s="15"/>
      <c r="HC98" s="15"/>
      <c r="HD98" s="15"/>
      <c r="HE98" s="15"/>
      <c r="HF98" s="15"/>
      <c r="HG98" s="15"/>
      <c r="HH98" s="15"/>
      <c r="HI98" s="15"/>
      <c r="HJ98" s="15"/>
      <c r="HK98" s="15"/>
      <c r="HL98" s="15"/>
      <c r="HM98" s="15"/>
      <c r="HN98" s="15"/>
      <c r="HO98" s="15"/>
      <c r="HP98" s="15"/>
      <c r="HQ98" s="15"/>
      <c r="HR98" s="15"/>
      <c r="HS98" s="15"/>
      <c r="HT98" s="15"/>
      <c r="HU98" s="15"/>
      <c r="HV98" s="15"/>
      <c r="HW98" s="15"/>
      <c r="HX98" s="15"/>
      <c r="HY98" s="15"/>
      <c r="HZ98" s="15"/>
      <c r="IA98" s="15"/>
      <c r="IB98" s="15"/>
      <c r="IC98" s="15"/>
      <c r="ID98" s="15"/>
      <c r="IE98" s="15"/>
      <c r="IF98" s="15"/>
      <c r="IG98" s="15"/>
      <c r="IH98" s="15"/>
      <c r="II98" s="15"/>
      <c r="IJ98" s="15"/>
      <c r="IK98" s="15"/>
      <c r="IL98" s="15"/>
      <c r="IM98" s="15"/>
      <c r="IN98" s="15"/>
      <c r="IO98" s="15"/>
    </row>
    <row r="99" spans="2:249">
      <c r="B99" s="145"/>
      <c r="E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  <c r="FO99" s="15"/>
      <c r="FP99" s="15"/>
      <c r="FQ99" s="15"/>
      <c r="FR99" s="15"/>
      <c r="FS99" s="15"/>
      <c r="FT99" s="15"/>
      <c r="FU99" s="15"/>
      <c r="FV99" s="15"/>
      <c r="FW99" s="15"/>
      <c r="FX99" s="15"/>
      <c r="FY99" s="15"/>
      <c r="FZ99" s="15"/>
      <c r="GA99" s="15"/>
      <c r="GB99" s="15"/>
      <c r="GC99" s="15"/>
      <c r="GD99" s="15"/>
      <c r="GE99" s="15"/>
      <c r="GF99" s="15"/>
      <c r="GG99" s="15"/>
      <c r="GH99" s="15"/>
      <c r="GI99" s="15"/>
      <c r="GJ99" s="15"/>
      <c r="GK99" s="15"/>
      <c r="GL99" s="15"/>
      <c r="GM99" s="15"/>
      <c r="GN99" s="15"/>
      <c r="GO99" s="15"/>
      <c r="GP99" s="15"/>
      <c r="GQ99" s="15"/>
      <c r="GR99" s="15"/>
      <c r="GS99" s="15"/>
      <c r="GT99" s="15"/>
      <c r="GU99" s="15"/>
      <c r="GV99" s="15"/>
      <c r="GW99" s="15"/>
      <c r="GX99" s="15"/>
      <c r="GY99" s="15"/>
      <c r="GZ99" s="15"/>
      <c r="HA99" s="15"/>
      <c r="HB99" s="15"/>
      <c r="HC99" s="15"/>
      <c r="HD99" s="15"/>
      <c r="HE99" s="15"/>
      <c r="HF99" s="15"/>
      <c r="HG99" s="15"/>
      <c r="HH99" s="15"/>
      <c r="HI99" s="15"/>
      <c r="HJ99" s="15"/>
      <c r="HK99" s="15"/>
      <c r="HL99" s="15"/>
      <c r="HM99" s="15"/>
      <c r="HN99" s="15"/>
      <c r="HO99" s="15"/>
      <c r="HP99" s="15"/>
      <c r="HQ99" s="15"/>
      <c r="HR99" s="15"/>
      <c r="HS99" s="15"/>
      <c r="HT99" s="15"/>
      <c r="HU99" s="15"/>
      <c r="HV99" s="15"/>
      <c r="HW99" s="15"/>
      <c r="HX99" s="15"/>
      <c r="HY99" s="15"/>
      <c r="HZ99" s="15"/>
      <c r="IA99" s="15"/>
      <c r="IB99" s="15"/>
      <c r="IC99" s="15"/>
      <c r="ID99" s="15"/>
      <c r="IE99" s="15"/>
      <c r="IF99" s="15"/>
      <c r="IG99" s="15"/>
      <c r="IH99" s="15"/>
      <c r="II99" s="15"/>
      <c r="IJ99" s="15"/>
      <c r="IK99" s="15"/>
      <c r="IL99" s="15"/>
      <c r="IM99" s="15"/>
      <c r="IN99" s="15"/>
      <c r="IO99" s="15"/>
    </row>
    <row r="100" spans="2:249">
      <c r="B100" s="145"/>
      <c r="E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  <c r="FU100" s="15"/>
      <c r="FV100" s="15"/>
      <c r="FW100" s="15"/>
      <c r="FX100" s="15"/>
      <c r="FY100" s="15"/>
      <c r="FZ100" s="15"/>
      <c r="GA100" s="15"/>
      <c r="GB100" s="15"/>
      <c r="GC100" s="15"/>
      <c r="GD100" s="15"/>
      <c r="GE100" s="15"/>
      <c r="GF100" s="15"/>
      <c r="GG100" s="15"/>
      <c r="GH100" s="15"/>
      <c r="GI100" s="15"/>
      <c r="GJ100" s="15"/>
      <c r="GK100" s="15"/>
      <c r="GL100" s="15"/>
      <c r="GM100" s="15"/>
      <c r="GN100" s="15"/>
      <c r="GO100" s="15"/>
      <c r="GP100" s="15"/>
      <c r="GQ100" s="15"/>
      <c r="GR100" s="15"/>
      <c r="GS100" s="15"/>
      <c r="GT100" s="15"/>
      <c r="GU100" s="15"/>
      <c r="GV100" s="15"/>
      <c r="GW100" s="15"/>
      <c r="GX100" s="15"/>
      <c r="GY100" s="15"/>
      <c r="GZ100" s="15"/>
      <c r="HA100" s="15"/>
      <c r="HB100" s="15"/>
      <c r="HC100" s="15"/>
      <c r="HD100" s="15"/>
      <c r="HE100" s="15"/>
      <c r="HF100" s="15"/>
      <c r="HG100" s="15"/>
      <c r="HH100" s="15"/>
      <c r="HI100" s="15"/>
      <c r="HJ100" s="15"/>
      <c r="HK100" s="15"/>
      <c r="HL100" s="15"/>
      <c r="HM100" s="15"/>
      <c r="HN100" s="15"/>
      <c r="HO100" s="15"/>
      <c r="HP100" s="15"/>
      <c r="HQ100" s="15"/>
      <c r="HR100" s="15"/>
      <c r="HS100" s="15"/>
      <c r="HT100" s="15"/>
      <c r="HU100" s="15"/>
      <c r="HV100" s="15"/>
      <c r="HW100" s="15"/>
      <c r="HX100" s="15"/>
      <c r="HY100" s="15"/>
      <c r="HZ100" s="15"/>
      <c r="IA100" s="15"/>
      <c r="IB100" s="15"/>
      <c r="IC100" s="15"/>
      <c r="ID100" s="15"/>
      <c r="IE100" s="15"/>
      <c r="IF100" s="15"/>
      <c r="IG100" s="15"/>
      <c r="IH100" s="15"/>
      <c r="II100" s="15"/>
      <c r="IJ100" s="15"/>
      <c r="IK100" s="15"/>
      <c r="IL100" s="15"/>
      <c r="IM100" s="15"/>
      <c r="IN100" s="15"/>
      <c r="IO100" s="15"/>
    </row>
    <row r="101" spans="2:249">
      <c r="B101" s="145"/>
      <c r="E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  <c r="FY101" s="15"/>
      <c r="FZ101" s="15"/>
      <c r="GA101" s="15"/>
      <c r="GB101" s="15"/>
      <c r="GC101" s="15"/>
      <c r="GD101" s="15"/>
      <c r="GE101" s="15"/>
      <c r="GF101" s="15"/>
      <c r="GG101" s="15"/>
      <c r="GH101" s="15"/>
      <c r="GI101" s="15"/>
      <c r="GJ101" s="15"/>
      <c r="GK101" s="15"/>
      <c r="GL101" s="15"/>
      <c r="GM101" s="15"/>
      <c r="GN101" s="15"/>
      <c r="GO101" s="15"/>
      <c r="GP101" s="15"/>
      <c r="GQ101" s="15"/>
      <c r="GR101" s="15"/>
      <c r="GS101" s="15"/>
      <c r="GT101" s="15"/>
      <c r="GU101" s="15"/>
      <c r="GV101" s="15"/>
      <c r="GW101" s="15"/>
      <c r="GX101" s="15"/>
      <c r="GY101" s="15"/>
      <c r="GZ101" s="15"/>
      <c r="HA101" s="15"/>
      <c r="HB101" s="15"/>
      <c r="HC101" s="15"/>
      <c r="HD101" s="15"/>
      <c r="HE101" s="15"/>
      <c r="HF101" s="15"/>
      <c r="HG101" s="15"/>
      <c r="HH101" s="15"/>
      <c r="HI101" s="15"/>
      <c r="HJ101" s="15"/>
      <c r="HK101" s="15"/>
      <c r="HL101" s="15"/>
      <c r="HM101" s="15"/>
      <c r="HN101" s="15"/>
      <c r="HO101" s="15"/>
      <c r="HP101" s="15"/>
      <c r="HQ101" s="15"/>
      <c r="HR101" s="15"/>
      <c r="HS101" s="15"/>
      <c r="HT101" s="15"/>
      <c r="HU101" s="15"/>
      <c r="HV101" s="15"/>
      <c r="HW101" s="15"/>
      <c r="HX101" s="15"/>
      <c r="HY101" s="15"/>
      <c r="HZ101" s="15"/>
      <c r="IA101" s="15"/>
      <c r="IB101" s="15"/>
      <c r="IC101" s="15"/>
      <c r="ID101" s="15"/>
      <c r="IE101" s="15"/>
      <c r="IF101" s="15"/>
      <c r="IG101" s="15"/>
      <c r="IH101" s="15"/>
      <c r="II101" s="15"/>
      <c r="IJ101" s="15"/>
      <c r="IK101" s="15"/>
      <c r="IL101" s="15"/>
      <c r="IM101" s="15"/>
      <c r="IN101" s="15"/>
      <c r="IO101" s="15"/>
    </row>
    <row r="102" spans="2:249">
      <c r="B102" s="145"/>
      <c r="E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5"/>
      <c r="GX102" s="15"/>
      <c r="GY102" s="15"/>
      <c r="GZ102" s="15"/>
      <c r="HA102" s="15"/>
      <c r="HB102" s="15"/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  <c r="IA102" s="15"/>
      <c r="IB102" s="15"/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  <c r="IM102" s="15"/>
      <c r="IN102" s="15"/>
      <c r="IO102" s="15"/>
    </row>
    <row r="103" spans="2:249">
      <c r="B103" s="145"/>
      <c r="E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  <c r="GN103" s="15"/>
      <c r="GO103" s="15"/>
      <c r="GP103" s="15"/>
      <c r="GQ103" s="15"/>
      <c r="GR103" s="15"/>
      <c r="GS103" s="15"/>
      <c r="GT103" s="15"/>
      <c r="GU103" s="15"/>
      <c r="GV103" s="15"/>
      <c r="GW103" s="15"/>
      <c r="GX103" s="15"/>
      <c r="GY103" s="15"/>
      <c r="GZ103" s="15"/>
      <c r="HA103" s="15"/>
      <c r="HB103" s="15"/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  <c r="IA103" s="15"/>
      <c r="IB103" s="15"/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  <c r="IM103" s="15"/>
      <c r="IN103" s="15"/>
      <c r="IO103" s="15"/>
    </row>
    <row r="104" spans="2:249">
      <c r="B104" s="145"/>
      <c r="E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5"/>
      <c r="GL104" s="15"/>
      <c r="GM104" s="15"/>
      <c r="GN104" s="15"/>
      <c r="GO104" s="15"/>
      <c r="GP104" s="15"/>
      <c r="GQ104" s="15"/>
      <c r="GR104" s="15"/>
      <c r="GS104" s="15"/>
      <c r="GT104" s="15"/>
      <c r="GU104" s="15"/>
      <c r="GV104" s="15"/>
      <c r="GW104" s="15"/>
      <c r="GX104" s="15"/>
      <c r="GY104" s="15"/>
      <c r="GZ104" s="15"/>
      <c r="HA104" s="15"/>
      <c r="HB104" s="15"/>
      <c r="HC104" s="15"/>
      <c r="HD104" s="15"/>
      <c r="HE104" s="15"/>
      <c r="HF104" s="15"/>
      <c r="HG104" s="15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  <c r="HW104" s="15"/>
      <c r="HX104" s="15"/>
      <c r="HY104" s="15"/>
      <c r="HZ104" s="15"/>
      <c r="IA104" s="15"/>
      <c r="IB104" s="15"/>
      <c r="IC104" s="15"/>
      <c r="ID104" s="15"/>
      <c r="IE104" s="15"/>
      <c r="IF104" s="15"/>
      <c r="IG104" s="15"/>
      <c r="IH104" s="15"/>
      <c r="II104" s="15"/>
      <c r="IJ104" s="15"/>
      <c r="IK104" s="15"/>
      <c r="IL104" s="15"/>
      <c r="IM104" s="15"/>
      <c r="IN104" s="15"/>
      <c r="IO104" s="15"/>
    </row>
    <row r="105" spans="2:249">
      <c r="B105" s="145"/>
      <c r="E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  <c r="FY105" s="15"/>
      <c r="FZ105" s="15"/>
      <c r="GA105" s="15"/>
      <c r="GB105" s="15"/>
      <c r="GC105" s="15"/>
      <c r="GD105" s="15"/>
      <c r="GE105" s="15"/>
      <c r="GF105" s="15"/>
      <c r="GG105" s="15"/>
      <c r="GH105" s="15"/>
      <c r="GI105" s="15"/>
      <c r="GJ105" s="15"/>
      <c r="GK105" s="15"/>
      <c r="GL105" s="15"/>
      <c r="GM105" s="15"/>
      <c r="GN105" s="15"/>
      <c r="GO105" s="15"/>
      <c r="GP105" s="15"/>
      <c r="GQ105" s="15"/>
      <c r="GR105" s="15"/>
      <c r="GS105" s="15"/>
      <c r="GT105" s="15"/>
      <c r="GU105" s="15"/>
      <c r="GV105" s="15"/>
      <c r="GW105" s="15"/>
      <c r="GX105" s="15"/>
      <c r="GY105" s="15"/>
      <c r="GZ105" s="15"/>
      <c r="HA105" s="15"/>
      <c r="HB105" s="15"/>
      <c r="HC105" s="15"/>
      <c r="HD105" s="15"/>
      <c r="HE105" s="15"/>
      <c r="HF105" s="15"/>
      <c r="HG105" s="15"/>
      <c r="HH105" s="15"/>
      <c r="HI105" s="15"/>
      <c r="HJ105" s="15"/>
      <c r="HK105" s="15"/>
      <c r="HL105" s="15"/>
      <c r="HM105" s="15"/>
      <c r="HN105" s="15"/>
      <c r="HO105" s="15"/>
      <c r="HP105" s="15"/>
      <c r="HQ105" s="15"/>
      <c r="HR105" s="15"/>
      <c r="HS105" s="15"/>
      <c r="HT105" s="15"/>
      <c r="HU105" s="15"/>
      <c r="HV105" s="15"/>
      <c r="HW105" s="15"/>
      <c r="HX105" s="15"/>
      <c r="HY105" s="15"/>
      <c r="HZ105" s="15"/>
      <c r="IA105" s="15"/>
      <c r="IB105" s="15"/>
      <c r="IC105" s="15"/>
      <c r="ID105" s="15"/>
      <c r="IE105" s="15"/>
      <c r="IF105" s="15"/>
      <c r="IG105" s="15"/>
      <c r="IH105" s="15"/>
      <c r="II105" s="15"/>
      <c r="IJ105" s="15"/>
      <c r="IK105" s="15"/>
      <c r="IL105" s="15"/>
      <c r="IM105" s="15"/>
      <c r="IN105" s="15"/>
      <c r="IO105" s="15"/>
    </row>
    <row r="106" spans="2:249">
      <c r="B106" s="145"/>
      <c r="E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</row>
    <row r="107" spans="2:249">
      <c r="B107" s="145"/>
      <c r="E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</row>
    <row r="108" spans="2:249">
      <c r="B108" s="145"/>
      <c r="E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</row>
    <row r="109" spans="2:249">
      <c r="B109" s="145"/>
      <c r="E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  <c r="FY109" s="15"/>
      <c r="FZ109" s="15"/>
      <c r="GA109" s="15"/>
      <c r="GB109" s="15"/>
      <c r="GC109" s="15"/>
      <c r="GD109" s="15"/>
      <c r="GE109" s="15"/>
      <c r="GF109" s="15"/>
      <c r="GG109" s="15"/>
      <c r="GH109" s="15"/>
      <c r="GI109" s="15"/>
      <c r="GJ109" s="15"/>
      <c r="GK109" s="15"/>
      <c r="GL109" s="15"/>
      <c r="GM109" s="15"/>
      <c r="GN109" s="15"/>
      <c r="GO109" s="15"/>
      <c r="GP109" s="15"/>
      <c r="GQ109" s="15"/>
      <c r="GR109" s="15"/>
      <c r="GS109" s="15"/>
      <c r="GT109" s="15"/>
      <c r="GU109" s="15"/>
      <c r="GV109" s="15"/>
      <c r="GW109" s="15"/>
      <c r="GX109" s="15"/>
      <c r="GY109" s="15"/>
      <c r="GZ109" s="15"/>
      <c r="HA109" s="15"/>
      <c r="HB109" s="15"/>
      <c r="HC109" s="15"/>
      <c r="HD109" s="15"/>
      <c r="HE109" s="15"/>
      <c r="HF109" s="15"/>
      <c r="HG109" s="15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  <c r="HW109" s="15"/>
      <c r="HX109" s="15"/>
      <c r="HY109" s="15"/>
      <c r="HZ109" s="15"/>
      <c r="IA109" s="15"/>
      <c r="IB109" s="15"/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  <c r="IM109" s="15"/>
      <c r="IN109" s="15"/>
      <c r="IO109" s="15"/>
    </row>
    <row r="110" spans="2:249">
      <c r="B110" s="145"/>
      <c r="E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/>
      <c r="FT110" s="15"/>
      <c r="FU110" s="15"/>
      <c r="FV110" s="15"/>
      <c r="FW110" s="15"/>
      <c r="FX110" s="15"/>
      <c r="FY110" s="15"/>
      <c r="FZ110" s="15"/>
      <c r="GA110" s="15"/>
      <c r="GB110" s="15"/>
      <c r="GC110" s="15"/>
      <c r="GD110" s="15"/>
      <c r="GE110" s="15"/>
      <c r="GF110" s="15"/>
      <c r="GG110" s="15"/>
      <c r="GH110" s="15"/>
      <c r="GI110" s="15"/>
      <c r="GJ110" s="15"/>
      <c r="GK110" s="15"/>
      <c r="GL110" s="15"/>
      <c r="GM110" s="15"/>
      <c r="GN110" s="15"/>
      <c r="GO110" s="15"/>
      <c r="GP110" s="15"/>
      <c r="GQ110" s="15"/>
      <c r="GR110" s="15"/>
      <c r="GS110" s="15"/>
      <c r="GT110" s="15"/>
      <c r="GU110" s="15"/>
      <c r="GV110" s="15"/>
      <c r="GW110" s="15"/>
      <c r="GX110" s="15"/>
      <c r="GY110" s="15"/>
      <c r="GZ110" s="15"/>
      <c r="HA110" s="15"/>
      <c r="HB110" s="15"/>
      <c r="HC110" s="15"/>
      <c r="HD110" s="15"/>
      <c r="HE110" s="15"/>
      <c r="HF110" s="15"/>
      <c r="HG110" s="15"/>
      <c r="HH110" s="15"/>
      <c r="HI110" s="15"/>
      <c r="HJ110" s="15"/>
      <c r="HK110" s="15"/>
      <c r="HL110" s="15"/>
      <c r="HM110" s="15"/>
      <c r="HN110" s="15"/>
      <c r="HO110" s="15"/>
      <c r="HP110" s="15"/>
      <c r="HQ110" s="15"/>
      <c r="HR110" s="15"/>
      <c r="HS110" s="15"/>
      <c r="HT110" s="15"/>
      <c r="HU110" s="15"/>
      <c r="HV110" s="15"/>
      <c r="HW110" s="15"/>
      <c r="HX110" s="15"/>
      <c r="HY110" s="15"/>
      <c r="HZ110" s="15"/>
      <c r="IA110" s="15"/>
      <c r="IB110" s="15"/>
      <c r="IC110" s="15"/>
      <c r="ID110" s="15"/>
      <c r="IE110" s="15"/>
      <c r="IF110" s="15"/>
      <c r="IG110" s="15"/>
      <c r="IH110" s="15"/>
      <c r="II110" s="15"/>
      <c r="IJ110" s="15"/>
      <c r="IK110" s="15"/>
      <c r="IL110" s="15"/>
      <c r="IM110" s="15"/>
      <c r="IN110" s="15"/>
      <c r="IO110" s="15"/>
    </row>
    <row r="111" spans="2:249">
      <c r="B111" s="145"/>
      <c r="E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  <c r="FY111" s="15"/>
      <c r="FZ111" s="15"/>
      <c r="GA111" s="15"/>
      <c r="GB111" s="15"/>
      <c r="GC111" s="15"/>
      <c r="GD111" s="15"/>
      <c r="GE111" s="15"/>
      <c r="GF111" s="15"/>
      <c r="GG111" s="15"/>
      <c r="GH111" s="15"/>
      <c r="GI111" s="15"/>
      <c r="GJ111" s="15"/>
      <c r="GK111" s="15"/>
      <c r="GL111" s="15"/>
      <c r="GM111" s="15"/>
      <c r="GN111" s="15"/>
      <c r="GO111" s="15"/>
      <c r="GP111" s="15"/>
      <c r="GQ111" s="15"/>
      <c r="GR111" s="15"/>
      <c r="GS111" s="15"/>
      <c r="GT111" s="15"/>
      <c r="GU111" s="15"/>
      <c r="GV111" s="15"/>
      <c r="GW111" s="15"/>
      <c r="GX111" s="15"/>
      <c r="GY111" s="15"/>
      <c r="GZ111" s="15"/>
      <c r="HA111" s="15"/>
      <c r="HB111" s="15"/>
      <c r="HC111" s="15"/>
      <c r="HD111" s="15"/>
      <c r="HE111" s="15"/>
      <c r="HF111" s="15"/>
      <c r="HG111" s="15"/>
      <c r="HH111" s="15"/>
      <c r="HI111" s="15"/>
      <c r="HJ111" s="15"/>
      <c r="HK111" s="15"/>
      <c r="HL111" s="15"/>
      <c r="HM111" s="15"/>
      <c r="HN111" s="15"/>
      <c r="HO111" s="15"/>
      <c r="HP111" s="15"/>
      <c r="HQ111" s="15"/>
      <c r="HR111" s="15"/>
      <c r="HS111" s="15"/>
      <c r="HT111" s="15"/>
      <c r="HU111" s="15"/>
      <c r="HV111" s="15"/>
      <c r="HW111" s="15"/>
      <c r="HX111" s="15"/>
      <c r="HY111" s="15"/>
      <c r="HZ111" s="15"/>
      <c r="IA111" s="15"/>
      <c r="IB111" s="15"/>
      <c r="IC111" s="15"/>
      <c r="ID111" s="15"/>
      <c r="IE111" s="15"/>
      <c r="IF111" s="15"/>
      <c r="IG111" s="15"/>
      <c r="IH111" s="15"/>
      <c r="II111" s="15"/>
      <c r="IJ111" s="15"/>
      <c r="IK111" s="15"/>
      <c r="IL111" s="15"/>
      <c r="IM111" s="15"/>
      <c r="IN111" s="15"/>
      <c r="IO111" s="15"/>
    </row>
    <row r="112" spans="2:249">
      <c r="B112" s="145"/>
      <c r="E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  <c r="FY112" s="15"/>
      <c r="FZ112" s="15"/>
      <c r="GA112" s="15"/>
      <c r="GB112" s="15"/>
      <c r="GC112" s="15"/>
      <c r="GD112" s="15"/>
      <c r="GE112" s="15"/>
      <c r="GF112" s="15"/>
      <c r="GG112" s="15"/>
      <c r="GH112" s="15"/>
      <c r="GI112" s="15"/>
      <c r="GJ112" s="15"/>
      <c r="GK112" s="15"/>
      <c r="GL112" s="15"/>
      <c r="GM112" s="15"/>
      <c r="GN112" s="15"/>
      <c r="GO112" s="15"/>
      <c r="GP112" s="15"/>
      <c r="GQ112" s="15"/>
      <c r="GR112" s="15"/>
      <c r="GS112" s="15"/>
      <c r="GT112" s="15"/>
      <c r="GU112" s="15"/>
      <c r="GV112" s="15"/>
      <c r="GW112" s="15"/>
      <c r="GX112" s="15"/>
      <c r="GY112" s="15"/>
      <c r="GZ112" s="15"/>
      <c r="HA112" s="15"/>
      <c r="HB112" s="15"/>
      <c r="HC112" s="15"/>
      <c r="HD112" s="15"/>
      <c r="HE112" s="15"/>
      <c r="HF112" s="15"/>
      <c r="HG112" s="15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  <c r="HW112" s="15"/>
      <c r="HX112" s="15"/>
      <c r="HY112" s="15"/>
      <c r="HZ112" s="15"/>
      <c r="IA112" s="15"/>
      <c r="IB112" s="15"/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  <c r="IM112" s="15"/>
      <c r="IN112" s="15"/>
      <c r="IO112" s="15"/>
    </row>
    <row r="113" spans="2:249">
      <c r="B113" s="145"/>
      <c r="E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5"/>
      <c r="GL113" s="15"/>
      <c r="GM113" s="15"/>
      <c r="GN113" s="15"/>
      <c r="GO113" s="15"/>
      <c r="GP113" s="15"/>
      <c r="GQ113" s="15"/>
      <c r="GR113" s="15"/>
      <c r="GS113" s="15"/>
      <c r="GT113" s="15"/>
      <c r="GU113" s="15"/>
      <c r="GV113" s="15"/>
      <c r="GW113" s="15"/>
      <c r="GX113" s="15"/>
      <c r="GY113" s="15"/>
      <c r="GZ113" s="15"/>
      <c r="HA113" s="15"/>
      <c r="HB113" s="15"/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  <c r="IA113" s="15"/>
      <c r="IB113" s="15"/>
      <c r="IC113" s="15"/>
      <c r="ID113" s="15"/>
      <c r="IE113" s="15"/>
      <c r="IF113" s="15"/>
      <c r="IG113" s="15"/>
      <c r="IH113" s="15"/>
      <c r="II113" s="15"/>
      <c r="IJ113" s="15"/>
      <c r="IK113" s="15"/>
      <c r="IL113" s="15"/>
      <c r="IM113" s="15"/>
      <c r="IN113" s="15"/>
      <c r="IO113" s="15"/>
    </row>
    <row r="114" spans="2:249">
      <c r="B114" s="145"/>
      <c r="E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5"/>
      <c r="GL114" s="15"/>
      <c r="GM114" s="15"/>
      <c r="GN114" s="15"/>
      <c r="GO114" s="15"/>
      <c r="GP114" s="15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  <c r="IA114" s="15"/>
      <c r="IB114" s="15"/>
      <c r="IC114" s="15"/>
      <c r="ID114" s="15"/>
      <c r="IE114" s="15"/>
      <c r="IF114" s="15"/>
      <c r="IG114" s="15"/>
      <c r="IH114" s="15"/>
      <c r="II114" s="15"/>
      <c r="IJ114" s="15"/>
      <c r="IK114" s="15"/>
      <c r="IL114" s="15"/>
      <c r="IM114" s="15"/>
      <c r="IN114" s="15"/>
      <c r="IO114" s="15"/>
    </row>
    <row r="115" spans="2:249">
      <c r="B115" s="145"/>
      <c r="E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  <c r="IM115" s="15"/>
      <c r="IN115" s="15"/>
      <c r="IO115" s="15"/>
    </row>
    <row r="116" spans="2:249">
      <c r="B116" s="145"/>
      <c r="E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  <c r="IM116" s="15"/>
      <c r="IN116" s="15"/>
      <c r="IO116" s="15"/>
    </row>
    <row r="117" spans="2:249">
      <c r="B117" s="145"/>
      <c r="E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5"/>
      <c r="GL117" s="15"/>
      <c r="GM117" s="15"/>
      <c r="GN117" s="15"/>
      <c r="GO117" s="15"/>
      <c r="GP117" s="15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  <c r="IA117" s="15"/>
      <c r="IB117" s="15"/>
      <c r="IC117" s="15"/>
      <c r="ID117" s="15"/>
      <c r="IE117" s="15"/>
      <c r="IF117" s="15"/>
      <c r="IG117" s="15"/>
      <c r="IH117" s="15"/>
      <c r="II117" s="15"/>
      <c r="IJ117" s="15"/>
      <c r="IK117" s="15"/>
      <c r="IL117" s="15"/>
      <c r="IM117" s="15"/>
      <c r="IN117" s="15"/>
      <c r="IO117" s="15"/>
    </row>
    <row r="118" spans="2:249">
      <c r="B118" s="145"/>
      <c r="E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5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  <c r="IA118" s="15"/>
      <c r="IB118" s="15"/>
      <c r="IC118" s="15"/>
      <c r="ID118" s="15"/>
      <c r="IE118" s="15"/>
      <c r="IF118" s="15"/>
      <c r="IG118" s="15"/>
      <c r="IH118" s="15"/>
      <c r="II118" s="15"/>
      <c r="IJ118" s="15"/>
      <c r="IK118" s="15"/>
      <c r="IL118" s="15"/>
      <c r="IM118" s="15"/>
      <c r="IN118" s="15"/>
      <c r="IO118" s="15"/>
    </row>
    <row r="119" spans="2:249">
      <c r="B119" s="145"/>
      <c r="E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  <c r="FY119" s="15"/>
      <c r="FZ119" s="15"/>
      <c r="GA119" s="15"/>
      <c r="GB119" s="15"/>
      <c r="GC119" s="15"/>
      <c r="GD119" s="15"/>
      <c r="GE119" s="15"/>
      <c r="GF119" s="15"/>
      <c r="GG119" s="15"/>
      <c r="GH119" s="15"/>
      <c r="GI119" s="15"/>
      <c r="GJ119" s="15"/>
      <c r="GK119" s="15"/>
      <c r="GL119" s="15"/>
      <c r="GM119" s="15"/>
      <c r="GN119" s="15"/>
      <c r="GO119" s="15"/>
      <c r="GP119" s="15"/>
      <c r="GQ119" s="15"/>
      <c r="GR119" s="15"/>
      <c r="GS119" s="15"/>
      <c r="GT119" s="15"/>
      <c r="GU119" s="15"/>
      <c r="GV119" s="15"/>
      <c r="GW119" s="15"/>
      <c r="GX119" s="15"/>
      <c r="GY119" s="15"/>
      <c r="GZ119" s="15"/>
      <c r="HA119" s="15"/>
      <c r="HB119" s="15"/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  <c r="IA119" s="15"/>
      <c r="IB119" s="15"/>
      <c r="IC119" s="15"/>
      <c r="ID119" s="15"/>
      <c r="IE119" s="15"/>
      <c r="IF119" s="15"/>
      <c r="IG119" s="15"/>
      <c r="IH119" s="15"/>
      <c r="II119" s="15"/>
      <c r="IJ119" s="15"/>
      <c r="IK119" s="15"/>
      <c r="IL119" s="15"/>
      <c r="IM119" s="15"/>
      <c r="IN119" s="15"/>
      <c r="IO119" s="15"/>
    </row>
    <row r="120" spans="2:249">
      <c r="B120" s="145"/>
      <c r="E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  <c r="FY120" s="15"/>
      <c r="FZ120" s="15"/>
      <c r="GA120" s="15"/>
      <c r="GB120" s="15"/>
      <c r="GC120" s="15"/>
      <c r="GD120" s="15"/>
      <c r="GE120" s="15"/>
      <c r="GF120" s="15"/>
      <c r="GG120" s="15"/>
      <c r="GH120" s="15"/>
      <c r="GI120" s="15"/>
      <c r="GJ120" s="15"/>
      <c r="GK120" s="15"/>
      <c r="GL120" s="15"/>
      <c r="GM120" s="15"/>
      <c r="GN120" s="15"/>
      <c r="GO120" s="15"/>
      <c r="GP120" s="15"/>
      <c r="GQ120" s="15"/>
      <c r="GR120" s="15"/>
      <c r="GS120" s="15"/>
      <c r="GT120" s="15"/>
      <c r="GU120" s="15"/>
      <c r="GV120" s="15"/>
      <c r="GW120" s="15"/>
      <c r="GX120" s="15"/>
      <c r="GY120" s="15"/>
      <c r="GZ120" s="15"/>
      <c r="HA120" s="15"/>
      <c r="HB120" s="15"/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  <c r="IA120" s="15"/>
      <c r="IB120" s="15"/>
      <c r="IC120" s="15"/>
      <c r="ID120" s="15"/>
      <c r="IE120" s="15"/>
      <c r="IF120" s="15"/>
      <c r="IG120" s="15"/>
      <c r="IH120" s="15"/>
      <c r="II120" s="15"/>
      <c r="IJ120" s="15"/>
      <c r="IK120" s="15"/>
      <c r="IL120" s="15"/>
      <c r="IM120" s="15"/>
      <c r="IN120" s="15"/>
      <c r="IO120" s="15"/>
    </row>
    <row r="121" spans="2:249">
      <c r="B121" s="145"/>
      <c r="E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  <c r="FY121" s="15"/>
      <c r="FZ121" s="15"/>
      <c r="GA121" s="15"/>
      <c r="GB121" s="15"/>
      <c r="GC121" s="15"/>
      <c r="GD121" s="15"/>
      <c r="GE121" s="15"/>
      <c r="GF121" s="15"/>
      <c r="GG121" s="15"/>
      <c r="GH121" s="15"/>
      <c r="GI121" s="15"/>
      <c r="GJ121" s="15"/>
      <c r="GK121" s="15"/>
      <c r="GL121" s="15"/>
      <c r="GM121" s="15"/>
      <c r="GN121" s="15"/>
      <c r="GO121" s="15"/>
      <c r="GP121" s="15"/>
      <c r="GQ121" s="15"/>
      <c r="GR121" s="15"/>
      <c r="GS121" s="15"/>
      <c r="GT121" s="15"/>
      <c r="GU121" s="15"/>
      <c r="GV121" s="15"/>
      <c r="GW121" s="15"/>
      <c r="GX121" s="15"/>
      <c r="GY121" s="15"/>
      <c r="GZ121" s="15"/>
      <c r="HA121" s="15"/>
      <c r="HB121" s="15"/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  <c r="HW121" s="15"/>
      <c r="HX121" s="15"/>
      <c r="HY121" s="15"/>
      <c r="HZ121" s="15"/>
      <c r="IA121" s="15"/>
      <c r="IB121" s="15"/>
      <c r="IC121" s="15"/>
      <c r="ID121" s="15"/>
      <c r="IE121" s="15"/>
      <c r="IF121" s="15"/>
      <c r="IG121" s="15"/>
      <c r="IH121" s="15"/>
      <c r="II121" s="15"/>
      <c r="IJ121" s="15"/>
      <c r="IK121" s="15"/>
      <c r="IL121" s="15"/>
      <c r="IM121" s="15"/>
      <c r="IN121" s="15"/>
      <c r="IO121" s="15"/>
    </row>
    <row r="122" spans="2:249">
      <c r="B122" s="145"/>
      <c r="E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5"/>
      <c r="GL122" s="15"/>
      <c r="GM122" s="15"/>
      <c r="GN122" s="15"/>
      <c r="GO122" s="15"/>
      <c r="GP122" s="15"/>
      <c r="GQ122" s="15"/>
      <c r="GR122" s="15"/>
      <c r="GS122" s="15"/>
      <c r="GT122" s="15"/>
      <c r="GU122" s="15"/>
      <c r="GV122" s="15"/>
      <c r="GW122" s="15"/>
      <c r="GX122" s="15"/>
      <c r="GY122" s="15"/>
      <c r="GZ122" s="15"/>
      <c r="HA122" s="15"/>
      <c r="HB122" s="15"/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  <c r="HW122" s="15"/>
      <c r="HX122" s="15"/>
      <c r="HY122" s="15"/>
      <c r="HZ122" s="15"/>
      <c r="IA122" s="15"/>
      <c r="IB122" s="15"/>
      <c r="IC122" s="15"/>
      <c r="ID122" s="15"/>
      <c r="IE122" s="15"/>
      <c r="IF122" s="15"/>
      <c r="IG122" s="15"/>
      <c r="IH122" s="15"/>
      <c r="II122" s="15"/>
      <c r="IJ122" s="15"/>
      <c r="IK122" s="15"/>
      <c r="IL122" s="15"/>
      <c r="IM122" s="15"/>
      <c r="IN122" s="15"/>
      <c r="IO122" s="15"/>
    </row>
    <row r="123" spans="2:249">
      <c r="B123" s="145"/>
      <c r="E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/>
      <c r="FT123" s="15"/>
      <c r="FU123" s="15"/>
      <c r="FV123" s="15"/>
      <c r="FW123" s="15"/>
      <c r="FX123" s="15"/>
      <c r="FY123" s="15"/>
      <c r="FZ123" s="15"/>
      <c r="GA123" s="15"/>
      <c r="GB123" s="15"/>
      <c r="GC123" s="15"/>
      <c r="GD123" s="15"/>
      <c r="GE123" s="15"/>
      <c r="GF123" s="15"/>
      <c r="GG123" s="15"/>
      <c r="GH123" s="15"/>
      <c r="GI123" s="15"/>
      <c r="GJ123" s="15"/>
      <c r="GK123" s="15"/>
      <c r="GL123" s="15"/>
      <c r="GM123" s="15"/>
      <c r="GN123" s="15"/>
      <c r="GO123" s="15"/>
      <c r="GP123" s="15"/>
      <c r="GQ123" s="15"/>
      <c r="GR123" s="15"/>
      <c r="GS123" s="15"/>
      <c r="GT123" s="15"/>
      <c r="GU123" s="15"/>
      <c r="GV123" s="15"/>
      <c r="GW123" s="15"/>
      <c r="GX123" s="15"/>
      <c r="GY123" s="15"/>
      <c r="GZ123" s="15"/>
      <c r="HA123" s="15"/>
      <c r="HB123" s="15"/>
      <c r="HC123" s="15"/>
      <c r="HD123" s="15"/>
      <c r="HE123" s="15"/>
      <c r="HF123" s="15"/>
      <c r="HG123" s="15"/>
      <c r="HH123" s="15"/>
      <c r="HI123" s="15"/>
      <c r="HJ123" s="15"/>
      <c r="HK123" s="15"/>
      <c r="HL123" s="15"/>
      <c r="HM123" s="15"/>
      <c r="HN123" s="15"/>
      <c r="HO123" s="15"/>
      <c r="HP123" s="15"/>
      <c r="HQ123" s="15"/>
      <c r="HR123" s="15"/>
      <c r="HS123" s="15"/>
      <c r="HT123" s="15"/>
      <c r="HU123" s="15"/>
      <c r="HV123" s="15"/>
      <c r="HW123" s="15"/>
      <c r="HX123" s="15"/>
      <c r="HY123" s="15"/>
      <c r="HZ123" s="15"/>
      <c r="IA123" s="15"/>
      <c r="IB123" s="15"/>
      <c r="IC123" s="15"/>
      <c r="ID123" s="15"/>
      <c r="IE123" s="15"/>
      <c r="IF123" s="15"/>
      <c r="IG123" s="15"/>
      <c r="IH123" s="15"/>
      <c r="II123" s="15"/>
      <c r="IJ123" s="15"/>
      <c r="IK123" s="15"/>
      <c r="IL123" s="15"/>
      <c r="IM123" s="15"/>
      <c r="IN123" s="15"/>
      <c r="IO123" s="15"/>
    </row>
    <row r="124" spans="2:249">
      <c r="B124" s="145"/>
      <c r="E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15"/>
      <c r="FU124" s="15"/>
      <c r="FV124" s="15"/>
      <c r="FW124" s="15"/>
      <c r="FX124" s="15"/>
      <c r="FY124" s="15"/>
      <c r="FZ124" s="15"/>
      <c r="GA124" s="15"/>
      <c r="GB124" s="15"/>
      <c r="GC124" s="15"/>
      <c r="GD124" s="15"/>
      <c r="GE124" s="15"/>
      <c r="GF124" s="15"/>
      <c r="GG124" s="15"/>
      <c r="GH124" s="15"/>
      <c r="GI124" s="15"/>
      <c r="GJ124" s="15"/>
      <c r="GK124" s="15"/>
      <c r="GL124" s="15"/>
      <c r="GM124" s="15"/>
      <c r="GN124" s="15"/>
      <c r="GO124" s="15"/>
      <c r="GP124" s="15"/>
      <c r="GQ124" s="15"/>
      <c r="GR124" s="15"/>
      <c r="GS124" s="15"/>
      <c r="GT124" s="15"/>
      <c r="GU124" s="15"/>
      <c r="GV124" s="15"/>
      <c r="GW124" s="15"/>
      <c r="GX124" s="15"/>
      <c r="GY124" s="15"/>
      <c r="GZ124" s="15"/>
      <c r="HA124" s="15"/>
      <c r="HB124" s="15"/>
      <c r="HC124" s="15"/>
      <c r="HD124" s="15"/>
      <c r="HE124" s="15"/>
      <c r="HF124" s="15"/>
      <c r="HG124" s="15"/>
      <c r="HH124" s="15"/>
      <c r="HI124" s="15"/>
      <c r="HJ124" s="15"/>
      <c r="HK124" s="15"/>
      <c r="HL124" s="15"/>
      <c r="HM124" s="15"/>
      <c r="HN124" s="15"/>
      <c r="HO124" s="15"/>
      <c r="HP124" s="15"/>
      <c r="HQ124" s="15"/>
      <c r="HR124" s="15"/>
      <c r="HS124" s="15"/>
      <c r="HT124" s="15"/>
      <c r="HU124" s="15"/>
      <c r="HV124" s="15"/>
      <c r="HW124" s="15"/>
      <c r="HX124" s="15"/>
      <c r="HY124" s="15"/>
      <c r="HZ124" s="15"/>
      <c r="IA124" s="15"/>
      <c r="IB124" s="15"/>
      <c r="IC124" s="15"/>
      <c r="ID124" s="15"/>
      <c r="IE124" s="15"/>
      <c r="IF124" s="15"/>
      <c r="IG124" s="15"/>
      <c r="IH124" s="15"/>
      <c r="II124" s="15"/>
      <c r="IJ124" s="15"/>
      <c r="IK124" s="15"/>
      <c r="IL124" s="15"/>
      <c r="IM124" s="15"/>
      <c r="IN124" s="15"/>
      <c r="IO124" s="15"/>
    </row>
    <row r="125" spans="2:249">
      <c r="B125" s="145"/>
      <c r="E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5"/>
      <c r="GG125" s="15"/>
      <c r="GH125" s="15"/>
      <c r="GI125" s="15"/>
      <c r="GJ125" s="15"/>
      <c r="GK125" s="15"/>
      <c r="GL125" s="15"/>
      <c r="GM125" s="15"/>
      <c r="GN125" s="15"/>
      <c r="GO125" s="15"/>
      <c r="GP125" s="15"/>
      <c r="GQ125" s="15"/>
      <c r="GR125" s="15"/>
      <c r="GS125" s="15"/>
      <c r="GT125" s="15"/>
      <c r="GU125" s="15"/>
      <c r="GV125" s="15"/>
      <c r="GW125" s="15"/>
      <c r="GX125" s="15"/>
      <c r="GY125" s="15"/>
      <c r="GZ125" s="15"/>
      <c r="HA125" s="15"/>
      <c r="HB125" s="15"/>
      <c r="HC125" s="15"/>
      <c r="HD125" s="15"/>
      <c r="HE125" s="15"/>
      <c r="HF125" s="15"/>
      <c r="HG125" s="15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  <c r="HW125" s="15"/>
      <c r="HX125" s="15"/>
      <c r="HY125" s="15"/>
      <c r="HZ125" s="15"/>
      <c r="IA125" s="15"/>
      <c r="IB125" s="15"/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  <c r="IM125" s="15"/>
      <c r="IN125" s="15"/>
      <c r="IO125" s="15"/>
    </row>
    <row r="126" spans="2:249">
      <c r="B126" s="145"/>
      <c r="E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/>
      <c r="FT126" s="15"/>
      <c r="FU126" s="15"/>
      <c r="FV126" s="15"/>
      <c r="FW126" s="15"/>
      <c r="FX126" s="15"/>
      <c r="FY126" s="15"/>
      <c r="FZ126" s="15"/>
      <c r="GA126" s="15"/>
      <c r="GB126" s="15"/>
      <c r="GC126" s="15"/>
      <c r="GD126" s="15"/>
      <c r="GE126" s="15"/>
      <c r="GF126" s="15"/>
      <c r="GG126" s="15"/>
      <c r="GH126" s="15"/>
      <c r="GI126" s="15"/>
      <c r="GJ126" s="15"/>
      <c r="GK126" s="15"/>
      <c r="GL126" s="15"/>
      <c r="GM126" s="15"/>
      <c r="GN126" s="15"/>
      <c r="GO126" s="15"/>
      <c r="GP126" s="15"/>
      <c r="GQ126" s="15"/>
      <c r="GR126" s="15"/>
      <c r="GS126" s="15"/>
      <c r="GT126" s="15"/>
      <c r="GU126" s="15"/>
      <c r="GV126" s="15"/>
      <c r="GW126" s="15"/>
      <c r="GX126" s="15"/>
      <c r="GY126" s="15"/>
      <c r="GZ126" s="15"/>
      <c r="HA126" s="15"/>
      <c r="HB126" s="15"/>
      <c r="HC126" s="15"/>
      <c r="HD126" s="15"/>
      <c r="HE126" s="15"/>
      <c r="HF126" s="15"/>
      <c r="HG126" s="15"/>
      <c r="HH126" s="15"/>
      <c r="HI126" s="15"/>
      <c r="HJ126" s="15"/>
      <c r="HK126" s="15"/>
      <c r="HL126" s="15"/>
      <c r="HM126" s="15"/>
      <c r="HN126" s="15"/>
      <c r="HO126" s="15"/>
      <c r="HP126" s="15"/>
      <c r="HQ126" s="15"/>
      <c r="HR126" s="15"/>
      <c r="HS126" s="15"/>
      <c r="HT126" s="15"/>
      <c r="HU126" s="15"/>
      <c r="HV126" s="15"/>
      <c r="HW126" s="15"/>
      <c r="HX126" s="15"/>
      <c r="HY126" s="15"/>
      <c r="HZ126" s="15"/>
      <c r="IA126" s="15"/>
      <c r="IB126" s="15"/>
      <c r="IC126" s="15"/>
      <c r="ID126" s="15"/>
      <c r="IE126" s="15"/>
      <c r="IF126" s="15"/>
      <c r="IG126" s="15"/>
      <c r="IH126" s="15"/>
      <c r="II126" s="15"/>
      <c r="IJ126" s="15"/>
      <c r="IK126" s="15"/>
      <c r="IL126" s="15"/>
      <c r="IM126" s="15"/>
      <c r="IN126" s="15"/>
      <c r="IO126" s="15"/>
    </row>
    <row r="127" spans="2:249">
      <c r="B127" s="145"/>
      <c r="E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  <c r="GN127" s="15"/>
      <c r="GO127" s="15"/>
      <c r="GP127" s="15"/>
      <c r="GQ127" s="15"/>
      <c r="GR127" s="15"/>
      <c r="GS127" s="15"/>
      <c r="GT127" s="15"/>
      <c r="GU127" s="15"/>
      <c r="GV127" s="15"/>
      <c r="GW127" s="15"/>
      <c r="GX127" s="15"/>
      <c r="GY127" s="15"/>
      <c r="GZ127" s="15"/>
      <c r="HA127" s="15"/>
      <c r="HB127" s="15"/>
      <c r="HC127" s="15"/>
      <c r="HD127" s="15"/>
      <c r="HE127" s="15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</row>
    <row r="128" spans="2:249">
      <c r="B128" s="145"/>
      <c r="E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5"/>
      <c r="GL128" s="15"/>
      <c r="GM128" s="15"/>
      <c r="GN128" s="15"/>
      <c r="GO128" s="15"/>
      <c r="GP128" s="15"/>
      <c r="GQ128" s="15"/>
      <c r="GR128" s="15"/>
      <c r="GS128" s="15"/>
      <c r="GT128" s="15"/>
      <c r="GU128" s="15"/>
      <c r="GV128" s="15"/>
      <c r="GW128" s="15"/>
      <c r="GX128" s="15"/>
      <c r="GY128" s="15"/>
      <c r="GZ128" s="15"/>
      <c r="HA128" s="15"/>
      <c r="HB128" s="15"/>
      <c r="HC128" s="15"/>
      <c r="HD128" s="15"/>
      <c r="HE128" s="15"/>
      <c r="HF128" s="15"/>
      <c r="HG128" s="15"/>
      <c r="HH128" s="15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5"/>
      <c r="HT128" s="15"/>
      <c r="HU128" s="15"/>
      <c r="HV128" s="15"/>
      <c r="HW128" s="15"/>
      <c r="HX128" s="15"/>
      <c r="HY128" s="15"/>
      <c r="HZ128" s="15"/>
      <c r="IA128" s="15"/>
      <c r="IB128" s="15"/>
      <c r="IC128" s="15"/>
      <c r="ID128" s="15"/>
      <c r="IE128" s="15"/>
      <c r="IF128" s="15"/>
      <c r="IG128" s="15"/>
      <c r="IH128" s="15"/>
      <c r="II128" s="15"/>
      <c r="IJ128" s="15"/>
      <c r="IK128" s="15"/>
      <c r="IL128" s="15"/>
      <c r="IM128" s="15"/>
      <c r="IN128" s="15"/>
      <c r="IO128" s="15"/>
    </row>
    <row r="129" spans="2:249">
      <c r="B129" s="145"/>
      <c r="E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/>
      <c r="FP129" s="15"/>
      <c r="FQ129" s="15"/>
      <c r="FR129" s="15"/>
      <c r="FS129" s="15"/>
      <c r="FT129" s="15"/>
      <c r="FU129" s="15"/>
      <c r="FV129" s="15"/>
      <c r="FW129" s="15"/>
      <c r="FX129" s="15"/>
      <c r="FY129" s="15"/>
      <c r="FZ129" s="15"/>
      <c r="GA129" s="15"/>
      <c r="GB129" s="15"/>
      <c r="GC129" s="15"/>
      <c r="GD129" s="15"/>
      <c r="GE129" s="15"/>
      <c r="GF129" s="15"/>
      <c r="GG129" s="15"/>
      <c r="GH129" s="15"/>
      <c r="GI129" s="15"/>
      <c r="GJ129" s="15"/>
      <c r="GK129" s="15"/>
      <c r="GL129" s="15"/>
      <c r="GM129" s="15"/>
      <c r="GN129" s="15"/>
      <c r="GO129" s="15"/>
      <c r="GP129" s="15"/>
      <c r="GQ129" s="15"/>
      <c r="GR129" s="15"/>
      <c r="GS129" s="15"/>
      <c r="GT129" s="15"/>
      <c r="GU129" s="15"/>
      <c r="GV129" s="15"/>
      <c r="GW129" s="15"/>
      <c r="GX129" s="15"/>
      <c r="GY129" s="15"/>
      <c r="GZ129" s="15"/>
      <c r="HA129" s="15"/>
      <c r="HB129" s="15"/>
      <c r="HC129" s="15"/>
      <c r="HD129" s="15"/>
      <c r="HE129" s="15"/>
      <c r="HF129" s="15"/>
      <c r="HG129" s="15"/>
      <c r="HH129" s="15"/>
      <c r="HI129" s="15"/>
      <c r="HJ129" s="15"/>
      <c r="HK129" s="15"/>
      <c r="HL129" s="15"/>
      <c r="HM129" s="15"/>
      <c r="HN129" s="15"/>
      <c r="HO129" s="15"/>
      <c r="HP129" s="15"/>
      <c r="HQ129" s="15"/>
      <c r="HR129" s="15"/>
      <c r="HS129" s="15"/>
      <c r="HT129" s="15"/>
      <c r="HU129" s="15"/>
      <c r="HV129" s="15"/>
      <c r="HW129" s="15"/>
      <c r="HX129" s="15"/>
      <c r="HY129" s="15"/>
      <c r="HZ129" s="15"/>
      <c r="IA129" s="15"/>
      <c r="IB129" s="15"/>
      <c r="IC129" s="15"/>
      <c r="ID129" s="15"/>
      <c r="IE129" s="15"/>
      <c r="IF129" s="15"/>
      <c r="IG129" s="15"/>
      <c r="IH129" s="15"/>
      <c r="II129" s="15"/>
      <c r="IJ129" s="15"/>
      <c r="IK129" s="15"/>
      <c r="IL129" s="15"/>
      <c r="IM129" s="15"/>
      <c r="IN129" s="15"/>
      <c r="IO129" s="15"/>
    </row>
    <row r="130" spans="2:249">
      <c r="B130" s="145"/>
      <c r="E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5"/>
      <c r="GL130" s="15"/>
      <c r="GM130" s="15"/>
      <c r="GN130" s="15"/>
      <c r="GO130" s="15"/>
      <c r="GP130" s="15"/>
      <c r="GQ130" s="15"/>
      <c r="GR130" s="15"/>
      <c r="GS130" s="15"/>
      <c r="GT130" s="15"/>
      <c r="GU130" s="15"/>
      <c r="GV130" s="15"/>
      <c r="GW130" s="15"/>
      <c r="GX130" s="15"/>
      <c r="GY130" s="15"/>
      <c r="GZ130" s="15"/>
      <c r="HA130" s="15"/>
      <c r="HB130" s="15"/>
      <c r="HC130" s="15"/>
      <c r="HD130" s="15"/>
      <c r="HE130" s="15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</row>
    <row r="131" spans="2:249">
      <c r="B131" s="145"/>
      <c r="E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/>
      <c r="FT131" s="15"/>
      <c r="FU131" s="15"/>
      <c r="FV131" s="15"/>
      <c r="FW131" s="15"/>
      <c r="FX131" s="15"/>
      <c r="FY131" s="15"/>
      <c r="FZ131" s="15"/>
      <c r="GA131" s="15"/>
      <c r="GB131" s="15"/>
      <c r="GC131" s="15"/>
      <c r="GD131" s="15"/>
      <c r="GE131" s="15"/>
      <c r="GF131" s="15"/>
      <c r="GG131" s="15"/>
      <c r="GH131" s="15"/>
      <c r="GI131" s="15"/>
      <c r="GJ131" s="15"/>
      <c r="GK131" s="15"/>
      <c r="GL131" s="15"/>
      <c r="GM131" s="15"/>
      <c r="GN131" s="15"/>
      <c r="GO131" s="15"/>
      <c r="GP131" s="15"/>
      <c r="GQ131" s="15"/>
      <c r="GR131" s="15"/>
      <c r="GS131" s="15"/>
      <c r="GT131" s="15"/>
      <c r="GU131" s="15"/>
      <c r="GV131" s="15"/>
      <c r="GW131" s="15"/>
      <c r="GX131" s="15"/>
      <c r="GY131" s="15"/>
      <c r="GZ131" s="15"/>
      <c r="HA131" s="15"/>
      <c r="HB131" s="15"/>
      <c r="HC131" s="15"/>
      <c r="HD131" s="15"/>
      <c r="HE131" s="15"/>
      <c r="HF131" s="15"/>
      <c r="HG131" s="15"/>
      <c r="HH131" s="15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5"/>
      <c r="HT131" s="15"/>
      <c r="HU131" s="15"/>
      <c r="HV131" s="15"/>
      <c r="HW131" s="15"/>
      <c r="HX131" s="15"/>
      <c r="HY131" s="15"/>
      <c r="HZ131" s="15"/>
      <c r="IA131" s="15"/>
      <c r="IB131" s="15"/>
      <c r="IC131" s="15"/>
      <c r="ID131" s="15"/>
      <c r="IE131" s="15"/>
      <c r="IF131" s="15"/>
      <c r="IG131" s="15"/>
      <c r="IH131" s="15"/>
      <c r="II131" s="15"/>
      <c r="IJ131" s="15"/>
      <c r="IK131" s="15"/>
      <c r="IL131" s="15"/>
      <c r="IM131" s="15"/>
      <c r="IN131" s="15"/>
      <c r="IO131" s="15"/>
    </row>
    <row r="132" spans="2:249">
      <c r="B132" s="145"/>
      <c r="E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/>
      <c r="FQ132" s="15"/>
      <c r="FR132" s="15"/>
      <c r="FS132" s="15"/>
      <c r="FT132" s="15"/>
      <c r="FU132" s="15"/>
      <c r="FV132" s="15"/>
      <c r="FW132" s="15"/>
      <c r="FX132" s="15"/>
      <c r="FY132" s="15"/>
      <c r="FZ132" s="15"/>
      <c r="GA132" s="15"/>
      <c r="GB132" s="15"/>
      <c r="GC132" s="15"/>
      <c r="GD132" s="15"/>
      <c r="GE132" s="15"/>
      <c r="GF132" s="15"/>
      <c r="GG132" s="15"/>
      <c r="GH132" s="15"/>
      <c r="GI132" s="15"/>
      <c r="GJ132" s="15"/>
      <c r="GK132" s="15"/>
      <c r="GL132" s="15"/>
      <c r="GM132" s="15"/>
      <c r="GN132" s="15"/>
      <c r="GO132" s="15"/>
      <c r="GP132" s="15"/>
      <c r="GQ132" s="15"/>
      <c r="GR132" s="15"/>
      <c r="GS132" s="15"/>
      <c r="GT132" s="15"/>
      <c r="GU132" s="15"/>
      <c r="GV132" s="15"/>
      <c r="GW132" s="15"/>
      <c r="GX132" s="15"/>
      <c r="GY132" s="15"/>
      <c r="GZ132" s="15"/>
      <c r="HA132" s="15"/>
      <c r="HB132" s="15"/>
      <c r="HC132" s="15"/>
      <c r="HD132" s="15"/>
      <c r="HE132" s="15"/>
      <c r="HF132" s="15"/>
      <c r="HG132" s="15"/>
      <c r="HH132" s="15"/>
      <c r="HI132" s="15"/>
      <c r="HJ132" s="15"/>
      <c r="HK132" s="15"/>
      <c r="HL132" s="15"/>
      <c r="HM132" s="15"/>
      <c r="HN132" s="15"/>
      <c r="HO132" s="15"/>
      <c r="HP132" s="15"/>
      <c r="HQ132" s="15"/>
      <c r="HR132" s="15"/>
      <c r="HS132" s="15"/>
      <c r="HT132" s="15"/>
      <c r="HU132" s="15"/>
      <c r="HV132" s="15"/>
      <c r="HW132" s="15"/>
      <c r="HX132" s="15"/>
      <c r="HY132" s="15"/>
      <c r="HZ132" s="15"/>
      <c r="IA132" s="15"/>
      <c r="IB132" s="15"/>
      <c r="IC132" s="15"/>
      <c r="ID132" s="15"/>
      <c r="IE132" s="15"/>
      <c r="IF132" s="15"/>
      <c r="IG132" s="15"/>
      <c r="IH132" s="15"/>
      <c r="II132" s="15"/>
      <c r="IJ132" s="15"/>
      <c r="IK132" s="15"/>
      <c r="IL132" s="15"/>
      <c r="IM132" s="15"/>
      <c r="IN132" s="15"/>
      <c r="IO132" s="15"/>
    </row>
    <row r="133" spans="2:249">
      <c r="B133" s="145"/>
      <c r="E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/>
      <c r="FT133" s="15"/>
      <c r="FU133" s="15"/>
      <c r="FV133" s="15"/>
      <c r="FW133" s="15"/>
      <c r="FX133" s="15"/>
      <c r="FY133" s="15"/>
      <c r="FZ133" s="15"/>
      <c r="GA133" s="15"/>
      <c r="GB133" s="15"/>
      <c r="GC133" s="15"/>
      <c r="GD133" s="15"/>
      <c r="GE133" s="15"/>
      <c r="GF133" s="15"/>
      <c r="GG133" s="15"/>
      <c r="GH133" s="15"/>
      <c r="GI133" s="15"/>
      <c r="GJ133" s="15"/>
      <c r="GK133" s="15"/>
      <c r="GL133" s="15"/>
      <c r="GM133" s="15"/>
      <c r="GN133" s="15"/>
      <c r="GO133" s="15"/>
      <c r="GP133" s="15"/>
      <c r="GQ133" s="15"/>
      <c r="GR133" s="15"/>
      <c r="GS133" s="15"/>
      <c r="GT133" s="15"/>
      <c r="GU133" s="15"/>
      <c r="GV133" s="15"/>
      <c r="GW133" s="15"/>
      <c r="GX133" s="15"/>
      <c r="GY133" s="15"/>
      <c r="GZ133" s="15"/>
      <c r="HA133" s="15"/>
      <c r="HB133" s="15"/>
      <c r="HC133" s="15"/>
      <c r="HD133" s="15"/>
      <c r="HE133" s="15"/>
      <c r="HF133" s="15"/>
      <c r="HG133" s="15"/>
      <c r="HH133" s="15"/>
      <c r="HI133" s="15"/>
      <c r="HJ133" s="15"/>
      <c r="HK133" s="15"/>
      <c r="HL133" s="15"/>
      <c r="HM133" s="15"/>
      <c r="HN133" s="15"/>
      <c r="HO133" s="15"/>
      <c r="HP133" s="15"/>
      <c r="HQ133" s="15"/>
      <c r="HR133" s="15"/>
      <c r="HS133" s="15"/>
      <c r="HT133" s="15"/>
      <c r="HU133" s="15"/>
      <c r="HV133" s="15"/>
      <c r="HW133" s="15"/>
      <c r="HX133" s="15"/>
      <c r="HY133" s="15"/>
      <c r="HZ133" s="15"/>
      <c r="IA133" s="15"/>
      <c r="IB133" s="15"/>
      <c r="IC133" s="15"/>
      <c r="ID133" s="15"/>
      <c r="IE133" s="15"/>
      <c r="IF133" s="15"/>
      <c r="IG133" s="15"/>
      <c r="IH133" s="15"/>
      <c r="II133" s="15"/>
      <c r="IJ133" s="15"/>
      <c r="IK133" s="15"/>
      <c r="IL133" s="15"/>
      <c r="IM133" s="15"/>
      <c r="IN133" s="15"/>
      <c r="IO133" s="15"/>
    </row>
    <row r="134" spans="2:249">
      <c r="B134" s="145"/>
      <c r="E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/>
      <c r="FQ134" s="15"/>
      <c r="FR134" s="15"/>
      <c r="FS134" s="15"/>
      <c r="FT134" s="15"/>
      <c r="FU134" s="15"/>
      <c r="FV134" s="15"/>
      <c r="FW134" s="15"/>
      <c r="FX134" s="15"/>
      <c r="FY134" s="15"/>
      <c r="FZ134" s="15"/>
      <c r="GA134" s="15"/>
      <c r="GB134" s="15"/>
      <c r="GC134" s="15"/>
      <c r="GD134" s="15"/>
      <c r="GE134" s="15"/>
      <c r="GF134" s="15"/>
      <c r="GG134" s="15"/>
      <c r="GH134" s="15"/>
      <c r="GI134" s="15"/>
      <c r="GJ134" s="15"/>
      <c r="GK134" s="15"/>
      <c r="GL134" s="15"/>
      <c r="GM134" s="15"/>
      <c r="GN134" s="15"/>
      <c r="GO134" s="15"/>
      <c r="GP134" s="15"/>
      <c r="GQ134" s="15"/>
      <c r="GR134" s="15"/>
      <c r="GS134" s="15"/>
      <c r="GT134" s="15"/>
      <c r="GU134" s="15"/>
      <c r="GV134" s="15"/>
      <c r="GW134" s="15"/>
      <c r="GX134" s="15"/>
      <c r="GY134" s="15"/>
      <c r="GZ134" s="15"/>
      <c r="HA134" s="15"/>
      <c r="HB134" s="15"/>
      <c r="HC134" s="15"/>
      <c r="HD134" s="15"/>
      <c r="HE134" s="15"/>
      <c r="HF134" s="15"/>
      <c r="HG134" s="15"/>
      <c r="HH134" s="15"/>
      <c r="HI134" s="15"/>
      <c r="HJ134" s="15"/>
      <c r="HK134" s="15"/>
      <c r="HL134" s="15"/>
      <c r="HM134" s="15"/>
      <c r="HN134" s="15"/>
      <c r="HO134" s="15"/>
      <c r="HP134" s="15"/>
      <c r="HQ134" s="15"/>
      <c r="HR134" s="15"/>
      <c r="HS134" s="15"/>
      <c r="HT134" s="15"/>
      <c r="HU134" s="15"/>
      <c r="HV134" s="15"/>
      <c r="HW134" s="15"/>
      <c r="HX134" s="15"/>
      <c r="HY134" s="15"/>
      <c r="HZ134" s="15"/>
      <c r="IA134" s="15"/>
      <c r="IB134" s="15"/>
      <c r="IC134" s="15"/>
      <c r="ID134" s="15"/>
      <c r="IE134" s="15"/>
      <c r="IF134" s="15"/>
      <c r="IG134" s="15"/>
      <c r="IH134" s="15"/>
      <c r="II134" s="15"/>
      <c r="IJ134" s="15"/>
      <c r="IK134" s="15"/>
      <c r="IL134" s="15"/>
      <c r="IM134" s="15"/>
      <c r="IN134" s="15"/>
      <c r="IO134" s="15"/>
    </row>
    <row r="135" spans="2:249">
      <c r="B135" s="145"/>
      <c r="E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/>
      <c r="FQ135" s="15"/>
      <c r="FR135" s="15"/>
      <c r="FS135" s="15"/>
      <c r="FT135" s="15"/>
      <c r="FU135" s="15"/>
      <c r="FV135" s="15"/>
      <c r="FW135" s="15"/>
      <c r="FX135" s="15"/>
      <c r="FY135" s="15"/>
      <c r="FZ135" s="15"/>
      <c r="GA135" s="15"/>
      <c r="GB135" s="15"/>
      <c r="GC135" s="15"/>
      <c r="GD135" s="15"/>
      <c r="GE135" s="15"/>
      <c r="GF135" s="15"/>
      <c r="GG135" s="15"/>
      <c r="GH135" s="15"/>
      <c r="GI135" s="15"/>
      <c r="GJ135" s="15"/>
      <c r="GK135" s="15"/>
      <c r="GL135" s="15"/>
      <c r="GM135" s="15"/>
      <c r="GN135" s="15"/>
      <c r="GO135" s="15"/>
      <c r="GP135" s="15"/>
      <c r="GQ135" s="15"/>
      <c r="GR135" s="15"/>
      <c r="GS135" s="15"/>
      <c r="GT135" s="15"/>
      <c r="GU135" s="15"/>
      <c r="GV135" s="15"/>
      <c r="GW135" s="15"/>
      <c r="GX135" s="15"/>
      <c r="GY135" s="15"/>
      <c r="GZ135" s="15"/>
      <c r="HA135" s="15"/>
      <c r="HB135" s="15"/>
      <c r="HC135" s="15"/>
      <c r="HD135" s="15"/>
      <c r="HE135" s="15"/>
      <c r="HF135" s="15"/>
      <c r="HG135" s="15"/>
      <c r="HH135" s="15"/>
      <c r="HI135" s="15"/>
      <c r="HJ135" s="15"/>
      <c r="HK135" s="15"/>
      <c r="HL135" s="15"/>
      <c r="HM135" s="15"/>
      <c r="HN135" s="15"/>
      <c r="HO135" s="15"/>
      <c r="HP135" s="15"/>
      <c r="HQ135" s="15"/>
      <c r="HR135" s="15"/>
      <c r="HS135" s="15"/>
      <c r="HT135" s="15"/>
      <c r="HU135" s="15"/>
      <c r="HV135" s="15"/>
      <c r="HW135" s="15"/>
      <c r="HX135" s="15"/>
      <c r="HY135" s="15"/>
      <c r="HZ135" s="15"/>
      <c r="IA135" s="15"/>
      <c r="IB135" s="15"/>
      <c r="IC135" s="15"/>
      <c r="ID135" s="15"/>
      <c r="IE135" s="15"/>
      <c r="IF135" s="15"/>
      <c r="IG135" s="15"/>
      <c r="IH135" s="15"/>
      <c r="II135" s="15"/>
      <c r="IJ135" s="15"/>
      <c r="IK135" s="15"/>
      <c r="IL135" s="15"/>
      <c r="IM135" s="15"/>
      <c r="IN135" s="15"/>
      <c r="IO135" s="15"/>
    </row>
    <row r="136" spans="2:249">
      <c r="B136" s="145"/>
      <c r="E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/>
      <c r="FQ136" s="15"/>
      <c r="FR136" s="15"/>
      <c r="FS136" s="15"/>
      <c r="FT136" s="15"/>
      <c r="FU136" s="15"/>
      <c r="FV136" s="15"/>
      <c r="FW136" s="15"/>
      <c r="FX136" s="15"/>
      <c r="FY136" s="15"/>
      <c r="FZ136" s="15"/>
      <c r="GA136" s="15"/>
      <c r="GB136" s="15"/>
      <c r="GC136" s="15"/>
      <c r="GD136" s="15"/>
      <c r="GE136" s="15"/>
      <c r="GF136" s="15"/>
      <c r="GG136" s="15"/>
      <c r="GH136" s="15"/>
      <c r="GI136" s="15"/>
      <c r="GJ136" s="15"/>
      <c r="GK136" s="15"/>
      <c r="GL136" s="15"/>
      <c r="GM136" s="15"/>
      <c r="GN136" s="15"/>
      <c r="GO136" s="15"/>
      <c r="GP136" s="15"/>
      <c r="GQ136" s="15"/>
      <c r="GR136" s="15"/>
      <c r="GS136" s="15"/>
      <c r="GT136" s="15"/>
      <c r="GU136" s="15"/>
      <c r="GV136" s="15"/>
      <c r="GW136" s="15"/>
      <c r="GX136" s="15"/>
      <c r="GY136" s="15"/>
      <c r="GZ136" s="15"/>
      <c r="HA136" s="15"/>
      <c r="HB136" s="15"/>
      <c r="HC136" s="15"/>
      <c r="HD136" s="15"/>
      <c r="HE136" s="15"/>
      <c r="HF136" s="15"/>
      <c r="HG136" s="15"/>
      <c r="HH136" s="15"/>
      <c r="HI136" s="15"/>
      <c r="HJ136" s="15"/>
      <c r="HK136" s="15"/>
      <c r="HL136" s="15"/>
      <c r="HM136" s="15"/>
      <c r="HN136" s="15"/>
      <c r="HO136" s="15"/>
      <c r="HP136" s="15"/>
      <c r="HQ136" s="15"/>
      <c r="HR136" s="15"/>
      <c r="HS136" s="15"/>
      <c r="HT136" s="15"/>
      <c r="HU136" s="15"/>
      <c r="HV136" s="15"/>
      <c r="HW136" s="15"/>
      <c r="HX136" s="15"/>
      <c r="HY136" s="15"/>
      <c r="HZ136" s="15"/>
      <c r="IA136" s="15"/>
      <c r="IB136" s="15"/>
      <c r="IC136" s="15"/>
      <c r="ID136" s="15"/>
      <c r="IE136" s="15"/>
      <c r="IF136" s="15"/>
      <c r="IG136" s="15"/>
      <c r="IH136" s="15"/>
      <c r="II136" s="15"/>
      <c r="IJ136" s="15"/>
      <c r="IK136" s="15"/>
      <c r="IL136" s="15"/>
      <c r="IM136" s="15"/>
      <c r="IN136" s="15"/>
      <c r="IO136" s="15"/>
    </row>
    <row r="137" spans="2:249">
      <c r="B137" s="145"/>
      <c r="E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/>
      <c r="FQ137" s="15"/>
      <c r="FR137" s="15"/>
      <c r="FS137" s="15"/>
      <c r="FT137" s="15"/>
      <c r="FU137" s="15"/>
      <c r="FV137" s="15"/>
      <c r="FW137" s="15"/>
      <c r="FX137" s="15"/>
      <c r="FY137" s="15"/>
      <c r="FZ137" s="15"/>
      <c r="GA137" s="15"/>
      <c r="GB137" s="15"/>
      <c r="GC137" s="15"/>
      <c r="GD137" s="15"/>
      <c r="GE137" s="15"/>
      <c r="GF137" s="15"/>
      <c r="GG137" s="15"/>
      <c r="GH137" s="15"/>
      <c r="GI137" s="15"/>
      <c r="GJ137" s="15"/>
      <c r="GK137" s="15"/>
      <c r="GL137" s="15"/>
      <c r="GM137" s="15"/>
      <c r="GN137" s="15"/>
      <c r="GO137" s="15"/>
      <c r="GP137" s="15"/>
      <c r="GQ137" s="15"/>
      <c r="GR137" s="15"/>
      <c r="GS137" s="15"/>
      <c r="GT137" s="15"/>
      <c r="GU137" s="15"/>
      <c r="GV137" s="15"/>
      <c r="GW137" s="15"/>
      <c r="GX137" s="15"/>
      <c r="GY137" s="15"/>
      <c r="GZ137" s="15"/>
      <c r="HA137" s="15"/>
      <c r="HB137" s="15"/>
      <c r="HC137" s="15"/>
      <c r="HD137" s="15"/>
      <c r="HE137" s="15"/>
      <c r="HF137" s="15"/>
      <c r="HG137" s="15"/>
      <c r="HH137" s="15"/>
      <c r="HI137" s="15"/>
      <c r="HJ137" s="15"/>
      <c r="HK137" s="15"/>
      <c r="HL137" s="15"/>
      <c r="HM137" s="15"/>
      <c r="HN137" s="15"/>
      <c r="HO137" s="15"/>
      <c r="HP137" s="15"/>
      <c r="HQ137" s="15"/>
      <c r="HR137" s="15"/>
      <c r="HS137" s="15"/>
      <c r="HT137" s="15"/>
      <c r="HU137" s="15"/>
      <c r="HV137" s="15"/>
      <c r="HW137" s="15"/>
      <c r="HX137" s="15"/>
      <c r="HY137" s="15"/>
      <c r="HZ137" s="15"/>
      <c r="IA137" s="15"/>
      <c r="IB137" s="15"/>
      <c r="IC137" s="15"/>
      <c r="ID137" s="15"/>
      <c r="IE137" s="15"/>
      <c r="IF137" s="15"/>
      <c r="IG137" s="15"/>
      <c r="IH137" s="15"/>
      <c r="II137" s="15"/>
      <c r="IJ137" s="15"/>
      <c r="IK137" s="15"/>
      <c r="IL137" s="15"/>
      <c r="IM137" s="15"/>
      <c r="IN137" s="15"/>
      <c r="IO137" s="15"/>
    </row>
    <row r="138" spans="2:249">
      <c r="B138" s="145"/>
      <c r="E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/>
      <c r="FT138" s="15"/>
      <c r="FU138" s="15"/>
      <c r="FV138" s="15"/>
      <c r="FW138" s="15"/>
      <c r="FX138" s="15"/>
      <c r="FY138" s="15"/>
      <c r="FZ138" s="15"/>
      <c r="GA138" s="15"/>
      <c r="GB138" s="15"/>
      <c r="GC138" s="15"/>
      <c r="GD138" s="15"/>
      <c r="GE138" s="15"/>
      <c r="GF138" s="15"/>
      <c r="GG138" s="15"/>
      <c r="GH138" s="15"/>
      <c r="GI138" s="15"/>
      <c r="GJ138" s="15"/>
      <c r="GK138" s="15"/>
      <c r="GL138" s="15"/>
      <c r="GM138" s="15"/>
      <c r="GN138" s="15"/>
      <c r="GO138" s="15"/>
      <c r="GP138" s="15"/>
      <c r="GQ138" s="15"/>
      <c r="GR138" s="15"/>
      <c r="GS138" s="15"/>
      <c r="GT138" s="15"/>
      <c r="GU138" s="15"/>
      <c r="GV138" s="15"/>
      <c r="GW138" s="15"/>
      <c r="GX138" s="15"/>
      <c r="GY138" s="15"/>
      <c r="GZ138" s="15"/>
      <c r="HA138" s="15"/>
      <c r="HB138" s="15"/>
      <c r="HC138" s="15"/>
      <c r="HD138" s="15"/>
      <c r="HE138" s="15"/>
      <c r="HF138" s="15"/>
      <c r="HG138" s="15"/>
      <c r="HH138" s="15"/>
      <c r="HI138" s="15"/>
      <c r="HJ138" s="15"/>
      <c r="HK138" s="15"/>
      <c r="HL138" s="15"/>
      <c r="HM138" s="15"/>
      <c r="HN138" s="15"/>
      <c r="HO138" s="15"/>
      <c r="HP138" s="15"/>
      <c r="HQ138" s="15"/>
      <c r="HR138" s="15"/>
      <c r="HS138" s="15"/>
      <c r="HT138" s="15"/>
      <c r="HU138" s="15"/>
      <c r="HV138" s="15"/>
      <c r="HW138" s="15"/>
      <c r="HX138" s="15"/>
      <c r="HY138" s="15"/>
      <c r="HZ138" s="15"/>
      <c r="IA138" s="15"/>
      <c r="IB138" s="15"/>
      <c r="IC138" s="15"/>
      <c r="ID138" s="15"/>
      <c r="IE138" s="15"/>
      <c r="IF138" s="15"/>
      <c r="IG138" s="15"/>
      <c r="IH138" s="15"/>
      <c r="II138" s="15"/>
      <c r="IJ138" s="15"/>
      <c r="IK138" s="15"/>
      <c r="IL138" s="15"/>
      <c r="IM138" s="15"/>
      <c r="IN138" s="15"/>
      <c r="IO138" s="15"/>
    </row>
    <row r="139" spans="2:249">
      <c r="B139" s="145"/>
      <c r="E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/>
      <c r="FT139" s="15"/>
      <c r="FU139" s="15"/>
      <c r="FV139" s="15"/>
      <c r="FW139" s="15"/>
      <c r="FX139" s="15"/>
      <c r="FY139" s="15"/>
      <c r="FZ139" s="15"/>
      <c r="GA139" s="15"/>
      <c r="GB139" s="15"/>
      <c r="GC139" s="15"/>
      <c r="GD139" s="15"/>
      <c r="GE139" s="15"/>
      <c r="GF139" s="15"/>
      <c r="GG139" s="15"/>
      <c r="GH139" s="15"/>
      <c r="GI139" s="15"/>
      <c r="GJ139" s="15"/>
      <c r="GK139" s="15"/>
      <c r="GL139" s="15"/>
      <c r="GM139" s="15"/>
      <c r="GN139" s="15"/>
      <c r="GO139" s="15"/>
      <c r="GP139" s="15"/>
      <c r="GQ139" s="15"/>
      <c r="GR139" s="15"/>
      <c r="GS139" s="15"/>
      <c r="GT139" s="15"/>
      <c r="GU139" s="15"/>
      <c r="GV139" s="15"/>
      <c r="GW139" s="15"/>
      <c r="GX139" s="15"/>
      <c r="GY139" s="15"/>
      <c r="GZ139" s="15"/>
      <c r="HA139" s="15"/>
      <c r="HB139" s="15"/>
      <c r="HC139" s="15"/>
      <c r="HD139" s="15"/>
      <c r="HE139" s="15"/>
      <c r="HF139" s="15"/>
      <c r="HG139" s="15"/>
      <c r="HH139" s="15"/>
      <c r="HI139" s="15"/>
      <c r="HJ139" s="15"/>
      <c r="HK139" s="15"/>
      <c r="HL139" s="15"/>
      <c r="HM139" s="15"/>
      <c r="HN139" s="15"/>
      <c r="HO139" s="15"/>
      <c r="HP139" s="15"/>
      <c r="HQ139" s="15"/>
      <c r="HR139" s="15"/>
      <c r="HS139" s="15"/>
      <c r="HT139" s="15"/>
      <c r="HU139" s="15"/>
      <c r="HV139" s="15"/>
      <c r="HW139" s="15"/>
      <c r="HX139" s="15"/>
      <c r="HY139" s="15"/>
      <c r="HZ139" s="15"/>
      <c r="IA139" s="15"/>
      <c r="IB139" s="15"/>
      <c r="IC139" s="15"/>
      <c r="ID139" s="15"/>
      <c r="IE139" s="15"/>
      <c r="IF139" s="15"/>
      <c r="IG139" s="15"/>
      <c r="IH139" s="15"/>
      <c r="II139" s="15"/>
      <c r="IJ139" s="15"/>
      <c r="IK139" s="15"/>
      <c r="IL139" s="15"/>
      <c r="IM139" s="15"/>
      <c r="IN139" s="15"/>
      <c r="IO139" s="15"/>
    </row>
    <row r="140" spans="2:249">
      <c r="B140" s="145"/>
      <c r="E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  <c r="FO140" s="15"/>
      <c r="FP140" s="15"/>
      <c r="FQ140" s="15"/>
      <c r="FR140" s="15"/>
      <c r="FS140" s="15"/>
      <c r="FT140" s="15"/>
      <c r="FU140" s="15"/>
      <c r="FV140" s="15"/>
      <c r="FW140" s="15"/>
      <c r="FX140" s="15"/>
      <c r="FY140" s="15"/>
      <c r="FZ140" s="15"/>
      <c r="GA140" s="15"/>
      <c r="GB140" s="15"/>
      <c r="GC140" s="15"/>
      <c r="GD140" s="15"/>
      <c r="GE140" s="15"/>
      <c r="GF140" s="15"/>
      <c r="GG140" s="15"/>
      <c r="GH140" s="15"/>
      <c r="GI140" s="15"/>
      <c r="GJ140" s="15"/>
      <c r="GK140" s="15"/>
      <c r="GL140" s="15"/>
      <c r="GM140" s="15"/>
      <c r="GN140" s="15"/>
      <c r="GO140" s="15"/>
      <c r="GP140" s="15"/>
      <c r="GQ140" s="15"/>
      <c r="GR140" s="15"/>
      <c r="GS140" s="15"/>
      <c r="GT140" s="15"/>
      <c r="GU140" s="15"/>
      <c r="GV140" s="15"/>
      <c r="GW140" s="15"/>
      <c r="GX140" s="15"/>
      <c r="GY140" s="15"/>
      <c r="GZ140" s="15"/>
      <c r="HA140" s="15"/>
      <c r="HB140" s="15"/>
      <c r="HC140" s="15"/>
      <c r="HD140" s="15"/>
      <c r="HE140" s="15"/>
      <c r="HF140" s="15"/>
      <c r="HG140" s="15"/>
      <c r="HH140" s="15"/>
      <c r="HI140" s="15"/>
      <c r="HJ140" s="15"/>
      <c r="HK140" s="15"/>
      <c r="HL140" s="15"/>
      <c r="HM140" s="15"/>
      <c r="HN140" s="15"/>
      <c r="HO140" s="15"/>
      <c r="HP140" s="15"/>
      <c r="HQ140" s="15"/>
      <c r="HR140" s="15"/>
      <c r="HS140" s="15"/>
      <c r="HT140" s="15"/>
      <c r="HU140" s="15"/>
      <c r="HV140" s="15"/>
      <c r="HW140" s="15"/>
      <c r="HX140" s="15"/>
      <c r="HY140" s="15"/>
      <c r="HZ140" s="15"/>
      <c r="IA140" s="15"/>
      <c r="IB140" s="15"/>
      <c r="IC140" s="15"/>
      <c r="ID140" s="15"/>
      <c r="IE140" s="15"/>
      <c r="IF140" s="15"/>
      <c r="IG140" s="15"/>
      <c r="IH140" s="15"/>
      <c r="II140" s="15"/>
      <c r="IJ140" s="15"/>
      <c r="IK140" s="15"/>
      <c r="IL140" s="15"/>
      <c r="IM140" s="15"/>
      <c r="IN140" s="15"/>
      <c r="IO140" s="15"/>
    </row>
    <row r="141" spans="2:249">
      <c r="B141" s="145"/>
      <c r="E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  <c r="FO141" s="15"/>
      <c r="FP141" s="15"/>
      <c r="FQ141" s="15"/>
      <c r="FR141" s="15"/>
      <c r="FS141" s="15"/>
      <c r="FT141" s="15"/>
      <c r="FU141" s="15"/>
      <c r="FV141" s="15"/>
      <c r="FW141" s="15"/>
      <c r="FX141" s="15"/>
      <c r="FY141" s="15"/>
      <c r="FZ141" s="15"/>
      <c r="GA141" s="15"/>
      <c r="GB141" s="15"/>
      <c r="GC141" s="15"/>
      <c r="GD141" s="15"/>
      <c r="GE141" s="15"/>
      <c r="GF141" s="15"/>
      <c r="GG141" s="15"/>
      <c r="GH141" s="15"/>
      <c r="GI141" s="15"/>
      <c r="GJ141" s="15"/>
      <c r="GK141" s="15"/>
      <c r="GL141" s="15"/>
      <c r="GM141" s="15"/>
      <c r="GN141" s="15"/>
      <c r="GO141" s="15"/>
      <c r="GP141" s="15"/>
      <c r="GQ141" s="15"/>
      <c r="GR141" s="15"/>
      <c r="GS141" s="15"/>
      <c r="GT141" s="15"/>
      <c r="GU141" s="15"/>
      <c r="GV141" s="15"/>
      <c r="GW141" s="15"/>
      <c r="GX141" s="15"/>
      <c r="GY141" s="15"/>
      <c r="GZ141" s="15"/>
      <c r="HA141" s="15"/>
      <c r="HB141" s="15"/>
      <c r="HC141" s="15"/>
      <c r="HD141" s="15"/>
      <c r="HE141" s="15"/>
      <c r="HF141" s="15"/>
      <c r="HG141" s="15"/>
      <c r="HH141" s="15"/>
      <c r="HI141" s="15"/>
      <c r="HJ141" s="15"/>
      <c r="HK141" s="15"/>
      <c r="HL141" s="15"/>
      <c r="HM141" s="15"/>
      <c r="HN141" s="15"/>
      <c r="HO141" s="15"/>
      <c r="HP141" s="15"/>
      <c r="HQ141" s="15"/>
      <c r="HR141" s="15"/>
      <c r="HS141" s="15"/>
      <c r="HT141" s="15"/>
      <c r="HU141" s="15"/>
      <c r="HV141" s="15"/>
      <c r="HW141" s="15"/>
      <c r="HX141" s="15"/>
      <c r="HY141" s="15"/>
      <c r="HZ141" s="15"/>
      <c r="IA141" s="15"/>
      <c r="IB141" s="15"/>
      <c r="IC141" s="15"/>
      <c r="ID141" s="15"/>
      <c r="IE141" s="15"/>
      <c r="IF141" s="15"/>
      <c r="IG141" s="15"/>
      <c r="IH141" s="15"/>
      <c r="II141" s="15"/>
      <c r="IJ141" s="15"/>
      <c r="IK141" s="15"/>
      <c r="IL141" s="15"/>
      <c r="IM141" s="15"/>
      <c r="IN141" s="15"/>
      <c r="IO141" s="15"/>
    </row>
    <row r="142" spans="2:249">
      <c r="B142" s="145"/>
      <c r="E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  <c r="FY142" s="15"/>
      <c r="FZ142" s="15"/>
      <c r="GA142" s="15"/>
      <c r="GB142" s="15"/>
      <c r="GC142" s="15"/>
      <c r="GD142" s="15"/>
      <c r="GE142" s="15"/>
      <c r="GF142" s="15"/>
      <c r="GG142" s="15"/>
      <c r="GH142" s="15"/>
      <c r="GI142" s="15"/>
      <c r="GJ142" s="15"/>
      <c r="GK142" s="15"/>
      <c r="GL142" s="15"/>
      <c r="GM142" s="15"/>
      <c r="GN142" s="15"/>
      <c r="GO142" s="15"/>
      <c r="GP142" s="15"/>
      <c r="GQ142" s="15"/>
      <c r="GR142" s="15"/>
      <c r="GS142" s="15"/>
      <c r="GT142" s="15"/>
      <c r="GU142" s="15"/>
      <c r="GV142" s="15"/>
      <c r="GW142" s="15"/>
      <c r="GX142" s="15"/>
      <c r="GY142" s="15"/>
      <c r="GZ142" s="15"/>
      <c r="HA142" s="15"/>
      <c r="HB142" s="15"/>
      <c r="HC142" s="15"/>
      <c r="HD142" s="15"/>
      <c r="HE142" s="15"/>
      <c r="HF142" s="15"/>
      <c r="HG142" s="15"/>
      <c r="HH142" s="15"/>
      <c r="HI142" s="15"/>
      <c r="HJ142" s="15"/>
      <c r="HK142" s="15"/>
      <c r="HL142" s="15"/>
      <c r="HM142" s="15"/>
      <c r="HN142" s="15"/>
      <c r="HO142" s="15"/>
      <c r="HP142" s="15"/>
      <c r="HQ142" s="15"/>
      <c r="HR142" s="15"/>
      <c r="HS142" s="15"/>
      <c r="HT142" s="15"/>
      <c r="HU142" s="15"/>
      <c r="HV142" s="15"/>
      <c r="HW142" s="15"/>
      <c r="HX142" s="15"/>
      <c r="HY142" s="15"/>
      <c r="HZ142" s="15"/>
      <c r="IA142" s="15"/>
      <c r="IB142" s="15"/>
      <c r="IC142" s="15"/>
      <c r="ID142" s="15"/>
      <c r="IE142" s="15"/>
      <c r="IF142" s="15"/>
      <c r="IG142" s="15"/>
      <c r="IH142" s="15"/>
      <c r="II142" s="15"/>
      <c r="IJ142" s="15"/>
      <c r="IK142" s="15"/>
      <c r="IL142" s="15"/>
      <c r="IM142" s="15"/>
      <c r="IN142" s="15"/>
      <c r="IO142" s="15"/>
    </row>
    <row r="143" spans="2:249">
      <c r="B143" s="145"/>
      <c r="E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  <c r="IA143" s="15"/>
      <c r="IB143" s="15"/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</row>
    <row r="144" spans="2:249">
      <c r="B144" s="145"/>
      <c r="E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  <c r="FY144" s="15"/>
      <c r="FZ144" s="15"/>
      <c r="GA144" s="15"/>
      <c r="GB144" s="15"/>
      <c r="GC144" s="15"/>
      <c r="GD144" s="15"/>
      <c r="GE144" s="15"/>
      <c r="GF144" s="15"/>
      <c r="GG144" s="15"/>
      <c r="GH144" s="15"/>
      <c r="GI144" s="15"/>
      <c r="GJ144" s="15"/>
      <c r="GK144" s="15"/>
      <c r="GL144" s="15"/>
      <c r="GM144" s="15"/>
      <c r="GN144" s="15"/>
      <c r="GO144" s="15"/>
      <c r="GP144" s="15"/>
      <c r="GQ144" s="15"/>
      <c r="GR144" s="15"/>
      <c r="GS144" s="15"/>
      <c r="GT144" s="15"/>
      <c r="GU144" s="15"/>
      <c r="GV144" s="15"/>
      <c r="GW144" s="15"/>
      <c r="GX144" s="15"/>
      <c r="GY144" s="15"/>
      <c r="GZ144" s="15"/>
      <c r="HA144" s="15"/>
      <c r="HB144" s="15"/>
      <c r="HC144" s="15"/>
      <c r="HD144" s="15"/>
      <c r="HE144" s="15"/>
      <c r="HF144" s="15"/>
      <c r="HG144" s="15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  <c r="HW144" s="15"/>
      <c r="HX144" s="15"/>
      <c r="HY144" s="15"/>
      <c r="HZ144" s="15"/>
      <c r="IA144" s="15"/>
      <c r="IB144" s="15"/>
      <c r="IC144" s="15"/>
      <c r="ID144" s="15"/>
      <c r="IE144" s="15"/>
      <c r="IF144" s="15"/>
      <c r="IG144" s="15"/>
      <c r="IH144" s="15"/>
      <c r="II144" s="15"/>
      <c r="IJ144" s="15"/>
      <c r="IK144" s="15"/>
      <c r="IL144" s="15"/>
      <c r="IM144" s="15"/>
      <c r="IN144" s="15"/>
      <c r="IO144" s="15"/>
    </row>
    <row r="145" spans="2:249">
      <c r="B145" s="145"/>
      <c r="E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15"/>
      <c r="FU145" s="15"/>
      <c r="FV145" s="15"/>
      <c r="FW145" s="15"/>
      <c r="FX145" s="15"/>
      <c r="FY145" s="15"/>
      <c r="FZ145" s="15"/>
      <c r="GA145" s="15"/>
      <c r="GB145" s="15"/>
      <c r="GC145" s="15"/>
      <c r="GD145" s="15"/>
      <c r="GE145" s="15"/>
      <c r="GF145" s="15"/>
      <c r="GG145" s="15"/>
      <c r="GH145" s="15"/>
      <c r="GI145" s="15"/>
      <c r="GJ145" s="15"/>
      <c r="GK145" s="15"/>
      <c r="GL145" s="15"/>
      <c r="GM145" s="15"/>
      <c r="GN145" s="15"/>
      <c r="GO145" s="15"/>
      <c r="GP145" s="15"/>
      <c r="GQ145" s="15"/>
      <c r="GR145" s="15"/>
      <c r="GS145" s="15"/>
      <c r="GT145" s="15"/>
      <c r="GU145" s="15"/>
      <c r="GV145" s="15"/>
      <c r="GW145" s="15"/>
      <c r="GX145" s="15"/>
      <c r="GY145" s="15"/>
      <c r="GZ145" s="15"/>
      <c r="HA145" s="15"/>
      <c r="HB145" s="15"/>
      <c r="HC145" s="15"/>
      <c r="HD145" s="15"/>
      <c r="HE145" s="15"/>
      <c r="HF145" s="15"/>
      <c r="HG145" s="15"/>
      <c r="HH145" s="15"/>
      <c r="HI145" s="15"/>
      <c r="HJ145" s="15"/>
      <c r="HK145" s="15"/>
      <c r="HL145" s="15"/>
      <c r="HM145" s="15"/>
      <c r="HN145" s="15"/>
      <c r="HO145" s="15"/>
      <c r="HP145" s="15"/>
      <c r="HQ145" s="15"/>
      <c r="HR145" s="15"/>
      <c r="HS145" s="15"/>
      <c r="HT145" s="15"/>
      <c r="HU145" s="15"/>
      <c r="HV145" s="15"/>
      <c r="HW145" s="15"/>
      <c r="HX145" s="15"/>
      <c r="HY145" s="15"/>
      <c r="HZ145" s="15"/>
      <c r="IA145" s="15"/>
      <c r="IB145" s="15"/>
      <c r="IC145" s="15"/>
      <c r="ID145" s="15"/>
      <c r="IE145" s="15"/>
      <c r="IF145" s="15"/>
      <c r="IG145" s="15"/>
      <c r="IH145" s="15"/>
      <c r="II145" s="15"/>
      <c r="IJ145" s="15"/>
      <c r="IK145" s="15"/>
      <c r="IL145" s="15"/>
      <c r="IM145" s="15"/>
      <c r="IN145" s="15"/>
      <c r="IO145" s="15"/>
    </row>
    <row r="146" spans="2:249">
      <c r="B146" s="145"/>
      <c r="E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5"/>
      <c r="GL146" s="15"/>
      <c r="GM146" s="15"/>
      <c r="GN146" s="15"/>
      <c r="GO146" s="15"/>
      <c r="GP146" s="15"/>
      <c r="GQ146" s="15"/>
      <c r="GR146" s="15"/>
      <c r="GS146" s="15"/>
      <c r="GT146" s="15"/>
      <c r="GU146" s="15"/>
      <c r="GV146" s="15"/>
      <c r="GW146" s="15"/>
      <c r="GX146" s="15"/>
      <c r="GY146" s="15"/>
      <c r="GZ146" s="15"/>
      <c r="HA146" s="15"/>
      <c r="HB146" s="15"/>
      <c r="HC146" s="15"/>
      <c r="HD146" s="15"/>
      <c r="HE146" s="15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  <c r="IA146" s="15"/>
      <c r="IB146" s="15"/>
      <c r="IC146" s="15"/>
      <c r="ID146" s="15"/>
      <c r="IE146" s="15"/>
      <c r="IF146" s="15"/>
      <c r="IG146" s="15"/>
      <c r="IH146" s="15"/>
      <c r="II146" s="15"/>
      <c r="IJ146" s="15"/>
      <c r="IK146" s="15"/>
      <c r="IL146" s="15"/>
      <c r="IM146" s="15"/>
      <c r="IN146" s="15"/>
      <c r="IO146" s="15"/>
    </row>
    <row r="147" spans="2:249">
      <c r="B147" s="145"/>
      <c r="E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5"/>
      <c r="GL147" s="15"/>
      <c r="GM147" s="15"/>
      <c r="GN147" s="15"/>
      <c r="GO147" s="15"/>
      <c r="GP147" s="15"/>
      <c r="GQ147" s="15"/>
      <c r="GR147" s="15"/>
      <c r="GS147" s="15"/>
      <c r="GT147" s="15"/>
      <c r="GU147" s="15"/>
      <c r="GV147" s="15"/>
      <c r="GW147" s="15"/>
      <c r="GX147" s="15"/>
      <c r="GY147" s="15"/>
      <c r="GZ147" s="15"/>
      <c r="HA147" s="15"/>
      <c r="HB147" s="15"/>
      <c r="HC147" s="15"/>
      <c r="HD147" s="15"/>
      <c r="HE147" s="15"/>
      <c r="HF147" s="15"/>
      <c r="HG147" s="15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  <c r="HW147" s="15"/>
      <c r="HX147" s="15"/>
      <c r="HY147" s="15"/>
      <c r="HZ147" s="15"/>
      <c r="IA147" s="15"/>
      <c r="IB147" s="15"/>
      <c r="IC147" s="15"/>
      <c r="ID147" s="15"/>
      <c r="IE147" s="15"/>
      <c r="IF147" s="15"/>
      <c r="IG147" s="15"/>
      <c r="IH147" s="15"/>
      <c r="II147" s="15"/>
      <c r="IJ147" s="15"/>
      <c r="IK147" s="15"/>
      <c r="IL147" s="15"/>
      <c r="IM147" s="15"/>
      <c r="IN147" s="15"/>
      <c r="IO147" s="15"/>
    </row>
    <row r="148" spans="2:249">
      <c r="B148" s="145"/>
      <c r="E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5"/>
      <c r="FU148" s="15"/>
      <c r="FV148" s="15"/>
      <c r="FW148" s="15"/>
      <c r="FX148" s="15"/>
      <c r="FY148" s="15"/>
      <c r="FZ148" s="15"/>
      <c r="GA148" s="15"/>
      <c r="GB148" s="15"/>
      <c r="GC148" s="15"/>
      <c r="GD148" s="15"/>
      <c r="GE148" s="15"/>
      <c r="GF148" s="15"/>
      <c r="GG148" s="15"/>
      <c r="GH148" s="15"/>
      <c r="GI148" s="15"/>
      <c r="GJ148" s="15"/>
      <c r="GK148" s="15"/>
      <c r="GL148" s="15"/>
      <c r="GM148" s="15"/>
      <c r="GN148" s="15"/>
      <c r="GO148" s="15"/>
      <c r="GP148" s="15"/>
      <c r="GQ148" s="15"/>
      <c r="GR148" s="15"/>
      <c r="GS148" s="15"/>
      <c r="GT148" s="15"/>
      <c r="GU148" s="15"/>
      <c r="GV148" s="15"/>
      <c r="GW148" s="15"/>
      <c r="GX148" s="15"/>
      <c r="GY148" s="15"/>
      <c r="GZ148" s="15"/>
      <c r="HA148" s="15"/>
      <c r="HB148" s="15"/>
      <c r="HC148" s="15"/>
      <c r="HD148" s="15"/>
      <c r="HE148" s="15"/>
      <c r="HF148" s="15"/>
      <c r="HG148" s="15"/>
      <c r="HH148" s="15"/>
      <c r="HI148" s="15"/>
      <c r="HJ148" s="15"/>
      <c r="HK148" s="15"/>
      <c r="HL148" s="15"/>
      <c r="HM148" s="15"/>
      <c r="HN148" s="15"/>
      <c r="HO148" s="15"/>
      <c r="HP148" s="15"/>
      <c r="HQ148" s="15"/>
      <c r="HR148" s="15"/>
      <c r="HS148" s="15"/>
      <c r="HT148" s="15"/>
      <c r="HU148" s="15"/>
      <c r="HV148" s="15"/>
      <c r="HW148" s="15"/>
      <c r="HX148" s="15"/>
      <c r="HY148" s="15"/>
      <c r="HZ148" s="15"/>
      <c r="IA148" s="15"/>
      <c r="IB148" s="15"/>
      <c r="IC148" s="15"/>
      <c r="ID148" s="15"/>
      <c r="IE148" s="15"/>
      <c r="IF148" s="15"/>
      <c r="IG148" s="15"/>
      <c r="IH148" s="15"/>
      <c r="II148" s="15"/>
      <c r="IJ148" s="15"/>
      <c r="IK148" s="15"/>
      <c r="IL148" s="15"/>
      <c r="IM148" s="15"/>
      <c r="IN148" s="15"/>
      <c r="IO148" s="15"/>
    </row>
    <row r="149" spans="2:249">
      <c r="B149" s="145"/>
      <c r="E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/>
      <c r="FT149" s="15"/>
      <c r="FU149" s="15"/>
      <c r="FV149" s="15"/>
      <c r="FW149" s="15"/>
      <c r="FX149" s="15"/>
      <c r="FY149" s="15"/>
      <c r="FZ149" s="15"/>
      <c r="GA149" s="15"/>
      <c r="GB149" s="15"/>
      <c r="GC149" s="15"/>
      <c r="GD149" s="15"/>
      <c r="GE149" s="15"/>
      <c r="GF149" s="15"/>
      <c r="GG149" s="15"/>
      <c r="GH149" s="15"/>
      <c r="GI149" s="15"/>
      <c r="GJ149" s="15"/>
      <c r="GK149" s="15"/>
      <c r="GL149" s="15"/>
      <c r="GM149" s="15"/>
      <c r="GN149" s="15"/>
      <c r="GO149" s="15"/>
      <c r="GP149" s="15"/>
      <c r="GQ149" s="15"/>
      <c r="GR149" s="15"/>
      <c r="GS149" s="15"/>
      <c r="GT149" s="15"/>
      <c r="GU149" s="15"/>
      <c r="GV149" s="15"/>
      <c r="GW149" s="15"/>
      <c r="GX149" s="15"/>
      <c r="GY149" s="15"/>
      <c r="GZ149" s="15"/>
      <c r="HA149" s="15"/>
      <c r="HB149" s="15"/>
      <c r="HC149" s="15"/>
      <c r="HD149" s="15"/>
      <c r="HE149" s="15"/>
      <c r="HF149" s="15"/>
      <c r="HG149" s="15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  <c r="HW149" s="15"/>
      <c r="HX149" s="15"/>
      <c r="HY149" s="15"/>
      <c r="HZ149" s="15"/>
      <c r="IA149" s="15"/>
      <c r="IB149" s="15"/>
      <c r="IC149" s="15"/>
      <c r="ID149" s="15"/>
      <c r="IE149" s="15"/>
      <c r="IF149" s="15"/>
      <c r="IG149" s="15"/>
      <c r="IH149" s="15"/>
      <c r="II149" s="15"/>
      <c r="IJ149" s="15"/>
      <c r="IK149" s="15"/>
      <c r="IL149" s="15"/>
      <c r="IM149" s="15"/>
      <c r="IN149" s="15"/>
      <c r="IO149" s="15"/>
    </row>
    <row r="150" spans="2:249">
      <c r="B150" s="145"/>
      <c r="E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/>
      <c r="FQ150" s="15"/>
      <c r="FR150" s="15"/>
      <c r="FS150" s="15"/>
      <c r="FT150" s="15"/>
      <c r="FU150" s="15"/>
      <c r="FV150" s="15"/>
      <c r="FW150" s="15"/>
      <c r="FX150" s="15"/>
      <c r="FY150" s="15"/>
      <c r="FZ150" s="15"/>
      <c r="GA150" s="15"/>
      <c r="GB150" s="15"/>
      <c r="GC150" s="15"/>
      <c r="GD150" s="15"/>
      <c r="GE150" s="15"/>
      <c r="GF150" s="15"/>
      <c r="GG150" s="15"/>
      <c r="GH150" s="15"/>
      <c r="GI150" s="15"/>
      <c r="GJ150" s="15"/>
      <c r="GK150" s="15"/>
      <c r="GL150" s="15"/>
      <c r="GM150" s="15"/>
      <c r="GN150" s="15"/>
      <c r="GO150" s="15"/>
      <c r="GP150" s="15"/>
      <c r="GQ150" s="15"/>
      <c r="GR150" s="15"/>
      <c r="GS150" s="15"/>
      <c r="GT150" s="15"/>
      <c r="GU150" s="15"/>
      <c r="GV150" s="15"/>
      <c r="GW150" s="15"/>
      <c r="GX150" s="15"/>
      <c r="GY150" s="15"/>
      <c r="GZ150" s="15"/>
      <c r="HA150" s="15"/>
      <c r="HB150" s="15"/>
      <c r="HC150" s="15"/>
      <c r="HD150" s="15"/>
      <c r="HE150" s="15"/>
      <c r="HF150" s="15"/>
      <c r="HG150" s="15"/>
      <c r="HH150" s="15"/>
      <c r="HI150" s="15"/>
      <c r="HJ150" s="15"/>
      <c r="HK150" s="15"/>
      <c r="HL150" s="15"/>
      <c r="HM150" s="15"/>
      <c r="HN150" s="15"/>
      <c r="HO150" s="15"/>
      <c r="HP150" s="15"/>
      <c r="HQ150" s="15"/>
      <c r="HR150" s="15"/>
      <c r="HS150" s="15"/>
      <c r="HT150" s="15"/>
      <c r="HU150" s="15"/>
      <c r="HV150" s="15"/>
      <c r="HW150" s="15"/>
      <c r="HX150" s="15"/>
      <c r="HY150" s="15"/>
      <c r="HZ150" s="15"/>
      <c r="IA150" s="15"/>
      <c r="IB150" s="15"/>
      <c r="IC150" s="15"/>
      <c r="ID150" s="15"/>
      <c r="IE150" s="15"/>
      <c r="IF150" s="15"/>
      <c r="IG150" s="15"/>
      <c r="IH150" s="15"/>
      <c r="II150" s="15"/>
      <c r="IJ150" s="15"/>
      <c r="IK150" s="15"/>
      <c r="IL150" s="15"/>
      <c r="IM150" s="15"/>
      <c r="IN150" s="15"/>
      <c r="IO150" s="15"/>
    </row>
    <row r="151" spans="2:249">
      <c r="B151" s="145"/>
      <c r="E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/>
      <c r="FQ151" s="15"/>
      <c r="FR151" s="15"/>
      <c r="FS151" s="15"/>
      <c r="FT151" s="15"/>
      <c r="FU151" s="15"/>
      <c r="FV151" s="15"/>
      <c r="FW151" s="15"/>
      <c r="FX151" s="15"/>
      <c r="FY151" s="15"/>
      <c r="FZ151" s="15"/>
      <c r="GA151" s="15"/>
      <c r="GB151" s="15"/>
      <c r="GC151" s="15"/>
      <c r="GD151" s="15"/>
      <c r="GE151" s="15"/>
      <c r="GF151" s="15"/>
      <c r="GG151" s="15"/>
      <c r="GH151" s="15"/>
      <c r="GI151" s="15"/>
      <c r="GJ151" s="15"/>
      <c r="GK151" s="15"/>
      <c r="GL151" s="15"/>
      <c r="GM151" s="15"/>
      <c r="GN151" s="15"/>
      <c r="GO151" s="15"/>
      <c r="GP151" s="15"/>
      <c r="GQ151" s="15"/>
      <c r="GR151" s="15"/>
      <c r="GS151" s="15"/>
      <c r="GT151" s="15"/>
      <c r="GU151" s="15"/>
      <c r="GV151" s="15"/>
      <c r="GW151" s="15"/>
      <c r="GX151" s="15"/>
      <c r="GY151" s="15"/>
      <c r="GZ151" s="15"/>
      <c r="HA151" s="15"/>
      <c r="HB151" s="15"/>
      <c r="HC151" s="15"/>
      <c r="HD151" s="15"/>
      <c r="HE151" s="15"/>
      <c r="HF151" s="15"/>
      <c r="HG151" s="15"/>
      <c r="HH151" s="15"/>
      <c r="HI151" s="15"/>
      <c r="HJ151" s="15"/>
      <c r="HK151" s="15"/>
      <c r="HL151" s="15"/>
      <c r="HM151" s="15"/>
      <c r="HN151" s="15"/>
      <c r="HO151" s="15"/>
      <c r="HP151" s="15"/>
      <c r="HQ151" s="15"/>
      <c r="HR151" s="15"/>
      <c r="HS151" s="15"/>
      <c r="HT151" s="15"/>
      <c r="HU151" s="15"/>
      <c r="HV151" s="15"/>
      <c r="HW151" s="15"/>
      <c r="HX151" s="15"/>
      <c r="HY151" s="15"/>
      <c r="HZ151" s="15"/>
      <c r="IA151" s="15"/>
      <c r="IB151" s="15"/>
      <c r="IC151" s="15"/>
      <c r="ID151" s="15"/>
      <c r="IE151" s="15"/>
      <c r="IF151" s="15"/>
      <c r="IG151" s="15"/>
      <c r="IH151" s="15"/>
      <c r="II151" s="15"/>
      <c r="IJ151" s="15"/>
      <c r="IK151" s="15"/>
      <c r="IL151" s="15"/>
      <c r="IM151" s="15"/>
      <c r="IN151" s="15"/>
      <c r="IO151" s="15"/>
    </row>
    <row r="152" spans="2:249">
      <c r="B152" s="145"/>
      <c r="E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/>
      <c r="FQ152" s="15"/>
      <c r="FR152" s="15"/>
      <c r="FS152" s="15"/>
      <c r="FT152" s="15"/>
      <c r="FU152" s="15"/>
      <c r="FV152" s="15"/>
      <c r="FW152" s="15"/>
      <c r="FX152" s="15"/>
      <c r="FY152" s="15"/>
      <c r="FZ152" s="15"/>
      <c r="GA152" s="15"/>
      <c r="GB152" s="15"/>
      <c r="GC152" s="15"/>
      <c r="GD152" s="15"/>
      <c r="GE152" s="15"/>
      <c r="GF152" s="15"/>
      <c r="GG152" s="15"/>
      <c r="GH152" s="15"/>
      <c r="GI152" s="15"/>
      <c r="GJ152" s="15"/>
      <c r="GK152" s="15"/>
      <c r="GL152" s="15"/>
      <c r="GM152" s="15"/>
      <c r="GN152" s="15"/>
      <c r="GO152" s="15"/>
      <c r="GP152" s="15"/>
      <c r="GQ152" s="15"/>
      <c r="GR152" s="15"/>
      <c r="GS152" s="15"/>
      <c r="GT152" s="15"/>
      <c r="GU152" s="15"/>
      <c r="GV152" s="15"/>
      <c r="GW152" s="15"/>
      <c r="GX152" s="15"/>
      <c r="GY152" s="15"/>
      <c r="GZ152" s="15"/>
      <c r="HA152" s="15"/>
      <c r="HB152" s="15"/>
      <c r="HC152" s="15"/>
      <c r="HD152" s="15"/>
      <c r="HE152" s="15"/>
      <c r="HF152" s="15"/>
      <c r="HG152" s="15"/>
      <c r="HH152" s="15"/>
      <c r="HI152" s="15"/>
      <c r="HJ152" s="15"/>
      <c r="HK152" s="15"/>
      <c r="HL152" s="15"/>
      <c r="HM152" s="15"/>
      <c r="HN152" s="15"/>
      <c r="HO152" s="15"/>
      <c r="HP152" s="15"/>
      <c r="HQ152" s="15"/>
      <c r="HR152" s="15"/>
      <c r="HS152" s="15"/>
      <c r="HT152" s="15"/>
      <c r="HU152" s="15"/>
      <c r="HV152" s="15"/>
      <c r="HW152" s="15"/>
      <c r="HX152" s="15"/>
      <c r="HY152" s="15"/>
      <c r="HZ152" s="15"/>
      <c r="IA152" s="15"/>
      <c r="IB152" s="15"/>
      <c r="IC152" s="15"/>
      <c r="ID152" s="15"/>
      <c r="IE152" s="15"/>
      <c r="IF152" s="15"/>
      <c r="IG152" s="15"/>
      <c r="IH152" s="15"/>
      <c r="II152" s="15"/>
      <c r="IJ152" s="15"/>
      <c r="IK152" s="15"/>
      <c r="IL152" s="15"/>
      <c r="IM152" s="15"/>
      <c r="IN152" s="15"/>
      <c r="IO152" s="15"/>
    </row>
    <row r="153" spans="2:249">
      <c r="B153" s="145"/>
      <c r="E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/>
      <c r="FQ153" s="15"/>
      <c r="FR153" s="15"/>
      <c r="FS153" s="15"/>
      <c r="FT153" s="15"/>
      <c r="FU153" s="15"/>
      <c r="FV153" s="15"/>
      <c r="FW153" s="15"/>
      <c r="FX153" s="15"/>
      <c r="FY153" s="15"/>
      <c r="FZ153" s="15"/>
      <c r="GA153" s="15"/>
      <c r="GB153" s="15"/>
      <c r="GC153" s="15"/>
      <c r="GD153" s="15"/>
      <c r="GE153" s="15"/>
      <c r="GF153" s="15"/>
      <c r="GG153" s="15"/>
      <c r="GH153" s="15"/>
      <c r="GI153" s="15"/>
      <c r="GJ153" s="15"/>
      <c r="GK153" s="15"/>
      <c r="GL153" s="15"/>
      <c r="GM153" s="15"/>
      <c r="GN153" s="15"/>
      <c r="GO153" s="15"/>
      <c r="GP153" s="15"/>
      <c r="GQ153" s="15"/>
      <c r="GR153" s="15"/>
      <c r="GS153" s="15"/>
      <c r="GT153" s="15"/>
      <c r="GU153" s="15"/>
      <c r="GV153" s="15"/>
      <c r="GW153" s="15"/>
      <c r="GX153" s="15"/>
      <c r="GY153" s="15"/>
      <c r="GZ153" s="15"/>
      <c r="HA153" s="15"/>
      <c r="HB153" s="15"/>
      <c r="HC153" s="15"/>
      <c r="HD153" s="15"/>
      <c r="HE153" s="15"/>
      <c r="HF153" s="15"/>
      <c r="HG153" s="15"/>
      <c r="HH153" s="15"/>
      <c r="HI153" s="15"/>
      <c r="HJ153" s="15"/>
      <c r="HK153" s="15"/>
      <c r="HL153" s="15"/>
      <c r="HM153" s="15"/>
      <c r="HN153" s="15"/>
      <c r="HO153" s="15"/>
      <c r="HP153" s="15"/>
      <c r="HQ153" s="15"/>
      <c r="HR153" s="15"/>
      <c r="HS153" s="15"/>
      <c r="HT153" s="15"/>
      <c r="HU153" s="15"/>
      <c r="HV153" s="15"/>
      <c r="HW153" s="15"/>
      <c r="HX153" s="15"/>
      <c r="HY153" s="15"/>
      <c r="HZ153" s="15"/>
      <c r="IA153" s="15"/>
      <c r="IB153" s="15"/>
      <c r="IC153" s="15"/>
      <c r="ID153" s="15"/>
      <c r="IE153" s="15"/>
      <c r="IF153" s="15"/>
      <c r="IG153" s="15"/>
      <c r="IH153" s="15"/>
      <c r="II153" s="15"/>
      <c r="IJ153" s="15"/>
      <c r="IK153" s="15"/>
      <c r="IL153" s="15"/>
      <c r="IM153" s="15"/>
      <c r="IN153" s="15"/>
      <c r="IO153" s="15"/>
    </row>
    <row r="154" spans="2:249">
      <c r="B154" s="145"/>
      <c r="E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5"/>
      <c r="FD154" s="15"/>
      <c r="FE154" s="15"/>
      <c r="FF154" s="15"/>
      <c r="FG154" s="15"/>
      <c r="FH154" s="15"/>
      <c r="FI154" s="15"/>
      <c r="FJ154" s="15"/>
      <c r="FK154" s="15"/>
      <c r="FL154" s="15"/>
      <c r="FM154" s="15"/>
      <c r="FN154" s="15"/>
      <c r="FO154" s="15"/>
      <c r="FP154" s="15"/>
      <c r="FQ154" s="15"/>
      <c r="FR154" s="15"/>
      <c r="FS154" s="15"/>
      <c r="FT154" s="15"/>
      <c r="FU154" s="15"/>
      <c r="FV154" s="15"/>
      <c r="FW154" s="15"/>
      <c r="FX154" s="15"/>
      <c r="FY154" s="15"/>
      <c r="FZ154" s="15"/>
      <c r="GA154" s="15"/>
      <c r="GB154" s="15"/>
      <c r="GC154" s="15"/>
      <c r="GD154" s="15"/>
      <c r="GE154" s="15"/>
      <c r="GF154" s="15"/>
      <c r="GG154" s="15"/>
      <c r="GH154" s="15"/>
      <c r="GI154" s="15"/>
      <c r="GJ154" s="15"/>
      <c r="GK154" s="15"/>
      <c r="GL154" s="15"/>
      <c r="GM154" s="15"/>
      <c r="GN154" s="15"/>
      <c r="GO154" s="15"/>
      <c r="GP154" s="15"/>
      <c r="GQ154" s="15"/>
      <c r="GR154" s="15"/>
      <c r="GS154" s="15"/>
      <c r="GT154" s="15"/>
      <c r="GU154" s="15"/>
      <c r="GV154" s="15"/>
      <c r="GW154" s="15"/>
      <c r="GX154" s="15"/>
      <c r="GY154" s="15"/>
      <c r="GZ154" s="15"/>
      <c r="HA154" s="15"/>
      <c r="HB154" s="15"/>
      <c r="HC154" s="15"/>
      <c r="HD154" s="15"/>
      <c r="HE154" s="15"/>
      <c r="HF154" s="15"/>
      <c r="HG154" s="15"/>
      <c r="HH154" s="15"/>
      <c r="HI154" s="15"/>
      <c r="HJ154" s="15"/>
      <c r="HK154" s="15"/>
      <c r="HL154" s="15"/>
      <c r="HM154" s="15"/>
      <c r="HN154" s="15"/>
      <c r="HO154" s="15"/>
      <c r="HP154" s="15"/>
      <c r="HQ154" s="15"/>
      <c r="HR154" s="15"/>
      <c r="HS154" s="15"/>
      <c r="HT154" s="15"/>
      <c r="HU154" s="15"/>
      <c r="HV154" s="15"/>
      <c r="HW154" s="15"/>
      <c r="HX154" s="15"/>
      <c r="HY154" s="15"/>
      <c r="HZ154" s="15"/>
      <c r="IA154" s="15"/>
      <c r="IB154" s="15"/>
      <c r="IC154" s="15"/>
      <c r="ID154" s="15"/>
      <c r="IE154" s="15"/>
      <c r="IF154" s="15"/>
      <c r="IG154" s="15"/>
      <c r="IH154" s="15"/>
      <c r="II154" s="15"/>
      <c r="IJ154" s="15"/>
      <c r="IK154" s="15"/>
      <c r="IL154" s="15"/>
      <c r="IM154" s="15"/>
      <c r="IN154" s="15"/>
      <c r="IO154" s="15"/>
    </row>
    <row r="155" spans="2:249">
      <c r="B155" s="145"/>
      <c r="E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  <c r="EW155" s="15"/>
      <c r="EX155" s="15"/>
      <c r="EY155" s="15"/>
      <c r="EZ155" s="15"/>
      <c r="FA155" s="15"/>
      <c r="FB155" s="15"/>
      <c r="FC155" s="15"/>
      <c r="FD155" s="15"/>
      <c r="FE155" s="15"/>
      <c r="FF155" s="15"/>
      <c r="FG155" s="15"/>
      <c r="FH155" s="15"/>
      <c r="FI155" s="15"/>
      <c r="FJ155" s="15"/>
      <c r="FK155" s="15"/>
      <c r="FL155" s="15"/>
      <c r="FM155" s="15"/>
      <c r="FN155" s="15"/>
      <c r="FO155" s="15"/>
      <c r="FP155" s="15"/>
      <c r="FQ155" s="15"/>
      <c r="FR155" s="15"/>
      <c r="FS155" s="15"/>
      <c r="FT155" s="15"/>
      <c r="FU155" s="15"/>
      <c r="FV155" s="15"/>
      <c r="FW155" s="15"/>
      <c r="FX155" s="15"/>
      <c r="FY155" s="15"/>
      <c r="FZ155" s="15"/>
      <c r="GA155" s="15"/>
      <c r="GB155" s="15"/>
      <c r="GC155" s="15"/>
      <c r="GD155" s="15"/>
      <c r="GE155" s="15"/>
      <c r="GF155" s="15"/>
      <c r="GG155" s="15"/>
      <c r="GH155" s="15"/>
      <c r="GI155" s="15"/>
      <c r="GJ155" s="15"/>
      <c r="GK155" s="15"/>
      <c r="GL155" s="15"/>
      <c r="GM155" s="15"/>
      <c r="GN155" s="15"/>
      <c r="GO155" s="15"/>
      <c r="GP155" s="15"/>
      <c r="GQ155" s="15"/>
      <c r="GR155" s="15"/>
      <c r="GS155" s="15"/>
      <c r="GT155" s="15"/>
      <c r="GU155" s="15"/>
      <c r="GV155" s="15"/>
      <c r="GW155" s="15"/>
      <c r="GX155" s="15"/>
      <c r="GY155" s="15"/>
      <c r="GZ155" s="15"/>
      <c r="HA155" s="15"/>
      <c r="HB155" s="15"/>
      <c r="HC155" s="15"/>
      <c r="HD155" s="15"/>
      <c r="HE155" s="15"/>
      <c r="HF155" s="15"/>
      <c r="HG155" s="15"/>
      <c r="HH155" s="15"/>
      <c r="HI155" s="15"/>
      <c r="HJ155" s="15"/>
      <c r="HK155" s="15"/>
      <c r="HL155" s="15"/>
      <c r="HM155" s="15"/>
      <c r="HN155" s="15"/>
      <c r="HO155" s="15"/>
      <c r="HP155" s="15"/>
      <c r="HQ155" s="15"/>
      <c r="HR155" s="15"/>
      <c r="HS155" s="15"/>
      <c r="HT155" s="15"/>
      <c r="HU155" s="15"/>
      <c r="HV155" s="15"/>
      <c r="HW155" s="15"/>
      <c r="HX155" s="15"/>
      <c r="HY155" s="15"/>
      <c r="HZ155" s="15"/>
      <c r="IA155" s="15"/>
      <c r="IB155" s="15"/>
      <c r="IC155" s="15"/>
      <c r="ID155" s="15"/>
      <c r="IE155" s="15"/>
      <c r="IF155" s="15"/>
      <c r="IG155" s="15"/>
      <c r="IH155" s="15"/>
      <c r="II155" s="15"/>
      <c r="IJ155" s="15"/>
      <c r="IK155" s="15"/>
      <c r="IL155" s="15"/>
      <c r="IM155" s="15"/>
      <c r="IN155" s="15"/>
      <c r="IO155" s="15"/>
    </row>
    <row r="156" spans="2:249">
      <c r="B156" s="145"/>
      <c r="E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5"/>
      <c r="FD156" s="15"/>
      <c r="FE156" s="15"/>
      <c r="FF156" s="15"/>
      <c r="FG156" s="15"/>
      <c r="FH156" s="15"/>
      <c r="FI156" s="15"/>
      <c r="FJ156" s="15"/>
      <c r="FK156" s="15"/>
      <c r="FL156" s="15"/>
      <c r="FM156" s="15"/>
      <c r="FN156" s="15"/>
      <c r="FO156" s="15"/>
      <c r="FP156" s="15"/>
      <c r="FQ156" s="15"/>
      <c r="FR156" s="15"/>
      <c r="FS156" s="15"/>
      <c r="FT156" s="15"/>
      <c r="FU156" s="15"/>
      <c r="FV156" s="15"/>
      <c r="FW156" s="15"/>
      <c r="FX156" s="15"/>
      <c r="FY156" s="15"/>
      <c r="FZ156" s="15"/>
      <c r="GA156" s="15"/>
      <c r="GB156" s="15"/>
      <c r="GC156" s="15"/>
      <c r="GD156" s="15"/>
      <c r="GE156" s="15"/>
      <c r="GF156" s="15"/>
      <c r="GG156" s="15"/>
      <c r="GH156" s="15"/>
      <c r="GI156" s="15"/>
      <c r="GJ156" s="15"/>
      <c r="GK156" s="15"/>
      <c r="GL156" s="15"/>
      <c r="GM156" s="15"/>
      <c r="GN156" s="15"/>
      <c r="GO156" s="15"/>
      <c r="GP156" s="15"/>
      <c r="GQ156" s="15"/>
      <c r="GR156" s="15"/>
      <c r="GS156" s="15"/>
      <c r="GT156" s="15"/>
      <c r="GU156" s="15"/>
      <c r="GV156" s="15"/>
      <c r="GW156" s="15"/>
      <c r="GX156" s="15"/>
      <c r="GY156" s="15"/>
      <c r="GZ156" s="15"/>
      <c r="HA156" s="15"/>
      <c r="HB156" s="15"/>
      <c r="HC156" s="15"/>
      <c r="HD156" s="15"/>
      <c r="HE156" s="15"/>
      <c r="HF156" s="15"/>
      <c r="HG156" s="15"/>
      <c r="HH156" s="15"/>
      <c r="HI156" s="15"/>
      <c r="HJ156" s="15"/>
      <c r="HK156" s="15"/>
      <c r="HL156" s="15"/>
      <c r="HM156" s="15"/>
      <c r="HN156" s="15"/>
      <c r="HO156" s="15"/>
      <c r="HP156" s="15"/>
      <c r="HQ156" s="15"/>
      <c r="HR156" s="15"/>
      <c r="HS156" s="15"/>
      <c r="HT156" s="15"/>
      <c r="HU156" s="15"/>
      <c r="HV156" s="15"/>
      <c r="HW156" s="15"/>
      <c r="HX156" s="15"/>
      <c r="HY156" s="15"/>
      <c r="HZ156" s="15"/>
      <c r="IA156" s="15"/>
      <c r="IB156" s="15"/>
      <c r="IC156" s="15"/>
      <c r="ID156" s="15"/>
      <c r="IE156" s="15"/>
      <c r="IF156" s="15"/>
      <c r="IG156" s="15"/>
      <c r="IH156" s="15"/>
      <c r="II156" s="15"/>
      <c r="IJ156" s="15"/>
      <c r="IK156" s="15"/>
      <c r="IL156" s="15"/>
      <c r="IM156" s="15"/>
      <c r="IN156" s="15"/>
      <c r="IO156" s="15"/>
    </row>
    <row r="157" spans="2:249">
      <c r="B157" s="145"/>
      <c r="E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5"/>
      <c r="FD157" s="15"/>
      <c r="FE157" s="15"/>
      <c r="FF157" s="15"/>
      <c r="FG157" s="15"/>
      <c r="FH157" s="15"/>
      <c r="FI157" s="15"/>
      <c r="FJ157" s="15"/>
      <c r="FK157" s="15"/>
      <c r="FL157" s="15"/>
      <c r="FM157" s="15"/>
      <c r="FN157" s="15"/>
      <c r="FO157" s="15"/>
      <c r="FP157" s="15"/>
      <c r="FQ157" s="15"/>
      <c r="FR157" s="15"/>
      <c r="FS157" s="15"/>
      <c r="FT157" s="15"/>
      <c r="FU157" s="15"/>
      <c r="FV157" s="15"/>
      <c r="FW157" s="15"/>
      <c r="FX157" s="15"/>
      <c r="FY157" s="15"/>
      <c r="FZ157" s="15"/>
      <c r="GA157" s="15"/>
      <c r="GB157" s="15"/>
      <c r="GC157" s="15"/>
      <c r="GD157" s="15"/>
      <c r="GE157" s="15"/>
      <c r="GF157" s="15"/>
      <c r="GG157" s="15"/>
      <c r="GH157" s="15"/>
      <c r="GI157" s="15"/>
      <c r="GJ157" s="15"/>
      <c r="GK157" s="15"/>
      <c r="GL157" s="15"/>
      <c r="GM157" s="15"/>
      <c r="GN157" s="15"/>
      <c r="GO157" s="15"/>
      <c r="GP157" s="15"/>
      <c r="GQ157" s="15"/>
      <c r="GR157" s="15"/>
      <c r="GS157" s="15"/>
      <c r="GT157" s="15"/>
      <c r="GU157" s="15"/>
      <c r="GV157" s="15"/>
      <c r="GW157" s="15"/>
      <c r="GX157" s="15"/>
      <c r="GY157" s="15"/>
      <c r="GZ157" s="15"/>
      <c r="HA157" s="15"/>
      <c r="HB157" s="15"/>
      <c r="HC157" s="15"/>
      <c r="HD157" s="15"/>
      <c r="HE157" s="15"/>
      <c r="HF157" s="15"/>
      <c r="HG157" s="15"/>
      <c r="HH157" s="15"/>
      <c r="HI157" s="15"/>
      <c r="HJ157" s="15"/>
      <c r="HK157" s="15"/>
      <c r="HL157" s="15"/>
      <c r="HM157" s="15"/>
      <c r="HN157" s="15"/>
      <c r="HO157" s="15"/>
      <c r="HP157" s="15"/>
      <c r="HQ157" s="15"/>
      <c r="HR157" s="15"/>
      <c r="HS157" s="15"/>
      <c r="HT157" s="15"/>
      <c r="HU157" s="15"/>
      <c r="HV157" s="15"/>
      <c r="HW157" s="15"/>
      <c r="HX157" s="15"/>
      <c r="HY157" s="15"/>
      <c r="HZ157" s="15"/>
      <c r="IA157" s="15"/>
      <c r="IB157" s="15"/>
      <c r="IC157" s="15"/>
      <c r="ID157" s="15"/>
      <c r="IE157" s="15"/>
      <c r="IF157" s="15"/>
      <c r="IG157" s="15"/>
      <c r="IH157" s="15"/>
      <c r="II157" s="15"/>
      <c r="IJ157" s="15"/>
      <c r="IK157" s="15"/>
      <c r="IL157" s="15"/>
      <c r="IM157" s="15"/>
      <c r="IN157" s="15"/>
      <c r="IO157" s="15"/>
    </row>
    <row r="158" spans="2:249">
      <c r="B158" s="145"/>
      <c r="E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5"/>
      <c r="FD158" s="15"/>
      <c r="FE158" s="15"/>
      <c r="FF158" s="15"/>
      <c r="FG158" s="15"/>
      <c r="FH158" s="15"/>
      <c r="FI158" s="15"/>
      <c r="FJ158" s="15"/>
      <c r="FK158" s="15"/>
      <c r="FL158" s="15"/>
      <c r="FM158" s="15"/>
      <c r="FN158" s="15"/>
      <c r="FO158" s="15"/>
      <c r="FP158" s="15"/>
      <c r="FQ158" s="15"/>
      <c r="FR158" s="15"/>
      <c r="FS158" s="15"/>
      <c r="FT158" s="15"/>
      <c r="FU158" s="15"/>
      <c r="FV158" s="15"/>
      <c r="FW158" s="15"/>
      <c r="FX158" s="15"/>
      <c r="FY158" s="15"/>
      <c r="FZ158" s="15"/>
      <c r="GA158" s="15"/>
      <c r="GB158" s="15"/>
      <c r="GC158" s="15"/>
      <c r="GD158" s="15"/>
      <c r="GE158" s="15"/>
      <c r="GF158" s="15"/>
      <c r="GG158" s="15"/>
      <c r="GH158" s="15"/>
      <c r="GI158" s="15"/>
      <c r="GJ158" s="15"/>
      <c r="GK158" s="15"/>
      <c r="GL158" s="15"/>
      <c r="GM158" s="15"/>
      <c r="GN158" s="15"/>
      <c r="GO158" s="15"/>
      <c r="GP158" s="15"/>
      <c r="GQ158" s="15"/>
      <c r="GR158" s="15"/>
      <c r="GS158" s="15"/>
      <c r="GT158" s="15"/>
      <c r="GU158" s="15"/>
      <c r="GV158" s="15"/>
      <c r="GW158" s="15"/>
      <c r="GX158" s="15"/>
      <c r="GY158" s="15"/>
      <c r="GZ158" s="15"/>
      <c r="HA158" s="15"/>
      <c r="HB158" s="15"/>
      <c r="HC158" s="15"/>
      <c r="HD158" s="15"/>
      <c r="HE158" s="15"/>
      <c r="HF158" s="15"/>
      <c r="HG158" s="15"/>
      <c r="HH158" s="15"/>
      <c r="HI158" s="15"/>
      <c r="HJ158" s="15"/>
      <c r="HK158" s="15"/>
      <c r="HL158" s="15"/>
      <c r="HM158" s="15"/>
      <c r="HN158" s="15"/>
      <c r="HO158" s="15"/>
      <c r="HP158" s="15"/>
      <c r="HQ158" s="15"/>
      <c r="HR158" s="15"/>
      <c r="HS158" s="15"/>
      <c r="HT158" s="15"/>
      <c r="HU158" s="15"/>
      <c r="HV158" s="15"/>
      <c r="HW158" s="15"/>
      <c r="HX158" s="15"/>
      <c r="HY158" s="15"/>
      <c r="HZ158" s="15"/>
      <c r="IA158" s="15"/>
      <c r="IB158" s="15"/>
      <c r="IC158" s="15"/>
      <c r="ID158" s="15"/>
      <c r="IE158" s="15"/>
      <c r="IF158" s="15"/>
      <c r="IG158" s="15"/>
      <c r="IH158" s="15"/>
      <c r="II158" s="15"/>
      <c r="IJ158" s="15"/>
      <c r="IK158" s="15"/>
      <c r="IL158" s="15"/>
      <c r="IM158" s="15"/>
      <c r="IN158" s="15"/>
      <c r="IO158" s="15"/>
    </row>
    <row r="159" spans="2:249">
      <c r="B159" s="145"/>
      <c r="E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5"/>
      <c r="FD159" s="15"/>
      <c r="FE159" s="15"/>
      <c r="FF159" s="15"/>
      <c r="FG159" s="15"/>
      <c r="FH159" s="15"/>
      <c r="FI159" s="15"/>
      <c r="FJ159" s="15"/>
      <c r="FK159" s="15"/>
      <c r="FL159" s="15"/>
      <c r="FM159" s="15"/>
      <c r="FN159" s="15"/>
      <c r="FO159" s="15"/>
      <c r="FP159" s="15"/>
      <c r="FQ159" s="15"/>
      <c r="FR159" s="15"/>
      <c r="FS159" s="15"/>
      <c r="FT159" s="15"/>
      <c r="FU159" s="15"/>
      <c r="FV159" s="15"/>
      <c r="FW159" s="15"/>
      <c r="FX159" s="15"/>
      <c r="FY159" s="15"/>
      <c r="FZ159" s="15"/>
      <c r="GA159" s="15"/>
      <c r="GB159" s="15"/>
      <c r="GC159" s="15"/>
      <c r="GD159" s="15"/>
      <c r="GE159" s="15"/>
      <c r="GF159" s="15"/>
      <c r="GG159" s="15"/>
      <c r="GH159" s="15"/>
      <c r="GI159" s="15"/>
      <c r="GJ159" s="15"/>
      <c r="GK159" s="15"/>
      <c r="GL159" s="15"/>
      <c r="GM159" s="15"/>
      <c r="GN159" s="15"/>
      <c r="GO159" s="15"/>
      <c r="GP159" s="15"/>
      <c r="GQ159" s="15"/>
      <c r="GR159" s="15"/>
      <c r="GS159" s="15"/>
      <c r="GT159" s="15"/>
      <c r="GU159" s="15"/>
      <c r="GV159" s="15"/>
      <c r="GW159" s="15"/>
      <c r="GX159" s="15"/>
      <c r="GY159" s="15"/>
      <c r="GZ159" s="15"/>
      <c r="HA159" s="15"/>
      <c r="HB159" s="15"/>
      <c r="HC159" s="15"/>
      <c r="HD159" s="15"/>
      <c r="HE159" s="15"/>
      <c r="HF159" s="15"/>
      <c r="HG159" s="15"/>
      <c r="HH159" s="15"/>
      <c r="HI159" s="15"/>
      <c r="HJ159" s="15"/>
      <c r="HK159" s="15"/>
      <c r="HL159" s="15"/>
      <c r="HM159" s="15"/>
      <c r="HN159" s="15"/>
      <c r="HO159" s="15"/>
      <c r="HP159" s="15"/>
      <c r="HQ159" s="15"/>
      <c r="HR159" s="15"/>
      <c r="HS159" s="15"/>
      <c r="HT159" s="15"/>
      <c r="HU159" s="15"/>
      <c r="HV159" s="15"/>
      <c r="HW159" s="15"/>
      <c r="HX159" s="15"/>
      <c r="HY159" s="15"/>
      <c r="HZ159" s="15"/>
      <c r="IA159" s="15"/>
      <c r="IB159" s="15"/>
      <c r="IC159" s="15"/>
      <c r="ID159" s="15"/>
      <c r="IE159" s="15"/>
      <c r="IF159" s="15"/>
      <c r="IG159" s="15"/>
      <c r="IH159" s="15"/>
      <c r="II159" s="15"/>
      <c r="IJ159" s="15"/>
      <c r="IK159" s="15"/>
      <c r="IL159" s="15"/>
      <c r="IM159" s="15"/>
      <c r="IN159" s="15"/>
      <c r="IO159" s="15"/>
    </row>
    <row r="160" spans="2:249">
      <c r="B160" s="145"/>
      <c r="E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5"/>
      <c r="FD160" s="15"/>
      <c r="FE160" s="15"/>
      <c r="FF160" s="15"/>
      <c r="FG160" s="15"/>
      <c r="FH160" s="15"/>
      <c r="FI160" s="15"/>
      <c r="FJ160" s="15"/>
      <c r="FK160" s="15"/>
      <c r="FL160" s="15"/>
      <c r="FM160" s="15"/>
      <c r="FN160" s="15"/>
      <c r="FO160" s="15"/>
      <c r="FP160" s="15"/>
      <c r="FQ160" s="15"/>
      <c r="FR160" s="15"/>
      <c r="FS160" s="15"/>
      <c r="FT160" s="15"/>
      <c r="FU160" s="15"/>
      <c r="FV160" s="15"/>
      <c r="FW160" s="15"/>
      <c r="FX160" s="15"/>
      <c r="FY160" s="15"/>
      <c r="FZ160" s="15"/>
      <c r="GA160" s="15"/>
      <c r="GB160" s="15"/>
      <c r="GC160" s="15"/>
      <c r="GD160" s="15"/>
      <c r="GE160" s="15"/>
      <c r="GF160" s="15"/>
      <c r="GG160" s="15"/>
      <c r="GH160" s="15"/>
      <c r="GI160" s="15"/>
      <c r="GJ160" s="15"/>
      <c r="GK160" s="15"/>
      <c r="GL160" s="15"/>
      <c r="GM160" s="15"/>
      <c r="GN160" s="15"/>
      <c r="GO160" s="15"/>
      <c r="GP160" s="15"/>
      <c r="GQ160" s="15"/>
      <c r="GR160" s="15"/>
      <c r="GS160" s="15"/>
      <c r="GT160" s="15"/>
      <c r="GU160" s="15"/>
      <c r="GV160" s="15"/>
      <c r="GW160" s="15"/>
      <c r="GX160" s="15"/>
      <c r="GY160" s="15"/>
      <c r="GZ160" s="15"/>
      <c r="HA160" s="15"/>
      <c r="HB160" s="15"/>
      <c r="HC160" s="15"/>
      <c r="HD160" s="15"/>
      <c r="HE160" s="15"/>
      <c r="HF160" s="15"/>
      <c r="HG160" s="15"/>
      <c r="HH160" s="15"/>
      <c r="HI160" s="15"/>
      <c r="HJ160" s="15"/>
      <c r="HK160" s="15"/>
      <c r="HL160" s="15"/>
      <c r="HM160" s="15"/>
      <c r="HN160" s="15"/>
      <c r="HO160" s="15"/>
      <c r="HP160" s="15"/>
      <c r="HQ160" s="15"/>
      <c r="HR160" s="15"/>
      <c r="HS160" s="15"/>
      <c r="HT160" s="15"/>
      <c r="HU160" s="15"/>
      <c r="HV160" s="15"/>
      <c r="HW160" s="15"/>
      <c r="HX160" s="15"/>
      <c r="HY160" s="15"/>
      <c r="HZ160" s="15"/>
      <c r="IA160" s="15"/>
      <c r="IB160" s="15"/>
      <c r="IC160" s="15"/>
      <c r="ID160" s="15"/>
      <c r="IE160" s="15"/>
      <c r="IF160" s="15"/>
      <c r="IG160" s="15"/>
      <c r="IH160" s="15"/>
      <c r="II160" s="15"/>
      <c r="IJ160" s="15"/>
      <c r="IK160" s="15"/>
      <c r="IL160" s="15"/>
      <c r="IM160" s="15"/>
      <c r="IN160" s="15"/>
      <c r="IO160" s="15"/>
    </row>
    <row r="161" spans="2:249">
      <c r="B161" s="145"/>
      <c r="E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5"/>
      <c r="EY161" s="15"/>
      <c r="EZ161" s="15"/>
      <c r="FA161" s="15"/>
      <c r="FB161" s="15"/>
      <c r="FC161" s="15"/>
      <c r="FD161" s="15"/>
      <c r="FE161" s="15"/>
      <c r="FF161" s="15"/>
      <c r="FG161" s="15"/>
      <c r="FH161" s="15"/>
      <c r="FI161" s="15"/>
      <c r="FJ161" s="15"/>
      <c r="FK161" s="15"/>
      <c r="FL161" s="15"/>
      <c r="FM161" s="15"/>
      <c r="FN161" s="15"/>
      <c r="FO161" s="15"/>
      <c r="FP161" s="15"/>
      <c r="FQ161" s="15"/>
      <c r="FR161" s="15"/>
      <c r="FS161" s="15"/>
      <c r="FT161" s="15"/>
      <c r="FU161" s="15"/>
      <c r="FV161" s="15"/>
      <c r="FW161" s="15"/>
      <c r="FX161" s="15"/>
      <c r="FY161" s="15"/>
      <c r="FZ161" s="15"/>
      <c r="GA161" s="15"/>
      <c r="GB161" s="15"/>
      <c r="GC161" s="15"/>
      <c r="GD161" s="15"/>
      <c r="GE161" s="15"/>
      <c r="GF161" s="15"/>
      <c r="GG161" s="15"/>
      <c r="GH161" s="15"/>
      <c r="GI161" s="15"/>
      <c r="GJ161" s="15"/>
      <c r="GK161" s="15"/>
      <c r="GL161" s="15"/>
      <c r="GM161" s="15"/>
      <c r="GN161" s="15"/>
      <c r="GO161" s="15"/>
      <c r="GP161" s="15"/>
      <c r="GQ161" s="15"/>
      <c r="GR161" s="15"/>
      <c r="GS161" s="15"/>
      <c r="GT161" s="15"/>
      <c r="GU161" s="15"/>
      <c r="GV161" s="15"/>
      <c r="GW161" s="15"/>
      <c r="GX161" s="15"/>
      <c r="GY161" s="15"/>
      <c r="GZ161" s="15"/>
      <c r="HA161" s="15"/>
      <c r="HB161" s="15"/>
      <c r="HC161" s="15"/>
      <c r="HD161" s="15"/>
      <c r="HE161" s="15"/>
      <c r="HF161" s="15"/>
      <c r="HG161" s="15"/>
      <c r="HH161" s="15"/>
      <c r="HI161" s="15"/>
      <c r="HJ161" s="15"/>
      <c r="HK161" s="15"/>
      <c r="HL161" s="15"/>
      <c r="HM161" s="15"/>
      <c r="HN161" s="15"/>
      <c r="HO161" s="15"/>
      <c r="HP161" s="15"/>
      <c r="HQ161" s="15"/>
      <c r="HR161" s="15"/>
      <c r="HS161" s="15"/>
      <c r="HT161" s="15"/>
      <c r="HU161" s="15"/>
      <c r="HV161" s="15"/>
      <c r="HW161" s="15"/>
      <c r="HX161" s="15"/>
      <c r="HY161" s="15"/>
      <c r="HZ161" s="15"/>
      <c r="IA161" s="15"/>
      <c r="IB161" s="15"/>
      <c r="IC161" s="15"/>
      <c r="ID161" s="15"/>
      <c r="IE161" s="15"/>
      <c r="IF161" s="15"/>
      <c r="IG161" s="15"/>
      <c r="IH161" s="15"/>
      <c r="II161" s="15"/>
      <c r="IJ161" s="15"/>
      <c r="IK161" s="15"/>
      <c r="IL161" s="15"/>
      <c r="IM161" s="15"/>
      <c r="IN161" s="15"/>
      <c r="IO161" s="15"/>
    </row>
    <row r="162" spans="2:249">
      <c r="B162" s="145"/>
      <c r="E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5"/>
      <c r="EY162" s="15"/>
      <c r="EZ162" s="15"/>
      <c r="FA162" s="15"/>
      <c r="FB162" s="15"/>
      <c r="FC162" s="15"/>
      <c r="FD162" s="15"/>
      <c r="FE162" s="15"/>
      <c r="FF162" s="15"/>
      <c r="FG162" s="15"/>
      <c r="FH162" s="15"/>
      <c r="FI162" s="15"/>
      <c r="FJ162" s="15"/>
      <c r="FK162" s="15"/>
      <c r="FL162" s="15"/>
      <c r="FM162" s="15"/>
      <c r="FN162" s="15"/>
      <c r="FO162" s="15"/>
      <c r="FP162" s="15"/>
      <c r="FQ162" s="15"/>
      <c r="FR162" s="15"/>
      <c r="FS162" s="15"/>
      <c r="FT162" s="15"/>
      <c r="FU162" s="15"/>
      <c r="FV162" s="15"/>
      <c r="FW162" s="15"/>
      <c r="FX162" s="15"/>
      <c r="FY162" s="15"/>
      <c r="FZ162" s="15"/>
      <c r="GA162" s="15"/>
      <c r="GB162" s="15"/>
      <c r="GC162" s="15"/>
      <c r="GD162" s="15"/>
      <c r="GE162" s="15"/>
      <c r="GF162" s="15"/>
      <c r="GG162" s="15"/>
      <c r="GH162" s="15"/>
      <c r="GI162" s="15"/>
      <c r="GJ162" s="15"/>
      <c r="GK162" s="15"/>
      <c r="GL162" s="15"/>
      <c r="GM162" s="15"/>
      <c r="GN162" s="15"/>
      <c r="GO162" s="15"/>
      <c r="GP162" s="15"/>
      <c r="GQ162" s="15"/>
      <c r="GR162" s="15"/>
      <c r="GS162" s="15"/>
      <c r="GT162" s="15"/>
      <c r="GU162" s="15"/>
      <c r="GV162" s="15"/>
      <c r="GW162" s="15"/>
      <c r="GX162" s="15"/>
      <c r="GY162" s="15"/>
      <c r="GZ162" s="15"/>
      <c r="HA162" s="15"/>
      <c r="HB162" s="15"/>
      <c r="HC162" s="15"/>
      <c r="HD162" s="15"/>
      <c r="HE162" s="15"/>
      <c r="HF162" s="15"/>
      <c r="HG162" s="15"/>
      <c r="HH162" s="15"/>
      <c r="HI162" s="15"/>
      <c r="HJ162" s="15"/>
      <c r="HK162" s="15"/>
      <c r="HL162" s="15"/>
      <c r="HM162" s="15"/>
      <c r="HN162" s="15"/>
      <c r="HO162" s="15"/>
      <c r="HP162" s="15"/>
      <c r="HQ162" s="15"/>
      <c r="HR162" s="15"/>
      <c r="HS162" s="15"/>
      <c r="HT162" s="15"/>
      <c r="HU162" s="15"/>
      <c r="HV162" s="15"/>
      <c r="HW162" s="15"/>
      <c r="HX162" s="15"/>
      <c r="HY162" s="15"/>
      <c r="HZ162" s="15"/>
      <c r="IA162" s="15"/>
      <c r="IB162" s="15"/>
      <c r="IC162" s="15"/>
      <c r="ID162" s="15"/>
      <c r="IE162" s="15"/>
      <c r="IF162" s="15"/>
      <c r="IG162" s="15"/>
      <c r="IH162" s="15"/>
      <c r="II162" s="15"/>
      <c r="IJ162" s="15"/>
      <c r="IK162" s="15"/>
      <c r="IL162" s="15"/>
      <c r="IM162" s="15"/>
      <c r="IN162" s="15"/>
      <c r="IO162" s="15"/>
    </row>
    <row r="163" spans="2:249">
      <c r="B163" s="145"/>
      <c r="E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5"/>
      <c r="FD163" s="15"/>
      <c r="FE163" s="15"/>
      <c r="FF163" s="15"/>
      <c r="FG163" s="15"/>
      <c r="FH163" s="15"/>
      <c r="FI163" s="15"/>
      <c r="FJ163" s="15"/>
      <c r="FK163" s="15"/>
      <c r="FL163" s="15"/>
      <c r="FM163" s="15"/>
      <c r="FN163" s="15"/>
      <c r="FO163" s="15"/>
      <c r="FP163" s="15"/>
      <c r="FQ163" s="15"/>
      <c r="FR163" s="15"/>
      <c r="FS163" s="15"/>
      <c r="FT163" s="15"/>
      <c r="FU163" s="15"/>
      <c r="FV163" s="15"/>
      <c r="FW163" s="15"/>
      <c r="FX163" s="15"/>
      <c r="FY163" s="15"/>
      <c r="FZ163" s="15"/>
      <c r="GA163" s="15"/>
      <c r="GB163" s="15"/>
      <c r="GC163" s="15"/>
      <c r="GD163" s="15"/>
      <c r="GE163" s="15"/>
      <c r="GF163" s="15"/>
      <c r="GG163" s="15"/>
      <c r="GH163" s="15"/>
      <c r="GI163" s="15"/>
      <c r="GJ163" s="15"/>
      <c r="GK163" s="15"/>
      <c r="GL163" s="15"/>
      <c r="GM163" s="15"/>
      <c r="GN163" s="15"/>
      <c r="GO163" s="15"/>
      <c r="GP163" s="15"/>
      <c r="GQ163" s="15"/>
      <c r="GR163" s="15"/>
      <c r="GS163" s="15"/>
      <c r="GT163" s="15"/>
      <c r="GU163" s="15"/>
      <c r="GV163" s="15"/>
      <c r="GW163" s="15"/>
      <c r="GX163" s="15"/>
      <c r="GY163" s="15"/>
      <c r="GZ163" s="15"/>
      <c r="HA163" s="15"/>
      <c r="HB163" s="15"/>
      <c r="HC163" s="15"/>
      <c r="HD163" s="15"/>
      <c r="HE163" s="15"/>
      <c r="HF163" s="15"/>
      <c r="HG163" s="15"/>
      <c r="HH163" s="15"/>
      <c r="HI163" s="15"/>
      <c r="HJ163" s="15"/>
      <c r="HK163" s="15"/>
      <c r="HL163" s="15"/>
      <c r="HM163" s="15"/>
      <c r="HN163" s="15"/>
      <c r="HO163" s="15"/>
      <c r="HP163" s="15"/>
      <c r="HQ163" s="15"/>
      <c r="HR163" s="15"/>
      <c r="HS163" s="15"/>
      <c r="HT163" s="15"/>
      <c r="HU163" s="15"/>
      <c r="HV163" s="15"/>
      <c r="HW163" s="15"/>
      <c r="HX163" s="15"/>
      <c r="HY163" s="15"/>
      <c r="HZ163" s="15"/>
      <c r="IA163" s="15"/>
      <c r="IB163" s="15"/>
      <c r="IC163" s="15"/>
      <c r="ID163" s="15"/>
      <c r="IE163" s="15"/>
      <c r="IF163" s="15"/>
      <c r="IG163" s="15"/>
      <c r="IH163" s="15"/>
      <c r="II163" s="15"/>
      <c r="IJ163" s="15"/>
      <c r="IK163" s="15"/>
      <c r="IL163" s="15"/>
      <c r="IM163" s="15"/>
      <c r="IN163" s="15"/>
      <c r="IO163" s="15"/>
    </row>
    <row r="164" spans="2:249">
      <c r="B164" s="145"/>
      <c r="E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5"/>
      <c r="EY164" s="15"/>
      <c r="EZ164" s="15"/>
      <c r="FA164" s="15"/>
      <c r="FB164" s="15"/>
      <c r="FC164" s="15"/>
      <c r="FD164" s="15"/>
      <c r="FE164" s="15"/>
      <c r="FF164" s="15"/>
      <c r="FG164" s="15"/>
      <c r="FH164" s="15"/>
      <c r="FI164" s="15"/>
      <c r="FJ164" s="15"/>
      <c r="FK164" s="15"/>
      <c r="FL164" s="15"/>
      <c r="FM164" s="15"/>
      <c r="FN164" s="15"/>
      <c r="FO164" s="15"/>
      <c r="FP164" s="15"/>
      <c r="FQ164" s="15"/>
      <c r="FR164" s="15"/>
      <c r="FS164" s="15"/>
      <c r="FT164" s="15"/>
      <c r="FU164" s="15"/>
      <c r="FV164" s="15"/>
      <c r="FW164" s="15"/>
      <c r="FX164" s="15"/>
      <c r="FY164" s="15"/>
      <c r="FZ164" s="15"/>
      <c r="GA164" s="15"/>
      <c r="GB164" s="15"/>
      <c r="GC164" s="15"/>
      <c r="GD164" s="15"/>
      <c r="GE164" s="15"/>
      <c r="GF164" s="15"/>
      <c r="GG164" s="15"/>
      <c r="GH164" s="15"/>
      <c r="GI164" s="15"/>
      <c r="GJ164" s="15"/>
      <c r="GK164" s="15"/>
      <c r="GL164" s="15"/>
      <c r="GM164" s="15"/>
      <c r="GN164" s="15"/>
      <c r="GO164" s="15"/>
      <c r="GP164" s="15"/>
      <c r="GQ164" s="15"/>
      <c r="GR164" s="15"/>
      <c r="GS164" s="15"/>
      <c r="GT164" s="15"/>
      <c r="GU164" s="15"/>
      <c r="GV164" s="15"/>
      <c r="GW164" s="15"/>
      <c r="GX164" s="15"/>
      <c r="GY164" s="15"/>
      <c r="GZ164" s="15"/>
      <c r="HA164" s="15"/>
      <c r="HB164" s="15"/>
      <c r="HC164" s="15"/>
      <c r="HD164" s="15"/>
      <c r="HE164" s="15"/>
      <c r="HF164" s="15"/>
      <c r="HG164" s="15"/>
      <c r="HH164" s="15"/>
      <c r="HI164" s="15"/>
      <c r="HJ164" s="15"/>
      <c r="HK164" s="15"/>
      <c r="HL164" s="15"/>
      <c r="HM164" s="15"/>
      <c r="HN164" s="15"/>
      <c r="HO164" s="15"/>
      <c r="HP164" s="15"/>
      <c r="HQ164" s="15"/>
      <c r="HR164" s="15"/>
      <c r="HS164" s="15"/>
      <c r="HT164" s="15"/>
      <c r="HU164" s="15"/>
      <c r="HV164" s="15"/>
      <c r="HW164" s="15"/>
      <c r="HX164" s="15"/>
      <c r="HY164" s="15"/>
      <c r="HZ164" s="15"/>
      <c r="IA164" s="15"/>
      <c r="IB164" s="15"/>
      <c r="IC164" s="15"/>
      <c r="ID164" s="15"/>
      <c r="IE164" s="15"/>
      <c r="IF164" s="15"/>
      <c r="IG164" s="15"/>
      <c r="IH164" s="15"/>
      <c r="II164" s="15"/>
      <c r="IJ164" s="15"/>
      <c r="IK164" s="15"/>
      <c r="IL164" s="15"/>
      <c r="IM164" s="15"/>
      <c r="IN164" s="15"/>
      <c r="IO164" s="15"/>
    </row>
    <row r="165" spans="2:249">
      <c r="B165" s="145"/>
      <c r="E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5"/>
      <c r="EY165" s="15"/>
      <c r="EZ165" s="15"/>
      <c r="FA165" s="15"/>
      <c r="FB165" s="15"/>
      <c r="FC165" s="15"/>
      <c r="FD165" s="15"/>
      <c r="FE165" s="15"/>
      <c r="FF165" s="15"/>
      <c r="FG165" s="15"/>
      <c r="FH165" s="15"/>
      <c r="FI165" s="15"/>
      <c r="FJ165" s="15"/>
      <c r="FK165" s="15"/>
      <c r="FL165" s="15"/>
      <c r="FM165" s="15"/>
      <c r="FN165" s="15"/>
      <c r="FO165" s="15"/>
      <c r="FP165" s="15"/>
      <c r="FQ165" s="15"/>
      <c r="FR165" s="15"/>
      <c r="FS165" s="15"/>
      <c r="FT165" s="15"/>
      <c r="FU165" s="15"/>
      <c r="FV165" s="15"/>
      <c r="FW165" s="15"/>
      <c r="FX165" s="15"/>
      <c r="FY165" s="15"/>
      <c r="FZ165" s="15"/>
      <c r="GA165" s="15"/>
      <c r="GB165" s="15"/>
      <c r="GC165" s="15"/>
      <c r="GD165" s="15"/>
      <c r="GE165" s="15"/>
      <c r="GF165" s="15"/>
      <c r="GG165" s="15"/>
      <c r="GH165" s="15"/>
      <c r="GI165" s="15"/>
      <c r="GJ165" s="15"/>
      <c r="GK165" s="15"/>
      <c r="GL165" s="15"/>
      <c r="GM165" s="15"/>
      <c r="GN165" s="15"/>
      <c r="GO165" s="15"/>
      <c r="GP165" s="15"/>
      <c r="GQ165" s="15"/>
      <c r="GR165" s="15"/>
      <c r="GS165" s="15"/>
      <c r="GT165" s="15"/>
      <c r="GU165" s="15"/>
      <c r="GV165" s="15"/>
      <c r="GW165" s="15"/>
      <c r="GX165" s="15"/>
      <c r="GY165" s="15"/>
      <c r="GZ165" s="15"/>
      <c r="HA165" s="15"/>
      <c r="HB165" s="15"/>
      <c r="HC165" s="15"/>
      <c r="HD165" s="15"/>
      <c r="HE165" s="15"/>
      <c r="HF165" s="15"/>
      <c r="HG165" s="15"/>
      <c r="HH165" s="15"/>
      <c r="HI165" s="15"/>
      <c r="HJ165" s="15"/>
      <c r="HK165" s="15"/>
      <c r="HL165" s="15"/>
      <c r="HM165" s="15"/>
      <c r="HN165" s="15"/>
      <c r="HO165" s="15"/>
      <c r="HP165" s="15"/>
      <c r="HQ165" s="15"/>
      <c r="HR165" s="15"/>
      <c r="HS165" s="15"/>
      <c r="HT165" s="15"/>
      <c r="HU165" s="15"/>
      <c r="HV165" s="15"/>
      <c r="HW165" s="15"/>
      <c r="HX165" s="15"/>
      <c r="HY165" s="15"/>
      <c r="HZ165" s="15"/>
      <c r="IA165" s="15"/>
      <c r="IB165" s="15"/>
      <c r="IC165" s="15"/>
      <c r="ID165" s="15"/>
      <c r="IE165" s="15"/>
      <c r="IF165" s="15"/>
      <c r="IG165" s="15"/>
      <c r="IH165" s="15"/>
      <c r="II165" s="15"/>
      <c r="IJ165" s="15"/>
      <c r="IK165" s="15"/>
      <c r="IL165" s="15"/>
      <c r="IM165" s="15"/>
      <c r="IN165" s="15"/>
      <c r="IO165" s="15"/>
    </row>
    <row r="166" spans="2:249">
      <c r="B166" s="145"/>
      <c r="E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  <c r="EX166" s="15"/>
      <c r="EY166" s="15"/>
      <c r="EZ166" s="15"/>
      <c r="FA166" s="15"/>
      <c r="FB166" s="15"/>
      <c r="FC166" s="15"/>
      <c r="FD166" s="15"/>
      <c r="FE166" s="15"/>
      <c r="FF166" s="15"/>
      <c r="FG166" s="15"/>
      <c r="FH166" s="15"/>
      <c r="FI166" s="15"/>
      <c r="FJ166" s="15"/>
      <c r="FK166" s="15"/>
      <c r="FL166" s="15"/>
      <c r="FM166" s="15"/>
      <c r="FN166" s="15"/>
      <c r="FO166" s="15"/>
      <c r="FP166" s="15"/>
      <c r="FQ166" s="15"/>
      <c r="FR166" s="15"/>
      <c r="FS166" s="15"/>
      <c r="FT166" s="15"/>
      <c r="FU166" s="15"/>
      <c r="FV166" s="15"/>
      <c r="FW166" s="15"/>
      <c r="FX166" s="15"/>
      <c r="FY166" s="15"/>
      <c r="FZ166" s="15"/>
      <c r="GA166" s="15"/>
      <c r="GB166" s="15"/>
      <c r="GC166" s="15"/>
      <c r="GD166" s="15"/>
      <c r="GE166" s="15"/>
      <c r="GF166" s="15"/>
      <c r="GG166" s="15"/>
      <c r="GH166" s="15"/>
      <c r="GI166" s="15"/>
      <c r="GJ166" s="15"/>
      <c r="GK166" s="15"/>
      <c r="GL166" s="15"/>
      <c r="GM166" s="15"/>
      <c r="GN166" s="15"/>
      <c r="GO166" s="15"/>
      <c r="GP166" s="15"/>
      <c r="GQ166" s="15"/>
      <c r="GR166" s="15"/>
      <c r="GS166" s="15"/>
      <c r="GT166" s="15"/>
      <c r="GU166" s="15"/>
      <c r="GV166" s="15"/>
      <c r="GW166" s="15"/>
      <c r="GX166" s="15"/>
      <c r="GY166" s="15"/>
      <c r="GZ166" s="15"/>
      <c r="HA166" s="15"/>
      <c r="HB166" s="15"/>
      <c r="HC166" s="15"/>
      <c r="HD166" s="15"/>
      <c r="HE166" s="15"/>
      <c r="HF166" s="15"/>
      <c r="HG166" s="15"/>
      <c r="HH166" s="15"/>
      <c r="HI166" s="15"/>
      <c r="HJ166" s="15"/>
      <c r="HK166" s="15"/>
      <c r="HL166" s="15"/>
      <c r="HM166" s="15"/>
      <c r="HN166" s="15"/>
      <c r="HO166" s="15"/>
      <c r="HP166" s="15"/>
      <c r="HQ166" s="15"/>
      <c r="HR166" s="15"/>
      <c r="HS166" s="15"/>
      <c r="HT166" s="15"/>
      <c r="HU166" s="15"/>
      <c r="HV166" s="15"/>
      <c r="HW166" s="15"/>
      <c r="HX166" s="15"/>
      <c r="HY166" s="15"/>
      <c r="HZ166" s="15"/>
      <c r="IA166" s="15"/>
      <c r="IB166" s="15"/>
      <c r="IC166" s="15"/>
      <c r="ID166" s="15"/>
      <c r="IE166" s="15"/>
      <c r="IF166" s="15"/>
      <c r="IG166" s="15"/>
      <c r="IH166" s="15"/>
      <c r="II166" s="15"/>
      <c r="IJ166" s="15"/>
      <c r="IK166" s="15"/>
      <c r="IL166" s="15"/>
      <c r="IM166" s="15"/>
      <c r="IN166" s="15"/>
      <c r="IO166" s="15"/>
    </row>
    <row r="167" spans="2:249">
      <c r="B167" s="145"/>
      <c r="E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5"/>
      <c r="FD167" s="15"/>
      <c r="FE167" s="15"/>
      <c r="FF167" s="15"/>
      <c r="FG167" s="15"/>
      <c r="FH167" s="15"/>
      <c r="FI167" s="15"/>
      <c r="FJ167" s="15"/>
      <c r="FK167" s="15"/>
      <c r="FL167" s="15"/>
      <c r="FM167" s="15"/>
      <c r="FN167" s="15"/>
      <c r="FO167" s="15"/>
      <c r="FP167" s="15"/>
      <c r="FQ167" s="15"/>
      <c r="FR167" s="15"/>
      <c r="FS167" s="15"/>
      <c r="FT167" s="15"/>
      <c r="FU167" s="15"/>
      <c r="FV167" s="15"/>
      <c r="FW167" s="15"/>
      <c r="FX167" s="15"/>
      <c r="FY167" s="15"/>
      <c r="FZ167" s="15"/>
      <c r="GA167" s="15"/>
      <c r="GB167" s="15"/>
      <c r="GC167" s="15"/>
      <c r="GD167" s="15"/>
      <c r="GE167" s="15"/>
      <c r="GF167" s="15"/>
      <c r="GG167" s="15"/>
      <c r="GH167" s="15"/>
      <c r="GI167" s="15"/>
      <c r="GJ167" s="15"/>
      <c r="GK167" s="15"/>
      <c r="GL167" s="15"/>
      <c r="GM167" s="15"/>
      <c r="GN167" s="15"/>
      <c r="GO167" s="15"/>
      <c r="GP167" s="15"/>
      <c r="GQ167" s="15"/>
      <c r="GR167" s="15"/>
      <c r="GS167" s="15"/>
      <c r="GT167" s="15"/>
      <c r="GU167" s="15"/>
      <c r="GV167" s="15"/>
      <c r="GW167" s="15"/>
      <c r="GX167" s="15"/>
      <c r="GY167" s="15"/>
      <c r="GZ167" s="15"/>
      <c r="HA167" s="15"/>
      <c r="HB167" s="15"/>
      <c r="HC167" s="15"/>
      <c r="HD167" s="15"/>
      <c r="HE167" s="15"/>
      <c r="HF167" s="15"/>
      <c r="HG167" s="15"/>
      <c r="HH167" s="15"/>
      <c r="HI167" s="15"/>
      <c r="HJ167" s="15"/>
      <c r="HK167" s="15"/>
      <c r="HL167" s="15"/>
      <c r="HM167" s="15"/>
      <c r="HN167" s="15"/>
      <c r="HO167" s="15"/>
      <c r="HP167" s="15"/>
      <c r="HQ167" s="15"/>
      <c r="HR167" s="15"/>
      <c r="HS167" s="15"/>
      <c r="HT167" s="15"/>
      <c r="HU167" s="15"/>
      <c r="HV167" s="15"/>
      <c r="HW167" s="15"/>
      <c r="HX167" s="15"/>
      <c r="HY167" s="15"/>
      <c r="HZ167" s="15"/>
      <c r="IA167" s="15"/>
      <c r="IB167" s="15"/>
      <c r="IC167" s="15"/>
      <c r="ID167" s="15"/>
      <c r="IE167" s="15"/>
      <c r="IF167" s="15"/>
      <c r="IG167" s="15"/>
      <c r="IH167" s="15"/>
      <c r="II167" s="15"/>
      <c r="IJ167" s="15"/>
      <c r="IK167" s="15"/>
      <c r="IL167" s="15"/>
      <c r="IM167" s="15"/>
      <c r="IN167" s="15"/>
      <c r="IO167" s="15"/>
    </row>
    <row r="168" spans="2:249">
      <c r="B168" s="145"/>
      <c r="E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  <c r="EN168" s="15"/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5"/>
      <c r="FD168" s="15"/>
      <c r="FE168" s="15"/>
      <c r="FF168" s="15"/>
      <c r="FG168" s="15"/>
      <c r="FH168" s="15"/>
      <c r="FI168" s="15"/>
      <c r="FJ168" s="15"/>
      <c r="FK168" s="15"/>
      <c r="FL168" s="15"/>
      <c r="FM168" s="15"/>
      <c r="FN168" s="15"/>
      <c r="FO168" s="15"/>
      <c r="FP168" s="15"/>
      <c r="FQ168" s="15"/>
      <c r="FR168" s="15"/>
      <c r="FS168" s="15"/>
      <c r="FT168" s="15"/>
      <c r="FU168" s="15"/>
      <c r="FV168" s="15"/>
      <c r="FW168" s="15"/>
      <c r="FX168" s="15"/>
      <c r="FY168" s="15"/>
      <c r="FZ168" s="15"/>
      <c r="GA168" s="15"/>
      <c r="GB168" s="15"/>
      <c r="GC168" s="15"/>
      <c r="GD168" s="15"/>
      <c r="GE168" s="15"/>
      <c r="GF168" s="15"/>
      <c r="GG168" s="15"/>
      <c r="GH168" s="15"/>
      <c r="GI168" s="15"/>
      <c r="GJ168" s="15"/>
      <c r="GK168" s="15"/>
      <c r="GL168" s="15"/>
      <c r="GM168" s="15"/>
      <c r="GN168" s="15"/>
      <c r="GO168" s="15"/>
      <c r="GP168" s="15"/>
      <c r="GQ168" s="15"/>
      <c r="GR168" s="15"/>
      <c r="GS168" s="15"/>
      <c r="GT168" s="15"/>
      <c r="GU168" s="15"/>
      <c r="GV168" s="15"/>
      <c r="GW168" s="15"/>
      <c r="GX168" s="15"/>
      <c r="GY168" s="15"/>
      <c r="GZ168" s="15"/>
      <c r="HA168" s="15"/>
      <c r="HB168" s="15"/>
      <c r="HC168" s="15"/>
      <c r="HD168" s="15"/>
      <c r="HE168" s="15"/>
      <c r="HF168" s="15"/>
      <c r="HG168" s="15"/>
      <c r="HH168" s="15"/>
      <c r="HI168" s="15"/>
      <c r="HJ168" s="15"/>
      <c r="HK168" s="15"/>
      <c r="HL168" s="15"/>
      <c r="HM168" s="15"/>
      <c r="HN168" s="15"/>
      <c r="HO168" s="15"/>
      <c r="HP168" s="15"/>
      <c r="HQ168" s="15"/>
      <c r="HR168" s="15"/>
      <c r="HS168" s="15"/>
      <c r="HT168" s="15"/>
      <c r="HU168" s="15"/>
      <c r="HV168" s="15"/>
      <c r="HW168" s="15"/>
      <c r="HX168" s="15"/>
      <c r="HY168" s="15"/>
      <c r="HZ168" s="15"/>
      <c r="IA168" s="15"/>
      <c r="IB168" s="15"/>
      <c r="IC168" s="15"/>
      <c r="ID168" s="15"/>
      <c r="IE168" s="15"/>
      <c r="IF168" s="15"/>
      <c r="IG168" s="15"/>
      <c r="IH168" s="15"/>
      <c r="II168" s="15"/>
      <c r="IJ168" s="15"/>
      <c r="IK168" s="15"/>
      <c r="IL168" s="15"/>
      <c r="IM168" s="15"/>
      <c r="IN168" s="15"/>
      <c r="IO168" s="15"/>
    </row>
    <row r="169" spans="2:249">
      <c r="B169" s="145"/>
      <c r="E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  <c r="EZ169" s="15"/>
      <c r="FA169" s="15"/>
      <c r="FB169" s="15"/>
      <c r="FC169" s="15"/>
      <c r="FD169" s="15"/>
      <c r="FE169" s="15"/>
      <c r="FF169" s="15"/>
      <c r="FG169" s="15"/>
      <c r="FH169" s="15"/>
      <c r="FI169" s="15"/>
      <c r="FJ169" s="15"/>
      <c r="FK169" s="15"/>
      <c r="FL169" s="15"/>
      <c r="FM169" s="15"/>
      <c r="FN169" s="15"/>
      <c r="FO169" s="15"/>
      <c r="FP169" s="15"/>
      <c r="FQ169" s="15"/>
      <c r="FR169" s="15"/>
      <c r="FS169" s="15"/>
      <c r="FT169" s="15"/>
      <c r="FU169" s="15"/>
      <c r="FV169" s="15"/>
      <c r="FW169" s="15"/>
      <c r="FX169" s="15"/>
      <c r="FY169" s="15"/>
      <c r="FZ169" s="15"/>
      <c r="GA169" s="15"/>
      <c r="GB169" s="15"/>
      <c r="GC169" s="15"/>
      <c r="GD169" s="15"/>
      <c r="GE169" s="15"/>
      <c r="GF169" s="15"/>
      <c r="GG169" s="15"/>
      <c r="GH169" s="15"/>
      <c r="GI169" s="15"/>
      <c r="GJ169" s="15"/>
      <c r="GK169" s="15"/>
      <c r="GL169" s="15"/>
      <c r="GM169" s="15"/>
      <c r="GN169" s="15"/>
      <c r="GO169" s="15"/>
      <c r="GP169" s="15"/>
      <c r="GQ169" s="15"/>
      <c r="GR169" s="15"/>
      <c r="GS169" s="15"/>
      <c r="GT169" s="15"/>
      <c r="GU169" s="15"/>
      <c r="GV169" s="15"/>
      <c r="GW169" s="15"/>
      <c r="GX169" s="15"/>
      <c r="GY169" s="15"/>
      <c r="GZ169" s="15"/>
      <c r="HA169" s="15"/>
      <c r="HB169" s="15"/>
      <c r="HC169" s="15"/>
      <c r="HD169" s="15"/>
      <c r="HE169" s="15"/>
      <c r="HF169" s="15"/>
      <c r="HG169" s="15"/>
      <c r="HH169" s="15"/>
      <c r="HI169" s="15"/>
      <c r="HJ169" s="15"/>
      <c r="HK169" s="15"/>
      <c r="HL169" s="15"/>
      <c r="HM169" s="15"/>
      <c r="HN169" s="15"/>
      <c r="HO169" s="15"/>
      <c r="HP169" s="15"/>
      <c r="HQ169" s="15"/>
      <c r="HR169" s="15"/>
      <c r="HS169" s="15"/>
      <c r="HT169" s="15"/>
      <c r="HU169" s="15"/>
      <c r="HV169" s="15"/>
      <c r="HW169" s="15"/>
      <c r="HX169" s="15"/>
      <c r="HY169" s="15"/>
      <c r="HZ169" s="15"/>
      <c r="IA169" s="15"/>
      <c r="IB169" s="15"/>
      <c r="IC169" s="15"/>
      <c r="ID169" s="15"/>
      <c r="IE169" s="15"/>
      <c r="IF169" s="15"/>
      <c r="IG169" s="15"/>
      <c r="IH169" s="15"/>
      <c r="II169" s="15"/>
      <c r="IJ169" s="15"/>
      <c r="IK169" s="15"/>
      <c r="IL169" s="15"/>
      <c r="IM169" s="15"/>
      <c r="IN169" s="15"/>
      <c r="IO169" s="15"/>
    </row>
    <row r="170" spans="2:249">
      <c r="B170" s="145"/>
      <c r="E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  <c r="EZ170" s="15"/>
      <c r="FA170" s="15"/>
      <c r="FB170" s="15"/>
      <c r="FC170" s="15"/>
      <c r="FD170" s="15"/>
      <c r="FE170" s="15"/>
      <c r="FF170" s="15"/>
      <c r="FG170" s="15"/>
      <c r="FH170" s="15"/>
      <c r="FI170" s="15"/>
      <c r="FJ170" s="15"/>
      <c r="FK170" s="15"/>
      <c r="FL170" s="15"/>
      <c r="FM170" s="15"/>
      <c r="FN170" s="15"/>
      <c r="FO170" s="15"/>
      <c r="FP170" s="15"/>
      <c r="FQ170" s="15"/>
      <c r="FR170" s="15"/>
      <c r="FS170" s="15"/>
      <c r="FT170" s="15"/>
      <c r="FU170" s="15"/>
      <c r="FV170" s="15"/>
      <c r="FW170" s="15"/>
      <c r="FX170" s="15"/>
      <c r="FY170" s="15"/>
      <c r="FZ170" s="15"/>
      <c r="GA170" s="15"/>
      <c r="GB170" s="15"/>
      <c r="GC170" s="15"/>
      <c r="GD170" s="15"/>
      <c r="GE170" s="15"/>
      <c r="GF170" s="15"/>
      <c r="GG170" s="15"/>
      <c r="GH170" s="15"/>
      <c r="GI170" s="15"/>
      <c r="GJ170" s="15"/>
      <c r="GK170" s="15"/>
      <c r="GL170" s="15"/>
      <c r="GM170" s="15"/>
      <c r="GN170" s="15"/>
      <c r="GO170" s="15"/>
      <c r="GP170" s="15"/>
      <c r="GQ170" s="15"/>
      <c r="GR170" s="15"/>
      <c r="GS170" s="15"/>
      <c r="GT170" s="15"/>
      <c r="GU170" s="15"/>
      <c r="GV170" s="15"/>
      <c r="GW170" s="15"/>
      <c r="GX170" s="15"/>
      <c r="GY170" s="15"/>
      <c r="GZ170" s="15"/>
      <c r="HA170" s="15"/>
      <c r="HB170" s="15"/>
      <c r="HC170" s="15"/>
      <c r="HD170" s="15"/>
      <c r="HE170" s="15"/>
      <c r="HF170" s="15"/>
      <c r="HG170" s="15"/>
      <c r="HH170" s="15"/>
      <c r="HI170" s="15"/>
      <c r="HJ170" s="15"/>
      <c r="HK170" s="15"/>
      <c r="HL170" s="15"/>
      <c r="HM170" s="15"/>
      <c r="HN170" s="15"/>
      <c r="HO170" s="15"/>
      <c r="HP170" s="15"/>
      <c r="HQ170" s="15"/>
      <c r="HR170" s="15"/>
      <c r="HS170" s="15"/>
      <c r="HT170" s="15"/>
      <c r="HU170" s="15"/>
      <c r="HV170" s="15"/>
      <c r="HW170" s="15"/>
      <c r="HX170" s="15"/>
      <c r="HY170" s="15"/>
      <c r="HZ170" s="15"/>
      <c r="IA170" s="15"/>
      <c r="IB170" s="15"/>
      <c r="IC170" s="15"/>
      <c r="ID170" s="15"/>
      <c r="IE170" s="15"/>
      <c r="IF170" s="15"/>
      <c r="IG170" s="15"/>
      <c r="IH170" s="15"/>
      <c r="II170" s="15"/>
      <c r="IJ170" s="15"/>
      <c r="IK170" s="15"/>
      <c r="IL170" s="15"/>
      <c r="IM170" s="15"/>
      <c r="IN170" s="15"/>
      <c r="IO170" s="15"/>
    </row>
    <row r="171" spans="2:249">
      <c r="B171" s="145"/>
      <c r="E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5"/>
      <c r="FD171" s="15"/>
      <c r="FE171" s="15"/>
      <c r="FF171" s="15"/>
      <c r="FG171" s="15"/>
      <c r="FH171" s="15"/>
      <c r="FI171" s="15"/>
      <c r="FJ171" s="15"/>
      <c r="FK171" s="15"/>
      <c r="FL171" s="15"/>
      <c r="FM171" s="15"/>
      <c r="FN171" s="15"/>
      <c r="FO171" s="15"/>
      <c r="FP171" s="15"/>
      <c r="FQ171" s="15"/>
      <c r="FR171" s="15"/>
      <c r="FS171" s="15"/>
      <c r="FT171" s="15"/>
      <c r="FU171" s="15"/>
      <c r="FV171" s="15"/>
      <c r="FW171" s="15"/>
      <c r="FX171" s="15"/>
      <c r="FY171" s="15"/>
      <c r="FZ171" s="15"/>
      <c r="GA171" s="15"/>
      <c r="GB171" s="15"/>
      <c r="GC171" s="15"/>
      <c r="GD171" s="15"/>
      <c r="GE171" s="15"/>
      <c r="GF171" s="15"/>
      <c r="GG171" s="15"/>
      <c r="GH171" s="15"/>
      <c r="GI171" s="15"/>
      <c r="GJ171" s="15"/>
      <c r="GK171" s="15"/>
      <c r="GL171" s="15"/>
      <c r="GM171" s="15"/>
      <c r="GN171" s="15"/>
      <c r="GO171" s="15"/>
      <c r="GP171" s="15"/>
      <c r="GQ171" s="15"/>
      <c r="GR171" s="15"/>
      <c r="GS171" s="15"/>
      <c r="GT171" s="15"/>
      <c r="GU171" s="15"/>
      <c r="GV171" s="15"/>
      <c r="GW171" s="15"/>
      <c r="GX171" s="15"/>
      <c r="GY171" s="15"/>
      <c r="GZ171" s="15"/>
      <c r="HA171" s="15"/>
      <c r="HB171" s="15"/>
      <c r="HC171" s="15"/>
      <c r="HD171" s="15"/>
      <c r="HE171" s="15"/>
      <c r="HF171" s="15"/>
      <c r="HG171" s="15"/>
      <c r="HH171" s="15"/>
      <c r="HI171" s="15"/>
      <c r="HJ171" s="15"/>
      <c r="HK171" s="15"/>
      <c r="HL171" s="15"/>
      <c r="HM171" s="15"/>
      <c r="HN171" s="15"/>
      <c r="HO171" s="15"/>
      <c r="HP171" s="15"/>
      <c r="HQ171" s="15"/>
      <c r="HR171" s="15"/>
      <c r="HS171" s="15"/>
      <c r="HT171" s="15"/>
      <c r="HU171" s="15"/>
      <c r="HV171" s="15"/>
      <c r="HW171" s="15"/>
      <c r="HX171" s="15"/>
      <c r="HY171" s="15"/>
      <c r="HZ171" s="15"/>
      <c r="IA171" s="15"/>
      <c r="IB171" s="15"/>
      <c r="IC171" s="15"/>
      <c r="ID171" s="15"/>
      <c r="IE171" s="15"/>
      <c r="IF171" s="15"/>
      <c r="IG171" s="15"/>
      <c r="IH171" s="15"/>
      <c r="II171" s="15"/>
      <c r="IJ171" s="15"/>
      <c r="IK171" s="15"/>
      <c r="IL171" s="15"/>
      <c r="IM171" s="15"/>
      <c r="IN171" s="15"/>
      <c r="IO171" s="15"/>
    </row>
    <row r="172" spans="2:249">
      <c r="B172" s="145"/>
      <c r="E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5"/>
      <c r="FD172" s="15"/>
      <c r="FE172" s="15"/>
      <c r="FF172" s="15"/>
      <c r="FG172" s="15"/>
      <c r="FH172" s="15"/>
      <c r="FI172" s="15"/>
      <c r="FJ172" s="15"/>
      <c r="FK172" s="15"/>
      <c r="FL172" s="15"/>
      <c r="FM172" s="15"/>
      <c r="FN172" s="15"/>
      <c r="FO172" s="15"/>
      <c r="FP172" s="15"/>
      <c r="FQ172" s="15"/>
      <c r="FR172" s="15"/>
      <c r="FS172" s="15"/>
      <c r="FT172" s="15"/>
      <c r="FU172" s="15"/>
      <c r="FV172" s="15"/>
      <c r="FW172" s="15"/>
      <c r="FX172" s="15"/>
      <c r="FY172" s="15"/>
      <c r="FZ172" s="15"/>
      <c r="GA172" s="15"/>
      <c r="GB172" s="15"/>
      <c r="GC172" s="15"/>
      <c r="GD172" s="15"/>
      <c r="GE172" s="15"/>
      <c r="GF172" s="15"/>
      <c r="GG172" s="15"/>
      <c r="GH172" s="15"/>
      <c r="GI172" s="15"/>
      <c r="GJ172" s="15"/>
      <c r="GK172" s="15"/>
      <c r="GL172" s="15"/>
      <c r="GM172" s="15"/>
      <c r="GN172" s="15"/>
      <c r="GO172" s="15"/>
      <c r="GP172" s="15"/>
      <c r="GQ172" s="15"/>
      <c r="GR172" s="15"/>
      <c r="GS172" s="15"/>
      <c r="GT172" s="15"/>
      <c r="GU172" s="15"/>
      <c r="GV172" s="15"/>
      <c r="GW172" s="15"/>
      <c r="GX172" s="15"/>
      <c r="GY172" s="15"/>
      <c r="GZ172" s="15"/>
      <c r="HA172" s="15"/>
      <c r="HB172" s="15"/>
      <c r="HC172" s="15"/>
      <c r="HD172" s="15"/>
      <c r="HE172" s="15"/>
      <c r="HF172" s="15"/>
      <c r="HG172" s="15"/>
      <c r="HH172" s="15"/>
      <c r="HI172" s="15"/>
      <c r="HJ172" s="15"/>
      <c r="HK172" s="15"/>
      <c r="HL172" s="15"/>
      <c r="HM172" s="15"/>
      <c r="HN172" s="15"/>
      <c r="HO172" s="15"/>
      <c r="HP172" s="15"/>
      <c r="HQ172" s="15"/>
      <c r="HR172" s="15"/>
      <c r="HS172" s="15"/>
      <c r="HT172" s="15"/>
      <c r="HU172" s="15"/>
      <c r="HV172" s="15"/>
      <c r="HW172" s="15"/>
      <c r="HX172" s="15"/>
      <c r="HY172" s="15"/>
      <c r="HZ172" s="15"/>
      <c r="IA172" s="15"/>
      <c r="IB172" s="15"/>
      <c r="IC172" s="15"/>
      <c r="ID172" s="15"/>
      <c r="IE172" s="15"/>
      <c r="IF172" s="15"/>
      <c r="IG172" s="15"/>
      <c r="IH172" s="15"/>
      <c r="II172" s="15"/>
      <c r="IJ172" s="15"/>
      <c r="IK172" s="15"/>
      <c r="IL172" s="15"/>
      <c r="IM172" s="15"/>
      <c r="IN172" s="15"/>
      <c r="IO172" s="15"/>
    </row>
    <row r="173" spans="2:249">
      <c r="B173" s="145"/>
      <c r="E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5"/>
      <c r="FD173" s="15"/>
      <c r="FE173" s="15"/>
      <c r="FF173" s="15"/>
      <c r="FG173" s="15"/>
      <c r="FH173" s="15"/>
      <c r="FI173" s="15"/>
      <c r="FJ173" s="15"/>
      <c r="FK173" s="15"/>
      <c r="FL173" s="15"/>
      <c r="FM173" s="15"/>
      <c r="FN173" s="15"/>
      <c r="FO173" s="15"/>
      <c r="FP173" s="15"/>
      <c r="FQ173" s="15"/>
      <c r="FR173" s="15"/>
      <c r="FS173" s="15"/>
      <c r="FT173" s="15"/>
      <c r="FU173" s="15"/>
      <c r="FV173" s="15"/>
      <c r="FW173" s="15"/>
      <c r="FX173" s="15"/>
      <c r="FY173" s="15"/>
      <c r="FZ173" s="15"/>
      <c r="GA173" s="15"/>
      <c r="GB173" s="15"/>
      <c r="GC173" s="15"/>
      <c r="GD173" s="15"/>
      <c r="GE173" s="15"/>
      <c r="GF173" s="15"/>
      <c r="GG173" s="15"/>
      <c r="GH173" s="15"/>
      <c r="GI173" s="15"/>
      <c r="GJ173" s="15"/>
      <c r="GK173" s="15"/>
      <c r="GL173" s="15"/>
      <c r="GM173" s="15"/>
      <c r="GN173" s="15"/>
      <c r="GO173" s="15"/>
      <c r="GP173" s="15"/>
      <c r="GQ173" s="15"/>
      <c r="GR173" s="15"/>
      <c r="GS173" s="15"/>
      <c r="GT173" s="15"/>
      <c r="GU173" s="15"/>
      <c r="GV173" s="15"/>
      <c r="GW173" s="15"/>
      <c r="GX173" s="15"/>
      <c r="GY173" s="15"/>
      <c r="GZ173" s="15"/>
      <c r="HA173" s="15"/>
      <c r="HB173" s="15"/>
      <c r="HC173" s="15"/>
      <c r="HD173" s="15"/>
      <c r="HE173" s="15"/>
      <c r="HF173" s="15"/>
      <c r="HG173" s="15"/>
      <c r="HH173" s="15"/>
      <c r="HI173" s="15"/>
      <c r="HJ173" s="15"/>
      <c r="HK173" s="15"/>
      <c r="HL173" s="15"/>
      <c r="HM173" s="15"/>
      <c r="HN173" s="15"/>
      <c r="HO173" s="15"/>
      <c r="HP173" s="15"/>
      <c r="HQ173" s="15"/>
      <c r="HR173" s="15"/>
      <c r="HS173" s="15"/>
      <c r="HT173" s="15"/>
      <c r="HU173" s="15"/>
      <c r="HV173" s="15"/>
      <c r="HW173" s="15"/>
      <c r="HX173" s="15"/>
      <c r="HY173" s="15"/>
      <c r="HZ173" s="15"/>
      <c r="IA173" s="15"/>
      <c r="IB173" s="15"/>
      <c r="IC173" s="15"/>
      <c r="ID173" s="15"/>
      <c r="IE173" s="15"/>
      <c r="IF173" s="15"/>
      <c r="IG173" s="15"/>
      <c r="IH173" s="15"/>
      <c r="II173" s="15"/>
      <c r="IJ173" s="15"/>
      <c r="IK173" s="15"/>
      <c r="IL173" s="15"/>
      <c r="IM173" s="15"/>
      <c r="IN173" s="15"/>
      <c r="IO173" s="15"/>
    </row>
    <row r="174" spans="2:249">
      <c r="B174" s="145"/>
      <c r="E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  <c r="EY174" s="15"/>
      <c r="EZ174" s="15"/>
      <c r="FA174" s="15"/>
      <c r="FB174" s="15"/>
      <c r="FC174" s="15"/>
      <c r="FD174" s="15"/>
      <c r="FE174" s="15"/>
      <c r="FF174" s="15"/>
      <c r="FG174" s="15"/>
      <c r="FH174" s="15"/>
      <c r="FI174" s="15"/>
      <c r="FJ174" s="15"/>
      <c r="FK174" s="15"/>
      <c r="FL174" s="15"/>
      <c r="FM174" s="15"/>
      <c r="FN174" s="15"/>
      <c r="FO174" s="15"/>
      <c r="FP174" s="15"/>
      <c r="FQ174" s="15"/>
      <c r="FR174" s="15"/>
      <c r="FS174" s="15"/>
      <c r="FT174" s="15"/>
      <c r="FU174" s="15"/>
      <c r="FV174" s="15"/>
      <c r="FW174" s="15"/>
      <c r="FX174" s="15"/>
      <c r="FY174" s="15"/>
      <c r="FZ174" s="15"/>
      <c r="GA174" s="15"/>
      <c r="GB174" s="15"/>
      <c r="GC174" s="15"/>
      <c r="GD174" s="15"/>
      <c r="GE174" s="15"/>
      <c r="GF174" s="15"/>
      <c r="GG174" s="15"/>
      <c r="GH174" s="15"/>
      <c r="GI174" s="15"/>
      <c r="GJ174" s="15"/>
      <c r="GK174" s="15"/>
      <c r="GL174" s="15"/>
      <c r="GM174" s="15"/>
      <c r="GN174" s="15"/>
      <c r="GO174" s="15"/>
      <c r="GP174" s="15"/>
      <c r="GQ174" s="15"/>
      <c r="GR174" s="15"/>
      <c r="GS174" s="15"/>
      <c r="GT174" s="15"/>
      <c r="GU174" s="15"/>
      <c r="GV174" s="15"/>
      <c r="GW174" s="15"/>
      <c r="GX174" s="15"/>
      <c r="GY174" s="15"/>
      <c r="GZ174" s="15"/>
      <c r="HA174" s="15"/>
      <c r="HB174" s="15"/>
      <c r="HC174" s="15"/>
      <c r="HD174" s="15"/>
      <c r="HE174" s="15"/>
      <c r="HF174" s="15"/>
      <c r="HG174" s="15"/>
      <c r="HH174" s="15"/>
      <c r="HI174" s="15"/>
      <c r="HJ174" s="15"/>
      <c r="HK174" s="15"/>
      <c r="HL174" s="15"/>
      <c r="HM174" s="15"/>
      <c r="HN174" s="15"/>
      <c r="HO174" s="15"/>
      <c r="HP174" s="15"/>
      <c r="HQ174" s="15"/>
      <c r="HR174" s="15"/>
      <c r="HS174" s="15"/>
      <c r="HT174" s="15"/>
      <c r="HU174" s="15"/>
      <c r="HV174" s="15"/>
      <c r="HW174" s="15"/>
      <c r="HX174" s="15"/>
      <c r="HY174" s="15"/>
      <c r="HZ174" s="15"/>
      <c r="IA174" s="15"/>
      <c r="IB174" s="15"/>
      <c r="IC174" s="15"/>
      <c r="ID174" s="15"/>
      <c r="IE174" s="15"/>
      <c r="IF174" s="15"/>
      <c r="IG174" s="15"/>
      <c r="IH174" s="15"/>
      <c r="II174" s="15"/>
      <c r="IJ174" s="15"/>
      <c r="IK174" s="15"/>
      <c r="IL174" s="15"/>
      <c r="IM174" s="15"/>
      <c r="IN174" s="15"/>
      <c r="IO174" s="15"/>
    </row>
    <row r="175" spans="2:249">
      <c r="B175" s="145"/>
      <c r="E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/>
      <c r="FI175" s="15"/>
      <c r="FJ175" s="15"/>
      <c r="FK175" s="15"/>
      <c r="FL175" s="15"/>
      <c r="FM175" s="15"/>
      <c r="FN175" s="15"/>
      <c r="FO175" s="15"/>
      <c r="FP175" s="15"/>
      <c r="FQ175" s="15"/>
      <c r="FR175" s="15"/>
      <c r="FS175" s="15"/>
      <c r="FT175" s="15"/>
      <c r="FU175" s="15"/>
      <c r="FV175" s="15"/>
      <c r="FW175" s="15"/>
      <c r="FX175" s="15"/>
      <c r="FY175" s="15"/>
      <c r="FZ175" s="15"/>
      <c r="GA175" s="15"/>
      <c r="GB175" s="15"/>
      <c r="GC175" s="15"/>
      <c r="GD175" s="15"/>
      <c r="GE175" s="15"/>
      <c r="GF175" s="15"/>
      <c r="GG175" s="15"/>
      <c r="GH175" s="15"/>
      <c r="GI175" s="15"/>
      <c r="GJ175" s="15"/>
      <c r="GK175" s="15"/>
      <c r="GL175" s="15"/>
      <c r="GM175" s="15"/>
      <c r="GN175" s="15"/>
      <c r="GO175" s="15"/>
      <c r="GP175" s="15"/>
      <c r="GQ175" s="15"/>
      <c r="GR175" s="15"/>
      <c r="GS175" s="15"/>
      <c r="GT175" s="15"/>
      <c r="GU175" s="15"/>
      <c r="GV175" s="15"/>
      <c r="GW175" s="15"/>
      <c r="GX175" s="15"/>
      <c r="GY175" s="15"/>
      <c r="GZ175" s="15"/>
      <c r="HA175" s="15"/>
      <c r="HB175" s="15"/>
      <c r="HC175" s="15"/>
      <c r="HD175" s="15"/>
      <c r="HE175" s="15"/>
      <c r="HF175" s="15"/>
      <c r="HG175" s="15"/>
      <c r="HH175" s="15"/>
      <c r="HI175" s="15"/>
      <c r="HJ175" s="15"/>
      <c r="HK175" s="15"/>
      <c r="HL175" s="15"/>
      <c r="HM175" s="15"/>
      <c r="HN175" s="15"/>
      <c r="HO175" s="15"/>
      <c r="HP175" s="15"/>
      <c r="HQ175" s="15"/>
      <c r="HR175" s="15"/>
      <c r="HS175" s="15"/>
      <c r="HT175" s="15"/>
      <c r="HU175" s="15"/>
      <c r="HV175" s="15"/>
      <c r="HW175" s="15"/>
      <c r="HX175" s="15"/>
      <c r="HY175" s="15"/>
      <c r="HZ175" s="15"/>
      <c r="IA175" s="15"/>
      <c r="IB175" s="15"/>
      <c r="IC175" s="15"/>
      <c r="ID175" s="15"/>
      <c r="IE175" s="15"/>
      <c r="IF175" s="15"/>
      <c r="IG175" s="15"/>
      <c r="IH175" s="15"/>
      <c r="II175" s="15"/>
      <c r="IJ175" s="15"/>
      <c r="IK175" s="15"/>
      <c r="IL175" s="15"/>
      <c r="IM175" s="15"/>
      <c r="IN175" s="15"/>
      <c r="IO175" s="15"/>
    </row>
    <row r="176" spans="2:249">
      <c r="B176" s="145"/>
      <c r="E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  <c r="EN176" s="15"/>
      <c r="EO176" s="15"/>
      <c r="EP176" s="15"/>
      <c r="EQ176" s="15"/>
      <c r="ER176" s="15"/>
      <c r="ES176" s="15"/>
      <c r="ET176" s="15"/>
      <c r="EU176" s="15"/>
      <c r="EV176" s="15"/>
      <c r="EW176" s="15"/>
      <c r="EX176" s="15"/>
      <c r="EY176" s="15"/>
      <c r="EZ176" s="15"/>
      <c r="FA176" s="15"/>
      <c r="FB176" s="15"/>
      <c r="FC176" s="15"/>
      <c r="FD176" s="15"/>
      <c r="FE176" s="15"/>
      <c r="FF176" s="15"/>
      <c r="FG176" s="15"/>
      <c r="FH176" s="15"/>
      <c r="FI176" s="15"/>
      <c r="FJ176" s="15"/>
      <c r="FK176" s="15"/>
      <c r="FL176" s="15"/>
      <c r="FM176" s="15"/>
      <c r="FN176" s="15"/>
      <c r="FO176" s="15"/>
      <c r="FP176" s="15"/>
      <c r="FQ176" s="15"/>
      <c r="FR176" s="15"/>
      <c r="FS176" s="15"/>
      <c r="FT176" s="15"/>
      <c r="FU176" s="15"/>
      <c r="FV176" s="15"/>
      <c r="FW176" s="15"/>
      <c r="FX176" s="15"/>
      <c r="FY176" s="15"/>
      <c r="FZ176" s="15"/>
      <c r="GA176" s="15"/>
      <c r="GB176" s="15"/>
      <c r="GC176" s="15"/>
      <c r="GD176" s="15"/>
      <c r="GE176" s="15"/>
      <c r="GF176" s="15"/>
      <c r="GG176" s="15"/>
      <c r="GH176" s="15"/>
      <c r="GI176" s="15"/>
      <c r="GJ176" s="15"/>
      <c r="GK176" s="15"/>
      <c r="GL176" s="15"/>
      <c r="GM176" s="15"/>
      <c r="GN176" s="15"/>
      <c r="GO176" s="15"/>
      <c r="GP176" s="15"/>
      <c r="GQ176" s="15"/>
      <c r="GR176" s="15"/>
      <c r="GS176" s="15"/>
      <c r="GT176" s="15"/>
      <c r="GU176" s="15"/>
      <c r="GV176" s="15"/>
      <c r="GW176" s="15"/>
      <c r="GX176" s="15"/>
      <c r="GY176" s="15"/>
      <c r="GZ176" s="15"/>
      <c r="HA176" s="15"/>
      <c r="HB176" s="15"/>
      <c r="HC176" s="15"/>
      <c r="HD176" s="15"/>
      <c r="HE176" s="15"/>
      <c r="HF176" s="15"/>
      <c r="HG176" s="15"/>
      <c r="HH176" s="15"/>
      <c r="HI176" s="15"/>
      <c r="HJ176" s="15"/>
      <c r="HK176" s="15"/>
      <c r="HL176" s="15"/>
      <c r="HM176" s="15"/>
      <c r="HN176" s="15"/>
      <c r="HO176" s="15"/>
      <c r="HP176" s="15"/>
      <c r="HQ176" s="15"/>
      <c r="HR176" s="15"/>
      <c r="HS176" s="15"/>
      <c r="HT176" s="15"/>
      <c r="HU176" s="15"/>
      <c r="HV176" s="15"/>
      <c r="HW176" s="15"/>
      <c r="HX176" s="15"/>
      <c r="HY176" s="15"/>
      <c r="HZ176" s="15"/>
      <c r="IA176" s="15"/>
      <c r="IB176" s="15"/>
      <c r="IC176" s="15"/>
      <c r="ID176" s="15"/>
      <c r="IE176" s="15"/>
      <c r="IF176" s="15"/>
      <c r="IG176" s="15"/>
      <c r="IH176" s="15"/>
      <c r="II176" s="15"/>
      <c r="IJ176" s="15"/>
      <c r="IK176" s="15"/>
      <c r="IL176" s="15"/>
      <c r="IM176" s="15"/>
      <c r="IN176" s="15"/>
      <c r="IO176" s="15"/>
    </row>
    <row r="177" spans="2:249">
      <c r="B177" s="145"/>
      <c r="E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5"/>
      <c r="FJ177" s="15"/>
      <c r="FK177" s="15"/>
      <c r="FL177" s="15"/>
      <c r="FM177" s="15"/>
      <c r="FN177" s="15"/>
      <c r="FO177" s="15"/>
      <c r="FP177" s="15"/>
      <c r="FQ177" s="15"/>
      <c r="FR177" s="15"/>
      <c r="FS177" s="15"/>
      <c r="FT177" s="15"/>
      <c r="FU177" s="15"/>
      <c r="FV177" s="15"/>
      <c r="FW177" s="15"/>
      <c r="FX177" s="15"/>
      <c r="FY177" s="15"/>
      <c r="FZ177" s="15"/>
      <c r="GA177" s="15"/>
      <c r="GB177" s="15"/>
      <c r="GC177" s="15"/>
      <c r="GD177" s="15"/>
      <c r="GE177" s="15"/>
      <c r="GF177" s="15"/>
      <c r="GG177" s="15"/>
      <c r="GH177" s="15"/>
      <c r="GI177" s="15"/>
      <c r="GJ177" s="15"/>
      <c r="GK177" s="15"/>
      <c r="GL177" s="15"/>
      <c r="GM177" s="15"/>
      <c r="GN177" s="15"/>
      <c r="GO177" s="15"/>
      <c r="GP177" s="15"/>
      <c r="GQ177" s="15"/>
      <c r="GR177" s="15"/>
      <c r="GS177" s="15"/>
      <c r="GT177" s="15"/>
      <c r="GU177" s="15"/>
      <c r="GV177" s="15"/>
      <c r="GW177" s="15"/>
      <c r="GX177" s="15"/>
      <c r="GY177" s="15"/>
      <c r="GZ177" s="15"/>
      <c r="HA177" s="15"/>
      <c r="HB177" s="15"/>
      <c r="HC177" s="15"/>
      <c r="HD177" s="15"/>
      <c r="HE177" s="15"/>
      <c r="HF177" s="15"/>
      <c r="HG177" s="15"/>
      <c r="HH177" s="15"/>
      <c r="HI177" s="15"/>
      <c r="HJ177" s="15"/>
      <c r="HK177" s="15"/>
      <c r="HL177" s="15"/>
      <c r="HM177" s="15"/>
      <c r="HN177" s="15"/>
      <c r="HO177" s="15"/>
      <c r="HP177" s="15"/>
      <c r="HQ177" s="15"/>
      <c r="HR177" s="15"/>
      <c r="HS177" s="15"/>
      <c r="HT177" s="15"/>
      <c r="HU177" s="15"/>
      <c r="HV177" s="15"/>
      <c r="HW177" s="15"/>
      <c r="HX177" s="15"/>
      <c r="HY177" s="15"/>
      <c r="HZ177" s="15"/>
      <c r="IA177" s="15"/>
      <c r="IB177" s="15"/>
      <c r="IC177" s="15"/>
      <c r="ID177" s="15"/>
      <c r="IE177" s="15"/>
      <c r="IF177" s="15"/>
      <c r="IG177" s="15"/>
      <c r="IH177" s="15"/>
      <c r="II177" s="15"/>
      <c r="IJ177" s="15"/>
      <c r="IK177" s="15"/>
      <c r="IL177" s="15"/>
      <c r="IM177" s="15"/>
      <c r="IN177" s="15"/>
      <c r="IO177" s="15"/>
    </row>
    <row r="178" spans="2:249">
      <c r="B178" s="145"/>
      <c r="E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  <c r="EZ178" s="15"/>
      <c r="FA178" s="15"/>
      <c r="FB178" s="15"/>
      <c r="FC178" s="15"/>
      <c r="FD178" s="15"/>
      <c r="FE178" s="15"/>
      <c r="FF178" s="15"/>
      <c r="FG178" s="15"/>
      <c r="FH178" s="15"/>
      <c r="FI178" s="15"/>
      <c r="FJ178" s="15"/>
      <c r="FK178" s="15"/>
      <c r="FL178" s="15"/>
      <c r="FM178" s="15"/>
      <c r="FN178" s="15"/>
      <c r="FO178" s="15"/>
      <c r="FP178" s="15"/>
      <c r="FQ178" s="15"/>
      <c r="FR178" s="15"/>
      <c r="FS178" s="15"/>
      <c r="FT178" s="15"/>
      <c r="FU178" s="15"/>
      <c r="FV178" s="15"/>
      <c r="FW178" s="15"/>
      <c r="FX178" s="15"/>
      <c r="FY178" s="15"/>
      <c r="FZ178" s="15"/>
      <c r="GA178" s="15"/>
      <c r="GB178" s="15"/>
      <c r="GC178" s="15"/>
      <c r="GD178" s="15"/>
      <c r="GE178" s="15"/>
      <c r="GF178" s="15"/>
      <c r="GG178" s="15"/>
      <c r="GH178" s="15"/>
      <c r="GI178" s="15"/>
      <c r="GJ178" s="15"/>
      <c r="GK178" s="15"/>
      <c r="GL178" s="15"/>
      <c r="GM178" s="15"/>
      <c r="GN178" s="15"/>
      <c r="GO178" s="15"/>
      <c r="GP178" s="15"/>
      <c r="GQ178" s="15"/>
      <c r="GR178" s="15"/>
      <c r="GS178" s="15"/>
      <c r="GT178" s="15"/>
      <c r="GU178" s="15"/>
      <c r="GV178" s="15"/>
      <c r="GW178" s="15"/>
      <c r="GX178" s="15"/>
      <c r="GY178" s="15"/>
      <c r="GZ178" s="15"/>
      <c r="HA178" s="15"/>
      <c r="HB178" s="15"/>
      <c r="HC178" s="15"/>
      <c r="HD178" s="15"/>
      <c r="HE178" s="15"/>
      <c r="HF178" s="15"/>
      <c r="HG178" s="15"/>
      <c r="HH178" s="15"/>
      <c r="HI178" s="15"/>
      <c r="HJ178" s="15"/>
      <c r="HK178" s="15"/>
      <c r="HL178" s="15"/>
      <c r="HM178" s="15"/>
      <c r="HN178" s="15"/>
      <c r="HO178" s="15"/>
      <c r="HP178" s="15"/>
      <c r="HQ178" s="15"/>
      <c r="HR178" s="15"/>
      <c r="HS178" s="15"/>
      <c r="HT178" s="15"/>
      <c r="HU178" s="15"/>
      <c r="HV178" s="15"/>
      <c r="HW178" s="15"/>
      <c r="HX178" s="15"/>
      <c r="HY178" s="15"/>
      <c r="HZ178" s="15"/>
      <c r="IA178" s="15"/>
      <c r="IB178" s="15"/>
      <c r="IC178" s="15"/>
      <c r="ID178" s="15"/>
      <c r="IE178" s="15"/>
      <c r="IF178" s="15"/>
      <c r="IG178" s="15"/>
      <c r="IH178" s="15"/>
      <c r="II178" s="15"/>
      <c r="IJ178" s="15"/>
      <c r="IK178" s="15"/>
      <c r="IL178" s="15"/>
      <c r="IM178" s="15"/>
      <c r="IN178" s="15"/>
      <c r="IO178" s="15"/>
    </row>
    <row r="179" spans="2:249">
      <c r="B179" s="145"/>
      <c r="E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/>
      <c r="FF179" s="15"/>
      <c r="FG179" s="15"/>
      <c r="FH179" s="15"/>
      <c r="FI179" s="15"/>
      <c r="FJ179" s="15"/>
      <c r="FK179" s="15"/>
      <c r="FL179" s="15"/>
      <c r="FM179" s="15"/>
      <c r="FN179" s="15"/>
      <c r="FO179" s="15"/>
      <c r="FP179" s="15"/>
      <c r="FQ179" s="15"/>
      <c r="FR179" s="15"/>
      <c r="FS179" s="15"/>
      <c r="FT179" s="15"/>
      <c r="FU179" s="15"/>
      <c r="FV179" s="15"/>
      <c r="FW179" s="15"/>
      <c r="FX179" s="15"/>
      <c r="FY179" s="15"/>
      <c r="FZ179" s="15"/>
      <c r="GA179" s="15"/>
      <c r="GB179" s="15"/>
      <c r="GC179" s="15"/>
      <c r="GD179" s="15"/>
      <c r="GE179" s="15"/>
      <c r="GF179" s="15"/>
      <c r="GG179" s="15"/>
      <c r="GH179" s="15"/>
      <c r="GI179" s="15"/>
      <c r="GJ179" s="15"/>
      <c r="GK179" s="15"/>
      <c r="GL179" s="15"/>
      <c r="GM179" s="15"/>
      <c r="GN179" s="15"/>
      <c r="GO179" s="15"/>
      <c r="GP179" s="15"/>
      <c r="GQ179" s="15"/>
      <c r="GR179" s="15"/>
      <c r="GS179" s="15"/>
      <c r="GT179" s="15"/>
      <c r="GU179" s="15"/>
      <c r="GV179" s="15"/>
      <c r="GW179" s="15"/>
      <c r="GX179" s="15"/>
      <c r="GY179" s="15"/>
      <c r="GZ179" s="15"/>
      <c r="HA179" s="15"/>
      <c r="HB179" s="15"/>
      <c r="HC179" s="15"/>
      <c r="HD179" s="15"/>
      <c r="HE179" s="15"/>
      <c r="HF179" s="15"/>
      <c r="HG179" s="15"/>
      <c r="HH179" s="15"/>
      <c r="HI179" s="15"/>
      <c r="HJ179" s="15"/>
      <c r="HK179" s="15"/>
      <c r="HL179" s="15"/>
      <c r="HM179" s="15"/>
      <c r="HN179" s="15"/>
      <c r="HO179" s="15"/>
      <c r="HP179" s="15"/>
      <c r="HQ179" s="15"/>
      <c r="HR179" s="15"/>
      <c r="HS179" s="15"/>
      <c r="HT179" s="15"/>
      <c r="HU179" s="15"/>
      <c r="HV179" s="15"/>
      <c r="HW179" s="15"/>
      <c r="HX179" s="15"/>
      <c r="HY179" s="15"/>
      <c r="HZ179" s="15"/>
      <c r="IA179" s="15"/>
      <c r="IB179" s="15"/>
      <c r="IC179" s="15"/>
      <c r="ID179" s="15"/>
      <c r="IE179" s="15"/>
      <c r="IF179" s="15"/>
      <c r="IG179" s="15"/>
      <c r="IH179" s="15"/>
      <c r="II179" s="15"/>
      <c r="IJ179" s="15"/>
      <c r="IK179" s="15"/>
      <c r="IL179" s="15"/>
      <c r="IM179" s="15"/>
      <c r="IN179" s="15"/>
      <c r="IO179" s="15"/>
    </row>
    <row r="180" spans="2:249">
      <c r="B180" s="145"/>
      <c r="E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5"/>
      <c r="FE180" s="15"/>
      <c r="FF180" s="15"/>
      <c r="FG180" s="15"/>
      <c r="FH180" s="15"/>
      <c r="FI180" s="15"/>
      <c r="FJ180" s="15"/>
      <c r="FK180" s="15"/>
      <c r="FL180" s="15"/>
      <c r="FM180" s="15"/>
      <c r="FN180" s="15"/>
      <c r="FO180" s="15"/>
      <c r="FP180" s="15"/>
      <c r="FQ180" s="15"/>
      <c r="FR180" s="15"/>
      <c r="FS180" s="15"/>
      <c r="FT180" s="15"/>
      <c r="FU180" s="15"/>
      <c r="FV180" s="15"/>
      <c r="FW180" s="15"/>
      <c r="FX180" s="15"/>
      <c r="FY180" s="15"/>
      <c r="FZ180" s="15"/>
      <c r="GA180" s="15"/>
      <c r="GB180" s="15"/>
      <c r="GC180" s="15"/>
      <c r="GD180" s="15"/>
      <c r="GE180" s="15"/>
      <c r="GF180" s="15"/>
      <c r="GG180" s="15"/>
      <c r="GH180" s="15"/>
      <c r="GI180" s="15"/>
      <c r="GJ180" s="15"/>
      <c r="GK180" s="15"/>
      <c r="GL180" s="15"/>
      <c r="GM180" s="15"/>
      <c r="GN180" s="15"/>
      <c r="GO180" s="15"/>
      <c r="GP180" s="15"/>
      <c r="GQ180" s="15"/>
      <c r="GR180" s="15"/>
      <c r="GS180" s="15"/>
      <c r="GT180" s="15"/>
      <c r="GU180" s="15"/>
      <c r="GV180" s="15"/>
      <c r="GW180" s="15"/>
      <c r="GX180" s="15"/>
      <c r="GY180" s="15"/>
      <c r="GZ180" s="15"/>
      <c r="HA180" s="15"/>
      <c r="HB180" s="15"/>
      <c r="HC180" s="15"/>
      <c r="HD180" s="15"/>
      <c r="HE180" s="15"/>
      <c r="HF180" s="15"/>
      <c r="HG180" s="15"/>
      <c r="HH180" s="15"/>
      <c r="HI180" s="15"/>
      <c r="HJ180" s="15"/>
      <c r="HK180" s="15"/>
      <c r="HL180" s="15"/>
      <c r="HM180" s="15"/>
      <c r="HN180" s="15"/>
      <c r="HO180" s="15"/>
      <c r="HP180" s="15"/>
      <c r="HQ180" s="15"/>
      <c r="HR180" s="15"/>
      <c r="HS180" s="15"/>
      <c r="HT180" s="15"/>
      <c r="HU180" s="15"/>
      <c r="HV180" s="15"/>
      <c r="HW180" s="15"/>
      <c r="HX180" s="15"/>
      <c r="HY180" s="15"/>
      <c r="HZ180" s="15"/>
      <c r="IA180" s="15"/>
      <c r="IB180" s="15"/>
      <c r="IC180" s="15"/>
      <c r="ID180" s="15"/>
      <c r="IE180" s="15"/>
      <c r="IF180" s="15"/>
      <c r="IG180" s="15"/>
      <c r="IH180" s="15"/>
      <c r="II180" s="15"/>
      <c r="IJ180" s="15"/>
      <c r="IK180" s="15"/>
      <c r="IL180" s="15"/>
      <c r="IM180" s="15"/>
      <c r="IN180" s="15"/>
      <c r="IO180" s="15"/>
    </row>
    <row r="181" spans="2:249">
      <c r="B181" s="145"/>
      <c r="E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5"/>
      <c r="FH181" s="15"/>
      <c r="FI181" s="15"/>
      <c r="FJ181" s="15"/>
      <c r="FK181" s="15"/>
      <c r="FL181" s="15"/>
      <c r="FM181" s="15"/>
      <c r="FN181" s="15"/>
      <c r="FO181" s="15"/>
      <c r="FP181" s="15"/>
      <c r="FQ181" s="15"/>
      <c r="FR181" s="15"/>
      <c r="FS181" s="15"/>
      <c r="FT181" s="15"/>
      <c r="FU181" s="15"/>
      <c r="FV181" s="15"/>
      <c r="FW181" s="15"/>
      <c r="FX181" s="15"/>
      <c r="FY181" s="15"/>
      <c r="FZ181" s="15"/>
      <c r="GA181" s="15"/>
      <c r="GB181" s="15"/>
      <c r="GC181" s="15"/>
      <c r="GD181" s="15"/>
      <c r="GE181" s="15"/>
      <c r="GF181" s="15"/>
      <c r="GG181" s="15"/>
      <c r="GH181" s="15"/>
      <c r="GI181" s="15"/>
      <c r="GJ181" s="15"/>
      <c r="GK181" s="15"/>
      <c r="GL181" s="15"/>
      <c r="GM181" s="15"/>
      <c r="GN181" s="15"/>
      <c r="GO181" s="15"/>
      <c r="GP181" s="15"/>
      <c r="GQ181" s="15"/>
      <c r="GR181" s="15"/>
      <c r="GS181" s="15"/>
      <c r="GT181" s="15"/>
      <c r="GU181" s="15"/>
      <c r="GV181" s="15"/>
      <c r="GW181" s="15"/>
      <c r="GX181" s="15"/>
      <c r="GY181" s="15"/>
      <c r="GZ181" s="15"/>
      <c r="HA181" s="15"/>
      <c r="HB181" s="15"/>
      <c r="HC181" s="15"/>
      <c r="HD181" s="15"/>
      <c r="HE181" s="15"/>
      <c r="HF181" s="15"/>
      <c r="HG181" s="15"/>
      <c r="HH181" s="15"/>
      <c r="HI181" s="15"/>
      <c r="HJ181" s="15"/>
      <c r="HK181" s="15"/>
      <c r="HL181" s="15"/>
      <c r="HM181" s="15"/>
      <c r="HN181" s="15"/>
      <c r="HO181" s="15"/>
      <c r="HP181" s="15"/>
      <c r="HQ181" s="15"/>
      <c r="HR181" s="15"/>
      <c r="HS181" s="15"/>
      <c r="HT181" s="15"/>
      <c r="HU181" s="15"/>
      <c r="HV181" s="15"/>
      <c r="HW181" s="15"/>
      <c r="HX181" s="15"/>
      <c r="HY181" s="15"/>
      <c r="HZ181" s="15"/>
      <c r="IA181" s="15"/>
      <c r="IB181" s="15"/>
      <c r="IC181" s="15"/>
      <c r="ID181" s="15"/>
      <c r="IE181" s="15"/>
      <c r="IF181" s="15"/>
      <c r="IG181" s="15"/>
      <c r="IH181" s="15"/>
      <c r="II181" s="15"/>
      <c r="IJ181" s="15"/>
      <c r="IK181" s="15"/>
      <c r="IL181" s="15"/>
      <c r="IM181" s="15"/>
      <c r="IN181" s="15"/>
      <c r="IO181" s="15"/>
    </row>
    <row r="182" spans="2:249">
      <c r="B182" s="145"/>
      <c r="E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  <c r="EZ182" s="15"/>
      <c r="FA182" s="15"/>
      <c r="FB182" s="15"/>
      <c r="FC182" s="15"/>
      <c r="FD182" s="15"/>
      <c r="FE182" s="15"/>
      <c r="FF182" s="15"/>
      <c r="FG182" s="15"/>
      <c r="FH182" s="15"/>
      <c r="FI182" s="15"/>
      <c r="FJ182" s="15"/>
      <c r="FK182" s="15"/>
      <c r="FL182" s="15"/>
      <c r="FM182" s="15"/>
      <c r="FN182" s="15"/>
      <c r="FO182" s="15"/>
      <c r="FP182" s="15"/>
      <c r="FQ182" s="15"/>
      <c r="FR182" s="15"/>
      <c r="FS182" s="15"/>
      <c r="FT182" s="15"/>
      <c r="FU182" s="15"/>
      <c r="FV182" s="15"/>
      <c r="FW182" s="15"/>
      <c r="FX182" s="15"/>
      <c r="FY182" s="15"/>
      <c r="FZ182" s="15"/>
      <c r="GA182" s="15"/>
      <c r="GB182" s="15"/>
      <c r="GC182" s="15"/>
      <c r="GD182" s="15"/>
      <c r="GE182" s="15"/>
      <c r="GF182" s="15"/>
      <c r="GG182" s="15"/>
      <c r="GH182" s="15"/>
      <c r="GI182" s="15"/>
      <c r="GJ182" s="15"/>
      <c r="GK182" s="15"/>
      <c r="GL182" s="15"/>
      <c r="GM182" s="15"/>
      <c r="GN182" s="15"/>
      <c r="GO182" s="15"/>
      <c r="GP182" s="15"/>
      <c r="GQ182" s="15"/>
      <c r="GR182" s="15"/>
      <c r="GS182" s="15"/>
      <c r="GT182" s="15"/>
      <c r="GU182" s="15"/>
      <c r="GV182" s="15"/>
      <c r="GW182" s="15"/>
      <c r="GX182" s="15"/>
      <c r="GY182" s="15"/>
      <c r="GZ182" s="15"/>
      <c r="HA182" s="15"/>
      <c r="HB182" s="15"/>
      <c r="HC182" s="15"/>
      <c r="HD182" s="15"/>
      <c r="HE182" s="15"/>
      <c r="HF182" s="15"/>
      <c r="HG182" s="15"/>
      <c r="HH182" s="15"/>
      <c r="HI182" s="15"/>
      <c r="HJ182" s="15"/>
      <c r="HK182" s="15"/>
      <c r="HL182" s="15"/>
      <c r="HM182" s="15"/>
      <c r="HN182" s="15"/>
      <c r="HO182" s="15"/>
      <c r="HP182" s="15"/>
      <c r="HQ182" s="15"/>
      <c r="HR182" s="15"/>
      <c r="HS182" s="15"/>
      <c r="HT182" s="15"/>
      <c r="HU182" s="15"/>
      <c r="HV182" s="15"/>
      <c r="HW182" s="15"/>
      <c r="HX182" s="15"/>
      <c r="HY182" s="15"/>
      <c r="HZ182" s="15"/>
      <c r="IA182" s="15"/>
      <c r="IB182" s="15"/>
      <c r="IC182" s="15"/>
      <c r="ID182" s="15"/>
      <c r="IE182" s="15"/>
      <c r="IF182" s="15"/>
      <c r="IG182" s="15"/>
      <c r="IH182" s="15"/>
      <c r="II182" s="15"/>
      <c r="IJ182" s="15"/>
      <c r="IK182" s="15"/>
      <c r="IL182" s="15"/>
      <c r="IM182" s="15"/>
      <c r="IN182" s="15"/>
      <c r="IO182" s="15"/>
    </row>
    <row r="183" spans="2:249">
      <c r="B183" s="145"/>
      <c r="E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  <c r="EZ183" s="15"/>
      <c r="FA183" s="15"/>
      <c r="FB183" s="15"/>
      <c r="FC183" s="15"/>
      <c r="FD183" s="15"/>
      <c r="FE183" s="15"/>
      <c r="FF183" s="15"/>
      <c r="FG183" s="15"/>
      <c r="FH183" s="15"/>
      <c r="FI183" s="15"/>
      <c r="FJ183" s="15"/>
      <c r="FK183" s="15"/>
      <c r="FL183" s="15"/>
      <c r="FM183" s="15"/>
      <c r="FN183" s="15"/>
      <c r="FO183" s="15"/>
      <c r="FP183" s="15"/>
      <c r="FQ183" s="15"/>
      <c r="FR183" s="15"/>
      <c r="FS183" s="15"/>
      <c r="FT183" s="15"/>
      <c r="FU183" s="15"/>
      <c r="FV183" s="15"/>
      <c r="FW183" s="15"/>
      <c r="FX183" s="15"/>
      <c r="FY183" s="15"/>
      <c r="FZ183" s="15"/>
      <c r="GA183" s="15"/>
      <c r="GB183" s="15"/>
      <c r="GC183" s="15"/>
      <c r="GD183" s="15"/>
      <c r="GE183" s="15"/>
      <c r="GF183" s="15"/>
      <c r="GG183" s="15"/>
      <c r="GH183" s="15"/>
      <c r="GI183" s="15"/>
      <c r="GJ183" s="15"/>
      <c r="GK183" s="15"/>
      <c r="GL183" s="15"/>
      <c r="GM183" s="15"/>
      <c r="GN183" s="15"/>
      <c r="GO183" s="15"/>
      <c r="GP183" s="15"/>
      <c r="GQ183" s="15"/>
      <c r="GR183" s="15"/>
      <c r="GS183" s="15"/>
      <c r="GT183" s="15"/>
      <c r="GU183" s="15"/>
      <c r="GV183" s="15"/>
      <c r="GW183" s="15"/>
      <c r="GX183" s="15"/>
      <c r="GY183" s="15"/>
      <c r="GZ183" s="15"/>
      <c r="HA183" s="15"/>
      <c r="HB183" s="15"/>
      <c r="HC183" s="15"/>
      <c r="HD183" s="15"/>
      <c r="HE183" s="15"/>
      <c r="HF183" s="15"/>
      <c r="HG183" s="15"/>
      <c r="HH183" s="15"/>
      <c r="HI183" s="15"/>
      <c r="HJ183" s="15"/>
      <c r="HK183" s="15"/>
      <c r="HL183" s="15"/>
      <c r="HM183" s="15"/>
      <c r="HN183" s="15"/>
      <c r="HO183" s="15"/>
      <c r="HP183" s="15"/>
      <c r="HQ183" s="15"/>
      <c r="HR183" s="15"/>
      <c r="HS183" s="15"/>
      <c r="HT183" s="15"/>
      <c r="HU183" s="15"/>
      <c r="HV183" s="15"/>
      <c r="HW183" s="15"/>
      <c r="HX183" s="15"/>
      <c r="HY183" s="15"/>
      <c r="HZ183" s="15"/>
      <c r="IA183" s="15"/>
      <c r="IB183" s="15"/>
      <c r="IC183" s="15"/>
      <c r="ID183" s="15"/>
      <c r="IE183" s="15"/>
      <c r="IF183" s="15"/>
      <c r="IG183" s="15"/>
      <c r="IH183" s="15"/>
      <c r="II183" s="15"/>
      <c r="IJ183" s="15"/>
      <c r="IK183" s="15"/>
      <c r="IL183" s="15"/>
      <c r="IM183" s="15"/>
      <c r="IN183" s="15"/>
      <c r="IO183" s="15"/>
    </row>
    <row r="184" spans="2:249">
      <c r="B184" s="145"/>
      <c r="E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/>
      <c r="FF184" s="15"/>
      <c r="FG184" s="15"/>
      <c r="FH184" s="15"/>
      <c r="FI184" s="15"/>
      <c r="FJ184" s="15"/>
      <c r="FK184" s="15"/>
      <c r="FL184" s="15"/>
      <c r="FM184" s="15"/>
      <c r="FN184" s="15"/>
      <c r="FO184" s="15"/>
      <c r="FP184" s="15"/>
      <c r="FQ184" s="15"/>
      <c r="FR184" s="15"/>
      <c r="FS184" s="15"/>
      <c r="FT184" s="15"/>
      <c r="FU184" s="15"/>
      <c r="FV184" s="15"/>
      <c r="FW184" s="15"/>
      <c r="FX184" s="15"/>
      <c r="FY184" s="15"/>
      <c r="FZ184" s="15"/>
      <c r="GA184" s="15"/>
      <c r="GB184" s="15"/>
      <c r="GC184" s="15"/>
      <c r="GD184" s="15"/>
      <c r="GE184" s="15"/>
      <c r="GF184" s="15"/>
      <c r="GG184" s="15"/>
      <c r="GH184" s="15"/>
      <c r="GI184" s="15"/>
      <c r="GJ184" s="15"/>
      <c r="GK184" s="15"/>
      <c r="GL184" s="15"/>
      <c r="GM184" s="15"/>
      <c r="GN184" s="15"/>
      <c r="GO184" s="15"/>
      <c r="GP184" s="15"/>
      <c r="GQ184" s="15"/>
      <c r="GR184" s="15"/>
      <c r="GS184" s="15"/>
      <c r="GT184" s="15"/>
      <c r="GU184" s="15"/>
      <c r="GV184" s="15"/>
      <c r="GW184" s="15"/>
      <c r="GX184" s="15"/>
      <c r="GY184" s="15"/>
      <c r="GZ184" s="15"/>
      <c r="HA184" s="15"/>
      <c r="HB184" s="15"/>
      <c r="HC184" s="15"/>
      <c r="HD184" s="15"/>
      <c r="HE184" s="15"/>
      <c r="HF184" s="15"/>
      <c r="HG184" s="15"/>
      <c r="HH184" s="15"/>
      <c r="HI184" s="15"/>
      <c r="HJ184" s="15"/>
      <c r="HK184" s="15"/>
      <c r="HL184" s="15"/>
      <c r="HM184" s="15"/>
      <c r="HN184" s="15"/>
      <c r="HO184" s="15"/>
      <c r="HP184" s="15"/>
      <c r="HQ184" s="15"/>
      <c r="HR184" s="15"/>
      <c r="HS184" s="15"/>
      <c r="HT184" s="15"/>
      <c r="HU184" s="15"/>
      <c r="HV184" s="15"/>
      <c r="HW184" s="15"/>
      <c r="HX184" s="15"/>
      <c r="HY184" s="15"/>
      <c r="HZ184" s="15"/>
      <c r="IA184" s="15"/>
      <c r="IB184" s="15"/>
      <c r="IC184" s="15"/>
      <c r="ID184" s="15"/>
      <c r="IE184" s="15"/>
      <c r="IF184" s="15"/>
      <c r="IG184" s="15"/>
      <c r="IH184" s="15"/>
      <c r="II184" s="15"/>
      <c r="IJ184" s="15"/>
      <c r="IK184" s="15"/>
      <c r="IL184" s="15"/>
      <c r="IM184" s="15"/>
      <c r="IN184" s="15"/>
      <c r="IO184" s="15"/>
    </row>
    <row r="185" spans="2:249">
      <c r="B185" s="145"/>
      <c r="E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  <c r="EY185" s="15"/>
      <c r="EZ185" s="15"/>
      <c r="FA185" s="15"/>
      <c r="FB185" s="15"/>
      <c r="FC185" s="15"/>
      <c r="FD185" s="15"/>
      <c r="FE185" s="15"/>
      <c r="FF185" s="15"/>
      <c r="FG185" s="15"/>
      <c r="FH185" s="15"/>
      <c r="FI185" s="15"/>
      <c r="FJ185" s="15"/>
      <c r="FK185" s="15"/>
      <c r="FL185" s="15"/>
      <c r="FM185" s="15"/>
      <c r="FN185" s="15"/>
      <c r="FO185" s="15"/>
      <c r="FP185" s="15"/>
      <c r="FQ185" s="15"/>
      <c r="FR185" s="15"/>
      <c r="FS185" s="15"/>
      <c r="FT185" s="15"/>
      <c r="FU185" s="15"/>
      <c r="FV185" s="15"/>
      <c r="FW185" s="15"/>
      <c r="FX185" s="15"/>
      <c r="FY185" s="15"/>
      <c r="FZ185" s="15"/>
      <c r="GA185" s="15"/>
      <c r="GB185" s="15"/>
      <c r="GC185" s="15"/>
      <c r="GD185" s="15"/>
      <c r="GE185" s="15"/>
      <c r="GF185" s="15"/>
      <c r="GG185" s="15"/>
      <c r="GH185" s="15"/>
      <c r="GI185" s="15"/>
      <c r="GJ185" s="15"/>
      <c r="GK185" s="15"/>
      <c r="GL185" s="15"/>
      <c r="GM185" s="15"/>
      <c r="GN185" s="15"/>
      <c r="GO185" s="15"/>
      <c r="GP185" s="15"/>
      <c r="GQ185" s="15"/>
      <c r="GR185" s="15"/>
      <c r="GS185" s="15"/>
      <c r="GT185" s="15"/>
      <c r="GU185" s="15"/>
      <c r="GV185" s="15"/>
      <c r="GW185" s="15"/>
      <c r="GX185" s="15"/>
      <c r="GY185" s="15"/>
      <c r="GZ185" s="15"/>
      <c r="HA185" s="15"/>
      <c r="HB185" s="15"/>
      <c r="HC185" s="15"/>
      <c r="HD185" s="15"/>
      <c r="HE185" s="15"/>
      <c r="HF185" s="15"/>
      <c r="HG185" s="15"/>
      <c r="HH185" s="15"/>
      <c r="HI185" s="15"/>
      <c r="HJ185" s="15"/>
      <c r="HK185" s="15"/>
      <c r="HL185" s="15"/>
      <c r="HM185" s="15"/>
      <c r="HN185" s="15"/>
      <c r="HO185" s="15"/>
      <c r="HP185" s="15"/>
      <c r="HQ185" s="15"/>
      <c r="HR185" s="15"/>
      <c r="HS185" s="15"/>
      <c r="HT185" s="15"/>
      <c r="HU185" s="15"/>
      <c r="HV185" s="15"/>
      <c r="HW185" s="15"/>
      <c r="HX185" s="15"/>
      <c r="HY185" s="15"/>
      <c r="HZ185" s="15"/>
      <c r="IA185" s="15"/>
      <c r="IB185" s="15"/>
      <c r="IC185" s="15"/>
      <c r="ID185" s="15"/>
      <c r="IE185" s="15"/>
      <c r="IF185" s="15"/>
      <c r="IG185" s="15"/>
      <c r="IH185" s="15"/>
      <c r="II185" s="15"/>
      <c r="IJ185" s="15"/>
      <c r="IK185" s="15"/>
      <c r="IL185" s="15"/>
      <c r="IM185" s="15"/>
      <c r="IN185" s="15"/>
      <c r="IO185" s="15"/>
    </row>
    <row r="186" spans="2:249">
      <c r="B186" s="145"/>
      <c r="E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  <c r="EY186" s="15"/>
      <c r="EZ186" s="15"/>
      <c r="FA186" s="15"/>
      <c r="FB186" s="15"/>
      <c r="FC186" s="15"/>
      <c r="FD186" s="15"/>
      <c r="FE186" s="15"/>
      <c r="FF186" s="15"/>
      <c r="FG186" s="15"/>
      <c r="FH186" s="15"/>
      <c r="FI186" s="15"/>
      <c r="FJ186" s="15"/>
      <c r="FK186" s="15"/>
      <c r="FL186" s="15"/>
      <c r="FM186" s="15"/>
      <c r="FN186" s="15"/>
      <c r="FO186" s="15"/>
      <c r="FP186" s="15"/>
      <c r="FQ186" s="15"/>
      <c r="FR186" s="15"/>
      <c r="FS186" s="15"/>
      <c r="FT186" s="15"/>
      <c r="FU186" s="15"/>
      <c r="FV186" s="15"/>
      <c r="FW186" s="15"/>
      <c r="FX186" s="15"/>
      <c r="FY186" s="15"/>
      <c r="FZ186" s="15"/>
      <c r="GA186" s="15"/>
      <c r="GB186" s="15"/>
      <c r="GC186" s="15"/>
      <c r="GD186" s="15"/>
      <c r="GE186" s="15"/>
      <c r="GF186" s="15"/>
      <c r="GG186" s="15"/>
      <c r="GH186" s="15"/>
      <c r="GI186" s="15"/>
      <c r="GJ186" s="15"/>
      <c r="GK186" s="15"/>
      <c r="GL186" s="15"/>
      <c r="GM186" s="15"/>
      <c r="GN186" s="15"/>
      <c r="GO186" s="15"/>
      <c r="GP186" s="15"/>
      <c r="GQ186" s="15"/>
      <c r="GR186" s="15"/>
      <c r="GS186" s="15"/>
      <c r="GT186" s="15"/>
      <c r="GU186" s="15"/>
      <c r="GV186" s="15"/>
      <c r="GW186" s="15"/>
      <c r="GX186" s="15"/>
      <c r="GY186" s="15"/>
      <c r="GZ186" s="15"/>
      <c r="HA186" s="15"/>
      <c r="HB186" s="15"/>
      <c r="HC186" s="15"/>
      <c r="HD186" s="15"/>
      <c r="HE186" s="15"/>
      <c r="HF186" s="15"/>
      <c r="HG186" s="15"/>
      <c r="HH186" s="15"/>
      <c r="HI186" s="15"/>
      <c r="HJ186" s="15"/>
      <c r="HK186" s="15"/>
      <c r="HL186" s="15"/>
      <c r="HM186" s="15"/>
      <c r="HN186" s="15"/>
      <c r="HO186" s="15"/>
      <c r="HP186" s="15"/>
      <c r="HQ186" s="15"/>
      <c r="HR186" s="15"/>
      <c r="HS186" s="15"/>
      <c r="HT186" s="15"/>
      <c r="HU186" s="15"/>
      <c r="HV186" s="15"/>
      <c r="HW186" s="15"/>
      <c r="HX186" s="15"/>
      <c r="HY186" s="15"/>
      <c r="HZ186" s="15"/>
      <c r="IA186" s="15"/>
      <c r="IB186" s="15"/>
      <c r="IC186" s="15"/>
      <c r="ID186" s="15"/>
      <c r="IE186" s="15"/>
      <c r="IF186" s="15"/>
      <c r="IG186" s="15"/>
      <c r="IH186" s="15"/>
      <c r="II186" s="15"/>
      <c r="IJ186" s="15"/>
      <c r="IK186" s="15"/>
      <c r="IL186" s="15"/>
      <c r="IM186" s="15"/>
      <c r="IN186" s="15"/>
      <c r="IO186" s="15"/>
    </row>
    <row r="187" spans="2:249">
      <c r="B187" s="145"/>
      <c r="E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5"/>
      <c r="FD187" s="15"/>
      <c r="FE187" s="15"/>
      <c r="FF187" s="15"/>
      <c r="FG187" s="15"/>
      <c r="FH187" s="15"/>
      <c r="FI187" s="15"/>
      <c r="FJ187" s="15"/>
      <c r="FK187" s="15"/>
      <c r="FL187" s="15"/>
      <c r="FM187" s="15"/>
      <c r="FN187" s="15"/>
      <c r="FO187" s="15"/>
      <c r="FP187" s="15"/>
      <c r="FQ187" s="15"/>
      <c r="FR187" s="15"/>
      <c r="FS187" s="15"/>
      <c r="FT187" s="15"/>
      <c r="FU187" s="15"/>
      <c r="FV187" s="15"/>
      <c r="FW187" s="15"/>
      <c r="FX187" s="15"/>
      <c r="FY187" s="15"/>
      <c r="FZ187" s="15"/>
      <c r="GA187" s="15"/>
      <c r="GB187" s="15"/>
      <c r="GC187" s="15"/>
      <c r="GD187" s="15"/>
      <c r="GE187" s="15"/>
      <c r="GF187" s="15"/>
      <c r="GG187" s="15"/>
      <c r="GH187" s="15"/>
      <c r="GI187" s="15"/>
      <c r="GJ187" s="15"/>
      <c r="GK187" s="15"/>
      <c r="GL187" s="15"/>
      <c r="GM187" s="15"/>
      <c r="GN187" s="15"/>
      <c r="GO187" s="15"/>
      <c r="GP187" s="15"/>
      <c r="GQ187" s="15"/>
      <c r="GR187" s="15"/>
      <c r="GS187" s="15"/>
      <c r="GT187" s="15"/>
      <c r="GU187" s="15"/>
      <c r="GV187" s="15"/>
      <c r="GW187" s="15"/>
      <c r="GX187" s="15"/>
      <c r="GY187" s="15"/>
      <c r="GZ187" s="15"/>
      <c r="HA187" s="15"/>
      <c r="HB187" s="15"/>
      <c r="HC187" s="15"/>
      <c r="HD187" s="15"/>
      <c r="HE187" s="15"/>
      <c r="HF187" s="15"/>
      <c r="HG187" s="15"/>
      <c r="HH187" s="15"/>
      <c r="HI187" s="15"/>
      <c r="HJ187" s="15"/>
      <c r="HK187" s="15"/>
      <c r="HL187" s="15"/>
      <c r="HM187" s="15"/>
      <c r="HN187" s="15"/>
      <c r="HO187" s="15"/>
      <c r="HP187" s="15"/>
      <c r="HQ187" s="15"/>
      <c r="HR187" s="15"/>
      <c r="HS187" s="15"/>
      <c r="HT187" s="15"/>
      <c r="HU187" s="15"/>
      <c r="HV187" s="15"/>
      <c r="HW187" s="15"/>
      <c r="HX187" s="15"/>
      <c r="HY187" s="15"/>
      <c r="HZ187" s="15"/>
      <c r="IA187" s="15"/>
      <c r="IB187" s="15"/>
      <c r="IC187" s="15"/>
      <c r="ID187" s="15"/>
      <c r="IE187" s="15"/>
      <c r="IF187" s="15"/>
      <c r="IG187" s="15"/>
      <c r="IH187" s="15"/>
      <c r="II187" s="15"/>
      <c r="IJ187" s="15"/>
      <c r="IK187" s="15"/>
      <c r="IL187" s="15"/>
      <c r="IM187" s="15"/>
      <c r="IN187" s="15"/>
      <c r="IO187" s="15"/>
    </row>
    <row r="188" spans="2:249">
      <c r="B188" s="145"/>
      <c r="E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5"/>
      <c r="FD188" s="15"/>
      <c r="FE188" s="15"/>
      <c r="FF188" s="15"/>
      <c r="FG188" s="15"/>
      <c r="FH188" s="15"/>
      <c r="FI188" s="15"/>
      <c r="FJ188" s="15"/>
      <c r="FK188" s="15"/>
      <c r="FL188" s="15"/>
      <c r="FM188" s="15"/>
      <c r="FN188" s="15"/>
      <c r="FO188" s="15"/>
      <c r="FP188" s="15"/>
      <c r="FQ188" s="15"/>
      <c r="FR188" s="15"/>
      <c r="FS188" s="15"/>
      <c r="FT188" s="15"/>
      <c r="FU188" s="15"/>
      <c r="FV188" s="15"/>
      <c r="FW188" s="15"/>
      <c r="FX188" s="15"/>
      <c r="FY188" s="15"/>
      <c r="FZ188" s="15"/>
      <c r="GA188" s="15"/>
      <c r="GB188" s="15"/>
      <c r="GC188" s="15"/>
      <c r="GD188" s="15"/>
      <c r="GE188" s="15"/>
      <c r="GF188" s="15"/>
      <c r="GG188" s="15"/>
      <c r="GH188" s="15"/>
      <c r="GI188" s="15"/>
      <c r="GJ188" s="15"/>
      <c r="GK188" s="15"/>
      <c r="GL188" s="15"/>
      <c r="GM188" s="15"/>
      <c r="GN188" s="15"/>
      <c r="GO188" s="15"/>
      <c r="GP188" s="15"/>
      <c r="GQ188" s="15"/>
      <c r="GR188" s="15"/>
      <c r="GS188" s="15"/>
      <c r="GT188" s="15"/>
      <c r="GU188" s="15"/>
      <c r="GV188" s="15"/>
      <c r="GW188" s="15"/>
      <c r="GX188" s="15"/>
      <c r="GY188" s="15"/>
      <c r="GZ188" s="15"/>
      <c r="HA188" s="15"/>
      <c r="HB188" s="15"/>
      <c r="HC188" s="15"/>
      <c r="HD188" s="15"/>
      <c r="HE188" s="15"/>
      <c r="HF188" s="15"/>
      <c r="HG188" s="15"/>
      <c r="HH188" s="15"/>
      <c r="HI188" s="15"/>
      <c r="HJ188" s="15"/>
      <c r="HK188" s="15"/>
      <c r="HL188" s="15"/>
      <c r="HM188" s="15"/>
      <c r="HN188" s="15"/>
      <c r="HO188" s="15"/>
      <c r="HP188" s="15"/>
      <c r="HQ188" s="15"/>
      <c r="HR188" s="15"/>
      <c r="HS188" s="15"/>
      <c r="HT188" s="15"/>
      <c r="HU188" s="15"/>
      <c r="HV188" s="15"/>
      <c r="HW188" s="15"/>
      <c r="HX188" s="15"/>
      <c r="HY188" s="15"/>
      <c r="HZ188" s="15"/>
      <c r="IA188" s="15"/>
      <c r="IB188" s="15"/>
      <c r="IC188" s="15"/>
      <c r="ID188" s="15"/>
      <c r="IE188" s="15"/>
      <c r="IF188" s="15"/>
      <c r="IG188" s="15"/>
      <c r="IH188" s="15"/>
      <c r="II188" s="15"/>
      <c r="IJ188" s="15"/>
      <c r="IK188" s="15"/>
      <c r="IL188" s="15"/>
      <c r="IM188" s="15"/>
      <c r="IN188" s="15"/>
      <c r="IO188" s="15"/>
    </row>
    <row r="189" spans="2:249">
      <c r="B189" s="145"/>
      <c r="E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/>
      <c r="FF189" s="15"/>
      <c r="FG189" s="15"/>
      <c r="FH189" s="15"/>
      <c r="FI189" s="15"/>
      <c r="FJ189" s="15"/>
      <c r="FK189" s="15"/>
      <c r="FL189" s="15"/>
      <c r="FM189" s="15"/>
      <c r="FN189" s="15"/>
      <c r="FO189" s="15"/>
      <c r="FP189" s="15"/>
      <c r="FQ189" s="15"/>
      <c r="FR189" s="15"/>
      <c r="FS189" s="15"/>
      <c r="FT189" s="15"/>
      <c r="FU189" s="15"/>
      <c r="FV189" s="15"/>
      <c r="FW189" s="15"/>
      <c r="FX189" s="15"/>
      <c r="FY189" s="15"/>
      <c r="FZ189" s="15"/>
      <c r="GA189" s="15"/>
      <c r="GB189" s="15"/>
      <c r="GC189" s="15"/>
      <c r="GD189" s="15"/>
      <c r="GE189" s="15"/>
      <c r="GF189" s="15"/>
      <c r="GG189" s="15"/>
      <c r="GH189" s="15"/>
      <c r="GI189" s="15"/>
      <c r="GJ189" s="15"/>
      <c r="GK189" s="15"/>
      <c r="GL189" s="15"/>
      <c r="GM189" s="15"/>
      <c r="GN189" s="15"/>
      <c r="GO189" s="15"/>
      <c r="GP189" s="15"/>
      <c r="GQ189" s="15"/>
      <c r="GR189" s="15"/>
      <c r="GS189" s="15"/>
      <c r="GT189" s="15"/>
      <c r="GU189" s="15"/>
      <c r="GV189" s="15"/>
      <c r="GW189" s="15"/>
      <c r="GX189" s="15"/>
      <c r="GY189" s="15"/>
      <c r="GZ189" s="15"/>
      <c r="HA189" s="15"/>
      <c r="HB189" s="15"/>
      <c r="HC189" s="15"/>
      <c r="HD189" s="15"/>
      <c r="HE189" s="15"/>
      <c r="HF189" s="15"/>
      <c r="HG189" s="15"/>
      <c r="HH189" s="15"/>
      <c r="HI189" s="15"/>
      <c r="HJ189" s="15"/>
      <c r="HK189" s="15"/>
      <c r="HL189" s="15"/>
      <c r="HM189" s="15"/>
      <c r="HN189" s="15"/>
      <c r="HO189" s="15"/>
      <c r="HP189" s="15"/>
      <c r="HQ189" s="15"/>
      <c r="HR189" s="15"/>
      <c r="HS189" s="15"/>
      <c r="HT189" s="15"/>
      <c r="HU189" s="15"/>
      <c r="HV189" s="15"/>
      <c r="HW189" s="15"/>
      <c r="HX189" s="15"/>
      <c r="HY189" s="15"/>
      <c r="HZ189" s="15"/>
      <c r="IA189" s="15"/>
      <c r="IB189" s="15"/>
      <c r="IC189" s="15"/>
      <c r="ID189" s="15"/>
      <c r="IE189" s="15"/>
      <c r="IF189" s="15"/>
      <c r="IG189" s="15"/>
      <c r="IH189" s="15"/>
      <c r="II189" s="15"/>
      <c r="IJ189" s="15"/>
      <c r="IK189" s="15"/>
      <c r="IL189" s="15"/>
      <c r="IM189" s="15"/>
      <c r="IN189" s="15"/>
      <c r="IO189" s="15"/>
    </row>
    <row r="190" spans="2:249">
      <c r="B190" s="145"/>
      <c r="E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  <c r="EZ190" s="15"/>
      <c r="FA190" s="15"/>
      <c r="FB190" s="15"/>
      <c r="FC190" s="15"/>
      <c r="FD190" s="15"/>
      <c r="FE190" s="15"/>
      <c r="FF190" s="15"/>
      <c r="FG190" s="15"/>
      <c r="FH190" s="15"/>
      <c r="FI190" s="15"/>
      <c r="FJ190" s="15"/>
      <c r="FK190" s="15"/>
      <c r="FL190" s="15"/>
      <c r="FM190" s="15"/>
      <c r="FN190" s="15"/>
      <c r="FO190" s="15"/>
      <c r="FP190" s="15"/>
      <c r="FQ190" s="15"/>
      <c r="FR190" s="15"/>
      <c r="FS190" s="15"/>
      <c r="FT190" s="15"/>
      <c r="FU190" s="15"/>
      <c r="FV190" s="15"/>
      <c r="FW190" s="15"/>
      <c r="FX190" s="15"/>
      <c r="FY190" s="15"/>
      <c r="FZ190" s="15"/>
      <c r="GA190" s="15"/>
      <c r="GB190" s="15"/>
      <c r="GC190" s="15"/>
      <c r="GD190" s="15"/>
      <c r="GE190" s="15"/>
      <c r="GF190" s="15"/>
      <c r="GG190" s="15"/>
      <c r="GH190" s="15"/>
      <c r="GI190" s="15"/>
      <c r="GJ190" s="15"/>
      <c r="GK190" s="15"/>
      <c r="GL190" s="15"/>
      <c r="GM190" s="15"/>
      <c r="GN190" s="15"/>
      <c r="GO190" s="15"/>
      <c r="GP190" s="15"/>
      <c r="GQ190" s="15"/>
      <c r="GR190" s="15"/>
      <c r="GS190" s="15"/>
      <c r="GT190" s="15"/>
      <c r="GU190" s="15"/>
      <c r="GV190" s="15"/>
      <c r="GW190" s="15"/>
      <c r="GX190" s="15"/>
      <c r="GY190" s="15"/>
      <c r="GZ190" s="15"/>
      <c r="HA190" s="15"/>
      <c r="HB190" s="15"/>
      <c r="HC190" s="15"/>
      <c r="HD190" s="15"/>
      <c r="HE190" s="15"/>
      <c r="HF190" s="15"/>
      <c r="HG190" s="15"/>
      <c r="HH190" s="15"/>
      <c r="HI190" s="15"/>
      <c r="HJ190" s="15"/>
      <c r="HK190" s="15"/>
      <c r="HL190" s="15"/>
      <c r="HM190" s="15"/>
      <c r="HN190" s="15"/>
      <c r="HO190" s="15"/>
      <c r="HP190" s="15"/>
      <c r="HQ190" s="15"/>
      <c r="HR190" s="15"/>
      <c r="HS190" s="15"/>
      <c r="HT190" s="15"/>
      <c r="HU190" s="15"/>
      <c r="HV190" s="15"/>
      <c r="HW190" s="15"/>
      <c r="HX190" s="15"/>
      <c r="HY190" s="15"/>
      <c r="HZ190" s="15"/>
      <c r="IA190" s="15"/>
      <c r="IB190" s="15"/>
      <c r="IC190" s="15"/>
      <c r="ID190" s="15"/>
      <c r="IE190" s="15"/>
      <c r="IF190" s="15"/>
      <c r="IG190" s="15"/>
      <c r="IH190" s="15"/>
      <c r="II190" s="15"/>
      <c r="IJ190" s="15"/>
      <c r="IK190" s="15"/>
      <c r="IL190" s="15"/>
      <c r="IM190" s="15"/>
      <c r="IN190" s="15"/>
      <c r="IO190" s="15"/>
    </row>
    <row r="191" spans="2:249">
      <c r="B191" s="145"/>
      <c r="E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5"/>
      <c r="FH191" s="15"/>
      <c r="FI191" s="15"/>
      <c r="FJ191" s="15"/>
      <c r="FK191" s="15"/>
      <c r="FL191" s="15"/>
      <c r="FM191" s="15"/>
      <c r="FN191" s="15"/>
      <c r="FO191" s="15"/>
      <c r="FP191" s="15"/>
      <c r="FQ191" s="15"/>
      <c r="FR191" s="15"/>
      <c r="FS191" s="15"/>
      <c r="FT191" s="15"/>
      <c r="FU191" s="15"/>
      <c r="FV191" s="15"/>
      <c r="FW191" s="15"/>
      <c r="FX191" s="15"/>
      <c r="FY191" s="15"/>
      <c r="FZ191" s="15"/>
      <c r="GA191" s="15"/>
      <c r="GB191" s="15"/>
      <c r="GC191" s="15"/>
      <c r="GD191" s="15"/>
      <c r="GE191" s="15"/>
      <c r="GF191" s="15"/>
      <c r="GG191" s="15"/>
      <c r="GH191" s="15"/>
      <c r="GI191" s="15"/>
      <c r="GJ191" s="15"/>
      <c r="GK191" s="15"/>
      <c r="GL191" s="15"/>
      <c r="GM191" s="15"/>
      <c r="GN191" s="15"/>
      <c r="GO191" s="15"/>
      <c r="GP191" s="15"/>
      <c r="GQ191" s="15"/>
      <c r="GR191" s="15"/>
      <c r="GS191" s="15"/>
      <c r="GT191" s="15"/>
      <c r="GU191" s="15"/>
      <c r="GV191" s="15"/>
      <c r="GW191" s="15"/>
      <c r="GX191" s="15"/>
      <c r="GY191" s="15"/>
      <c r="GZ191" s="15"/>
      <c r="HA191" s="15"/>
      <c r="HB191" s="15"/>
      <c r="HC191" s="15"/>
      <c r="HD191" s="15"/>
      <c r="HE191" s="15"/>
      <c r="HF191" s="15"/>
      <c r="HG191" s="15"/>
      <c r="HH191" s="15"/>
      <c r="HI191" s="15"/>
      <c r="HJ191" s="15"/>
      <c r="HK191" s="15"/>
      <c r="HL191" s="15"/>
      <c r="HM191" s="15"/>
      <c r="HN191" s="15"/>
      <c r="HO191" s="15"/>
      <c r="HP191" s="15"/>
      <c r="HQ191" s="15"/>
      <c r="HR191" s="15"/>
      <c r="HS191" s="15"/>
      <c r="HT191" s="15"/>
      <c r="HU191" s="15"/>
      <c r="HV191" s="15"/>
      <c r="HW191" s="15"/>
      <c r="HX191" s="15"/>
      <c r="HY191" s="15"/>
      <c r="HZ191" s="15"/>
      <c r="IA191" s="15"/>
      <c r="IB191" s="15"/>
      <c r="IC191" s="15"/>
      <c r="ID191" s="15"/>
      <c r="IE191" s="15"/>
      <c r="IF191" s="15"/>
      <c r="IG191" s="15"/>
      <c r="IH191" s="15"/>
      <c r="II191" s="15"/>
      <c r="IJ191" s="15"/>
      <c r="IK191" s="15"/>
      <c r="IL191" s="15"/>
      <c r="IM191" s="15"/>
      <c r="IN191" s="15"/>
      <c r="IO191" s="15"/>
    </row>
    <row r="192" spans="2:249">
      <c r="B192" s="145"/>
      <c r="E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  <c r="EY192" s="15"/>
      <c r="EZ192" s="15"/>
      <c r="FA192" s="15"/>
      <c r="FB192" s="15"/>
      <c r="FC192" s="15"/>
      <c r="FD192" s="15"/>
      <c r="FE192" s="15"/>
      <c r="FF192" s="15"/>
      <c r="FG192" s="15"/>
      <c r="FH192" s="15"/>
      <c r="FI192" s="15"/>
      <c r="FJ192" s="15"/>
      <c r="FK192" s="15"/>
      <c r="FL192" s="15"/>
      <c r="FM192" s="15"/>
      <c r="FN192" s="15"/>
      <c r="FO192" s="15"/>
      <c r="FP192" s="15"/>
      <c r="FQ192" s="15"/>
      <c r="FR192" s="15"/>
      <c r="FS192" s="15"/>
      <c r="FT192" s="15"/>
      <c r="FU192" s="15"/>
      <c r="FV192" s="15"/>
      <c r="FW192" s="15"/>
      <c r="FX192" s="15"/>
      <c r="FY192" s="15"/>
      <c r="FZ192" s="15"/>
      <c r="GA192" s="15"/>
      <c r="GB192" s="15"/>
      <c r="GC192" s="15"/>
      <c r="GD192" s="15"/>
      <c r="GE192" s="15"/>
      <c r="GF192" s="15"/>
      <c r="GG192" s="15"/>
      <c r="GH192" s="15"/>
      <c r="GI192" s="15"/>
      <c r="GJ192" s="15"/>
      <c r="GK192" s="15"/>
      <c r="GL192" s="15"/>
      <c r="GM192" s="15"/>
      <c r="GN192" s="15"/>
      <c r="GO192" s="15"/>
      <c r="GP192" s="15"/>
      <c r="GQ192" s="15"/>
      <c r="GR192" s="15"/>
      <c r="GS192" s="15"/>
      <c r="GT192" s="15"/>
      <c r="GU192" s="15"/>
      <c r="GV192" s="15"/>
      <c r="GW192" s="15"/>
      <c r="GX192" s="15"/>
      <c r="GY192" s="15"/>
      <c r="GZ192" s="15"/>
      <c r="HA192" s="15"/>
      <c r="HB192" s="15"/>
      <c r="HC192" s="15"/>
      <c r="HD192" s="15"/>
      <c r="HE192" s="15"/>
      <c r="HF192" s="15"/>
      <c r="HG192" s="15"/>
      <c r="HH192" s="15"/>
      <c r="HI192" s="15"/>
      <c r="HJ192" s="15"/>
      <c r="HK192" s="15"/>
      <c r="HL192" s="15"/>
      <c r="HM192" s="15"/>
      <c r="HN192" s="15"/>
      <c r="HO192" s="15"/>
      <c r="HP192" s="15"/>
      <c r="HQ192" s="15"/>
      <c r="HR192" s="15"/>
      <c r="HS192" s="15"/>
      <c r="HT192" s="15"/>
      <c r="HU192" s="15"/>
      <c r="HV192" s="15"/>
      <c r="HW192" s="15"/>
      <c r="HX192" s="15"/>
      <c r="HY192" s="15"/>
      <c r="HZ192" s="15"/>
      <c r="IA192" s="15"/>
      <c r="IB192" s="15"/>
      <c r="IC192" s="15"/>
      <c r="ID192" s="15"/>
      <c r="IE192" s="15"/>
      <c r="IF192" s="15"/>
      <c r="IG192" s="15"/>
      <c r="IH192" s="15"/>
      <c r="II192" s="15"/>
      <c r="IJ192" s="15"/>
      <c r="IK192" s="15"/>
      <c r="IL192" s="15"/>
      <c r="IM192" s="15"/>
      <c r="IN192" s="15"/>
      <c r="IO192" s="15"/>
    </row>
    <row r="193" spans="2:249">
      <c r="B193" s="145"/>
      <c r="E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/>
      <c r="FF193" s="15"/>
      <c r="FG193" s="15"/>
      <c r="FH193" s="15"/>
      <c r="FI193" s="15"/>
      <c r="FJ193" s="15"/>
      <c r="FK193" s="15"/>
      <c r="FL193" s="15"/>
      <c r="FM193" s="15"/>
      <c r="FN193" s="15"/>
      <c r="FO193" s="15"/>
      <c r="FP193" s="15"/>
      <c r="FQ193" s="15"/>
      <c r="FR193" s="15"/>
      <c r="FS193" s="15"/>
      <c r="FT193" s="15"/>
      <c r="FU193" s="15"/>
      <c r="FV193" s="15"/>
      <c r="FW193" s="15"/>
      <c r="FX193" s="15"/>
      <c r="FY193" s="15"/>
      <c r="FZ193" s="15"/>
      <c r="GA193" s="15"/>
      <c r="GB193" s="15"/>
      <c r="GC193" s="15"/>
      <c r="GD193" s="15"/>
      <c r="GE193" s="15"/>
      <c r="GF193" s="15"/>
      <c r="GG193" s="15"/>
      <c r="GH193" s="15"/>
      <c r="GI193" s="15"/>
      <c r="GJ193" s="15"/>
      <c r="GK193" s="15"/>
      <c r="GL193" s="15"/>
      <c r="GM193" s="15"/>
      <c r="GN193" s="15"/>
      <c r="GO193" s="15"/>
      <c r="GP193" s="15"/>
      <c r="GQ193" s="15"/>
      <c r="GR193" s="15"/>
      <c r="GS193" s="15"/>
      <c r="GT193" s="15"/>
      <c r="GU193" s="15"/>
      <c r="GV193" s="15"/>
      <c r="GW193" s="15"/>
      <c r="GX193" s="15"/>
      <c r="GY193" s="15"/>
      <c r="GZ193" s="15"/>
      <c r="HA193" s="15"/>
      <c r="HB193" s="15"/>
      <c r="HC193" s="15"/>
      <c r="HD193" s="15"/>
      <c r="HE193" s="15"/>
      <c r="HF193" s="15"/>
      <c r="HG193" s="15"/>
      <c r="HH193" s="15"/>
      <c r="HI193" s="15"/>
      <c r="HJ193" s="15"/>
      <c r="HK193" s="15"/>
      <c r="HL193" s="15"/>
      <c r="HM193" s="15"/>
      <c r="HN193" s="15"/>
      <c r="HO193" s="15"/>
      <c r="HP193" s="15"/>
      <c r="HQ193" s="15"/>
      <c r="HR193" s="15"/>
      <c r="HS193" s="15"/>
      <c r="HT193" s="15"/>
      <c r="HU193" s="15"/>
      <c r="HV193" s="15"/>
      <c r="HW193" s="15"/>
      <c r="HX193" s="15"/>
      <c r="HY193" s="15"/>
      <c r="HZ193" s="15"/>
      <c r="IA193" s="15"/>
      <c r="IB193" s="15"/>
      <c r="IC193" s="15"/>
      <c r="ID193" s="15"/>
      <c r="IE193" s="15"/>
      <c r="IF193" s="15"/>
      <c r="IG193" s="15"/>
      <c r="IH193" s="15"/>
      <c r="II193" s="15"/>
      <c r="IJ193" s="15"/>
      <c r="IK193" s="15"/>
      <c r="IL193" s="15"/>
      <c r="IM193" s="15"/>
      <c r="IN193" s="15"/>
      <c r="IO193" s="15"/>
    </row>
    <row r="194" spans="2:249">
      <c r="B194" s="145"/>
      <c r="E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  <c r="EN194" s="15"/>
      <c r="EO194" s="15"/>
      <c r="EP194" s="15"/>
      <c r="EQ194" s="15"/>
      <c r="ER194" s="15"/>
      <c r="ES194" s="15"/>
      <c r="ET194" s="15"/>
      <c r="EU194" s="15"/>
      <c r="EV194" s="15"/>
      <c r="EW194" s="15"/>
      <c r="EX194" s="15"/>
      <c r="EY194" s="15"/>
      <c r="EZ194" s="15"/>
      <c r="FA194" s="15"/>
      <c r="FB194" s="15"/>
      <c r="FC194" s="15"/>
      <c r="FD194" s="15"/>
      <c r="FE194" s="15"/>
      <c r="FF194" s="15"/>
      <c r="FG194" s="15"/>
      <c r="FH194" s="15"/>
      <c r="FI194" s="15"/>
      <c r="FJ194" s="15"/>
      <c r="FK194" s="15"/>
      <c r="FL194" s="15"/>
      <c r="FM194" s="15"/>
      <c r="FN194" s="15"/>
      <c r="FO194" s="15"/>
      <c r="FP194" s="15"/>
      <c r="FQ194" s="15"/>
      <c r="FR194" s="15"/>
      <c r="FS194" s="15"/>
      <c r="FT194" s="15"/>
      <c r="FU194" s="15"/>
      <c r="FV194" s="15"/>
      <c r="FW194" s="15"/>
      <c r="FX194" s="15"/>
      <c r="FY194" s="15"/>
      <c r="FZ194" s="15"/>
      <c r="GA194" s="15"/>
      <c r="GB194" s="15"/>
      <c r="GC194" s="15"/>
      <c r="GD194" s="15"/>
      <c r="GE194" s="15"/>
      <c r="GF194" s="15"/>
      <c r="GG194" s="15"/>
      <c r="GH194" s="15"/>
      <c r="GI194" s="15"/>
      <c r="GJ194" s="15"/>
      <c r="GK194" s="15"/>
      <c r="GL194" s="15"/>
      <c r="GM194" s="15"/>
      <c r="GN194" s="15"/>
      <c r="GO194" s="15"/>
      <c r="GP194" s="15"/>
      <c r="GQ194" s="15"/>
      <c r="GR194" s="15"/>
      <c r="GS194" s="15"/>
      <c r="GT194" s="15"/>
      <c r="GU194" s="15"/>
      <c r="GV194" s="15"/>
      <c r="GW194" s="15"/>
      <c r="GX194" s="15"/>
      <c r="GY194" s="15"/>
      <c r="GZ194" s="15"/>
      <c r="HA194" s="15"/>
      <c r="HB194" s="15"/>
      <c r="HC194" s="15"/>
      <c r="HD194" s="15"/>
      <c r="HE194" s="15"/>
      <c r="HF194" s="15"/>
      <c r="HG194" s="15"/>
      <c r="HH194" s="15"/>
      <c r="HI194" s="15"/>
      <c r="HJ194" s="15"/>
      <c r="HK194" s="15"/>
      <c r="HL194" s="15"/>
      <c r="HM194" s="15"/>
      <c r="HN194" s="15"/>
      <c r="HO194" s="15"/>
      <c r="HP194" s="15"/>
      <c r="HQ194" s="15"/>
      <c r="HR194" s="15"/>
      <c r="HS194" s="15"/>
      <c r="HT194" s="15"/>
      <c r="HU194" s="15"/>
      <c r="HV194" s="15"/>
      <c r="HW194" s="15"/>
      <c r="HX194" s="15"/>
      <c r="HY194" s="15"/>
      <c r="HZ194" s="15"/>
      <c r="IA194" s="15"/>
      <c r="IB194" s="15"/>
      <c r="IC194" s="15"/>
      <c r="ID194" s="15"/>
      <c r="IE194" s="15"/>
      <c r="IF194" s="15"/>
      <c r="IG194" s="15"/>
      <c r="IH194" s="15"/>
      <c r="II194" s="15"/>
      <c r="IJ194" s="15"/>
      <c r="IK194" s="15"/>
      <c r="IL194" s="15"/>
      <c r="IM194" s="15"/>
      <c r="IN194" s="15"/>
      <c r="IO194" s="15"/>
    </row>
    <row r="195" spans="2:249">
      <c r="B195" s="145"/>
      <c r="E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/>
      <c r="ER195" s="15"/>
      <c r="ES195" s="15"/>
      <c r="ET195" s="15"/>
      <c r="EU195" s="15"/>
      <c r="EV195" s="15"/>
      <c r="EW195" s="15"/>
      <c r="EX195" s="15"/>
      <c r="EY195" s="15"/>
      <c r="EZ195" s="15"/>
      <c r="FA195" s="15"/>
      <c r="FB195" s="15"/>
      <c r="FC195" s="15"/>
      <c r="FD195" s="15"/>
      <c r="FE195" s="15"/>
      <c r="FF195" s="15"/>
      <c r="FG195" s="15"/>
      <c r="FH195" s="15"/>
      <c r="FI195" s="15"/>
      <c r="FJ195" s="15"/>
      <c r="FK195" s="15"/>
      <c r="FL195" s="15"/>
      <c r="FM195" s="15"/>
      <c r="FN195" s="15"/>
      <c r="FO195" s="15"/>
      <c r="FP195" s="15"/>
      <c r="FQ195" s="15"/>
      <c r="FR195" s="15"/>
      <c r="FS195" s="15"/>
      <c r="FT195" s="15"/>
      <c r="FU195" s="15"/>
      <c r="FV195" s="15"/>
      <c r="FW195" s="15"/>
      <c r="FX195" s="15"/>
      <c r="FY195" s="15"/>
      <c r="FZ195" s="15"/>
      <c r="GA195" s="15"/>
      <c r="GB195" s="15"/>
      <c r="GC195" s="15"/>
      <c r="GD195" s="15"/>
      <c r="GE195" s="15"/>
      <c r="GF195" s="15"/>
      <c r="GG195" s="15"/>
      <c r="GH195" s="15"/>
      <c r="GI195" s="15"/>
      <c r="GJ195" s="15"/>
      <c r="GK195" s="15"/>
      <c r="GL195" s="15"/>
      <c r="GM195" s="15"/>
      <c r="GN195" s="15"/>
      <c r="GO195" s="15"/>
      <c r="GP195" s="15"/>
      <c r="GQ195" s="15"/>
      <c r="GR195" s="15"/>
      <c r="GS195" s="15"/>
      <c r="GT195" s="15"/>
      <c r="GU195" s="15"/>
      <c r="GV195" s="15"/>
      <c r="GW195" s="15"/>
      <c r="GX195" s="15"/>
      <c r="GY195" s="15"/>
      <c r="GZ195" s="15"/>
      <c r="HA195" s="15"/>
      <c r="HB195" s="15"/>
      <c r="HC195" s="15"/>
      <c r="HD195" s="15"/>
      <c r="HE195" s="15"/>
      <c r="HF195" s="15"/>
      <c r="HG195" s="15"/>
      <c r="HH195" s="15"/>
      <c r="HI195" s="15"/>
      <c r="HJ195" s="15"/>
      <c r="HK195" s="15"/>
      <c r="HL195" s="15"/>
      <c r="HM195" s="15"/>
      <c r="HN195" s="15"/>
      <c r="HO195" s="15"/>
      <c r="HP195" s="15"/>
      <c r="HQ195" s="15"/>
      <c r="HR195" s="15"/>
      <c r="HS195" s="15"/>
      <c r="HT195" s="15"/>
      <c r="HU195" s="15"/>
      <c r="HV195" s="15"/>
      <c r="HW195" s="15"/>
      <c r="HX195" s="15"/>
      <c r="HY195" s="15"/>
      <c r="HZ195" s="15"/>
      <c r="IA195" s="15"/>
      <c r="IB195" s="15"/>
      <c r="IC195" s="15"/>
      <c r="ID195" s="15"/>
      <c r="IE195" s="15"/>
      <c r="IF195" s="15"/>
      <c r="IG195" s="15"/>
      <c r="IH195" s="15"/>
      <c r="II195" s="15"/>
      <c r="IJ195" s="15"/>
      <c r="IK195" s="15"/>
      <c r="IL195" s="15"/>
      <c r="IM195" s="15"/>
      <c r="IN195" s="15"/>
      <c r="IO195" s="15"/>
    </row>
    <row r="196" spans="2:249">
      <c r="B196" s="145"/>
      <c r="E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/>
      <c r="FF196" s="15"/>
      <c r="FG196" s="15"/>
      <c r="FH196" s="15"/>
      <c r="FI196" s="15"/>
      <c r="FJ196" s="15"/>
      <c r="FK196" s="15"/>
      <c r="FL196" s="15"/>
      <c r="FM196" s="15"/>
      <c r="FN196" s="15"/>
      <c r="FO196" s="15"/>
      <c r="FP196" s="15"/>
      <c r="FQ196" s="15"/>
      <c r="FR196" s="15"/>
      <c r="FS196" s="15"/>
      <c r="FT196" s="15"/>
      <c r="FU196" s="15"/>
      <c r="FV196" s="15"/>
      <c r="FW196" s="15"/>
      <c r="FX196" s="15"/>
      <c r="FY196" s="15"/>
      <c r="FZ196" s="15"/>
      <c r="GA196" s="15"/>
      <c r="GB196" s="15"/>
      <c r="GC196" s="15"/>
      <c r="GD196" s="15"/>
      <c r="GE196" s="15"/>
      <c r="GF196" s="15"/>
      <c r="GG196" s="15"/>
      <c r="GH196" s="15"/>
      <c r="GI196" s="15"/>
      <c r="GJ196" s="15"/>
      <c r="GK196" s="15"/>
      <c r="GL196" s="15"/>
      <c r="GM196" s="15"/>
      <c r="GN196" s="15"/>
      <c r="GO196" s="15"/>
      <c r="GP196" s="15"/>
      <c r="GQ196" s="15"/>
      <c r="GR196" s="15"/>
      <c r="GS196" s="15"/>
      <c r="GT196" s="15"/>
      <c r="GU196" s="15"/>
      <c r="GV196" s="15"/>
      <c r="GW196" s="15"/>
      <c r="GX196" s="15"/>
      <c r="GY196" s="15"/>
      <c r="GZ196" s="15"/>
      <c r="HA196" s="15"/>
      <c r="HB196" s="15"/>
      <c r="HC196" s="15"/>
      <c r="HD196" s="15"/>
      <c r="HE196" s="15"/>
      <c r="HF196" s="15"/>
      <c r="HG196" s="15"/>
      <c r="HH196" s="15"/>
      <c r="HI196" s="15"/>
      <c r="HJ196" s="15"/>
      <c r="HK196" s="15"/>
      <c r="HL196" s="15"/>
      <c r="HM196" s="15"/>
      <c r="HN196" s="15"/>
      <c r="HO196" s="15"/>
      <c r="HP196" s="15"/>
      <c r="HQ196" s="15"/>
      <c r="HR196" s="15"/>
      <c r="HS196" s="15"/>
      <c r="HT196" s="15"/>
      <c r="HU196" s="15"/>
      <c r="HV196" s="15"/>
      <c r="HW196" s="15"/>
      <c r="HX196" s="15"/>
      <c r="HY196" s="15"/>
      <c r="HZ196" s="15"/>
      <c r="IA196" s="15"/>
      <c r="IB196" s="15"/>
      <c r="IC196" s="15"/>
      <c r="ID196" s="15"/>
      <c r="IE196" s="15"/>
      <c r="IF196" s="15"/>
      <c r="IG196" s="15"/>
      <c r="IH196" s="15"/>
      <c r="II196" s="15"/>
      <c r="IJ196" s="15"/>
      <c r="IK196" s="15"/>
      <c r="IL196" s="15"/>
      <c r="IM196" s="15"/>
      <c r="IN196" s="15"/>
      <c r="IO196" s="15"/>
    </row>
    <row r="197" spans="2:249">
      <c r="B197" s="145"/>
      <c r="E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/>
      <c r="FF197" s="15"/>
      <c r="FG197" s="15"/>
      <c r="FH197" s="15"/>
      <c r="FI197" s="15"/>
      <c r="FJ197" s="15"/>
      <c r="FK197" s="15"/>
      <c r="FL197" s="15"/>
      <c r="FM197" s="15"/>
      <c r="FN197" s="15"/>
      <c r="FO197" s="15"/>
      <c r="FP197" s="15"/>
      <c r="FQ197" s="15"/>
      <c r="FR197" s="15"/>
      <c r="FS197" s="15"/>
      <c r="FT197" s="15"/>
      <c r="FU197" s="15"/>
      <c r="FV197" s="15"/>
      <c r="FW197" s="15"/>
      <c r="FX197" s="15"/>
      <c r="FY197" s="15"/>
      <c r="FZ197" s="15"/>
      <c r="GA197" s="15"/>
      <c r="GB197" s="15"/>
      <c r="GC197" s="15"/>
      <c r="GD197" s="15"/>
      <c r="GE197" s="15"/>
      <c r="GF197" s="15"/>
      <c r="GG197" s="15"/>
      <c r="GH197" s="15"/>
      <c r="GI197" s="15"/>
      <c r="GJ197" s="15"/>
      <c r="GK197" s="15"/>
      <c r="GL197" s="15"/>
      <c r="GM197" s="15"/>
      <c r="GN197" s="15"/>
      <c r="GO197" s="15"/>
      <c r="GP197" s="15"/>
      <c r="GQ197" s="15"/>
      <c r="GR197" s="15"/>
      <c r="GS197" s="15"/>
      <c r="GT197" s="15"/>
      <c r="GU197" s="15"/>
      <c r="GV197" s="15"/>
      <c r="GW197" s="15"/>
      <c r="GX197" s="15"/>
      <c r="GY197" s="15"/>
      <c r="GZ197" s="15"/>
      <c r="HA197" s="15"/>
      <c r="HB197" s="15"/>
      <c r="HC197" s="15"/>
      <c r="HD197" s="15"/>
      <c r="HE197" s="15"/>
      <c r="HF197" s="15"/>
      <c r="HG197" s="15"/>
      <c r="HH197" s="15"/>
      <c r="HI197" s="15"/>
      <c r="HJ197" s="15"/>
      <c r="HK197" s="15"/>
      <c r="HL197" s="15"/>
      <c r="HM197" s="15"/>
      <c r="HN197" s="15"/>
      <c r="HO197" s="15"/>
      <c r="HP197" s="15"/>
      <c r="HQ197" s="15"/>
      <c r="HR197" s="15"/>
      <c r="HS197" s="15"/>
      <c r="HT197" s="15"/>
      <c r="HU197" s="15"/>
      <c r="HV197" s="15"/>
      <c r="HW197" s="15"/>
      <c r="HX197" s="15"/>
      <c r="HY197" s="15"/>
      <c r="HZ197" s="15"/>
      <c r="IA197" s="15"/>
      <c r="IB197" s="15"/>
      <c r="IC197" s="15"/>
      <c r="ID197" s="15"/>
      <c r="IE197" s="15"/>
      <c r="IF197" s="15"/>
      <c r="IG197" s="15"/>
      <c r="IH197" s="15"/>
      <c r="II197" s="15"/>
      <c r="IJ197" s="15"/>
      <c r="IK197" s="15"/>
      <c r="IL197" s="15"/>
      <c r="IM197" s="15"/>
      <c r="IN197" s="15"/>
      <c r="IO197" s="15"/>
    </row>
    <row r="198" spans="2:249">
      <c r="B198" s="145"/>
      <c r="E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  <c r="EY198" s="15"/>
      <c r="EZ198" s="15"/>
      <c r="FA198" s="15"/>
      <c r="FB198" s="15"/>
      <c r="FC198" s="15"/>
      <c r="FD198" s="15"/>
      <c r="FE198" s="15"/>
      <c r="FF198" s="15"/>
      <c r="FG198" s="15"/>
      <c r="FH198" s="15"/>
      <c r="FI198" s="15"/>
      <c r="FJ198" s="15"/>
      <c r="FK198" s="15"/>
      <c r="FL198" s="15"/>
      <c r="FM198" s="15"/>
      <c r="FN198" s="15"/>
      <c r="FO198" s="15"/>
      <c r="FP198" s="15"/>
      <c r="FQ198" s="15"/>
      <c r="FR198" s="15"/>
      <c r="FS198" s="15"/>
      <c r="FT198" s="15"/>
      <c r="FU198" s="15"/>
      <c r="FV198" s="15"/>
      <c r="FW198" s="15"/>
      <c r="FX198" s="15"/>
      <c r="FY198" s="15"/>
      <c r="FZ198" s="15"/>
      <c r="GA198" s="15"/>
      <c r="GB198" s="15"/>
      <c r="GC198" s="15"/>
      <c r="GD198" s="15"/>
      <c r="GE198" s="15"/>
      <c r="GF198" s="15"/>
      <c r="GG198" s="15"/>
      <c r="GH198" s="15"/>
      <c r="GI198" s="15"/>
      <c r="GJ198" s="15"/>
      <c r="GK198" s="15"/>
      <c r="GL198" s="15"/>
      <c r="GM198" s="15"/>
      <c r="GN198" s="15"/>
      <c r="GO198" s="15"/>
      <c r="GP198" s="15"/>
      <c r="GQ198" s="15"/>
      <c r="GR198" s="15"/>
      <c r="GS198" s="15"/>
      <c r="GT198" s="15"/>
      <c r="GU198" s="15"/>
      <c r="GV198" s="15"/>
      <c r="GW198" s="15"/>
      <c r="GX198" s="15"/>
      <c r="GY198" s="15"/>
      <c r="GZ198" s="15"/>
      <c r="HA198" s="15"/>
      <c r="HB198" s="15"/>
      <c r="HC198" s="15"/>
      <c r="HD198" s="15"/>
      <c r="HE198" s="15"/>
      <c r="HF198" s="15"/>
      <c r="HG198" s="15"/>
      <c r="HH198" s="15"/>
      <c r="HI198" s="15"/>
      <c r="HJ198" s="15"/>
      <c r="HK198" s="15"/>
      <c r="HL198" s="15"/>
      <c r="HM198" s="15"/>
      <c r="HN198" s="15"/>
      <c r="HO198" s="15"/>
      <c r="HP198" s="15"/>
      <c r="HQ198" s="15"/>
      <c r="HR198" s="15"/>
      <c r="HS198" s="15"/>
      <c r="HT198" s="15"/>
      <c r="HU198" s="15"/>
      <c r="HV198" s="15"/>
      <c r="HW198" s="15"/>
      <c r="HX198" s="15"/>
      <c r="HY198" s="15"/>
      <c r="HZ198" s="15"/>
      <c r="IA198" s="15"/>
      <c r="IB198" s="15"/>
      <c r="IC198" s="15"/>
      <c r="ID198" s="15"/>
      <c r="IE198" s="15"/>
      <c r="IF198" s="15"/>
      <c r="IG198" s="15"/>
      <c r="IH198" s="15"/>
      <c r="II198" s="15"/>
      <c r="IJ198" s="15"/>
      <c r="IK198" s="15"/>
      <c r="IL198" s="15"/>
      <c r="IM198" s="15"/>
      <c r="IN198" s="15"/>
      <c r="IO198" s="15"/>
    </row>
    <row r="199" spans="2:249">
      <c r="B199" s="145"/>
      <c r="E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5"/>
      <c r="FH199" s="15"/>
      <c r="FI199" s="15"/>
      <c r="FJ199" s="15"/>
      <c r="FK199" s="15"/>
      <c r="FL199" s="15"/>
      <c r="FM199" s="15"/>
      <c r="FN199" s="15"/>
      <c r="FO199" s="15"/>
      <c r="FP199" s="15"/>
      <c r="FQ199" s="15"/>
      <c r="FR199" s="15"/>
      <c r="FS199" s="15"/>
      <c r="FT199" s="15"/>
      <c r="FU199" s="15"/>
      <c r="FV199" s="15"/>
      <c r="FW199" s="15"/>
      <c r="FX199" s="15"/>
      <c r="FY199" s="15"/>
      <c r="FZ199" s="15"/>
      <c r="GA199" s="15"/>
      <c r="GB199" s="15"/>
      <c r="GC199" s="15"/>
      <c r="GD199" s="15"/>
      <c r="GE199" s="15"/>
      <c r="GF199" s="15"/>
      <c r="GG199" s="15"/>
      <c r="GH199" s="15"/>
      <c r="GI199" s="15"/>
      <c r="GJ199" s="15"/>
      <c r="GK199" s="15"/>
      <c r="GL199" s="15"/>
      <c r="GM199" s="15"/>
      <c r="GN199" s="15"/>
      <c r="GO199" s="15"/>
      <c r="GP199" s="15"/>
      <c r="GQ199" s="15"/>
      <c r="GR199" s="15"/>
      <c r="GS199" s="15"/>
      <c r="GT199" s="15"/>
      <c r="GU199" s="15"/>
      <c r="GV199" s="15"/>
      <c r="GW199" s="15"/>
      <c r="GX199" s="15"/>
      <c r="GY199" s="15"/>
      <c r="GZ199" s="15"/>
      <c r="HA199" s="15"/>
      <c r="HB199" s="15"/>
      <c r="HC199" s="15"/>
      <c r="HD199" s="15"/>
      <c r="HE199" s="15"/>
      <c r="HF199" s="15"/>
      <c r="HG199" s="15"/>
      <c r="HH199" s="15"/>
      <c r="HI199" s="15"/>
      <c r="HJ199" s="15"/>
      <c r="HK199" s="15"/>
      <c r="HL199" s="15"/>
      <c r="HM199" s="15"/>
      <c r="HN199" s="15"/>
      <c r="HO199" s="15"/>
      <c r="HP199" s="15"/>
      <c r="HQ199" s="15"/>
      <c r="HR199" s="15"/>
      <c r="HS199" s="15"/>
      <c r="HT199" s="15"/>
      <c r="HU199" s="15"/>
      <c r="HV199" s="15"/>
      <c r="HW199" s="15"/>
      <c r="HX199" s="15"/>
      <c r="HY199" s="15"/>
      <c r="HZ199" s="15"/>
      <c r="IA199" s="15"/>
      <c r="IB199" s="15"/>
      <c r="IC199" s="15"/>
      <c r="ID199" s="15"/>
      <c r="IE199" s="15"/>
      <c r="IF199" s="15"/>
      <c r="IG199" s="15"/>
      <c r="IH199" s="15"/>
      <c r="II199" s="15"/>
      <c r="IJ199" s="15"/>
      <c r="IK199" s="15"/>
      <c r="IL199" s="15"/>
      <c r="IM199" s="15"/>
      <c r="IN199" s="15"/>
      <c r="IO199" s="15"/>
    </row>
    <row r="200" spans="2:249">
      <c r="B200" s="145"/>
      <c r="E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/>
      <c r="FF200" s="15"/>
      <c r="FG200" s="15"/>
      <c r="FH200" s="15"/>
      <c r="FI200" s="15"/>
      <c r="FJ200" s="15"/>
      <c r="FK200" s="15"/>
      <c r="FL200" s="15"/>
      <c r="FM200" s="15"/>
      <c r="FN200" s="15"/>
      <c r="FO200" s="15"/>
      <c r="FP200" s="15"/>
      <c r="FQ200" s="15"/>
      <c r="FR200" s="15"/>
      <c r="FS200" s="15"/>
      <c r="FT200" s="15"/>
      <c r="FU200" s="15"/>
      <c r="FV200" s="15"/>
      <c r="FW200" s="15"/>
      <c r="FX200" s="15"/>
      <c r="FY200" s="15"/>
      <c r="FZ200" s="15"/>
      <c r="GA200" s="15"/>
      <c r="GB200" s="15"/>
      <c r="GC200" s="15"/>
      <c r="GD200" s="15"/>
      <c r="GE200" s="15"/>
      <c r="GF200" s="15"/>
      <c r="GG200" s="15"/>
      <c r="GH200" s="15"/>
      <c r="GI200" s="15"/>
      <c r="GJ200" s="15"/>
      <c r="GK200" s="15"/>
      <c r="GL200" s="15"/>
      <c r="GM200" s="15"/>
      <c r="GN200" s="15"/>
      <c r="GO200" s="15"/>
      <c r="GP200" s="15"/>
      <c r="GQ200" s="15"/>
      <c r="GR200" s="15"/>
      <c r="GS200" s="15"/>
      <c r="GT200" s="15"/>
      <c r="GU200" s="15"/>
      <c r="GV200" s="15"/>
      <c r="GW200" s="15"/>
      <c r="GX200" s="15"/>
      <c r="GY200" s="15"/>
      <c r="GZ200" s="15"/>
      <c r="HA200" s="15"/>
      <c r="HB200" s="15"/>
      <c r="HC200" s="15"/>
      <c r="HD200" s="15"/>
      <c r="HE200" s="15"/>
      <c r="HF200" s="15"/>
      <c r="HG200" s="15"/>
      <c r="HH200" s="15"/>
      <c r="HI200" s="15"/>
      <c r="HJ200" s="15"/>
      <c r="HK200" s="15"/>
      <c r="HL200" s="15"/>
      <c r="HM200" s="15"/>
      <c r="HN200" s="15"/>
      <c r="HO200" s="15"/>
      <c r="HP200" s="15"/>
      <c r="HQ200" s="15"/>
      <c r="HR200" s="15"/>
      <c r="HS200" s="15"/>
      <c r="HT200" s="15"/>
      <c r="HU200" s="15"/>
      <c r="HV200" s="15"/>
      <c r="HW200" s="15"/>
      <c r="HX200" s="15"/>
      <c r="HY200" s="15"/>
      <c r="HZ200" s="15"/>
      <c r="IA200" s="15"/>
      <c r="IB200" s="15"/>
      <c r="IC200" s="15"/>
      <c r="ID200" s="15"/>
      <c r="IE200" s="15"/>
      <c r="IF200" s="15"/>
      <c r="IG200" s="15"/>
      <c r="IH200" s="15"/>
      <c r="II200" s="15"/>
      <c r="IJ200" s="15"/>
      <c r="IK200" s="15"/>
      <c r="IL200" s="15"/>
      <c r="IM200" s="15"/>
      <c r="IN200" s="15"/>
      <c r="IO200" s="15"/>
    </row>
    <row r="201" spans="2:249">
      <c r="B201" s="145"/>
      <c r="E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  <c r="EZ201" s="15"/>
      <c r="FA201" s="15"/>
      <c r="FB201" s="15"/>
      <c r="FC201" s="15"/>
      <c r="FD201" s="15"/>
      <c r="FE201" s="15"/>
      <c r="FF201" s="15"/>
      <c r="FG201" s="15"/>
      <c r="FH201" s="15"/>
      <c r="FI201" s="15"/>
      <c r="FJ201" s="15"/>
      <c r="FK201" s="15"/>
      <c r="FL201" s="15"/>
      <c r="FM201" s="15"/>
      <c r="FN201" s="15"/>
      <c r="FO201" s="15"/>
      <c r="FP201" s="15"/>
      <c r="FQ201" s="15"/>
      <c r="FR201" s="15"/>
      <c r="FS201" s="15"/>
      <c r="FT201" s="15"/>
      <c r="FU201" s="15"/>
      <c r="FV201" s="15"/>
      <c r="FW201" s="15"/>
      <c r="FX201" s="15"/>
      <c r="FY201" s="15"/>
      <c r="FZ201" s="15"/>
      <c r="GA201" s="15"/>
      <c r="GB201" s="15"/>
      <c r="GC201" s="15"/>
      <c r="GD201" s="15"/>
      <c r="GE201" s="15"/>
      <c r="GF201" s="15"/>
      <c r="GG201" s="15"/>
      <c r="GH201" s="15"/>
      <c r="GI201" s="15"/>
      <c r="GJ201" s="15"/>
      <c r="GK201" s="15"/>
      <c r="GL201" s="15"/>
      <c r="GM201" s="15"/>
      <c r="GN201" s="15"/>
      <c r="GO201" s="15"/>
      <c r="GP201" s="15"/>
      <c r="GQ201" s="15"/>
      <c r="GR201" s="15"/>
      <c r="GS201" s="15"/>
      <c r="GT201" s="15"/>
      <c r="GU201" s="15"/>
      <c r="GV201" s="15"/>
      <c r="GW201" s="15"/>
      <c r="GX201" s="15"/>
      <c r="GY201" s="15"/>
      <c r="GZ201" s="15"/>
      <c r="HA201" s="15"/>
      <c r="HB201" s="15"/>
      <c r="HC201" s="15"/>
      <c r="HD201" s="15"/>
      <c r="HE201" s="15"/>
      <c r="HF201" s="15"/>
      <c r="HG201" s="15"/>
      <c r="HH201" s="15"/>
      <c r="HI201" s="15"/>
      <c r="HJ201" s="15"/>
      <c r="HK201" s="15"/>
      <c r="HL201" s="15"/>
      <c r="HM201" s="15"/>
      <c r="HN201" s="15"/>
      <c r="HO201" s="15"/>
      <c r="HP201" s="15"/>
      <c r="HQ201" s="15"/>
      <c r="HR201" s="15"/>
      <c r="HS201" s="15"/>
      <c r="HT201" s="15"/>
      <c r="HU201" s="15"/>
      <c r="HV201" s="15"/>
      <c r="HW201" s="15"/>
      <c r="HX201" s="15"/>
      <c r="HY201" s="15"/>
      <c r="HZ201" s="15"/>
      <c r="IA201" s="15"/>
      <c r="IB201" s="15"/>
      <c r="IC201" s="15"/>
      <c r="ID201" s="15"/>
      <c r="IE201" s="15"/>
      <c r="IF201" s="15"/>
      <c r="IG201" s="15"/>
      <c r="IH201" s="15"/>
      <c r="II201" s="15"/>
      <c r="IJ201" s="15"/>
      <c r="IK201" s="15"/>
      <c r="IL201" s="15"/>
      <c r="IM201" s="15"/>
      <c r="IN201" s="15"/>
      <c r="IO201" s="15"/>
    </row>
    <row r="202" spans="2:249">
      <c r="B202" s="145"/>
      <c r="E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5"/>
      <c r="FE202" s="15"/>
      <c r="FF202" s="15"/>
      <c r="FG202" s="15"/>
      <c r="FH202" s="15"/>
      <c r="FI202" s="15"/>
      <c r="FJ202" s="15"/>
      <c r="FK202" s="15"/>
      <c r="FL202" s="15"/>
      <c r="FM202" s="15"/>
      <c r="FN202" s="15"/>
      <c r="FO202" s="15"/>
      <c r="FP202" s="15"/>
      <c r="FQ202" s="15"/>
      <c r="FR202" s="15"/>
      <c r="FS202" s="15"/>
      <c r="FT202" s="15"/>
      <c r="FU202" s="15"/>
      <c r="FV202" s="15"/>
      <c r="FW202" s="15"/>
      <c r="FX202" s="15"/>
      <c r="FY202" s="15"/>
      <c r="FZ202" s="15"/>
      <c r="GA202" s="15"/>
      <c r="GB202" s="15"/>
      <c r="GC202" s="15"/>
      <c r="GD202" s="15"/>
      <c r="GE202" s="15"/>
      <c r="GF202" s="15"/>
      <c r="GG202" s="15"/>
      <c r="GH202" s="15"/>
      <c r="GI202" s="15"/>
      <c r="GJ202" s="15"/>
      <c r="GK202" s="15"/>
      <c r="GL202" s="15"/>
      <c r="GM202" s="15"/>
      <c r="GN202" s="15"/>
      <c r="GO202" s="15"/>
      <c r="GP202" s="15"/>
      <c r="GQ202" s="15"/>
      <c r="GR202" s="15"/>
      <c r="GS202" s="15"/>
      <c r="GT202" s="15"/>
      <c r="GU202" s="15"/>
      <c r="GV202" s="15"/>
      <c r="GW202" s="15"/>
      <c r="GX202" s="15"/>
      <c r="GY202" s="15"/>
      <c r="GZ202" s="15"/>
      <c r="HA202" s="15"/>
      <c r="HB202" s="15"/>
      <c r="HC202" s="15"/>
      <c r="HD202" s="15"/>
      <c r="HE202" s="15"/>
      <c r="HF202" s="15"/>
      <c r="HG202" s="15"/>
      <c r="HH202" s="15"/>
      <c r="HI202" s="15"/>
      <c r="HJ202" s="15"/>
      <c r="HK202" s="15"/>
      <c r="HL202" s="15"/>
      <c r="HM202" s="15"/>
      <c r="HN202" s="15"/>
      <c r="HO202" s="15"/>
      <c r="HP202" s="15"/>
      <c r="HQ202" s="15"/>
      <c r="HR202" s="15"/>
      <c r="HS202" s="15"/>
      <c r="HT202" s="15"/>
      <c r="HU202" s="15"/>
      <c r="HV202" s="15"/>
      <c r="HW202" s="15"/>
      <c r="HX202" s="15"/>
      <c r="HY202" s="15"/>
      <c r="HZ202" s="15"/>
      <c r="IA202" s="15"/>
      <c r="IB202" s="15"/>
      <c r="IC202" s="15"/>
      <c r="ID202" s="15"/>
      <c r="IE202" s="15"/>
      <c r="IF202" s="15"/>
      <c r="IG202" s="15"/>
      <c r="IH202" s="15"/>
      <c r="II202" s="15"/>
      <c r="IJ202" s="15"/>
      <c r="IK202" s="15"/>
      <c r="IL202" s="15"/>
      <c r="IM202" s="15"/>
      <c r="IN202" s="15"/>
      <c r="IO202" s="15"/>
    </row>
    <row r="203" spans="2:249">
      <c r="B203" s="145"/>
      <c r="E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5"/>
      <c r="FD203" s="15"/>
      <c r="FE203" s="15"/>
      <c r="FF203" s="15"/>
      <c r="FG203" s="15"/>
      <c r="FH203" s="15"/>
      <c r="FI203" s="15"/>
      <c r="FJ203" s="15"/>
      <c r="FK203" s="15"/>
      <c r="FL203" s="15"/>
      <c r="FM203" s="15"/>
      <c r="FN203" s="15"/>
      <c r="FO203" s="15"/>
      <c r="FP203" s="15"/>
      <c r="FQ203" s="15"/>
      <c r="FR203" s="15"/>
      <c r="FS203" s="15"/>
      <c r="FT203" s="15"/>
      <c r="FU203" s="15"/>
      <c r="FV203" s="15"/>
      <c r="FW203" s="15"/>
      <c r="FX203" s="15"/>
      <c r="FY203" s="15"/>
      <c r="FZ203" s="15"/>
      <c r="GA203" s="15"/>
      <c r="GB203" s="15"/>
      <c r="GC203" s="15"/>
      <c r="GD203" s="15"/>
      <c r="GE203" s="15"/>
      <c r="GF203" s="15"/>
      <c r="GG203" s="15"/>
      <c r="GH203" s="15"/>
      <c r="GI203" s="15"/>
      <c r="GJ203" s="15"/>
      <c r="GK203" s="15"/>
      <c r="GL203" s="15"/>
      <c r="GM203" s="15"/>
      <c r="GN203" s="15"/>
      <c r="GO203" s="15"/>
      <c r="GP203" s="15"/>
      <c r="GQ203" s="15"/>
      <c r="GR203" s="15"/>
      <c r="GS203" s="15"/>
      <c r="GT203" s="15"/>
      <c r="GU203" s="15"/>
      <c r="GV203" s="15"/>
      <c r="GW203" s="15"/>
      <c r="GX203" s="15"/>
      <c r="GY203" s="15"/>
      <c r="GZ203" s="15"/>
      <c r="HA203" s="15"/>
      <c r="HB203" s="15"/>
      <c r="HC203" s="15"/>
      <c r="HD203" s="15"/>
      <c r="HE203" s="15"/>
      <c r="HF203" s="15"/>
      <c r="HG203" s="15"/>
      <c r="HH203" s="15"/>
      <c r="HI203" s="15"/>
      <c r="HJ203" s="15"/>
      <c r="HK203" s="15"/>
      <c r="HL203" s="15"/>
      <c r="HM203" s="15"/>
      <c r="HN203" s="15"/>
      <c r="HO203" s="15"/>
      <c r="HP203" s="15"/>
      <c r="HQ203" s="15"/>
      <c r="HR203" s="15"/>
      <c r="HS203" s="15"/>
      <c r="HT203" s="15"/>
      <c r="HU203" s="15"/>
      <c r="HV203" s="15"/>
      <c r="HW203" s="15"/>
      <c r="HX203" s="15"/>
      <c r="HY203" s="15"/>
      <c r="HZ203" s="15"/>
      <c r="IA203" s="15"/>
      <c r="IB203" s="15"/>
      <c r="IC203" s="15"/>
      <c r="ID203" s="15"/>
      <c r="IE203" s="15"/>
      <c r="IF203" s="15"/>
      <c r="IG203" s="15"/>
      <c r="IH203" s="15"/>
      <c r="II203" s="15"/>
      <c r="IJ203" s="15"/>
      <c r="IK203" s="15"/>
      <c r="IL203" s="15"/>
      <c r="IM203" s="15"/>
      <c r="IN203" s="15"/>
      <c r="IO203" s="15"/>
    </row>
    <row r="204" spans="2:249">
      <c r="B204" s="145"/>
      <c r="E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5"/>
      <c r="FD204" s="15"/>
      <c r="FE204" s="15"/>
      <c r="FF204" s="15"/>
      <c r="FG204" s="15"/>
      <c r="FH204" s="15"/>
      <c r="FI204" s="15"/>
      <c r="FJ204" s="15"/>
      <c r="FK204" s="15"/>
      <c r="FL204" s="15"/>
      <c r="FM204" s="15"/>
      <c r="FN204" s="15"/>
      <c r="FO204" s="15"/>
      <c r="FP204" s="15"/>
      <c r="FQ204" s="15"/>
      <c r="FR204" s="15"/>
      <c r="FS204" s="15"/>
      <c r="FT204" s="15"/>
      <c r="FU204" s="15"/>
      <c r="FV204" s="15"/>
      <c r="FW204" s="15"/>
      <c r="FX204" s="15"/>
      <c r="FY204" s="15"/>
      <c r="FZ204" s="15"/>
      <c r="GA204" s="15"/>
      <c r="GB204" s="15"/>
      <c r="GC204" s="15"/>
      <c r="GD204" s="15"/>
      <c r="GE204" s="15"/>
      <c r="GF204" s="15"/>
      <c r="GG204" s="15"/>
      <c r="GH204" s="15"/>
      <c r="GI204" s="15"/>
      <c r="GJ204" s="15"/>
      <c r="GK204" s="15"/>
      <c r="GL204" s="15"/>
      <c r="GM204" s="15"/>
      <c r="GN204" s="15"/>
      <c r="GO204" s="15"/>
      <c r="GP204" s="15"/>
      <c r="GQ204" s="15"/>
      <c r="GR204" s="15"/>
      <c r="GS204" s="15"/>
      <c r="GT204" s="15"/>
      <c r="GU204" s="15"/>
      <c r="GV204" s="15"/>
      <c r="GW204" s="15"/>
      <c r="GX204" s="15"/>
      <c r="GY204" s="15"/>
      <c r="GZ204" s="15"/>
      <c r="HA204" s="15"/>
      <c r="HB204" s="15"/>
      <c r="HC204" s="15"/>
      <c r="HD204" s="15"/>
      <c r="HE204" s="15"/>
      <c r="HF204" s="15"/>
      <c r="HG204" s="15"/>
      <c r="HH204" s="15"/>
      <c r="HI204" s="15"/>
      <c r="HJ204" s="15"/>
      <c r="HK204" s="15"/>
      <c r="HL204" s="15"/>
      <c r="HM204" s="15"/>
      <c r="HN204" s="15"/>
      <c r="HO204" s="15"/>
      <c r="HP204" s="15"/>
      <c r="HQ204" s="15"/>
      <c r="HR204" s="15"/>
      <c r="HS204" s="15"/>
      <c r="HT204" s="15"/>
      <c r="HU204" s="15"/>
      <c r="HV204" s="15"/>
      <c r="HW204" s="15"/>
      <c r="HX204" s="15"/>
      <c r="HY204" s="15"/>
      <c r="HZ204" s="15"/>
      <c r="IA204" s="15"/>
      <c r="IB204" s="15"/>
      <c r="IC204" s="15"/>
      <c r="ID204" s="15"/>
      <c r="IE204" s="15"/>
      <c r="IF204" s="15"/>
      <c r="IG204" s="15"/>
      <c r="IH204" s="15"/>
      <c r="II204" s="15"/>
      <c r="IJ204" s="15"/>
      <c r="IK204" s="15"/>
      <c r="IL204" s="15"/>
      <c r="IM204" s="15"/>
      <c r="IN204" s="15"/>
      <c r="IO204" s="15"/>
    </row>
    <row r="205" spans="2:249">
      <c r="B205" s="145"/>
      <c r="E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5"/>
      <c r="FD205" s="15"/>
      <c r="FE205" s="15"/>
      <c r="FF205" s="15"/>
      <c r="FG205" s="15"/>
      <c r="FH205" s="15"/>
      <c r="FI205" s="15"/>
      <c r="FJ205" s="15"/>
      <c r="FK205" s="15"/>
      <c r="FL205" s="15"/>
      <c r="FM205" s="15"/>
      <c r="FN205" s="15"/>
      <c r="FO205" s="15"/>
      <c r="FP205" s="15"/>
      <c r="FQ205" s="15"/>
      <c r="FR205" s="15"/>
      <c r="FS205" s="15"/>
      <c r="FT205" s="15"/>
      <c r="FU205" s="15"/>
      <c r="FV205" s="15"/>
      <c r="FW205" s="15"/>
      <c r="FX205" s="15"/>
      <c r="FY205" s="15"/>
      <c r="FZ205" s="15"/>
      <c r="GA205" s="15"/>
      <c r="GB205" s="15"/>
      <c r="GC205" s="15"/>
      <c r="GD205" s="15"/>
      <c r="GE205" s="15"/>
      <c r="GF205" s="15"/>
      <c r="GG205" s="15"/>
      <c r="GH205" s="15"/>
      <c r="GI205" s="15"/>
      <c r="GJ205" s="15"/>
      <c r="GK205" s="15"/>
      <c r="GL205" s="15"/>
      <c r="GM205" s="15"/>
      <c r="GN205" s="15"/>
      <c r="GO205" s="15"/>
      <c r="GP205" s="15"/>
      <c r="GQ205" s="15"/>
      <c r="GR205" s="15"/>
      <c r="GS205" s="15"/>
      <c r="GT205" s="15"/>
      <c r="GU205" s="15"/>
      <c r="GV205" s="15"/>
      <c r="GW205" s="15"/>
      <c r="GX205" s="15"/>
      <c r="GY205" s="15"/>
      <c r="GZ205" s="15"/>
      <c r="HA205" s="15"/>
      <c r="HB205" s="15"/>
      <c r="HC205" s="15"/>
      <c r="HD205" s="15"/>
      <c r="HE205" s="15"/>
      <c r="HF205" s="15"/>
      <c r="HG205" s="15"/>
      <c r="HH205" s="15"/>
      <c r="HI205" s="15"/>
      <c r="HJ205" s="15"/>
      <c r="HK205" s="15"/>
      <c r="HL205" s="15"/>
      <c r="HM205" s="15"/>
      <c r="HN205" s="15"/>
      <c r="HO205" s="15"/>
      <c r="HP205" s="15"/>
      <c r="HQ205" s="15"/>
      <c r="HR205" s="15"/>
      <c r="HS205" s="15"/>
      <c r="HT205" s="15"/>
      <c r="HU205" s="15"/>
      <c r="HV205" s="15"/>
      <c r="HW205" s="15"/>
      <c r="HX205" s="15"/>
      <c r="HY205" s="15"/>
      <c r="HZ205" s="15"/>
      <c r="IA205" s="15"/>
      <c r="IB205" s="15"/>
      <c r="IC205" s="15"/>
      <c r="ID205" s="15"/>
      <c r="IE205" s="15"/>
      <c r="IF205" s="15"/>
      <c r="IG205" s="15"/>
      <c r="IH205" s="15"/>
      <c r="II205" s="15"/>
      <c r="IJ205" s="15"/>
      <c r="IK205" s="15"/>
      <c r="IL205" s="15"/>
      <c r="IM205" s="15"/>
      <c r="IN205" s="15"/>
      <c r="IO205" s="15"/>
    </row>
    <row r="206" spans="2:249">
      <c r="B206" s="145"/>
      <c r="E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  <c r="EN206" s="15"/>
      <c r="EO206" s="15"/>
      <c r="EP206" s="15"/>
      <c r="EQ206" s="15"/>
      <c r="ER206" s="15"/>
      <c r="ES206" s="15"/>
      <c r="ET206" s="15"/>
      <c r="EU206" s="15"/>
      <c r="EV206" s="15"/>
      <c r="EW206" s="15"/>
      <c r="EX206" s="15"/>
      <c r="EY206" s="15"/>
      <c r="EZ206" s="15"/>
      <c r="FA206" s="15"/>
      <c r="FB206" s="15"/>
      <c r="FC206" s="15"/>
      <c r="FD206" s="15"/>
      <c r="FE206" s="15"/>
      <c r="FF206" s="15"/>
      <c r="FG206" s="15"/>
      <c r="FH206" s="15"/>
      <c r="FI206" s="15"/>
      <c r="FJ206" s="15"/>
      <c r="FK206" s="15"/>
      <c r="FL206" s="15"/>
      <c r="FM206" s="15"/>
      <c r="FN206" s="15"/>
      <c r="FO206" s="15"/>
      <c r="FP206" s="15"/>
      <c r="FQ206" s="15"/>
      <c r="FR206" s="15"/>
      <c r="FS206" s="15"/>
      <c r="FT206" s="15"/>
      <c r="FU206" s="15"/>
      <c r="FV206" s="15"/>
      <c r="FW206" s="15"/>
      <c r="FX206" s="15"/>
      <c r="FY206" s="15"/>
      <c r="FZ206" s="15"/>
      <c r="GA206" s="15"/>
      <c r="GB206" s="15"/>
      <c r="GC206" s="15"/>
      <c r="GD206" s="15"/>
      <c r="GE206" s="15"/>
      <c r="GF206" s="15"/>
      <c r="GG206" s="15"/>
      <c r="GH206" s="15"/>
      <c r="GI206" s="15"/>
      <c r="GJ206" s="15"/>
      <c r="GK206" s="15"/>
      <c r="GL206" s="15"/>
      <c r="GM206" s="15"/>
      <c r="GN206" s="15"/>
      <c r="GO206" s="15"/>
      <c r="GP206" s="15"/>
      <c r="GQ206" s="15"/>
      <c r="GR206" s="15"/>
      <c r="GS206" s="15"/>
      <c r="GT206" s="15"/>
      <c r="GU206" s="15"/>
      <c r="GV206" s="15"/>
      <c r="GW206" s="15"/>
      <c r="GX206" s="15"/>
      <c r="GY206" s="15"/>
      <c r="GZ206" s="15"/>
      <c r="HA206" s="15"/>
      <c r="HB206" s="15"/>
      <c r="HC206" s="15"/>
      <c r="HD206" s="15"/>
      <c r="HE206" s="15"/>
      <c r="HF206" s="15"/>
      <c r="HG206" s="15"/>
      <c r="HH206" s="15"/>
      <c r="HI206" s="15"/>
      <c r="HJ206" s="15"/>
      <c r="HK206" s="15"/>
      <c r="HL206" s="15"/>
      <c r="HM206" s="15"/>
      <c r="HN206" s="15"/>
      <c r="HO206" s="15"/>
      <c r="HP206" s="15"/>
      <c r="HQ206" s="15"/>
      <c r="HR206" s="15"/>
      <c r="HS206" s="15"/>
      <c r="HT206" s="15"/>
      <c r="HU206" s="15"/>
      <c r="HV206" s="15"/>
      <c r="HW206" s="15"/>
      <c r="HX206" s="15"/>
      <c r="HY206" s="15"/>
      <c r="HZ206" s="15"/>
      <c r="IA206" s="15"/>
      <c r="IB206" s="15"/>
      <c r="IC206" s="15"/>
      <c r="ID206" s="15"/>
      <c r="IE206" s="15"/>
      <c r="IF206" s="15"/>
      <c r="IG206" s="15"/>
      <c r="IH206" s="15"/>
      <c r="II206" s="15"/>
      <c r="IJ206" s="15"/>
      <c r="IK206" s="15"/>
      <c r="IL206" s="15"/>
      <c r="IM206" s="15"/>
      <c r="IN206" s="15"/>
      <c r="IO206" s="15"/>
    </row>
    <row r="207" spans="2:249">
      <c r="B207" s="145"/>
      <c r="E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  <c r="EY207" s="15"/>
      <c r="EZ207" s="15"/>
      <c r="FA207" s="15"/>
      <c r="FB207" s="15"/>
      <c r="FC207" s="15"/>
      <c r="FD207" s="15"/>
      <c r="FE207" s="15"/>
      <c r="FF207" s="15"/>
      <c r="FG207" s="15"/>
      <c r="FH207" s="15"/>
      <c r="FI207" s="15"/>
      <c r="FJ207" s="15"/>
      <c r="FK207" s="15"/>
      <c r="FL207" s="15"/>
      <c r="FM207" s="15"/>
      <c r="FN207" s="15"/>
      <c r="FO207" s="15"/>
      <c r="FP207" s="15"/>
      <c r="FQ207" s="15"/>
      <c r="FR207" s="15"/>
      <c r="FS207" s="15"/>
      <c r="FT207" s="15"/>
      <c r="FU207" s="15"/>
      <c r="FV207" s="15"/>
      <c r="FW207" s="15"/>
      <c r="FX207" s="15"/>
      <c r="FY207" s="15"/>
      <c r="FZ207" s="15"/>
      <c r="GA207" s="15"/>
      <c r="GB207" s="15"/>
      <c r="GC207" s="15"/>
      <c r="GD207" s="15"/>
      <c r="GE207" s="15"/>
      <c r="GF207" s="15"/>
      <c r="GG207" s="15"/>
      <c r="GH207" s="15"/>
      <c r="GI207" s="15"/>
      <c r="GJ207" s="15"/>
      <c r="GK207" s="15"/>
      <c r="GL207" s="15"/>
      <c r="GM207" s="15"/>
      <c r="GN207" s="15"/>
      <c r="GO207" s="15"/>
      <c r="GP207" s="15"/>
      <c r="GQ207" s="15"/>
      <c r="GR207" s="15"/>
      <c r="GS207" s="15"/>
      <c r="GT207" s="15"/>
      <c r="GU207" s="15"/>
      <c r="GV207" s="15"/>
      <c r="GW207" s="15"/>
      <c r="GX207" s="15"/>
      <c r="GY207" s="15"/>
      <c r="GZ207" s="15"/>
      <c r="HA207" s="15"/>
      <c r="HB207" s="15"/>
      <c r="HC207" s="15"/>
      <c r="HD207" s="15"/>
      <c r="HE207" s="15"/>
      <c r="HF207" s="15"/>
      <c r="HG207" s="15"/>
      <c r="HH207" s="15"/>
      <c r="HI207" s="15"/>
      <c r="HJ207" s="15"/>
      <c r="HK207" s="15"/>
      <c r="HL207" s="15"/>
      <c r="HM207" s="15"/>
      <c r="HN207" s="15"/>
      <c r="HO207" s="15"/>
      <c r="HP207" s="15"/>
      <c r="HQ207" s="15"/>
      <c r="HR207" s="15"/>
      <c r="HS207" s="15"/>
      <c r="HT207" s="15"/>
      <c r="HU207" s="15"/>
      <c r="HV207" s="15"/>
      <c r="HW207" s="15"/>
      <c r="HX207" s="15"/>
      <c r="HY207" s="15"/>
      <c r="HZ207" s="15"/>
      <c r="IA207" s="15"/>
      <c r="IB207" s="15"/>
      <c r="IC207" s="15"/>
      <c r="ID207" s="15"/>
      <c r="IE207" s="15"/>
      <c r="IF207" s="15"/>
      <c r="IG207" s="15"/>
      <c r="IH207" s="15"/>
      <c r="II207" s="15"/>
      <c r="IJ207" s="15"/>
      <c r="IK207" s="15"/>
      <c r="IL207" s="15"/>
      <c r="IM207" s="15"/>
      <c r="IN207" s="15"/>
      <c r="IO207" s="15"/>
    </row>
    <row r="208" spans="2:249">
      <c r="B208" s="145"/>
      <c r="E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5"/>
      <c r="FD208" s="15"/>
      <c r="FE208" s="15"/>
      <c r="FF208" s="15"/>
      <c r="FG208" s="15"/>
      <c r="FH208" s="15"/>
      <c r="FI208" s="15"/>
      <c r="FJ208" s="15"/>
      <c r="FK208" s="15"/>
      <c r="FL208" s="15"/>
      <c r="FM208" s="15"/>
      <c r="FN208" s="15"/>
      <c r="FO208" s="15"/>
      <c r="FP208" s="15"/>
      <c r="FQ208" s="15"/>
      <c r="FR208" s="15"/>
      <c r="FS208" s="15"/>
      <c r="FT208" s="15"/>
      <c r="FU208" s="15"/>
      <c r="FV208" s="15"/>
      <c r="FW208" s="15"/>
      <c r="FX208" s="15"/>
      <c r="FY208" s="15"/>
      <c r="FZ208" s="15"/>
      <c r="GA208" s="15"/>
      <c r="GB208" s="15"/>
      <c r="GC208" s="15"/>
      <c r="GD208" s="15"/>
      <c r="GE208" s="15"/>
      <c r="GF208" s="15"/>
      <c r="GG208" s="15"/>
      <c r="GH208" s="15"/>
      <c r="GI208" s="15"/>
      <c r="GJ208" s="15"/>
      <c r="GK208" s="15"/>
      <c r="GL208" s="15"/>
      <c r="GM208" s="15"/>
      <c r="GN208" s="15"/>
      <c r="GO208" s="15"/>
      <c r="GP208" s="15"/>
      <c r="GQ208" s="15"/>
      <c r="GR208" s="15"/>
      <c r="GS208" s="15"/>
      <c r="GT208" s="15"/>
      <c r="GU208" s="15"/>
      <c r="GV208" s="15"/>
      <c r="GW208" s="15"/>
      <c r="GX208" s="15"/>
      <c r="GY208" s="15"/>
      <c r="GZ208" s="15"/>
      <c r="HA208" s="15"/>
      <c r="HB208" s="15"/>
      <c r="HC208" s="15"/>
      <c r="HD208" s="15"/>
      <c r="HE208" s="15"/>
      <c r="HF208" s="15"/>
      <c r="HG208" s="15"/>
      <c r="HH208" s="15"/>
      <c r="HI208" s="15"/>
      <c r="HJ208" s="15"/>
      <c r="HK208" s="15"/>
      <c r="HL208" s="15"/>
      <c r="HM208" s="15"/>
      <c r="HN208" s="15"/>
      <c r="HO208" s="15"/>
      <c r="HP208" s="15"/>
      <c r="HQ208" s="15"/>
      <c r="HR208" s="15"/>
      <c r="HS208" s="15"/>
      <c r="HT208" s="15"/>
      <c r="HU208" s="15"/>
      <c r="HV208" s="15"/>
      <c r="HW208" s="15"/>
      <c r="HX208" s="15"/>
      <c r="HY208" s="15"/>
      <c r="HZ208" s="15"/>
      <c r="IA208" s="15"/>
      <c r="IB208" s="15"/>
      <c r="IC208" s="15"/>
      <c r="ID208" s="15"/>
      <c r="IE208" s="15"/>
      <c r="IF208" s="15"/>
      <c r="IG208" s="15"/>
      <c r="IH208" s="15"/>
      <c r="II208" s="15"/>
      <c r="IJ208" s="15"/>
      <c r="IK208" s="15"/>
      <c r="IL208" s="15"/>
      <c r="IM208" s="15"/>
      <c r="IN208" s="15"/>
      <c r="IO208" s="15"/>
    </row>
    <row r="209" spans="2:249">
      <c r="B209" s="145"/>
      <c r="E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5"/>
      <c r="FD209" s="15"/>
      <c r="FE209" s="15"/>
      <c r="FF209" s="15"/>
      <c r="FG209" s="15"/>
      <c r="FH209" s="15"/>
      <c r="FI209" s="15"/>
      <c r="FJ209" s="15"/>
      <c r="FK209" s="15"/>
      <c r="FL209" s="15"/>
      <c r="FM209" s="15"/>
      <c r="FN209" s="15"/>
      <c r="FO209" s="15"/>
      <c r="FP209" s="15"/>
      <c r="FQ209" s="15"/>
      <c r="FR209" s="15"/>
      <c r="FS209" s="15"/>
      <c r="FT209" s="15"/>
      <c r="FU209" s="15"/>
      <c r="FV209" s="15"/>
      <c r="FW209" s="15"/>
      <c r="FX209" s="15"/>
      <c r="FY209" s="15"/>
      <c r="FZ209" s="15"/>
      <c r="GA209" s="15"/>
      <c r="GB209" s="15"/>
      <c r="GC209" s="15"/>
      <c r="GD209" s="15"/>
      <c r="GE209" s="15"/>
      <c r="GF209" s="15"/>
      <c r="GG209" s="15"/>
      <c r="GH209" s="15"/>
      <c r="GI209" s="15"/>
      <c r="GJ209" s="15"/>
      <c r="GK209" s="15"/>
      <c r="GL209" s="15"/>
      <c r="GM209" s="15"/>
      <c r="GN209" s="15"/>
      <c r="GO209" s="15"/>
      <c r="GP209" s="15"/>
      <c r="GQ209" s="15"/>
      <c r="GR209" s="15"/>
      <c r="GS209" s="15"/>
      <c r="GT209" s="15"/>
      <c r="GU209" s="15"/>
      <c r="GV209" s="15"/>
      <c r="GW209" s="15"/>
      <c r="GX209" s="15"/>
      <c r="GY209" s="15"/>
      <c r="GZ209" s="15"/>
      <c r="HA209" s="15"/>
      <c r="HB209" s="15"/>
      <c r="HC209" s="15"/>
      <c r="HD209" s="15"/>
      <c r="HE209" s="15"/>
      <c r="HF209" s="15"/>
      <c r="HG209" s="15"/>
      <c r="HH209" s="15"/>
      <c r="HI209" s="15"/>
      <c r="HJ209" s="15"/>
      <c r="HK209" s="15"/>
      <c r="HL209" s="15"/>
      <c r="HM209" s="15"/>
      <c r="HN209" s="15"/>
      <c r="HO209" s="15"/>
      <c r="HP209" s="15"/>
      <c r="HQ209" s="15"/>
      <c r="HR209" s="15"/>
      <c r="HS209" s="15"/>
      <c r="HT209" s="15"/>
      <c r="HU209" s="15"/>
      <c r="HV209" s="15"/>
      <c r="HW209" s="15"/>
      <c r="HX209" s="15"/>
      <c r="HY209" s="15"/>
      <c r="HZ209" s="15"/>
      <c r="IA209" s="15"/>
      <c r="IB209" s="15"/>
      <c r="IC209" s="15"/>
      <c r="ID209" s="15"/>
      <c r="IE209" s="15"/>
      <c r="IF209" s="15"/>
      <c r="IG209" s="15"/>
      <c r="IH209" s="15"/>
      <c r="II209" s="15"/>
      <c r="IJ209" s="15"/>
      <c r="IK209" s="15"/>
      <c r="IL209" s="15"/>
      <c r="IM209" s="15"/>
      <c r="IN209" s="15"/>
      <c r="IO209" s="15"/>
    </row>
    <row r="210" spans="2:249">
      <c r="B210" s="145"/>
      <c r="E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5"/>
      <c r="EY210" s="15"/>
      <c r="EZ210" s="15"/>
      <c r="FA210" s="15"/>
      <c r="FB210" s="15"/>
      <c r="FC210" s="15"/>
      <c r="FD210" s="15"/>
      <c r="FE210" s="15"/>
      <c r="FF210" s="15"/>
      <c r="FG210" s="15"/>
      <c r="FH210" s="15"/>
      <c r="FI210" s="15"/>
      <c r="FJ210" s="15"/>
      <c r="FK210" s="15"/>
      <c r="FL210" s="15"/>
      <c r="FM210" s="15"/>
      <c r="FN210" s="15"/>
      <c r="FO210" s="15"/>
      <c r="FP210" s="15"/>
      <c r="FQ210" s="15"/>
      <c r="FR210" s="15"/>
      <c r="FS210" s="15"/>
      <c r="FT210" s="15"/>
      <c r="FU210" s="15"/>
      <c r="FV210" s="15"/>
      <c r="FW210" s="15"/>
      <c r="FX210" s="15"/>
      <c r="FY210" s="15"/>
      <c r="FZ210" s="15"/>
      <c r="GA210" s="15"/>
      <c r="GB210" s="15"/>
      <c r="GC210" s="15"/>
      <c r="GD210" s="15"/>
      <c r="GE210" s="15"/>
      <c r="GF210" s="15"/>
      <c r="GG210" s="15"/>
      <c r="GH210" s="15"/>
      <c r="GI210" s="15"/>
      <c r="GJ210" s="15"/>
      <c r="GK210" s="15"/>
      <c r="GL210" s="15"/>
      <c r="GM210" s="15"/>
      <c r="GN210" s="15"/>
      <c r="GO210" s="15"/>
      <c r="GP210" s="15"/>
      <c r="GQ210" s="15"/>
      <c r="GR210" s="15"/>
      <c r="GS210" s="15"/>
      <c r="GT210" s="15"/>
      <c r="GU210" s="15"/>
      <c r="GV210" s="15"/>
      <c r="GW210" s="15"/>
      <c r="GX210" s="15"/>
      <c r="GY210" s="15"/>
      <c r="GZ210" s="15"/>
      <c r="HA210" s="15"/>
      <c r="HB210" s="15"/>
      <c r="HC210" s="15"/>
      <c r="HD210" s="15"/>
      <c r="HE210" s="15"/>
      <c r="HF210" s="15"/>
      <c r="HG210" s="15"/>
      <c r="HH210" s="15"/>
      <c r="HI210" s="15"/>
      <c r="HJ210" s="15"/>
      <c r="HK210" s="15"/>
      <c r="HL210" s="15"/>
      <c r="HM210" s="15"/>
      <c r="HN210" s="15"/>
      <c r="HO210" s="15"/>
      <c r="HP210" s="15"/>
      <c r="HQ210" s="15"/>
      <c r="HR210" s="15"/>
      <c r="HS210" s="15"/>
      <c r="HT210" s="15"/>
      <c r="HU210" s="15"/>
      <c r="HV210" s="15"/>
      <c r="HW210" s="15"/>
      <c r="HX210" s="15"/>
      <c r="HY210" s="15"/>
      <c r="HZ210" s="15"/>
      <c r="IA210" s="15"/>
      <c r="IB210" s="15"/>
      <c r="IC210" s="15"/>
      <c r="ID210" s="15"/>
      <c r="IE210" s="15"/>
      <c r="IF210" s="15"/>
      <c r="IG210" s="15"/>
      <c r="IH210" s="15"/>
      <c r="II210" s="15"/>
      <c r="IJ210" s="15"/>
      <c r="IK210" s="15"/>
      <c r="IL210" s="15"/>
      <c r="IM210" s="15"/>
      <c r="IN210" s="15"/>
      <c r="IO210" s="15"/>
    </row>
    <row r="211" spans="2:249">
      <c r="B211" s="145"/>
      <c r="E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5"/>
      <c r="FD211" s="15"/>
      <c r="FE211" s="15"/>
      <c r="FF211" s="15"/>
      <c r="FG211" s="15"/>
      <c r="FH211" s="15"/>
      <c r="FI211" s="15"/>
      <c r="FJ211" s="15"/>
      <c r="FK211" s="15"/>
      <c r="FL211" s="15"/>
      <c r="FM211" s="15"/>
      <c r="FN211" s="15"/>
      <c r="FO211" s="15"/>
      <c r="FP211" s="15"/>
      <c r="FQ211" s="15"/>
      <c r="FR211" s="15"/>
      <c r="FS211" s="15"/>
      <c r="FT211" s="15"/>
      <c r="FU211" s="15"/>
      <c r="FV211" s="15"/>
      <c r="FW211" s="15"/>
      <c r="FX211" s="15"/>
      <c r="FY211" s="15"/>
      <c r="FZ211" s="15"/>
      <c r="GA211" s="15"/>
      <c r="GB211" s="15"/>
      <c r="GC211" s="15"/>
      <c r="GD211" s="15"/>
      <c r="GE211" s="15"/>
      <c r="GF211" s="15"/>
      <c r="GG211" s="15"/>
      <c r="GH211" s="15"/>
      <c r="GI211" s="15"/>
      <c r="GJ211" s="15"/>
      <c r="GK211" s="15"/>
      <c r="GL211" s="15"/>
      <c r="GM211" s="15"/>
      <c r="GN211" s="15"/>
      <c r="GO211" s="15"/>
      <c r="GP211" s="15"/>
      <c r="GQ211" s="15"/>
      <c r="GR211" s="15"/>
      <c r="GS211" s="15"/>
      <c r="GT211" s="15"/>
      <c r="GU211" s="15"/>
      <c r="GV211" s="15"/>
      <c r="GW211" s="15"/>
      <c r="GX211" s="15"/>
      <c r="GY211" s="15"/>
      <c r="GZ211" s="15"/>
      <c r="HA211" s="15"/>
      <c r="HB211" s="15"/>
      <c r="HC211" s="15"/>
      <c r="HD211" s="15"/>
      <c r="HE211" s="15"/>
      <c r="HF211" s="15"/>
      <c r="HG211" s="15"/>
      <c r="HH211" s="15"/>
      <c r="HI211" s="15"/>
      <c r="HJ211" s="15"/>
      <c r="HK211" s="15"/>
      <c r="HL211" s="15"/>
      <c r="HM211" s="15"/>
      <c r="HN211" s="15"/>
      <c r="HO211" s="15"/>
      <c r="HP211" s="15"/>
      <c r="HQ211" s="15"/>
      <c r="HR211" s="15"/>
      <c r="HS211" s="15"/>
      <c r="HT211" s="15"/>
      <c r="HU211" s="15"/>
      <c r="HV211" s="15"/>
      <c r="HW211" s="15"/>
      <c r="HX211" s="15"/>
      <c r="HY211" s="15"/>
      <c r="HZ211" s="15"/>
      <c r="IA211" s="15"/>
      <c r="IB211" s="15"/>
      <c r="IC211" s="15"/>
      <c r="ID211" s="15"/>
      <c r="IE211" s="15"/>
      <c r="IF211" s="15"/>
      <c r="IG211" s="15"/>
      <c r="IH211" s="15"/>
      <c r="II211" s="15"/>
      <c r="IJ211" s="15"/>
      <c r="IK211" s="15"/>
      <c r="IL211" s="15"/>
      <c r="IM211" s="15"/>
      <c r="IN211" s="15"/>
      <c r="IO211" s="15"/>
    </row>
    <row r="212" spans="2:249">
      <c r="B212" s="145"/>
      <c r="E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5"/>
      <c r="FD212" s="15"/>
      <c r="FE212" s="15"/>
      <c r="FF212" s="15"/>
      <c r="FG212" s="15"/>
      <c r="FH212" s="15"/>
      <c r="FI212" s="15"/>
      <c r="FJ212" s="15"/>
      <c r="FK212" s="15"/>
      <c r="FL212" s="15"/>
      <c r="FM212" s="15"/>
      <c r="FN212" s="15"/>
      <c r="FO212" s="15"/>
      <c r="FP212" s="15"/>
      <c r="FQ212" s="15"/>
      <c r="FR212" s="15"/>
      <c r="FS212" s="15"/>
      <c r="FT212" s="15"/>
      <c r="FU212" s="15"/>
      <c r="FV212" s="15"/>
      <c r="FW212" s="15"/>
      <c r="FX212" s="15"/>
      <c r="FY212" s="15"/>
      <c r="FZ212" s="15"/>
      <c r="GA212" s="15"/>
      <c r="GB212" s="15"/>
      <c r="GC212" s="15"/>
      <c r="GD212" s="15"/>
      <c r="GE212" s="15"/>
      <c r="GF212" s="15"/>
      <c r="GG212" s="15"/>
      <c r="GH212" s="15"/>
      <c r="GI212" s="15"/>
      <c r="GJ212" s="15"/>
      <c r="GK212" s="15"/>
      <c r="GL212" s="15"/>
      <c r="GM212" s="15"/>
      <c r="GN212" s="15"/>
      <c r="GO212" s="15"/>
      <c r="GP212" s="15"/>
      <c r="GQ212" s="15"/>
      <c r="GR212" s="15"/>
      <c r="GS212" s="15"/>
      <c r="GT212" s="15"/>
      <c r="GU212" s="15"/>
      <c r="GV212" s="15"/>
      <c r="GW212" s="15"/>
      <c r="GX212" s="15"/>
      <c r="GY212" s="15"/>
      <c r="GZ212" s="15"/>
      <c r="HA212" s="15"/>
      <c r="HB212" s="15"/>
      <c r="HC212" s="15"/>
      <c r="HD212" s="15"/>
      <c r="HE212" s="15"/>
      <c r="HF212" s="15"/>
      <c r="HG212" s="15"/>
      <c r="HH212" s="15"/>
      <c r="HI212" s="15"/>
      <c r="HJ212" s="15"/>
      <c r="HK212" s="15"/>
      <c r="HL212" s="15"/>
      <c r="HM212" s="15"/>
      <c r="HN212" s="15"/>
      <c r="HO212" s="15"/>
      <c r="HP212" s="15"/>
      <c r="HQ212" s="15"/>
      <c r="HR212" s="15"/>
      <c r="HS212" s="15"/>
      <c r="HT212" s="15"/>
      <c r="HU212" s="15"/>
      <c r="HV212" s="15"/>
      <c r="HW212" s="15"/>
      <c r="HX212" s="15"/>
      <c r="HY212" s="15"/>
      <c r="HZ212" s="15"/>
      <c r="IA212" s="15"/>
      <c r="IB212" s="15"/>
      <c r="IC212" s="15"/>
      <c r="ID212" s="15"/>
      <c r="IE212" s="15"/>
      <c r="IF212" s="15"/>
      <c r="IG212" s="15"/>
      <c r="IH212" s="15"/>
      <c r="II212" s="15"/>
      <c r="IJ212" s="15"/>
      <c r="IK212" s="15"/>
      <c r="IL212" s="15"/>
      <c r="IM212" s="15"/>
      <c r="IN212" s="15"/>
      <c r="IO212" s="15"/>
    </row>
    <row r="213" spans="2:249">
      <c r="B213" s="145"/>
      <c r="E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/>
      <c r="ER213" s="15"/>
      <c r="ES213" s="15"/>
      <c r="ET213" s="15"/>
      <c r="EU213" s="15"/>
      <c r="EV213" s="15"/>
      <c r="EW213" s="15"/>
      <c r="EX213" s="15"/>
      <c r="EY213" s="15"/>
      <c r="EZ213" s="15"/>
      <c r="FA213" s="15"/>
      <c r="FB213" s="15"/>
      <c r="FC213" s="15"/>
      <c r="FD213" s="15"/>
      <c r="FE213" s="15"/>
      <c r="FF213" s="15"/>
      <c r="FG213" s="15"/>
      <c r="FH213" s="15"/>
      <c r="FI213" s="15"/>
      <c r="FJ213" s="15"/>
      <c r="FK213" s="15"/>
      <c r="FL213" s="15"/>
      <c r="FM213" s="15"/>
      <c r="FN213" s="15"/>
      <c r="FO213" s="15"/>
      <c r="FP213" s="15"/>
      <c r="FQ213" s="15"/>
      <c r="FR213" s="15"/>
      <c r="FS213" s="15"/>
      <c r="FT213" s="15"/>
      <c r="FU213" s="15"/>
      <c r="FV213" s="15"/>
      <c r="FW213" s="15"/>
      <c r="FX213" s="15"/>
      <c r="FY213" s="15"/>
      <c r="FZ213" s="15"/>
      <c r="GA213" s="15"/>
      <c r="GB213" s="15"/>
      <c r="GC213" s="15"/>
      <c r="GD213" s="15"/>
      <c r="GE213" s="15"/>
      <c r="GF213" s="15"/>
      <c r="GG213" s="15"/>
      <c r="GH213" s="15"/>
      <c r="GI213" s="15"/>
      <c r="GJ213" s="15"/>
      <c r="GK213" s="15"/>
      <c r="GL213" s="15"/>
      <c r="GM213" s="15"/>
      <c r="GN213" s="15"/>
      <c r="GO213" s="15"/>
      <c r="GP213" s="15"/>
      <c r="GQ213" s="15"/>
      <c r="GR213" s="15"/>
      <c r="GS213" s="15"/>
      <c r="GT213" s="15"/>
      <c r="GU213" s="15"/>
      <c r="GV213" s="15"/>
      <c r="GW213" s="15"/>
      <c r="GX213" s="15"/>
      <c r="GY213" s="15"/>
      <c r="GZ213" s="15"/>
      <c r="HA213" s="15"/>
      <c r="HB213" s="15"/>
      <c r="HC213" s="15"/>
      <c r="HD213" s="15"/>
      <c r="HE213" s="15"/>
      <c r="HF213" s="15"/>
      <c r="HG213" s="15"/>
      <c r="HH213" s="15"/>
      <c r="HI213" s="15"/>
      <c r="HJ213" s="15"/>
      <c r="HK213" s="15"/>
      <c r="HL213" s="15"/>
      <c r="HM213" s="15"/>
      <c r="HN213" s="15"/>
      <c r="HO213" s="15"/>
      <c r="HP213" s="15"/>
      <c r="HQ213" s="15"/>
      <c r="HR213" s="15"/>
      <c r="HS213" s="15"/>
      <c r="HT213" s="15"/>
      <c r="HU213" s="15"/>
      <c r="HV213" s="15"/>
      <c r="HW213" s="15"/>
      <c r="HX213" s="15"/>
      <c r="HY213" s="15"/>
      <c r="HZ213" s="15"/>
      <c r="IA213" s="15"/>
      <c r="IB213" s="15"/>
      <c r="IC213" s="15"/>
      <c r="ID213" s="15"/>
      <c r="IE213" s="15"/>
      <c r="IF213" s="15"/>
      <c r="IG213" s="15"/>
      <c r="IH213" s="15"/>
      <c r="II213" s="15"/>
      <c r="IJ213" s="15"/>
      <c r="IK213" s="15"/>
      <c r="IL213" s="15"/>
      <c r="IM213" s="15"/>
      <c r="IN213" s="15"/>
      <c r="IO213" s="15"/>
    </row>
    <row r="214" spans="2:249">
      <c r="B214" s="145"/>
      <c r="E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  <c r="EW214" s="15"/>
      <c r="EX214" s="15"/>
      <c r="EY214" s="15"/>
      <c r="EZ214" s="15"/>
      <c r="FA214" s="15"/>
      <c r="FB214" s="15"/>
      <c r="FC214" s="15"/>
      <c r="FD214" s="15"/>
      <c r="FE214" s="15"/>
      <c r="FF214" s="15"/>
      <c r="FG214" s="15"/>
      <c r="FH214" s="15"/>
      <c r="FI214" s="15"/>
      <c r="FJ214" s="15"/>
      <c r="FK214" s="15"/>
      <c r="FL214" s="15"/>
      <c r="FM214" s="15"/>
      <c r="FN214" s="15"/>
      <c r="FO214" s="15"/>
      <c r="FP214" s="15"/>
      <c r="FQ214" s="15"/>
      <c r="FR214" s="15"/>
      <c r="FS214" s="15"/>
      <c r="FT214" s="15"/>
      <c r="FU214" s="15"/>
      <c r="FV214" s="15"/>
      <c r="FW214" s="15"/>
      <c r="FX214" s="15"/>
      <c r="FY214" s="15"/>
      <c r="FZ214" s="15"/>
      <c r="GA214" s="15"/>
      <c r="GB214" s="15"/>
      <c r="GC214" s="15"/>
      <c r="GD214" s="15"/>
      <c r="GE214" s="15"/>
      <c r="GF214" s="15"/>
      <c r="GG214" s="15"/>
      <c r="GH214" s="15"/>
      <c r="GI214" s="15"/>
      <c r="GJ214" s="15"/>
      <c r="GK214" s="15"/>
      <c r="GL214" s="15"/>
      <c r="GM214" s="15"/>
      <c r="GN214" s="15"/>
      <c r="GO214" s="15"/>
      <c r="GP214" s="15"/>
      <c r="GQ214" s="15"/>
      <c r="GR214" s="15"/>
      <c r="GS214" s="15"/>
      <c r="GT214" s="15"/>
      <c r="GU214" s="15"/>
      <c r="GV214" s="15"/>
      <c r="GW214" s="15"/>
      <c r="GX214" s="15"/>
      <c r="GY214" s="15"/>
      <c r="GZ214" s="15"/>
      <c r="HA214" s="15"/>
      <c r="HB214" s="15"/>
      <c r="HC214" s="15"/>
      <c r="HD214" s="15"/>
      <c r="HE214" s="15"/>
      <c r="HF214" s="15"/>
      <c r="HG214" s="15"/>
      <c r="HH214" s="15"/>
      <c r="HI214" s="15"/>
      <c r="HJ214" s="15"/>
      <c r="HK214" s="15"/>
      <c r="HL214" s="15"/>
      <c r="HM214" s="15"/>
      <c r="HN214" s="15"/>
      <c r="HO214" s="15"/>
      <c r="HP214" s="15"/>
      <c r="HQ214" s="15"/>
      <c r="HR214" s="15"/>
      <c r="HS214" s="15"/>
      <c r="HT214" s="15"/>
      <c r="HU214" s="15"/>
      <c r="HV214" s="15"/>
      <c r="HW214" s="15"/>
      <c r="HX214" s="15"/>
      <c r="HY214" s="15"/>
      <c r="HZ214" s="15"/>
      <c r="IA214" s="15"/>
      <c r="IB214" s="15"/>
      <c r="IC214" s="15"/>
      <c r="ID214" s="15"/>
      <c r="IE214" s="15"/>
      <c r="IF214" s="15"/>
      <c r="IG214" s="15"/>
      <c r="IH214" s="15"/>
      <c r="II214" s="15"/>
      <c r="IJ214" s="15"/>
      <c r="IK214" s="15"/>
      <c r="IL214" s="15"/>
      <c r="IM214" s="15"/>
      <c r="IN214" s="15"/>
      <c r="IO214" s="15"/>
    </row>
  </sheetData>
  <mergeCells count="222">
    <mergeCell ref="E3:F3"/>
    <mergeCell ref="H3:R3"/>
    <mergeCell ref="S3:X3"/>
    <mergeCell ref="BF3:BS3"/>
    <mergeCell ref="CD3:CN3"/>
    <mergeCell ref="CR3:DE3"/>
    <mergeCell ref="DF3:DS3"/>
    <mergeCell ref="DT3:EG3"/>
    <mergeCell ref="FC3:FP3"/>
    <mergeCell ref="GE3:GR3"/>
    <mergeCell ref="BB4:BH4"/>
    <mergeCell ref="BI4:BO4"/>
    <mergeCell ref="BP4:BV4"/>
    <mergeCell ref="BW4:CB4"/>
    <mergeCell ref="E5:F5"/>
    <mergeCell ref="H5:S5"/>
    <mergeCell ref="T5:X5"/>
    <mergeCell ref="CH5:CN5"/>
    <mergeCell ref="CR5:CY5"/>
    <mergeCell ref="DD5:DQ5"/>
    <mergeCell ref="DU5:DW5"/>
    <mergeCell ref="FG5:FT5"/>
    <mergeCell ref="FU5:GH5"/>
    <mergeCell ref="BB6:BC6"/>
    <mergeCell ref="CL6:CO6"/>
    <mergeCell ref="E7:F7"/>
    <mergeCell ref="H7:S7"/>
    <mergeCell ref="BD7:BQ7"/>
    <mergeCell ref="BR7:BY7"/>
    <mergeCell ref="CT7:CY7"/>
    <mergeCell ref="EK7:EX7"/>
    <mergeCell ref="FA7:FN7"/>
    <mergeCell ref="FO7:GB7"/>
    <mergeCell ref="BZ8:CA8"/>
    <mergeCell ref="CK8:CO8"/>
    <mergeCell ref="DA8:DD8"/>
    <mergeCell ref="EW8:EX8"/>
    <mergeCell ref="E9:F9"/>
    <mergeCell ref="H9:R9"/>
    <mergeCell ref="U9:X9"/>
    <mergeCell ref="BH9:BU9"/>
    <mergeCell ref="CD9:CJ9"/>
    <mergeCell ref="DU9:EH9"/>
    <mergeCell ref="EK9:EX9"/>
    <mergeCell ref="FQ9:GD9"/>
    <mergeCell ref="AC10:AE10"/>
    <mergeCell ref="AU10:AW10"/>
    <mergeCell ref="BZ10:CA10"/>
    <mergeCell ref="CK10:CO10"/>
    <mergeCell ref="DC10:DD10"/>
    <mergeCell ref="H11:S11"/>
    <mergeCell ref="AF11:AS11"/>
    <mergeCell ref="BK11:BY11"/>
    <mergeCell ref="CP11:DA11"/>
    <mergeCell ref="DE11:DR11"/>
    <mergeCell ref="FK11:FV11"/>
    <mergeCell ref="FY11:GL11"/>
    <mergeCell ref="BM12:BO12"/>
    <mergeCell ref="CM12:DA12"/>
    <mergeCell ref="EW12:EZ12"/>
    <mergeCell ref="BP13:CB13"/>
    <mergeCell ref="CF13:CL13"/>
    <mergeCell ref="DJ13:DW13"/>
    <mergeCell ref="EI13:EV13"/>
    <mergeCell ref="FA13:FN13"/>
    <mergeCell ref="FQ13:FX13"/>
    <mergeCell ref="BM14:BO14"/>
    <mergeCell ref="CC14:CE14"/>
    <mergeCell ref="EH14:EU14"/>
    <mergeCell ref="EV14:FB14"/>
    <mergeCell ref="FC14:FD14"/>
    <mergeCell ref="BP15:CB15"/>
    <mergeCell ref="CH15:CN15"/>
    <mergeCell ref="FE15:FR15"/>
    <mergeCell ref="BZ16:CJ16"/>
    <mergeCell ref="CO16:DA16"/>
    <mergeCell ref="DG16:DS16"/>
    <mergeCell ref="DT16:EG16"/>
    <mergeCell ref="EH16:EU16"/>
    <mergeCell ref="EV16:FB16"/>
    <mergeCell ref="FC16:FN16"/>
    <mergeCell ref="BP17:BY17"/>
    <mergeCell ref="CH17:CN17"/>
    <mergeCell ref="BM18:BO18"/>
    <mergeCell ref="BZ18:CJ18"/>
    <mergeCell ref="CO18:DA18"/>
    <mergeCell ref="DG18:DS18"/>
    <mergeCell ref="DT18:EG18"/>
    <mergeCell ref="EH18:EU18"/>
    <mergeCell ref="EW18:EX18"/>
    <mergeCell ref="FA18:FN18"/>
    <mergeCell ref="BP19:BY19"/>
    <mergeCell ref="CH19:CN19"/>
    <mergeCell ref="FK19:FX19"/>
    <mergeCell ref="CC20:CJ20"/>
    <mergeCell ref="CO20:DA20"/>
    <mergeCell ref="EK20:EU20"/>
    <mergeCell ref="EW20:EZ20"/>
    <mergeCell ref="BM21:CA21"/>
    <mergeCell ref="CH21:CN21"/>
    <mergeCell ref="DF21:DM21"/>
    <mergeCell ref="DW21:EI21"/>
    <mergeCell ref="FA21:FJ21"/>
    <mergeCell ref="FS21:FY21"/>
    <mergeCell ref="E22:G22"/>
    <mergeCell ref="H22:S22"/>
    <mergeCell ref="T22:AL22"/>
    <mergeCell ref="BR22:CB22"/>
    <mergeCell ref="T24:AL24"/>
    <mergeCell ref="BR24:CB24"/>
    <mergeCell ref="E25:G25"/>
    <mergeCell ref="H25:S25"/>
    <mergeCell ref="CD25:CQ25"/>
    <mergeCell ref="T26:AL26"/>
    <mergeCell ref="BR26:CB26"/>
    <mergeCell ref="E27:G27"/>
    <mergeCell ref="H27:S27"/>
    <mergeCell ref="CD27:CQ27"/>
    <mergeCell ref="T28:AL28"/>
    <mergeCell ref="BR28:CB28"/>
    <mergeCell ref="E29:G29"/>
    <mergeCell ref="H29:S29"/>
    <mergeCell ref="E31:G31"/>
    <mergeCell ref="T31:AA31"/>
    <mergeCell ref="BF32:CB32"/>
    <mergeCell ref="H33:S33"/>
    <mergeCell ref="AB34:AD34"/>
    <mergeCell ref="BF34:CB34"/>
    <mergeCell ref="J35:U35"/>
    <mergeCell ref="AE35:AW35"/>
    <mergeCell ref="AB36:AD36"/>
    <mergeCell ref="J37:U37"/>
    <mergeCell ref="AE37:AW37"/>
    <mergeCell ref="I40:T40"/>
    <mergeCell ref="AB40:AD40"/>
    <mergeCell ref="U41:Y41"/>
    <mergeCell ref="AE41:AR41"/>
    <mergeCell ref="E43:S43"/>
    <mergeCell ref="U43:Y43"/>
    <mergeCell ref="AE43:AR43"/>
    <mergeCell ref="AN44:AW44"/>
    <mergeCell ref="E45:S45"/>
    <mergeCell ref="U45:AF45"/>
    <mergeCell ref="T46:Y46"/>
    <mergeCell ref="AB46:AL46"/>
    <mergeCell ref="AN46:AW46"/>
    <mergeCell ref="E48:T48"/>
    <mergeCell ref="CA48:DD48"/>
    <mergeCell ref="U49:AH49"/>
    <mergeCell ref="AM49:AW49"/>
    <mergeCell ref="BI49:BV49"/>
    <mergeCell ref="W50:Y50"/>
    <mergeCell ref="CA50:DD50"/>
    <mergeCell ref="I51:V51"/>
    <mergeCell ref="AE51:AR51"/>
    <mergeCell ref="BD51:BQ51"/>
    <mergeCell ref="CA52:DD52"/>
    <mergeCell ref="I53:V53"/>
    <mergeCell ref="W53:AJ53"/>
    <mergeCell ref="AM53:AW53"/>
    <mergeCell ref="BA54:BH54"/>
    <mergeCell ref="CA54:DD54"/>
    <mergeCell ref="I55:V55"/>
    <mergeCell ref="Z55:AM55"/>
    <mergeCell ref="AN55:AW55"/>
    <mergeCell ref="BI55:BV55"/>
    <mergeCell ref="H57:S57"/>
    <mergeCell ref="E58:G58"/>
    <mergeCell ref="H59:S59"/>
    <mergeCell ref="U59:AH59"/>
    <mergeCell ref="T60:Y60"/>
    <mergeCell ref="AB60:AD60"/>
    <mergeCell ref="H61:S61"/>
    <mergeCell ref="AE61:AR61"/>
    <mergeCell ref="E63:G63"/>
    <mergeCell ref="H63:S63"/>
    <mergeCell ref="T63:V63"/>
    <mergeCell ref="AN64:AW64"/>
    <mergeCell ref="BB64:BH64"/>
    <mergeCell ref="CA64:DD64"/>
    <mergeCell ref="H65:S65"/>
    <mergeCell ref="Z65:AM65"/>
    <mergeCell ref="BI65:BV65"/>
    <mergeCell ref="A2:A11"/>
    <mergeCell ref="A12:A21"/>
    <mergeCell ref="A22:A29"/>
    <mergeCell ref="A30:A39"/>
    <mergeCell ref="A40:A47"/>
    <mergeCell ref="A48:A55"/>
    <mergeCell ref="A56:A65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</mergeCells>
  <pageMargins left="0.7" right="0.7" top="0.75" bottom="0.75" header="0.3" footer="0.3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7" defaultRowHeight="11.4"/>
  <cols>
    <col min="1" max="1" width="18.5104166666667" customWidth="1"/>
    <col min="2" max="2" width="32.125" customWidth="1"/>
    <col min="3" max="3" width="7.33333333333333" customWidth="1"/>
    <col min="4" max="4" width="16.59375" customWidth="1"/>
    <col min="5" max="5" width="12.9166666666667" customWidth="1"/>
    <col min="6" max="6" width="13.4375" customWidth="1"/>
    <col min="7" max="10" width="10.125" customWidth="1"/>
    <col min="11" max="16" width="16.59375" customWidth="1"/>
    <col min="17" max="17" width="20.25" customWidth="1"/>
    <col min="18" max="20" width="16.59375" customWidth="1"/>
  </cols>
  <sheetData>
    <row r="1" spans="1:20">
      <c r="A1" s="98" t="s">
        <v>904</v>
      </c>
      <c r="B1" s="98" t="s">
        <v>905</v>
      </c>
      <c r="C1" s="98" t="s">
        <v>484</v>
      </c>
      <c r="D1" s="98" t="s">
        <v>906</v>
      </c>
      <c r="E1" s="98" t="s">
        <v>907</v>
      </c>
      <c r="F1" s="98" t="s">
        <v>498</v>
      </c>
      <c r="G1" s="98" t="s">
        <v>908</v>
      </c>
      <c r="H1" s="99" t="s">
        <v>908</v>
      </c>
      <c r="I1" s="98" t="s">
        <v>909</v>
      </c>
      <c r="J1" s="99" t="s">
        <v>910</v>
      </c>
      <c r="K1" s="100" t="s">
        <v>911</v>
      </c>
      <c r="L1" s="99" t="s">
        <v>908</v>
      </c>
      <c r="M1" s="98" t="s">
        <v>912</v>
      </c>
      <c r="N1" s="98" t="s">
        <v>913</v>
      </c>
      <c r="O1" s="98" t="s">
        <v>914</v>
      </c>
      <c r="P1" s="98"/>
      <c r="Q1" s="98"/>
      <c r="R1" s="98"/>
      <c r="S1" s="98"/>
      <c r="T1" s="98"/>
    </row>
    <row r="2" spans="1:20">
      <c r="A2" s="14" t="s">
        <v>915</v>
      </c>
      <c r="B2" s="14" t="s">
        <v>25</v>
      </c>
      <c r="C2" s="20" t="s">
        <v>407</v>
      </c>
      <c r="D2" s="14" t="s">
        <v>916</v>
      </c>
      <c r="E2" s="20">
        <v>96</v>
      </c>
      <c r="F2" s="14">
        <v>408</v>
      </c>
      <c r="G2" s="14">
        <f>13.8+2.7+2.5</f>
        <v>19</v>
      </c>
      <c r="H2" s="14">
        <v>13.8</v>
      </c>
      <c r="I2" s="14">
        <v>100</v>
      </c>
      <c r="J2" s="101">
        <v>0</v>
      </c>
      <c r="K2" s="102">
        <f>G2*F2+I2</f>
        <v>7852</v>
      </c>
      <c r="L2" s="101">
        <f t="shared" ref="L2:L9" si="0">K2/E2</f>
        <v>81.7916666666667</v>
      </c>
      <c r="M2" s="102">
        <f>(K2+K3+K4)/400</f>
        <v>56.5185</v>
      </c>
      <c r="N2" s="14" t="s">
        <v>917</v>
      </c>
      <c r="O2" s="14" t="s">
        <v>918</v>
      </c>
      <c r="P2" s="20"/>
      <c r="Q2" s="14"/>
      <c r="R2" s="14"/>
    </row>
    <row r="3" spans="1:20">
      <c r="A3" s="20" t="s">
        <v>915</v>
      </c>
      <c r="B3" s="14" t="s">
        <v>25</v>
      </c>
      <c r="C3" s="20" t="s">
        <v>407</v>
      </c>
      <c r="D3" s="14" t="s">
        <v>919</v>
      </c>
      <c r="E3" s="20">
        <v>132</v>
      </c>
      <c r="F3" s="14">
        <v>561</v>
      </c>
      <c r="G3" s="14">
        <f>9.8+2.7+2.5</f>
        <v>15</v>
      </c>
      <c r="H3" s="14">
        <v>9.8</v>
      </c>
      <c r="I3" s="14">
        <v>100</v>
      </c>
      <c r="J3" s="101">
        <v>0</v>
      </c>
      <c r="K3" s="102">
        <f>G3*F3+I3</f>
        <v>8515</v>
      </c>
      <c r="L3" s="101">
        <f t="shared" si="0"/>
        <v>64.5075757575758</v>
      </c>
      <c r="M3" s="102"/>
      <c r="N3" s="20" t="s">
        <v>917</v>
      </c>
      <c r="O3" s="20" t="s">
        <v>918</v>
      </c>
      <c r="P3" s="15"/>
      <c r="Q3" s="21"/>
      <c r="R3" s="15"/>
    </row>
    <row r="4" spans="1:20">
      <c r="A4" s="20" t="s">
        <v>915</v>
      </c>
      <c r="B4" s="14" t="s">
        <v>25</v>
      </c>
      <c r="C4" s="20" t="s">
        <v>407</v>
      </c>
      <c r="D4" s="20" t="s">
        <v>919</v>
      </c>
      <c r="E4" s="20">
        <v>172</v>
      </c>
      <c r="F4" s="14">
        <v>731</v>
      </c>
      <c r="G4" s="14">
        <f>8.9+2.7+2.5-5.7</f>
        <v>8.4</v>
      </c>
      <c r="H4" s="14">
        <v>8.9</v>
      </c>
      <c r="I4" s="14">
        <v>100</v>
      </c>
      <c r="J4" s="101">
        <v>0</v>
      </c>
      <c r="K4" s="102">
        <f>G4*F4+I4</f>
        <v>6240.4</v>
      </c>
      <c r="L4" s="101">
        <f t="shared" si="0"/>
        <v>36.2813953488372</v>
      </c>
      <c r="M4" s="102" t="s">
        <v>920</v>
      </c>
      <c r="N4" s="20" t="s">
        <v>917</v>
      </c>
      <c r="O4" s="20" t="s">
        <v>918</v>
      </c>
      <c r="P4" s="21"/>
      <c r="Q4" s="21"/>
      <c r="R4" s="15"/>
    </row>
    <row r="5" spans="1:20">
      <c r="A5" s="20" t="s">
        <v>915</v>
      </c>
      <c r="B5" s="14" t="s">
        <v>25</v>
      </c>
      <c r="C5" s="20" t="s">
        <v>407</v>
      </c>
      <c r="D5" s="20" t="s">
        <v>919</v>
      </c>
      <c r="E5" s="20">
        <v>600</v>
      </c>
      <c r="F5" s="14">
        <v>2550</v>
      </c>
      <c r="G5" s="14">
        <f>7.5+2.7+2.5</f>
        <v>12.7</v>
      </c>
      <c r="H5" s="14">
        <v>7.5</v>
      </c>
      <c r="I5" s="14">
        <v>100</v>
      </c>
      <c r="J5" s="101">
        <v>0</v>
      </c>
      <c r="K5" s="102">
        <f>G5*F5+I5</f>
        <v>32485</v>
      </c>
      <c r="L5" s="101">
        <f t="shared" si="0"/>
        <v>54.1416666666667</v>
      </c>
      <c r="M5" s="102">
        <f>K5/E5</f>
        <v>54.1416666666667</v>
      </c>
      <c r="N5" s="20" t="s">
        <v>917</v>
      </c>
      <c r="O5" s="20" t="s">
        <v>918</v>
      </c>
      <c r="P5" s="21"/>
      <c r="Q5" s="21"/>
      <c r="R5" s="15"/>
    </row>
    <row r="6" spans="1:20">
      <c r="A6" s="20" t="s">
        <v>915</v>
      </c>
      <c r="B6" s="14" t="s">
        <v>25</v>
      </c>
      <c r="C6" s="20" t="s">
        <v>381</v>
      </c>
      <c r="D6" s="14" t="s">
        <v>20</v>
      </c>
      <c r="E6" s="20">
        <v>360</v>
      </c>
      <c r="F6" s="14">
        <v>1531</v>
      </c>
      <c r="G6" s="14">
        <v>8.5</v>
      </c>
      <c r="H6" s="14">
        <v>8.5</v>
      </c>
      <c r="I6" s="14">
        <f>350+400</f>
        <v>750</v>
      </c>
      <c r="J6" s="101">
        <f>79*0.3*0.027*7.8</f>
        <v>4.99122</v>
      </c>
      <c r="K6" s="102">
        <f>G6*F6+I6+J6*E6</f>
        <v>15560.3392</v>
      </c>
      <c r="L6" s="101">
        <f t="shared" si="0"/>
        <v>43.2231644444444</v>
      </c>
      <c r="M6" s="102">
        <f>(K6+K7)/1500</f>
        <v>25.9853628571429</v>
      </c>
      <c r="N6" s="14" t="s">
        <v>921</v>
      </c>
      <c r="O6" s="20" t="s">
        <v>918</v>
      </c>
    </row>
    <row r="7" spans="1:20">
      <c r="A7" s="20" t="s">
        <v>915</v>
      </c>
      <c r="B7" s="14" t="s">
        <v>25</v>
      </c>
      <c r="C7" s="20" t="s">
        <v>381</v>
      </c>
      <c r="D7" s="14" t="s">
        <v>922</v>
      </c>
      <c r="E7" s="20">
        <v>1140</v>
      </c>
      <c r="F7" s="14">
        <v>27.9</v>
      </c>
      <c r="G7" s="19">
        <f>43600/70</f>
        <v>622.857142857143</v>
      </c>
      <c r="H7" s="14">
        <v>70</v>
      </c>
      <c r="I7" s="14">
        <v>350</v>
      </c>
      <c r="J7" s="101">
        <f>79*0.3*0.027*7.8</f>
        <v>4.99122</v>
      </c>
      <c r="K7" s="102">
        <f>G7*F7+I7+J7*E7</f>
        <v>23417.7050857143</v>
      </c>
      <c r="L7" s="101">
        <f t="shared" si="0"/>
        <v>20.541846566416</v>
      </c>
      <c r="M7" s="102"/>
      <c r="N7" s="14" t="s">
        <v>923</v>
      </c>
      <c r="O7" s="14"/>
    </row>
    <row r="8" spans="1:20">
      <c r="A8" s="20" t="s">
        <v>915</v>
      </c>
      <c r="B8" s="14" t="s">
        <v>25</v>
      </c>
      <c r="C8" s="20" t="s">
        <v>300</v>
      </c>
      <c r="D8" s="20" t="s">
        <v>20</v>
      </c>
      <c r="E8" s="20">
        <v>160</v>
      </c>
      <c r="F8" s="14">
        <v>681</v>
      </c>
      <c r="G8" s="14">
        <v>10.5</v>
      </c>
      <c r="H8" s="14">
        <v>10.5</v>
      </c>
      <c r="I8" s="20">
        <f>350+400</f>
        <v>750</v>
      </c>
      <c r="J8" s="101">
        <f>79*0.3*0.027*9</f>
        <v>5.7591</v>
      </c>
      <c r="K8" s="102">
        <f>G8*F8+I8+J8*E8</f>
        <v>8821.956</v>
      </c>
      <c r="L8" s="101">
        <f t="shared" si="0"/>
        <v>55.137225</v>
      </c>
      <c r="M8" s="102">
        <f>(K8+K9)/500</f>
        <v>32.94618</v>
      </c>
      <c r="N8" s="20" t="s">
        <v>921</v>
      </c>
      <c r="O8" s="20" t="s">
        <v>918</v>
      </c>
    </row>
    <row r="9" spans="1:20">
      <c r="A9" s="20" t="s">
        <v>915</v>
      </c>
      <c r="B9" s="14" t="s">
        <v>25</v>
      </c>
      <c r="C9" s="20" t="s">
        <v>300</v>
      </c>
      <c r="D9" s="14" t="s">
        <v>21</v>
      </c>
      <c r="E9" s="20">
        <v>340</v>
      </c>
      <c r="F9" s="14">
        <v>8.672</v>
      </c>
      <c r="G9" s="14">
        <v>570</v>
      </c>
      <c r="H9" s="14">
        <v>570</v>
      </c>
      <c r="I9" s="20">
        <f>350+400</f>
        <v>750</v>
      </c>
      <c r="J9" s="101">
        <f>79*0.3*0.027*9</f>
        <v>5.7591</v>
      </c>
      <c r="K9" s="102">
        <f>G9*F9+I9+J9*E9</f>
        <v>7651.134</v>
      </c>
      <c r="L9" s="101">
        <f t="shared" si="0"/>
        <v>22.5033352941176</v>
      </c>
      <c r="M9" s="102"/>
      <c r="N9" s="14" t="s">
        <v>924</v>
      </c>
      <c r="O9" s="20" t="s">
        <v>918</v>
      </c>
    </row>
    <row r="10" spans="1:20">
      <c r="A10" s="20"/>
      <c r="C10" s="14"/>
      <c r="D10" s="14"/>
      <c r="E10" s="14"/>
      <c r="F10" s="14"/>
      <c r="G10" s="14"/>
      <c r="H10" s="15"/>
      <c r="I10" s="14"/>
      <c r="J10" s="101"/>
      <c r="K10" s="102"/>
      <c r="L10" s="101"/>
      <c r="M10" s="14"/>
      <c r="N10" s="14"/>
    </row>
    <row r="11" spans="1:20">
      <c r="A11" s="14"/>
      <c r="B11" s="14" t="s">
        <v>925</v>
      </c>
      <c r="C11" s="20" t="s">
        <v>381</v>
      </c>
      <c r="D11" s="14" t="s">
        <v>926</v>
      </c>
      <c r="E11" s="14">
        <v>100</v>
      </c>
      <c r="F11" s="14">
        <v>40</v>
      </c>
      <c r="G11" s="14">
        <v>30</v>
      </c>
      <c r="H11" s="15"/>
      <c r="I11" s="14">
        <v>350</v>
      </c>
      <c r="J11" s="101">
        <v>0</v>
      </c>
      <c r="K11" s="102">
        <f>F11*G11+I11</f>
        <v>1550</v>
      </c>
      <c r="L11" s="101">
        <f>K11/E11</f>
        <v>15.5</v>
      </c>
      <c r="M11" s="19">
        <f>(K11+K12)/600</f>
        <v>6.64916666666667</v>
      </c>
      <c r="N11" s="14" t="s">
        <v>927</v>
      </c>
      <c r="O11" s="20" t="s">
        <v>918</v>
      </c>
    </row>
    <row r="12" spans="1:20">
      <c r="A12" s="20"/>
      <c r="B12" s="14" t="s">
        <v>925</v>
      </c>
      <c r="C12" s="20" t="s">
        <v>381</v>
      </c>
      <c r="D12" s="14" t="s">
        <v>928</v>
      </c>
      <c r="E12" s="14">
        <v>500</v>
      </c>
      <c r="F12" s="14">
        <v>199</v>
      </c>
      <c r="G12" s="14">
        <v>10.5</v>
      </c>
      <c r="H12" s="15"/>
      <c r="I12" s="20">
        <v>350</v>
      </c>
      <c r="J12" s="101">
        <v>0</v>
      </c>
      <c r="K12" s="102">
        <f>F12*G12+I12</f>
        <v>2439.5</v>
      </c>
      <c r="L12" s="101">
        <f>K12/E12</f>
        <v>4.879</v>
      </c>
      <c r="M12" s="19"/>
      <c r="N12" s="20" t="s">
        <v>927</v>
      </c>
      <c r="O12" s="20" t="s">
        <v>918</v>
      </c>
    </row>
    <row r="13" spans="1:20">
      <c r="A13" s="20"/>
      <c r="B13" s="14" t="s">
        <v>925</v>
      </c>
      <c r="C13" s="20" t="s">
        <v>300</v>
      </c>
      <c r="D13" s="14" t="s">
        <v>929</v>
      </c>
      <c r="E13" s="14">
        <v>100</v>
      </c>
      <c r="F13" s="14">
        <v>40</v>
      </c>
      <c r="G13" s="14">
        <v>37</v>
      </c>
      <c r="H13" s="15"/>
      <c r="I13" s="20">
        <v>350</v>
      </c>
      <c r="J13" s="101">
        <v>0</v>
      </c>
      <c r="K13" s="102">
        <f>F13*G13+I13</f>
        <v>1830</v>
      </c>
      <c r="L13" s="101">
        <f>K13/E13</f>
        <v>18.3</v>
      </c>
      <c r="M13" s="19">
        <f>(K13+K14)/400</f>
        <v>9.35</v>
      </c>
      <c r="N13" s="20" t="s">
        <v>927</v>
      </c>
      <c r="O13" s="20" t="s">
        <v>918</v>
      </c>
    </row>
    <row r="14" spans="1:20">
      <c r="A14" s="20"/>
      <c r="B14" s="14" t="s">
        <v>925</v>
      </c>
      <c r="C14" s="20" t="s">
        <v>300</v>
      </c>
      <c r="D14" s="14" t="s">
        <v>930</v>
      </c>
      <c r="E14" s="14">
        <v>300</v>
      </c>
      <c r="F14" s="14">
        <v>120</v>
      </c>
      <c r="G14" s="14">
        <v>13</v>
      </c>
      <c r="H14" s="15"/>
      <c r="I14" s="20">
        <v>350</v>
      </c>
      <c r="J14" s="101">
        <v>0</v>
      </c>
      <c r="K14" s="102">
        <f>F14*G14+I14</f>
        <v>1910</v>
      </c>
      <c r="L14" s="101">
        <f>K14/E14</f>
        <v>6.36666666666667</v>
      </c>
      <c r="M14" s="14"/>
      <c r="N14" s="20" t="s">
        <v>927</v>
      </c>
      <c r="O14" s="20" t="s">
        <v>918</v>
      </c>
    </row>
    <row r="15" spans="1:20">
      <c r="A15" s="14"/>
      <c r="C15" s="14"/>
      <c r="D15" s="14"/>
      <c r="E15" s="14"/>
      <c r="F15" s="14"/>
      <c r="G15" s="14"/>
      <c r="H15" s="15"/>
      <c r="I15" s="14"/>
      <c r="J15" s="101"/>
      <c r="K15" s="102"/>
      <c r="L15" s="101"/>
      <c r="M15" s="14"/>
      <c r="N15" s="14"/>
    </row>
    <row r="16" spans="1:20">
      <c r="A16" s="14" t="s">
        <v>931</v>
      </c>
      <c r="B16" s="14" t="s">
        <v>25</v>
      </c>
      <c r="C16" s="20" t="s">
        <v>381</v>
      </c>
      <c r="D16" s="14" t="s">
        <v>20</v>
      </c>
      <c r="E16" s="14">
        <v>500</v>
      </c>
      <c r="F16" s="14">
        <v>2123</v>
      </c>
      <c r="G16" s="19">
        <v>10.8</v>
      </c>
      <c r="H16" s="14"/>
      <c r="I16" s="14">
        <v>350</v>
      </c>
      <c r="J16" s="101">
        <v>0</v>
      </c>
      <c r="K16" s="102">
        <f>G16*F16+I16+J16*E16</f>
        <v>23278.4</v>
      </c>
      <c r="L16" s="101">
        <f>K16/E16</f>
        <v>46.5568</v>
      </c>
      <c r="M16" s="102">
        <f>(K16+K17)/2000</f>
        <v>29.520115</v>
      </c>
      <c r="N16" s="14" t="s">
        <v>932</v>
      </c>
      <c r="O16" s="20" t="s">
        <v>918</v>
      </c>
      <c r="P16" s="15"/>
      <c r="Q16" s="15"/>
      <c r="R16" s="15"/>
      <c r="S16" s="15"/>
      <c r="T16" s="15"/>
    </row>
    <row r="17" spans="1:20">
      <c r="A17" s="14" t="s">
        <v>933</v>
      </c>
      <c r="B17" s="14" t="s">
        <v>25</v>
      </c>
      <c r="C17" s="20" t="s">
        <v>381</v>
      </c>
      <c r="D17" s="14" t="s">
        <v>922</v>
      </c>
      <c r="E17" s="14">
        <v>1500</v>
      </c>
      <c r="F17" s="20">
        <v>36.7</v>
      </c>
      <c r="G17" s="19">
        <v>750</v>
      </c>
      <c r="H17" s="14"/>
      <c r="I17" s="14">
        <v>750</v>
      </c>
      <c r="J17" s="101">
        <f>79*0.3*0.027*7.8</f>
        <v>4.99122</v>
      </c>
      <c r="K17" s="102">
        <f>G17*F17+I17+J17*E17</f>
        <v>35761.83</v>
      </c>
      <c r="L17" s="101">
        <f>K17/E17</f>
        <v>23.84122</v>
      </c>
      <c r="M17" s="102"/>
      <c r="N17" s="14" t="s">
        <v>934</v>
      </c>
      <c r="O17" s="20" t="s">
        <v>918</v>
      </c>
      <c r="P17" s="15"/>
      <c r="Q17" s="15"/>
      <c r="R17" s="15"/>
      <c r="S17" s="15"/>
      <c r="T17" s="15"/>
    </row>
    <row r="18" spans="1:20">
      <c r="A18" s="14" t="s">
        <v>935</v>
      </c>
      <c r="B18" s="14" t="s">
        <v>25</v>
      </c>
      <c r="C18" s="20" t="s">
        <v>300</v>
      </c>
      <c r="D18" s="14" t="s">
        <v>936</v>
      </c>
      <c r="E18" s="14">
        <v>500</v>
      </c>
      <c r="F18" s="14">
        <v>12.8</v>
      </c>
      <c r="G18" s="14">
        <v>590</v>
      </c>
      <c r="H18" s="14"/>
      <c r="I18" s="20">
        <v>650</v>
      </c>
      <c r="J18" s="101">
        <f>79*0.3*0.02*9</f>
        <v>4.266</v>
      </c>
      <c r="K18" s="102">
        <f>G18*F18+I18+J18*E18</f>
        <v>10335</v>
      </c>
      <c r="L18" s="101">
        <f>K18/E18</f>
        <v>20.67</v>
      </c>
      <c r="M18" s="102"/>
      <c r="N18" s="14" t="s">
        <v>937</v>
      </c>
      <c r="O18" s="20" t="s">
        <v>918</v>
      </c>
      <c r="P18" s="15"/>
      <c r="Q18" s="15"/>
      <c r="R18" s="15"/>
      <c r="S18" s="15"/>
      <c r="T18" s="15"/>
    </row>
    <row r="19" spans="1:20">
      <c r="A19" s="14" t="s">
        <v>931</v>
      </c>
      <c r="B19" s="14" t="s">
        <v>25</v>
      </c>
      <c r="C19" s="20" t="s">
        <v>381</v>
      </c>
      <c r="D19" s="14" t="s">
        <v>922</v>
      </c>
      <c r="E19" s="14">
        <v>1000</v>
      </c>
      <c r="F19" s="14">
        <v>25</v>
      </c>
      <c r="G19" s="19">
        <v>650</v>
      </c>
      <c r="H19" s="14"/>
      <c r="I19" s="14">
        <v>750</v>
      </c>
      <c r="J19" s="101">
        <f>79*0.3*0.027*7.8</f>
        <v>4.99122</v>
      </c>
      <c r="K19" s="102">
        <f>G19*F19+I19+J19*E19</f>
        <v>21991.22</v>
      </c>
      <c r="L19" s="101">
        <f>K19/E19</f>
        <v>21.99122</v>
      </c>
      <c r="M19" s="102"/>
      <c r="N19" s="14" t="s">
        <v>923</v>
      </c>
      <c r="O19" s="20" t="s">
        <v>918</v>
      </c>
      <c r="P19" s="15"/>
    </row>
    <row r="20" spans="1:20">
      <c r="A20" s="14"/>
      <c r="C20" s="14"/>
      <c r="D20" s="14"/>
      <c r="E20" s="14"/>
      <c r="F20" s="14"/>
      <c r="G20" s="14"/>
      <c r="H20" s="15"/>
      <c r="I20" s="14"/>
      <c r="J20" s="101"/>
      <c r="K20" s="102"/>
      <c r="L20" s="101"/>
      <c r="M20" s="14"/>
      <c r="N20" s="14"/>
    </row>
    <row r="21" spans="1:20">
      <c r="A21" s="14" t="s">
        <v>938</v>
      </c>
      <c r="B21" s="14" t="s">
        <v>25</v>
      </c>
      <c r="C21" s="20" t="s">
        <v>300</v>
      </c>
      <c r="D21" s="14" t="s">
        <v>936</v>
      </c>
      <c r="E21" s="14">
        <v>500</v>
      </c>
      <c r="F21" s="14">
        <v>12.7</v>
      </c>
      <c r="G21" s="19">
        <v>540</v>
      </c>
      <c r="H21" s="14"/>
      <c r="I21" s="14">
        <v>650</v>
      </c>
      <c r="J21" s="101">
        <f>79*0.3*0.02*9</f>
        <v>4.266</v>
      </c>
      <c r="K21" s="102">
        <f>G21*F21+I21+J21*E21</f>
        <v>9641</v>
      </c>
      <c r="L21" s="101">
        <f>K21/E21</f>
        <v>19.282</v>
      </c>
      <c r="M21" s="102"/>
      <c r="N21" s="20" t="s">
        <v>937</v>
      </c>
      <c r="O21" s="20" t="s">
        <v>918</v>
      </c>
      <c r="P21" s="15"/>
      <c r="Q21" s="15"/>
      <c r="R21" s="15"/>
      <c r="S21" s="15"/>
      <c r="T21" s="15"/>
    </row>
    <row r="22" spans="1:20">
      <c r="A22" s="14" t="s">
        <v>938</v>
      </c>
      <c r="B22" s="14" t="s">
        <v>25</v>
      </c>
      <c r="C22" s="14" t="s">
        <v>381</v>
      </c>
      <c r="D22" s="14" t="s">
        <v>922</v>
      </c>
      <c r="E22" s="14">
        <v>2000</v>
      </c>
      <c r="F22" s="14">
        <v>50</v>
      </c>
      <c r="G22" s="19">
        <f>34500/68</f>
        <v>507.352941176471</v>
      </c>
      <c r="H22" s="14"/>
      <c r="I22" s="14">
        <v>650</v>
      </c>
      <c r="J22" s="101">
        <f>79*0.3*0.022*7.8</f>
        <v>4.06692</v>
      </c>
      <c r="K22" s="102">
        <f>G22*F22+I22+J22*E22+2000</f>
        <v>36151.4870588235</v>
      </c>
      <c r="L22" s="101">
        <f>K22/E22</f>
        <v>18.0757435294118</v>
      </c>
      <c r="M22" s="102"/>
      <c r="N22" s="14" t="s">
        <v>924</v>
      </c>
      <c r="O22" s="20" t="s">
        <v>918</v>
      </c>
      <c r="P22" s="15"/>
    </row>
    <row r="23" spans="1:20">
      <c r="A23" s="20"/>
      <c r="B23" s="14"/>
      <c r="C23" s="14"/>
      <c r="D23" s="14"/>
      <c r="E23" s="14"/>
      <c r="F23" s="14"/>
      <c r="G23" s="19"/>
      <c r="H23" s="14"/>
      <c r="I23" s="14"/>
      <c r="J23" s="101"/>
      <c r="K23" s="102"/>
      <c r="L23" s="101"/>
      <c r="M23" s="102"/>
      <c r="N23" s="14"/>
      <c r="O23" s="15"/>
      <c r="Q23" s="15"/>
      <c r="R23" s="15"/>
      <c r="S23" s="15"/>
      <c r="T23" s="15"/>
    </row>
    <row r="24" spans="1:20">
      <c r="A24" s="20" t="s">
        <v>938</v>
      </c>
      <c r="B24" s="14" t="s">
        <v>25</v>
      </c>
      <c r="C24" s="14" t="s">
        <v>381</v>
      </c>
      <c r="D24" s="14" t="s">
        <v>922</v>
      </c>
      <c r="E24" s="14">
        <v>500</v>
      </c>
      <c r="F24" s="14">
        <v>12.5</v>
      </c>
      <c r="G24" s="19">
        <f>45000/80</f>
        <v>562.5</v>
      </c>
      <c r="H24" s="14"/>
      <c r="I24" s="14">
        <v>650</v>
      </c>
      <c r="J24" s="101">
        <f>79*0.3*0.02*8.3</f>
        <v>3.9342</v>
      </c>
      <c r="K24" s="102">
        <f t="shared" ref="K24:K33" si="1">G24*F24+I24+J24*E24</f>
        <v>9648.35</v>
      </c>
      <c r="L24" s="101">
        <f t="shared" ref="L24:L33" si="2">K24/E24</f>
        <v>19.2967</v>
      </c>
      <c r="M24" s="102"/>
      <c r="N24" s="14" t="s">
        <v>924</v>
      </c>
    </row>
    <row r="25" spans="1:20">
      <c r="A25" s="14" t="s">
        <v>939</v>
      </c>
      <c r="B25" s="14" t="s">
        <v>61</v>
      </c>
      <c r="C25" s="14" t="s">
        <v>381</v>
      </c>
      <c r="D25" s="14" t="s">
        <v>20</v>
      </c>
      <c r="E25" s="14">
        <v>225</v>
      </c>
      <c r="F25" s="103">
        <v>470</v>
      </c>
      <c r="G25" s="14">
        <v>8.5</v>
      </c>
      <c r="H25" s="104"/>
      <c r="I25" s="20">
        <v>700</v>
      </c>
      <c r="J25" s="101">
        <f>50*0.3*0.017*7.8</f>
        <v>1.989</v>
      </c>
      <c r="K25" s="102">
        <f t="shared" si="1"/>
        <v>5142.525</v>
      </c>
      <c r="L25" s="101">
        <f t="shared" si="2"/>
        <v>22.8556666666667</v>
      </c>
      <c r="M25" s="19">
        <f>(K25+K26)/(E25+E26)</f>
        <v>16.1657676767677</v>
      </c>
      <c r="N25" s="14" t="s">
        <v>924</v>
      </c>
    </row>
    <row r="26" spans="1:20">
      <c r="A26" s="20" t="s">
        <v>939</v>
      </c>
      <c r="B26" s="14" t="s">
        <v>61</v>
      </c>
      <c r="C26" s="14" t="s">
        <v>381</v>
      </c>
      <c r="D26" s="14" t="s">
        <v>936</v>
      </c>
      <c r="E26" s="14">
        <v>765</v>
      </c>
      <c r="F26" s="103">
        <v>1600</v>
      </c>
      <c r="G26" s="14">
        <v>5.4</v>
      </c>
      <c r="H26" s="104"/>
      <c r="I26" s="14">
        <v>700</v>
      </c>
      <c r="J26" s="101">
        <f>50*0.3*0.017*7.8</f>
        <v>1.989</v>
      </c>
      <c r="K26" s="102">
        <f t="shared" si="1"/>
        <v>10861.585</v>
      </c>
      <c r="L26" s="101">
        <f t="shared" si="2"/>
        <v>14.1981503267974</v>
      </c>
      <c r="M26" s="19"/>
      <c r="N26" s="14" t="s">
        <v>924</v>
      </c>
    </row>
    <row r="27" spans="1:20">
      <c r="A27" s="20" t="s">
        <v>939</v>
      </c>
      <c r="B27" s="14" t="s">
        <v>61</v>
      </c>
      <c r="C27" s="14" t="s">
        <v>300</v>
      </c>
      <c r="D27" s="14" t="s">
        <v>20</v>
      </c>
      <c r="E27" s="14">
        <v>135</v>
      </c>
      <c r="F27" s="103">
        <v>282</v>
      </c>
      <c r="G27" s="14">
        <v>9</v>
      </c>
      <c r="H27" s="104"/>
      <c r="I27" s="20">
        <v>700</v>
      </c>
      <c r="J27" s="101">
        <f>50*0.3*0*7.8</f>
        <v>0</v>
      </c>
      <c r="K27" s="102">
        <f t="shared" si="1"/>
        <v>3238</v>
      </c>
      <c r="L27" s="101">
        <f t="shared" si="2"/>
        <v>23.9851851851852</v>
      </c>
      <c r="M27" s="19">
        <f>(K27+K28)/(E27+E28)</f>
        <v>13.0961111111111</v>
      </c>
      <c r="N27" s="14" t="s">
        <v>924</v>
      </c>
    </row>
    <row r="28" spans="1:20">
      <c r="A28" s="20" t="s">
        <v>939</v>
      </c>
      <c r="B28" s="14" t="s">
        <v>61</v>
      </c>
      <c r="C28" s="14" t="s">
        <v>300</v>
      </c>
      <c r="D28" s="14" t="s">
        <v>936</v>
      </c>
      <c r="E28" s="14">
        <v>405</v>
      </c>
      <c r="F28" s="103">
        <v>847</v>
      </c>
      <c r="G28" s="14">
        <v>3.7</v>
      </c>
      <c r="H28" s="104"/>
      <c r="I28" s="20">
        <v>700</v>
      </c>
      <c r="J28" s="101">
        <f>50*0.3*0*7.8</f>
        <v>0</v>
      </c>
      <c r="K28" s="102">
        <f t="shared" si="1"/>
        <v>3833.9</v>
      </c>
      <c r="L28" s="101">
        <f t="shared" si="2"/>
        <v>9.46641975308642</v>
      </c>
      <c r="M28" s="19"/>
      <c r="N28" s="14" t="s">
        <v>924</v>
      </c>
      <c r="P28" s="15"/>
    </row>
    <row r="29" spans="1:20">
      <c r="A29" s="20" t="s">
        <v>939</v>
      </c>
      <c r="B29" s="14" t="s">
        <v>72</v>
      </c>
      <c r="C29" s="14" t="s">
        <v>381</v>
      </c>
      <c r="D29" s="14" t="s">
        <v>20</v>
      </c>
      <c r="E29" s="14">
        <v>108</v>
      </c>
      <c r="F29" s="103">
        <v>89</v>
      </c>
      <c r="G29" s="20">
        <v>8.5</v>
      </c>
      <c r="H29" s="15"/>
      <c r="I29" s="14">
        <v>0</v>
      </c>
      <c r="J29" s="101">
        <f>20*0.3*0.017*7.8</f>
        <v>0.7956</v>
      </c>
      <c r="K29" s="102">
        <f t="shared" si="1"/>
        <v>842.4248</v>
      </c>
      <c r="L29" s="101">
        <f t="shared" si="2"/>
        <v>7.80022962962963</v>
      </c>
      <c r="M29" s="19"/>
      <c r="N29" s="14" t="s">
        <v>924</v>
      </c>
      <c r="P29" s="15"/>
    </row>
    <row r="30" spans="1:20">
      <c r="A30" s="20" t="s">
        <v>939</v>
      </c>
      <c r="B30" s="14" t="s">
        <v>72</v>
      </c>
      <c r="C30" s="14" t="s">
        <v>300</v>
      </c>
      <c r="D30" s="14" t="s">
        <v>20</v>
      </c>
      <c r="E30" s="14">
        <v>54</v>
      </c>
      <c r="F30" s="103">
        <v>45</v>
      </c>
      <c r="G30" s="20">
        <v>9</v>
      </c>
      <c r="H30" s="15"/>
      <c r="I30" s="14">
        <v>0</v>
      </c>
      <c r="J30" s="101">
        <f>50*0.3*0*7.8</f>
        <v>0</v>
      </c>
      <c r="K30" s="102">
        <f t="shared" si="1"/>
        <v>405</v>
      </c>
      <c r="L30" s="101">
        <f t="shared" si="2"/>
        <v>7.5</v>
      </c>
      <c r="M30" s="19"/>
      <c r="N30" s="14" t="s">
        <v>924</v>
      </c>
    </row>
    <row r="31" spans="1:20">
      <c r="A31" s="20" t="s">
        <v>939</v>
      </c>
      <c r="B31" s="14" t="s">
        <v>61</v>
      </c>
      <c r="C31" s="14" t="s">
        <v>407</v>
      </c>
      <c r="D31" s="14" t="s">
        <v>21</v>
      </c>
      <c r="E31" s="14">
        <v>180</v>
      </c>
      <c r="F31" s="103">
        <v>377</v>
      </c>
      <c r="G31" s="14">
        <v>5.7</v>
      </c>
      <c r="H31" s="104"/>
      <c r="I31" s="14">
        <v>350</v>
      </c>
      <c r="J31" s="101"/>
      <c r="K31" s="102">
        <f t="shared" si="1"/>
        <v>2498.9</v>
      </c>
      <c r="L31" s="101">
        <f t="shared" si="2"/>
        <v>13.8827777777778</v>
      </c>
      <c r="M31" s="19">
        <f>(K31+K32)/(E31+E32)</f>
        <v>15.4551851851852</v>
      </c>
      <c r="N31" s="14" t="s">
        <v>924</v>
      </c>
    </row>
    <row r="32" spans="1:20">
      <c r="A32" s="20" t="s">
        <v>939</v>
      </c>
      <c r="B32" s="14" t="s">
        <v>61</v>
      </c>
      <c r="C32" s="14" t="s">
        <v>407</v>
      </c>
      <c r="D32" s="14" t="s">
        <v>21</v>
      </c>
      <c r="E32" s="14">
        <v>360</v>
      </c>
      <c r="F32" s="103">
        <v>753</v>
      </c>
      <c r="G32" s="20">
        <v>7.3</v>
      </c>
      <c r="H32" s="104"/>
      <c r="I32" s="14">
        <v>350</v>
      </c>
      <c r="J32" s="101"/>
      <c r="K32" s="102">
        <f t="shared" si="1"/>
        <v>5846.9</v>
      </c>
      <c r="L32" s="101">
        <f t="shared" si="2"/>
        <v>16.2413888888889</v>
      </c>
      <c r="M32" s="14"/>
      <c r="N32" s="14" t="s">
        <v>924</v>
      </c>
    </row>
    <row r="33" spans="1:20">
      <c r="A33" s="20" t="s">
        <v>939</v>
      </c>
      <c r="B33" s="14" t="s">
        <v>72</v>
      </c>
      <c r="C33" s="14" t="s">
        <v>407</v>
      </c>
      <c r="D33" s="14" t="s">
        <v>21</v>
      </c>
      <c r="E33" s="14">
        <v>54</v>
      </c>
      <c r="F33" s="103">
        <v>45</v>
      </c>
      <c r="G33" s="14">
        <v>10.5</v>
      </c>
      <c r="H33" s="15"/>
      <c r="I33" s="14"/>
      <c r="J33" s="101"/>
      <c r="K33" s="102">
        <f t="shared" si="1"/>
        <v>472.5</v>
      </c>
      <c r="L33" s="101">
        <f t="shared" si="2"/>
        <v>8.75</v>
      </c>
      <c r="M33" s="14"/>
      <c r="N33" s="14" t="s">
        <v>924</v>
      </c>
    </row>
    <row r="34" spans="1:20">
      <c r="A34" s="14"/>
      <c r="C34" s="14"/>
      <c r="D34" s="14"/>
      <c r="E34" s="14"/>
      <c r="F34" s="14"/>
      <c r="G34" s="14"/>
      <c r="H34" s="15"/>
      <c r="I34" s="14"/>
      <c r="J34" s="101"/>
      <c r="K34" s="102"/>
      <c r="L34" s="101"/>
      <c r="M34" s="14"/>
      <c r="N34" s="14"/>
    </row>
    <row r="35" spans="1:20">
      <c r="A35" s="14" t="s">
        <v>940</v>
      </c>
      <c r="B35" s="14" t="s">
        <v>25</v>
      </c>
      <c r="C35" s="20" t="s">
        <v>300</v>
      </c>
      <c r="D35" s="14" t="s">
        <v>21</v>
      </c>
      <c r="E35" s="14">
        <v>700</v>
      </c>
      <c r="F35" s="14">
        <v>17.1</v>
      </c>
      <c r="G35" s="19">
        <v>550</v>
      </c>
      <c r="H35" s="15"/>
      <c r="I35" s="14">
        <v>650</v>
      </c>
      <c r="J35" s="101">
        <f>79*0.3*0.02*9</f>
        <v>4.266</v>
      </c>
      <c r="K35" s="102">
        <f>G35*F35+I35+J35*E35</f>
        <v>13041.2</v>
      </c>
      <c r="L35" s="101">
        <f>K35/E35</f>
        <v>18.6302857142857</v>
      </c>
      <c r="M35" s="102"/>
      <c r="N35" s="20" t="s">
        <v>937</v>
      </c>
      <c r="O35" s="20" t="s">
        <v>918</v>
      </c>
    </row>
    <row r="36" spans="1:20">
      <c r="A36" s="20" t="s">
        <v>940</v>
      </c>
      <c r="B36" s="14" t="s">
        <v>25</v>
      </c>
      <c r="C36" s="14" t="s">
        <v>381</v>
      </c>
      <c r="D36" s="14" t="s">
        <v>922</v>
      </c>
      <c r="E36" s="14">
        <v>1800</v>
      </c>
      <c r="F36" s="20">
        <v>44</v>
      </c>
      <c r="G36" s="19">
        <f>43000/74</f>
        <v>581.081081081081</v>
      </c>
      <c r="H36" s="15"/>
      <c r="I36" s="14">
        <v>650</v>
      </c>
      <c r="J36" s="101">
        <f>79*0.3*0.02*8.3</f>
        <v>3.9342</v>
      </c>
      <c r="K36" s="102">
        <f>G36*F36+I36+J36*E36+2000</f>
        <v>35299.1275675676</v>
      </c>
      <c r="L36" s="101">
        <f>K36/E36</f>
        <v>19.6106264264264</v>
      </c>
      <c r="M36" s="14"/>
      <c r="N36" s="14" t="s">
        <v>924</v>
      </c>
      <c r="O36" s="20" t="s">
        <v>918</v>
      </c>
    </row>
    <row r="37" spans="1:20">
      <c r="A37" s="14"/>
      <c r="C37" s="14"/>
      <c r="D37" s="14"/>
      <c r="E37" s="14"/>
      <c r="F37" s="14"/>
      <c r="G37" s="14"/>
      <c r="H37" s="15"/>
      <c r="I37" s="14"/>
      <c r="J37" s="101"/>
      <c r="K37" s="102"/>
      <c r="L37" s="101"/>
      <c r="M37" s="14"/>
      <c r="N37" s="14"/>
    </row>
    <row r="38" spans="1:20">
      <c r="A38" s="20" t="s">
        <v>941</v>
      </c>
      <c r="B38" s="14" t="s">
        <v>61</v>
      </c>
      <c r="C38" s="14" t="s">
        <v>381</v>
      </c>
      <c r="D38" s="20" t="s">
        <v>21</v>
      </c>
      <c r="E38" s="14">
        <v>1440</v>
      </c>
      <c r="F38" s="105">
        <v>3012</v>
      </c>
      <c r="G38" s="14">
        <v>3.8</v>
      </c>
      <c r="H38" s="104"/>
      <c r="I38" s="14">
        <v>700</v>
      </c>
      <c r="J38" s="101">
        <f>50*0.3*0.017*7.8</f>
        <v>1.989</v>
      </c>
      <c r="K38" s="102">
        <f>G38*F38+I38+J38*E38</f>
        <v>15009.76</v>
      </c>
      <c r="L38" s="101">
        <f>K38/E38</f>
        <v>10.4234444444444</v>
      </c>
      <c r="M38" s="14"/>
      <c r="N38" s="14" t="s">
        <v>924</v>
      </c>
      <c r="O38" s="20" t="s">
        <v>918</v>
      </c>
      <c r="P38" s="106">
        <v>46023</v>
      </c>
    </row>
    <row r="39" spans="1:20">
      <c r="A39" s="20" t="s">
        <v>941</v>
      </c>
      <c r="B39" s="14" t="s">
        <v>61</v>
      </c>
      <c r="C39" s="14" t="s">
        <v>300</v>
      </c>
      <c r="D39" s="14" t="s">
        <v>21</v>
      </c>
      <c r="E39" s="14">
        <v>630</v>
      </c>
      <c r="F39" s="105">
        <v>1318</v>
      </c>
      <c r="G39" s="14">
        <v>3.5</v>
      </c>
      <c r="H39" s="104"/>
      <c r="I39" s="14">
        <v>700</v>
      </c>
      <c r="J39" s="101">
        <f>50*0.3*0*7.8</f>
        <v>0</v>
      </c>
      <c r="K39" s="102">
        <f>G39*F39+I39+J39*E39</f>
        <v>5313</v>
      </c>
      <c r="L39" s="101">
        <f>K39/E39</f>
        <v>8.43333333333333</v>
      </c>
      <c r="M39" s="14"/>
      <c r="N39" s="14" t="s">
        <v>924</v>
      </c>
      <c r="O39" s="20" t="s">
        <v>918</v>
      </c>
      <c r="P39" s="106">
        <v>46023</v>
      </c>
    </row>
    <row r="40" spans="1:20">
      <c r="A40" s="14"/>
      <c r="C40" s="14"/>
      <c r="D40" s="14"/>
      <c r="E40" s="14"/>
      <c r="F40" s="14"/>
      <c r="G40" s="14"/>
      <c r="H40" s="15"/>
      <c r="I40" s="14"/>
      <c r="J40" s="101"/>
      <c r="K40" s="102"/>
      <c r="L40" s="101"/>
      <c r="M40" s="14"/>
      <c r="N40" s="14"/>
    </row>
    <row r="41" spans="1:20">
      <c r="A41" s="14" t="s">
        <v>942</v>
      </c>
      <c r="B41" s="14" t="s">
        <v>25</v>
      </c>
      <c r="C41" s="14" t="s">
        <v>381</v>
      </c>
      <c r="D41" s="14" t="s">
        <v>922</v>
      </c>
      <c r="E41" s="14">
        <v>1000</v>
      </c>
      <c r="F41" s="14">
        <v>24.5</v>
      </c>
      <c r="G41" s="19">
        <f>43000/74</f>
        <v>581.081081081081</v>
      </c>
      <c r="H41" s="15"/>
      <c r="I41" s="14">
        <v>650</v>
      </c>
      <c r="J41" s="101">
        <f>79*0.3*0.02*8.3</f>
        <v>3.9342</v>
      </c>
      <c r="K41" s="102">
        <f>G41*F41+I41+J41*E41+2000</f>
        <v>20820.6864864865</v>
      </c>
      <c r="L41" s="101">
        <f>K41/E41</f>
        <v>20.8206864864865</v>
      </c>
      <c r="M41" s="14"/>
      <c r="N41" s="14" t="s">
        <v>924</v>
      </c>
      <c r="O41" s="15"/>
      <c r="P41" s="106">
        <v>46023</v>
      </c>
      <c r="Q41" s="15"/>
      <c r="R41" s="15"/>
      <c r="S41" s="15"/>
      <c r="T41" s="15"/>
    </row>
    <row r="42" spans="1:20">
      <c r="A42" s="14"/>
      <c r="C42" s="14"/>
      <c r="D42" s="14"/>
      <c r="E42" s="14"/>
      <c r="F42" s="14"/>
      <c r="G42" s="14"/>
      <c r="H42" s="15"/>
      <c r="I42" s="14"/>
      <c r="J42" s="101"/>
      <c r="K42" s="102"/>
      <c r="L42" s="101"/>
      <c r="M42" s="14"/>
      <c r="N42" s="14"/>
    </row>
    <row r="43" ht="40.5" customHeight="1" spans="1:20">
      <c r="A43" s="14" t="s">
        <v>943</v>
      </c>
      <c r="B43" s="14" t="s">
        <v>61</v>
      </c>
      <c r="C43" s="14" t="s">
        <v>381</v>
      </c>
      <c r="D43" s="20" t="s">
        <v>21</v>
      </c>
      <c r="E43" s="14">
        <v>1800</v>
      </c>
      <c r="F43" s="103">
        <v>3868</v>
      </c>
      <c r="G43" s="14">
        <v>3.8</v>
      </c>
      <c r="H43" s="104"/>
      <c r="I43" s="14">
        <v>700</v>
      </c>
      <c r="J43" s="101">
        <f>50*0.3*0.017*7.8</f>
        <v>1.989</v>
      </c>
      <c r="K43" s="102">
        <f>G43*F43+I43+J43*E43</f>
        <v>18978.6</v>
      </c>
      <c r="L43" s="101">
        <f>K43/E43</f>
        <v>10.5436666666667</v>
      </c>
      <c r="M43" s="14"/>
      <c r="N43" s="14" t="s">
        <v>924</v>
      </c>
      <c r="P43" s="106">
        <v>46100</v>
      </c>
      <c r="R43" s="15"/>
    </row>
    <row r="44" ht="68.4" spans="1:20">
      <c r="A44" s="14" t="s">
        <v>944</v>
      </c>
      <c r="B44" s="14" t="s">
        <v>25</v>
      </c>
      <c r="C44" s="14" t="s">
        <v>381</v>
      </c>
      <c r="D44" s="14" t="s">
        <v>922</v>
      </c>
      <c r="E44" s="14">
        <v>1200</v>
      </c>
      <c r="F44" s="19">
        <v>29.3</v>
      </c>
      <c r="G44" s="107">
        <f>44500/70.5</f>
        <v>631.205673758865</v>
      </c>
      <c r="H44" s="15"/>
      <c r="I44" s="14">
        <v>350</v>
      </c>
      <c r="J44" s="101">
        <f>79*0.3*0.02*7.8</f>
        <v>3.6972</v>
      </c>
      <c r="K44" s="102">
        <f>G44*F44+I44+J44*E44</f>
        <v>23280.9662411348</v>
      </c>
      <c r="L44" s="101">
        <f>K44/E44</f>
        <v>19.4008052009456</v>
      </c>
      <c r="M44" s="14"/>
      <c r="N44" s="14" t="s">
        <v>924</v>
      </c>
      <c r="P44" s="106">
        <v>46100</v>
      </c>
      <c r="Q44" s="108" t="s">
        <v>945</v>
      </c>
      <c r="R44" s="15"/>
    </row>
    <row r="45" ht="13.2" spans="1:20">
      <c r="A45" s="20" t="s">
        <v>946</v>
      </c>
      <c r="B45" s="109" t="s">
        <v>89</v>
      </c>
      <c r="C45" s="14" t="s">
        <v>381</v>
      </c>
      <c r="D45" s="14" t="s">
        <v>922</v>
      </c>
      <c r="E45" s="14">
        <v>1308</v>
      </c>
      <c r="F45" s="19">
        <v>41.2</v>
      </c>
      <c r="G45" s="107">
        <f>44500/70.5</f>
        <v>631.205673758865</v>
      </c>
      <c r="H45" s="15"/>
      <c r="I45" s="14">
        <v>350</v>
      </c>
      <c r="J45" s="101">
        <f>79*0.3*0.02*7.8</f>
        <v>3.6972</v>
      </c>
      <c r="K45" s="102">
        <f>G45*F45+I45+J45*E45</f>
        <v>31191.6113588653</v>
      </c>
      <c r="L45" s="101">
        <f>K45/E45</f>
        <v>23.8467976749734</v>
      </c>
      <c r="M45" s="14"/>
      <c r="N45" s="14" t="s">
        <v>924</v>
      </c>
      <c r="P45" s="106">
        <v>46100</v>
      </c>
      <c r="Q45" s="15">
        <v>44500</v>
      </c>
    </row>
    <row r="46" spans="1:20">
      <c r="A46" s="14"/>
      <c r="B46" s="15"/>
      <c r="C46" s="14"/>
      <c r="D46" s="14"/>
      <c r="E46" s="14"/>
      <c r="F46" s="14"/>
      <c r="G46" s="14"/>
      <c r="H46" s="15"/>
      <c r="I46" s="14"/>
      <c r="J46" s="101"/>
      <c r="K46" s="102"/>
      <c r="L46" s="101"/>
      <c r="M46" s="14"/>
      <c r="N46" s="14"/>
    </row>
    <row r="47" ht="13.2" spans="1:20">
      <c r="A47" s="14" t="s">
        <v>946</v>
      </c>
      <c r="B47" s="109" t="s">
        <v>89</v>
      </c>
      <c r="C47" s="14" t="s">
        <v>300</v>
      </c>
      <c r="D47" s="20" t="s">
        <v>21</v>
      </c>
      <c r="E47" s="14">
        <v>501</v>
      </c>
      <c r="F47" s="105">
        <v>2751</v>
      </c>
      <c r="G47" s="14">
        <v>3.7</v>
      </c>
      <c r="H47" s="15"/>
      <c r="I47" s="14">
        <v>350</v>
      </c>
      <c r="J47" s="101">
        <f>79*0.3*0.02*7.8</f>
        <v>3.6972</v>
      </c>
      <c r="K47" s="102">
        <f t="shared" ref="K47:K52" si="3">G47*F47+I47+J47*E47</f>
        <v>12380.9972</v>
      </c>
      <c r="L47" s="101">
        <f t="shared" ref="L47:L52" si="4">K47/E47</f>
        <v>24.712569261477</v>
      </c>
      <c r="M47" s="14"/>
      <c r="N47" s="14" t="s">
        <v>924</v>
      </c>
      <c r="P47" s="106">
        <v>46113</v>
      </c>
    </row>
    <row r="48" spans="1:20">
      <c r="A48" s="20" t="s">
        <v>942</v>
      </c>
      <c r="B48" s="14" t="s">
        <v>25</v>
      </c>
      <c r="C48" s="20" t="s">
        <v>300</v>
      </c>
      <c r="D48" s="20" t="s">
        <v>21</v>
      </c>
      <c r="E48" s="14">
        <v>500</v>
      </c>
      <c r="F48" s="105">
        <v>2125</v>
      </c>
      <c r="G48" s="20">
        <v>3.7</v>
      </c>
      <c r="H48" s="15"/>
      <c r="I48" s="14">
        <v>350</v>
      </c>
      <c r="J48" s="101">
        <f>79*0.3*0.02*9</f>
        <v>4.266</v>
      </c>
      <c r="K48" s="102">
        <f t="shared" si="3"/>
        <v>10345.5</v>
      </c>
      <c r="L48" s="101">
        <f t="shared" si="4"/>
        <v>20.691</v>
      </c>
      <c r="M48" s="14"/>
      <c r="N48" s="14" t="s">
        <v>924</v>
      </c>
      <c r="P48" s="106">
        <v>46113</v>
      </c>
    </row>
    <row r="49" spans="1:17">
      <c r="A49" s="14" t="s">
        <v>944</v>
      </c>
      <c r="B49" s="14" t="s">
        <v>25</v>
      </c>
      <c r="C49" s="14" t="s">
        <v>381</v>
      </c>
      <c r="D49" s="14" t="s">
        <v>922</v>
      </c>
      <c r="E49" s="14">
        <v>1300</v>
      </c>
      <c r="F49" s="14">
        <v>31.8</v>
      </c>
      <c r="G49" s="19">
        <f>45500/66.8</f>
        <v>681.137724550898</v>
      </c>
      <c r="H49" s="15"/>
      <c r="I49" s="20">
        <v>350</v>
      </c>
      <c r="J49" s="101">
        <f>79*0.3*0.02*7.8</f>
        <v>3.6972</v>
      </c>
      <c r="K49" s="102">
        <f t="shared" si="3"/>
        <v>26816.5396407186</v>
      </c>
      <c r="L49" s="101">
        <f t="shared" si="4"/>
        <v>20.6281074159374</v>
      </c>
      <c r="M49" s="14"/>
      <c r="N49" s="14" t="s">
        <v>924</v>
      </c>
      <c r="P49" s="106">
        <v>46113</v>
      </c>
      <c r="Q49" s="15">
        <v>45500</v>
      </c>
    </row>
    <row r="50" spans="1:17">
      <c r="A50" s="14" t="s">
        <v>947</v>
      </c>
      <c r="B50" s="14" t="s">
        <v>25</v>
      </c>
      <c r="C50" s="14" t="s">
        <v>381</v>
      </c>
      <c r="D50" s="14" t="s">
        <v>922</v>
      </c>
      <c r="E50" s="14">
        <v>1200</v>
      </c>
      <c r="F50" s="14">
        <v>29.3</v>
      </c>
      <c r="G50" s="19">
        <f>45500/66.8</f>
        <v>681.137724550898</v>
      </c>
      <c r="H50" s="15"/>
      <c r="I50" s="20">
        <v>350</v>
      </c>
      <c r="J50" s="101">
        <f>79*0.3*0.02*7.8</f>
        <v>3.6972</v>
      </c>
      <c r="K50" s="102">
        <f t="shared" si="3"/>
        <v>24743.9753293413</v>
      </c>
      <c r="L50" s="101">
        <f t="shared" si="4"/>
        <v>20.6199794411178</v>
      </c>
      <c r="M50" s="14"/>
      <c r="N50" s="14" t="s">
        <v>924</v>
      </c>
      <c r="P50" s="106">
        <v>46113</v>
      </c>
      <c r="Q50" s="21">
        <v>45500</v>
      </c>
    </row>
    <row r="51" ht="13.2" spans="1:17">
      <c r="A51" s="14" t="s">
        <v>946</v>
      </c>
      <c r="B51" s="109" t="s">
        <v>89</v>
      </c>
      <c r="C51" s="14" t="s">
        <v>381</v>
      </c>
      <c r="D51" s="14" t="s">
        <v>922</v>
      </c>
      <c r="E51" s="14">
        <v>192</v>
      </c>
      <c r="F51" s="14">
        <v>5.7</v>
      </c>
      <c r="G51" s="19">
        <f>45500/66.8</f>
        <v>681.137724550898</v>
      </c>
      <c r="H51" s="15"/>
      <c r="I51" s="14">
        <v>0</v>
      </c>
      <c r="J51" s="101">
        <f>79*0.3*0.02*7.8</f>
        <v>3.6972</v>
      </c>
      <c r="K51" s="102">
        <f t="shared" si="3"/>
        <v>4592.34742994012</v>
      </c>
      <c r="L51" s="101">
        <f t="shared" si="4"/>
        <v>23.9184761976048</v>
      </c>
      <c r="M51" s="14"/>
      <c r="N51" s="14" t="s">
        <v>924</v>
      </c>
      <c r="P51" s="106">
        <v>46113</v>
      </c>
      <c r="Q51" s="21">
        <v>45500</v>
      </c>
    </row>
    <row r="52" spans="1:17">
      <c r="A52" s="14" t="s">
        <v>948</v>
      </c>
      <c r="B52" s="14" t="s">
        <v>61</v>
      </c>
      <c r="C52" s="14" t="s">
        <v>381</v>
      </c>
      <c r="D52" s="20" t="s">
        <v>21</v>
      </c>
      <c r="E52" s="14">
        <v>1440</v>
      </c>
      <c r="F52" s="14">
        <v>3012</v>
      </c>
      <c r="G52" s="14">
        <v>3.8</v>
      </c>
      <c r="H52" s="104"/>
      <c r="I52" s="14">
        <v>700</v>
      </c>
      <c r="J52" s="101">
        <f>50*0.3*0.017*7.8</f>
        <v>1.989</v>
      </c>
      <c r="K52" s="102">
        <f t="shared" si="3"/>
        <v>15009.76</v>
      </c>
      <c r="L52" s="101">
        <f t="shared" si="4"/>
        <v>10.4234444444444</v>
      </c>
      <c r="M52" s="14"/>
      <c r="N52" s="14" t="s">
        <v>924</v>
      </c>
      <c r="P52" s="106">
        <v>46113</v>
      </c>
    </row>
    <row r="53" spans="1:17">
      <c r="A53" s="14"/>
      <c r="C53" s="14"/>
      <c r="D53" s="14"/>
      <c r="E53" s="14"/>
      <c r="F53" s="14"/>
      <c r="G53" s="14"/>
      <c r="H53" s="15"/>
      <c r="I53" s="14"/>
      <c r="J53" s="101"/>
      <c r="K53" s="102"/>
      <c r="L53" s="101"/>
      <c r="M53" s="14"/>
      <c r="N53" s="14"/>
    </row>
    <row r="54" spans="1:17">
      <c r="A54" s="14" t="s">
        <v>947</v>
      </c>
      <c r="B54" s="14" t="s">
        <v>25</v>
      </c>
      <c r="C54" s="14" t="s">
        <v>381</v>
      </c>
      <c r="D54" s="14" t="s">
        <v>922</v>
      </c>
      <c r="E54" s="14">
        <v>1000</v>
      </c>
      <c r="F54" s="14">
        <v>24.4</v>
      </c>
      <c r="G54" s="107">
        <f>48000/66.6</f>
        <v>720.720720720721</v>
      </c>
      <c r="H54" s="15"/>
      <c r="I54" s="20">
        <v>350</v>
      </c>
      <c r="J54" s="101">
        <f>79*0.3*0.02*7.8</f>
        <v>3.6972</v>
      </c>
      <c r="K54" s="102">
        <f>G54*F54+I54+J54*E54</f>
        <v>21632.7855855856</v>
      </c>
      <c r="L54" s="101">
        <f>K54/E54</f>
        <v>21.6327855855856</v>
      </c>
      <c r="M54" s="14"/>
      <c r="N54" s="14" t="s">
        <v>924</v>
      </c>
      <c r="P54" s="106">
        <v>46143</v>
      </c>
      <c r="Q54" s="15">
        <v>48000</v>
      </c>
    </row>
    <row r="55" spans="1:17">
      <c r="A55" s="14" t="s">
        <v>948</v>
      </c>
      <c r="B55" s="14" t="s">
        <v>61</v>
      </c>
      <c r="C55" s="14" t="s">
        <v>300</v>
      </c>
      <c r="D55" s="20" t="s">
        <v>21</v>
      </c>
      <c r="E55" s="14">
        <v>486</v>
      </c>
      <c r="F55" s="14">
        <v>1017</v>
      </c>
      <c r="G55" s="14">
        <v>3.9</v>
      </c>
      <c r="H55" s="104"/>
      <c r="I55" s="14">
        <v>700</v>
      </c>
      <c r="J55" s="101">
        <f>50*0.3*0*7.8</f>
        <v>0</v>
      </c>
      <c r="K55" s="102">
        <f>G55*F55+I55+J55*E55</f>
        <v>4666.3</v>
      </c>
      <c r="L55" s="101">
        <f>K55/E55</f>
        <v>9.60144032921811</v>
      </c>
      <c r="M55" s="14"/>
      <c r="N55" s="14" t="s">
        <v>924</v>
      </c>
      <c r="P55" s="106">
        <v>46143</v>
      </c>
    </row>
    <row r="56" spans="1:17">
      <c r="A56" s="14"/>
      <c r="C56" s="14"/>
      <c r="D56" s="14"/>
      <c r="E56" s="14"/>
      <c r="F56" s="14"/>
      <c r="G56" s="14"/>
      <c r="H56" s="15"/>
      <c r="I56" s="14"/>
      <c r="J56" s="101"/>
      <c r="K56" s="102"/>
      <c r="L56" s="101"/>
      <c r="M56" s="14"/>
      <c r="N56" s="14"/>
    </row>
    <row r="57" spans="1:17">
      <c r="A57" s="14"/>
      <c r="C57" s="14"/>
      <c r="D57" s="14"/>
      <c r="E57" s="14"/>
      <c r="F57" s="14"/>
      <c r="G57" s="14"/>
      <c r="H57" s="15"/>
      <c r="I57" s="14"/>
      <c r="J57" s="101"/>
      <c r="K57" s="102"/>
      <c r="L57" s="101"/>
      <c r="M57" s="14"/>
      <c r="N57" s="14"/>
    </row>
    <row r="58" spans="1:17">
      <c r="A58" s="14"/>
      <c r="C58" s="14"/>
      <c r="D58" s="14"/>
      <c r="E58" s="14"/>
      <c r="F58" s="14"/>
      <c r="G58" s="14"/>
      <c r="H58" s="15"/>
      <c r="I58" s="14"/>
      <c r="J58" s="101"/>
      <c r="K58" s="102"/>
      <c r="L58" s="101"/>
      <c r="M58" s="14"/>
      <c r="N58" s="14"/>
    </row>
    <row r="59" spans="1:17">
      <c r="A59" s="14"/>
      <c r="C59" s="14"/>
      <c r="D59" s="14"/>
      <c r="E59" s="14"/>
      <c r="F59" s="14"/>
      <c r="G59" s="14"/>
      <c r="H59" s="15"/>
      <c r="I59" s="14"/>
      <c r="J59" s="101"/>
      <c r="K59" s="102"/>
      <c r="L59" s="101"/>
      <c r="M59" s="14"/>
      <c r="N59" s="14"/>
    </row>
    <row r="60" spans="1:17">
      <c r="A60" s="14"/>
      <c r="C60" s="14"/>
      <c r="D60" s="14"/>
      <c r="E60" s="14"/>
      <c r="F60" s="14"/>
      <c r="G60" s="14"/>
      <c r="H60" s="15"/>
      <c r="I60" s="14"/>
      <c r="J60" s="101"/>
      <c r="K60" s="102"/>
      <c r="L60" s="101"/>
      <c r="M60" s="14"/>
      <c r="N60" s="14"/>
    </row>
    <row r="61" spans="1:17">
      <c r="A61" s="14"/>
      <c r="C61" s="14"/>
      <c r="D61" s="14"/>
      <c r="E61" s="14"/>
      <c r="F61" s="14"/>
      <c r="G61" s="14"/>
      <c r="H61" s="15"/>
      <c r="I61" s="14"/>
      <c r="J61" s="101"/>
      <c r="K61" s="102"/>
      <c r="L61" s="101"/>
      <c r="M61" s="14"/>
      <c r="N61" s="14"/>
    </row>
    <row r="62" spans="1:17">
      <c r="A62" s="14"/>
      <c r="C62" s="14"/>
      <c r="D62" s="14"/>
      <c r="E62" s="14"/>
      <c r="F62" s="14"/>
      <c r="G62" s="14"/>
      <c r="H62" s="15"/>
      <c r="I62" s="14"/>
      <c r="J62" s="101"/>
      <c r="K62" s="102"/>
      <c r="L62" s="101"/>
      <c r="M62" s="14"/>
      <c r="N62" s="14"/>
    </row>
    <row r="63" spans="1:17">
      <c r="A63" s="14"/>
      <c r="C63" s="14"/>
      <c r="D63" s="14"/>
      <c r="E63" s="14"/>
      <c r="F63" s="14"/>
      <c r="G63" s="14"/>
      <c r="H63" s="15"/>
      <c r="I63" s="14"/>
      <c r="J63" s="101"/>
      <c r="K63" s="102"/>
      <c r="L63" s="101"/>
      <c r="M63" s="14"/>
      <c r="N63" s="14"/>
    </row>
    <row r="64" spans="1:17">
      <c r="A64" s="14"/>
      <c r="C64" s="14"/>
      <c r="D64" s="14"/>
      <c r="E64" s="14"/>
      <c r="F64" s="14"/>
      <c r="G64" s="14"/>
      <c r="H64" s="15"/>
      <c r="I64" s="14"/>
      <c r="J64" s="101"/>
      <c r="K64" s="102"/>
      <c r="L64" s="101"/>
      <c r="M64" s="14"/>
      <c r="N64" s="14"/>
    </row>
    <row r="65" spans="1:14">
      <c r="A65" s="14"/>
      <c r="C65" s="14"/>
      <c r="D65" s="14"/>
      <c r="E65" s="14"/>
      <c r="F65" s="14"/>
      <c r="G65" s="14"/>
      <c r="H65" s="15"/>
      <c r="I65" s="14"/>
      <c r="J65" s="101"/>
      <c r="K65" s="102"/>
      <c r="L65" s="101"/>
      <c r="M65" s="14"/>
      <c r="N65" s="14"/>
    </row>
    <row r="66" spans="1:14">
      <c r="A66" s="14"/>
      <c r="C66" s="14"/>
      <c r="D66" s="14"/>
      <c r="E66" s="14"/>
      <c r="F66" s="14"/>
      <c r="G66" s="14"/>
      <c r="H66" s="15"/>
      <c r="I66" s="14"/>
      <c r="J66" s="101"/>
      <c r="K66" s="102"/>
      <c r="L66" s="101"/>
      <c r="M66" s="14"/>
      <c r="N66" s="14"/>
    </row>
    <row r="67" spans="1:14">
      <c r="A67" s="14"/>
      <c r="C67" s="14"/>
      <c r="D67" s="14"/>
      <c r="E67" s="14"/>
      <c r="F67" s="14"/>
      <c r="G67" s="14"/>
      <c r="H67" s="15"/>
      <c r="I67" s="14"/>
      <c r="J67" s="101"/>
      <c r="K67" s="102"/>
      <c r="L67" s="101"/>
      <c r="M67" s="14"/>
      <c r="N67" s="14"/>
    </row>
    <row r="68" spans="1:14">
      <c r="A68" s="14"/>
      <c r="C68" s="14"/>
      <c r="D68" s="14"/>
      <c r="E68" s="14"/>
      <c r="F68" s="14"/>
      <c r="G68" s="14"/>
      <c r="H68" s="15"/>
      <c r="I68" s="14"/>
      <c r="J68" s="101"/>
      <c r="K68" s="102"/>
      <c r="L68" s="101"/>
      <c r="M68" s="14"/>
      <c r="N68" s="14"/>
    </row>
    <row r="69" spans="1:14">
      <c r="A69" s="14"/>
      <c r="C69" s="14"/>
      <c r="D69" s="14"/>
      <c r="E69" s="14"/>
      <c r="F69" s="14"/>
      <c r="G69" s="14"/>
      <c r="H69" s="15"/>
      <c r="I69" s="14"/>
      <c r="J69" s="101"/>
      <c r="K69" s="102"/>
      <c r="L69" s="101"/>
      <c r="M69" s="14"/>
      <c r="N69" s="14"/>
    </row>
    <row r="70" spans="1:14">
      <c r="A70" s="14"/>
      <c r="C70" s="14"/>
      <c r="D70" s="14"/>
      <c r="E70" s="14"/>
      <c r="F70" s="14"/>
      <c r="G70" s="14"/>
      <c r="H70" s="15"/>
      <c r="I70" s="14"/>
      <c r="J70" s="101"/>
      <c r="K70" s="102"/>
      <c r="L70" s="101"/>
      <c r="M70" s="14"/>
      <c r="N70" s="14"/>
    </row>
    <row r="71" spans="1:14">
      <c r="A71" s="14"/>
      <c r="C71" s="14"/>
      <c r="D71" s="14"/>
      <c r="E71" s="14"/>
      <c r="F71" s="14"/>
      <c r="G71" s="14"/>
      <c r="H71" s="15"/>
      <c r="I71" s="14"/>
      <c r="J71" s="101"/>
      <c r="K71" s="102"/>
      <c r="L71" s="101"/>
      <c r="M71" s="14"/>
      <c r="N71" s="14"/>
    </row>
    <row r="72" spans="1:14">
      <c r="A72" s="14"/>
      <c r="C72" s="14"/>
      <c r="D72" s="14"/>
      <c r="E72" s="14"/>
      <c r="F72" s="14"/>
      <c r="G72" s="14"/>
      <c r="H72" s="15"/>
      <c r="I72" s="14"/>
      <c r="J72" s="101"/>
      <c r="K72" s="102"/>
      <c r="L72" s="101"/>
      <c r="M72" s="14"/>
      <c r="N72" s="14"/>
    </row>
    <row r="73" spans="1:14">
      <c r="A73" s="14"/>
      <c r="C73" s="14"/>
      <c r="D73" s="14"/>
      <c r="E73" s="14"/>
      <c r="F73" s="14"/>
      <c r="G73" s="14"/>
      <c r="H73" s="15"/>
      <c r="I73" s="14"/>
      <c r="J73" s="101"/>
      <c r="K73" s="102"/>
      <c r="L73" s="101"/>
      <c r="M73" s="14"/>
      <c r="N73" s="14"/>
    </row>
    <row r="74" spans="1:14">
      <c r="A74" s="14"/>
      <c r="C74" s="14"/>
      <c r="D74" s="14"/>
      <c r="E74" s="14"/>
      <c r="F74" s="14"/>
      <c r="G74" s="14"/>
      <c r="H74" s="15"/>
      <c r="I74" s="14"/>
      <c r="J74" s="101"/>
      <c r="K74" s="102"/>
      <c r="L74" s="101"/>
      <c r="M74" s="14"/>
      <c r="N74" s="14"/>
    </row>
    <row r="75" spans="1:14">
      <c r="A75" s="14"/>
      <c r="C75" s="14"/>
      <c r="D75" s="14"/>
      <c r="E75" s="14"/>
      <c r="F75" s="14"/>
      <c r="G75" s="14"/>
      <c r="H75" s="15"/>
      <c r="I75" s="14"/>
      <c r="J75" s="101"/>
      <c r="K75" s="102"/>
      <c r="L75" s="101"/>
      <c r="M75" s="14"/>
      <c r="N75" s="14"/>
    </row>
    <row r="76" spans="1:14">
      <c r="A76" s="14"/>
      <c r="C76" s="14"/>
      <c r="D76" s="14"/>
      <c r="E76" s="14"/>
      <c r="F76" s="14"/>
      <c r="G76" s="14"/>
      <c r="H76" s="15"/>
      <c r="I76" s="14"/>
      <c r="J76" s="101"/>
      <c r="K76" s="102"/>
      <c r="L76" s="101"/>
      <c r="M76" s="14"/>
      <c r="N76" s="14"/>
    </row>
    <row r="77" spans="1:14">
      <c r="A77" s="14"/>
      <c r="C77" s="14"/>
      <c r="D77" s="14"/>
      <c r="E77" s="14"/>
      <c r="F77" s="14"/>
      <c r="G77" s="14"/>
      <c r="H77" s="15"/>
      <c r="I77" s="14"/>
      <c r="J77" s="101"/>
      <c r="K77" s="102"/>
      <c r="L77" s="101"/>
      <c r="M77" s="14"/>
      <c r="N77" s="14"/>
    </row>
    <row r="78" spans="1:14">
      <c r="A78" s="14"/>
      <c r="C78" s="14"/>
      <c r="D78" s="14"/>
      <c r="E78" s="14"/>
      <c r="F78" s="14"/>
      <c r="G78" s="14"/>
      <c r="H78" s="15"/>
      <c r="I78" s="14"/>
      <c r="J78" s="101"/>
      <c r="K78" s="102"/>
      <c r="L78" s="101"/>
      <c r="M78" s="14"/>
      <c r="N78" s="14"/>
    </row>
    <row r="79" spans="1:14">
      <c r="A79" s="14"/>
      <c r="C79" s="14"/>
      <c r="D79" s="14"/>
      <c r="E79" s="14"/>
      <c r="F79" s="14"/>
      <c r="G79" s="14"/>
      <c r="H79" s="15"/>
      <c r="I79" s="14"/>
      <c r="J79" s="101"/>
      <c r="K79" s="102"/>
      <c r="L79" s="101"/>
      <c r="M79" s="14"/>
      <c r="N79" s="14"/>
    </row>
    <row r="80" spans="1:14">
      <c r="A80" s="14"/>
      <c r="C80" s="14"/>
      <c r="D80" s="14"/>
      <c r="E80" s="14"/>
      <c r="F80" s="14"/>
      <c r="G80" s="14"/>
      <c r="H80" s="15"/>
      <c r="I80" s="14"/>
      <c r="J80" s="101"/>
      <c r="K80" s="102"/>
      <c r="L80" s="101"/>
      <c r="M80" s="14"/>
      <c r="N80" s="14"/>
    </row>
    <row r="81" spans="1:14">
      <c r="A81" s="14"/>
      <c r="C81" s="14"/>
      <c r="D81" s="14"/>
      <c r="E81" s="14"/>
      <c r="F81" s="14"/>
      <c r="G81" s="14"/>
      <c r="H81" s="15"/>
      <c r="I81" s="14"/>
      <c r="J81" s="101"/>
      <c r="K81" s="102"/>
      <c r="L81" s="101"/>
      <c r="M81" s="14"/>
      <c r="N81" s="14"/>
    </row>
    <row r="82" spans="1:14">
      <c r="A82" s="14"/>
      <c r="C82" s="14"/>
      <c r="D82" s="14"/>
      <c r="E82" s="14"/>
      <c r="F82" s="14"/>
      <c r="G82" s="14"/>
      <c r="H82" s="15"/>
      <c r="I82" s="14"/>
      <c r="J82" s="101"/>
      <c r="K82" s="102"/>
      <c r="L82" s="101"/>
      <c r="M82" s="14"/>
      <c r="N82" s="14"/>
    </row>
    <row r="83" spans="1:14">
      <c r="A83" s="14"/>
      <c r="C83" s="14"/>
      <c r="D83" s="14"/>
      <c r="E83" s="14"/>
      <c r="F83" s="14"/>
      <c r="G83" s="14"/>
      <c r="H83" s="15"/>
      <c r="I83" s="14"/>
      <c r="J83" s="101"/>
      <c r="K83" s="102"/>
      <c r="L83" s="101"/>
      <c r="M83" s="14"/>
      <c r="N83" s="14"/>
    </row>
    <row r="84" spans="1:14">
      <c r="A84" s="14"/>
      <c r="C84" s="14"/>
      <c r="D84" s="14"/>
      <c r="E84" s="14"/>
      <c r="F84" s="14"/>
      <c r="G84" s="14"/>
      <c r="H84" s="15"/>
      <c r="I84" s="14"/>
      <c r="J84" s="101"/>
      <c r="K84" s="102"/>
      <c r="L84" s="101"/>
      <c r="M84" s="14"/>
      <c r="N84" s="14"/>
    </row>
    <row r="85" spans="1:14">
      <c r="A85" s="14"/>
      <c r="C85" s="14"/>
      <c r="D85" s="14"/>
      <c r="E85" s="14"/>
      <c r="F85" s="14"/>
      <c r="G85" s="14"/>
      <c r="H85" s="15"/>
      <c r="I85" s="14"/>
      <c r="J85" s="101"/>
      <c r="K85" s="102"/>
      <c r="L85" s="101"/>
      <c r="M85" s="14"/>
      <c r="N85" s="14"/>
    </row>
    <row r="86" spans="1:14">
      <c r="A86" s="14"/>
      <c r="C86" s="14"/>
      <c r="D86" s="14"/>
      <c r="E86" s="14"/>
      <c r="F86" s="14"/>
      <c r="G86" s="14"/>
      <c r="H86" s="15"/>
      <c r="I86" s="14"/>
      <c r="J86" s="101"/>
      <c r="K86" s="102"/>
      <c r="L86" s="101"/>
      <c r="M86" s="14"/>
      <c r="N86" s="14"/>
    </row>
    <row r="87" spans="1:14">
      <c r="A87" s="14"/>
      <c r="C87" s="14"/>
      <c r="D87" s="14"/>
      <c r="E87" s="14"/>
      <c r="F87" s="14"/>
      <c r="G87" s="14"/>
      <c r="H87" s="15"/>
      <c r="I87" s="14"/>
      <c r="J87" s="101"/>
      <c r="K87" s="102"/>
      <c r="L87" s="101"/>
      <c r="M87" s="14"/>
      <c r="N87" s="14"/>
    </row>
    <row r="88" spans="1:14">
      <c r="A88" s="14"/>
      <c r="C88" s="14"/>
      <c r="D88" s="14"/>
      <c r="E88" s="14"/>
      <c r="F88" s="14"/>
      <c r="G88" s="14"/>
      <c r="H88" s="15"/>
      <c r="I88" s="14"/>
      <c r="J88" s="101"/>
      <c r="K88" s="102"/>
      <c r="L88" s="101"/>
      <c r="M88" s="14"/>
      <c r="N88" s="14"/>
    </row>
    <row r="89" spans="1:14">
      <c r="A89" s="14"/>
      <c r="C89" s="14"/>
      <c r="D89" s="14"/>
      <c r="E89" s="14"/>
      <c r="F89" s="14"/>
      <c r="G89" s="14"/>
      <c r="H89" s="15"/>
      <c r="I89" s="14"/>
      <c r="J89" s="101"/>
      <c r="K89" s="102"/>
      <c r="L89" s="101"/>
      <c r="M89" s="14"/>
      <c r="N89" s="14"/>
    </row>
    <row r="90" spans="1:14">
      <c r="A90" s="14"/>
      <c r="C90" s="14"/>
      <c r="D90" s="14"/>
      <c r="E90" s="14"/>
      <c r="F90" s="14"/>
      <c r="G90" s="14"/>
      <c r="H90" s="15"/>
      <c r="I90" s="14"/>
      <c r="J90" s="101"/>
      <c r="K90" s="102"/>
      <c r="L90" s="101"/>
      <c r="M90" s="14"/>
      <c r="N90" s="14"/>
    </row>
    <row r="91" spans="1:14">
      <c r="A91" s="14"/>
      <c r="C91" s="14"/>
      <c r="D91" s="14"/>
      <c r="E91" s="14"/>
      <c r="F91" s="14"/>
      <c r="G91" s="14"/>
      <c r="H91" s="15"/>
      <c r="I91" s="14"/>
      <c r="J91" s="101"/>
      <c r="K91" s="102"/>
      <c r="L91" s="101"/>
      <c r="M91" s="14"/>
      <c r="N91" s="14"/>
    </row>
    <row r="92" spans="1:14">
      <c r="A92" s="14"/>
      <c r="C92" s="14"/>
      <c r="D92" s="14"/>
      <c r="E92" s="14"/>
      <c r="F92" s="14"/>
      <c r="G92" s="14"/>
      <c r="H92" s="15"/>
      <c r="I92" s="14"/>
      <c r="J92" s="101"/>
      <c r="K92" s="102"/>
      <c r="L92" s="101"/>
      <c r="M92" s="14"/>
      <c r="N92" s="14"/>
    </row>
    <row r="93" spans="1:14">
      <c r="A93" s="14"/>
      <c r="C93" s="14"/>
      <c r="D93" s="14"/>
      <c r="E93" s="14"/>
      <c r="F93" s="14"/>
      <c r="G93" s="14"/>
      <c r="H93" s="15"/>
      <c r="I93" s="14"/>
      <c r="J93" s="101"/>
      <c r="K93" s="102"/>
      <c r="L93" s="101"/>
      <c r="M93" s="14"/>
      <c r="N93" s="14"/>
    </row>
    <row r="94" spans="1:14">
      <c r="A94" s="14"/>
      <c r="C94" s="14"/>
      <c r="D94" s="14"/>
      <c r="E94" s="14"/>
      <c r="F94" s="14"/>
      <c r="G94" s="14"/>
      <c r="H94" s="15"/>
      <c r="I94" s="14"/>
      <c r="J94" s="101"/>
      <c r="K94" s="102"/>
      <c r="L94" s="101"/>
      <c r="M94" s="14"/>
      <c r="N94" s="14"/>
    </row>
    <row r="95" spans="1:14">
      <c r="A95" s="14"/>
      <c r="C95" s="14"/>
      <c r="D95" s="14"/>
      <c r="E95" s="14"/>
      <c r="F95" s="14"/>
      <c r="G95" s="14"/>
      <c r="H95" s="15"/>
      <c r="I95" s="14"/>
      <c r="J95" s="101"/>
      <c r="K95" s="102"/>
      <c r="L95" s="101"/>
      <c r="M95" s="14"/>
      <c r="N95" s="14"/>
    </row>
    <row r="96" spans="1:14">
      <c r="A96" s="14"/>
      <c r="C96" s="14"/>
      <c r="D96" s="14"/>
      <c r="E96" s="14"/>
      <c r="F96" s="14"/>
      <c r="G96" s="14"/>
      <c r="H96" s="15"/>
      <c r="I96" s="14"/>
      <c r="J96" s="101"/>
      <c r="K96" s="102"/>
      <c r="L96" s="101"/>
      <c r="M96" s="14"/>
      <c r="N96" s="14"/>
    </row>
    <row r="97" spans="1:14">
      <c r="A97" s="14"/>
      <c r="C97" s="14"/>
      <c r="D97" s="14"/>
      <c r="E97" s="14"/>
      <c r="F97" s="14"/>
      <c r="G97" s="14"/>
      <c r="H97" s="15"/>
      <c r="I97" s="14"/>
      <c r="J97" s="101"/>
      <c r="K97" s="102"/>
      <c r="L97" s="101"/>
      <c r="M97" s="14"/>
      <c r="N97" s="14"/>
    </row>
    <row r="98" spans="1:14">
      <c r="A98" s="14"/>
      <c r="C98" s="14"/>
      <c r="D98" s="14"/>
      <c r="E98" s="14"/>
      <c r="F98" s="14"/>
      <c r="G98" s="14"/>
      <c r="H98" s="15"/>
      <c r="I98" s="14"/>
      <c r="J98" s="101"/>
      <c r="K98" s="102"/>
      <c r="L98" s="101"/>
      <c r="M98" s="14"/>
      <c r="N98" s="14"/>
    </row>
    <row r="99" spans="1:14">
      <c r="A99" s="14"/>
      <c r="C99" s="14"/>
      <c r="D99" s="14"/>
      <c r="E99" s="14"/>
      <c r="F99" s="14"/>
      <c r="G99" s="14"/>
      <c r="H99" s="15"/>
      <c r="I99" s="14"/>
      <c r="J99" s="101"/>
      <c r="K99" s="102"/>
      <c r="L99" s="101"/>
      <c r="M99" s="14"/>
      <c r="N99" s="14"/>
    </row>
    <row r="100" spans="1:14">
      <c r="A100" s="14"/>
      <c r="C100" s="14"/>
      <c r="D100" s="14"/>
      <c r="E100" s="14"/>
      <c r="F100" s="14"/>
      <c r="G100" s="14"/>
      <c r="H100" s="15"/>
      <c r="I100" s="14"/>
      <c r="J100" s="101"/>
      <c r="K100" s="102"/>
      <c r="L100" s="101"/>
      <c r="M100" s="14"/>
      <c r="N100" s="14"/>
    </row>
    <row r="101" spans="1:14">
      <c r="A101" s="14"/>
      <c r="C101" s="14"/>
      <c r="D101" s="14"/>
      <c r="E101" s="14"/>
      <c r="F101" s="14"/>
      <c r="G101" s="14"/>
      <c r="H101" s="15"/>
      <c r="I101" s="14"/>
      <c r="J101" s="101"/>
      <c r="K101" s="102"/>
      <c r="L101" s="101"/>
      <c r="M101" s="14"/>
      <c r="N101" s="14"/>
    </row>
    <row r="102" spans="1:14">
      <c r="A102" s="14"/>
      <c r="C102" s="14"/>
      <c r="D102" s="14"/>
      <c r="E102" s="14"/>
      <c r="F102" s="14"/>
      <c r="G102" s="14"/>
      <c r="H102" s="15"/>
      <c r="I102" s="14"/>
      <c r="J102" s="101"/>
      <c r="K102" s="102"/>
      <c r="L102" s="101"/>
      <c r="M102" s="14"/>
      <c r="N102" s="14"/>
    </row>
    <row r="103" spans="1:14">
      <c r="A103" s="14"/>
      <c r="C103" s="14"/>
      <c r="D103" s="14"/>
      <c r="E103" s="14"/>
      <c r="F103" s="14"/>
      <c r="G103" s="14"/>
      <c r="H103" s="15"/>
      <c r="I103" s="14"/>
      <c r="J103" s="101"/>
      <c r="K103" s="102"/>
      <c r="L103" s="101"/>
      <c r="M103" s="14"/>
      <c r="N103" s="14"/>
    </row>
    <row r="104" spans="1:14">
      <c r="A104" s="14"/>
      <c r="C104" s="14"/>
      <c r="D104" s="14"/>
      <c r="E104" s="14"/>
      <c r="F104" s="14"/>
      <c r="G104" s="14"/>
      <c r="H104" s="15"/>
      <c r="I104" s="14"/>
      <c r="J104" s="101"/>
      <c r="K104" s="102"/>
      <c r="L104" s="101"/>
      <c r="M104" s="14"/>
      <c r="N104" s="14"/>
    </row>
    <row r="105" spans="1:14">
      <c r="A105" s="14"/>
      <c r="C105" s="14"/>
      <c r="D105" s="14"/>
      <c r="E105" s="14"/>
      <c r="F105" s="14"/>
      <c r="G105" s="14"/>
      <c r="H105" s="15"/>
      <c r="I105" s="14"/>
      <c r="J105" s="101"/>
      <c r="K105" s="102"/>
      <c r="L105" s="101"/>
      <c r="M105" s="14"/>
      <c r="N105" s="14"/>
    </row>
    <row r="106" spans="1:14">
      <c r="A106" s="14"/>
      <c r="C106" s="14"/>
      <c r="D106" s="14"/>
      <c r="E106" s="14"/>
      <c r="F106" s="14"/>
      <c r="G106" s="14"/>
      <c r="H106" s="15"/>
      <c r="I106" s="14"/>
      <c r="J106" s="101"/>
      <c r="K106" s="102"/>
      <c r="L106" s="101"/>
      <c r="M106" s="14"/>
      <c r="N106" s="14"/>
    </row>
    <row r="107" spans="1:14">
      <c r="A107" s="14"/>
      <c r="C107" s="14"/>
      <c r="D107" s="14"/>
      <c r="E107" s="14"/>
      <c r="F107" s="14"/>
      <c r="G107" s="14"/>
      <c r="H107" s="15"/>
      <c r="I107" s="14"/>
      <c r="J107" s="101"/>
      <c r="K107" s="102"/>
      <c r="L107" s="101"/>
      <c r="M107" s="14"/>
      <c r="N107" s="14"/>
    </row>
    <row r="108" spans="1:14">
      <c r="A108" s="14"/>
      <c r="C108" s="14"/>
      <c r="D108" s="14"/>
      <c r="E108" s="14"/>
      <c r="F108" s="14"/>
      <c r="G108" s="14"/>
      <c r="H108" s="15"/>
      <c r="I108" s="14"/>
      <c r="J108" s="101"/>
      <c r="K108" s="102"/>
      <c r="L108" s="101"/>
      <c r="M108" s="14"/>
      <c r="N108" s="14"/>
    </row>
    <row r="109" spans="1:14">
      <c r="A109" s="14"/>
      <c r="C109" s="14"/>
      <c r="D109" s="14"/>
      <c r="E109" s="14"/>
      <c r="F109" s="14"/>
      <c r="G109" s="14"/>
      <c r="H109" s="15"/>
      <c r="I109" s="14"/>
      <c r="J109" s="101"/>
      <c r="K109" s="102"/>
      <c r="L109" s="101"/>
      <c r="M109" s="14"/>
      <c r="N109" s="14"/>
    </row>
    <row r="110" spans="1:14">
      <c r="A110" s="14"/>
      <c r="C110" s="14"/>
      <c r="D110" s="14"/>
      <c r="E110" s="14"/>
      <c r="F110" s="14"/>
      <c r="G110" s="14"/>
      <c r="H110" s="15"/>
      <c r="I110" s="14"/>
      <c r="J110" s="101"/>
      <c r="K110" s="102"/>
      <c r="L110" s="101"/>
      <c r="M110" s="14"/>
      <c r="N110" s="14"/>
    </row>
    <row r="111" spans="1:14">
      <c r="A111" s="14"/>
      <c r="C111" s="14"/>
      <c r="D111" s="14"/>
      <c r="E111" s="14"/>
      <c r="F111" s="14"/>
      <c r="G111" s="14"/>
      <c r="H111" s="15"/>
      <c r="I111" s="14"/>
      <c r="J111" s="101"/>
      <c r="K111" s="102"/>
      <c r="L111" s="101"/>
      <c r="M111" s="14"/>
      <c r="N111" s="14"/>
    </row>
    <row r="112" spans="1:14">
      <c r="A112" s="14"/>
      <c r="C112" s="14"/>
      <c r="D112" s="14"/>
      <c r="E112" s="14"/>
      <c r="F112" s="14"/>
      <c r="G112" s="14"/>
      <c r="H112" s="15"/>
      <c r="I112" s="14"/>
      <c r="J112" s="101"/>
      <c r="K112" s="102"/>
      <c r="L112" s="101"/>
      <c r="M112" s="14"/>
      <c r="N112" s="14"/>
    </row>
    <row r="113" spans="1:14">
      <c r="A113" s="14"/>
      <c r="C113" s="14"/>
      <c r="D113" s="14"/>
      <c r="E113" s="14"/>
      <c r="F113" s="14"/>
      <c r="G113" s="14"/>
      <c r="H113" s="15"/>
      <c r="I113" s="14"/>
      <c r="J113" s="101"/>
      <c r="K113" s="102"/>
      <c r="L113" s="101"/>
      <c r="M113" s="14"/>
      <c r="N113" s="14"/>
    </row>
    <row r="114" spans="1:14">
      <c r="A114" s="14"/>
      <c r="C114" s="14"/>
      <c r="D114" s="14"/>
      <c r="E114" s="14"/>
      <c r="F114" s="14"/>
      <c r="G114" s="14"/>
      <c r="H114" s="15"/>
      <c r="I114" s="14"/>
      <c r="J114" s="101"/>
      <c r="K114" s="102"/>
      <c r="L114" s="101"/>
      <c r="M114" s="14"/>
      <c r="N114" s="14"/>
    </row>
    <row r="115" spans="1:14">
      <c r="A115" s="14"/>
      <c r="C115" s="14"/>
      <c r="D115" s="14"/>
      <c r="E115" s="14"/>
      <c r="F115" s="14"/>
      <c r="G115" s="14"/>
      <c r="H115" s="15"/>
      <c r="I115" s="14"/>
      <c r="J115" s="101"/>
      <c r="K115" s="102"/>
      <c r="L115" s="101"/>
      <c r="M115" s="14"/>
      <c r="N115" s="14"/>
    </row>
    <row r="116" spans="1:14">
      <c r="A116" s="14"/>
      <c r="C116" s="14"/>
      <c r="D116" s="14"/>
      <c r="E116" s="14"/>
      <c r="F116" s="14"/>
      <c r="G116" s="14"/>
      <c r="H116" s="15"/>
      <c r="I116" s="14"/>
      <c r="J116" s="101"/>
      <c r="K116" s="102"/>
      <c r="L116" s="101"/>
      <c r="M116" s="14"/>
      <c r="N116" s="14"/>
    </row>
    <row r="117" spans="1:14">
      <c r="A117" s="14"/>
      <c r="C117" s="14"/>
      <c r="D117" s="14"/>
      <c r="E117" s="14"/>
      <c r="F117" s="14"/>
      <c r="G117" s="14"/>
      <c r="H117" s="15"/>
      <c r="I117" s="14"/>
      <c r="J117" s="101"/>
      <c r="K117" s="102"/>
      <c r="L117" s="101"/>
      <c r="M117" s="14"/>
      <c r="N117" s="14"/>
    </row>
    <row r="118" spans="1:14">
      <c r="A118" s="14"/>
      <c r="C118" s="14"/>
      <c r="D118" s="14"/>
      <c r="E118" s="14"/>
      <c r="F118" s="14"/>
      <c r="G118" s="14"/>
      <c r="H118" s="15"/>
      <c r="I118" s="14"/>
      <c r="J118" s="101"/>
      <c r="K118" s="102"/>
      <c r="L118" s="101"/>
      <c r="M118" s="14"/>
      <c r="N118" s="14"/>
    </row>
    <row r="119" spans="1:14">
      <c r="A119" s="14"/>
      <c r="C119" s="14"/>
      <c r="D119" s="14"/>
      <c r="E119" s="14"/>
      <c r="F119" s="14"/>
      <c r="G119" s="14"/>
      <c r="H119" s="15"/>
      <c r="I119" s="14"/>
      <c r="J119" s="101"/>
      <c r="K119" s="102"/>
      <c r="L119" s="101"/>
      <c r="M119" s="14"/>
      <c r="N119" s="14"/>
    </row>
    <row r="120" spans="1:14">
      <c r="A120" s="14"/>
      <c r="C120" s="14"/>
      <c r="D120" s="14"/>
      <c r="E120" s="14"/>
      <c r="F120" s="14"/>
      <c r="G120" s="14"/>
      <c r="H120" s="15"/>
      <c r="I120" s="14"/>
      <c r="J120" s="101"/>
      <c r="K120" s="102"/>
      <c r="L120" s="101"/>
      <c r="M120" s="14"/>
      <c r="N120" s="14"/>
    </row>
    <row r="121" spans="1:14">
      <c r="A121" s="14"/>
      <c r="C121" s="14"/>
      <c r="D121" s="14"/>
      <c r="E121" s="14"/>
      <c r="F121" s="14"/>
      <c r="G121" s="14"/>
      <c r="H121" s="15"/>
      <c r="I121" s="14"/>
      <c r="J121" s="101"/>
      <c r="K121" s="102"/>
      <c r="L121" s="101"/>
      <c r="M121" s="14"/>
      <c r="N121" s="14"/>
    </row>
    <row r="122" spans="1:14">
      <c r="A122" s="14"/>
      <c r="C122" s="14"/>
      <c r="D122" s="14"/>
      <c r="E122" s="14"/>
      <c r="F122" s="14"/>
      <c r="G122" s="14"/>
      <c r="H122" s="15"/>
      <c r="I122" s="14"/>
      <c r="J122" s="101"/>
      <c r="K122" s="102"/>
      <c r="L122" s="101"/>
      <c r="M122" s="14"/>
      <c r="N122" s="14"/>
    </row>
    <row r="123" spans="1:14">
      <c r="A123" s="14"/>
      <c r="C123" s="14"/>
      <c r="D123" s="14"/>
      <c r="E123" s="14"/>
      <c r="F123" s="14"/>
      <c r="G123" s="14"/>
      <c r="H123" s="15"/>
      <c r="I123" s="14"/>
      <c r="J123" s="101"/>
      <c r="K123" s="102"/>
      <c r="L123" s="101"/>
      <c r="M123" s="14"/>
      <c r="N123" s="14"/>
    </row>
    <row r="124" spans="1:14">
      <c r="A124" s="14"/>
      <c r="C124" s="14"/>
      <c r="D124" s="14"/>
      <c r="E124" s="14"/>
      <c r="F124" s="14"/>
      <c r="G124" s="14"/>
      <c r="H124" s="15"/>
      <c r="I124" s="14"/>
      <c r="J124" s="101"/>
      <c r="K124" s="102"/>
      <c r="L124" s="101"/>
      <c r="M124" s="14"/>
      <c r="N124" s="14"/>
    </row>
    <row r="125" spans="1:14">
      <c r="A125" s="14"/>
      <c r="C125" s="14"/>
      <c r="D125" s="14"/>
      <c r="E125" s="14"/>
      <c r="F125" s="14"/>
      <c r="G125" s="14"/>
      <c r="H125" s="15"/>
      <c r="I125" s="14"/>
      <c r="J125" s="101"/>
      <c r="K125" s="102"/>
      <c r="L125" s="101"/>
      <c r="M125" s="14"/>
      <c r="N125" s="14"/>
    </row>
    <row r="126" spans="1:14">
      <c r="A126" s="14"/>
      <c r="C126" s="14"/>
      <c r="D126" s="14"/>
      <c r="E126" s="14"/>
      <c r="F126" s="14"/>
      <c r="G126" s="14"/>
      <c r="H126" s="15"/>
      <c r="I126" s="14"/>
      <c r="J126" s="101"/>
      <c r="K126" s="102"/>
      <c r="L126" s="101"/>
      <c r="M126" s="14"/>
      <c r="N126" s="14"/>
    </row>
    <row r="127" spans="1:14">
      <c r="A127" s="14"/>
      <c r="C127" s="14"/>
      <c r="D127" s="14"/>
      <c r="E127" s="14"/>
      <c r="F127" s="14"/>
      <c r="G127" s="14"/>
      <c r="H127" s="15"/>
      <c r="I127" s="14"/>
      <c r="J127" s="101"/>
      <c r="K127" s="102"/>
      <c r="L127" s="101"/>
      <c r="M127" s="14"/>
      <c r="N127" s="14"/>
    </row>
    <row r="128" spans="1:14">
      <c r="A128" s="14"/>
      <c r="C128" s="14"/>
      <c r="D128" s="14"/>
      <c r="E128" s="14"/>
      <c r="F128" s="14"/>
      <c r="G128" s="14"/>
      <c r="H128" s="15"/>
      <c r="I128" s="14"/>
      <c r="J128" s="101"/>
      <c r="K128" s="102"/>
      <c r="L128" s="101"/>
      <c r="M128" s="14"/>
      <c r="N128" s="14"/>
    </row>
    <row r="129" spans="1:14">
      <c r="A129" s="14"/>
      <c r="C129" s="14"/>
      <c r="D129" s="14"/>
      <c r="E129" s="14"/>
      <c r="F129" s="14"/>
      <c r="G129" s="14"/>
      <c r="H129" s="15"/>
      <c r="I129" s="14"/>
      <c r="J129" s="101"/>
      <c r="K129" s="102"/>
      <c r="L129" s="101"/>
      <c r="M129" s="14"/>
      <c r="N129" s="14"/>
    </row>
    <row r="130" spans="1:14">
      <c r="A130" s="14"/>
      <c r="C130" s="14"/>
      <c r="D130" s="14"/>
      <c r="E130" s="14"/>
      <c r="F130" s="14"/>
      <c r="G130" s="14"/>
      <c r="H130" s="15"/>
      <c r="I130" s="14"/>
      <c r="J130" s="101"/>
      <c r="K130" s="102"/>
      <c r="L130" s="101"/>
      <c r="M130" s="14"/>
      <c r="N130" s="14"/>
    </row>
    <row r="131" spans="1:14">
      <c r="A131" s="14"/>
      <c r="C131" s="14"/>
      <c r="D131" s="14"/>
      <c r="E131" s="14"/>
      <c r="F131" s="14"/>
      <c r="G131" s="14"/>
      <c r="H131" s="15"/>
      <c r="I131" s="14"/>
      <c r="J131" s="101"/>
      <c r="K131" s="102"/>
      <c r="L131" s="101"/>
      <c r="M131" s="14"/>
      <c r="N131" s="14"/>
    </row>
    <row r="132" spans="1:14">
      <c r="A132" s="14"/>
      <c r="C132" s="14"/>
      <c r="D132" s="14"/>
      <c r="E132" s="14"/>
      <c r="F132" s="14"/>
      <c r="G132" s="14"/>
      <c r="H132" s="15"/>
      <c r="I132" s="14"/>
      <c r="J132" s="101"/>
      <c r="K132" s="102"/>
      <c r="L132" s="101"/>
      <c r="M132" s="14"/>
      <c r="N132" s="14"/>
    </row>
    <row r="133" spans="1:14">
      <c r="A133" s="14"/>
      <c r="C133" s="14"/>
      <c r="D133" s="14"/>
      <c r="E133" s="14"/>
      <c r="F133" s="14"/>
      <c r="G133" s="14"/>
      <c r="H133" s="15"/>
      <c r="I133" s="14"/>
      <c r="J133" s="101"/>
      <c r="K133" s="102"/>
      <c r="L133" s="101"/>
      <c r="M133" s="14"/>
      <c r="N133" s="14"/>
    </row>
    <row r="134" spans="1:14">
      <c r="A134" s="14"/>
      <c r="C134" s="14"/>
      <c r="D134" s="14"/>
      <c r="E134" s="14"/>
      <c r="F134" s="14"/>
      <c r="G134" s="14"/>
      <c r="H134" s="15"/>
      <c r="I134" s="14"/>
      <c r="J134" s="101"/>
      <c r="K134" s="102"/>
      <c r="L134" s="101"/>
      <c r="M134" s="14"/>
      <c r="N134" s="14"/>
    </row>
    <row r="135" spans="1:14">
      <c r="A135" s="14"/>
      <c r="C135" s="14"/>
      <c r="D135" s="14"/>
      <c r="E135" s="14"/>
      <c r="F135" s="14"/>
      <c r="G135" s="14"/>
      <c r="H135" s="15"/>
      <c r="I135" s="14"/>
      <c r="J135" s="101"/>
      <c r="K135" s="102"/>
      <c r="L135" s="101"/>
      <c r="M135" s="14"/>
      <c r="N135" s="14"/>
    </row>
    <row r="136" spans="1:14">
      <c r="A136" s="14"/>
      <c r="C136" s="14"/>
      <c r="D136" s="14"/>
      <c r="E136" s="14"/>
      <c r="F136" s="14"/>
      <c r="G136" s="14"/>
      <c r="H136" s="15"/>
      <c r="I136" s="14"/>
      <c r="J136" s="101"/>
      <c r="K136" s="102"/>
      <c r="L136" s="101"/>
      <c r="M136" s="14"/>
      <c r="N136" s="14"/>
    </row>
    <row r="137" spans="1:14">
      <c r="A137" s="14"/>
      <c r="C137" s="14"/>
      <c r="D137" s="14"/>
      <c r="E137" s="14"/>
      <c r="F137" s="14"/>
      <c r="G137" s="14"/>
      <c r="H137" s="15"/>
      <c r="I137" s="14"/>
      <c r="J137" s="101"/>
      <c r="K137" s="102"/>
      <c r="L137" s="101"/>
      <c r="M137" s="14"/>
      <c r="N137" s="14"/>
    </row>
    <row r="138" spans="1:14">
      <c r="A138" s="14"/>
      <c r="C138" s="14"/>
      <c r="D138" s="14"/>
      <c r="E138" s="14"/>
      <c r="F138" s="14"/>
      <c r="G138" s="14"/>
      <c r="H138" s="15"/>
      <c r="I138" s="14"/>
      <c r="J138" s="101"/>
      <c r="K138" s="102"/>
      <c r="L138" s="101"/>
      <c r="M138" s="14"/>
      <c r="N138" s="14"/>
    </row>
    <row r="139" spans="1:14">
      <c r="A139" s="14"/>
      <c r="C139" s="14"/>
      <c r="D139" s="14"/>
      <c r="E139" s="14"/>
      <c r="F139" s="14"/>
      <c r="G139" s="14"/>
      <c r="H139" s="15"/>
      <c r="I139" s="14"/>
      <c r="J139" s="101"/>
      <c r="K139" s="102"/>
      <c r="L139" s="101"/>
      <c r="M139" s="14"/>
      <c r="N139" s="14"/>
    </row>
    <row r="140" spans="1:14">
      <c r="A140" s="14"/>
      <c r="C140" s="14"/>
      <c r="D140" s="14"/>
      <c r="E140" s="14"/>
      <c r="F140" s="14"/>
      <c r="G140" s="14"/>
      <c r="H140" s="15"/>
      <c r="I140" s="14"/>
      <c r="J140" s="101"/>
      <c r="K140" s="102"/>
      <c r="L140" s="101"/>
      <c r="M140" s="14"/>
      <c r="N140" s="14"/>
    </row>
    <row r="141" spans="1:14">
      <c r="A141" s="14"/>
      <c r="C141" s="14"/>
      <c r="D141" s="14"/>
      <c r="E141" s="14"/>
      <c r="F141" s="14"/>
      <c r="G141" s="14"/>
      <c r="H141" s="15"/>
      <c r="I141" s="14"/>
      <c r="J141" s="101"/>
      <c r="K141" s="102"/>
      <c r="L141" s="101"/>
      <c r="M141" s="14"/>
      <c r="N141" s="14"/>
    </row>
    <row r="142" spans="1:14">
      <c r="A142" s="14"/>
      <c r="C142" s="14"/>
      <c r="D142" s="14"/>
      <c r="E142" s="14"/>
      <c r="F142" s="14"/>
      <c r="G142" s="14"/>
      <c r="H142" s="15"/>
      <c r="I142" s="14"/>
      <c r="J142" s="101"/>
      <c r="K142" s="102"/>
      <c r="L142" s="101"/>
      <c r="M142" s="14"/>
      <c r="N142" s="14"/>
    </row>
    <row r="143" spans="1:14">
      <c r="A143" s="14"/>
      <c r="C143" s="14"/>
      <c r="D143" s="14"/>
      <c r="E143" s="14"/>
      <c r="F143" s="14"/>
      <c r="G143" s="14"/>
      <c r="H143" s="15"/>
      <c r="I143" s="14"/>
      <c r="J143" s="101"/>
      <c r="K143" s="102"/>
      <c r="L143" s="101"/>
      <c r="M143" s="14"/>
      <c r="N143" s="14"/>
    </row>
    <row r="144" spans="1:14">
      <c r="A144" s="14"/>
      <c r="C144" s="14"/>
      <c r="D144" s="14"/>
      <c r="E144" s="14"/>
      <c r="F144" s="14"/>
      <c r="G144" s="14"/>
      <c r="H144" s="15"/>
      <c r="I144" s="14"/>
      <c r="J144" s="101"/>
      <c r="K144" s="102"/>
      <c r="L144" s="101"/>
      <c r="M144" s="14"/>
      <c r="N144" s="14"/>
    </row>
    <row r="145" spans="1:14">
      <c r="A145" s="14"/>
      <c r="C145" s="14"/>
      <c r="D145" s="14"/>
      <c r="E145" s="14"/>
      <c r="F145" s="14"/>
      <c r="G145" s="14"/>
      <c r="H145" s="15"/>
      <c r="I145" s="14"/>
      <c r="J145" s="101"/>
      <c r="K145" s="102"/>
      <c r="L145" s="101"/>
      <c r="M145" s="14"/>
      <c r="N145" s="14"/>
    </row>
    <row r="146" spans="1:14">
      <c r="A146" s="14"/>
      <c r="C146" s="14"/>
      <c r="D146" s="14"/>
      <c r="E146" s="14"/>
      <c r="F146" s="14"/>
      <c r="G146" s="14"/>
      <c r="H146" s="15"/>
      <c r="I146" s="14"/>
      <c r="J146" s="101"/>
      <c r="K146" s="102"/>
      <c r="L146" s="101"/>
      <c r="M146" s="14"/>
      <c r="N146" s="14"/>
    </row>
    <row r="147" spans="1:14">
      <c r="A147" s="14"/>
      <c r="C147" s="14"/>
      <c r="D147" s="14"/>
      <c r="E147" s="14"/>
      <c r="F147" s="14"/>
      <c r="G147" s="14"/>
      <c r="H147" s="15"/>
      <c r="I147" s="14"/>
      <c r="J147" s="101"/>
      <c r="K147" s="102"/>
      <c r="L147" s="101"/>
      <c r="M147" s="14"/>
      <c r="N147" s="14"/>
    </row>
    <row r="148" spans="1:14">
      <c r="A148" s="14"/>
      <c r="C148" s="14"/>
      <c r="D148" s="14"/>
      <c r="E148" s="14"/>
      <c r="F148" s="14"/>
      <c r="G148" s="14"/>
      <c r="H148" s="15"/>
      <c r="I148" s="14"/>
      <c r="J148" s="101"/>
      <c r="K148" s="102"/>
      <c r="L148" s="101"/>
      <c r="M148" s="14"/>
      <c r="N148" s="14"/>
    </row>
    <row r="149" spans="1:14">
      <c r="A149" s="14"/>
      <c r="C149" s="14"/>
      <c r="D149" s="14"/>
      <c r="E149" s="14"/>
      <c r="F149" s="14"/>
      <c r="G149" s="14"/>
      <c r="H149" s="15"/>
      <c r="I149" s="14"/>
      <c r="J149" s="101"/>
      <c r="K149" s="102"/>
      <c r="L149" s="101"/>
      <c r="M149" s="14"/>
      <c r="N149" s="14"/>
    </row>
    <row r="150" spans="1:14">
      <c r="A150" s="14"/>
      <c r="C150" s="14"/>
      <c r="D150" s="14"/>
      <c r="E150" s="14"/>
      <c r="F150" s="14"/>
      <c r="G150" s="14"/>
      <c r="H150" s="15"/>
      <c r="I150" s="14"/>
      <c r="J150" s="101"/>
      <c r="K150" s="102"/>
      <c r="L150" s="101"/>
      <c r="M150" s="14"/>
      <c r="N150" s="14"/>
    </row>
    <row r="151" spans="1:14">
      <c r="A151" s="14"/>
      <c r="C151" s="14"/>
      <c r="D151" s="14"/>
      <c r="E151" s="14"/>
      <c r="F151" s="14"/>
      <c r="G151" s="14"/>
      <c r="H151" s="15"/>
      <c r="I151" s="14"/>
      <c r="J151" s="101"/>
      <c r="K151" s="102"/>
      <c r="L151" s="101"/>
      <c r="M151" s="14"/>
      <c r="N151" s="14"/>
    </row>
    <row r="152" spans="1:14">
      <c r="A152" s="14"/>
      <c r="C152" s="14"/>
      <c r="D152" s="14"/>
      <c r="E152" s="14"/>
      <c r="F152" s="14"/>
      <c r="G152" s="14"/>
      <c r="H152" s="15"/>
      <c r="I152" s="14"/>
      <c r="J152" s="101"/>
      <c r="K152" s="102"/>
      <c r="L152" s="101"/>
      <c r="M152" s="14"/>
      <c r="N152" s="14"/>
    </row>
    <row r="153" spans="1:14">
      <c r="A153" s="14"/>
      <c r="C153" s="14"/>
      <c r="D153" s="14"/>
      <c r="E153" s="14"/>
      <c r="F153" s="14"/>
      <c r="G153" s="14"/>
      <c r="H153" s="15"/>
      <c r="I153" s="14"/>
      <c r="J153" s="101"/>
      <c r="K153" s="102"/>
      <c r="L153" s="101"/>
      <c r="M153" s="14"/>
      <c r="N153" s="14"/>
    </row>
    <row r="154" spans="1:14">
      <c r="A154" s="14"/>
      <c r="C154" s="14"/>
      <c r="D154" s="14"/>
      <c r="E154" s="14"/>
      <c r="F154" s="14"/>
      <c r="G154" s="14"/>
      <c r="H154" s="15"/>
      <c r="I154" s="14"/>
      <c r="J154" s="101"/>
      <c r="K154" s="102"/>
      <c r="L154" s="101"/>
      <c r="M154" s="14"/>
      <c r="N154" s="14"/>
    </row>
    <row r="155" spans="1:14">
      <c r="A155" s="14"/>
      <c r="C155" s="14"/>
      <c r="D155" s="14"/>
      <c r="E155" s="14"/>
      <c r="F155" s="14"/>
      <c r="G155" s="14"/>
      <c r="H155" s="15"/>
      <c r="I155" s="14"/>
      <c r="J155" s="101"/>
      <c r="K155" s="102"/>
      <c r="L155" s="101"/>
      <c r="M155" s="14"/>
      <c r="N155" s="14"/>
    </row>
    <row r="156" spans="1:14">
      <c r="A156" s="14"/>
      <c r="C156" s="14"/>
      <c r="D156" s="14"/>
      <c r="E156" s="14"/>
      <c r="F156" s="14"/>
      <c r="G156" s="14"/>
      <c r="H156" s="15"/>
      <c r="I156" s="14"/>
      <c r="J156" s="101"/>
      <c r="K156" s="102"/>
      <c r="L156" s="101"/>
      <c r="M156" s="14"/>
      <c r="N156" s="14"/>
    </row>
    <row r="157" spans="1:14">
      <c r="A157" s="14"/>
      <c r="C157" s="14"/>
      <c r="D157" s="14"/>
      <c r="E157" s="14"/>
      <c r="F157" s="14"/>
      <c r="G157" s="14"/>
      <c r="H157" s="15"/>
      <c r="I157" s="14"/>
      <c r="J157" s="101"/>
      <c r="K157" s="102"/>
      <c r="L157" s="101"/>
      <c r="M157" s="14"/>
      <c r="N157" s="14"/>
    </row>
    <row r="158" spans="1:14">
      <c r="A158" s="14"/>
      <c r="C158" s="14"/>
      <c r="D158" s="14"/>
      <c r="E158" s="14"/>
      <c r="F158" s="14"/>
      <c r="G158" s="14"/>
      <c r="H158" s="15"/>
      <c r="I158" s="14"/>
      <c r="J158" s="101"/>
      <c r="K158" s="102"/>
      <c r="L158" s="101"/>
      <c r="M158" s="14"/>
      <c r="N158" s="14"/>
    </row>
    <row r="159" spans="1:14">
      <c r="A159" s="14"/>
      <c r="C159" s="14"/>
      <c r="D159" s="14"/>
      <c r="E159" s="14"/>
      <c r="F159" s="14"/>
      <c r="G159" s="14"/>
      <c r="H159" s="15"/>
      <c r="I159" s="14"/>
      <c r="J159" s="101"/>
      <c r="K159" s="102"/>
      <c r="L159" s="101"/>
      <c r="M159" s="14"/>
      <c r="N159" s="14"/>
    </row>
    <row r="160" spans="1:14">
      <c r="A160" s="14"/>
      <c r="C160" s="14"/>
      <c r="D160" s="14"/>
      <c r="E160" s="14"/>
      <c r="F160" s="14"/>
      <c r="G160" s="14"/>
      <c r="H160" s="15"/>
      <c r="I160" s="14"/>
      <c r="J160" s="101"/>
      <c r="K160" s="102"/>
      <c r="L160" s="101"/>
      <c r="M160" s="14"/>
      <c r="N160" s="14"/>
    </row>
    <row r="161" spans="1:14">
      <c r="A161" s="14"/>
      <c r="C161" s="14"/>
      <c r="D161" s="14"/>
      <c r="E161" s="14"/>
      <c r="F161" s="14"/>
      <c r="G161" s="14"/>
      <c r="H161" s="15"/>
      <c r="I161" s="14"/>
      <c r="J161" s="101"/>
      <c r="K161" s="102"/>
      <c r="L161" s="101"/>
      <c r="M161" s="14"/>
      <c r="N161" s="14"/>
    </row>
    <row r="162" spans="1:14">
      <c r="A162" s="14"/>
      <c r="C162" s="14"/>
      <c r="D162" s="14"/>
      <c r="E162" s="14"/>
      <c r="F162" s="14"/>
      <c r="G162" s="14"/>
      <c r="H162" s="15"/>
      <c r="I162" s="14"/>
      <c r="J162" s="101"/>
      <c r="K162" s="102"/>
      <c r="L162" s="101"/>
      <c r="M162" s="14"/>
      <c r="N162" s="14"/>
    </row>
    <row r="163" spans="1:14">
      <c r="A163" s="14"/>
      <c r="C163" s="14"/>
      <c r="D163" s="14"/>
      <c r="E163" s="14"/>
      <c r="F163" s="14"/>
      <c r="G163" s="14"/>
      <c r="H163" s="15"/>
      <c r="I163" s="14"/>
      <c r="J163" s="101"/>
      <c r="K163" s="102"/>
      <c r="L163" s="101"/>
      <c r="M163" s="14"/>
      <c r="N163" s="14"/>
    </row>
    <row r="164" spans="1:14">
      <c r="A164" s="14"/>
      <c r="C164" s="14"/>
      <c r="D164" s="14"/>
      <c r="E164" s="14"/>
      <c r="F164" s="14"/>
      <c r="G164" s="14"/>
      <c r="H164" s="15"/>
      <c r="I164" s="14"/>
      <c r="J164" s="101"/>
      <c r="K164" s="102"/>
      <c r="L164" s="101"/>
      <c r="M164" s="14"/>
      <c r="N164" s="14"/>
    </row>
    <row r="165" spans="1:14">
      <c r="A165" s="14"/>
      <c r="C165" s="14"/>
      <c r="D165" s="14"/>
      <c r="E165" s="14"/>
      <c r="F165" s="14"/>
      <c r="G165" s="14"/>
      <c r="H165" s="15"/>
      <c r="I165" s="14"/>
      <c r="J165" s="101"/>
      <c r="K165" s="102"/>
      <c r="L165" s="101"/>
      <c r="M165" s="14"/>
      <c r="N165" s="14"/>
    </row>
    <row r="166" spans="1:14">
      <c r="A166" s="14"/>
      <c r="C166" s="14"/>
      <c r="D166" s="14"/>
      <c r="E166" s="14"/>
      <c r="F166" s="14"/>
      <c r="G166" s="14"/>
      <c r="H166" s="15"/>
      <c r="I166" s="14"/>
      <c r="J166" s="101"/>
      <c r="K166" s="102"/>
      <c r="L166" s="101"/>
      <c r="M166" s="14"/>
      <c r="N166" s="14"/>
    </row>
    <row r="167" spans="1:14">
      <c r="A167" s="14"/>
      <c r="C167" s="14"/>
      <c r="D167" s="14"/>
      <c r="E167" s="14"/>
      <c r="F167" s="14"/>
      <c r="G167" s="14"/>
      <c r="H167" s="15"/>
      <c r="I167" s="14"/>
      <c r="J167" s="101"/>
      <c r="K167" s="102"/>
      <c r="L167" s="101"/>
      <c r="M167" s="14"/>
      <c r="N167" s="14"/>
    </row>
    <row r="168" spans="1:14">
      <c r="A168" s="14"/>
      <c r="C168" s="14"/>
      <c r="D168" s="14"/>
      <c r="E168" s="14"/>
      <c r="F168" s="14"/>
      <c r="G168" s="14"/>
      <c r="H168" s="15"/>
      <c r="I168" s="14"/>
      <c r="J168" s="101"/>
      <c r="K168" s="102"/>
      <c r="L168" s="101"/>
      <c r="M168" s="14"/>
      <c r="N168" s="14"/>
    </row>
    <row r="169" spans="1:14">
      <c r="A169" s="14"/>
      <c r="C169" s="14"/>
      <c r="D169" s="14"/>
      <c r="E169" s="14"/>
      <c r="F169" s="14"/>
      <c r="G169" s="14"/>
      <c r="H169" s="15"/>
      <c r="I169" s="14"/>
      <c r="J169" s="101"/>
      <c r="K169" s="102"/>
      <c r="L169" s="101"/>
      <c r="M169" s="14"/>
      <c r="N169" s="14"/>
    </row>
    <row r="170" spans="1:14">
      <c r="A170" s="14"/>
      <c r="C170" s="14"/>
      <c r="D170" s="14"/>
      <c r="E170" s="14"/>
      <c r="F170" s="14"/>
      <c r="G170" s="14"/>
      <c r="H170" s="15"/>
      <c r="I170" s="14"/>
      <c r="J170" s="101"/>
      <c r="K170" s="102"/>
      <c r="L170" s="101"/>
      <c r="M170" s="14"/>
      <c r="N170" s="14"/>
    </row>
    <row r="171" spans="1:14">
      <c r="A171" s="14"/>
      <c r="C171" s="14"/>
      <c r="D171" s="14"/>
      <c r="E171" s="14"/>
      <c r="F171" s="14"/>
      <c r="G171" s="14"/>
      <c r="H171" s="15"/>
      <c r="I171" s="14"/>
      <c r="J171" s="101"/>
      <c r="K171" s="102"/>
      <c r="L171" s="101"/>
      <c r="M171" s="14"/>
      <c r="N171" s="14"/>
    </row>
    <row r="172" spans="1:14">
      <c r="A172" s="14"/>
      <c r="C172" s="14"/>
      <c r="D172" s="14"/>
      <c r="E172" s="14"/>
      <c r="F172" s="14"/>
      <c r="G172" s="14"/>
      <c r="H172" s="15"/>
      <c r="I172" s="14"/>
      <c r="J172" s="101"/>
      <c r="K172" s="102"/>
      <c r="L172" s="101"/>
      <c r="M172" s="14"/>
      <c r="N172" s="14"/>
    </row>
    <row r="173" spans="1:14">
      <c r="A173" s="14"/>
      <c r="C173" s="14"/>
      <c r="D173" s="14"/>
      <c r="E173" s="14"/>
      <c r="F173" s="14"/>
      <c r="G173" s="14"/>
      <c r="H173" s="15"/>
      <c r="I173" s="14"/>
      <c r="J173" s="101"/>
      <c r="K173" s="102"/>
      <c r="L173" s="101"/>
      <c r="M173" s="14"/>
      <c r="N173" s="14"/>
    </row>
    <row r="174" spans="1:14">
      <c r="A174" s="14"/>
      <c r="C174" s="14"/>
      <c r="D174" s="14"/>
      <c r="E174" s="14"/>
      <c r="F174" s="14"/>
      <c r="G174" s="14"/>
      <c r="H174" s="15"/>
      <c r="I174" s="14"/>
      <c r="J174" s="101"/>
      <c r="K174" s="102"/>
      <c r="L174" s="101"/>
      <c r="M174" s="14"/>
      <c r="N174" s="14"/>
    </row>
    <row r="175" spans="1:14">
      <c r="A175" s="14"/>
      <c r="C175" s="14"/>
      <c r="D175" s="14"/>
      <c r="E175" s="14"/>
      <c r="F175" s="14"/>
      <c r="G175" s="14"/>
      <c r="H175" s="15"/>
      <c r="I175" s="14"/>
      <c r="J175" s="101"/>
      <c r="K175" s="102"/>
      <c r="L175" s="101"/>
      <c r="M175" s="14"/>
      <c r="N175" s="14"/>
    </row>
    <row r="176" spans="1:14">
      <c r="A176" s="14"/>
      <c r="C176" s="14"/>
      <c r="D176" s="14"/>
      <c r="E176" s="14"/>
      <c r="F176" s="14"/>
      <c r="G176" s="14"/>
      <c r="H176" s="15"/>
      <c r="I176" s="14"/>
      <c r="J176" s="101"/>
      <c r="K176" s="102"/>
      <c r="L176" s="101"/>
      <c r="M176" s="14"/>
      <c r="N176" s="14"/>
    </row>
    <row r="177" spans="1:14">
      <c r="A177" s="14"/>
      <c r="C177" s="14"/>
      <c r="D177" s="14"/>
      <c r="E177" s="14"/>
      <c r="F177" s="14"/>
      <c r="G177" s="14"/>
      <c r="H177" s="15"/>
      <c r="I177" s="14"/>
      <c r="J177" s="101"/>
      <c r="K177" s="102"/>
      <c r="L177" s="101"/>
      <c r="M177" s="14"/>
      <c r="N177" s="14"/>
    </row>
    <row r="178" spans="1:14">
      <c r="A178" s="14"/>
      <c r="C178" s="14"/>
      <c r="D178" s="14"/>
      <c r="E178" s="14"/>
      <c r="F178" s="14"/>
      <c r="G178" s="14"/>
      <c r="H178" s="15"/>
      <c r="I178" s="14"/>
      <c r="J178" s="101"/>
      <c r="K178" s="102"/>
      <c r="L178" s="101"/>
      <c r="M178" s="14"/>
      <c r="N178" s="14"/>
    </row>
    <row r="179" spans="1:14">
      <c r="A179" s="14"/>
      <c r="C179" s="14"/>
      <c r="D179" s="14"/>
      <c r="E179" s="14"/>
      <c r="F179" s="14"/>
      <c r="G179" s="14"/>
      <c r="H179" s="15"/>
      <c r="I179" s="14"/>
      <c r="J179" s="101"/>
      <c r="K179" s="102"/>
      <c r="L179" s="101"/>
      <c r="M179" s="14"/>
      <c r="N179" s="14"/>
    </row>
    <row r="180" spans="1:14">
      <c r="A180" s="14"/>
      <c r="C180" s="14"/>
      <c r="D180" s="14"/>
      <c r="E180" s="14"/>
      <c r="F180" s="14"/>
      <c r="G180" s="14"/>
      <c r="H180" s="15"/>
      <c r="I180" s="14"/>
      <c r="J180" s="101"/>
      <c r="K180" s="102"/>
      <c r="L180" s="101"/>
      <c r="M180" s="14"/>
      <c r="N180" s="14"/>
    </row>
    <row r="181" spans="1:14">
      <c r="A181" s="14"/>
      <c r="C181" s="14"/>
      <c r="D181" s="14"/>
      <c r="E181" s="14"/>
      <c r="F181" s="14"/>
      <c r="G181" s="14"/>
      <c r="H181" s="15"/>
      <c r="I181" s="14"/>
      <c r="J181" s="101"/>
      <c r="K181" s="102"/>
      <c r="L181" s="101"/>
      <c r="M181" s="14"/>
      <c r="N181" s="14"/>
    </row>
    <row r="182" spans="1:14">
      <c r="A182" s="14"/>
      <c r="C182" s="14"/>
      <c r="D182" s="14"/>
      <c r="E182" s="14"/>
      <c r="F182" s="14"/>
      <c r="G182" s="14"/>
      <c r="H182" s="15"/>
      <c r="I182" s="14"/>
      <c r="J182" s="101"/>
      <c r="K182" s="102"/>
      <c r="L182" s="101"/>
      <c r="M182" s="14"/>
      <c r="N182" s="14"/>
    </row>
    <row r="183" spans="1:14">
      <c r="A183" s="14"/>
      <c r="C183" s="14"/>
      <c r="D183" s="14"/>
      <c r="E183" s="14"/>
      <c r="F183" s="14"/>
      <c r="G183" s="14"/>
      <c r="H183" s="15"/>
      <c r="I183" s="14"/>
      <c r="J183" s="101"/>
      <c r="K183" s="102"/>
      <c r="L183" s="101"/>
      <c r="M183" s="14"/>
      <c r="N183" s="14"/>
    </row>
    <row r="184" spans="1:14">
      <c r="A184" s="14"/>
      <c r="C184" s="14"/>
      <c r="D184" s="14"/>
      <c r="E184" s="14"/>
      <c r="F184" s="14"/>
      <c r="G184" s="14"/>
      <c r="H184" s="15"/>
      <c r="I184" s="14"/>
      <c r="J184" s="101"/>
      <c r="K184" s="102"/>
      <c r="L184" s="101"/>
      <c r="M184" s="14"/>
      <c r="N184" s="14"/>
    </row>
    <row r="185" spans="1:14">
      <c r="A185" s="14"/>
      <c r="C185" s="14"/>
      <c r="D185" s="14"/>
      <c r="E185" s="14"/>
      <c r="F185" s="14"/>
      <c r="G185" s="14"/>
      <c r="H185" s="15"/>
      <c r="I185" s="14"/>
      <c r="J185" s="101"/>
      <c r="K185" s="102"/>
      <c r="L185" s="101"/>
      <c r="M185" s="14"/>
      <c r="N185" s="14"/>
    </row>
    <row r="186" spans="1:14">
      <c r="A186" s="14"/>
      <c r="C186" s="14"/>
      <c r="D186" s="14"/>
      <c r="E186" s="14"/>
      <c r="F186" s="14"/>
      <c r="G186" s="14"/>
      <c r="H186" s="15"/>
      <c r="I186" s="14"/>
      <c r="J186" s="101"/>
      <c r="K186" s="102"/>
      <c r="L186" s="101"/>
      <c r="M186" s="14"/>
      <c r="N186" s="14"/>
    </row>
    <row r="187" spans="1:14">
      <c r="A187" s="14"/>
      <c r="C187" s="14"/>
      <c r="D187" s="14"/>
      <c r="E187" s="14"/>
      <c r="F187" s="14"/>
      <c r="G187" s="14"/>
      <c r="H187" s="15"/>
      <c r="I187" s="14"/>
      <c r="J187" s="101"/>
      <c r="K187" s="102"/>
      <c r="L187" s="101"/>
      <c r="M187" s="14"/>
      <c r="N187" s="14"/>
    </row>
    <row r="188" spans="1:14">
      <c r="A188" s="14"/>
      <c r="C188" s="14"/>
      <c r="D188" s="14"/>
      <c r="E188" s="14"/>
      <c r="F188" s="14"/>
      <c r="G188" s="14"/>
      <c r="H188" s="15"/>
      <c r="I188" s="14"/>
      <c r="J188" s="101"/>
      <c r="K188" s="102"/>
      <c r="L188" s="101"/>
      <c r="M188" s="14"/>
      <c r="N188" s="14"/>
    </row>
    <row r="189" spans="1:14">
      <c r="A189" s="14"/>
      <c r="C189" s="14"/>
      <c r="D189" s="14"/>
      <c r="E189" s="14"/>
      <c r="F189" s="14"/>
      <c r="G189" s="14"/>
      <c r="H189" s="15"/>
      <c r="I189" s="14"/>
      <c r="J189" s="101"/>
      <c r="K189" s="102"/>
      <c r="L189" s="101"/>
      <c r="M189" s="14"/>
      <c r="N189" s="14"/>
    </row>
    <row r="190" spans="1:14">
      <c r="A190" s="14"/>
      <c r="C190" s="14"/>
      <c r="D190" s="14"/>
      <c r="E190" s="14"/>
      <c r="F190" s="14"/>
      <c r="G190" s="14"/>
      <c r="H190" s="15"/>
      <c r="I190" s="14"/>
      <c r="J190" s="101"/>
      <c r="K190" s="102"/>
      <c r="L190" s="101"/>
      <c r="M190" s="14"/>
      <c r="N190" s="14"/>
    </row>
    <row r="191" spans="1:14">
      <c r="A191" s="14"/>
      <c r="C191" s="14"/>
      <c r="D191" s="14"/>
      <c r="E191" s="14"/>
      <c r="F191" s="14"/>
      <c r="G191" s="14"/>
      <c r="H191" s="15"/>
      <c r="I191" s="14"/>
      <c r="J191" s="101"/>
      <c r="K191" s="102"/>
      <c r="L191" s="101"/>
      <c r="M191" s="14"/>
      <c r="N191" s="14"/>
    </row>
    <row r="192" spans="1:14">
      <c r="A192" s="14"/>
      <c r="C192" s="14"/>
      <c r="D192" s="14"/>
      <c r="E192" s="14"/>
      <c r="F192" s="14"/>
      <c r="G192" s="14"/>
      <c r="H192" s="15"/>
      <c r="I192" s="14"/>
      <c r="J192" s="101"/>
      <c r="K192" s="102"/>
      <c r="L192" s="101"/>
      <c r="M192" s="14"/>
      <c r="N192" s="14"/>
    </row>
    <row r="193" spans="1:14">
      <c r="A193" s="14"/>
      <c r="C193" s="14"/>
      <c r="D193" s="14"/>
      <c r="E193" s="14"/>
      <c r="F193" s="14"/>
      <c r="G193" s="14"/>
      <c r="H193" s="15"/>
      <c r="I193" s="14"/>
      <c r="J193" s="101"/>
      <c r="K193" s="102"/>
      <c r="L193" s="101"/>
      <c r="M193" s="14"/>
      <c r="N193" s="14"/>
    </row>
    <row r="194" spans="1:14">
      <c r="A194" s="14"/>
      <c r="C194" s="14"/>
      <c r="D194" s="14"/>
      <c r="E194" s="14"/>
      <c r="F194" s="14"/>
      <c r="G194" s="14"/>
      <c r="H194" s="15"/>
      <c r="I194" s="14"/>
      <c r="J194" s="101"/>
      <c r="K194" s="102"/>
      <c r="L194" s="101"/>
      <c r="M194" s="14"/>
      <c r="N194" s="14"/>
    </row>
    <row r="195" spans="1:14">
      <c r="A195" s="14"/>
      <c r="C195" s="14"/>
      <c r="D195" s="14"/>
      <c r="E195" s="14"/>
      <c r="F195" s="14"/>
      <c r="G195" s="14"/>
      <c r="H195" s="15"/>
      <c r="I195" s="14"/>
      <c r="J195" s="101"/>
      <c r="K195" s="102"/>
      <c r="L195" s="101"/>
      <c r="M195" s="14"/>
      <c r="N195" s="14"/>
    </row>
    <row r="196" spans="1:14">
      <c r="A196" s="14"/>
      <c r="C196" s="14"/>
      <c r="D196" s="14"/>
      <c r="E196" s="14"/>
      <c r="F196" s="14"/>
      <c r="G196" s="14"/>
      <c r="H196" s="15"/>
      <c r="I196" s="14"/>
      <c r="J196" s="101"/>
      <c r="K196" s="102"/>
      <c r="L196" s="101"/>
      <c r="M196" s="14"/>
      <c r="N196" s="14"/>
    </row>
    <row r="197" spans="1:14">
      <c r="A197" s="14"/>
      <c r="C197" s="14"/>
      <c r="D197" s="14"/>
      <c r="E197" s="14"/>
      <c r="F197" s="14"/>
      <c r="G197" s="14"/>
      <c r="H197" s="15"/>
      <c r="I197" s="14"/>
      <c r="J197" s="101"/>
      <c r="K197" s="102"/>
      <c r="L197" s="101"/>
      <c r="M197" s="14"/>
      <c r="N197" s="14"/>
    </row>
    <row r="198" spans="1:14">
      <c r="A198" s="14"/>
      <c r="C198" s="14"/>
      <c r="D198" s="14"/>
      <c r="E198" s="14"/>
      <c r="F198" s="14"/>
      <c r="G198" s="14"/>
      <c r="H198" s="15"/>
      <c r="I198" s="14"/>
      <c r="J198" s="101"/>
      <c r="K198" s="102"/>
      <c r="L198" s="101"/>
      <c r="M198" s="14"/>
      <c r="N198" s="14"/>
    </row>
    <row r="199" spans="1:14">
      <c r="A199" s="14"/>
      <c r="C199" s="14"/>
      <c r="D199" s="14"/>
      <c r="E199" s="14"/>
      <c r="F199" s="14"/>
      <c r="G199" s="14"/>
      <c r="H199" s="15"/>
      <c r="I199" s="14"/>
      <c r="J199" s="101"/>
      <c r="K199" s="102"/>
      <c r="L199" s="101"/>
      <c r="M199" s="14"/>
      <c r="N199" s="14"/>
    </row>
    <row r="200" spans="1:14">
      <c r="A200" s="14"/>
      <c r="C200" s="14"/>
      <c r="D200" s="14"/>
      <c r="E200" s="14"/>
      <c r="F200" s="14"/>
      <c r="G200" s="14"/>
      <c r="H200" s="15"/>
      <c r="I200" s="14"/>
      <c r="J200" s="101"/>
      <c r="K200" s="102"/>
      <c r="L200" s="101"/>
      <c r="M200" s="14"/>
      <c r="N200" s="14"/>
    </row>
  </sheetData>
  <autoFilter xmlns:etc="http://www.wps.cn/officeDocument/2017/etCustomData" ref="A1:T200" etc:filterBottomFollowUsedRange="0">
    <extLst/>
  </autoFilter>
  <pageMargins left="0.7" right="0.7" top="0.75" bottom="0.75" header="0.3" footer="0.3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R2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7" defaultRowHeight="11.4"/>
  <cols>
    <col min="1" max="1" width="14.4895833333333" customWidth="1"/>
    <col min="2" max="2" width="16.59375" customWidth="1"/>
    <col min="3" max="3" width="15.0208333333333" customWidth="1"/>
    <col min="4" max="8" width="16.59375" customWidth="1"/>
    <col min="9" max="9" width="14.6666666666667" customWidth="1"/>
    <col min="10" max="10" width="13.7916666666667" customWidth="1"/>
    <col min="11" max="11" width="16.59375" customWidth="1"/>
    <col min="12" max="13" width="19.7291666666667" customWidth="1"/>
    <col min="14" max="18" width="16.59375" customWidth="1"/>
  </cols>
  <sheetData>
    <row r="1" ht="15.6" spans="1:18">
      <c r="A1" s="79" t="s">
        <v>949</v>
      </c>
      <c r="B1" s="79" t="s">
        <v>950</v>
      </c>
      <c r="C1" s="79" t="s">
        <v>951</v>
      </c>
      <c r="D1" s="79" t="s">
        <v>952</v>
      </c>
      <c r="E1" s="79" t="s">
        <v>953</v>
      </c>
      <c r="F1" s="79" t="s">
        <v>954</v>
      </c>
      <c r="G1" s="79" t="s">
        <v>955</v>
      </c>
      <c r="H1" s="79" t="s">
        <v>956</v>
      </c>
      <c r="I1" s="80" t="s">
        <v>957</v>
      </c>
      <c r="J1" s="79" t="s">
        <v>958</v>
      </c>
      <c r="K1" s="79" t="s">
        <v>959</v>
      </c>
      <c r="L1" s="79" t="s">
        <v>960</v>
      </c>
      <c r="M1" s="79" t="s">
        <v>961</v>
      </c>
      <c r="N1" s="79" t="s">
        <v>962</v>
      </c>
      <c r="O1" s="79" t="s">
        <v>963</v>
      </c>
      <c r="P1" s="79" t="s">
        <v>964</v>
      </c>
      <c r="Q1" s="79" t="s">
        <v>965</v>
      </c>
    </row>
    <row r="2" ht="15" spans="1:18">
      <c r="A2" s="81">
        <v>45839</v>
      </c>
      <c r="B2" s="82">
        <f>1140-200</f>
        <v>940</v>
      </c>
      <c r="C2" s="53">
        <v>0</v>
      </c>
      <c r="D2" s="53">
        <v>0</v>
      </c>
      <c r="E2" s="53">
        <v>0</v>
      </c>
      <c r="F2" s="53">
        <v>800</v>
      </c>
      <c r="G2" s="94">
        <v>940</v>
      </c>
      <c r="H2" s="94">
        <v>559</v>
      </c>
      <c r="I2" s="68">
        <f>G2-H2</f>
        <v>381</v>
      </c>
      <c r="J2" s="83"/>
      <c r="K2" s="84"/>
      <c r="L2" s="84"/>
      <c r="M2" s="84"/>
      <c r="N2" s="53"/>
      <c r="O2" s="53"/>
      <c r="P2" s="53">
        <v>65</v>
      </c>
      <c r="Q2" s="53">
        <v>30</v>
      </c>
    </row>
    <row r="3" ht="15" spans="1:18">
      <c r="A3" s="81">
        <v>45870</v>
      </c>
      <c r="B3" s="82">
        <f>B2-G2+C2</f>
        <v>0</v>
      </c>
      <c r="C3" s="53"/>
      <c r="D3" s="53">
        <v>0</v>
      </c>
      <c r="E3" s="53">
        <v>0</v>
      </c>
      <c r="F3" s="53">
        <v>340</v>
      </c>
      <c r="G3" s="94">
        <v>0</v>
      </c>
      <c r="H3" s="94">
        <v>312</v>
      </c>
      <c r="I3" s="68">
        <f t="shared" ref="I3:I14" si="0">G3+I2-H3</f>
        <v>69</v>
      </c>
      <c r="J3" s="86"/>
      <c r="K3" s="84"/>
      <c r="L3" s="84">
        <f>K3-55</f>
        <v>-55</v>
      </c>
      <c r="M3" s="84">
        <f>L3-55</f>
        <v>-110</v>
      </c>
      <c r="N3" s="53"/>
      <c r="O3" s="53"/>
      <c r="P3" s="53">
        <v>65</v>
      </c>
      <c r="Q3" s="53">
        <v>30</v>
      </c>
    </row>
    <row r="4" ht="15" spans="1:18">
      <c r="A4" s="81">
        <v>45901</v>
      </c>
      <c r="B4" s="82">
        <v>0</v>
      </c>
      <c r="C4" s="53">
        <v>1500</v>
      </c>
      <c r="D4" s="53">
        <v>0</v>
      </c>
      <c r="E4" s="53">
        <v>0</v>
      </c>
      <c r="F4" s="53">
        <v>500</v>
      </c>
      <c r="G4" s="94">
        <v>624</v>
      </c>
      <c r="H4" s="94">
        <v>70</v>
      </c>
      <c r="I4" s="68">
        <f t="shared" si="0"/>
        <v>623</v>
      </c>
      <c r="J4" s="87" t="s">
        <v>966</v>
      </c>
      <c r="K4" s="84">
        <v>45901</v>
      </c>
      <c r="L4" s="84">
        <f t="shared" ref="L4:L20" si="1">K4-P4</f>
        <v>45871</v>
      </c>
      <c r="M4" s="84">
        <f t="shared" ref="M4:M20" si="2">L4-Q4</f>
        <v>45841</v>
      </c>
      <c r="N4" s="87"/>
      <c r="O4" s="87"/>
      <c r="P4" s="53">
        <v>30</v>
      </c>
      <c r="Q4" s="53">
        <v>30</v>
      </c>
    </row>
    <row r="5" ht="15" spans="1:18">
      <c r="A5" s="81">
        <v>45931</v>
      </c>
      <c r="B5" s="82">
        <f>B4-G4+C4</f>
        <v>876</v>
      </c>
      <c r="C5" s="53">
        <v>0</v>
      </c>
      <c r="D5" s="53">
        <v>0</v>
      </c>
      <c r="E5" s="53">
        <v>0</v>
      </c>
      <c r="F5" s="53">
        <v>740</v>
      </c>
      <c r="G5" s="94">
        <v>876</v>
      </c>
      <c r="H5" s="94">
        <v>434</v>
      </c>
      <c r="I5" s="68">
        <f t="shared" si="0"/>
        <v>1065</v>
      </c>
      <c r="J5" s="87"/>
      <c r="K5" s="84"/>
      <c r="L5" s="84">
        <f t="shared" si="1"/>
        <v>-65</v>
      </c>
      <c r="M5" s="84">
        <f t="shared" si="2"/>
        <v>-95</v>
      </c>
      <c r="N5" s="87"/>
      <c r="O5" s="87"/>
      <c r="P5" s="53">
        <v>65</v>
      </c>
      <c r="Q5" s="53">
        <v>30</v>
      </c>
    </row>
    <row r="6" ht="15" spans="1:18">
      <c r="A6" s="81">
        <v>45962</v>
      </c>
      <c r="B6" s="82">
        <v>0</v>
      </c>
      <c r="C6" s="53">
        <v>1000</v>
      </c>
      <c r="D6" s="53">
        <v>0</v>
      </c>
      <c r="E6" s="53">
        <v>0</v>
      </c>
      <c r="F6" s="53">
        <v>800</v>
      </c>
      <c r="G6" s="94">
        <v>1000</v>
      </c>
      <c r="H6" s="89">
        <v>1890</v>
      </c>
      <c r="I6" s="68">
        <f t="shared" si="0"/>
        <v>175</v>
      </c>
      <c r="J6" s="87" t="s">
        <v>966</v>
      </c>
      <c r="K6" s="84">
        <v>45962</v>
      </c>
      <c r="L6" s="84">
        <f t="shared" si="1"/>
        <v>45897</v>
      </c>
      <c r="M6" s="84">
        <f t="shared" si="2"/>
        <v>45867</v>
      </c>
      <c r="N6" s="87"/>
      <c r="O6" s="87"/>
      <c r="P6" s="53">
        <v>65</v>
      </c>
      <c r="Q6" s="53">
        <v>30</v>
      </c>
      <c r="R6" s="15"/>
    </row>
    <row r="7" ht="15" spans="1:18">
      <c r="A7" s="81">
        <v>45992</v>
      </c>
      <c r="B7" s="82">
        <f t="shared" ref="B7:B20" si="3">B6-G6+C6</f>
        <v>0</v>
      </c>
      <c r="C7" s="53">
        <v>2000</v>
      </c>
      <c r="D7" s="53">
        <v>0</v>
      </c>
      <c r="E7" s="53">
        <v>0</v>
      </c>
      <c r="F7" s="68">
        <v>1000</v>
      </c>
      <c r="G7" s="89">
        <v>952</v>
      </c>
      <c r="H7" s="89">
        <v>120</v>
      </c>
      <c r="I7" s="68">
        <f t="shared" si="0"/>
        <v>1007</v>
      </c>
      <c r="J7" s="87" t="s">
        <v>966</v>
      </c>
      <c r="K7" s="84">
        <v>46011</v>
      </c>
      <c r="L7" s="84">
        <f t="shared" si="1"/>
        <v>45946</v>
      </c>
      <c r="M7" s="84">
        <f t="shared" si="2"/>
        <v>45916</v>
      </c>
      <c r="N7" s="87"/>
      <c r="O7" s="87"/>
      <c r="P7" s="53">
        <v>65</v>
      </c>
      <c r="Q7" s="53">
        <v>30</v>
      </c>
    </row>
    <row r="8" ht="15" spans="1:18">
      <c r="A8" s="81">
        <v>46023</v>
      </c>
      <c r="B8" s="82">
        <f t="shared" si="3"/>
        <v>1048</v>
      </c>
      <c r="C8" s="53">
        <v>500</v>
      </c>
      <c r="D8" s="53">
        <v>0</v>
      </c>
      <c r="E8" s="53">
        <v>0</v>
      </c>
      <c r="F8" s="68">
        <v>1000</v>
      </c>
      <c r="G8" s="89">
        <v>968</v>
      </c>
      <c r="H8" s="89">
        <v>860</v>
      </c>
      <c r="I8" s="68">
        <f t="shared" si="0"/>
        <v>1115</v>
      </c>
      <c r="J8" s="87" t="s">
        <v>966</v>
      </c>
      <c r="K8" s="84">
        <v>46042</v>
      </c>
      <c r="L8" s="84">
        <f t="shared" si="1"/>
        <v>45982</v>
      </c>
      <c r="M8" s="84">
        <f t="shared" si="2"/>
        <v>45952</v>
      </c>
      <c r="N8" s="87"/>
      <c r="O8" s="87"/>
      <c r="P8" s="53">
        <v>60</v>
      </c>
      <c r="Q8" s="53">
        <v>30</v>
      </c>
    </row>
    <row r="9" ht="15" spans="1:18">
      <c r="A9" s="81">
        <v>46054</v>
      </c>
      <c r="B9" s="82">
        <f t="shared" si="3"/>
        <v>580</v>
      </c>
      <c r="C9" s="68">
        <v>1800</v>
      </c>
      <c r="D9" s="53">
        <v>0</v>
      </c>
      <c r="E9" s="53">
        <v>0</v>
      </c>
      <c r="F9" s="53">
        <v>800</v>
      </c>
      <c r="G9" s="89">
        <v>892</v>
      </c>
      <c r="H9" s="89">
        <v>1016</v>
      </c>
      <c r="I9" s="68">
        <f t="shared" si="0"/>
        <v>991</v>
      </c>
      <c r="J9" s="87" t="s">
        <v>966</v>
      </c>
      <c r="K9" s="84">
        <v>46073</v>
      </c>
      <c r="L9" s="84">
        <f t="shared" si="1"/>
        <v>46008</v>
      </c>
      <c r="M9" s="84">
        <f t="shared" si="2"/>
        <v>45978</v>
      </c>
      <c r="N9" s="87"/>
      <c r="O9" s="87"/>
      <c r="P9" s="53">
        <v>65</v>
      </c>
      <c r="Q9" s="53">
        <v>30</v>
      </c>
    </row>
    <row r="10" ht="15" spans="1:18">
      <c r="A10" s="81">
        <v>46082</v>
      </c>
      <c r="B10" s="82">
        <f t="shared" si="3"/>
        <v>1488</v>
      </c>
      <c r="C10" s="68">
        <v>0</v>
      </c>
      <c r="D10" s="53">
        <v>0</v>
      </c>
      <c r="E10" s="53">
        <v>0</v>
      </c>
      <c r="F10" s="68">
        <v>800</v>
      </c>
      <c r="G10" s="89">
        <v>1484</v>
      </c>
      <c r="H10" s="89">
        <v>1063</v>
      </c>
      <c r="I10" s="68">
        <f t="shared" si="0"/>
        <v>1412</v>
      </c>
      <c r="J10" s="87"/>
      <c r="K10" s="84"/>
      <c r="L10" s="84">
        <f t="shared" si="1"/>
        <v>-65</v>
      </c>
      <c r="M10" s="84">
        <f t="shared" si="2"/>
        <v>-95</v>
      </c>
      <c r="N10" s="87"/>
      <c r="O10" s="87"/>
      <c r="P10" s="53">
        <v>65</v>
      </c>
      <c r="Q10" s="53">
        <v>30</v>
      </c>
    </row>
    <row r="11" ht="15" spans="1:18">
      <c r="A11" s="81">
        <v>46113</v>
      </c>
      <c r="B11" s="82">
        <f t="shared" si="3"/>
        <v>4</v>
      </c>
      <c r="C11" s="68">
        <v>1000</v>
      </c>
      <c r="D11" s="53">
        <v>0</v>
      </c>
      <c r="E11" s="53">
        <v>0</v>
      </c>
      <c r="F11" s="68">
        <v>700</v>
      </c>
      <c r="G11" s="89">
        <v>784</v>
      </c>
      <c r="H11" s="89">
        <v>860</v>
      </c>
      <c r="I11" s="68">
        <f t="shared" si="0"/>
        <v>1336</v>
      </c>
      <c r="J11" s="87" t="s">
        <v>966</v>
      </c>
      <c r="K11" s="84">
        <v>46132</v>
      </c>
      <c r="L11" s="84">
        <f t="shared" si="1"/>
        <v>46067</v>
      </c>
      <c r="M11" s="84">
        <f t="shared" si="2"/>
        <v>46037</v>
      </c>
      <c r="N11" s="87"/>
      <c r="O11" s="87"/>
      <c r="P11" s="53">
        <v>65</v>
      </c>
      <c r="Q11" s="53">
        <v>30</v>
      </c>
    </row>
    <row r="12" ht="15" spans="1:18">
      <c r="A12" s="81">
        <v>46143</v>
      </c>
      <c r="B12" s="82">
        <f t="shared" si="3"/>
        <v>220</v>
      </c>
      <c r="C12" s="68">
        <v>1200</v>
      </c>
      <c r="D12" s="53">
        <v>0</v>
      </c>
      <c r="E12" s="53">
        <v>0</v>
      </c>
      <c r="F12" s="53">
        <v>800</v>
      </c>
      <c r="G12" s="68">
        <v>1200</v>
      </c>
      <c r="H12" s="68">
        <v>1200</v>
      </c>
      <c r="I12" s="68">
        <f t="shared" si="0"/>
        <v>1336</v>
      </c>
      <c r="J12" s="87" t="s">
        <v>966</v>
      </c>
      <c r="K12" s="84">
        <v>46146</v>
      </c>
      <c r="L12" s="84">
        <f t="shared" si="1"/>
        <v>46086</v>
      </c>
      <c r="M12" s="84">
        <f t="shared" si="2"/>
        <v>46056</v>
      </c>
      <c r="N12" s="87"/>
      <c r="O12" s="87"/>
      <c r="P12" s="68">
        <v>60</v>
      </c>
      <c r="Q12" s="53">
        <v>30</v>
      </c>
    </row>
    <row r="13" ht="15" spans="1:18">
      <c r="A13" s="81">
        <v>46174</v>
      </c>
      <c r="B13" s="82">
        <f t="shared" si="3"/>
        <v>220</v>
      </c>
      <c r="C13" s="91">
        <v>1300</v>
      </c>
      <c r="D13" s="53">
        <v>0</v>
      </c>
      <c r="E13" s="53">
        <v>0</v>
      </c>
      <c r="F13" s="68">
        <v>1200</v>
      </c>
      <c r="G13" s="68">
        <v>0</v>
      </c>
      <c r="H13" s="68">
        <v>0</v>
      </c>
      <c r="I13" s="68">
        <f t="shared" si="0"/>
        <v>1336</v>
      </c>
      <c r="J13" s="87" t="s">
        <v>967</v>
      </c>
      <c r="K13" s="84">
        <v>46178</v>
      </c>
      <c r="L13" s="84">
        <f t="shared" si="1"/>
        <v>46123</v>
      </c>
      <c r="M13" s="84">
        <f t="shared" si="2"/>
        <v>46093</v>
      </c>
      <c r="N13" s="87"/>
      <c r="O13" s="87"/>
      <c r="P13" s="68">
        <v>55</v>
      </c>
      <c r="Q13" s="53">
        <v>30</v>
      </c>
    </row>
    <row r="14" ht="15" spans="1:18">
      <c r="A14" s="81">
        <v>46174</v>
      </c>
      <c r="B14" s="82">
        <f t="shared" si="3"/>
        <v>1520</v>
      </c>
      <c r="C14" s="91">
        <v>1200</v>
      </c>
      <c r="D14" s="53">
        <v>0</v>
      </c>
      <c r="E14" s="53">
        <v>0</v>
      </c>
      <c r="F14" s="68">
        <v>1200</v>
      </c>
      <c r="G14" s="68">
        <v>1800</v>
      </c>
      <c r="H14" s="68">
        <v>1200</v>
      </c>
      <c r="I14" s="68">
        <f t="shared" si="0"/>
        <v>1936</v>
      </c>
      <c r="J14" s="95" t="s">
        <v>967</v>
      </c>
      <c r="K14" s="84">
        <v>46178</v>
      </c>
      <c r="L14" s="84">
        <f t="shared" si="1"/>
        <v>46123</v>
      </c>
      <c r="M14" s="84">
        <f t="shared" si="2"/>
        <v>46093</v>
      </c>
      <c r="N14" s="95"/>
      <c r="O14" s="95"/>
      <c r="P14" s="53">
        <v>55</v>
      </c>
      <c r="Q14" s="53">
        <v>30</v>
      </c>
      <c r="R14" s="15"/>
    </row>
    <row r="15" ht="15" spans="1:18">
      <c r="A15" s="81">
        <v>46204</v>
      </c>
      <c r="B15" s="82">
        <f t="shared" si="3"/>
        <v>920</v>
      </c>
      <c r="C15" s="91">
        <v>1000</v>
      </c>
      <c r="D15" s="53">
        <v>0</v>
      </c>
      <c r="E15" s="53">
        <v>0</v>
      </c>
      <c r="F15" s="53">
        <v>800</v>
      </c>
      <c r="G15" s="68">
        <v>1200</v>
      </c>
      <c r="H15" s="68">
        <v>1500</v>
      </c>
      <c r="I15" s="68">
        <f>G15+I13-H15</f>
        <v>1036</v>
      </c>
      <c r="J15" s="87" t="s">
        <v>967</v>
      </c>
      <c r="K15" s="84">
        <v>46204</v>
      </c>
      <c r="L15" s="84">
        <f t="shared" si="1"/>
        <v>46149</v>
      </c>
      <c r="M15" s="84">
        <f t="shared" si="2"/>
        <v>46119</v>
      </c>
      <c r="N15" s="87"/>
      <c r="O15" s="87"/>
      <c r="P15" s="53">
        <v>55</v>
      </c>
      <c r="Q15" s="53">
        <v>30</v>
      </c>
    </row>
    <row r="16" ht="15" spans="1:18">
      <c r="A16" s="81">
        <v>46235</v>
      </c>
      <c r="B16" s="82">
        <f t="shared" si="3"/>
        <v>720</v>
      </c>
      <c r="C16" s="91">
        <v>1600</v>
      </c>
      <c r="D16" s="53">
        <v>0</v>
      </c>
      <c r="E16" s="53">
        <v>0</v>
      </c>
      <c r="F16" s="53">
        <v>800</v>
      </c>
      <c r="G16" s="53">
        <v>1200</v>
      </c>
      <c r="H16" s="53">
        <v>1200</v>
      </c>
      <c r="I16" s="68">
        <f>G16+I15-H16</f>
        <v>1036</v>
      </c>
      <c r="J16" s="87" t="s">
        <v>968</v>
      </c>
      <c r="K16" s="84">
        <v>45870</v>
      </c>
      <c r="L16" s="84">
        <f t="shared" si="1"/>
        <v>45815</v>
      </c>
      <c r="M16" s="84">
        <f t="shared" si="2"/>
        <v>45785</v>
      </c>
      <c r="N16" s="87"/>
      <c r="O16" s="87"/>
      <c r="P16" s="53">
        <v>55</v>
      </c>
      <c r="Q16" s="53">
        <v>30</v>
      </c>
    </row>
    <row r="17" ht="15" spans="1:17">
      <c r="A17" s="81">
        <v>46266</v>
      </c>
      <c r="B17" s="82">
        <f t="shared" si="3"/>
        <v>1120</v>
      </c>
      <c r="C17" s="68">
        <v>1400</v>
      </c>
      <c r="D17" s="53">
        <v>0</v>
      </c>
      <c r="E17" s="53">
        <v>0</v>
      </c>
      <c r="F17" s="53">
        <v>900</v>
      </c>
      <c r="G17" s="53">
        <v>1200</v>
      </c>
      <c r="H17" s="53">
        <v>1200</v>
      </c>
      <c r="I17" s="68">
        <f>G17+I16-H17</f>
        <v>1036</v>
      </c>
      <c r="J17" s="87"/>
      <c r="K17" s="84">
        <v>46275</v>
      </c>
      <c r="L17" s="84">
        <f t="shared" si="1"/>
        <v>46220</v>
      </c>
      <c r="M17" s="84">
        <f t="shared" si="2"/>
        <v>46190</v>
      </c>
      <c r="N17" s="87"/>
      <c r="O17" s="87"/>
      <c r="P17" s="53">
        <v>55</v>
      </c>
      <c r="Q17" s="53">
        <v>30</v>
      </c>
    </row>
    <row r="18" ht="15" spans="1:17">
      <c r="A18" s="81">
        <v>46296</v>
      </c>
      <c r="B18" s="82">
        <f t="shared" si="3"/>
        <v>1320</v>
      </c>
      <c r="C18" s="68">
        <v>1500</v>
      </c>
      <c r="D18" s="53">
        <v>0</v>
      </c>
      <c r="E18" s="53">
        <v>0</v>
      </c>
      <c r="F18" s="53">
        <v>1000</v>
      </c>
      <c r="G18" s="53">
        <v>1500</v>
      </c>
      <c r="H18" s="53">
        <v>1500</v>
      </c>
      <c r="I18" s="68">
        <f>G18+I17-H18</f>
        <v>1036</v>
      </c>
      <c r="J18" s="87"/>
      <c r="K18" s="84">
        <v>46305</v>
      </c>
      <c r="L18" s="84">
        <f t="shared" si="1"/>
        <v>46250</v>
      </c>
      <c r="M18" s="84">
        <f t="shared" si="2"/>
        <v>46220</v>
      </c>
      <c r="N18" s="87"/>
      <c r="O18" s="87"/>
      <c r="P18" s="53">
        <v>55</v>
      </c>
      <c r="Q18" s="53">
        <v>30</v>
      </c>
    </row>
    <row r="19" ht="15" spans="1:17">
      <c r="A19" s="81">
        <v>46327</v>
      </c>
      <c r="B19" s="82">
        <f t="shared" si="3"/>
        <v>1320</v>
      </c>
      <c r="C19" s="53">
        <v>1300</v>
      </c>
      <c r="D19" s="53">
        <v>0</v>
      </c>
      <c r="E19" s="53">
        <v>0</v>
      </c>
      <c r="F19" s="53">
        <v>1000</v>
      </c>
      <c r="G19" s="53">
        <v>1500</v>
      </c>
      <c r="H19" s="53">
        <v>1500</v>
      </c>
      <c r="I19" s="68">
        <f>G19+I18-H19</f>
        <v>1036</v>
      </c>
      <c r="J19" s="87"/>
      <c r="K19" s="84">
        <v>46341</v>
      </c>
      <c r="L19" s="84">
        <f t="shared" si="1"/>
        <v>46286</v>
      </c>
      <c r="M19" s="84">
        <f t="shared" si="2"/>
        <v>46256</v>
      </c>
      <c r="N19" s="87"/>
      <c r="O19" s="87"/>
      <c r="P19" s="53">
        <v>55</v>
      </c>
      <c r="Q19" s="53">
        <v>30</v>
      </c>
    </row>
    <row r="20" ht="15" spans="1:17">
      <c r="A20" s="96">
        <v>46357</v>
      </c>
      <c r="B20" s="82">
        <f t="shared" si="3"/>
        <v>1120</v>
      </c>
      <c r="C20" s="53"/>
      <c r="D20" s="53">
        <v>0</v>
      </c>
      <c r="E20" s="53">
        <v>0</v>
      </c>
      <c r="F20" s="53">
        <v>800</v>
      </c>
      <c r="G20" s="68">
        <v>1200</v>
      </c>
      <c r="H20" s="53">
        <v>1200</v>
      </c>
      <c r="I20" s="68">
        <f>G20+I19-H20</f>
        <v>1036</v>
      </c>
      <c r="J20" s="87"/>
      <c r="K20" s="84"/>
      <c r="L20" s="84">
        <f t="shared" si="1"/>
        <v>-55</v>
      </c>
      <c r="M20" s="84">
        <f t="shared" si="2"/>
        <v>-85</v>
      </c>
      <c r="N20" s="87"/>
      <c r="O20" s="87"/>
      <c r="P20" s="53">
        <v>55</v>
      </c>
      <c r="Q20" s="53">
        <v>30</v>
      </c>
    </row>
    <row r="21" spans="1:17">
      <c r="A21" s="78"/>
      <c r="B21" s="78"/>
      <c r="C21" s="8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</row>
    <row r="22" ht="15.6" spans="1:17">
      <c r="A22" s="79" t="s">
        <v>949</v>
      </c>
      <c r="B22" s="79" t="s">
        <v>950</v>
      </c>
      <c r="C22" s="79" t="s">
        <v>951</v>
      </c>
      <c r="D22" s="79" t="s">
        <v>952</v>
      </c>
      <c r="E22" s="79" t="s">
        <v>953</v>
      </c>
      <c r="F22" s="79" t="s">
        <v>954</v>
      </c>
      <c r="G22" s="79" t="s">
        <v>955</v>
      </c>
      <c r="H22" s="79" t="s">
        <v>956</v>
      </c>
      <c r="I22" s="79" t="s">
        <v>957</v>
      </c>
      <c r="J22" s="79" t="s">
        <v>958</v>
      </c>
      <c r="K22" s="79" t="s">
        <v>959</v>
      </c>
      <c r="L22" s="79" t="s">
        <v>960</v>
      </c>
      <c r="M22" s="79" t="s">
        <v>961</v>
      </c>
      <c r="N22" s="79" t="s">
        <v>962</v>
      </c>
      <c r="O22" s="79" t="s">
        <v>963</v>
      </c>
      <c r="P22" s="79" t="s">
        <v>964</v>
      </c>
      <c r="Q22" s="79" t="s">
        <v>965</v>
      </c>
    </row>
    <row r="23" ht="15" spans="1:17">
      <c r="A23" s="81">
        <v>45839</v>
      </c>
      <c r="B23" s="82">
        <v>340</v>
      </c>
      <c r="C23" s="53">
        <v>0</v>
      </c>
      <c r="D23" s="53">
        <v>0</v>
      </c>
      <c r="E23" s="53">
        <v>0</v>
      </c>
      <c r="F23" s="53">
        <v>80</v>
      </c>
      <c r="G23" s="94">
        <v>132</v>
      </c>
      <c r="H23" s="94">
        <v>47</v>
      </c>
      <c r="I23" s="68">
        <f>G23-H23</f>
        <v>85</v>
      </c>
      <c r="J23" s="83"/>
      <c r="K23" s="84"/>
      <c r="L23" s="84"/>
      <c r="M23" s="84"/>
      <c r="N23" s="53"/>
      <c r="O23" s="53"/>
      <c r="P23" s="68">
        <v>60</v>
      </c>
      <c r="Q23" s="53">
        <v>30</v>
      </c>
    </row>
    <row r="24" ht="15" spans="1:17">
      <c r="A24" s="81">
        <v>45870</v>
      </c>
      <c r="B24" s="82">
        <f t="shared" ref="B24:B40" si="4">B23-G23+C23</f>
        <v>208</v>
      </c>
      <c r="C24" s="68">
        <v>0</v>
      </c>
      <c r="D24" s="53">
        <v>0</v>
      </c>
      <c r="E24" s="53">
        <v>0</v>
      </c>
      <c r="F24" s="53">
        <v>120</v>
      </c>
      <c r="G24" s="94">
        <v>204</v>
      </c>
      <c r="H24" s="94">
        <v>167</v>
      </c>
      <c r="I24" s="68">
        <f t="shared" ref="I24:I40" si="5">G24+I23-H24</f>
        <v>122</v>
      </c>
      <c r="J24" s="86"/>
      <c r="K24" s="84"/>
      <c r="L24" s="84">
        <f>K24-55</f>
        <v>-55</v>
      </c>
      <c r="M24" s="84">
        <f>L24-55</f>
        <v>-110</v>
      </c>
      <c r="N24" s="53"/>
      <c r="O24" s="53"/>
      <c r="P24" s="53">
        <v>60</v>
      </c>
      <c r="Q24" s="53">
        <v>30</v>
      </c>
    </row>
    <row r="25" ht="15" spans="1:17">
      <c r="A25" s="81">
        <v>45901</v>
      </c>
      <c r="B25" s="82">
        <f t="shared" si="4"/>
        <v>4</v>
      </c>
      <c r="C25" s="53">
        <v>500</v>
      </c>
      <c r="D25" s="53">
        <v>0</v>
      </c>
      <c r="E25" s="53">
        <v>0</v>
      </c>
      <c r="F25" s="53">
        <v>140</v>
      </c>
      <c r="G25" s="94">
        <v>232</v>
      </c>
      <c r="H25" s="94">
        <v>109</v>
      </c>
      <c r="I25" s="68">
        <f t="shared" si="5"/>
        <v>245</v>
      </c>
      <c r="J25" s="87" t="s">
        <v>966</v>
      </c>
      <c r="K25" s="84">
        <v>45931</v>
      </c>
      <c r="L25" s="84">
        <f t="shared" ref="L25:L40" si="6">K25-P25</f>
        <v>45871</v>
      </c>
      <c r="M25" s="84">
        <f t="shared" ref="M25:M40" si="7">L25-Q25</f>
        <v>45841</v>
      </c>
      <c r="N25" s="87"/>
      <c r="O25" s="87"/>
      <c r="P25" s="53">
        <v>60</v>
      </c>
      <c r="Q25" s="53">
        <v>30</v>
      </c>
    </row>
    <row r="26" ht="15" spans="1:17">
      <c r="A26" s="81">
        <v>45931</v>
      </c>
      <c r="B26" s="82">
        <f t="shared" si="4"/>
        <v>272</v>
      </c>
      <c r="C26" s="53">
        <v>0</v>
      </c>
      <c r="D26" s="53">
        <v>0</v>
      </c>
      <c r="E26" s="53">
        <v>0</v>
      </c>
      <c r="F26" s="53">
        <v>150</v>
      </c>
      <c r="G26" s="94">
        <v>136</v>
      </c>
      <c r="H26" s="94">
        <v>107</v>
      </c>
      <c r="I26" s="68">
        <f t="shared" si="5"/>
        <v>274</v>
      </c>
      <c r="J26" s="87"/>
      <c r="K26" s="84"/>
      <c r="L26" s="84">
        <f t="shared" si="6"/>
        <v>-60</v>
      </c>
      <c r="M26" s="84">
        <f t="shared" si="7"/>
        <v>-90</v>
      </c>
      <c r="N26" s="87"/>
      <c r="O26" s="87"/>
      <c r="P26" s="53">
        <v>60</v>
      </c>
      <c r="Q26" s="53">
        <v>30</v>
      </c>
    </row>
    <row r="27" ht="15" spans="1:17">
      <c r="A27" s="81">
        <v>45962</v>
      </c>
      <c r="B27" s="82">
        <f t="shared" si="4"/>
        <v>136</v>
      </c>
      <c r="C27" s="53">
        <v>0</v>
      </c>
      <c r="D27" s="53">
        <v>0</v>
      </c>
      <c r="E27" s="53">
        <v>0</v>
      </c>
      <c r="F27" s="53">
        <v>136</v>
      </c>
      <c r="G27" s="94">
        <v>128</v>
      </c>
      <c r="H27" s="89">
        <v>183</v>
      </c>
      <c r="I27" s="68">
        <f t="shared" si="5"/>
        <v>219</v>
      </c>
      <c r="J27" s="87"/>
      <c r="K27" s="84"/>
      <c r="L27" s="84">
        <f t="shared" si="6"/>
        <v>-60</v>
      </c>
      <c r="M27" s="84">
        <f t="shared" si="7"/>
        <v>-90</v>
      </c>
      <c r="N27" s="87"/>
      <c r="O27" s="87"/>
      <c r="P27" s="53">
        <v>60</v>
      </c>
      <c r="Q27" s="53">
        <v>30</v>
      </c>
    </row>
    <row r="28" ht="15" spans="1:17">
      <c r="A28" s="81">
        <v>45992</v>
      </c>
      <c r="B28" s="82">
        <f t="shared" si="4"/>
        <v>8</v>
      </c>
      <c r="C28" s="53">
        <v>500</v>
      </c>
      <c r="D28" s="53">
        <v>0</v>
      </c>
      <c r="E28" s="53">
        <v>0</v>
      </c>
      <c r="F28" s="53">
        <v>180</v>
      </c>
      <c r="G28" s="94">
        <v>84</v>
      </c>
      <c r="H28" s="89">
        <v>136</v>
      </c>
      <c r="I28" s="68">
        <f t="shared" si="5"/>
        <v>167</v>
      </c>
      <c r="J28" s="87" t="s">
        <v>966</v>
      </c>
      <c r="K28" s="84">
        <v>45992</v>
      </c>
      <c r="L28" s="84">
        <f t="shared" si="6"/>
        <v>45932</v>
      </c>
      <c r="M28" s="84">
        <f t="shared" si="7"/>
        <v>45902</v>
      </c>
      <c r="N28" s="87"/>
      <c r="O28" s="87"/>
      <c r="P28" s="53">
        <v>60</v>
      </c>
      <c r="Q28" s="53">
        <v>30</v>
      </c>
    </row>
    <row r="29" ht="15" spans="1:17">
      <c r="A29" s="81">
        <v>46023</v>
      </c>
      <c r="B29" s="82">
        <f t="shared" si="4"/>
        <v>424</v>
      </c>
      <c r="C29" s="53">
        <v>0</v>
      </c>
      <c r="D29" s="53">
        <v>0</v>
      </c>
      <c r="E29" s="53">
        <v>0</v>
      </c>
      <c r="F29" s="53">
        <v>180</v>
      </c>
      <c r="G29" s="94">
        <v>88</v>
      </c>
      <c r="H29" s="89">
        <v>126</v>
      </c>
      <c r="I29" s="68">
        <f t="shared" si="5"/>
        <v>129</v>
      </c>
      <c r="J29" s="87"/>
      <c r="K29" s="84"/>
      <c r="L29" s="84">
        <f t="shared" si="6"/>
        <v>-60</v>
      </c>
      <c r="M29" s="84">
        <f t="shared" si="7"/>
        <v>-90</v>
      </c>
      <c r="N29" s="87"/>
      <c r="O29" s="87"/>
      <c r="P29" s="53">
        <v>60</v>
      </c>
      <c r="Q29" s="53">
        <v>30</v>
      </c>
    </row>
    <row r="30" ht="15" spans="1:17">
      <c r="A30" s="81">
        <v>46054</v>
      </c>
      <c r="B30" s="82">
        <f t="shared" si="4"/>
        <v>336</v>
      </c>
      <c r="C30" s="53">
        <v>700</v>
      </c>
      <c r="D30" s="53">
        <v>0</v>
      </c>
      <c r="E30" s="53">
        <v>0</v>
      </c>
      <c r="F30" s="53">
        <v>210</v>
      </c>
      <c r="G30" s="94">
        <v>120</v>
      </c>
      <c r="H30" s="89">
        <v>133</v>
      </c>
      <c r="I30" s="68">
        <f t="shared" si="5"/>
        <v>116</v>
      </c>
      <c r="J30" s="87" t="s">
        <v>966</v>
      </c>
      <c r="K30" s="84">
        <v>46073</v>
      </c>
      <c r="L30" s="84">
        <f t="shared" si="6"/>
        <v>46013</v>
      </c>
      <c r="M30" s="84">
        <f t="shared" si="7"/>
        <v>45983</v>
      </c>
      <c r="N30" s="87"/>
      <c r="O30" s="87"/>
      <c r="P30" s="53">
        <v>60</v>
      </c>
      <c r="Q30" s="53">
        <v>30</v>
      </c>
    </row>
    <row r="31" ht="15" spans="1:17">
      <c r="A31" s="81">
        <v>46082</v>
      </c>
      <c r="B31" s="82">
        <f t="shared" si="4"/>
        <v>916</v>
      </c>
      <c r="C31" s="53">
        <v>0</v>
      </c>
      <c r="D31" s="53">
        <v>0</v>
      </c>
      <c r="E31" s="53">
        <v>0</v>
      </c>
      <c r="F31" s="53">
        <v>225</v>
      </c>
      <c r="G31" s="89">
        <v>540</v>
      </c>
      <c r="H31" s="89">
        <v>112</v>
      </c>
      <c r="I31" s="68">
        <f t="shared" si="5"/>
        <v>544</v>
      </c>
      <c r="J31" s="87"/>
      <c r="K31" s="84"/>
      <c r="L31" s="84">
        <f t="shared" si="6"/>
        <v>-60</v>
      </c>
      <c r="M31" s="84">
        <f t="shared" si="7"/>
        <v>-90</v>
      </c>
      <c r="N31" s="87"/>
      <c r="O31" s="87"/>
      <c r="P31" s="53">
        <v>60</v>
      </c>
      <c r="Q31" s="53">
        <v>30</v>
      </c>
    </row>
    <row r="32" ht="15" spans="1:17">
      <c r="A32" s="81">
        <v>46113</v>
      </c>
      <c r="B32" s="82">
        <f t="shared" si="4"/>
        <v>376</v>
      </c>
      <c r="C32" s="53">
        <v>0</v>
      </c>
      <c r="D32" s="53">
        <v>0</v>
      </c>
      <c r="E32" s="53">
        <v>0</v>
      </c>
      <c r="F32" s="53">
        <v>225</v>
      </c>
      <c r="G32" s="89">
        <v>0</v>
      </c>
      <c r="H32" s="89">
        <v>82</v>
      </c>
      <c r="I32" s="68">
        <f t="shared" si="5"/>
        <v>462</v>
      </c>
      <c r="J32" s="87"/>
      <c r="K32" s="84"/>
      <c r="L32" s="84">
        <f t="shared" si="6"/>
        <v>-60</v>
      </c>
      <c r="M32" s="84">
        <f t="shared" si="7"/>
        <v>-90</v>
      </c>
      <c r="N32" s="87"/>
      <c r="O32" s="87"/>
      <c r="P32" s="53">
        <v>60</v>
      </c>
      <c r="Q32" s="53">
        <v>30</v>
      </c>
    </row>
    <row r="33" ht="15" spans="1:17">
      <c r="A33" s="81">
        <v>46143</v>
      </c>
      <c r="B33" s="82">
        <f t="shared" si="4"/>
        <v>376</v>
      </c>
      <c r="C33" s="68">
        <v>0</v>
      </c>
      <c r="D33" s="53">
        <v>0</v>
      </c>
      <c r="E33" s="53">
        <v>0</v>
      </c>
      <c r="F33" s="53">
        <v>240</v>
      </c>
      <c r="G33" s="53">
        <v>120</v>
      </c>
      <c r="H33" s="53">
        <v>120</v>
      </c>
      <c r="I33" s="68">
        <f t="shared" si="5"/>
        <v>462</v>
      </c>
      <c r="J33" s="87"/>
      <c r="K33" s="84"/>
      <c r="L33" s="84">
        <f t="shared" si="6"/>
        <v>-60</v>
      </c>
      <c r="M33" s="84">
        <f t="shared" si="7"/>
        <v>-90</v>
      </c>
      <c r="N33" s="87"/>
      <c r="O33" s="87"/>
      <c r="P33" s="53">
        <v>60</v>
      </c>
      <c r="Q33" s="53">
        <v>30</v>
      </c>
    </row>
    <row r="34" ht="15" spans="1:17">
      <c r="A34" s="81">
        <v>46174</v>
      </c>
      <c r="B34" s="82">
        <f t="shared" si="4"/>
        <v>256</v>
      </c>
      <c r="C34" s="97">
        <v>500</v>
      </c>
      <c r="D34" s="53">
        <v>0</v>
      </c>
      <c r="E34" s="53">
        <v>0</v>
      </c>
      <c r="F34" s="53">
        <v>300</v>
      </c>
      <c r="G34" s="53">
        <v>150</v>
      </c>
      <c r="H34" s="53">
        <v>150</v>
      </c>
      <c r="I34" s="68">
        <f t="shared" si="5"/>
        <v>462</v>
      </c>
      <c r="J34" s="87" t="s">
        <v>967</v>
      </c>
      <c r="K34" s="84">
        <v>46188</v>
      </c>
      <c r="L34" s="84">
        <f t="shared" si="6"/>
        <v>46128</v>
      </c>
      <c r="M34" s="84">
        <f t="shared" si="7"/>
        <v>46098</v>
      </c>
      <c r="N34" s="87"/>
      <c r="O34" s="87"/>
      <c r="P34" s="53">
        <v>60</v>
      </c>
      <c r="Q34" s="53">
        <v>30</v>
      </c>
    </row>
    <row r="35" ht="15" spans="1:17">
      <c r="A35" s="81">
        <v>46204</v>
      </c>
      <c r="B35" s="82">
        <f t="shared" si="4"/>
        <v>606</v>
      </c>
      <c r="C35" s="68">
        <v>0</v>
      </c>
      <c r="D35" s="53">
        <v>0</v>
      </c>
      <c r="E35" s="53">
        <v>0</v>
      </c>
      <c r="F35" s="53">
        <v>240</v>
      </c>
      <c r="G35" s="53">
        <v>150</v>
      </c>
      <c r="H35" s="53">
        <v>150</v>
      </c>
      <c r="I35" s="68">
        <f t="shared" si="5"/>
        <v>462</v>
      </c>
      <c r="J35" s="87"/>
      <c r="K35" s="84"/>
      <c r="L35" s="84">
        <f t="shared" si="6"/>
        <v>-60</v>
      </c>
      <c r="M35" s="84">
        <f t="shared" si="7"/>
        <v>-90</v>
      </c>
      <c r="N35" s="87"/>
      <c r="O35" s="87"/>
      <c r="P35" s="53">
        <v>60</v>
      </c>
      <c r="Q35" s="53">
        <v>30</v>
      </c>
    </row>
    <row r="36" ht="15" spans="1:17">
      <c r="A36" s="81">
        <v>46235</v>
      </c>
      <c r="B36" s="82">
        <f t="shared" si="4"/>
        <v>456</v>
      </c>
      <c r="C36" s="68">
        <v>0</v>
      </c>
      <c r="D36" s="53">
        <v>0</v>
      </c>
      <c r="E36" s="53">
        <v>0</v>
      </c>
      <c r="F36" s="53">
        <v>275</v>
      </c>
      <c r="G36" s="53">
        <v>150</v>
      </c>
      <c r="H36" s="53">
        <v>150</v>
      </c>
      <c r="I36" s="68">
        <f t="shared" si="5"/>
        <v>462</v>
      </c>
      <c r="J36" s="87"/>
      <c r="K36" s="84"/>
      <c r="L36" s="84">
        <f t="shared" si="6"/>
        <v>-60</v>
      </c>
      <c r="M36" s="84">
        <f t="shared" si="7"/>
        <v>-90</v>
      </c>
      <c r="N36" s="87"/>
      <c r="O36" s="87"/>
      <c r="P36" s="53">
        <v>60</v>
      </c>
      <c r="Q36" s="53">
        <v>30</v>
      </c>
    </row>
    <row r="37" ht="15" spans="1:17">
      <c r="A37" s="81">
        <v>46266</v>
      </c>
      <c r="B37" s="82">
        <f t="shared" si="4"/>
        <v>306</v>
      </c>
      <c r="C37" s="68">
        <v>0</v>
      </c>
      <c r="D37" s="53">
        <v>0</v>
      </c>
      <c r="E37" s="53">
        <v>0</v>
      </c>
      <c r="F37" s="53">
        <v>330</v>
      </c>
      <c r="G37" s="53">
        <v>150</v>
      </c>
      <c r="H37" s="53">
        <v>150</v>
      </c>
      <c r="I37" s="68">
        <f t="shared" si="5"/>
        <v>462</v>
      </c>
      <c r="J37" s="87"/>
      <c r="K37" s="84"/>
      <c r="L37" s="84">
        <f t="shared" si="6"/>
        <v>-60</v>
      </c>
      <c r="M37" s="84">
        <f t="shared" si="7"/>
        <v>-90</v>
      </c>
      <c r="N37" s="87"/>
      <c r="O37" s="87"/>
      <c r="P37" s="53">
        <v>60</v>
      </c>
      <c r="Q37" s="53">
        <v>30</v>
      </c>
    </row>
    <row r="38" ht="15" spans="1:17">
      <c r="A38" s="81">
        <v>46296</v>
      </c>
      <c r="B38" s="82">
        <f t="shared" si="4"/>
        <v>156</v>
      </c>
      <c r="C38" s="68">
        <v>500</v>
      </c>
      <c r="D38" s="53">
        <v>0</v>
      </c>
      <c r="E38" s="53">
        <v>0</v>
      </c>
      <c r="F38" s="53">
        <v>400</v>
      </c>
      <c r="G38" s="53">
        <v>150</v>
      </c>
      <c r="H38" s="53">
        <v>150</v>
      </c>
      <c r="I38" s="68">
        <f t="shared" si="5"/>
        <v>462</v>
      </c>
      <c r="J38" s="87"/>
      <c r="K38" s="84">
        <v>46296</v>
      </c>
      <c r="L38" s="84">
        <f t="shared" si="6"/>
        <v>46236</v>
      </c>
      <c r="M38" s="84">
        <f t="shared" si="7"/>
        <v>46206</v>
      </c>
      <c r="N38" s="87"/>
      <c r="O38" s="87"/>
      <c r="P38" s="53">
        <v>60</v>
      </c>
      <c r="Q38" s="53">
        <v>30</v>
      </c>
    </row>
    <row r="39" ht="15" spans="1:17">
      <c r="A39" s="81">
        <v>46327</v>
      </c>
      <c r="B39" s="82">
        <f t="shared" si="4"/>
        <v>506</v>
      </c>
      <c r="C39" s="68">
        <v>0</v>
      </c>
      <c r="D39" s="53">
        <v>0</v>
      </c>
      <c r="E39" s="53">
        <v>0</v>
      </c>
      <c r="F39" s="53">
        <v>400</v>
      </c>
      <c r="G39" s="53">
        <v>150</v>
      </c>
      <c r="H39" s="53">
        <v>150</v>
      </c>
      <c r="I39" s="68">
        <f t="shared" si="5"/>
        <v>462</v>
      </c>
      <c r="J39" s="87"/>
      <c r="K39" s="84"/>
      <c r="L39" s="84">
        <f t="shared" si="6"/>
        <v>-60</v>
      </c>
      <c r="M39" s="84">
        <f t="shared" si="7"/>
        <v>-90</v>
      </c>
      <c r="N39" s="87"/>
      <c r="O39" s="87"/>
      <c r="P39" s="53">
        <v>60</v>
      </c>
      <c r="Q39" s="53">
        <v>30</v>
      </c>
    </row>
    <row r="40" ht="15" spans="1:17">
      <c r="A40" s="81">
        <v>46357</v>
      </c>
      <c r="B40" s="82">
        <f t="shared" si="4"/>
        <v>356</v>
      </c>
      <c r="C40" s="68">
        <v>0</v>
      </c>
      <c r="D40" s="53">
        <v>0</v>
      </c>
      <c r="E40" s="53">
        <v>0</v>
      </c>
      <c r="F40" s="53">
        <v>300</v>
      </c>
      <c r="G40" s="53">
        <v>150</v>
      </c>
      <c r="H40" s="53">
        <v>150</v>
      </c>
      <c r="I40" s="68">
        <f t="shared" si="5"/>
        <v>462</v>
      </c>
      <c r="J40" s="87"/>
      <c r="K40" s="84"/>
      <c r="L40" s="84">
        <f t="shared" si="6"/>
        <v>-60</v>
      </c>
      <c r="M40" s="84">
        <f t="shared" si="7"/>
        <v>-90</v>
      </c>
      <c r="N40" s="87"/>
      <c r="O40" s="87"/>
      <c r="P40" s="53">
        <v>60</v>
      </c>
      <c r="Q40" s="53">
        <v>30</v>
      </c>
    </row>
    <row r="41" ht="15" spans="1:17">
      <c r="A41" s="78"/>
      <c r="B41" s="78"/>
      <c r="C41" s="8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53"/>
      <c r="Q41" s="78"/>
    </row>
    <row r="42" spans="1:17">
      <c r="A42" s="78"/>
      <c r="B42" s="78"/>
      <c r="C42" s="8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</row>
    <row r="43" spans="1:17">
      <c r="A43" s="78"/>
      <c r="B43" s="78"/>
      <c r="C43" s="8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</row>
    <row r="44" spans="1:17">
      <c r="A44" s="78"/>
      <c r="B44" s="78"/>
      <c r="C44" s="8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</row>
    <row r="45" spans="1:17">
      <c r="A45" s="78"/>
      <c r="B45" s="78"/>
      <c r="C45" s="8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</row>
    <row r="46" spans="1:17">
      <c r="A46" s="78"/>
      <c r="B46" s="78"/>
      <c r="C46" s="8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</row>
    <row r="47" spans="1:17">
      <c r="A47" s="78"/>
      <c r="B47" s="78"/>
      <c r="C47" s="8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</row>
    <row r="48" spans="1:17">
      <c r="A48" s="78"/>
      <c r="B48" s="78"/>
      <c r="C48" s="8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</row>
    <row r="49" spans="1:17">
      <c r="A49" s="78"/>
      <c r="B49" s="78"/>
      <c r="C49" s="8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</row>
    <row r="50" spans="1:17">
      <c r="A50" s="78"/>
      <c r="B50" s="78"/>
      <c r="C50" s="8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</row>
    <row r="51" spans="1:17">
      <c r="A51" s="78"/>
      <c r="B51" s="78"/>
      <c r="C51" s="8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</row>
    <row r="52" spans="1:17">
      <c r="A52" s="78"/>
      <c r="B52" s="78"/>
      <c r="C52" s="8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</row>
    <row r="53" spans="1:17">
      <c r="A53" s="78"/>
      <c r="B53" s="78"/>
      <c r="C53" s="8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</row>
    <row r="54" spans="1:17">
      <c r="A54" s="78"/>
      <c r="B54" s="78"/>
      <c r="C54" s="8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</row>
    <row r="55" spans="1:17">
      <c r="A55" s="78"/>
      <c r="B55" s="78"/>
      <c r="C55" s="8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</row>
    <row r="56" spans="1:17">
      <c r="A56" s="78"/>
      <c r="B56" s="78"/>
      <c r="C56" s="8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</row>
    <row r="57" spans="1:17">
      <c r="A57" s="78"/>
      <c r="B57" s="78"/>
      <c r="C57" s="8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</row>
    <row r="58" spans="1:17">
      <c r="A58" s="78"/>
      <c r="B58" s="78"/>
      <c r="C58" s="8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</row>
    <row r="59" spans="1:17">
      <c r="A59" s="78"/>
      <c r="B59" s="78"/>
      <c r="C59" s="8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</row>
    <row r="60" spans="1:17">
      <c r="A60" s="78"/>
      <c r="B60" s="78"/>
      <c r="C60" s="8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</row>
    <row r="61" spans="1:17">
      <c r="A61" s="78"/>
      <c r="B61" s="78"/>
      <c r="C61" s="8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</row>
    <row r="62" spans="1:17">
      <c r="A62" s="78"/>
      <c r="B62" s="78"/>
      <c r="C62" s="8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</row>
    <row r="63" spans="1:17">
      <c r="A63" s="78"/>
      <c r="B63" s="78"/>
      <c r="C63" s="8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</row>
    <row r="64" spans="1:17">
      <c r="A64" s="78"/>
      <c r="B64" s="78"/>
      <c r="C64" s="8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</row>
    <row r="65" spans="1:17">
      <c r="A65" s="78"/>
      <c r="B65" s="78"/>
      <c r="C65" s="8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</row>
    <row r="66" spans="1:17">
      <c r="A66" s="78"/>
      <c r="B66" s="78"/>
      <c r="C66" s="8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</row>
    <row r="67" spans="1:17">
      <c r="A67" s="78"/>
      <c r="B67" s="78"/>
      <c r="C67" s="8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</row>
    <row r="68" spans="1:17">
      <c r="A68" s="78"/>
      <c r="B68" s="78"/>
      <c r="C68" s="8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</row>
    <row r="69" spans="1:17">
      <c r="A69" s="78"/>
      <c r="B69" s="78"/>
      <c r="C69" s="8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</row>
    <row r="70" spans="1:17">
      <c r="A70" s="78"/>
      <c r="B70" s="78"/>
      <c r="C70" s="8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</row>
    <row r="71" spans="1:17">
      <c r="A71" s="78"/>
      <c r="B71" s="78"/>
      <c r="C71" s="8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</row>
    <row r="72" spans="1:17">
      <c r="A72" s="78"/>
      <c r="B72" s="78"/>
      <c r="C72" s="8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</row>
    <row r="73" spans="1:17">
      <c r="A73" s="78"/>
      <c r="B73" s="78"/>
      <c r="C73" s="8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</row>
    <row r="74" spans="1:17">
      <c r="A74" s="78"/>
      <c r="B74" s="78"/>
      <c r="C74" s="8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</row>
    <row r="75" spans="1:17">
      <c r="A75" s="78"/>
      <c r="B75" s="78"/>
      <c r="C75" s="8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</row>
    <row r="76" spans="1:17">
      <c r="A76" s="78"/>
      <c r="B76" s="78"/>
      <c r="C76" s="8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</row>
    <row r="77" spans="1:17">
      <c r="A77" s="78"/>
      <c r="B77" s="78"/>
      <c r="C77" s="8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</row>
    <row r="78" spans="1:17">
      <c r="A78" s="78"/>
      <c r="B78" s="78"/>
      <c r="C78" s="8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</row>
    <row r="79" spans="1:17">
      <c r="A79" s="78"/>
      <c r="B79" s="78"/>
      <c r="C79" s="8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</row>
    <row r="80" spans="1:17">
      <c r="A80" s="78"/>
      <c r="B80" s="78"/>
      <c r="C80" s="8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</row>
    <row r="81" spans="1:17">
      <c r="A81" s="78"/>
      <c r="B81" s="78"/>
      <c r="C81" s="8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</row>
    <row r="82" spans="1:17">
      <c r="A82" s="78"/>
      <c r="B82" s="78"/>
      <c r="C82" s="8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</row>
    <row r="83" spans="1:17">
      <c r="A83" s="78"/>
      <c r="B83" s="78"/>
      <c r="C83" s="8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</row>
    <row r="84" spans="1:17">
      <c r="A84" s="78"/>
      <c r="B84" s="78"/>
      <c r="C84" s="8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</row>
    <row r="85" spans="1:17">
      <c r="A85" s="78"/>
      <c r="B85" s="78"/>
      <c r="C85" s="8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</row>
    <row r="86" spans="1:17">
      <c r="A86" s="78"/>
      <c r="B86" s="78"/>
      <c r="C86" s="8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</row>
    <row r="87" spans="1:17">
      <c r="A87" s="78"/>
      <c r="B87" s="78"/>
      <c r="C87" s="8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</row>
    <row r="88" spans="1:17">
      <c r="A88" s="78"/>
      <c r="B88" s="78"/>
      <c r="C88" s="8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</row>
    <row r="89" spans="1:17">
      <c r="A89" s="78"/>
      <c r="B89" s="78"/>
      <c r="C89" s="8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</row>
    <row r="90" spans="1:17">
      <c r="A90" s="78"/>
      <c r="B90" s="78"/>
      <c r="C90" s="8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</row>
    <row r="91" spans="1:17">
      <c r="A91" s="78"/>
      <c r="B91" s="78"/>
      <c r="C91" s="8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</row>
    <row r="92" spans="1:17">
      <c r="A92" s="78"/>
      <c r="B92" s="78"/>
      <c r="C92" s="8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</row>
    <row r="93" spans="1:17">
      <c r="A93" s="78"/>
      <c r="B93" s="78"/>
      <c r="C93" s="8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</row>
    <row r="94" spans="1:17">
      <c r="A94" s="78"/>
      <c r="B94" s="78"/>
      <c r="C94" s="8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</row>
    <row r="95" spans="1:17">
      <c r="A95" s="78"/>
      <c r="B95" s="78"/>
      <c r="C95" s="8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</row>
    <row r="96" spans="1:17">
      <c r="A96" s="78"/>
      <c r="B96" s="78"/>
      <c r="C96" s="8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</row>
    <row r="97" spans="1:17">
      <c r="A97" s="78"/>
      <c r="B97" s="78"/>
      <c r="C97" s="8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</row>
    <row r="98" spans="1:17">
      <c r="A98" s="78"/>
      <c r="B98" s="78"/>
      <c r="C98" s="8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</row>
    <row r="99" spans="1:17">
      <c r="A99" s="78"/>
      <c r="B99" s="78"/>
      <c r="C99" s="8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</row>
    <row r="100" spans="1:17">
      <c r="A100" s="78"/>
      <c r="B100" s="78"/>
      <c r="C100" s="8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</row>
    <row r="101" spans="1:17">
      <c r="A101" s="78"/>
      <c r="B101" s="78"/>
      <c r="C101" s="8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</row>
    <row r="102" spans="1:17">
      <c r="A102" s="78"/>
      <c r="B102" s="78"/>
      <c r="C102" s="8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</row>
    <row r="103" spans="1:17">
      <c r="A103" s="78"/>
      <c r="B103" s="78"/>
      <c r="C103" s="8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</row>
    <row r="104" spans="1:17">
      <c r="A104" s="78"/>
      <c r="B104" s="78"/>
      <c r="C104" s="8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</row>
    <row r="105" spans="1:17">
      <c r="A105" s="78"/>
      <c r="B105" s="78"/>
      <c r="C105" s="8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</row>
    <row r="106" spans="1:17">
      <c r="A106" s="78"/>
      <c r="B106" s="78"/>
      <c r="C106" s="8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</row>
    <row r="107" spans="1:17">
      <c r="A107" s="78"/>
      <c r="B107" s="78"/>
      <c r="C107" s="8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</row>
    <row r="108" spans="1:17">
      <c r="A108" s="78"/>
      <c r="B108" s="78"/>
      <c r="C108" s="8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</row>
    <row r="109" spans="1:17">
      <c r="A109" s="78"/>
      <c r="B109" s="78"/>
      <c r="C109" s="8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</row>
    <row r="110" spans="1:17">
      <c r="A110" s="78"/>
      <c r="B110" s="78"/>
      <c r="C110" s="8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</row>
    <row r="111" spans="1:17">
      <c r="A111" s="78"/>
      <c r="B111" s="78"/>
      <c r="C111" s="8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</row>
    <row r="112" spans="1:17">
      <c r="A112" s="78"/>
      <c r="B112" s="78"/>
      <c r="C112" s="8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</row>
    <row r="113" spans="1:17">
      <c r="A113" s="78"/>
      <c r="B113" s="78"/>
      <c r="C113" s="8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</row>
    <row r="114" spans="1:17">
      <c r="A114" s="78"/>
      <c r="B114" s="78"/>
      <c r="C114" s="8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</row>
    <row r="115" spans="1:17">
      <c r="A115" s="78"/>
      <c r="B115" s="78"/>
      <c r="C115" s="8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</row>
    <row r="116" spans="1:17">
      <c r="A116" s="78"/>
      <c r="B116" s="78"/>
      <c r="C116" s="8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</row>
    <row r="117" spans="1:17">
      <c r="A117" s="78"/>
      <c r="B117" s="78"/>
      <c r="C117" s="8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</row>
    <row r="118" spans="1:17">
      <c r="A118" s="78"/>
      <c r="B118" s="78"/>
      <c r="C118" s="8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</row>
    <row r="119" spans="1:17">
      <c r="A119" s="78"/>
      <c r="B119" s="78"/>
      <c r="C119" s="8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</row>
    <row r="120" spans="1:17">
      <c r="A120" s="78"/>
      <c r="B120" s="78"/>
      <c r="C120" s="8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</row>
    <row r="121" spans="1:17">
      <c r="A121" s="78"/>
      <c r="B121" s="78"/>
      <c r="C121" s="8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</row>
    <row r="122" spans="1:17">
      <c r="A122" s="78"/>
      <c r="B122" s="78"/>
      <c r="C122" s="8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</row>
    <row r="123" spans="1:17">
      <c r="A123" s="78"/>
      <c r="B123" s="78"/>
      <c r="C123" s="8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</row>
    <row r="124" spans="1:17">
      <c r="A124" s="78"/>
      <c r="B124" s="78"/>
      <c r="C124" s="8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</row>
    <row r="125" spans="1:17">
      <c r="A125" s="78"/>
      <c r="B125" s="78"/>
      <c r="C125" s="8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</row>
    <row r="126" spans="1:17">
      <c r="A126" s="78"/>
      <c r="B126" s="78"/>
      <c r="C126" s="8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</row>
    <row r="127" spans="1:17">
      <c r="A127" s="78"/>
      <c r="B127" s="78"/>
      <c r="C127" s="8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</row>
    <row r="128" spans="1:17">
      <c r="A128" s="78"/>
      <c r="B128" s="78"/>
      <c r="C128" s="8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</row>
    <row r="129" spans="1:17">
      <c r="A129" s="78"/>
      <c r="B129" s="78"/>
      <c r="C129" s="8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</row>
    <row r="130" spans="1:17">
      <c r="A130" s="78"/>
      <c r="B130" s="78"/>
      <c r="C130" s="8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</row>
    <row r="131" spans="1:17">
      <c r="A131" s="78"/>
      <c r="B131" s="78"/>
      <c r="C131" s="8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</row>
    <row r="132" spans="1:17">
      <c r="A132" s="78"/>
      <c r="B132" s="78"/>
      <c r="C132" s="8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</row>
    <row r="133" spans="1:17">
      <c r="A133" s="78"/>
      <c r="B133" s="78"/>
      <c r="C133" s="8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</row>
    <row r="134" spans="1:17">
      <c r="A134" s="78"/>
      <c r="B134" s="78"/>
      <c r="C134" s="8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</row>
    <row r="135" spans="1:17">
      <c r="A135" s="78"/>
      <c r="B135" s="78"/>
      <c r="C135" s="8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</row>
    <row r="136" spans="1:17">
      <c r="A136" s="78"/>
      <c r="B136" s="78"/>
      <c r="C136" s="8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</row>
    <row r="137" spans="1:17">
      <c r="A137" s="78"/>
      <c r="B137" s="78"/>
      <c r="C137" s="8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</row>
    <row r="138" spans="1:17">
      <c r="A138" s="78"/>
      <c r="B138" s="78"/>
      <c r="C138" s="8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</row>
    <row r="139" spans="1:17">
      <c r="A139" s="78"/>
      <c r="B139" s="78"/>
      <c r="C139" s="8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</row>
    <row r="140" spans="1:17">
      <c r="A140" s="78"/>
      <c r="B140" s="78"/>
      <c r="C140" s="8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</row>
    <row r="141" spans="1:17">
      <c r="A141" s="78"/>
      <c r="B141" s="78"/>
      <c r="C141" s="8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</row>
    <row r="142" spans="1:17">
      <c r="A142" s="78"/>
      <c r="B142" s="78"/>
      <c r="C142" s="8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</row>
    <row r="143" spans="1:17">
      <c r="A143" s="78"/>
      <c r="B143" s="78"/>
      <c r="C143" s="8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</row>
    <row r="144" spans="1:17">
      <c r="A144" s="78"/>
      <c r="B144" s="78"/>
      <c r="C144" s="8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</row>
    <row r="145" spans="1:17">
      <c r="A145" s="78"/>
      <c r="B145" s="78"/>
      <c r="C145" s="8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</row>
    <row r="146" spans="1:17">
      <c r="A146" s="78"/>
      <c r="B146" s="78"/>
      <c r="C146" s="8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</row>
    <row r="147" spans="1:17">
      <c r="A147" s="78"/>
      <c r="B147" s="78"/>
      <c r="C147" s="8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</row>
    <row r="148" spans="1:17">
      <c r="A148" s="78"/>
      <c r="B148" s="78"/>
      <c r="C148" s="8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</row>
    <row r="149" spans="1:17">
      <c r="A149" s="78"/>
      <c r="B149" s="78"/>
      <c r="C149" s="8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</row>
    <row r="150" spans="1:17">
      <c r="A150" s="78"/>
      <c r="B150" s="78"/>
      <c r="C150" s="8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</row>
    <row r="151" spans="1:17">
      <c r="A151" s="78"/>
      <c r="B151" s="78"/>
      <c r="C151" s="8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</row>
    <row r="152" spans="1:17">
      <c r="A152" s="78"/>
      <c r="B152" s="78"/>
      <c r="C152" s="8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</row>
    <row r="153" spans="1:17">
      <c r="A153" s="78"/>
      <c r="B153" s="78"/>
      <c r="C153" s="8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</row>
    <row r="154" spans="1:17">
      <c r="A154" s="78"/>
      <c r="B154" s="78"/>
      <c r="C154" s="8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</row>
    <row r="155" spans="1:17">
      <c r="A155" s="78"/>
      <c r="B155" s="78"/>
      <c r="C155" s="8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</row>
    <row r="156" spans="1:17">
      <c r="A156" s="78"/>
      <c r="B156" s="78"/>
      <c r="C156" s="8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</row>
    <row r="157" spans="1:17">
      <c r="A157" s="78"/>
      <c r="B157" s="78"/>
      <c r="C157" s="8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</row>
    <row r="158" spans="1:17">
      <c r="A158" s="78"/>
      <c r="B158" s="78"/>
      <c r="C158" s="8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</row>
    <row r="159" spans="1:17">
      <c r="A159" s="78"/>
      <c r="B159" s="78"/>
      <c r="C159" s="8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</row>
    <row r="160" spans="1:17">
      <c r="A160" s="78"/>
      <c r="B160" s="78"/>
      <c r="C160" s="8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</row>
    <row r="161" spans="1:17">
      <c r="A161" s="78"/>
      <c r="B161" s="78"/>
      <c r="C161" s="8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</row>
    <row r="162" spans="1:17">
      <c r="A162" s="78"/>
      <c r="B162" s="78"/>
      <c r="C162" s="8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</row>
    <row r="163" spans="1:17">
      <c r="A163" s="78"/>
      <c r="B163" s="78"/>
      <c r="C163" s="8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</row>
    <row r="164" spans="1:17">
      <c r="A164" s="78"/>
      <c r="B164" s="78"/>
      <c r="C164" s="8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</row>
    <row r="165" spans="1:17">
      <c r="A165" s="78"/>
      <c r="B165" s="78"/>
      <c r="C165" s="8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</row>
    <row r="166" spans="1:17">
      <c r="A166" s="78"/>
      <c r="B166" s="78"/>
      <c r="C166" s="8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</row>
    <row r="167" spans="1:17">
      <c r="A167" s="78"/>
      <c r="B167" s="78"/>
      <c r="C167" s="8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</row>
    <row r="168" spans="1:17">
      <c r="A168" s="78"/>
      <c r="B168" s="78"/>
      <c r="C168" s="8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</row>
    <row r="169" spans="1:17">
      <c r="A169" s="78"/>
      <c r="B169" s="78"/>
      <c r="C169" s="8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</row>
    <row r="170" spans="1:17">
      <c r="A170" s="78"/>
      <c r="B170" s="78"/>
      <c r="C170" s="8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</row>
    <row r="171" spans="1:17">
      <c r="A171" s="78"/>
      <c r="B171" s="78"/>
      <c r="C171" s="8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</row>
    <row r="172" spans="1:17">
      <c r="A172" s="78"/>
      <c r="B172" s="78"/>
      <c r="C172" s="8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</row>
    <row r="173" spans="1:17">
      <c r="A173" s="78"/>
      <c r="B173" s="78"/>
      <c r="C173" s="8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</row>
    <row r="174" spans="1:17">
      <c r="A174" s="78"/>
      <c r="B174" s="78"/>
      <c r="C174" s="8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</row>
    <row r="175" spans="1:17">
      <c r="A175" s="78"/>
      <c r="B175" s="78"/>
      <c r="C175" s="8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</row>
    <row r="176" spans="1:17">
      <c r="A176" s="78"/>
      <c r="B176" s="78"/>
      <c r="C176" s="8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</row>
    <row r="177" spans="1:17">
      <c r="A177" s="78"/>
      <c r="B177" s="78"/>
      <c r="C177" s="8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</row>
    <row r="178" spans="1:17">
      <c r="A178" s="78"/>
      <c r="B178" s="78"/>
      <c r="C178" s="8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</row>
    <row r="179" spans="1:17">
      <c r="A179" s="78"/>
      <c r="B179" s="78"/>
      <c r="C179" s="8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</row>
    <row r="180" spans="1:17">
      <c r="A180" s="78"/>
      <c r="B180" s="78"/>
      <c r="C180" s="8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</row>
    <row r="181" spans="1:17">
      <c r="A181" s="78"/>
      <c r="B181" s="78"/>
      <c r="C181" s="8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</row>
    <row r="182" spans="1:17">
      <c r="A182" s="78"/>
      <c r="B182" s="78"/>
      <c r="C182" s="8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</row>
    <row r="183" spans="1:17">
      <c r="A183" s="78"/>
      <c r="B183" s="78"/>
      <c r="C183" s="8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</row>
    <row r="184" spans="1:17">
      <c r="A184" s="78"/>
      <c r="B184" s="78"/>
      <c r="C184" s="8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</row>
    <row r="185" spans="1:17">
      <c r="A185" s="78"/>
      <c r="B185" s="78"/>
      <c r="C185" s="8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</row>
    <row r="186" spans="1:17">
      <c r="A186" s="78"/>
      <c r="B186" s="78"/>
      <c r="C186" s="8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</row>
    <row r="187" spans="1:17">
      <c r="A187" s="78"/>
      <c r="B187" s="78"/>
      <c r="C187" s="8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</row>
    <row r="188" spans="1:17">
      <c r="A188" s="78"/>
      <c r="B188" s="78"/>
      <c r="C188" s="8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</row>
    <row r="189" spans="1:17">
      <c r="A189" s="78"/>
      <c r="B189" s="78"/>
      <c r="C189" s="8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</row>
    <row r="190" spans="1:17">
      <c r="A190" s="78"/>
      <c r="B190" s="78"/>
      <c r="C190" s="8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</row>
    <row r="191" spans="1:17">
      <c r="A191" s="78"/>
      <c r="B191" s="78"/>
      <c r="C191" s="8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</row>
    <row r="192" spans="1:17">
      <c r="A192" s="78"/>
      <c r="B192" s="78"/>
      <c r="C192" s="8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</row>
    <row r="193" spans="1:17">
      <c r="A193" s="78"/>
      <c r="B193" s="78"/>
      <c r="C193" s="8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</row>
    <row r="194" spans="1:17">
      <c r="A194" s="78"/>
      <c r="B194" s="78"/>
      <c r="C194" s="8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</row>
    <row r="195" spans="1:17">
      <c r="A195" s="78"/>
      <c r="B195" s="78"/>
      <c r="C195" s="8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</row>
    <row r="196" spans="1:17">
      <c r="A196" s="78"/>
      <c r="B196" s="78"/>
      <c r="C196" s="8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</row>
    <row r="197" spans="1:17">
      <c r="A197" s="78"/>
      <c r="B197" s="78"/>
      <c r="C197" s="8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</row>
    <row r="198" spans="1:17">
      <c r="A198" s="78"/>
      <c r="B198" s="78"/>
      <c r="C198" s="8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</row>
    <row r="199" spans="1:17">
      <c r="A199" s="78"/>
      <c r="B199" s="78"/>
      <c r="C199" s="8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</row>
    <row r="200" spans="1:17">
      <c r="A200" s="78"/>
      <c r="B200" s="78"/>
      <c r="C200" s="8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</row>
    <row r="201" spans="1:17">
      <c r="A201" s="78"/>
      <c r="B201" s="78"/>
      <c r="C201" s="8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FA1C"/>
  </sheetPr>
  <dimension ref="A1:R200"/>
  <sheetViews>
    <sheetView workbookViewId="0">
      <selection activeCell="A1" sqref="A1"/>
    </sheetView>
  </sheetViews>
  <sheetFormatPr defaultColWidth="17" defaultRowHeight="11.4"/>
  <cols>
    <col min="1" max="1" width="14.4895833333333" customWidth="1"/>
    <col min="2" max="2" width="16.59375" customWidth="1"/>
    <col min="3" max="3" width="15.0208333333333" customWidth="1"/>
    <col min="4" max="8" width="16.59375" customWidth="1"/>
    <col min="9" max="9" width="14.6666666666667" customWidth="1"/>
    <col min="10" max="10" width="13.7916666666667" customWidth="1"/>
    <col min="11" max="11" width="16.59375" customWidth="1"/>
    <col min="12" max="13" width="19.7291666666667" customWidth="1"/>
    <col min="14" max="18" width="16.59375" customWidth="1"/>
  </cols>
  <sheetData>
    <row r="1" ht="15.6" spans="1:18">
      <c r="A1" s="79" t="s">
        <v>949</v>
      </c>
      <c r="B1" s="79" t="s">
        <v>950</v>
      </c>
      <c r="C1" s="79" t="s">
        <v>951</v>
      </c>
      <c r="D1" s="79" t="s">
        <v>952</v>
      </c>
      <c r="E1" s="79" t="s">
        <v>953</v>
      </c>
      <c r="F1" s="79" t="s">
        <v>954</v>
      </c>
      <c r="G1" s="79" t="s">
        <v>955</v>
      </c>
      <c r="H1" s="79" t="s">
        <v>956</v>
      </c>
      <c r="I1" s="80" t="s">
        <v>957</v>
      </c>
      <c r="J1" s="79" t="s">
        <v>958</v>
      </c>
      <c r="K1" s="79" t="s">
        <v>959</v>
      </c>
      <c r="L1" s="79" t="s">
        <v>960</v>
      </c>
      <c r="M1" s="79" t="s">
        <v>961</v>
      </c>
      <c r="N1" s="79" t="s">
        <v>962</v>
      </c>
      <c r="O1" s="79" t="s">
        <v>963</v>
      </c>
      <c r="P1" s="79" t="s">
        <v>964</v>
      </c>
      <c r="Q1" s="79" t="s">
        <v>965</v>
      </c>
    </row>
    <row r="2" ht="15" spans="1:18">
      <c r="A2" s="81">
        <v>45992</v>
      </c>
      <c r="B2" s="82">
        <v>0</v>
      </c>
      <c r="C2" s="68">
        <v>765</v>
      </c>
      <c r="D2" s="53">
        <v>0</v>
      </c>
      <c r="E2" s="53">
        <v>0</v>
      </c>
      <c r="F2" s="68">
        <v>0</v>
      </c>
      <c r="G2" s="89">
        <v>0</v>
      </c>
      <c r="H2" s="89">
        <v>0</v>
      </c>
      <c r="I2" s="68">
        <f>G2-H2</f>
        <v>0</v>
      </c>
      <c r="J2" s="90" t="s">
        <v>966</v>
      </c>
      <c r="K2" s="84">
        <v>46006</v>
      </c>
      <c r="L2" s="84">
        <f>K2-P2</f>
        <v>45951</v>
      </c>
      <c r="M2" s="84">
        <f>L2-Q2</f>
        <v>45921</v>
      </c>
      <c r="N2" s="53"/>
      <c r="O2" s="53"/>
      <c r="P2" s="68">
        <v>55</v>
      </c>
      <c r="Q2" s="53">
        <v>30</v>
      </c>
    </row>
    <row r="3" ht="15" spans="1:18">
      <c r="A3" s="81">
        <v>46023</v>
      </c>
      <c r="B3" s="82">
        <f t="shared" ref="B3:B19" si="0">B2-G2+C2</f>
        <v>765</v>
      </c>
      <c r="C3" s="68">
        <v>0</v>
      </c>
      <c r="D3" s="53">
        <v>0</v>
      </c>
      <c r="E3" s="53">
        <v>0</v>
      </c>
      <c r="F3" s="68">
        <v>200</v>
      </c>
      <c r="G3" s="89">
        <v>648</v>
      </c>
      <c r="H3" s="89">
        <v>190</v>
      </c>
      <c r="I3" s="68">
        <f t="shared" ref="I3:I19" si="1">G3+I2-H3</f>
        <v>458</v>
      </c>
      <c r="J3" s="86"/>
      <c r="K3" s="84"/>
      <c r="L3" s="84">
        <f>K3-55</f>
        <v>-55</v>
      </c>
      <c r="M3" s="84">
        <f>L3-55</f>
        <v>-110</v>
      </c>
      <c r="N3" s="53"/>
      <c r="O3" s="53"/>
      <c r="P3" s="53">
        <v>55</v>
      </c>
      <c r="Q3" s="53">
        <v>30</v>
      </c>
    </row>
    <row r="4" ht="15" spans="1:18">
      <c r="A4" s="81">
        <v>46054</v>
      </c>
      <c r="B4" s="82">
        <f t="shared" si="0"/>
        <v>117</v>
      </c>
      <c r="C4" s="68">
        <v>0</v>
      </c>
      <c r="D4" s="53">
        <v>0</v>
      </c>
      <c r="E4" s="53">
        <v>0</v>
      </c>
      <c r="F4" s="68">
        <v>300</v>
      </c>
      <c r="G4" s="89">
        <v>117</v>
      </c>
      <c r="H4" s="89">
        <v>400</v>
      </c>
      <c r="I4" s="68">
        <f t="shared" si="1"/>
        <v>175</v>
      </c>
      <c r="J4" s="87"/>
      <c r="K4" s="84"/>
      <c r="L4" s="84">
        <f t="shared" ref="L4:L19" si="2">K4-P4</f>
        <v>-55</v>
      </c>
      <c r="M4" s="84">
        <f t="shared" ref="M4:M19" si="3">L4-Q4</f>
        <v>-85</v>
      </c>
      <c r="N4" s="87"/>
      <c r="O4" s="87"/>
      <c r="P4" s="53">
        <v>55</v>
      </c>
      <c r="Q4" s="53">
        <v>30</v>
      </c>
    </row>
    <row r="5" ht="15" spans="1:18">
      <c r="A5" s="81">
        <v>46082</v>
      </c>
      <c r="B5" s="82">
        <f t="shared" si="0"/>
        <v>0</v>
      </c>
      <c r="C5" s="68">
        <f>990+450</f>
        <v>1440</v>
      </c>
      <c r="D5" s="53">
        <v>0</v>
      </c>
      <c r="E5" s="53">
        <v>0</v>
      </c>
      <c r="F5" s="68">
        <v>400</v>
      </c>
      <c r="G5" s="89">
        <v>540</v>
      </c>
      <c r="H5" s="89">
        <v>198</v>
      </c>
      <c r="I5" s="68">
        <f t="shared" si="1"/>
        <v>517</v>
      </c>
      <c r="J5" s="90" t="s">
        <v>966</v>
      </c>
      <c r="K5" s="84">
        <v>46096</v>
      </c>
      <c r="L5" s="84">
        <f t="shared" si="2"/>
        <v>46041</v>
      </c>
      <c r="M5" s="84">
        <f t="shared" si="3"/>
        <v>46011</v>
      </c>
      <c r="N5" s="87"/>
      <c r="O5" s="87"/>
      <c r="P5" s="53">
        <v>55</v>
      </c>
      <c r="Q5" s="53">
        <v>30</v>
      </c>
    </row>
    <row r="6" ht="15" spans="1:18">
      <c r="A6" s="81">
        <v>46113</v>
      </c>
      <c r="B6" s="82">
        <f t="shared" si="0"/>
        <v>900</v>
      </c>
      <c r="C6" s="68">
        <v>0</v>
      </c>
      <c r="D6" s="53">
        <v>0</v>
      </c>
      <c r="E6" s="53">
        <v>0</v>
      </c>
      <c r="F6" s="68">
        <v>600</v>
      </c>
      <c r="G6" s="89">
        <v>117</v>
      </c>
      <c r="H6" s="89">
        <v>282</v>
      </c>
      <c r="I6" s="68">
        <f t="shared" si="1"/>
        <v>352</v>
      </c>
      <c r="J6" s="87"/>
      <c r="K6" s="84"/>
      <c r="L6" s="84">
        <f t="shared" si="2"/>
        <v>-55</v>
      </c>
      <c r="M6" s="84">
        <f t="shared" si="3"/>
        <v>-85</v>
      </c>
      <c r="N6" s="87"/>
      <c r="O6" s="87"/>
      <c r="P6" s="53">
        <v>55</v>
      </c>
      <c r="Q6" s="53">
        <v>30</v>
      </c>
      <c r="R6" s="15"/>
    </row>
    <row r="7" ht="15" spans="1:18">
      <c r="A7" s="81">
        <v>46143</v>
      </c>
      <c r="B7" s="82">
        <f t="shared" si="0"/>
        <v>783</v>
      </c>
      <c r="C7" s="91">
        <v>1800</v>
      </c>
      <c r="D7" s="53">
        <v>0</v>
      </c>
      <c r="E7" s="53">
        <v>0</v>
      </c>
      <c r="F7" s="68">
        <v>600</v>
      </c>
      <c r="G7" s="68">
        <v>600</v>
      </c>
      <c r="H7" s="68"/>
      <c r="I7" s="68">
        <f t="shared" si="1"/>
        <v>952</v>
      </c>
      <c r="J7" s="92" t="s">
        <v>967</v>
      </c>
      <c r="K7" s="84">
        <v>46147</v>
      </c>
      <c r="L7" s="84">
        <f t="shared" si="2"/>
        <v>46092</v>
      </c>
      <c r="M7" s="84">
        <f t="shared" si="3"/>
        <v>46062</v>
      </c>
      <c r="N7" s="87"/>
      <c r="O7" s="87"/>
      <c r="P7" s="53">
        <v>55</v>
      </c>
      <c r="Q7" s="53">
        <v>30</v>
      </c>
    </row>
    <row r="8" ht="15" spans="1:18">
      <c r="A8" s="81">
        <v>46174</v>
      </c>
      <c r="B8" s="82">
        <f t="shared" si="0"/>
        <v>1983</v>
      </c>
      <c r="C8" s="68">
        <v>0</v>
      </c>
      <c r="D8" s="53">
        <v>0</v>
      </c>
      <c r="E8" s="53">
        <v>0</v>
      </c>
      <c r="F8" s="68">
        <v>800</v>
      </c>
      <c r="G8" s="53">
        <v>600</v>
      </c>
      <c r="H8" s="68"/>
      <c r="I8" s="68">
        <f t="shared" si="1"/>
        <v>1552</v>
      </c>
      <c r="J8" s="93"/>
      <c r="K8" s="84"/>
      <c r="L8" s="84">
        <f t="shared" si="2"/>
        <v>-55</v>
      </c>
      <c r="M8" s="84">
        <f t="shared" si="3"/>
        <v>-85</v>
      </c>
      <c r="N8" s="87"/>
      <c r="O8" s="87"/>
      <c r="P8" s="53">
        <v>55</v>
      </c>
      <c r="Q8" s="53">
        <v>30</v>
      </c>
    </row>
    <row r="9" ht="15" spans="1:18">
      <c r="A9" s="81">
        <v>46204</v>
      </c>
      <c r="B9" s="82">
        <f t="shared" si="0"/>
        <v>1383</v>
      </c>
      <c r="C9" s="68">
        <v>0</v>
      </c>
      <c r="D9" s="53">
        <v>0</v>
      </c>
      <c r="E9" s="53">
        <v>0</v>
      </c>
      <c r="F9" s="68">
        <v>600</v>
      </c>
      <c r="G9" s="53">
        <v>600</v>
      </c>
      <c r="H9" s="53"/>
      <c r="I9" s="68">
        <f t="shared" si="1"/>
        <v>2152</v>
      </c>
      <c r="J9" s="90"/>
      <c r="K9" s="84"/>
      <c r="L9" s="84">
        <f t="shared" si="2"/>
        <v>-55</v>
      </c>
      <c r="M9" s="84">
        <f t="shared" si="3"/>
        <v>-85</v>
      </c>
      <c r="N9" s="87"/>
      <c r="O9" s="87"/>
      <c r="P9" s="53">
        <v>55</v>
      </c>
      <c r="Q9" s="53">
        <v>30</v>
      </c>
    </row>
    <row r="10" ht="15" spans="1:18">
      <c r="A10" s="81">
        <v>46235</v>
      </c>
      <c r="B10" s="82">
        <f t="shared" si="0"/>
        <v>783</v>
      </c>
      <c r="C10" s="68">
        <v>720</v>
      </c>
      <c r="D10" s="53">
        <v>0</v>
      </c>
      <c r="E10" s="53">
        <v>0</v>
      </c>
      <c r="F10" s="68">
        <v>600</v>
      </c>
      <c r="G10" s="53">
        <v>600</v>
      </c>
      <c r="H10" s="68"/>
      <c r="I10" s="68">
        <f t="shared" si="1"/>
        <v>2752</v>
      </c>
      <c r="J10" s="90" t="s">
        <v>969</v>
      </c>
      <c r="K10" s="84">
        <v>46235</v>
      </c>
      <c r="L10" s="84">
        <f t="shared" si="2"/>
        <v>46180</v>
      </c>
      <c r="M10" s="84">
        <f t="shared" si="3"/>
        <v>46150</v>
      </c>
      <c r="N10" s="87"/>
      <c r="O10" s="87"/>
      <c r="P10" s="53">
        <v>55</v>
      </c>
      <c r="Q10" s="53">
        <v>30</v>
      </c>
    </row>
    <row r="11" ht="15" spans="1:18">
      <c r="A11" s="81">
        <v>46266</v>
      </c>
      <c r="B11" s="82">
        <f t="shared" si="0"/>
        <v>903</v>
      </c>
      <c r="C11" s="68">
        <v>720</v>
      </c>
      <c r="D11" s="53">
        <v>0</v>
      </c>
      <c r="E11" s="53">
        <v>0</v>
      </c>
      <c r="F11" s="68">
        <v>600</v>
      </c>
      <c r="G11" s="53">
        <v>600</v>
      </c>
      <c r="H11" s="53"/>
      <c r="I11" s="68">
        <f t="shared" si="1"/>
        <v>3352</v>
      </c>
      <c r="J11" s="90" t="s">
        <v>969</v>
      </c>
      <c r="K11" s="84">
        <v>46266</v>
      </c>
      <c r="L11" s="84">
        <f t="shared" si="2"/>
        <v>46211</v>
      </c>
      <c r="M11" s="84">
        <f t="shared" si="3"/>
        <v>46181</v>
      </c>
      <c r="N11" s="87"/>
      <c r="O11" s="87"/>
      <c r="P11" s="53">
        <v>55</v>
      </c>
      <c r="Q11" s="53">
        <v>30</v>
      </c>
    </row>
    <row r="12" ht="15" spans="1:18">
      <c r="A12" s="81">
        <v>46296</v>
      </c>
      <c r="B12" s="82">
        <f t="shared" si="0"/>
        <v>1023</v>
      </c>
      <c r="C12" s="68">
        <v>0</v>
      </c>
      <c r="D12" s="53">
        <v>0</v>
      </c>
      <c r="E12" s="53">
        <v>0</v>
      </c>
      <c r="F12" s="68">
        <v>800</v>
      </c>
      <c r="G12" s="53">
        <v>1200</v>
      </c>
      <c r="H12" s="53"/>
      <c r="I12" s="68">
        <f t="shared" si="1"/>
        <v>4552</v>
      </c>
      <c r="J12" s="87"/>
      <c r="K12" s="84"/>
      <c r="L12" s="84">
        <f t="shared" si="2"/>
        <v>-55</v>
      </c>
      <c r="M12" s="84">
        <f t="shared" si="3"/>
        <v>-85</v>
      </c>
      <c r="N12" s="87"/>
      <c r="O12" s="87"/>
      <c r="P12" s="53">
        <v>55</v>
      </c>
      <c r="Q12" s="53">
        <v>30</v>
      </c>
    </row>
    <row r="13" ht="15" spans="1:18">
      <c r="A13" s="81">
        <v>46327</v>
      </c>
      <c r="B13" s="82">
        <f t="shared" si="0"/>
        <v>-177</v>
      </c>
      <c r="C13" s="68">
        <v>0</v>
      </c>
      <c r="D13" s="53">
        <v>0</v>
      </c>
      <c r="E13" s="53">
        <v>0</v>
      </c>
      <c r="F13" s="68">
        <v>1000</v>
      </c>
      <c r="G13" s="53">
        <v>1200</v>
      </c>
      <c r="H13" s="53"/>
      <c r="I13" s="68">
        <f t="shared" si="1"/>
        <v>5752</v>
      </c>
      <c r="J13" s="87"/>
      <c r="K13" s="84"/>
      <c r="L13" s="84">
        <f t="shared" si="2"/>
        <v>-55</v>
      </c>
      <c r="M13" s="84">
        <f t="shared" si="3"/>
        <v>-85</v>
      </c>
      <c r="N13" s="87"/>
      <c r="O13" s="87"/>
      <c r="P13" s="53">
        <v>55</v>
      </c>
      <c r="Q13" s="53">
        <v>30</v>
      </c>
    </row>
    <row r="14" ht="15" spans="1:18">
      <c r="A14" s="81">
        <v>46357</v>
      </c>
      <c r="B14" s="82">
        <f t="shared" si="0"/>
        <v>-1377</v>
      </c>
      <c r="C14" s="68">
        <v>0</v>
      </c>
      <c r="D14" s="53">
        <v>0</v>
      </c>
      <c r="E14" s="53">
        <v>0</v>
      </c>
      <c r="F14" s="53">
        <v>1000</v>
      </c>
      <c r="G14" s="53">
        <v>1200</v>
      </c>
      <c r="H14" s="68"/>
      <c r="I14" s="68">
        <f t="shared" si="1"/>
        <v>6952</v>
      </c>
      <c r="J14" s="87"/>
      <c r="K14" s="84"/>
      <c r="L14" s="84">
        <f t="shared" si="2"/>
        <v>-55</v>
      </c>
      <c r="M14" s="84">
        <f t="shared" si="3"/>
        <v>-85</v>
      </c>
      <c r="N14" s="87"/>
      <c r="O14" s="87"/>
      <c r="P14" s="53">
        <v>55</v>
      </c>
      <c r="Q14" s="53">
        <v>30</v>
      </c>
    </row>
    <row r="15" ht="15" spans="1:18">
      <c r="A15" s="81">
        <v>46388</v>
      </c>
      <c r="B15" s="82">
        <f t="shared" si="0"/>
        <v>-2577</v>
      </c>
      <c r="C15" s="68">
        <v>0</v>
      </c>
      <c r="D15" s="53">
        <v>0</v>
      </c>
      <c r="E15" s="53">
        <v>0</v>
      </c>
      <c r="F15" s="53">
        <v>1000</v>
      </c>
      <c r="G15" s="53">
        <v>1200</v>
      </c>
      <c r="H15" s="53"/>
      <c r="I15" s="68">
        <f t="shared" si="1"/>
        <v>8152</v>
      </c>
      <c r="J15" s="87"/>
      <c r="K15" s="84"/>
      <c r="L15" s="84">
        <f t="shared" si="2"/>
        <v>-55</v>
      </c>
      <c r="M15" s="84">
        <f t="shared" si="3"/>
        <v>-85</v>
      </c>
      <c r="N15" s="87"/>
      <c r="O15" s="87"/>
      <c r="P15" s="53">
        <v>55</v>
      </c>
      <c r="Q15" s="53">
        <v>30</v>
      </c>
    </row>
    <row r="16" ht="15" spans="1:18">
      <c r="A16" s="81">
        <v>46419</v>
      </c>
      <c r="B16" s="82">
        <f t="shared" si="0"/>
        <v>-3777</v>
      </c>
      <c r="C16" s="68">
        <v>0</v>
      </c>
      <c r="D16" s="53">
        <v>0</v>
      </c>
      <c r="E16" s="53">
        <v>0</v>
      </c>
      <c r="F16" s="53">
        <v>1000</v>
      </c>
      <c r="G16" s="53">
        <v>1200</v>
      </c>
      <c r="H16" s="53"/>
      <c r="I16" s="68">
        <f t="shared" si="1"/>
        <v>9352</v>
      </c>
      <c r="J16" s="87"/>
      <c r="K16" s="84"/>
      <c r="L16" s="84">
        <f t="shared" si="2"/>
        <v>-55</v>
      </c>
      <c r="M16" s="84">
        <f t="shared" si="3"/>
        <v>-85</v>
      </c>
      <c r="N16" s="87"/>
      <c r="O16" s="87"/>
      <c r="P16" s="53">
        <v>55</v>
      </c>
      <c r="Q16" s="53">
        <v>30</v>
      </c>
    </row>
    <row r="17" ht="15" spans="1:17">
      <c r="A17" s="81">
        <v>46447</v>
      </c>
      <c r="B17" s="82">
        <f t="shared" si="0"/>
        <v>-4977</v>
      </c>
      <c r="C17" s="68">
        <v>0</v>
      </c>
      <c r="D17" s="53">
        <v>0</v>
      </c>
      <c r="E17" s="53">
        <v>0</v>
      </c>
      <c r="F17" s="53">
        <v>1000</v>
      </c>
      <c r="G17" s="53">
        <v>1200</v>
      </c>
      <c r="H17" s="53"/>
      <c r="I17" s="68">
        <f t="shared" si="1"/>
        <v>10552</v>
      </c>
      <c r="J17" s="87"/>
      <c r="K17" s="84"/>
      <c r="L17" s="84">
        <f t="shared" si="2"/>
        <v>-55</v>
      </c>
      <c r="M17" s="84">
        <f t="shared" si="3"/>
        <v>-85</v>
      </c>
      <c r="N17" s="87"/>
      <c r="O17" s="87"/>
      <c r="P17" s="53">
        <v>55</v>
      </c>
      <c r="Q17" s="53">
        <v>30</v>
      </c>
    </row>
    <row r="18" ht="15" spans="1:17">
      <c r="A18" s="81">
        <v>46478</v>
      </c>
      <c r="B18" s="82">
        <f t="shared" si="0"/>
        <v>-6177</v>
      </c>
      <c r="C18" s="68">
        <v>0</v>
      </c>
      <c r="D18" s="53">
        <v>0</v>
      </c>
      <c r="E18" s="53">
        <v>0</v>
      </c>
      <c r="F18" s="53">
        <v>1000</v>
      </c>
      <c r="G18" s="53">
        <v>1200</v>
      </c>
      <c r="H18" s="53"/>
      <c r="I18" s="68">
        <f t="shared" si="1"/>
        <v>11752</v>
      </c>
      <c r="J18" s="87"/>
      <c r="K18" s="84"/>
      <c r="L18" s="84">
        <f t="shared" si="2"/>
        <v>-55</v>
      </c>
      <c r="M18" s="84">
        <f t="shared" si="3"/>
        <v>-85</v>
      </c>
      <c r="N18" s="87"/>
      <c r="O18" s="87"/>
      <c r="P18" s="53">
        <v>55</v>
      </c>
      <c r="Q18" s="53">
        <v>30</v>
      </c>
    </row>
    <row r="19" ht="15" spans="1:17">
      <c r="A19" s="81">
        <v>46508</v>
      </c>
      <c r="B19" s="82">
        <f t="shared" si="0"/>
        <v>-7377</v>
      </c>
      <c r="C19" s="68">
        <v>0</v>
      </c>
      <c r="D19" s="53">
        <v>0</v>
      </c>
      <c r="E19" s="53">
        <v>0</v>
      </c>
      <c r="F19" s="53">
        <v>1000</v>
      </c>
      <c r="G19" s="53">
        <v>1200</v>
      </c>
      <c r="H19" s="53"/>
      <c r="I19" s="68">
        <f t="shared" si="1"/>
        <v>12952</v>
      </c>
      <c r="J19" s="87"/>
      <c r="K19" s="84"/>
      <c r="L19" s="84">
        <f t="shared" si="2"/>
        <v>-55</v>
      </c>
      <c r="M19" s="84">
        <f t="shared" si="3"/>
        <v>-85</v>
      </c>
      <c r="N19" s="87"/>
      <c r="O19" s="87"/>
      <c r="P19" s="53">
        <v>55</v>
      </c>
      <c r="Q19" s="53">
        <v>30</v>
      </c>
    </row>
    <row r="20" spans="1:17">
      <c r="A20" s="78"/>
      <c r="B20" s="78"/>
      <c r="C20" s="8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</row>
    <row r="21" ht="15.6" spans="1:17">
      <c r="A21" s="79" t="s">
        <v>949</v>
      </c>
      <c r="B21" s="79" t="s">
        <v>950</v>
      </c>
      <c r="C21" s="79" t="s">
        <v>951</v>
      </c>
      <c r="D21" s="79" t="s">
        <v>952</v>
      </c>
      <c r="E21" s="79" t="s">
        <v>953</v>
      </c>
      <c r="F21" s="79" t="s">
        <v>954</v>
      </c>
      <c r="G21" s="79" t="s">
        <v>955</v>
      </c>
      <c r="H21" s="79" t="s">
        <v>956</v>
      </c>
      <c r="I21" s="79" t="s">
        <v>957</v>
      </c>
      <c r="J21" s="79" t="s">
        <v>958</v>
      </c>
      <c r="K21" s="79" t="s">
        <v>959</v>
      </c>
      <c r="L21" s="79" t="s">
        <v>960</v>
      </c>
      <c r="M21" s="79" t="s">
        <v>961</v>
      </c>
      <c r="N21" s="79" t="s">
        <v>962</v>
      </c>
      <c r="O21" s="79" t="s">
        <v>963</v>
      </c>
      <c r="P21" s="79" t="s">
        <v>964</v>
      </c>
      <c r="Q21" s="79" t="s">
        <v>965</v>
      </c>
    </row>
    <row r="22" ht="15" spans="1:17">
      <c r="A22" s="81">
        <v>45992</v>
      </c>
      <c r="B22" s="82">
        <v>0</v>
      </c>
      <c r="C22" s="68">
        <v>405</v>
      </c>
      <c r="D22" s="53">
        <v>0</v>
      </c>
      <c r="E22" s="53">
        <v>0</v>
      </c>
      <c r="F22" s="68">
        <v>0</v>
      </c>
      <c r="G22" s="89">
        <v>45</v>
      </c>
      <c r="H22" s="89">
        <v>0</v>
      </c>
      <c r="I22" s="68">
        <f>G22-H22</f>
        <v>45</v>
      </c>
      <c r="J22" s="90" t="s">
        <v>966</v>
      </c>
      <c r="K22" s="84">
        <v>46006</v>
      </c>
      <c r="L22" s="84">
        <f t="shared" ref="L22:L39" si="4">K22-P22</f>
        <v>45951</v>
      </c>
      <c r="M22" s="84">
        <f t="shared" ref="M22:M39" si="5">L22-Q22</f>
        <v>45921</v>
      </c>
      <c r="N22" s="53"/>
      <c r="O22" s="53"/>
      <c r="P22" s="53">
        <v>55</v>
      </c>
      <c r="Q22" s="53">
        <v>30</v>
      </c>
    </row>
    <row r="23" ht="15" spans="1:17">
      <c r="A23" s="81">
        <v>46023</v>
      </c>
      <c r="B23" s="82">
        <f>B22-G22+C22</f>
        <v>360</v>
      </c>
      <c r="C23" s="68">
        <v>0</v>
      </c>
      <c r="D23" s="53">
        <v>0</v>
      </c>
      <c r="E23" s="53">
        <v>0</v>
      </c>
      <c r="F23" s="68">
        <v>90</v>
      </c>
      <c r="G23" s="89">
        <v>27</v>
      </c>
      <c r="H23" s="89">
        <v>11</v>
      </c>
      <c r="I23" s="68">
        <f t="shared" ref="I23:I39" si="6">G23+I22-H23</f>
        <v>61</v>
      </c>
      <c r="J23" s="86"/>
      <c r="K23" s="84"/>
      <c r="L23" s="84">
        <f t="shared" si="4"/>
        <v>-55</v>
      </c>
      <c r="M23" s="84">
        <f t="shared" si="5"/>
        <v>-85</v>
      </c>
      <c r="N23" s="53"/>
      <c r="O23" s="53"/>
      <c r="P23" s="53">
        <v>55</v>
      </c>
      <c r="Q23" s="53">
        <v>30</v>
      </c>
    </row>
    <row r="24" ht="15" spans="1:17">
      <c r="A24" s="81">
        <v>46054</v>
      </c>
      <c r="B24" s="82">
        <f>B23-G23+C23</f>
        <v>333</v>
      </c>
      <c r="C24" s="68">
        <v>0</v>
      </c>
      <c r="D24" s="53">
        <v>0</v>
      </c>
      <c r="E24" s="53">
        <v>0</v>
      </c>
      <c r="F24" s="68">
        <v>150</v>
      </c>
      <c r="G24" s="89">
        <v>9</v>
      </c>
      <c r="H24" s="89">
        <v>33</v>
      </c>
      <c r="I24" s="68">
        <f t="shared" si="6"/>
        <v>37</v>
      </c>
      <c r="J24" s="87"/>
      <c r="K24" s="84"/>
      <c r="L24" s="84">
        <f t="shared" si="4"/>
        <v>-55</v>
      </c>
      <c r="M24" s="84">
        <f t="shared" si="5"/>
        <v>-85</v>
      </c>
      <c r="N24" s="87"/>
      <c r="O24" s="87"/>
      <c r="P24" s="53">
        <v>55</v>
      </c>
      <c r="Q24" s="53">
        <v>30</v>
      </c>
    </row>
    <row r="25" ht="15" spans="1:17">
      <c r="A25" s="81">
        <v>46082</v>
      </c>
      <c r="B25" s="82">
        <f>B24-G24+C24</f>
        <v>324</v>
      </c>
      <c r="C25" s="68">
        <f>450+180</f>
        <v>630</v>
      </c>
      <c r="D25" s="53">
        <v>0</v>
      </c>
      <c r="E25" s="53">
        <v>0</v>
      </c>
      <c r="F25" s="68">
        <v>180</v>
      </c>
      <c r="G25" s="89">
        <v>117</v>
      </c>
      <c r="H25" s="89">
        <v>64</v>
      </c>
      <c r="I25" s="68">
        <f t="shared" si="6"/>
        <v>90</v>
      </c>
      <c r="J25" s="90" t="s">
        <v>966</v>
      </c>
      <c r="K25" s="84">
        <v>46096</v>
      </c>
      <c r="L25" s="84">
        <f t="shared" si="4"/>
        <v>46041</v>
      </c>
      <c r="M25" s="84">
        <f t="shared" si="5"/>
        <v>46011</v>
      </c>
      <c r="N25" s="87"/>
      <c r="O25" s="87"/>
      <c r="P25" s="53">
        <v>55</v>
      </c>
      <c r="Q25" s="53">
        <v>30</v>
      </c>
    </row>
    <row r="26" ht="15" spans="1:17">
      <c r="A26" s="81">
        <v>46113</v>
      </c>
      <c r="B26" s="82">
        <f>B25-G25+C25</f>
        <v>837</v>
      </c>
      <c r="C26" s="68">
        <v>0</v>
      </c>
      <c r="D26" s="53">
        <v>0</v>
      </c>
      <c r="E26" s="53">
        <v>0</v>
      </c>
      <c r="F26" s="68">
        <v>210</v>
      </c>
      <c r="G26" s="89">
        <v>288</v>
      </c>
      <c r="H26" s="89">
        <v>246</v>
      </c>
      <c r="I26" s="68">
        <f t="shared" si="6"/>
        <v>132</v>
      </c>
      <c r="J26" s="87"/>
      <c r="K26" s="84"/>
      <c r="L26" s="84">
        <f t="shared" si="4"/>
        <v>-55</v>
      </c>
      <c r="M26" s="84">
        <f t="shared" si="5"/>
        <v>-85</v>
      </c>
      <c r="N26" s="87"/>
      <c r="O26" s="87"/>
      <c r="P26" s="53">
        <v>55</v>
      </c>
      <c r="Q26" s="53">
        <v>30</v>
      </c>
    </row>
    <row r="27" ht="15" spans="1:17">
      <c r="A27" s="81">
        <v>46143</v>
      </c>
      <c r="B27" s="82">
        <f>B26-G26+C26</f>
        <v>549</v>
      </c>
      <c r="C27" s="68">
        <v>0</v>
      </c>
      <c r="D27" s="53">
        <v>0</v>
      </c>
      <c r="E27" s="53">
        <v>0</v>
      </c>
      <c r="F27" s="68">
        <v>240</v>
      </c>
      <c r="G27" s="68">
        <v>300</v>
      </c>
      <c r="H27" s="53"/>
      <c r="I27" s="68">
        <f t="shared" si="6"/>
        <v>432</v>
      </c>
      <c r="J27" s="87"/>
      <c r="K27" s="84"/>
      <c r="L27" s="84">
        <f t="shared" si="4"/>
        <v>-55</v>
      </c>
      <c r="M27" s="84">
        <f t="shared" si="5"/>
        <v>-85</v>
      </c>
      <c r="N27" s="87"/>
      <c r="O27" s="87"/>
      <c r="P27" s="53">
        <v>55</v>
      </c>
      <c r="Q27" s="53">
        <v>30</v>
      </c>
    </row>
    <row r="28" ht="15" spans="1:17">
      <c r="A28" s="81">
        <v>46174</v>
      </c>
      <c r="B28" s="82">
        <f t="shared" ref="B28:B39" si="7">B27-F27+C27</f>
        <v>309</v>
      </c>
      <c r="C28" s="68">
        <v>0</v>
      </c>
      <c r="D28" s="53">
        <v>0</v>
      </c>
      <c r="E28" s="53">
        <v>0</v>
      </c>
      <c r="F28" s="68">
        <v>240</v>
      </c>
      <c r="G28" s="53">
        <v>300</v>
      </c>
      <c r="H28" s="53"/>
      <c r="I28" s="68">
        <f t="shared" si="6"/>
        <v>732</v>
      </c>
      <c r="J28" s="90" t="s">
        <v>969</v>
      </c>
      <c r="K28" s="84">
        <v>46188</v>
      </c>
      <c r="L28" s="84">
        <f t="shared" si="4"/>
        <v>46133</v>
      </c>
      <c r="M28" s="84">
        <f t="shared" si="5"/>
        <v>46103</v>
      </c>
      <c r="N28" s="87"/>
      <c r="O28" s="87"/>
      <c r="P28" s="53">
        <v>55</v>
      </c>
      <c r="Q28" s="53">
        <v>30</v>
      </c>
    </row>
    <row r="29" ht="15" spans="1:17">
      <c r="A29" s="81">
        <v>46204</v>
      </c>
      <c r="B29" s="82">
        <f t="shared" si="7"/>
        <v>69</v>
      </c>
      <c r="C29" s="68">
        <v>486</v>
      </c>
      <c r="D29" s="53">
        <v>0</v>
      </c>
      <c r="E29" s="53">
        <v>0</v>
      </c>
      <c r="F29" s="68">
        <v>270</v>
      </c>
      <c r="G29" s="53">
        <v>300</v>
      </c>
      <c r="H29" s="53"/>
      <c r="I29" s="68">
        <f t="shared" si="6"/>
        <v>1032</v>
      </c>
      <c r="J29" s="90" t="s">
        <v>969</v>
      </c>
      <c r="K29" s="84">
        <v>46204</v>
      </c>
      <c r="L29" s="84">
        <f t="shared" si="4"/>
        <v>46149</v>
      </c>
      <c r="M29" s="84">
        <f t="shared" si="5"/>
        <v>46119</v>
      </c>
      <c r="N29" s="87"/>
      <c r="O29" s="87"/>
      <c r="P29" s="53">
        <v>55</v>
      </c>
      <c r="Q29" s="53">
        <v>30</v>
      </c>
    </row>
    <row r="30" ht="15" spans="1:17">
      <c r="A30" s="81">
        <v>46235</v>
      </c>
      <c r="B30" s="82">
        <f t="shared" si="7"/>
        <v>285</v>
      </c>
      <c r="C30" s="68">
        <v>734</v>
      </c>
      <c r="D30" s="53">
        <v>0</v>
      </c>
      <c r="E30" s="53">
        <v>0</v>
      </c>
      <c r="F30" s="68">
        <v>270</v>
      </c>
      <c r="G30" s="53">
        <v>600</v>
      </c>
      <c r="H30" s="53"/>
      <c r="I30" s="68">
        <f t="shared" si="6"/>
        <v>1632</v>
      </c>
      <c r="J30" s="87"/>
      <c r="K30" s="84">
        <v>46235</v>
      </c>
      <c r="L30" s="84">
        <f t="shared" si="4"/>
        <v>46180</v>
      </c>
      <c r="M30" s="84">
        <f t="shared" si="5"/>
        <v>46150</v>
      </c>
      <c r="N30" s="87"/>
      <c r="O30" s="87"/>
      <c r="P30" s="53">
        <v>55</v>
      </c>
      <c r="Q30" s="53">
        <v>30</v>
      </c>
    </row>
    <row r="31" ht="15" spans="1:17">
      <c r="A31" s="81">
        <v>46266</v>
      </c>
      <c r="B31" s="82">
        <f t="shared" si="7"/>
        <v>749</v>
      </c>
      <c r="C31" s="68">
        <v>0</v>
      </c>
      <c r="D31" s="53">
        <v>0</v>
      </c>
      <c r="E31" s="53">
        <v>0</v>
      </c>
      <c r="F31" s="68">
        <v>300</v>
      </c>
      <c r="G31" s="53">
        <v>600</v>
      </c>
      <c r="H31" s="53"/>
      <c r="I31" s="68">
        <f t="shared" si="6"/>
        <v>2232</v>
      </c>
      <c r="J31" s="87"/>
      <c r="K31" s="84"/>
      <c r="L31" s="84">
        <f t="shared" si="4"/>
        <v>-55</v>
      </c>
      <c r="M31" s="84">
        <f t="shared" si="5"/>
        <v>-85</v>
      </c>
      <c r="N31" s="87"/>
      <c r="O31" s="87"/>
      <c r="P31" s="53">
        <v>55</v>
      </c>
      <c r="Q31" s="53">
        <v>30</v>
      </c>
    </row>
    <row r="32" ht="15" spans="1:17">
      <c r="A32" s="81">
        <v>46296</v>
      </c>
      <c r="B32" s="82">
        <f t="shared" si="7"/>
        <v>449</v>
      </c>
      <c r="C32" s="68">
        <v>0</v>
      </c>
      <c r="D32" s="53">
        <v>0</v>
      </c>
      <c r="E32" s="53">
        <v>0</v>
      </c>
      <c r="F32" s="53">
        <v>300</v>
      </c>
      <c r="G32" s="53">
        <v>600</v>
      </c>
      <c r="H32" s="53"/>
      <c r="I32" s="68">
        <f t="shared" si="6"/>
        <v>2832</v>
      </c>
      <c r="J32" s="87"/>
      <c r="K32" s="84"/>
      <c r="L32" s="84">
        <f t="shared" si="4"/>
        <v>-55</v>
      </c>
      <c r="M32" s="84">
        <f t="shared" si="5"/>
        <v>-85</v>
      </c>
      <c r="N32" s="87"/>
      <c r="O32" s="87"/>
      <c r="P32" s="53">
        <v>55</v>
      </c>
      <c r="Q32" s="53">
        <v>30</v>
      </c>
    </row>
    <row r="33" ht="15" spans="1:17">
      <c r="A33" s="81">
        <v>46327</v>
      </c>
      <c r="B33" s="82">
        <f t="shared" si="7"/>
        <v>149</v>
      </c>
      <c r="C33" s="68">
        <v>0</v>
      </c>
      <c r="D33" s="53">
        <v>0</v>
      </c>
      <c r="E33" s="53">
        <v>0</v>
      </c>
      <c r="F33" s="53">
        <v>300</v>
      </c>
      <c r="G33" s="53">
        <v>600</v>
      </c>
      <c r="H33" s="53"/>
      <c r="I33" s="68">
        <f t="shared" si="6"/>
        <v>3432</v>
      </c>
      <c r="J33" s="87"/>
      <c r="K33" s="84"/>
      <c r="L33" s="84">
        <f t="shared" si="4"/>
        <v>-55</v>
      </c>
      <c r="M33" s="84">
        <f t="shared" si="5"/>
        <v>-85</v>
      </c>
      <c r="N33" s="87"/>
      <c r="O33" s="87"/>
      <c r="P33" s="53">
        <v>55</v>
      </c>
      <c r="Q33" s="53">
        <v>30</v>
      </c>
    </row>
    <row r="34" ht="15" spans="1:17">
      <c r="A34" s="81">
        <v>46357</v>
      </c>
      <c r="B34" s="82">
        <f t="shared" si="7"/>
        <v>-151</v>
      </c>
      <c r="C34" s="68">
        <v>0</v>
      </c>
      <c r="D34" s="53">
        <v>0</v>
      </c>
      <c r="E34" s="53">
        <v>0</v>
      </c>
      <c r="F34" s="53">
        <v>300</v>
      </c>
      <c r="G34" s="53">
        <v>600</v>
      </c>
      <c r="H34" s="53"/>
      <c r="I34" s="68">
        <f t="shared" si="6"/>
        <v>4032</v>
      </c>
      <c r="J34" s="87"/>
      <c r="K34" s="84"/>
      <c r="L34" s="84">
        <f t="shared" si="4"/>
        <v>-55</v>
      </c>
      <c r="M34" s="84">
        <f t="shared" si="5"/>
        <v>-85</v>
      </c>
      <c r="N34" s="87"/>
      <c r="O34" s="87"/>
      <c r="P34" s="53">
        <v>55</v>
      </c>
      <c r="Q34" s="53">
        <v>30</v>
      </c>
    </row>
    <row r="35" ht="15" spans="1:17">
      <c r="A35" s="81">
        <v>46388</v>
      </c>
      <c r="B35" s="82">
        <f t="shared" si="7"/>
        <v>-451</v>
      </c>
      <c r="C35" s="68">
        <v>0</v>
      </c>
      <c r="D35" s="53">
        <v>0</v>
      </c>
      <c r="E35" s="53">
        <v>0</v>
      </c>
      <c r="F35" s="53">
        <v>300</v>
      </c>
      <c r="G35" s="53">
        <v>600</v>
      </c>
      <c r="H35" s="53"/>
      <c r="I35" s="68">
        <f t="shared" si="6"/>
        <v>4632</v>
      </c>
      <c r="J35" s="87"/>
      <c r="K35" s="84"/>
      <c r="L35" s="84">
        <f t="shared" si="4"/>
        <v>-55</v>
      </c>
      <c r="M35" s="84">
        <f t="shared" si="5"/>
        <v>-85</v>
      </c>
      <c r="N35" s="87"/>
      <c r="O35" s="87"/>
      <c r="P35" s="53">
        <v>55</v>
      </c>
      <c r="Q35" s="53">
        <v>30</v>
      </c>
    </row>
    <row r="36" ht="15" spans="1:17">
      <c r="A36" s="81">
        <v>46419</v>
      </c>
      <c r="B36" s="82">
        <f t="shared" si="7"/>
        <v>-751</v>
      </c>
      <c r="C36" s="68">
        <v>0</v>
      </c>
      <c r="D36" s="53">
        <v>0</v>
      </c>
      <c r="E36" s="53">
        <v>0</v>
      </c>
      <c r="F36" s="53">
        <v>300</v>
      </c>
      <c r="G36" s="53">
        <v>600</v>
      </c>
      <c r="H36" s="53"/>
      <c r="I36" s="68">
        <f t="shared" si="6"/>
        <v>5232</v>
      </c>
      <c r="J36" s="87"/>
      <c r="K36" s="84"/>
      <c r="L36" s="84">
        <f t="shared" si="4"/>
        <v>-55</v>
      </c>
      <c r="M36" s="84">
        <f t="shared" si="5"/>
        <v>-85</v>
      </c>
      <c r="N36" s="87"/>
      <c r="O36" s="87"/>
      <c r="P36" s="53">
        <v>55</v>
      </c>
      <c r="Q36" s="53">
        <v>30</v>
      </c>
    </row>
    <row r="37" ht="15" spans="1:17">
      <c r="A37" s="81">
        <v>46447</v>
      </c>
      <c r="B37" s="82">
        <f t="shared" si="7"/>
        <v>-1051</v>
      </c>
      <c r="C37" s="68">
        <v>0</v>
      </c>
      <c r="D37" s="53">
        <v>0</v>
      </c>
      <c r="E37" s="53">
        <v>0</v>
      </c>
      <c r="F37" s="53">
        <v>300</v>
      </c>
      <c r="G37" s="53">
        <v>600</v>
      </c>
      <c r="H37" s="53"/>
      <c r="I37" s="68">
        <f t="shared" si="6"/>
        <v>5832</v>
      </c>
      <c r="J37" s="87"/>
      <c r="K37" s="84"/>
      <c r="L37" s="84">
        <f t="shared" si="4"/>
        <v>-55</v>
      </c>
      <c r="M37" s="84">
        <f t="shared" si="5"/>
        <v>-85</v>
      </c>
      <c r="N37" s="87"/>
      <c r="O37" s="87"/>
      <c r="P37" s="53">
        <v>55</v>
      </c>
      <c r="Q37" s="53">
        <v>30</v>
      </c>
    </row>
    <row r="38" ht="15" spans="1:17">
      <c r="A38" s="81">
        <v>46478</v>
      </c>
      <c r="B38" s="82">
        <f t="shared" si="7"/>
        <v>-1351</v>
      </c>
      <c r="C38" s="68">
        <v>0</v>
      </c>
      <c r="D38" s="53">
        <v>0</v>
      </c>
      <c r="E38" s="53">
        <v>0</v>
      </c>
      <c r="F38" s="53">
        <v>300</v>
      </c>
      <c r="G38" s="53">
        <v>600</v>
      </c>
      <c r="H38" s="53"/>
      <c r="I38" s="68">
        <f t="shared" si="6"/>
        <v>6432</v>
      </c>
      <c r="J38" s="87"/>
      <c r="K38" s="84"/>
      <c r="L38" s="84">
        <f t="shared" si="4"/>
        <v>-55</v>
      </c>
      <c r="M38" s="84">
        <f t="shared" si="5"/>
        <v>-85</v>
      </c>
      <c r="N38" s="87"/>
      <c r="O38" s="87"/>
      <c r="P38" s="53">
        <v>55</v>
      </c>
      <c r="Q38" s="53">
        <v>30</v>
      </c>
    </row>
    <row r="39" ht="15" spans="1:17">
      <c r="A39" s="81">
        <v>46508</v>
      </c>
      <c r="B39" s="82">
        <f t="shared" si="7"/>
        <v>-1651</v>
      </c>
      <c r="C39" s="68">
        <v>0</v>
      </c>
      <c r="D39" s="53">
        <v>0</v>
      </c>
      <c r="E39" s="53">
        <v>0</v>
      </c>
      <c r="F39" s="53">
        <v>300</v>
      </c>
      <c r="G39" s="53">
        <v>600</v>
      </c>
      <c r="H39" s="53"/>
      <c r="I39" s="68">
        <f t="shared" si="6"/>
        <v>7032</v>
      </c>
      <c r="J39" s="87"/>
      <c r="K39" s="84"/>
      <c r="L39" s="84">
        <f t="shared" si="4"/>
        <v>-55</v>
      </c>
      <c r="M39" s="84">
        <f t="shared" si="5"/>
        <v>-85</v>
      </c>
      <c r="N39" s="87"/>
      <c r="O39" s="87"/>
      <c r="P39" s="53">
        <v>55</v>
      </c>
      <c r="Q39" s="53">
        <v>30</v>
      </c>
    </row>
    <row r="40" spans="1:17">
      <c r="A40" s="78"/>
      <c r="B40" s="78"/>
      <c r="C40" s="8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</row>
    <row r="41" spans="1:17">
      <c r="A41" s="78"/>
      <c r="B41" s="78"/>
      <c r="C41" s="8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</row>
    <row r="42" spans="1:17">
      <c r="A42" s="78"/>
      <c r="B42" s="78"/>
      <c r="C42" s="8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</row>
    <row r="43" spans="1:17">
      <c r="A43" s="78"/>
      <c r="B43" s="78"/>
      <c r="C43" s="8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</row>
    <row r="44" spans="1:17">
      <c r="A44" s="78"/>
      <c r="B44" s="78"/>
      <c r="C44" s="8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</row>
    <row r="45" spans="1:17">
      <c r="A45" s="78"/>
      <c r="B45" s="78"/>
      <c r="C45" s="8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</row>
    <row r="46" spans="1:17">
      <c r="A46" s="78"/>
      <c r="B46" s="78"/>
      <c r="C46" s="8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</row>
    <row r="47" spans="1:17">
      <c r="A47" s="78"/>
      <c r="B47" s="78"/>
      <c r="C47" s="8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</row>
    <row r="48" spans="1:17">
      <c r="A48" s="78"/>
      <c r="B48" s="78"/>
      <c r="C48" s="8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</row>
    <row r="49" spans="1:17">
      <c r="A49" s="78"/>
      <c r="B49" s="78"/>
      <c r="C49" s="8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</row>
    <row r="50" spans="1:17">
      <c r="A50" s="78"/>
      <c r="B50" s="78"/>
      <c r="C50" s="8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</row>
    <row r="51" spans="1:17">
      <c r="A51" s="78"/>
      <c r="B51" s="78"/>
      <c r="C51" s="8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</row>
    <row r="52" spans="1:17">
      <c r="A52" s="78"/>
      <c r="B52" s="78"/>
      <c r="C52" s="8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</row>
    <row r="53" spans="1:17">
      <c r="A53" s="78"/>
      <c r="B53" s="78"/>
      <c r="C53" s="8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</row>
    <row r="54" spans="1:17">
      <c r="A54" s="78"/>
      <c r="B54" s="78"/>
      <c r="C54" s="8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</row>
    <row r="55" spans="1:17">
      <c r="A55" s="78"/>
      <c r="B55" s="78"/>
      <c r="C55" s="8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</row>
    <row r="56" spans="1:17">
      <c r="A56" s="78"/>
      <c r="B56" s="78"/>
      <c r="C56" s="8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</row>
    <row r="57" spans="1:17">
      <c r="A57" s="78"/>
      <c r="B57" s="78"/>
      <c r="C57" s="8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</row>
    <row r="58" spans="1:17">
      <c r="A58" s="78"/>
      <c r="B58" s="78"/>
      <c r="C58" s="8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</row>
    <row r="59" spans="1:17">
      <c r="A59" s="78"/>
      <c r="B59" s="78"/>
      <c r="C59" s="8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</row>
    <row r="60" spans="1:17">
      <c r="A60" s="78"/>
      <c r="B60" s="78"/>
      <c r="C60" s="8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</row>
    <row r="61" spans="1:17">
      <c r="A61" s="78"/>
      <c r="B61" s="78"/>
      <c r="C61" s="8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</row>
    <row r="62" spans="1:17">
      <c r="A62" s="78"/>
      <c r="B62" s="78"/>
      <c r="C62" s="8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</row>
    <row r="63" spans="1:17">
      <c r="A63" s="78"/>
      <c r="B63" s="78"/>
      <c r="C63" s="8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</row>
    <row r="64" spans="1:17">
      <c r="A64" s="78"/>
      <c r="B64" s="78"/>
      <c r="C64" s="8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</row>
    <row r="65" spans="1:17">
      <c r="A65" s="78"/>
      <c r="B65" s="78"/>
      <c r="C65" s="8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</row>
    <row r="66" spans="1:17">
      <c r="A66" s="78"/>
      <c r="B66" s="78"/>
      <c r="C66" s="8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</row>
    <row r="67" spans="1:17">
      <c r="A67" s="78"/>
      <c r="B67" s="78"/>
      <c r="C67" s="8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</row>
    <row r="68" spans="1:17">
      <c r="A68" s="78"/>
      <c r="B68" s="78"/>
      <c r="C68" s="8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</row>
    <row r="69" spans="1:17">
      <c r="A69" s="78"/>
      <c r="B69" s="78"/>
      <c r="C69" s="8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</row>
    <row r="70" spans="1:17">
      <c r="A70" s="78"/>
      <c r="B70" s="78"/>
      <c r="C70" s="8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</row>
    <row r="71" spans="1:17">
      <c r="A71" s="78"/>
      <c r="B71" s="78"/>
      <c r="C71" s="8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</row>
    <row r="72" spans="1:17">
      <c r="A72" s="78"/>
      <c r="B72" s="78"/>
      <c r="C72" s="8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</row>
    <row r="73" spans="1:17">
      <c r="A73" s="78"/>
      <c r="B73" s="78"/>
      <c r="C73" s="8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</row>
    <row r="74" spans="1:17">
      <c r="A74" s="78"/>
      <c r="B74" s="78"/>
      <c r="C74" s="8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</row>
    <row r="75" spans="1:17">
      <c r="A75" s="78"/>
      <c r="B75" s="78"/>
      <c r="C75" s="8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</row>
    <row r="76" spans="1:17">
      <c r="A76" s="78"/>
      <c r="B76" s="78"/>
      <c r="C76" s="8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</row>
    <row r="77" spans="1:17">
      <c r="A77" s="78"/>
      <c r="B77" s="78"/>
      <c r="C77" s="8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</row>
    <row r="78" spans="1:17">
      <c r="A78" s="78"/>
      <c r="B78" s="78"/>
      <c r="C78" s="8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</row>
    <row r="79" spans="1:17">
      <c r="A79" s="78"/>
      <c r="B79" s="78"/>
      <c r="C79" s="8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</row>
    <row r="80" spans="1:17">
      <c r="A80" s="78"/>
      <c r="B80" s="78"/>
      <c r="C80" s="8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</row>
    <row r="81" spans="1:17">
      <c r="A81" s="78"/>
      <c r="B81" s="78"/>
      <c r="C81" s="8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</row>
    <row r="82" spans="1:17">
      <c r="A82" s="78"/>
      <c r="B82" s="78"/>
      <c r="C82" s="8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</row>
    <row r="83" spans="1:17">
      <c r="A83" s="78"/>
      <c r="B83" s="78"/>
      <c r="C83" s="8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</row>
    <row r="84" spans="1:17">
      <c r="A84" s="78"/>
      <c r="B84" s="78"/>
      <c r="C84" s="8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</row>
    <row r="85" spans="1:17">
      <c r="A85" s="78"/>
      <c r="B85" s="78"/>
      <c r="C85" s="8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</row>
    <row r="86" spans="1:17">
      <c r="A86" s="78"/>
      <c r="B86" s="78"/>
      <c r="C86" s="8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</row>
    <row r="87" spans="1:17">
      <c r="A87" s="78"/>
      <c r="B87" s="78"/>
      <c r="C87" s="8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</row>
    <row r="88" spans="1:17">
      <c r="A88" s="78"/>
      <c r="B88" s="78"/>
      <c r="C88" s="8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</row>
    <row r="89" spans="1:17">
      <c r="A89" s="78"/>
      <c r="B89" s="78"/>
      <c r="C89" s="8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</row>
    <row r="90" spans="1:17">
      <c r="A90" s="78"/>
      <c r="B90" s="78"/>
      <c r="C90" s="8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</row>
    <row r="91" spans="1:17">
      <c r="A91" s="78"/>
      <c r="B91" s="78"/>
      <c r="C91" s="8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</row>
    <row r="92" spans="1:17">
      <c r="A92" s="78"/>
      <c r="B92" s="78"/>
      <c r="C92" s="8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</row>
    <row r="93" spans="1:17">
      <c r="A93" s="78"/>
      <c r="B93" s="78"/>
      <c r="C93" s="8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</row>
    <row r="94" spans="1:17">
      <c r="A94" s="78"/>
      <c r="B94" s="78"/>
      <c r="C94" s="8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</row>
    <row r="95" spans="1:17">
      <c r="A95" s="78"/>
      <c r="B95" s="78"/>
      <c r="C95" s="8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</row>
    <row r="96" spans="1:17">
      <c r="A96" s="78"/>
      <c r="B96" s="78"/>
      <c r="C96" s="8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</row>
    <row r="97" spans="1:17">
      <c r="A97" s="78"/>
      <c r="B97" s="78"/>
      <c r="C97" s="8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</row>
    <row r="98" spans="1:17">
      <c r="A98" s="78"/>
      <c r="B98" s="78"/>
      <c r="C98" s="8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</row>
    <row r="99" spans="1:17">
      <c r="A99" s="78"/>
      <c r="B99" s="78"/>
      <c r="C99" s="8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</row>
    <row r="100" spans="1:17">
      <c r="A100" s="78"/>
      <c r="B100" s="78"/>
      <c r="C100" s="8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</row>
    <row r="101" spans="1:17">
      <c r="A101" s="78"/>
      <c r="B101" s="78"/>
      <c r="C101" s="8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</row>
    <row r="102" spans="1:17">
      <c r="A102" s="78"/>
      <c r="B102" s="78"/>
      <c r="C102" s="8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</row>
    <row r="103" spans="1:17">
      <c r="A103" s="78"/>
      <c r="B103" s="78"/>
      <c r="C103" s="8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</row>
    <row r="104" spans="1:17">
      <c r="A104" s="78"/>
      <c r="B104" s="78"/>
      <c r="C104" s="8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</row>
    <row r="105" spans="1:17">
      <c r="A105" s="78"/>
      <c r="B105" s="78"/>
      <c r="C105" s="8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</row>
    <row r="106" spans="1:17">
      <c r="A106" s="78"/>
      <c r="B106" s="78"/>
      <c r="C106" s="8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</row>
    <row r="107" spans="1:17">
      <c r="A107" s="78"/>
      <c r="B107" s="78"/>
      <c r="C107" s="8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</row>
    <row r="108" spans="1:17">
      <c r="A108" s="78"/>
      <c r="B108" s="78"/>
      <c r="C108" s="8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</row>
    <row r="109" spans="1:17">
      <c r="A109" s="78"/>
      <c r="B109" s="78"/>
      <c r="C109" s="8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</row>
    <row r="110" spans="1:17">
      <c r="A110" s="78"/>
      <c r="B110" s="78"/>
      <c r="C110" s="8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</row>
    <row r="111" spans="1:17">
      <c r="A111" s="78"/>
      <c r="B111" s="78"/>
      <c r="C111" s="8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</row>
    <row r="112" spans="1:17">
      <c r="A112" s="78"/>
      <c r="B112" s="78"/>
      <c r="C112" s="8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</row>
    <row r="113" spans="1:17">
      <c r="A113" s="78"/>
      <c r="B113" s="78"/>
      <c r="C113" s="8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</row>
    <row r="114" spans="1:17">
      <c r="A114" s="78"/>
      <c r="B114" s="78"/>
      <c r="C114" s="8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</row>
    <row r="115" spans="1:17">
      <c r="A115" s="78"/>
      <c r="B115" s="78"/>
      <c r="C115" s="8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</row>
    <row r="116" spans="1:17">
      <c r="A116" s="78"/>
      <c r="B116" s="78"/>
      <c r="C116" s="8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</row>
    <row r="117" spans="1:17">
      <c r="A117" s="78"/>
      <c r="B117" s="78"/>
      <c r="C117" s="8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</row>
    <row r="118" spans="1:17">
      <c r="A118" s="78"/>
      <c r="B118" s="78"/>
      <c r="C118" s="8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</row>
    <row r="119" spans="1:17">
      <c r="A119" s="78"/>
      <c r="B119" s="78"/>
      <c r="C119" s="8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</row>
    <row r="120" spans="1:17">
      <c r="A120" s="78"/>
      <c r="B120" s="78"/>
      <c r="C120" s="8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</row>
    <row r="121" spans="1:17">
      <c r="A121" s="78"/>
      <c r="B121" s="78"/>
      <c r="C121" s="8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</row>
    <row r="122" spans="1:17">
      <c r="A122" s="78"/>
      <c r="B122" s="78"/>
      <c r="C122" s="8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</row>
    <row r="123" spans="1:17">
      <c r="A123" s="78"/>
      <c r="B123" s="78"/>
      <c r="C123" s="8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</row>
    <row r="124" spans="1:17">
      <c r="A124" s="78"/>
      <c r="B124" s="78"/>
      <c r="C124" s="8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</row>
    <row r="125" spans="1:17">
      <c r="A125" s="78"/>
      <c r="B125" s="78"/>
      <c r="C125" s="8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</row>
    <row r="126" spans="1:17">
      <c r="A126" s="78"/>
      <c r="B126" s="78"/>
      <c r="C126" s="8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</row>
    <row r="127" spans="1:17">
      <c r="A127" s="78"/>
      <c r="B127" s="78"/>
      <c r="C127" s="8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</row>
    <row r="128" spans="1:17">
      <c r="A128" s="78"/>
      <c r="B128" s="78"/>
      <c r="C128" s="8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</row>
    <row r="129" spans="1:17">
      <c r="A129" s="78"/>
      <c r="B129" s="78"/>
      <c r="C129" s="8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</row>
    <row r="130" spans="1:17">
      <c r="A130" s="78"/>
      <c r="B130" s="78"/>
      <c r="C130" s="8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</row>
    <row r="131" spans="1:17">
      <c r="A131" s="78"/>
      <c r="B131" s="78"/>
      <c r="C131" s="8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</row>
    <row r="132" spans="1:17">
      <c r="A132" s="78"/>
      <c r="B132" s="78"/>
      <c r="C132" s="8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</row>
    <row r="133" spans="1:17">
      <c r="A133" s="78"/>
      <c r="B133" s="78"/>
      <c r="C133" s="8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</row>
    <row r="134" spans="1:17">
      <c r="A134" s="78"/>
      <c r="B134" s="78"/>
      <c r="C134" s="8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</row>
    <row r="135" spans="1:17">
      <c r="A135" s="78"/>
      <c r="B135" s="78"/>
      <c r="C135" s="8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</row>
    <row r="136" spans="1:17">
      <c r="A136" s="78"/>
      <c r="B136" s="78"/>
      <c r="C136" s="8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</row>
    <row r="137" spans="1:17">
      <c r="A137" s="78"/>
      <c r="B137" s="78"/>
      <c r="C137" s="8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</row>
    <row r="138" spans="1:17">
      <c r="A138" s="78"/>
      <c r="B138" s="78"/>
      <c r="C138" s="8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</row>
    <row r="139" spans="1:17">
      <c r="A139" s="78"/>
      <c r="B139" s="78"/>
      <c r="C139" s="8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</row>
    <row r="140" spans="1:17">
      <c r="A140" s="78"/>
      <c r="B140" s="78"/>
      <c r="C140" s="8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</row>
    <row r="141" spans="1:17">
      <c r="A141" s="78"/>
      <c r="B141" s="78"/>
      <c r="C141" s="8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</row>
    <row r="142" spans="1:17">
      <c r="A142" s="78"/>
      <c r="B142" s="78"/>
      <c r="C142" s="8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</row>
    <row r="143" spans="1:17">
      <c r="A143" s="78"/>
      <c r="B143" s="78"/>
      <c r="C143" s="8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</row>
    <row r="144" spans="1:17">
      <c r="A144" s="78"/>
      <c r="B144" s="78"/>
      <c r="C144" s="8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</row>
    <row r="145" spans="1:17">
      <c r="A145" s="78"/>
      <c r="B145" s="78"/>
      <c r="C145" s="8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</row>
    <row r="146" spans="1:17">
      <c r="A146" s="78"/>
      <c r="B146" s="78"/>
      <c r="C146" s="8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</row>
    <row r="147" spans="1:17">
      <c r="A147" s="78"/>
      <c r="B147" s="78"/>
      <c r="C147" s="8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</row>
    <row r="148" spans="1:17">
      <c r="A148" s="78"/>
      <c r="B148" s="78"/>
      <c r="C148" s="8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</row>
    <row r="149" spans="1:17">
      <c r="A149" s="78"/>
      <c r="B149" s="78"/>
      <c r="C149" s="8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</row>
    <row r="150" spans="1:17">
      <c r="A150" s="78"/>
      <c r="B150" s="78"/>
      <c r="C150" s="8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</row>
    <row r="151" spans="1:17">
      <c r="A151" s="78"/>
      <c r="B151" s="78"/>
      <c r="C151" s="8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</row>
    <row r="152" spans="1:17">
      <c r="A152" s="78"/>
      <c r="B152" s="78"/>
      <c r="C152" s="8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</row>
    <row r="153" spans="1:17">
      <c r="A153" s="78"/>
      <c r="B153" s="78"/>
      <c r="C153" s="8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</row>
    <row r="154" spans="1:17">
      <c r="A154" s="78"/>
      <c r="B154" s="78"/>
      <c r="C154" s="8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</row>
    <row r="155" spans="1:17">
      <c r="A155" s="78"/>
      <c r="B155" s="78"/>
      <c r="C155" s="8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</row>
    <row r="156" spans="1:17">
      <c r="A156" s="78"/>
      <c r="B156" s="78"/>
      <c r="C156" s="8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</row>
    <row r="157" spans="1:17">
      <c r="A157" s="78"/>
      <c r="B157" s="78"/>
      <c r="C157" s="8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</row>
    <row r="158" spans="1:17">
      <c r="A158" s="78"/>
      <c r="B158" s="78"/>
      <c r="C158" s="8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</row>
    <row r="159" spans="1:17">
      <c r="A159" s="78"/>
      <c r="B159" s="78"/>
      <c r="C159" s="8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</row>
    <row r="160" spans="1:17">
      <c r="A160" s="78"/>
      <c r="B160" s="78"/>
      <c r="C160" s="8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</row>
    <row r="161" spans="1:17">
      <c r="A161" s="78"/>
      <c r="B161" s="78"/>
      <c r="C161" s="8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</row>
    <row r="162" spans="1:17">
      <c r="A162" s="78"/>
      <c r="B162" s="78"/>
      <c r="C162" s="8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</row>
    <row r="163" spans="1:17">
      <c r="A163" s="78"/>
      <c r="B163" s="78"/>
      <c r="C163" s="8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</row>
    <row r="164" spans="1:17">
      <c r="A164" s="78"/>
      <c r="B164" s="78"/>
      <c r="C164" s="8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</row>
    <row r="165" spans="1:17">
      <c r="A165" s="78"/>
      <c r="B165" s="78"/>
      <c r="C165" s="8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</row>
    <row r="166" spans="1:17">
      <c r="A166" s="78"/>
      <c r="B166" s="78"/>
      <c r="C166" s="8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</row>
    <row r="167" spans="1:17">
      <c r="A167" s="78"/>
      <c r="B167" s="78"/>
      <c r="C167" s="8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</row>
    <row r="168" spans="1:17">
      <c r="A168" s="78"/>
      <c r="B168" s="78"/>
      <c r="C168" s="8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</row>
    <row r="169" spans="1:17">
      <c r="A169" s="78"/>
      <c r="B169" s="78"/>
      <c r="C169" s="8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</row>
    <row r="170" spans="1:17">
      <c r="A170" s="78"/>
      <c r="B170" s="78"/>
      <c r="C170" s="8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</row>
    <row r="171" spans="1:17">
      <c r="A171" s="78"/>
      <c r="B171" s="78"/>
      <c r="C171" s="8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</row>
    <row r="172" spans="1:17">
      <c r="A172" s="78"/>
      <c r="B172" s="78"/>
      <c r="C172" s="8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</row>
    <row r="173" spans="1:17">
      <c r="A173" s="78"/>
      <c r="B173" s="78"/>
      <c r="C173" s="8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</row>
    <row r="174" spans="1:17">
      <c r="A174" s="78"/>
      <c r="B174" s="78"/>
      <c r="C174" s="8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</row>
    <row r="175" spans="1:17">
      <c r="A175" s="78"/>
      <c r="B175" s="78"/>
      <c r="C175" s="8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</row>
    <row r="176" spans="1:17">
      <c r="A176" s="78"/>
      <c r="B176" s="78"/>
      <c r="C176" s="8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</row>
    <row r="177" spans="1:17">
      <c r="A177" s="78"/>
      <c r="B177" s="78"/>
      <c r="C177" s="8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</row>
    <row r="178" spans="1:17">
      <c r="A178" s="78"/>
      <c r="B178" s="78"/>
      <c r="C178" s="8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</row>
    <row r="179" spans="1:17">
      <c r="A179" s="78"/>
      <c r="B179" s="78"/>
      <c r="C179" s="8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</row>
    <row r="180" spans="1:17">
      <c r="A180" s="78"/>
      <c r="B180" s="78"/>
      <c r="C180" s="8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</row>
    <row r="181" spans="1:17">
      <c r="A181" s="78"/>
      <c r="B181" s="78"/>
      <c r="C181" s="8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</row>
    <row r="182" spans="1:17">
      <c r="A182" s="78"/>
      <c r="B182" s="78"/>
      <c r="C182" s="8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</row>
    <row r="183" spans="1:17">
      <c r="A183" s="78"/>
      <c r="B183" s="78"/>
      <c r="C183" s="8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</row>
    <row r="184" spans="1:17">
      <c r="A184" s="78"/>
      <c r="B184" s="78"/>
      <c r="C184" s="8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</row>
    <row r="185" spans="1:17">
      <c r="A185" s="78"/>
      <c r="B185" s="78"/>
      <c r="C185" s="8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</row>
    <row r="186" spans="1:17">
      <c r="A186" s="78"/>
      <c r="B186" s="78"/>
      <c r="C186" s="8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</row>
    <row r="187" spans="1:17">
      <c r="A187" s="78"/>
      <c r="B187" s="78"/>
      <c r="C187" s="8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</row>
    <row r="188" spans="1:17">
      <c r="A188" s="78"/>
      <c r="B188" s="78"/>
      <c r="C188" s="8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</row>
    <row r="189" spans="1:17">
      <c r="A189" s="78"/>
      <c r="B189" s="78"/>
      <c r="C189" s="8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</row>
    <row r="190" spans="1:17">
      <c r="A190" s="78"/>
      <c r="B190" s="78"/>
      <c r="C190" s="8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</row>
    <row r="191" spans="1:17">
      <c r="A191" s="78"/>
      <c r="B191" s="78"/>
      <c r="C191" s="8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</row>
    <row r="192" spans="1:17">
      <c r="A192" s="78"/>
      <c r="B192" s="78"/>
      <c r="C192" s="8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</row>
    <row r="193" spans="1:17">
      <c r="A193" s="78"/>
      <c r="B193" s="78"/>
      <c r="C193" s="8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</row>
    <row r="194" spans="1:17">
      <c r="A194" s="78"/>
      <c r="B194" s="78"/>
      <c r="C194" s="8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</row>
    <row r="195" spans="1:17">
      <c r="A195" s="78"/>
      <c r="B195" s="78"/>
      <c r="C195" s="8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</row>
    <row r="196" spans="1:17">
      <c r="A196" s="78"/>
      <c r="B196" s="78"/>
      <c r="C196" s="8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</row>
    <row r="197" spans="1:17">
      <c r="A197" s="78"/>
      <c r="B197" s="78"/>
      <c r="C197" s="8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</row>
    <row r="198" spans="1:17">
      <c r="A198" s="78"/>
      <c r="B198" s="78"/>
      <c r="C198" s="8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</row>
    <row r="199" spans="1:17">
      <c r="A199" s="78"/>
      <c r="B199" s="78"/>
      <c r="C199" s="8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</row>
    <row r="200" spans="1:17">
      <c r="A200" s="78"/>
      <c r="B200" s="78"/>
      <c r="C200" s="8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FA1C"/>
  </sheetPr>
  <dimension ref="A1:R200"/>
  <sheetViews>
    <sheetView workbookViewId="0">
      <selection activeCell="A1" sqref="A1"/>
    </sheetView>
  </sheetViews>
  <sheetFormatPr defaultColWidth="17" defaultRowHeight="11.4"/>
  <cols>
    <col min="1" max="1" width="14.4895833333333" customWidth="1"/>
    <col min="2" max="2" width="16.59375" customWidth="1"/>
    <col min="3" max="3" width="15.0208333333333" customWidth="1"/>
    <col min="4" max="8" width="16.59375" customWidth="1"/>
    <col min="9" max="9" width="14.6666666666667" customWidth="1"/>
    <col min="10" max="10" width="13.7916666666667" customWidth="1"/>
    <col min="11" max="11" width="16.59375" customWidth="1"/>
    <col min="12" max="13" width="19.7291666666667" customWidth="1"/>
    <col min="14" max="18" width="16.59375" customWidth="1"/>
  </cols>
  <sheetData>
    <row r="1" ht="15.6" spans="1:18">
      <c r="A1" s="79" t="s">
        <v>949</v>
      </c>
      <c r="B1" s="79" t="s">
        <v>950</v>
      </c>
      <c r="C1" s="79" t="s">
        <v>951</v>
      </c>
      <c r="D1" s="79" t="s">
        <v>952</v>
      </c>
      <c r="E1" s="79" t="s">
        <v>953</v>
      </c>
      <c r="F1" s="79" t="s">
        <v>954</v>
      </c>
      <c r="G1" s="79" t="s">
        <v>955</v>
      </c>
      <c r="H1" s="79" t="s">
        <v>956</v>
      </c>
      <c r="I1" s="80" t="s">
        <v>957</v>
      </c>
      <c r="J1" s="79" t="s">
        <v>958</v>
      </c>
      <c r="K1" s="79" t="s">
        <v>959</v>
      </c>
      <c r="L1" s="79" t="s">
        <v>960</v>
      </c>
      <c r="M1" s="79" t="s">
        <v>961</v>
      </c>
      <c r="N1" s="79" t="s">
        <v>962</v>
      </c>
      <c r="O1" s="79" t="s">
        <v>963</v>
      </c>
      <c r="P1" s="79" t="s">
        <v>964</v>
      </c>
      <c r="Q1" s="79" t="s">
        <v>965</v>
      </c>
    </row>
    <row r="2" ht="15" spans="1:18">
      <c r="A2" s="81">
        <v>46054</v>
      </c>
      <c r="B2" s="82">
        <v>0</v>
      </c>
      <c r="C2" s="68">
        <v>1760</v>
      </c>
      <c r="D2" s="53">
        <v>0</v>
      </c>
      <c r="E2" s="68">
        <f>F2-D2</f>
        <v>300</v>
      </c>
      <c r="F2" s="68">
        <v>300</v>
      </c>
      <c r="G2" s="68">
        <v>300</v>
      </c>
      <c r="H2" s="68"/>
      <c r="I2" s="68">
        <f>G2-H2</f>
        <v>300</v>
      </c>
      <c r="J2" s="83"/>
      <c r="K2" s="84">
        <v>46054</v>
      </c>
      <c r="L2" s="84">
        <f>K2-P2</f>
        <v>46024</v>
      </c>
      <c r="M2" s="84">
        <f>L2-Q2</f>
        <v>45994</v>
      </c>
      <c r="N2" s="53"/>
      <c r="O2" s="53"/>
      <c r="P2" s="53">
        <v>30</v>
      </c>
      <c r="Q2" s="53">
        <v>30</v>
      </c>
    </row>
    <row r="3" ht="15" spans="1:18">
      <c r="A3" s="81">
        <v>46082</v>
      </c>
      <c r="B3" s="82">
        <f t="shared" ref="B3:B19" si="0">B2-G2+C2</f>
        <v>1460</v>
      </c>
      <c r="C3" s="68">
        <v>0</v>
      </c>
      <c r="D3" s="53">
        <v>0</v>
      </c>
      <c r="E3" s="85">
        <f>F3-D3</f>
        <v>400</v>
      </c>
      <c r="F3" s="68">
        <v>400</v>
      </c>
      <c r="G3" s="68">
        <v>400</v>
      </c>
      <c r="H3" s="53"/>
      <c r="I3" s="68">
        <f t="shared" ref="I3:I19" si="1">G3+I2-H3</f>
        <v>700</v>
      </c>
      <c r="J3" s="86"/>
      <c r="K3" s="84"/>
      <c r="L3" s="84">
        <f>K3-55</f>
        <v>-55</v>
      </c>
      <c r="M3" s="84">
        <f>L3-55</f>
        <v>-110</v>
      </c>
      <c r="N3" s="53"/>
      <c r="O3" s="53"/>
      <c r="P3" s="53">
        <v>30</v>
      </c>
      <c r="Q3" s="53">
        <v>30</v>
      </c>
    </row>
    <row r="4" ht="15" spans="1:18">
      <c r="A4" s="81">
        <v>46113</v>
      </c>
      <c r="B4" s="82">
        <f t="shared" si="0"/>
        <v>1060</v>
      </c>
      <c r="C4" s="68">
        <v>0</v>
      </c>
      <c r="D4" s="53">
        <v>0</v>
      </c>
      <c r="E4" s="85">
        <f>F4-D4</f>
        <v>500</v>
      </c>
      <c r="F4" s="68">
        <v>500</v>
      </c>
      <c r="G4" s="68">
        <v>500</v>
      </c>
      <c r="H4" s="53"/>
      <c r="I4" s="68">
        <f t="shared" si="1"/>
        <v>1200</v>
      </c>
      <c r="J4" s="87"/>
      <c r="K4" s="84"/>
      <c r="L4" s="84">
        <f t="shared" ref="L4:L19" si="2">K4-P4</f>
        <v>-30</v>
      </c>
      <c r="M4" s="84">
        <f t="shared" ref="M4:M19" si="3">L4-Q4</f>
        <v>-60</v>
      </c>
      <c r="N4" s="87"/>
      <c r="O4" s="87"/>
      <c r="P4" s="53">
        <v>30</v>
      </c>
      <c r="Q4" s="53">
        <v>30</v>
      </c>
    </row>
    <row r="5" ht="15" spans="1:18">
      <c r="A5" s="81">
        <v>46143</v>
      </c>
      <c r="B5" s="82">
        <f t="shared" si="0"/>
        <v>560</v>
      </c>
      <c r="C5" s="68">
        <v>1600</v>
      </c>
      <c r="D5" s="53">
        <v>0</v>
      </c>
      <c r="E5" s="85">
        <f>F5-D5</f>
        <v>600</v>
      </c>
      <c r="F5" s="68">
        <v>600</v>
      </c>
      <c r="G5" s="68">
        <v>600</v>
      </c>
      <c r="H5" s="53"/>
      <c r="I5" s="68">
        <f t="shared" si="1"/>
        <v>1800</v>
      </c>
      <c r="J5" s="87"/>
      <c r="K5" s="84">
        <v>46143</v>
      </c>
      <c r="L5" s="84">
        <f t="shared" si="2"/>
        <v>46113</v>
      </c>
      <c r="M5" s="84">
        <f t="shared" si="3"/>
        <v>46083</v>
      </c>
      <c r="N5" s="87"/>
      <c r="O5" s="87"/>
      <c r="P5" s="53">
        <v>30</v>
      </c>
      <c r="Q5" s="53">
        <v>30</v>
      </c>
    </row>
    <row r="6" ht="15" spans="1:18">
      <c r="A6" s="81">
        <v>46174</v>
      </c>
      <c r="B6" s="82">
        <f t="shared" si="0"/>
        <v>1560</v>
      </c>
      <c r="C6" s="68">
        <v>0</v>
      </c>
      <c r="D6" s="53">
        <v>0</v>
      </c>
      <c r="E6" s="85">
        <f>F6-D6</f>
        <v>700</v>
      </c>
      <c r="F6" s="53">
        <v>700</v>
      </c>
      <c r="G6" s="68">
        <v>700</v>
      </c>
      <c r="H6" s="68"/>
      <c r="I6" s="68">
        <f t="shared" si="1"/>
        <v>2500</v>
      </c>
      <c r="J6" s="87"/>
      <c r="K6" s="84"/>
      <c r="L6" s="84">
        <f t="shared" si="2"/>
        <v>-30</v>
      </c>
      <c r="M6" s="84">
        <f t="shared" si="3"/>
        <v>-60</v>
      </c>
      <c r="N6" s="87"/>
      <c r="O6" s="87"/>
      <c r="P6" s="53">
        <v>30</v>
      </c>
      <c r="Q6" s="53">
        <v>30</v>
      </c>
      <c r="R6" s="15">
        <f>I6-87-67</f>
        <v>2346</v>
      </c>
    </row>
    <row r="7" ht="15" spans="1:18">
      <c r="A7" s="81">
        <v>46204</v>
      </c>
      <c r="B7" s="82">
        <f t="shared" si="0"/>
        <v>860</v>
      </c>
      <c r="C7" s="68">
        <v>1600</v>
      </c>
      <c r="D7" s="53">
        <v>0</v>
      </c>
      <c r="E7" s="85">
        <v>900</v>
      </c>
      <c r="F7" s="53">
        <v>800</v>
      </c>
      <c r="G7" s="68">
        <v>800</v>
      </c>
      <c r="H7" s="68"/>
      <c r="I7" s="68">
        <f t="shared" si="1"/>
        <v>3300</v>
      </c>
      <c r="J7" s="87"/>
      <c r="K7" s="84"/>
      <c r="L7" s="84">
        <f t="shared" si="2"/>
        <v>-30</v>
      </c>
      <c r="M7" s="84">
        <f t="shared" si="3"/>
        <v>-60</v>
      </c>
      <c r="N7" s="87"/>
      <c r="O7" s="87"/>
      <c r="P7" s="53">
        <v>30</v>
      </c>
      <c r="Q7" s="53">
        <v>30</v>
      </c>
    </row>
    <row r="8" ht="15" spans="1:18">
      <c r="A8" s="81">
        <v>46235</v>
      </c>
      <c r="B8" s="82">
        <f t="shared" si="0"/>
        <v>1660</v>
      </c>
      <c r="C8" s="68">
        <v>0</v>
      </c>
      <c r="D8" s="53">
        <v>0</v>
      </c>
      <c r="E8" s="85">
        <f t="shared" ref="E8:E19" si="4">F8-D8</f>
        <v>900</v>
      </c>
      <c r="F8" s="53">
        <v>900</v>
      </c>
      <c r="G8" s="68">
        <v>900</v>
      </c>
      <c r="H8" s="68"/>
      <c r="I8" s="68">
        <f t="shared" si="1"/>
        <v>4200</v>
      </c>
      <c r="J8" s="87"/>
      <c r="K8" s="84"/>
      <c r="L8" s="84">
        <f t="shared" si="2"/>
        <v>-30</v>
      </c>
      <c r="M8" s="84">
        <f t="shared" si="3"/>
        <v>-60</v>
      </c>
      <c r="N8" s="87"/>
      <c r="O8" s="87"/>
      <c r="P8" s="53">
        <v>30</v>
      </c>
      <c r="Q8" s="53">
        <v>30</v>
      </c>
    </row>
    <row r="9" ht="15" spans="1:18">
      <c r="A9" s="81">
        <v>46266</v>
      </c>
      <c r="B9" s="82">
        <f t="shared" si="0"/>
        <v>760</v>
      </c>
      <c r="C9" s="68">
        <v>1600</v>
      </c>
      <c r="D9" s="53">
        <v>0</v>
      </c>
      <c r="E9" s="85">
        <f t="shared" si="4"/>
        <v>1000</v>
      </c>
      <c r="F9" s="53">
        <v>1000</v>
      </c>
      <c r="G9" s="53">
        <v>1000</v>
      </c>
      <c r="H9" s="53"/>
      <c r="I9" s="68">
        <f t="shared" si="1"/>
        <v>5200</v>
      </c>
      <c r="J9" s="87"/>
      <c r="K9" s="84"/>
      <c r="L9" s="84">
        <f t="shared" si="2"/>
        <v>-30</v>
      </c>
      <c r="M9" s="84">
        <f t="shared" si="3"/>
        <v>-60</v>
      </c>
      <c r="N9" s="87"/>
      <c r="O9" s="87"/>
      <c r="P9" s="53">
        <v>30</v>
      </c>
      <c r="Q9" s="53">
        <v>30</v>
      </c>
    </row>
    <row r="10" ht="15" spans="1:18">
      <c r="A10" s="81">
        <v>46296</v>
      </c>
      <c r="B10" s="82">
        <f t="shared" si="0"/>
        <v>1360</v>
      </c>
      <c r="C10" s="68">
        <v>0</v>
      </c>
      <c r="D10" s="53">
        <v>0</v>
      </c>
      <c r="E10" s="85">
        <f t="shared" si="4"/>
        <v>1000</v>
      </c>
      <c r="F10" s="68">
        <v>1000</v>
      </c>
      <c r="G10" s="68">
        <v>1000</v>
      </c>
      <c r="H10" s="68"/>
      <c r="I10" s="68">
        <f t="shared" si="1"/>
        <v>6200</v>
      </c>
      <c r="J10" s="87"/>
      <c r="K10" s="84"/>
      <c r="L10" s="84">
        <f t="shared" si="2"/>
        <v>-30</v>
      </c>
      <c r="M10" s="84">
        <f t="shared" si="3"/>
        <v>-60</v>
      </c>
      <c r="N10" s="87"/>
      <c r="O10" s="87"/>
      <c r="P10" s="53">
        <v>30</v>
      </c>
      <c r="Q10" s="53">
        <v>30</v>
      </c>
    </row>
    <row r="11" ht="15" spans="1:18">
      <c r="A11" s="81">
        <v>46327</v>
      </c>
      <c r="B11" s="82">
        <f t="shared" si="0"/>
        <v>360</v>
      </c>
      <c r="C11" s="68">
        <v>1600</v>
      </c>
      <c r="D11" s="53">
        <v>0</v>
      </c>
      <c r="E11" s="85">
        <f t="shared" si="4"/>
        <v>1000</v>
      </c>
      <c r="F11" s="68">
        <v>1000</v>
      </c>
      <c r="G11" s="68">
        <v>1000</v>
      </c>
      <c r="H11" s="53"/>
      <c r="I11" s="68">
        <f t="shared" si="1"/>
        <v>7200</v>
      </c>
      <c r="J11" s="87"/>
      <c r="K11" s="84"/>
      <c r="L11" s="84">
        <f t="shared" si="2"/>
        <v>-30</v>
      </c>
      <c r="M11" s="84">
        <f t="shared" si="3"/>
        <v>-60</v>
      </c>
      <c r="N11" s="87"/>
      <c r="O11" s="87"/>
      <c r="P11" s="53">
        <v>30</v>
      </c>
      <c r="Q11" s="53">
        <v>30</v>
      </c>
    </row>
    <row r="12" ht="15" spans="1:18">
      <c r="A12" s="81">
        <v>46357</v>
      </c>
      <c r="B12" s="82">
        <f t="shared" si="0"/>
        <v>960</v>
      </c>
      <c r="C12" s="53">
        <v>1000</v>
      </c>
      <c r="D12" s="53">
        <v>0</v>
      </c>
      <c r="E12" s="85">
        <f t="shared" si="4"/>
        <v>1000</v>
      </c>
      <c r="F12" s="53">
        <v>1000</v>
      </c>
      <c r="G12" s="53">
        <v>1000</v>
      </c>
      <c r="H12" s="53"/>
      <c r="I12" s="68">
        <f t="shared" si="1"/>
        <v>8200</v>
      </c>
      <c r="J12" s="87"/>
      <c r="K12" s="84"/>
      <c r="L12" s="84">
        <f t="shared" si="2"/>
        <v>-30</v>
      </c>
      <c r="M12" s="84">
        <f t="shared" si="3"/>
        <v>-60</v>
      </c>
      <c r="N12" s="87"/>
      <c r="O12" s="87"/>
      <c r="P12" s="53">
        <v>30</v>
      </c>
      <c r="Q12" s="53">
        <v>30</v>
      </c>
    </row>
    <row r="13" ht="15" spans="1:18">
      <c r="A13" s="81">
        <v>46388</v>
      </c>
      <c r="B13" s="82">
        <f t="shared" si="0"/>
        <v>960</v>
      </c>
      <c r="C13" s="68">
        <v>1200</v>
      </c>
      <c r="D13" s="53">
        <v>0</v>
      </c>
      <c r="E13" s="85">
        <f t="shared" si="4"/>
        <v>1000</v>
      </c>
      <c r="F13" s="68">
        <v>1000</v>
      </c>
      <c r="G13" s="68">
        <v>1000</v>
      </c>
      <c r="H13" s="53"/>
      <c r="I13" s="68">
        <f t="shared" si="1"/>
        <v>9200</v>
      </c>
      <c r="J13" s="87"/>
      <c r="K13" s="84"/>
      <c r="L13" s="84">
        <f t="shared" si="2"/>
        <v>-30</v>
      </c>
      <c r="M13" s="84">
        <f t="shared" si="3"/>
        <v>-60</v>
      </c>
      <c r="N13" s="87"/>
      <c r="O13" s="87"/>
      <c r="P13" s="53">
        <v>30</v>
      </c>
      <c r="Q13" s="53">
        <v>30</v>
      </c>
    </row>
    <row r="14" ht="15" spans="1:18">
      <c r="A14" s="81">
        <v>46419</v>
      </c>
      <c r="B14" s="82">
        <f t="shared" si="0"/>
        <v>1160</v>
      </c>
      <c r="C14" s="53">
        <v>1000</v>
      </c>
      <c r="D14" s="53">
        <v>0</v>
      </c>
      <c r="E14" s="85">
        <f t="shared" si="4"/>
        <v>1000</v>
      </c>
      <c r="F14" s="53">
        <v>1000</v>
      </c>
      <c r="G14" s="53">
        <v>1000</v>
      </c>
      <c r="H14" s="68"/>
      <c r="I14" s="68">
        <f t="shared" si="1"/>
        <v>10200</v>
      </c>
      <c r="J14" s="87"/>
      <c r="K14" s="84"/>
      <c r="L14" s="84">
        <f t="shared" si="2"/>
        <v>-30</v>
      </c>
      <c r="M14" s="84">
        <f t="shared" si="3"/>
        <v>-60</v>
      </c>
      <c r="N14" s="87"/>
      <c r="O14" s="87"/>
      <c r="P14" s="53">
        <v>30</v>
      </c>
      <c r="Q14" s="53">
        <v>30</v>
      </c>
    </row>
    <row r="15" ht="15" spans="1:18">
      <c r="A15" s="81">
        <v>46447</v>
      </c>
      <c r="B15" s="82">
        <f t="shared" si="0"/>
        <v>1160</v>
      </c>
      <c r="C15" s="53">
        <v>1000</v>
      </c>
      <c r="D15" s="53">
        <v>0</v>
      </c>
      <c r="E15" s="85">
        <f t="shared" si="4"/>
        <v>1000</v>
      </c>
      <c r="F15" s="53">
        <v>1000</v>
      </c>
      <c r="G15" s="53">
        <v>1000</v>
      </c>
      <c r="H15" s="53"/>
      <c r="I15" s="68">
        <f t="shared" si="1"/>
        <v>11200</v>
      </c>
      <c r="J15" s="87"/>
      <c r="K15" s="84"/>
      <c r="L15" s="84">
        <f t="shared" si="2"/>
        <v>-30</v>
      </c>
      <c r="M15" s="84">
        <f t="shared" si="3"/>
        <v>-60</v>
      </c>
      <c r="N15" s="87"/>
      <c r="O15" s="87"/>
      <c r="P15" s="53">
        <v>30</v>
      </c>
      <c r="Q15" s="53">
        <v>30</v>
      </c>
    </row>
    <row r="16" ht="15" spans="1:18">
      <c r="A16" s="81">
        <v>46478</v>
      </c>
      <c r="B16" s="82">
        <f t="shared" si="0"/>
        <v>1160</v>
      </c>
      <c r="C16" s="53">
        <v>0</v>
      </c>
      <c r="D16" s="53">
        <v>0</v>
      </c>
      <c r="E16" s="85">
        <f t="shared" si="4"/>
        <v>1000</v>
      </c>
      <c r="F16" s="53">
        <v>1000</v>
      </c>
      <c r="G16" s="53">
        <v>1000</v>
      </c>
      <c r="H16" s="53"/>
      <c r="I16" s="68">
        <f t="shared" si="1"/>
        <v>12200</v>
      </c>
      <c r="J16" s="87"/>
      <c r="K16" s="84"/>
      <c r="L16" s="84">
        <f t="shared" si="2"/>
        <v>-30</v>
      </c>
      <c r="M16" s="84">
        <f t="shared" si="3"/>
        <v>-60</v>
      </c>
      <c r="N16" s="87"/>
      <c r="O16" s="87"/>
      <c r="P16" s="53">
        <v>30</v>
      </c>
      <c r="Q16" s="53">
        <v>30</v>
      </c>
    </row>
    <row r="17" ht="15" spans="1:17">
      <c r="A17" s="81">
        <v>46508</v>
      </c>
      <c r="B17" s="82">
        <f t="shared" si="0"/>
        <v>160</v>
      </c>
      <c r="C17" s="53">
        <v>1000</v>
      </c>
      <c r="D17" s="53">
        <v>0</v>
      </c>
      <c r="E17" s="85">
        <f t="shared" si="4"/>
        <v>1000</v>
      </c>
      <c r="F17" s="53">
        <v>1000</v>
      </c>
      <c r="G17" s="53">
        <v>1000</v>
      </c>
      <c r="H17" s="53"/>
      <c r="I17" s="68">
        <f t="shared" si="1"/>
        <v>13200</v>
      </c>
      <c r="J17" s="87"/>
      <c r="K17" s="84"/>
      <c r="L17" s="84">
        <f t="shared" si="2"/>
        <v>-30</v>
      </c>
      <c r="M17" s="84">
        <f t="shared" si="3"/>
        <v>-60</v>
      </c>
      <c r="N17" s="87"/>
      <c r="O17" s="87"/>
      <c r="P17" s="53">
        <v>30</v>
      </c>
      <c r="Q17" s="53">
        <v>30</v>
      </c>
    </row>
    <row r="18" ht="15" spans="1:17">
      <c r="A18" s="81">
        <v>46539</v>
      </c>
      <c r="B18" s="82">
        <f t="shared" si="0"/>
        <v>160</v>
      </c>
      <c r="C18" s="53">
        <v>1000</v>
      </c>
      <c r="D18" s="53">
        <v>0</v>
      </c>
      <c r="E18" s="85">
        <f t="shared" si="4"/>
        <v>1000</v>
      </c>
      <c r="F18" s="53">
        <v>1000</v>
      </c>
      <c r="G18" s="53">
        <v>1000</v>
      </c>
      <c r="H18" s="53"/>
      <c r="I18" s="68">
        <f t="shared" si="1"/>
        <v>14200</v>
      </c>
      <c r="J18" s="87"/>
      <c r="K18" s="84"/>
      <c r="L18" s="84">
        <f t="shared" si="2"/>
        <v>-30</v>
      </c>
      <c r="M18" s="84">
        <f t="shared" si="3"/>
        <v>-60</v>
      </c>
      <c r="N18" s="87"/>
      <c r="O18" s="87"/>
      <c r="P18" s="53">
        <v>30</v>
      </c>
      <c r="Q18" s="53">
        <v>30</v>
      </c>
    </row>
    <row r="19" ht="15" spans="1:17">
      <c r="A19" s="81">
        <v>46569</v>
      </c>
      <c r="B19" s="82">
        <f t="shared" si="0"/>
        <v>160</v>
      </c>
      <c r="C19" s="53"/>
      <c r="D19" s="53">
        <v>0</v>
      </c>
      <c r="E19" s="85">
        <f t="shared" si="4"/>
        <v>1000</v>
      </c>
      <c r="F19" s="53">
        <v>1000</v>
      </c>
      <c r="G19" s="53">
        <v>1000</v>
      </c>
      <c r="H19" s="53"/>
      <c r="I19" s="68">
        <f t="shared" si="1"/>
        <v>15200</v>
      </c>
      <c r="J19" s="87"/>
      <c r="K19" s="84"/>
      <c r="L19" s="84">
        <f t="shared" si="2"/>
        <v>-30</v>
      </c>
      <c r="M19" s="84">
        <f t="shared" si="3"/>
        <v>-60</v>
      </c>
      <c r="N19" s="87"/>
      <c r="O19" s="87"/>
      <c r="P19" s="53">
        <v>30</v>
      </c>
      <c r="Q19" s="53">
        <v>30</v>
      </c>
    </row>
    <row r="20" spans="1:17">
      <c r="A20" s="78"/>
      <c r="B20" s="78"/>
      <c r="C20" s="8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</row>
    <row r="21" ht="15.6" spans="1:17">
      <c r="A21" s="79" t="s">
        <v>949</v>
      </c>
      <c r="B21" s="79" t="s">
        <v>950</v>
      </c>
      <c r="C21" s="79" t="s">
        <v>951</v>
      </c>
      <c r="D21" s="79" t="s">
        <v>952</v>
      </c>
      <c r="E21" s="79" t="s">
        <v>953</v>
      </c>
      <c r="F21" s="79" t="s">
        <v>954</v>
      </c>
      <c r="G21" s="79" t="s">
        <v>955</v>
      </c>
      <c r="H21" s="79" t="s">
        <v>956</v>
      </c>
      <c r="I21" s="79" t="s">
        <v>957</v>
      </c>
      <c r="J21" s="79" t="s">
        <v>958</v>
      </c>
      <c r="K21" s="79" t="s">
        <v>959</v>
      </c>
      <c r="L21" s="79" t="s">
        <v>960</v>
      </c>
      <c r="M21" s="79" t="s">
        <v>961</v>
      </c>
      <c r="N21" s="79" t="s">
        <v>962</v>
      </c>
      <c r="O21" s="79" t="s">
        <v>963</v>
      </c>
      <c r="P21" s="79" t="s">
        <v>964</v>
      </c>
      <c r="Q21" s="79" t="s">
        <v>965</v>
      </c>
    </row>
    <row r="22" ht="15" spans="1:17">
      <c r="A22" s="81">
        <v>46054</v>
      </c>
      <c r="B22" s="82">
        <v>0</v>
      </c>
      <c r="C22" s="68">
        <v>480</v>
      </c>
      <c r="D22" s="53">
        <v>0</v>
      </c>
      <c r="E22" s="68">
        <f t="shared" ref="E22:E39" si="5">F22-D22</f>
        <v>60</v>
      </c>
      <c r="F22" s="68">
        <v>60</v>
      </c>
      <c r="G22" s="53">
        <v>60</v>
      </c>
      <c r="H22" s="53"/>
      <c r="I22" s="68">
        <f>G22-H22</f>
        <v>60</v>
      </c>
      <c r="J22" s="83"/>
      <c r="K22" s="84">
        <v>46054</v>
      </c>
      <c r="L22" s="84">
        <f t="shared" ref="L22:L39" si="6">K22-P22</f>
        <v>46024</v>
      </c>
      <c r="M22" s="84">
        <f t="shared" ref="M22:M39" si="7">L22-Q22</f>
        <v>45994</v>
      </c>
      <c r="N22" s="53"/>
      <c r="O22" s="53"/>
      <c r="P22" s="53">
        <v>30</v>
      </c>
      <c r="Q22" s="53">
        <v>30</v>
      </c>
    </row>
    <row r="23" ht="15" spans="1:17">
      <c r="A23" s="81">
        <v>46082</v>
      </c>
      <c r="B23" s="82">
        <f>B22-G22+C22</f>
        <v>420</v>
      </c>
      <c r="C23" s="68">
        <v>0</v>
      </c>
      <c r="D23" s="53">
        <v>0</v>
      </c>
      <c r="E23" s="85">
        <f t="shared" si="5"/>
        <v>90</v>
      </c>
      <c r="F23" s="68">
        <v>90</v>
      </c>
      <c r="G23" s="53">
        <v>90</v>
      </c>
      <c r="H23" s="53"/>
      <c r="I23" s="68">
        <f>G23+I22-H23</f>
        <v>150</v>
      </c>
      <c r="J23" s="86"/>
      <c r="K23" s="84"/>
      <c r="L23" s="84">
        <f t="shared" si="6"/>
        <v>-30</v>
      </c>
      <c r="M23" s="84">
        <f t="shared" si="7"/>
        <v>-60</v>
      </c>
      <c r="N23" s="53"/>
      <c r="O23" s="53"/>
      <c r="P23" s="53">
        <v>30</v>
      </c>
      <c r="Q23" s="53">
        <v>30</v>
      </c>
    </row>
    <row r="24" ht="15" spans="1:17">
      <c r="A24" s="81">
        <v>46113</v>
      </c>
      <c r="B24" s="82">
        <f>B23-G23+C23</f>
        <v>330</v>
      </c>
      <c r="C24" s="68">
        <v>0</v>
      </c>
      <c r="D24" s="53">
        <v>0</v>
      </c>
      <c r="E24" s="85">
        <f t="shared" si="5"/>
        <v>150</v>
      </c>
      <c r="F24" s="68">
        <v>150</v>
      </c>
      <c r="G24" s="53">
        <v>150</v>
      </c>
      <c r="H24" s="53"/>
      <c r="I24" s="68">
        <f>G24+I23-H24</f>
        <v>300</v>
      </c>
      <c r="J24" s="87"/>
      <c r="K24" s="84"/>
      <c r="L24" s="84">
        <f t="shared" si="6"/>
        <v>-30</v>
      </c>
      <c r="M24" s="84">
        <f t="shared" si="7"/>
        <v>-60</v>
      </c>
      <c r="N24" s="87"/>
      <c r="O24" s="87"/>
      <c r="P24" s="53">
        <v>30</v>
      </c>
      <c r="Q24" s="53">
        <v>30</v>
      </c>
    </row>
    <row r="25" ht="15" spans="1:17">
      <c r="A25" s="81">
        <v>46143</v>
      </c>
      <c r="B25" s="82">
        <f>B24-G24+C24</f>
        <v>180</v>
      </c>
      <c r="C25" s="68">
        <v>480</v>
      </c>
      <c r="D25" s="53">
        <v>0</v>
      </c>
      <c r="E25" s="85">
        <f t="shared" si="5"/>
        <v>180</v>
      </c>
      <c r="F25" s="68">
        <v>180</v>
      </c>
      <c r="G25" s="53">
        <v>180</v>
      </c>
      <c r="H25" s="53"/>
      <c r="I25" s="68">
        <f>G25+I24-H25</f>
        <v>480</v>
      </c>
      <c r="J25" s="87"/>
      <c r="K25" s="84">
        <v>46143</v>
      </c>
      <c r="L25" s="84">
        <f t="shared" si="6"/>
        <v>46113</v>
      </c>
      <c r="M25" s="84">
        <f t="shared" si="7"/>
        <v>46083</v>
      </c>
      <c r="N25" s="87"/>
      <c r="O25" s="87"/>
      <c r="P25" s="53">
        <v>30</v>
      </c>
      <c r="Q25" s="53">
        <v>30</v>
      </c>
    </row>
    <row r="26" ht="15" spans="1:17">
      <c r="A26" s="81">
        <v>46174</v>
      </c>
      <c r="B26" s="82">
        <f>B25-G25+C25</f>
        <v>480</v>
      </c>
      <c r="C26" s="68">
        <v>0</v>
      </c>
      <c r="D26" s="53">
        <v>0</v>
      </c>
      <c r="E26" s="85">
        <f t="shared" si="5"/>
        <v>210</v>
      </c>
      <c r="F26" s="68">
        <v>210</v>
      </c>
      <c r="G26" s="53">
        <v>210</v>
      </c>
      <c r="H26" s="68"/>
      <c r="I26" s="68">
        <f>G26+I25-H26</f>
        <v>690</v>
      </c>
      <c r="J26" s="87"/>
      <c r="K26" s="84"/>
      <c r="L26" s="84">
        <f t="shared" si="6"/>
        <v>-30</v>
      </c>
      <c r="M26" s="84">
        <f t="shared" si="7"/>
        <v>-60</v>
      </c>
      <c r="N26" s="87"/>
      <c r="O26" s="87"/>
      <c r="P26" s="53">
        <v>30</v>
      </c>
      <c r="Q26" s="53">
        <v>30</v>
      </c>
    </row>
    <row r="27" ht="15" spans="1:17">
      <c r="A27" s="81">
        <v>46204</v>
      </c>
      <c r="B27" s="82">
        <f>B26-G26+C26</f>
        <v>270</v>
      </c>
      <c r="C27" s="68">
        <v>0</v>
      </c>
      <c r="D27" s="53">
        <v>0</v>
      </c>
      <c r="E27" s="85">
        <f t="shared" si="5"/>
        <v>240</v>
      </c>
      <c r="F27" s="68">
        <v>240</v>
      </c>
      <c r="G27" s="53">
        <v>240</v>
      </c>
      <c r="H27" s="53"/>
      <c r="I27" s="87"/>
      <c r="J27" s="87"/>
      <c r="K27" s="84"/>
      <c r="L27" s="84">
        <f t="shared" si="6"/>
        <v>-30</v>
      </c>
      <c r="M27" s="84">
        <f t="shared" si="7"/>
        <v>-60</v>
      </c>
      <c r="N27" s="87"/>
      <c r="O27" s="87"/>
      <c r="P27" s="53">
        <v>30</v>
      </c>
      <c r="Q27" s="53">
        <v>30</v>
      </c>
    </row>
    <row r="28" ht="15" spans="1:17">
      <c r="A28" s="81">
        <v>46235</v>
      </c>
      <c r="B28" s="82">
        <f t="shared" ref="B28:B39" si="8">B27-F27+C27</f>
        <v>30</v>
      </c>
      <c r="C28" s="68">
        <v>480</v>
      </c>
      <c r="D28" s="53">
        <v>0</v>
      </c>
      <c r="E28" s="85">
        <f t="shared" si="5"/>
        <v>240</v>
      </c>
      <c r="F28" s="68">
        <v>240</v>
      </c>
      <c r="G28" s="53">
        <v>240</v>
      </c>
      <c r="H28" s="53"/>
      <c r="I28" s="87"/>
      <c r="J28" s="87"/>
      <c r="K28" s="84"/>
      <c r="L28" s="84">
        <f t="shared" si="6"/>
        <v>-30</v>
      </c>
      <c r="M28" s="84">
        <f t="shared" si="7"/>
        <v>-60</v>
      </c>
      <c r="N28" s="87"/>
      <c r="O28" s="87"/>
      <c r="P28" s="53">
        <v>30</v>
      </c>
      <c r="Q28" s="53">
        <v>30</v>
      </c>
    </row>
    <row r="29" ht="15" spans="1:17">
      <c r="A29" s="81">
        <v>46266</v>
      </c>
      <c r="B29" s="82">
        <f t="shared" si="8"/>
        <v>270</v>
      </c>
      <c r="C29" s="53"/>
      <c r="D29" s="53">
        <v>0</v>
      </c>
      <c r="E29" s="85">
        <f t="shared" si="5"/>
        <v>270</v>
      </c>
      <c r="F29" s="68">
        <v>270</v>
      </c>
      <c r="G29" s="53">
        <v>270</v>
      </c>
      <c r="H29" s="53"/>
      <c r="I29" s="87"/>
      <c r="J29" s="87"/>
      <c r="K29" s="84"/>
      <c r="L29" s="84">
        <f t="shared" si="6"/>
        <v>-30</v>
      </c>
      <c r="M29" s="84">
        <f t="shared" si="7"/>
        <v>-60</v>
      </c>
      <c r="N29" s="87"/>
      <c r="O29" s="87"/>
      <c r="P29" s="53">
        <v>30</v>
      </c>
      <c r="Q29" s="53">
        <v>30</v>
      </c>
    </row>
    <row r="30" ht="15" spans="1:17">
      <c r="A30" s="81">
        <v>46296</v>
      </c>
      <c r="B30" s="82">
        <f t="shared" si="8"/>
        <v>0</v>
      </c>
      <c r="C30" s="53"/>
      <c r="D30" s="53">
        <v>0</v>
      </c>
      <c r="E30" s="85">
        <f t="shared" si="5"/>
        <v>270</v>
      </c>
      <c r="F30" s="68">
        <v>270</v>
      </c>
      <c r="G30" s="53">
        <v>270</v>
      </c>
      <c r="H30" s="53"/>
      <c r="I30" s="87"/>
      <c r="J30" s="87"/>
      <c r="K30" s="84"/>
      <c r="L30" s="84">
        <f t="shared" si="6"/>
        <v>-30</v>
      </c>
      <c r="M30" s="84">
        <f t="shared" si="7"/>
        <v>-60</v>
      </c>
      <c r="N30" s="87"/>
      <c r="O30" s="87"/>
      <c r="P30" s="53">
        <v>30</v>
      </c>
      <c r="Q30" s="53">
        <v>30</v>
      </c>
    </row>
    <row r="31" ht="15" spans="1:17">
      <c r="A31" s="81">
        <v>46327</v>
      </c>
      <c r="B31" s="82">
        <f t="shared" si="8"/>
        <v>-270</v>
      </c>
      <c r="C31" s="53"/>
      <c r="D31" s="53">
        <v>0</v>
      </c>
      <c r="E31" s="85">
        <f t="shared" si="5"/>
        <v>300</v>
      </c>
      <c r="F31" s="68">
        <v>300</v>
      </c>
      <c r="G31" s="53">
        <v>300</v>
      </c>
      <c r="H31" s="53"/>
      <c r="I31" s="87"/>
      <c r="J31" s="87"/>
      <c r="K31" s="84"/>
      <c r="L31" s="84">
        <f t="shared" si="6"/>
        <v>-30</v>
      </c>
      <c r="M31" s="84">
        <f t="shared" si="7"/>
        <v>-60</v>
      </c>
      <c r="N31" s="87"/>
      <c r="O31" s="87"/>
      <c r="P31" s="53">
        <v>30</v>
      </c>
      <c r="Q31" s="53">
        <v>30</v>
      </c>
    </row>
    <row r="32" ht="15" spans="1:17">
      <c r="A32" s="81">
        <v>46357</v>
      </c>
      <c r="B32" s="82">
        <f t="shared" si="8"/>
        <v>-570</v>
      </c>
      <c r="C32" s="53"/>
      <c r="D32" s="53">
        <v>0</v>
      </c>
      <c r="E32" s="85">
        <f t="shared" si="5"/>
        <v>300</v>
      </c>
      <c r="F32" s="53">
        <v>300</v>
      </c>
      <c r="G32" s="53">
        <v>300</v>
      </c>
      <c r="H32" s="53"/>
      <c r="I32" s="87"/>
      <c r="J32" s="87"/>
      <c r="K32" s="84"/>
      <c r="L32" s="84">
        <f t="shared" si="6"/>
        <v>-30</v>
      </c>
      <c r="M32" s="84">
        <f t="shared" si="7"/>
        <v>-60</v>
      </c>
      <c r="N32" s="87"/>
      <c r="O32" s="87"/>
      <c r="P32" s="53">
        <v>30</v>
      </c>
      <c r="Q32" s="53">
        <v>30</v>
      </c>
    </row>
    <row r="33" ht="15" spans="1:17">
      <c r="A33" s="81">
        <v>46388</v>
      </c>
      <c r="B33" s="82">
        <f t="shared" si="8"/>
        <v>-870</v>
      </c>
      <c r="C33" s="53"/>
      <c r="D33" s="53">
        <v>0</v>
      </c>
      <c r="E33" s="85">
        <f t="shared" si="5"/>
        <v>300</v>
      </c>
      <c r="F33" s="53">
        <v>300</v>
      </c>
      <c r="G33" s="53">
        <v>300</v>
      </c>
      <c r="H33" s="53"/>
      <c r="I33" s="87"/>
      <c r="J33" s="87"/>
      <c r="K33" s="84"/>
      <c r="L33" s="84">
        <f t="shared" si="6"/>
        <v>-30</v>
      </c>
      <c r="M33" s="84">
        <f t="shared" si="7"/>
        <v>-60</v>
      </c>
      <c r="N33" s="87"/>
      <c r="O33" s="87"/>
      <c r="P33" s="53">
        <v>30</v>
      </c>
      <c r="Q33" s="53">
        <v>30</v>
      </c>
    </row>
    <row r="34" ht="15" spans="1:17">
      <c r="A34" s="81">
        <v>46419</v>
      </c>
      <c r="B34" s="82">
        <f t="shared" si="8"/>
        <v>-1170</v>
      </c>
      <c r="C34" s="53"/>
      <c r="D34" s="53">
        <v>0</v>
      </c>
      <c r="E34" s="85">
        <f t="shared" si="5"/>
        <v>300</v>
      </c>
      <c r="F34" s="53">
        <v>300</v>
      </c>
      <c r="G34" s="53">
        <v>300</v>
      </c>
      <c r="H34" s="53"/>
      <c r="I34" s="87"/>
      <c r="J34" s="87"/>
      <c r="K34" s="84"/>
      <c r="L34" s="84">
        <f t="shared" si="6"/>
        <v>-30</v>
      </c>
      <c r="M34" s="84">
        <f t="shared" si="7"/>
        <v>-60</v>
      </c>
      <c r="N34" s="87"/>
      <c r="O34" s="87"/>
      <c r="P34" s="53">
        <v>30</v>
      </c>
      <c r="Q34" s="53">
        <v>30</v>
      </c>
    </row>
    <row r="35" ht="15" spans="1:17">
      <c r="A35" s="81">
        <v>46447</v>
      </c>
      <c r="B35" s="82">
        <f t="shared" si="8"/>
        <v>-1470</v>
      </c>
      <c r="C35" s="53"/>
      <c r="D35" s="53">
        <v>0</v>
      </c>
      <c r="E35" s="85">
        <f t="shared" si="5"/>
        <v>300</v>
      </c>
      <c r="F35" s="53">
        <v>300</v>
      </c>
      <c r="G35" s="53">
        <v>300</v>
      </c>
      <c r="H35" s="53"/>
      <c r="I35" s="87"/>
      <c r="J35" s="87"/>
      <c r="K35" s="84"/>
      <c r="L35" s="84">
        <f t="shared" si="6"/>
        <v>-30</v>
      </c>
      <c r="M35" s="84">
        <f t="shared" si="7"/>
        <v>-60</v>
      </c>
      <c r="N35" s="87"/>
      <c r="O35" s="87"/>
      <c r="P35" s="53">
        <v>30</v>
      </c>
      <c r="Q35" s="53">
        <v>30</v>
      </c>
    </row>
    <row r="36" ht="15" spans="1:17">
      <c r="A36" s="81">
        <v>46478</v>
      </c>
      <c r="B36" s="82">
        <f t="shared" si="8"/>
        <v>-1770</v>
      </c>
      <c r="C36" s="53"/>
      <c r="D36" s="53">
        <v>0</v>
      </c>
      <c r="E36" s="85">
        <f t="shared" si="5"/>
        <v>300</v>
      </c>
      <c r="F36" s="53">
        <v>300</v>
      </c>
      <c r="G36" s="53">
        <v>300</v>
      </c>
      <c r="H36" s="53"/>
      <c r="I36" s="87"/>
      <c r="J36" s="87"/>
      <c r="K36" s="84"/>
      <c r="L36" s="84">
        <f t="shared" si="6"/>
        <v>-30</v>
      </c>
      <c r="M36" s="84">
        <f t="shared" si="7"/>
        <v>-60</v>
      </c>
      <c r="N36" s="87"/>
      <c r="O36" s="87"/>
      <c r="P36" s="53">
        <v>30</v>
      </c>
      <c r="Q36" s="53">
        <v>30</v>
      </c>
    </row>
    <row r="37" ht="15" spans="1:17">
      <c r="A37" s="81">
        <v>46508</v>
      </c>
      <c r="B37" s="82">
        <f t="shared" si="8"/>
        <v>-2070</v>
      </c>
      <c r="C37" s="53"/>
      <c r="D37" s="53">
        <v>0</v>
      </c>
      <c r="E37" s="85">
        <f t="shared" si="5"/>
        <v>300</v>
      </c>
      <c r="F37" s="53">
        <v>300</v>
      </c>
      <c r="G37" s="53">
        <v>300</v>
      </c>
      <c r="H37" s="53"/>
      <c r="I37" s="87"/>
      <c r="J37" s="87"/>
      <c r="K37" s="84"/>
      <c r="L37" s="84">
        <f t="shared" si="6"/>
        <v>-30</v>
      </c>
      <c r="M37" s="84">
        <f t="shared" si="7"/>
        <v>-60</v>
      </c>
      <c r="N37" s="87"/>
      <c r="O37" s="87"/>
      <c r="P37" s="53">
        <v>30</v>
      </c>
      <c r="Q37" s="53">
        <v>30</v>
      </c>
    </row>
    <row r="38" ht="15" spans="1:17">
      <c r="A38" s="81">
        <v>46539</v>
      </c>
      <c r="B38" s="82">
        <f t="shared" si="8"/>
        <v>-2370</v>
      </c>
      <c r="C38" s="53"/>
      <c r="D38" s="53">
        <v>0</v>
      </c>
      <c r="E38" s="85">
        <f t="shared" si="5"/>
        <v>300</v>
      </c>
      <c r="F38" s="53">
        <v>300</v>
      </c>
      <c r="G38" s="53">
        <v>300</v>
      </c>
      <c r="H38" s="53"/>
      <c r="I38" s="87"/>
      <c r="J38" s="87"/>
      <c r="K38" s="84"/>
      <c r="L38" s="84">
        <f t="shared" si="6"/>
        <v>-30</v>
      </c>
      <c r="M38" s="84">
        <f t="shared" si="7"/>
        <v>-60</v>
      </c>
      <c r="N38" s="87"/>
      <c r="O38" s="87"/>
      <c r="P38" s="53">
        <v>30</v>
      </c>
      <c r="Q38" s="53">
        <v>30</v>
      </c>
    </row>
    <row r="39" ht="15" spans="1:17">
      <c r="A39" s="81">
        <v>46569</v>
      </c>
      <c r="B39" s="82">
        <f t="shared" si="8"/>
        <v>-2670</v>
      </c>
      <c r="C39" s="53"/>
      <c r="D39" s="53">
        <v>0</v>
      </c>
      <c r="E39" s="85">
        <f t="shared" si="5"/>
        <v>300</v>
      </c>
      <c r="F39" s="53">
        <v>300</v>
      </c>
      <c r="G39" s="53">
        <v>300</v>
      </c>
      <c r="H39" s="53"/>
      <c r="I39" s="87"/>
      <c r="J39" s="87"/>
      <c r="K39" s="84"/>
      <c r="L39" s="84">
        <f t="shared" si="6"/>
        <v>-30</v>
      </c>
      <c r="M39" s="84">
        <f t="shared" si="7"/>
        <v>-60</v>
      </c>
      <c r="N39" s="87"/>
      <c r="O39" s="87"/>
      <c r="P39" s="53">
        <v>30</v>
      </c>
      <c r="Q39" s="53">
        <v>30</v>
      </c>
    </row>
    <row r="40" spans="1:17">
      <c r="A40" s="78"/>
      <c r="B40" s="78"/>
      <c r="C40" s="8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</row>
    <row r="41" spans="1:17">
      <c r="A41" s="78"/>
      <c r="B41" s="78"/>
      <c r="C41" s="8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</row>
    <row r="42" spans="1:17">
      <c r="A42" s="78"/>
      <c r="B42" s="78"/>
      <c r="C42" s="8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</row>
    <row r="43" spans="1:17">
      <c r="A43" s="78"/>
      <c r="B43" s="78"/>
      <c r="C43" s="8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</row>
    <row r="44" spans="1:17">
      <c r="A44" s="78"/>
      <c r="B44" s="78"/>
      <c r="C44" s="8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</row>
    <row r="45" spans="1:17">
      <c r="A45" s="78"/>
      <c r="B45" s="78"/>
      <c r="C45" s="8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</row>
    <row r="46" spans="1:17">
      <c r="A46" s="78"/>
      <c r="B46" s="78"/>
      <c r="C46" s="8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</row>
    <row r="47" spans="1:17">
      <c r="A47" s="78"/>
      <c r="B47" s="78"/>
      <c r="C47" s="8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</row>
    <row r="48" spans="1:17">
      <c r="A48" s="78"/>
      <c r="B48" s="78"/>
      <c r="C48" s="8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</row>
    <row r="49" spans="1:17">
      <c r="A49" s="78"/>
      <c r="B49" s="78"/>
      <c r="C49" s="8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</row>
    <row r="50" spans="1:17">
      <c r="A50" s="78"/>
      <c r="B50" s="78"/>
      <c r="C50" s="8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</row>
    <row r="51" spans="1:17">
      <c r="A51" s="78"/>
      <c r="B51" s="78"/>
      <c r="C51" s="8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</row>
    <row r="52" spans="1:17">
      <c r="A52" s="78"/>
      <c r="B52" s="78"/>
      <c r="C52" s="8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</row>
    <row r="53" spans="1:17">
      <c r="A53" s="78"/>
      <c r="B53" s="78"/>
      <c r="C53" s="8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</row>
    <row r="54" spans="1:17">
      <c r="A54" s="78"/>
      <c r="B54" s="78"/>
      <c r="C54" s="8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</row>
    <row r="55" spans="1:17">
      <c r="A55" s="78"/>
      <c r="B55" s="78"/>
      <c r="C55" s="8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</row>
    <row r="56" spans="1:17">
      <c r="A56" s="78"/>
      <c r="B56" s="78"/>
      <c r="C56" s="8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</row>
    <row r="57" spans="1:17">
      <c r="A57" s="78"/>
      <c r="B57" s="78"/>
      <c r="C57" s="8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</row>
    <row r="58" spans="1:17">
      <c r="A58" s="78"/>
      <c r="B58" s="78"/>
      <c r="C58" s="8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</row>
    <row r="59" spans="1:17">
      <c r="A59" s="78"/>
      <c r="B59" s="78"/>
      <c r="C59" s="8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</row>
    <row r="60" spans="1:17">
      <c r="A60" s="78"/>
      <c r="B60" s="78"/>
      <c r="C60" s="8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</row>
    <row r="61" spans="1:17">
      <c r="A61" s="78"/>
      <c r="B61" s="78"/>
      <c r="C61" s="8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</row>
    <row r="62" spans="1:17">
      <c r="A62" s="78"/>
      <c r="B62" s="78"/>
      <c r="C62" s="8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</row>
    <row r="63" spans="1:17">
      <c r="A63" s="78"/>
      <c r="B63" s="78"/>
      <c r="C63" s="8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</row>
    <row r="64" spans="1:17">
      <c r="A64" s="78"/>
      <c r="B64" s="78"/>
      <c r="C64" s="8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</row>
    <row r="65" spans="1:17">
      <c r="A65" s="78"/>
      <c r="B65" s="78"/>
      <c r="C65" s="8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</row>
    <row r="66" spans="1:17">
      <c r="A66" s="78"/>
      <c r="B66" s="78"/>
      <c r="C66" s="8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</row>
    <row r="67" spans="1:17">
      <c r="A67" s="78"/>
      <c r="B67" s="78"/>
      <c r="C67" s="8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</row>
    <row r="68" spans="1:17">
      <c r="A68" s="78"/>
      <c r="B68" s="78"/>
      <c r="C68" s="8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</row>
    <row r="69" spans="1:17">
      <c r="A69" s="78"/>
      <c r="B69" s="78"/>
      <c r="C69" s="8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</row>
    <row r="70" spans="1:17">
      <c r="A70" s="78"/>
      <c r="B70" s="78"/>
      <c r="C70" s="8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</row>
    <row r="71" spans="1:17">
      <c r="A71" s="78"/>
      <c r="B71" s="78"/>
      <c r="C71" s="8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</row>
    <row r="72" spans="1:17">
      <c r="A72" s="78"/>
      <c r="B72" s="78"/>
      <c r="C72" s="8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</row>
    <row r="73" spans="1:17">
      <c r="A73" s="78"/>
      <c r="B73" s="78"/>
      <c r="C73" s="8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</row>
    <row r="74" spans="1:17">
      <c r="A74" s="78"/>
      <c r="B74" s="78"/>
      <c r="C74" s="8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</row>
    <row r="75" spans="1:17">
      <c r="A75" s="78"/>
      <c r="B75" s="78"/>
      <c r="C75" s="8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</row>
    <row r="76" spans="1:17">
      <c r="A76" s="78"/>
      <c r="B76" s="78"/>
      <c r="C76" s="8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</row>
    <row r="77" spans="1:17">
      <c r="A77" s="78"/>
      <c r="B77" s="78"/>
      <c r="C77" s="8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</row>
    <row r="78" spans="1:17">
      <c r="A78" s="78"/>
      <c r="B78" s="78"/>
      <c r="C78" s="8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</row>
    <row r="79" spans="1:17">
      <c r="A79" s="78"/>
      <c r="B79" s="78"/>
      <c r="C79" s="8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</row>
    <row r="80" spans="1:17">
      <c r="A80" s="78"/>
      <c r="B80" s="78"/>
      <c r="C80" s="8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</row>
    <row r="81" spans="1:17">
      <c r="A81" s="78"/>
      <c r="B81" s="78"/>
      <c r="C81" s="8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</row>
    <row r="82" spans="1:17">
      <c r="A82" s="78"/>
      <c r="B82" s="78"/>
      <c r="C82" s="8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</row>
    <row r="83" spans="1:17">
      <c r="A83" s="78"/>
      <c r="B83" s="78"/>
      <c r="C83" s="8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</row>
    <row r="84" spans="1:17">
      <c r="A84" s="78"/>
      <c r="B84" s="78"/>
      <c r="C84" s="8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</row>
    <row r="85" spans="1:17">
      <c r="A85" s="78"/>
      <c r="B85" s="78"/>
      <c r="C85" s="8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</row>
    <row r="86" spans="1:17">
      <c r="A86" s="78"/>
      <c r="B86" s="78"/>
      <c r="C86" s="8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</row>
    <row r="87" spans="1:17">
      <c r="A87" s="78"/>
      <c r="B87" s="78"/>
      <c r="C87" s="8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</row>
    <row r="88" spans="1:17">
      <c r="A88" s="78"/>
      <c r="B88" s="78"/>
      <c r="C88" s="8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</row>
    <row r="89" spans="1:17">
      <c r="A89" s="78"/>
      <c r="B89" s="78"/>
      <c r="C89" s="8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</row>
    <row r="90" spans="1:17">
      <c r="A90" s="78"/>
      <c r="B90" s="78"/>
      <c r="C90" s="8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</row>
    <row r="91" spans="1:17">
      <c r="A91" s="78"/>
      <c r="B91" s="78"/>
      <c r="C91" s="8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</row>
    <row r="92" spans="1:17">
      <c r="A92" s="78"/>
      <c r="B92" s="78"/>
      <c r="C92" s="8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</row>
    <row r="93" spans="1:17">
      <c r="A93" s="78"/>
      <c r="B93" s="78"/>
      <c r="C93" s="8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</row>
    <row r="94" spans="1:17">
      <c r="A94" s="78"/>
      <c r="B94" s="78"/>
      <c r="C94" s="8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</row>
    <row r="95" spans="1:17">
      <c r="A95" s="78"/>
      <c r="B95" s="78"/>
      <c r="C95" s="8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</row>
    <row r="96" spans="1:17">
      <c r="A96" s="78"/>
      <c r="B96" s="78"/>
      <c r="C96" s="8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</row>
    <row r="97" spans="1:17">
      <c r="A97" s="78"/>
      <c r="B97" s="78"/>
      <c r="C97" s="8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</row>
    <row r="98" spans="1:17">
      <c r="A98" s="78"/>
      <c r="B98" s="78"/>
      <c r="C98" s="8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</row>
    <row r="99" spans="1:17">
      <c r="A99" s="78"/>
      <c r="B99" s="78"/>
      <c r="C99" s="8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</row>
    <row r="100" spans="1:17">
      <c r="A100" s="78"/>
      <c r="B100" s="78"/>
      <c r="C100" s="8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</row>
    <row r="101" spans="1:17">
      <c r="A101" s="78"/>
      <c r="B101" s="78"/>
      <c r="C101" s="8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</row>
    <row r="102" spans="1:17">
      <c r="A102" s="78"/>
      <c r="B102" s="78"/>
      <c r="C102" s="8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</row>
    <row r="103" spans="1:17">
      <c r="A103" s="78"/>
      <c r="B103" s="78"/>
      <c r="C103" s="8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</row>
    <row r="104" spans="1:17">
      <c r="A104" s="78"/>
      <c r="B104" s="78"/>
      <c r="C104" s="8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</row>
    <row r="105" spans="1:17">
      <c r="A105" s="78"/>
      <c r="B105" s="78"/>
      <c r="C105" s="8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</row>
    <row r="106" spans="1:17">
      <c r="A106" s="78"/>
      <c r="B106" s="78"/>
      <c r="C106" s="8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</row>
    <row r="107" spans="1:17">
      <c r="A107" s="78"/>
      <c r="B107" s="78"/>
      <c r="C107" s="8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</row>
    <row r="108" spans="1:17">
      <c r="A108" s="78"/>
      <c r="B108" s="78"/>
      <c r="C108" s="8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</row>
    <row r="109" spans="1:17">
      <c r="A109" s="78"/>
      <c r="B109" s="78"/>
      <c r="C109" s="8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</row>
    <row r="110" spans="1:17">
      <c r="A110" s="78"/>
      <c r="B110" s="78"/>
      <c r="C110" s="8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</row>
    <row r="111" spans="1:17">
      <c r="A111" s="78"/>
      <c r="B111" s="78"/>
      <c r="C111" s="8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</row>
    <row r="112" spans="1:17">
      <c r="A112" s="78"/>
      <c r="B112" s="78"/>
      <c r="C112" s="8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</row>
    <row r="113" spans="1:17">
      <c r="A113" s="78"/>
      <c r="B113" s="78"/>
      <c r="C113" s="8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</row>
    <row r="114" spans="1:17">
      <c r="A114" s="78"/>
      <c r="B114" s="78"/>
      <c r="C114" s="8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</row>
    <row r="115" spans="1:17">
      <c r="A115" s="78"/>
      <c r="B115" s="78"/>
      <c r="C115" s="8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</row>
    <row r="116" spans="1:17">
      <c r="A116" s="78"/>
      <c r="B116" s="78"/>
      <c r="C116" s="8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</row>
    <row r="117" spans="1:17">
      <c r="A117" s="78"/>
      <c r="B117" s="78"/>
      <c r="C117" s="8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</row>
    <row r="118" spans="1:17">
      <c r="A118" s="78"/>
      <c r="B118" s="78"/>
      <c r="C118" s="8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</row>
    <row r="119" spans="1:17">
      <c r="A119" s="78"/>
      <c r="B119" s="78"/>
      <c r="C119" s="8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</row>
    <row r="120" spans="1:17">
      <c r="A120" s="78"/>
      <c r="B120" s="78"/>
      <c r="C120" s="8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</row>
    <row r="121" spans="1:17">
      <c r="A121" s="78"/>
      <c r="B121" s="78"/>
      <c r="C121" s="8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</row>
    <row r="122" spans="1:17">
      <c r="A122" s="78"/>
      <c r="B122" s="78"/>
      <c r="C122" s="8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</row>
    <row r="123" spans="1:17">
      <c r="A123" s="78"/>
      <c r="B123" s="78"/>
      <c r="C123" s="8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</row>
    <row r="124" spans="1:17">
      <c r="A124" s="78"/>
      <c r="B124" s="78"/>
      <c r="C124" s="8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</row>
    <row r="125" spans="1:17">
      <c r="A125" s="78"/>
      <c r="B125" s="78"/>
      <c r="C125" s="8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</row>
    <row r="126" spans="1:17">
      <c r="A126" s="78"/>
      <c r="B126" s="78"/>
      <c r="C126" s="8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</row>
    <row r="127" spans="1:17">
      <c r="A127" s="78"/>
      <c r="B127" s="78"/>
      <c r="C127" s="8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</row>
    <row r="128" spans="1:17">
      <c r="A128" s="78"/>
      <c r="B128" s="78"/>
      <c r="C128" s="8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</row>
    <row r="129" spans="1:17">
      <c r="A129" s="78"/>
      <c r="B129" s="78"/>
      <c r="C129" s="8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</row>
    <row r="130" spans="1:17">
      <c r="A130" s="78"/>
      <c r="B130" s="78"/>
      <c r="C130" s="8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</row>
    <row r="131" spans="1:17">
      <c r="A131" s="78"/>
      <c r="B131" s="78"/>
      <c r="C131" s="8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</row>
    <row r="132" spans="1:17">
      <c r="A132" s="78"/>
      <c r="B132" s="78"/>
      <c r="C132" s="8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</row>
    <row r="133" spans="1:17">
      <c r="A133" s="78"/>
      <c r="B133" s="78"/>
      <c r="C133" s="8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</row>
    <row r="134" spans="1:17">
      <c r="A134" s="78"/>
      <c r="B134" s="78"/>
      <c r="C134" s="8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</row>
    <row r="135" spans="1:17">
      <c r="A135" s="78"/>
      <c r="B135" s="78"/>
      <c r="C135" s="8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</row>
    <row r="136" spans="1:17">
      <c r="A136" s="78"/>
      <c r="B136" s="78"/>
      <c r="C136" s="8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</row>
    <row r="137" spans="1:17">
      <c r="A137" s="78"/>
      <c r="B137" s="78"/>
      <c r="C137" s="8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</row>
    <row r="138" spans="1:17">
      <c r="A138" s="78"/>
      <c r="B138" s="78"/>
      <c r="C138" s="8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</row>
    <row r="139" spans="1:17">
      <c r="A139" s="78"/>
      <c r="B139" s="78"/>
      <c r="C139" s="8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</row>
    <row r="140" spans="1:17">
      <c r="A140" s="78"/>
      <c r="B140" s="78"/>
      <c r="C140" s="8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</row>
    <row r="141" spans="1:17">
      <c r="A141" s="78"/>
      <c r="B141" s="78"/>
      <c r="C141" s="8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</row>
    <row r="142" spans="1:17">
      <c r="A142" s="78"/>
      <c r="B142" s="78"/>
      <c r="C142" s="8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</row>
    <row r="143" spans="1:17">
      <c r="A143" s="78"/>
      <c r="B143" s="78"/>
      <c r="C143" s="8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</row>
    <row r="144" spans="1:17">
      <c r="A144" s="78"/>
      <c r="B144" s="78"/>
      <c r="C144" s="8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</row>
    <row r="145" spans="1:17">
      <c r="A145" s="78"/>
      <c r="B145" s="78"/>
      <c r="C145" s="8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</row>
    <row r="146" spans="1:17">
      <c r="A146" s="78"/>
      <c r="B146" s="78"/>
      <c r="C146" s="8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</row>
    <row r="147" spans="1:17">
      <c r="A147" s="78"/>
      <c r="B147" s="78"/>
      <c r="C147" s="8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</row>
    <row r="148" spans="1:17">
      <c r="A148" s="78"/>
      <c r="B148" s="78"/>
      <c r="C148" s="8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</row>
    <row r="149" spans="1:17">
      <c r="A149" s="78"/>
      <c r="B149" s="78"/>
      <c r="C149" s="8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</row>
    <row r="150" spans="1:17">
      <c r="A150" s="78"/>
      <c r="B150" s="78"/>
      <c r="C150" s="8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</row>
    <row r="151" spans="1:17">
      <c r="A151" s="78"/>
      <c r="B151" s="78"/>
      <c r="C151" s="8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</row>
    <row r="152" spans="1:17">
      <c r="A152" s="78"/>
      <c r="B152" s="78"/>
      <c r="C152" s="8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</row>
    <row r="153" spans="1:17">
      <c r="A153" s="78"/>
      <c r="B153" s="78"/>
      <c r="C153" s="8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</row>
    <row r="154" spans="1:17">
      <c r="A154" s="78"/>
      <c r="B154" s="78"/>
      <c r="C154" s="8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</row>
    <row r="155" spans="1:17">
      <c r="A155" s="78"/>
      <c r="B155" s="78"/>
      <c r="C155" s="8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</row>
    <row r="156" spans="1:17">
      <c r="A156" s="78"/>
      <c r="B156" s="78"/>
      <c r="C156" s="8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</row>
    <row r="157" spans="1:17">
      <c r="A157" s="78"/>
      <c r="B157" s="78"/>
      <c r="C157" s="8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</row>
    <row r="158" spans="1:17">
      <c r="A158" s="78"/>
      <c r="B158" s="78"/>
      <c r="C158" s="8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</row>
    <row r="159" spans="1:17">
      <c r="A159" s="78"/>
      <c r="B159" s="78"/>
      <c r="C159" s="8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</row>
    <row r="160" spans="1:17">
      <c r="A160" s="78"/>
      <c r="B160" s="78"/>
      <c r="C160" s="8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</row>
    <row r="161" spans="1:17">
      <c r="A161" s="78"/>
      <c r="B161" s="78"/>
      <c r="C161" s="8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</row>
    <row r="162" spans="1:17">
      <c r="A162" s="78"/>
      <c r="B162" s="78"/>
      <c r="C162" s="8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</row>
    <row r="163" spans="1:17">
      <c r="A163" s="78"/>
      <c r="B163" s="78"/>
      <c r="C163" s="8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</row>
    <row r="164" spans="1:17">
      <c r="A164" s="78"/>
      <c r="B164" s="78"/>
      <c r="C164" s="8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</row>
    <row r="165" spans="1:17">
      <c r="A165" s="78"/>
      <c r="B165" s="78"/>
      <c r="C165" s="8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</row>
    <row r="166" spans="1:17">
      <c r="A166" s="78"/>
      <c r="B166" s="78"/>
      <c r="C166" s="8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</row>
    <row r="167" spans="1:17">
      <c r="A167" s="78"/>
      <c r="B167" s="78"/>
      <c r="C167" s="8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</row>
    <row r="168" spans="1:17">
      <c r="A168" s="78"/>
      <c r="B168" s="78"/>
      <c r="C168" s="8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</row>
    <row r="169" spans="1:17">
      <c r="A169" s="78"/>
      <c r="B169" s="78"/>
      <c r="C169" s="8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</row>
    <row r="170" spans="1:17">
      <c r="A170" s="78"/>
      <c r="B170" s="78"/>
      <c r="C170" s="8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</row>
    <row r="171" spans="1:17">
      <c r="A171" s="78"/>
      <c r="B171" s="78"/>
      <c r="C171" s="8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</row>
    <row r="172" spans="1:17">
      <c r="A172" s="78"/>
      <c r="B172" s="78"/>
      <c r="C172" s="8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</row>
    <row r="173" spans="1:17">
      <c r="A173" s="78"/>
      <c r="B173" s="78"/>
      <c r="C173" s="8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</row>
    <row r="174" spans="1:17">
      <c r="A174" s="78"/>
      <c r="B174" s="78"/>
      <c r="C174" s="8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</row>
    <row r="175" spans="1:17">
      <c r="A175" s="78"/>
      <c r="B175" s="78"/>
      <c r="C175" s="8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</row>
    <row r="176" spans="1:17">
      <c r="A176" s="78"/>
      <c r="B176" s="78"/>
      <c r="C176" s="8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</row>
    <row r="177" spans="1:17">
      <c r="A177" s="78"/>
      <c r="B177" s="78"/>
      <c r="C177" s="8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</row>
    <row r="178" spans="1:17">
      <c r="A178" s="78"/>
      <c r="B178" s="78"/>
      <c r="C178" s="8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</row>
    <row r="179" spans="1:17">
      <c r="A179" s="78"/>
      <c r="B179" s="78"/>
      <c r="C179" s="8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</row>
    <row r="180" spans="1:17">
      <c r="A180" s="78"/>
      <c r="B180" s="78"/>
      <c r="C180" s="8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</row>
    <row r="181" spans="1:17">
      <c r="A181" s="78"/>
      <c r="B181" s="78"/>
      <c r="C181" s="8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</row>
    <row r="182" spans="1:17">
      <c r="A182" s="78"/>
      <c r="B182" s="78"/>
      <c r="C182" s="8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</row>
    <row r="183" spans="1:17">
      <c r="A183" s="78"/>
      <c r="B183" s="78"/>
      <c r="C183" s="8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</row>
    <row r="184" spans="1:17">
      <c r="A184" s="78"/>
      <c r="B184" s="78"/>
      <c r="C184" s="8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</row>
    <row r="185" spans="1:17">
      <c r="A185" s="78"/>
      <c r="B185" s="78"/>
      <c r="C185" s="8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</row>
    <row r="186" spans="1:17">
      <c r="A186" s="78"/>
      <c r="B186" s="78"/>
      <c r="C186" s="8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</row>
    <row r="187" spans="1:17">
      <c r="A187" s="78"/>
      <c r="B187" s="78"/>
      <c r="C187" s="8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</row>
    <row r="188" spans="1:17">
      <c r="A188" s="78"/>
      <c r="B188" s="78"/>
      <c r="C188" s="8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</row>
    <row r="189" spans="1:17">
      <c r="A189" s="78"/>
      <c r="B189" s="78"/>
      <c r="C189" s="8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</row>
    <row r="190" spans="1:17">
      <c r="A190" s="78"/>
      <c r="B190" s="78"/>
      <c r="C190" s="8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</row>
    <row r="191" spans="1:17">
      <c r="A191" s="78"/>
      <c r="B191" s="78"/>
      <c r="C191" s="8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</row>
    <row r="192" spans="1:17">
      <c r="A192" s="78"/>
      <c r="B192" s="78"/>
      <c r="C192" s="8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</row>
    <row r="193" spans="1:17">
      <c r="A193" s="78"/>
      <c r="B193" s="78"/>
      <c r="C193" s="8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</row>
    <row r="194" spans="1:17">
      <c r="A194" s="78"/>
      <c r="B194" s="78"/>
      <c r="C194" s="8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</row>
    <row r="195" spans="1:17">
      <c r="A195" s="78"/>
      <c r="B195" s="78"/>
      <c r="C195" s="8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</row>
    <row r="196" spans="1:17">
      <c r="A196" s="78"/>
      <c r="B196" s="78"/>
      <c r="C196" s="8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</row>
    <row r="197" spans="1:17">
      <c r="A197" s="78"/>
      <c r="B197" s="78"/>
      <c r="C197" s="8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</row>
    <row r="198" spans="1:17">
      <c r="A198" s="78"/>
      <c r="B198" s="78"/>
      <c r="C198" s="8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</row>
    <row r="199" spans="1:17">
      <c r="A199" s="78"/>
      <c r="B199" s="78"/>
      <c r="C199" s="8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</row>
    <row r="200" spans="1:17">
      <c r="A200" s="78"/>
      <c r="B200" s="78"/>
      <c r="C200" s="8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0"/>
  <sheetViews>
    <sheetView workbookViewId="0">
      <selection activeCell="A1" sqref="A1"/>
    </sheetView>
  </sheetViews>
  <sheetFormatPr defaultColWidth="17" defaultRowHeight="11.4"/>
  <cols>
    <col min="1" max="1" width="139.333333333333" customWidth="1"/>
    <col min="2" max="18" width="16.59375" customWidth="1"/>
  </cols>
  <sheetData>
    <row r="1" ht="15" spans="1:1">
      <c r="A1" s="73" t="s">
        <v>970</v>
      </c>
    </row>
    <row r="2" ht="15" spans="1:1">
      <c r="A2" s="74" t="s">
        <v>971</v>
      </c>
    </row>
    <row r="3" ht="15" spans="1:1">
      <c r="A3" s="74" t="s">
        <v>972</v>
      </c>
    </row>
    <row r="4" ht="15" spans="1:1">
      <c r="A4" s="74" t="s">
        <v>973</v>
      </c>
    </row>
    <row r="5" ht="15" spans="1:1">
      <c r="A5" s="75"/>
    </row>
    <row r="6" ht="15" spans="1:1">
      <c r="A6" s="75"/>
    </row>
    <row r="7" ht="15" spans="1:1">
      <c r="A7" s="74" t="s">
        <v>974</v>
      </c>
    </row>
    <row r="8" ht="15" spans="1:1">
      <c r="A8" s="74" t="s">
        <v>975</v>
      </c>
    </row>
    <row r="9" ht="15" spans="1:1">
      <c r="A9" s="74" t="s">
        <v>976</v>
      </c>
    </row>
    <row r="10" ht="15" spans="1:1">
      <c r="A10" s="75"/>
    </row>
    <row r="11" ht="15" spans="1:1">
      <c r="A11" s="75"/>
    </row>
    <row r="12" ht="15" spans="1:1">
      <c r="A12" s="75"/>
    </row>
    <row r="13" ht="15" spans="1:1">
      <c r="A13" s="75"/>
    </row>
    <row r="14" ht="15" spans="1:1">
      <c r="A14" s="74" t="s">
        <v>977</v>
      </c>
    </row>
    <row r="15" ht="15" spans="1:1">
      <c r="A15" s="76" t="s">
        <v>978</v>
      </c>
    </row>
    <row r="16" ht="15" spans="1:1">
      <c r="A16" s="74" t="s">
        <v>979</v>
      </c>
    </row>
    <row r="17" ht="15" spans="1:1">
      <c r="A17" s="75"/>
    </row>
    <row r="18" ht="15" spans="1:1">
      <c r="A18" s="75"/>
    </row>
    <row r="19" ht="15" spans="1:1">
      <c r="A19" s="75"/>
    </row>
    <row r="20" ht="15" spans="1:1">
      <c r="A20" s="75"/>
    </row>
    <row r="21" ht="15" spans="1:1">
      <c r="A21" s="74" t="s">
        <v>980</v>
      </c>
    </row>
    <row r="22" ht="15" spans="1:1">
      <c r="A22" s="74" t="s">
        <v>981</v>
      </c>
    </row>
    <row r="23" ht="15" spans="1:1">
      <c r="A23" s="75"/>
    </row>
    <row r="24" ht="15" spans="1:1">
      <c r="A24" s="75"/>
    </row>
    <row r="25" ht="15" spans="1:1">
      <c r="A25" s="74" t="s">
        <v>982</v>
      </c>
    </row>
    <row r="26" ht="15" spans="1:1">
      <c r="A26" s="75"/>
    </row>
    <row r="27" ht="15" spans="1:1">
      <c r="A27" s="75"/>
    </row>
    <row r="28" ht="15" spans="1:1">
      <c r="A28" s="75"/>
    </row>
    <row r="29" ht="15" spans="1:1">
      <c r="A29" s="75"/>
    </row>
    <row r="30" ht="15" spans="1:1">
      <c r="A30" s="75"/>
    </row>
    <row r="31" ht="15" spans="1:1">
      <c r="A31" s="75"/>
    </row>
    <row r="32" ht="15" spans="1:1">
      <c r="A32" s="75"/>
    </row>
    <row r="33" ht="17.4" spans="1:1">
      <c r="A33" s="77"/>
    </row>
    <row r="34" ht="17.4" spans="1:1">
      <c r="A34" s="77"/>
    </row>
    <row r="35" ht="17.4" spans="1:1">
      <c r="A35" s="77"/>
    </row>
    <row r="36" ht="17.4" spans="1:1">
      <c r="A36" s="77"/>
    </row>
    <row r="37" ht="17.4" spans="1:1">
      <c r="A37" s="77"/>
    </row>
    <row r="38" spans="1:1">
      <c r="A38" s="78"/>
    </row>
    <row r="39" spans="1:1">
      <c r="A39" s="78"/>
    </row>
    <row r="40" spans="1:1">
      <c r="A40" s="78"/>
    </row>
    <row r="41" spans="1:1">
      <c r="A41" s="78"/>
    </row>
    <row r="42" spans="1:1">
      <c r="A42" s="78"/>
    </row>
    <row r="43" spans="1:1">
      <c r="A43" s="78"/>
    </row>
    <row r="44" spans="1:1">
      <c r="A44" s="78"/>
    </row>
    <row r="45" spans="1:1">
      <c r="A45" s="78"/>
    </row>
    <row r="46" spans="1:1">
      <c r="A46" s="78"/>
    </row>
    <row r="47" spans="1:1">
      <c r="A47" s="78"/>
    </row>
    <row r="48" spans="1:1">
      <c r="A48" s="78"/>
    </row>
    <row r="49" spans="1:1">
      <c r="A49" s="78"/>
    </row>
    <row r="50" spans="1:1">
      <c r="A50" s="78"/>
    </row>
    <row r="51" spans="1:1">
      <c r="A51" s="78"/>
    </row>
    <row r="52" spans="1:1">
      <c r="A52" s="78"/>
    </row>
    <row r="53" spans="1:1">
      <c r="A53" s="78"/>
    </row>
    <row r="54" spans="1:1">
      <c r="A54" s="78"/>
    </row>
    <row r="55" spans="1:1">
      <c r="A55" s="78"/>
    </row>
    <row r="56" spans="1:1">
      <c r="A56" s="78"/>
    </row>
    <row r="57" spans="1:1">
      <c r="A57" s="78"/>
    </row>
    <row r="58" spans="1:1">
      <c r="A58" s="78"/>
    </row>
    <row r="59" spans="1:1">
      <c r="A59" s="78"/>
    </row>
    <row r="60" spans="1:1">
      <c r="A60" s="78"/>
    </row>
    <row r="61" spans="1:1">
      <c r="A61" s="78"/>
    </row>
    <row r="62" spans="1:1">
      <c r="A62" s="78"/>
    </row>
    <row r="63" spans="1:1">
      <c r="A63" s="78"/>
    </row>
    <row r="64" spans="1:1">
      <c r="A64" s="78"/>
    </row>
    <row r="65" spans="1:1">
      <c r="A65" s="78"/>
    </row>
    <row r="66" spans="1:1">
      <c r="A66" s="78"/>
    </row>
    <row r="67" spans="1:1">
      <c r="A67" s="78"/>
    </row>
    <row r="68" spans="1:1">
      <c r="A68" s="78"/>
    </row>
    <row r="69" spans="1:1">
      <c r="A69" s="78"/>
    </row>
    <row r="70" spans="1:1">
      <c r="A70" s="78"/>
    </row>
    <row r="71" spans="1:1">
      <c r="A71" s="78"/>
    </row>
    <row r="72" spans="1:1">
      <c r="A72" s="78"/>
    </row>
    <row r="73" spans="1:1">
      <c r="A73" s="78"/>
    </row>
    <row r="74" spans="1:1">
      <c r="A74" s="78"/>
    </row>
    <row r="75" spans="1:1">
      <c r="A75" s="78"/>
    </row>
    <row r="76" spans="1:1">
      <c r="A76" s="78"/>
    </row>
    <row r="77" spans="1:1">
      <c r="A77" s="78"/>
    </row>
    <row r="78" spans="1:1">
      <c r="A78" s="78"/>
    </row>
    <row r="79" spans="1:1">
      <c r="A79" s="78"/>
    </row>
    <row r="80" spans="1:1">
      <c r="A80" s="78"/>
    </row>
    <row r="81" spans="1:1">
      <c r="A81" s="78"/>
    </row>
    <row r="82" spans="1:1">
      <c r="A82" s="78"/>
    </row>
    <row r="83" spans="1:1">
      <c r="A83" s="78"/>
    </row>
    <row r="84" spans="1:1">
      <c r="A84" s="78"/>
    </row>
    <row r="85" spans="1:1">
      <c r="A85" s="78"/>
    </row>
    <row r="86" spans="1:1">
      <c r="A86" s="78"/>
    </row>
    <row r="87" spans="1:1">
      <c r="A87" s="78"/>
    </row>
    <row r="88" spans="1:1">
      <c r="A88" s="78"/>
    </row>
    <row r="89" spans="1:1">
      <c r="A89" s="78"/>
    </row>
    <row r="90" spans="1:1">
      <c r="A90" s="78"/>
    </row>
    <row r="91" spans="1:1">
      <c r="A91" s="78"/>
    </row>
    <row r="92" spans="1:1">
      <c r="A92" s="78"/>
    </row>
    <row r="93" spans="1:1">
      <c r="A93" s="78"/>
    </row>
    <row r="94" spans="1:1">
      <c r="A94" s="78"/>
    </row>
    <row r="95" spans="1:1">
      <c r="A95" s="78"/>
    </row>
    <row r="96" spans="1:1">
      <c r="A96" s="78"/>
    </row>
    <row r="97" spans="1:1">
      <c r="A97" s="78"/>
    </row>
    <row r="98" spans="1:1">
      <c r="A98" s="78"/>
    </row>
    <row r="99" spans="1:1">
      <c r="A99" s="78"/>
    </row>
    <row r="100" spans="1:1">
      <c r="A100" s="78"/>
    </row>
    <row r="101" spans="1:1">
      <c r="A101" s="78"/>
    </row>
    <row r="102" spans="1:1">
      <c r="A102" s="78"/>
    </row>
    <row r="103" spans="1:1">
      <c r="A103" s="78"/>
    </row>
    <row r="104" spans="1:1">
      <c r="A104" s="78"/>
    </row>
    <row r="105" spans="1:1">
      <c r="A105" s="78"/>
    </row>
    <row r="106" spans="1:1">
      <c r="A106" s="78"/>
    </row>
    <row r="107" spans="1:1">
      <c r="A107" s="78"/>
    </row>
    <row r="108" spans="1:1">
      <c r="A108" s="78"/>
    </row>
    <row r="109" spans="1:1">
      <c r="A109" s="78"/>
    </row>
    <row r="110" spans="1:1">
      <c r="A110" s="78"/>
    </row>
    <row r="111" spans="1:1">
      <c r="A111" s="78"/>
    </row>
    <row r="112" spans="1:1">
      <c r="A112" s="78"/>
    </row>
    <row r="113" spans="1:1">
      <c r="A113" s="78"/>
    </row>
    <row r="114" spans="1:1">
      <c r="A114" s="78"/>
    </row>
    <row r="115" spans="1:1">
      <c r="A115" s="78"/>
    </row>
    <row r="116" spans="1:1">
      <c r="A116" s="78"/>
    </row>
    <row r="117" spans="1:1">
      <c r="A117" s="78"/>
    </row>
    <row r="118" spans="1:1">
      <c r="A118" s="78"/>
    </row>
    <row r="119" spans="1:1">
      <c r="A119" s="78"/>
    </row>
    <row r="120" spans="1:1">
      <c r="A120" s="78"/>
    </row>
    <row r="121" spans="1:1">
      <c r="A121" s="78"/>
    </row>
    <row r="122" spans="1:1">
      <c r="A122" s="78"/>
    </row>
    <row r="123" spans="1:1">
      <c r="A123" s="78"/>
    </row>
    <row r="124" spans="1:1">
      <c r="A124" s="78"/>
    </row>
    <row r="125" spans="1:1">
      <c r="A125" s="78"/>
    </row>
    <row r="126" spans="1:1">
      <c r="A126" s="78"/>
    </row>
    <row r="127" spans="1:1">
      <c r="A127" s="78"/>
    </row>
    <row r="128" spans="1:1">
      <c r="A128" s="78"/>
    </row>
    <row r="129" spans="1:1">
      <c r="A129" s="78"/>
    </row>
    <row r="130" spans="1:1">
      <c r="A130" s="78"/>
    </row>
    <row r="131" spans="1:1">
      <c r="A131" s="78"/>
    </row>
    <row r="132" spans="1:1">
      <c r="A132" s="78"/>
    </row>
    <row r="133" spans="1:1">
      <c r="A133" s="78"/>
    </row>
    <row r="134" spans="1:1">
      <c r="A134" s="78"/>
    </row>
    <row r="135" spans="1:1">
      <c r="A135" s="78"/>
    </row>
    <row r="136" spans="1:1">
      <c r="A136" s="78"/>
    </row>
    <row r="137" spans="1:1">
      <c r="A137" s="78"/>
    </row>
    <row r="138" spans="1:1">
      <c r="A138" s="78"/>
    </row>
    <row r="139" spans="1:1">
      <c r="A139" s="78"/>
    </row>
    <row r="140" spans="1:1">
      <c r="A140" s="78"/>
    </row>
    <row r="141" spans="1:1">
      <c r="A141" s="78"/>
    </row>
    <row r="142" spans="1:1">
      <c r="A142" s="78"/>
    </row>
    <row r="143" spans="1:1">
      <c r="A143" s="78"/>
    </row>
    <row r="144" spans="1:1">
      <c r="A144" s="78"/>
    </row>
    <row r="145" spans="1:1">
      <c r="A145" s="78"/>
    </row>
    <row r="146" spans="1:1">
      <c r="A146" s="78"/>
    </row>
    <row r="147" spans="1:1">
      <c r="A147" s="78"/>
    </row>
    <row r="148" spans="1:1">
      <c r="A148" s="78"/>
    </row>
    <row r="149" spans="1:1">
      <c r="A149" s="78"/>
    </row>
    <row r="150" spans="1:1">
      <c r="A150" s="78"/>
    </row>
    <row r="151" spans="1:1">
      <c r="A151" s="78"/>
    </row>
    <row r="152" spans="1:1">
      <c r="A152" s="78"/>
    </row>
    <row r="153" spans="1:1">
      <c r="A153" s="78"/>
    </row>
    <row r="154" spans="1:1">
      <c r="A154" s="78"/>
    </row>
    <row r="155" spans="1:1">
      <c r="A155" s="78"/>
    </row>
    <row r="156" spans="1:1">
      <c r="A156" s="78"/>
    </row>
    <row r="157" spans="1:1">
      <c r="A157" s="78"/>
    </row>
    <row r="158" spans="1:1">
      <c r="A158" s="78"/>
    </row>
    <row r="159" spans="1:1">
      <c r="A159" s="78"/>
    </row>
    <row r="160" spans="1:1">
      <c r="A160" s="78"/>
    </row>
    <row r="161" spans="1:1">
      <c r="A161" s="78"/>
    </row>
    <row r="162" spans="1:1">
      <c r="A162" s="78"/>
    </row>
    <row r="163" spans="1:1">
      <c r="A163" s="78"/>
    </row>
    <row r="164" spans="1:1">
      <c r="A164" s="78"/>
    </row>
    <row r="165" spans="1:1">
      <c r="A165" s="78"/>
    </row>
    <row r="166" spans="1:1">
      <c r="A166" s="78"/>
    </row>
    <row r="167" spans="1:1">
      <c r="A167" s="78"/>
    </row>
    <row r="168" spans="1:1">
      <c r="A168" s="78"/>
    </row>
    <row r="169" spans="1:1">
      <c r="A169" s="78"/>
    </row>
    <row r="170" spans="1:1">
      <c r="A170" s="78"/>
    </row>
    <row r="171" spans="1:1">
      <c r="A171" s="78"/>
    </row>
    <row r="172" spans="1:1">
      <c r="A172" s="78"/>
    </row>
    <row r="173" spans="1:1">
      <c r="A173" s="78"/>
    </row>
    <row r="174" spans="1:1">
      <c r="A174" s="78"/>
    </row>
    <row r="175" spans="1:1">
      <c r="A175" s="78"/>
    </row>
    <row r="176" spans="1:1">
      <c r="A176" s="78"/>
    </row>
    <row r="177" spans="1:1">
      <c r="A177" s="78"/>
    </row>
    <row r="178" spans="1:1">
      <c r="A178" s="78"/>
    </row>
    <row r="179" spans="1:1">
      <c r="A179" s="78"/>
    </row>
    <row r="180" spans="1:1">
      <c r="A180" s="78"/>
    </row>
    <row r="181" spans="1:1">
      <c r="A181" s="78"/>
    </row>
    <row r="182" spans="1:1">
      <c r="A182" s="78"/>
    </row>
    <row r="183" spans="1:1">
      <c r="A183" s="78"/>
    </row>
    <row r="184" spans="1:1">
      <c r="A184" s="78"/>
    </row>
    <row r="185" spans="1:1">
      <c r="A185" s="78"/>
    </row>
    <row r="186" spans="1:1">
      <c r="A186" s="78"/>
    </row>
    <row r="187" spans="1:1">
      <c r="A187" s="78"/>
    </row>
    <row r="188" spans="1:1">
      <c r="A188" s="78"/>
    </row>
    <row r="189" spans="1:1">
      <c r="A189" s="78"/>
    </row>
    <row r="190" spans="1:1">
      <c r="A190" s="78"/>
    </row>
    <row r="191" spans="1:1">
      <c r="A191" s="78"/>
    </row>
    <row r="192" spans="1:1">
      <c r="A192" s="78"/>
    </row>
    <row r="193" spans="1:1">
      <c r="A193" s="78"/>
    </row>
    <row r="194" spans="1:1">
      <c r="A194" s="78"/>
    </row>
    <row r="195" spans="1:1">
      <c r="A195" s="78"/>
    </row>
    <row r="196" spans="1:1">
      <c r="A196" s="78"/>
    </row>
    <row r="197" spans="1:1">
      <c r="A197" s="78"/>
    </row>
    <row r="198" spans="1:1">
      <c r="A198" s="78"/>
    </row>
    <row r="199" spans="1:1">
      <c r="A199" s="78"/>
    </row>
    <row r="200" spans="1:1">
      <c r="A200" s="78"/>
    </row>
  </sheetData>
  <hyperlinks>
    <hyperlink ref="A2" r:id="rId1" display="https://www.tiktok.com/@/video/7507733538158972191?shop_region=US"/>
    <hyperlink ref="A3" r:id="rId2" display="https://www.tiktok.com/@/video/7505007970158185771?shop_region=US"/>
    <hyperlink ref="A4" r:id="rId3" display="https://www.tiktok.com/@/video/7510315444860063022?shop_region=US"/>
    <hyperlink ref="A7" r:id="rId4" display="https://www.tiktok.com/@/video/7509468659413372206?shop_region=US"/>
    <hyperlink ref="A8" r:id="rId5" display="https://www.tiktok.com/@/video/7507463120143600939?shop_region=US"/>
    <hyperlink ref="A9" r:id="rId6" display="https://www.tiktok.com/@/video/7509602854680710443?shop_region=US"/>
    <hyperlink ref="A14" r:id="rId7" display="https://www.tiktok.com/@/video/7512260049553607966?shop_region=US"/>
    <hyperlink ref="A15" r:id="rId8" display="https://www.tiktok.com/@/video/7510281518846135582?shop_region=US"/>
    <hyperlink ref="A16" r:id="rId9" display="https://www.tiktok.com/@/video/7512121539337194782?shop_region=US"/>
    <hyperlink ref="A21" r:id="rId10" display="https://www.tiktok.com/@/video/7512217482250177838?shop_region=US"/>
    <hyperlink ref="A22" r:id="rId11" display="https://www.tiktok.com/@/video/7510822530660289823?shop_region=US"/>
    <hyperlink ref="A25" r:id="rId12" display="https://www.tiktok.com/@/video/7513258934547860779?shop_region=US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workbookViewId="0">
      <selection activeCell="A1" sqref="A1"/>
    </sheetView>
  </sheetViews>
  <sheetFormatPr defaultColWidth="17" defaultRowHeight="11.4"/>
  <cols>
    <col min="1" max="1" width="7.67708333333333" customWidth="1"/>
    <col min="2" max="18" width="16.59375" customWidth="1"/>
  </cols>
  <sheetData>
    <row r="1" spans="1:18">
      <c r="A1" s="15" t="s">
        <v>277</v>
      </c>
      <c r="B1" s="71">
        <v>0.1695</v>
      </c>
      <c r="D1" s="72">
        <v>0.19</v>
      </c>
      <c r="F1" s="72">
        <v>0.3</v>
      </c>
      <c r="G1" s="15"/>
    </row>
    <row r="2" spans="1:18">
      <c r="A2" s="15" t="s">
        <v>511</v>
      </c>
      <c r="B2" s="71">
        <v>0.198</v>
      </c>
      <c r="D2" s="72">
        <v>0.2</v>
      </c>
      <c r="F2" s="72">
        <v>0.1</v>
      </c>
    </row>
    <row r="3" spans="1:18">
      <c r="A3" s="15" t="s">
        <v>513</v>
      </c>
      <c r="B3" s="71">
        <v>0.1846</v>
      </c>
      <c r="D3" s="72">
        <v>0.22</v>
      </c>
      <c r="F3" s="72">
        <v>0.3</v>
      </c>
    </row>
    <row r="4" spans="1:18">
      <c r="A4" s="15" t="s">
        <v>516</v>
      </c>
      <c r="B4" s="71">
        <v>0.1646</v>
      </c>
      <c r="D4" s="72">
        <v>0.21</v>
      </c>
      <c r="F4" s="72">
        <v>0.3</v>
      </c>
    </row>
    <row r="5" spans="1:18">
      <c r="A5" s="15" t="s">
        <v>300</v>
      </c>
      <c r="B5" s="71">
        <v>0.158</v>
      </c>
      <c r="D5" s="72">
        <v>0.2</v>
      </c>
    </row>
    <row r="6" spans="1:18">
      <c r="A6" s="15" t="s">
        <v>611</v>
      </c>
      <c r="B6" s="71">
        <v>0.158</v>
      </c>
    </row>
    <row r="7" spans="1:18">
      <c r="A7" s="15" t="s">
        <v>609</v>
      </c>
      <c r="B7" s="71">
        <v>0.223</v>
      </c>
    </row>
    <row r="8" spans="1:18">
      <c r="A8" s="15" t="s">
        <v>605</v>
      </c>
      <c r="B8" s="71">
        <v>0.158</v>
      </c>
    </row>
    <row r="9" spans="1:18">
      <c r="A9" s="15" t="s">
        <v>983</v>
      </c>
    </row>
    <row r="10" spans="1:18">
      <c r="B10" s="15" t="s">
        <v>420</v>
      </c>
      <c r="D10" s="15" t="s">
        <v>492</v>
      </c>
      <c r="F10" s="14" t="s">
        <v>984</v>
      </c>
    </row>
    <row r="12" spans="1:18">
      <c r="A12" s="15" t="s">
        <v>277</v>
      </c>
      <c r="B12" s="71">
        <v>0.188</v>
      </c>
      <c r="C12" s="15"/>
      <c r="D12" s="72">
        <v>0.19</v>
      </c>
      <c r="E12" s="15"/>
      <c r="F12" s="72">
        <v>0.3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>
      <c r="A13" s="15" t="s">
        <v>511</v>
      </c>
      <c r="B13" s="71">
        <v>0.188</v>
      </c>
      <c r="C13" s="15"/>
      <c r="D13" s="72">
        <v>0.2</v>
      </c>
      <c r="E13" s="15"/>
      <c r="F13" s="72">
        <v>0.1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spans="1:18">
      <c r="A14" s="15" t="s">
        <v>513</v>
      </c>
      <c r="B14" s="71">
        <v>0.188</v>
      </c>
      <c r="C14" s="15"/>
      <c r="D14" s="72">
        <v>0.22</v>
      </c>
      <c r="E14" s="15"/>
      <c r="F14" s="72">
        <v>0.3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8">
      <c r="A15" s="15" t="s">
        <v>516</v>
      </c>
      <c r="B15" s="71">
        <v>0.188</v>
      </c>
      <c r="C15" s="15"/>
      <c r="D15" s="72">
        <v>0.21</v>
      </c>
      <c r="E15" s="15"/>
      <c r="F15" s="72">
        <v>0.3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>
      <c r="A16" s="15" t="s">
        <v>300</v>
      </c>
      <c r="B16" s="71">
        <v>0.178</v>
      </c>
      <c r="C16" s="15"/>
      <c r="D16" s="72">
        <v>0.2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18">
      <c r="A17" s="15" t="s">
        <v>611</v>
      </c>
      <c r="B17" s="71">
        <v>0.188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5" t="s">
        <v>609</v>
      </c>
      <c r="B18" s="71">
        <v>0.188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18">
      <c r="A19" s="15" t="s">
        <v>605</v>
      </c>
      <c r="B19" s="71">
        <v>0.188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>
      <c r="A20" s="15" t="s">
        <v>985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>
      <c r="A21" s="15"/>
      <c r="B21" s="15" t="s">
        <v>420</v>
      </c>
      <c r="C21" s="15"/>
      <c r="D21" s="15" t="s">
        <v>492</v>
      </c>
      <c r="E21" s="15"/>
      <c r="F21" s="14" t="s">
        <v>984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0"/>
  <sheetViews>
    <sheetView workbookViewId="0">
      <selection activeCell="A1" sqref="A1"/>
    </sheetView>
  </sheetViews>
  <sheetFormatPr defaultColWidth="17" defaultRowHeight="11.4"/>
  <cols>
    <col min="1" max="72" width="16.59375" customWidth="1"/>
  </cols>
  <sheetData>
    <row r="1" ht="62.4" spans="1:72">
      <c r="A1" s="27" t="s">
        <v>202</v>
      </c>
      <c r="B1" s="28" t="s">
        <v>0</v>
      </c>
      <c r="C1" s="28" t="s">
        <v>1</v>
      </c>
      <c r="D1" s="27" t="s">
        <v>3</v>
      </c>
      <c r="E1" s="27" t="s">
        <v>986</v>
      </c>
      <c r="F1" s="29" t="s">
        <v>987</v>
      </c>
      <c r="G1" s="30" t="s">
        <v>988</v>
      </c>
      <c r="H1" s="31" t="s">
        <v>989</v>
      </c>
      <c r="I1" s="31" t="s">
        <v>990</v>
      </c>
      <c r="J1" s="32" t="s">
        <v>571</v>
      </c>
      <c r="K1" s="33" t="s">
        <v>572</v>
      </c>
      <c r="L1" s="34" t="s">
        <v>456</v>
      </c>
      <c r="M1" s="35" t="s">
        <v>423</v>
      </c>
      <c r="N1" s="36" t="s">
        <v>575</v>
      </c>
      <c r="O1" s="37" t="s">
        <v>457</v>
      </c>
      <c r="P1" s="38" t="s">
        <v>459</v>
      </c>
      <c r="Q1" s="39" t="s">
        <v>460</v>
      </c>
      <c r="R1" s="34" t="s">
        <v>991</v>
      </c>
      <c r="S1" s="40" t="s">
        <v>9</v>
      </c>
      <c r="T1" s="27" t="s">
        <v>135</v>
      </c>
      <c r="U1" s="41" t="s">
        <v>154</v>
      </c>
      <c r="V1" s="41" t="s">
        <v>462</v>
      </c>
      <c r="W1" s="41" t="s">
        <v>463</v>
      </c>
      <c r="X1" s="42" t="s">
        <v>464</v>
      </c>
      <c r="Y1" s="42" t="s">
        <v>431</v>
      </c>
      <c r="Z1" s="41" t="s">
        <v>153</v>
      </c>
      <c r="AA1" s="43" t="s">
        <v>465</v>
      </c>
      <c r="AB1" s="43" t="s">
        <v>466</v>
      </c>
      <c r="AC1" s="43" t="s">
        <v>467</v>
      </c>
      <c r="AD1" s="43" t="s">
        <v>468</v>
      </c>
      <c r="AE1" s="44" t="s">
        <v>469</v>
      </c>
      <c r="AF1" s="45" t="s">
        <v>470</v>
      </c>
      <c r="AG1" s="44" t="s">
        <v>992</v>
      </c>
      <c r="AH1" s="46" t="s">
        <v>472</v>
      </c>
      <c r="AI1" s="46" t="s">
        <v>430</v>
      </c>
      <c r="AJ1" s="47" t="s">
        <v>471</v>
      </c>
      <c r="AK1" s="48" t="s">
        <v>993</v>
      </c>
      <c r="AL1" s="48" t="s">
        <v>586</v>
      </c>
      <c r="AM1" s="48" t="s">
        <v>123</v>
      </c>
      <c r="AN1" s="48" t="s">
        <v>587</v>
      </c>
      <c r="AO1" s="48" t="s">
        <v>588</v>
      </c>
      <c r="AP1" s="48" t="s">
        <v>589</v>
      </c>
      <c r="AQ1" s="48" t="s">
        <v>590</v>
      </c>
      <c r="AR1" s="48" t="s">
        <v>591</v>
      </c>
      <c r="AS1" s="48" t="s">
        <v>592</v>
      </c>
      <c r="AT1" s="48" t="s">
        <v>593</v>
      </c>
      <c r="AU1" s="49" t="s">
        <v>594</v>
      </c>
      <c r="AV1" s="49" t="s">
        <v>595</v>
      </c>
      <c r="AW1" s="49" t="s">
        <v>110</v>
      </c>
      <c r="AX1" s="49" t="s">
        <v>586</v>
      </c>
      <c r="AY1" s="49" t="s">
        <v>123</v>
      </c>
      <c r="AZ1" s="49" t="s">
        <v>587</v>
      </c>
      <c r="BA1" s="50" t="s">
        <v>588</v>
      </c>
      <c r="BB1" s="50" t="s">
        <v>589</v>
      </c>
      <c r="BC1" s="50" t="s">
        <v>590</v>
      </c>
      <c r="BD1" s="50" t="s">
        <v>591</v>
      </c>
      <c r="BE1" s="50" t="s">
        <v>592</v>
      </c>
      <c r="BF1" s="50" t="s">
        <v>593</v>
      </c>
      <c r="BG1" s="51" t="s">
        <v>596</v>
      </c>
      <c r="BH1" s="51" t="s">
        <v>595</v>
      </c>
      <c r="BI1" s="51" t="s">
        <v>110</v>
      </c>
      <c r="BJ1" s="51" t="s">
        <v>586</v>
      </c>
      <c r="BK1" s="51" t="s">
        <v>123</v>
      </c>
      <c r="BL1" s="51" t="s">
        <v>587</v>
      </c>
      <c r="BM1" s="46" t="s">
        <v>588</v>
      </c>
      <c r="BN1" s="46" t="s">
        <v>589</v>
      </c>
      <c r="BO1" s="46" t="s">
        <v>590</v>
      </c>
      <c r="BP1" s="46" t="s">
        <v>591</v>
      </c>
      <c r="BQ1" s="46" t="s">
        <v>592</v>
      </c>
      <c r="BR1" s="46" t="s">
        <v>593</v>
      </c>
      <c r="BS1" s="52" t="s">
        <v>597</v>
      </c>
      <c r="BT1" s="53" t="s">
        <v>598</v>
      </c>
    </row>
    <row r="2" ht="15.6" spans="1:72">
      <c r="A2" s="53" t="s">
        <v>300</v>
      </c>
      <c r="B2" s="53"/>
      <c r="C2" s="53"/>
      <c r="D2" s="54"/>
      <c r="E2" s="55" t="s">
        <v>275</v>
      </c>
      <c r="F2" s="56">
        <v>17.29</v>
      </c>
      <c r="G2" s="56">
        <v>24.92</v>
      </c>
      <c r="H2" s="57" t="e">
        <f t="shared" ref="H2:H10" si="0">INDEX(#NULL!,MATCH(1,(#NULL!=A2)*(#NULL!=C2),0))</f>
        <v>#NULL!</v>
      </c>
      <c r="I2" s="57" t="e">
        <f t="shared" ref="I2:I10" si="1">H2=J2</f>
        <v>#NULL!</v>
      </c>
      <c r="J2" s="58">
        <v>17.3</v>
      </c>
      <c r="K2" s="56">
        <v>24.99</v>
      </c>
      <c r="L2" s="59">
        <f t="shared" ref="L2:L10" si="2">J2-Q2/T2-AD2-AA2-R2-AB2-AC2</f>
        <v>3.53749673347215</v>
      </c>
      <c r="M2" s="60">
        <f t="shared" ref="M2:M10" si="3">L2/J2</f>
        <v>0.204479579969488</v>
      </c>
      <c r="N2" s="57">
        <f t="shared" ref="N2:N10" si="4">K2/1.2</f>
        <v>20.825</v>
      </c>
      <c r="O2" s="61">
        <f t="shared" ref="O2:O10" si="5">(N2-J2)/N2</f>
        <v>0.169267707082833</v>
      </c>
      <c r="P2" s="59">
        <f t="shared" ref="P2:P10" si="6">K2/1.2-J2</f>
        <v>3.525</v>
      </c>
      <c r="Q2" s="57">
        <f t="shared" ref="Q2:Q10" si="7">AF2+AG2</f>
        <v>65.4646902654867</v>
      </c>
      <c r="R2" s="57">
        <f t="shared" ref="R2:R10" si="8">IFERROR(IF(A2="UK",8.95/S2,IF(A2="DE",11.43/S2,IF(A2="FR",15.27/S2,IF(A2="IT",16.34/S2,IF(A2="ES",20.62/S2,IF(A2="NL",12/S2,IF(A2="PL",15.06/S2,IF(A2="SE",18.5/S2,IF(A2="BE",15.27/S2))))))))),0)</f>
        <v>0.559375</v>
      </c>
      <c r="S2" s="53">
        <v>16</v>
      </c>
      <c r="T2" s="62">
        <v>8.5</v>
      </c>
      <c r="U2" s="63">
        <v>0.05</v>
      </c>
      <c r="V2" s="63">
        <v>0.1</v>
      </c>
      <c r="W2" s="63">
        <v>0.01</v>
      </c>
      <c r="X2" s="63">
        <f t="shared" ref="X2:X10" si="9">Q2/(J2*T2)</f>
        <v>0.44518660500161</v>
      </c>
      <c r="Y2" s="63">
        <f t="shared" ref="Y2:Y10" si="10">R2/J2</f>
        <v>0.0323338150289017</v>
      </c>
      <c r="Z2" s="61">
        <v>0.158</v>
      </c>
      <c r="AA2" s="64">
        <f t="shared" ref="AA2:AA10" si="11">J2*U2</f>
        <v>0.865</v>
      </c>
      <c r="AB2" s="64">
        <f t="shared" ref="AB2:AB10" si="12">J2*V2</f>
        <v>1.73</v>
      </c>
      <c r="AC2" s="64">
        <f t="shared" ref="AC2:AC10" si="13">J2*W2</f>
        <v>0.173</v>
      </c>
      <c r="AD2" s="57">
        <f t="shared" ref="AD2:AD10" si="14">J2*Z2</f>
        <v>2.7334</v>
      </c>
      <c r="AE2" s="57">
        <f>61+2.5</f>
        <v>63.5</v>
      </c>
      <c r="AF2" s="65">
        <f t="shared" ref="AF2:AF10" si="15">AE2/1.13</f>
        <v>56.1946902654867</v>
      </c>
      <c r="AG2" s="62">
        <v>9.27</v>
      </c>
      <c r="AH2" s="63">
        <f t="shared" ref="AH2:AH10" si="16">AF2/(J2*T2)</f>
        <v>0.382146822614667</v>
      </c>
      <c r="AI2" s="63">
        <f t="shared" ref="AI2:AI10" si="17">AG2/T2/J2</f>
        <v>0.0630397823869432</v>
      </c>
      <c r="AJ2" s="62">
        <v>9.27</v>
      </c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6" t="s">
        <v>600</v>
      </c>
      <c r="AV2" s="66" t="s">
        <v>600</v>
      </c>
      <c r="AW2" s="66" t="s">
        <v>600</v>
      </c>
      <c r="AX2" s="66" t="s">
        <v>600</v>
      </c>
      <c r="AY2" s="66" t="s">
        <v>600</v>
      </c>
      <c r="AZ2" s="66" t="s">
        <v>600</v>
      </c>
      <c r="BA2" s="66" t="s">
        <v>600</v>
      </c>
      <c r="BB2" s="66" t="s">
        <v>600</v>
      </c>
      <c r="BC2" s="66" t="s">
        <v>600</v>
      </c>
      <c r="BD2" s="66" t="s">
        <v>600</v>
      </c>
      <c r="BE2" s="66" t="s">
        <v>600</v>
      </c>
      <c r="BF2" s="66" t="s">
        <v>600</v>
      </c>
      <c r="BG2" s="66" t="s">
        <v>600</v>
      </c>
      <c r="BH2" s="66" t="s">
        <v>600</v>
      </c>
      <c r="BI2" s="66" t="s">
        <v>600</v>
      </c>
      <c r="BJ2" s="66" t="s">
        <v>600</v>
      </c>
      <c r="BK2" s="66" t="s">
        <v>600</v>
      </c>
      <c r="BL2" s="66" t="s">
        <v>600</v>
      </c>
      <c r="BM2" s="66" t="s">
        <v>600</v>
      </c>
      <c r="BN2" s="66" t="s">
        <v>600</v>
      </c>
      <c r="BO2" s="66" t="s">
        <v>600</v>
      </c>
      <c r="BP2" s="66" t="s">
        <v>600</v>
      </c>
      <c r="BQ2" s="66" t="s">
        <v>600</v>
      </c>
      <c r="BR2" s="66" t="s">
        <v>600</v>
      </c>
      <c r="BS2" s="67"/>
      <c r="BT2" s="68" t="s">
        <v>601</v>
      </c>
    </row>
    <row r="3" ht="15.6" spans="1:72">
      <c r="A3" s="53" t="s">
        <v>277</v>
      </c>
      <c r="B3" s="53"/>
      <c r="C3" s="53"/>
      <c r="D3" s="54"/>
      <c r="E3" s="55" t="s">
        <v>275</v>
      </c>
      <c r="F3" s="56">
        <v>20.33</v>
      </c>
      <c r="G3" s="56">
        <v>29.99</v>
      </c>
      <c r="H3" s="57" t="e">
        <f t="shared" si="0"/>
        <v>#NULL!</v>
      </c>
      <c r="I3" s="57" t="e">
        <f t="shared" si="1"/>
        <v>#NULL!</v>
      </c>
      <c r="J3" s="56">
        <v>20.33</v>
      </c>
      <c r="K3" s="56">
        <v>29.99</v>
      </c>
      <c r="L3" s="59">
        <f t="shared" si="2"/>
        <v>4.43279528581679</v>
      </c>
      <c r="M3" s="60">
        <f t="shared" si="3"/>
        <v>0.218042070133634</v>
      </c>
      <c r="N3" s="57">
        <f t="shared" si="4"/>
        <v>24.9916666666667</v>
      </c>
      <c r="O3" s="61">
        <f t="shared" si="5"/>
        <v>0.186528842947649</v>
      </c>
      <c r="P3" s="59">
        <f t="shared" si="6"/>
        <v>4.66166666666667</v>
      </c>
      <c r="Q3" s="57">
        <f t="shared" si="7"/>
        <v>62.7823008849558</v>
      </c>
      <c r="R3" s="57">
        <f t="shared" si="8"/>
        <v>0.714375</v>
      </c>
      <c r="S3" s="53">
        <v>16</v>
      </c>
      <c r="T3" s="62">
        <v>7.4</v>
      </c>
      <c r="U3" s="63">
        <v>0.05</v>
      </c>
      <c r="V3" s="63">
        <v>0.1</v>
      </c>
      <c r="W3" s="63">
        <v>0.01</v>
      </c>
      <c r="X3" s="63">
        <f t="shared" si="9"/>
        <v>0.417318972660266</v>
      </c>
      <c r="Y3" s="63">
        <f t="shared" si="10"/>
        <v>0.0351389572060994</v>
      </c>
      <c r="Z3" s="61">
        <v>0.1695</v>
      </c>
      <c r="AA3" s="64">
        <f t="shared" si="11"/>
        <v>1.0165</v>
      </c>
      <c r="AB3" s="64">
        <f t="shared" si="12"/>
        <v>2.033</v>
      </c>
      <c r="AC3" s="64">
        <f t="shared" si="13"/>
        <v>0.2033</v>
      </c>
      <c r="AD3" s="57">
        <f t="shared" si="14"/>
        <v>3.445935</v>
      </c>
      <c r="AE3" s="57">
        <v>61</v>
      </c>
      <c r="AF3" s="65">
        <f t="shared" si="15"/>
        <v>53.9823008849558</v>
      </c>
      <c r="AG3" s="65">
        <v>8.8</v>
      </c>
      <c r="AH3" s="63">
        <f t="shared" si="16"/>
        <v>0.358824669207773</v>
      </c>
      <c r="AI3" s="63">
        <f t="shared" si="17"/>
        <v>0.0584943034524933</v>
      </c>
      <c r="AJ3" s="65">
        <v>8.8</v>
      </c>
      <c r="AK3" s="63"/>
      <c r="AL3" s="63"/>
      <c r="AM3" s="63"/>
      <c r="AN3" s="63"/>
      <c r="AO3" s="66"/>
      <c r="AP3" s="66"/>
      <c r="AQ3" s="66"/>
      <c r="AR3" s="66"/>
      <c r="AS3" s="66"/>
      <c r="AT3" s="66"/>
      <c r="AU3" s="66" t="s">
        <v>600</v>
      </c>
      <c r="AV3" s="66" t="s">
        <v>600</v>
      </c>
      <c r="AW3" s="66" t="s">
        <v>600</v>
      </c>
      <c r="AX3" s="66" t="s">
        <v>600</v>
      </c>
      <c r="AY3" s="66" t="s">
        <v>600</v>
      </c>
      <c r="AZ3" s="66" t="s">
        <v>600</v>
      </c>
      <c r="BA3" s="66" t="s">
        <v>600</v>
      </c>
      <c r="BB3" s="66" t="s">
        <v>600</v>
      </c>
      <c r="BC3" s="66" t="s">
        <v>600</v>
      </c>
      <c r="BD3" s="66" t="s">
        <v>600</v>
      </c>
      <c r="BE3" s="66" t="s">
        <v>600</v>
      </c>
      <c r="BF3" s="66" t="s">
        <v>600</v>
      </c>
      <c r="BG3" s="66" t="s">
        <v>600</v>
      </c>
      <c r="BH3" s="66" t="s">
        <v>600</v>
      </c>
      <c r="BI3" s="66" t="s">
        <v>600</v>
      </c>
      <c r="BJ3" s="66" t="s">
        <v>600</v>
      </c>
      <c r="BK3" s="66" t="s">
        <v>600</v>
      </c>
      <c r="BL3" s="66" t="s">
        <v>600</v>
      </c>
      <c r="BM3" s="66" t="s">
        <v>600</v>
      </c>
      <c r="BN3" s="66" t="s">
        <v>600</v>
      </c>
      <c r="BO3" s="66" t="s">
        <v>600</v>
      </c>
      <c r="BP3" s="66" t="s">
        <v>600</v>
      </c>
      <c r="BQ3" s="66" t="s">
        <v>600</v>
      </c>
      <c r="BR3" s="66" t="s">
        <v>600</v>
      </c>
      <c r="BS3" s="67"/>
      <c r="BT3" s="68" t="s">
        <v>601</v>
      </c>
    </row>
    <row r="4" ht="15.6" spans="1:72">
      <c r="A4" s="53" t="s">
        <v>511</v>
      </c>
      <c r="B4" s="53"/>
      <c r="C4" s="53"/>
      <c r="D4" s="54"/>
      <c r="E4" s="55" t="s">
        <v>275</v>
      </c>
      <c r="F4" s="56">
        <v>20.65</v>
      </c>
      <c r="G4" s="56">
        <v>29.99</v>
      </c>
      <c r="H4" s="57" t="e">
        <f t="shared" si="0"/>
        <v>#NULL!</v>
      </c>
      <c r="I4" s="57" t="e">
        <f t="shared" si="1"/>
        <v>#NULL!</v>
      </c>
      <c r="J4" s="56">
        <v>20.65</v>
      </c>
      <c r="K4" s="56">
        <v>29.99</v>
      </c>
      <c r="L4" s="59">
        <f t="shared" si="2"/>
        <v>3.81883028581679</v>
      </c>
      <c r="M4" s="60">
        <f t="shared" si="3"/>
        <v>0.184931248707835</v>
      </c>
      <c r="N4" s="57">
        <f t="shared" si="4"/>
        <v>24.9916666666667</v>
      </c>
      <c r="O4" s="61">
        <f t="shared" si="5"/>
        <v>0.173724574858286</v>
      </c>
      <c r="P4" s="59">
        <f t="shared" si="6"/>
        <v>4.34166666666667</v>
      </c>
      <c r="Q4" s="57">
        <f t="shared" si="7"/>
        <v>62.7823008849558</v>
      </c>
      <c r="R4" s="57">
        <f t="shared" si="8"/>
        <v>0.954375</v>
      </c>
      <c r="S4" s="53">
        <v>16</v>
      </c>
      <c r="T4" s="62">
        <v>7.4</v>
      </c>
      <c r="U4" s="63">
        <v>0.05</v>
      </c>
      <c r="V4" s="63">
        <v>0.1</v>
      </c>
      <c r="W4" s="63">
        <v>0.01</v>
      </c>
      <c r="X4" s="63">
        <f t="shared" si="9"/>
        <v>0.410852044270373</v>
      </c>
      <c r="Y4" s="63">
        <f t="shared" si="10"/>
        <v>0.0462167070217918</v>
      </c>
      <c r="Z4" s="61">
        <v>0.198</v>
      </c>
      <c r="AA4" s="64">
        <f t="shared" si="11"/>
        <v>1.0325</v>
      </c>
      <c r="AB4" s="64">
        <f t="shared" si="12"/>
        <v>2.065</v>
      </c>
      <c r="AC4" s="64">
        <f t="shared" si="13"/>
        <v>0.2065</v>
      </c>
      <c r="AD4" s="57">
        <f t="shared" si="14"/>
        <v>4.0887</v>
      </c>
      <c r="AE4" s="57">
        <v>61</v>
      </c>
      <c r="AF4" s="65">
        <f t="shared" si="15"/>
        <v>53.9823008849558</v>
      </c>
      <c r="AG4" s="65">
        <v>8.8</v>
      </c>
      <c r="AH4" s="63">
        <f t="shared" si="16"/>
        <v>0.35326419007235</v>
      </c>
      <c r="AI4" s="63">
        <f t="shared" si="17"/>
        <v>0.0575878541980237</v>
      </c>
      <c r="AJ4" s="65">
        <v>8.8</v>
      </c>
      <c r="AK4" s="63"/>
      <c r="AL4" s="63"/>
      <c r="AM4" s="63"/>
      <c r="AN4" s="63"/>
      <c r="AO4" s="66"/>
      <c r="AP4" s="66"/>
      <c r="AQ4" s="66"/>
      <c r="AR4" s="66"/>
      <c r="AS4" s="66"/>
      <c r="AT4" s="66"/>
      <c r="AU4" s="66" t="s">
        <v>600</v>
      </c>
      <c r="AV4" s="66" t="s">
        <v>600</v>
      </c>
      <c r="AW4" s="66" t="s">
        <v>600</v>
      </c>
      <c r="AX4" s="66" t="s">
        <v>600</v>
      </c>
      <c r="AY4" s="66" t="s">
        <v>600</v>
      </c>
      <c r="AZ4" s="66" t="s">
        <v>600</v>
      </c>
      <c r="BA4" s="66" t="s">
        <v>600</v>
      </c>
      <c r="BB4" s="66" t="s">
        <v>600</v>
      </c>
      <c r="BC4" s="66" t="s">
        <v>600</v>
      </c>
      <c r="BD4" s="66" t="s">
        <v>600</v>
      </c>
      <c r="BE4" s="66" t="s">
        <v>600</v>
      </c>
      <c r="BF4" s="66" t="s">
        <v>600</v>
      </c>
      <c r="BG4" s="66" t="s">
        <v>600</v>
      </c>
      <c r="BH4" s="66" t="s">
        <v>600</v>
      </c>
      <c r="BI4" s="66" t="s">
        <v>600</v>
      </c>
      <c r="BJ4" s="66" t="s">
        <v>600</v>
      </c>
      <c r="BK4" s="66" t="s">
        <v>600</v>
      </c>
      <c r="BL4" s="66" t="s">
        <v>600</v>
      </c>
      <c r="BM4" s="66" t="s">
        <v>600</v>
      </c>
      <c r="BN4" s="66" t="s">
        <v>600</v>
      </c>
      <c r="BO4" s="66" t="s">
        <v>600</v>
      </c>
      <c r="BP4" s="66" t="s">
        <v>600</v>
      </c>
      <c r="BQ4" s="66" t="s">
        <v>600</v>
      </c>
      <c r="BR4" s="66" t="s">
        <v>600</v>
      </c>
      <c r="BS4" s="67"/>
      <c r="BT4" s="68" t="s">
        <v>601</v>
      </c>
    </row>
    <row r="5" ht="15.6" spans="1:72">
      <c r="A5" s="53" t="s">
        <v>513</v>
      </c>
      <c r="B5" s="53"/>
      <c r="C5" s="53"/>
      <c r="D5" s="54"/>
      <c r="E5" s="55" t="s">
        <v>275</v>
      </c>
      <c r="F5" s="56">
        <v>20.99</v>
      </c>
      <c r="G5" s="56">
        <v>29.99</v>
      </c>
      <c r="H5" s="57" t="e">
        <f t="shared" si="0"/>
        <v>#NULL!</v>
      </c>
      <c r="I5" s="57" t="e">
        <f t="shared" si="1"/>
        <v>#NULL!</v>
      </c>
      <c r="J5" s="56">
        <v>20.99</v>
      </c>
      <c r="K5" s="56">
        <v>29.99</v>
      </c>
      <c r="L5" s="59">
        <f t="shared" si="2"/>
        <v>4.25150128581679</v>
      </c>
      <c r="M5" s="60">
        <f t="shared" si="3"/>
        <v>0.202548894036055</v>
      </c>
      <c r="N5" s="57">
        <f t="shared" si="4"/>
        <v>24.9916666666667</v>
      </c>
      <c r="O5" s="61">
        <f t="shared" si="5"/>
        <v>0.160120040013338</v>
      </c>
      <c r="P5" s="59">
        <f t="shared" si="6"/>
        <v>4.00166666666667</v>
      </c>
      <c r="Q5" s="57">
        <f t="shared" si="7"/>
        <v>62.7823008849558</v>
      </c>
      <c r="R5" s="57">
        <f t="shared" si="8"/>
        <v>1.02125</v>
      </c>
      <c r="S5" s="53">
        <v>16</v>
      </c>
      <c r="T5" s="62">
        <v>7.4</v>
      </c>
      <c r="U5" s="63">
        <v>0.05</v>
      </c>
      <c r="V5" s="63">
        <v>0.1</v>
      </c>
      <c r="W5" s="63">
        <v>0.01</v>
      </c>
      <c r="X5" s="63">
        <f t="shared" si="9"/>
        <v>0.404196984953941</v>
      </c>
      <c r="Y5" s="63">
        <f t="shared" si="10"/>
        <v>0.0486541210100048</v>
      </c>
      <c r="Z5" s="61">
        <v>0.1846</v>
      </c>
      <c r="AA5" s="64">
        <f t="shared" si="11"/>
        <v>1.0495</v>
      </c>
      <c r="AB5" s="64">
        <f t="shared" si="12"/>
        <v>2.099</v>
      </c>
      <c r="AC5" s="64">
        <f t="shared" si="13"/>
        <v>0.2099</v>
      </c>
      <c r="AD5" s="57">
        <f t="shared" si="14"/>
        <v>3.874754</v>
      </c>
      <c r="AE5" s="57">
        <v>61</v>
      </c>
      <c r="AF5" s="65">
        <f t="shared" si="15"/>
        <v>53.9823008849558</v>
      </c>
      <c r="AG5" s="65">
        <v>8.8</v>
      </c>
      <c r="AH5" s="63">
        <f t="shared" si="16"/>
        <v>0.347541949737686</v>
      </c>
      <c r="AI5" s="63">
        <f t="shared" si="17"/>
        <v>0.0566550352162549</v>
      </c>
      <c r="AJ5" s="65">
        <v>8.8</v>
      </c>
      <c r="AK5" s="60"/>
      <c r="AL5" s="60"/>
      <c r="AM5" s="60"/>
      <c r="AN5" s="60"/>
      <c r="AO5" s="66"/>
      <c r="AP5" s="66"/>
      <c r="AQ5" s="66"/>
      <c r="AR5" s="66"/>
      <c r="AS5" s="66"/>
      <c r="AT5" s="66"/>
      <c r="AU5" s="66" t="s">
        <v>600</v>
      </c>
      <c r="AV5" s="66" t="s">
        <v>600</v>
      </c>
      <c r="AW5" s="66" t="s">
        <v>600</v>
      </c>
      <c r="AX5" s="66" t="s">
        <v>600</v>
      </c>
      <c r="AY5" s="66" t="s">
        <v>600</v>
      </c>
      <c r="AZ5" s="66" t="s">
        <v>600</v>
      </c>
      <c r="BA5" s="66" t="s">
        <v>600</v>
      </c>
      <c r="BB5" s="66" t="s">
        <v>600</v>
      </c>
      <c r="BC5" s="66" t="s">
        <v>600</v>
      </c>
      <c r="BD5" s="66" t="s">
        <v>600</v>
      </c>
      <c r="BE5" s="66" t="s">
        <v>600</v>
      </c>
      <c r="BF5" s="66" t="s">
        <v>600</v>
      </c>
      <c r="BG5" s="66" t="s">
        <v>600</v>
      </c>
      <c r="BH5" s="66" t="s">
        <v>600</v>
      </c>
      <c r="BI5" s="66" t="s">
        <v>600</v>
      </c>
      <c r="BJ5" s="66" t="s">
        <v>600</v>
      </c>
      <c r="BK5" s="66" t="s">
        <v>600</v>
      </c>
      <c r="BL5" s="66" t="s">
        <v>600</v>
      </c>
      <c r="BM5" s="66" t="s">
        <v>600</v>
      </c>
      <c r="BN5" s="66" t="s">
        <v>600</v>
      </c>
      <c r="BO5" s="66" t="s">
        <v>600</v>
      </c>
      <c r="BP5" s="66" t="s">
        <v>600</v>
      </c>
      <c r="BQ5" s="66" t="s">
        <v>600</v>
      </c>
      <c r="BR5" s="66" t="s">
        <v>600</v>
      </c>
      <c r="BS5" s="67"/>
      <c r="BT5" s="68" t="s">
        <v>601</v>
      </c>
    </row>
    <row r="6" ht="15.6" spans="1:72">
      <c r="A6" s="53" t="s">
        <v>516</v>
      </c>
      <c r="B6" s="53"/>
      <c r="C6" s="53"/>
      <c r="D6" s="54"/>
      <c r="E6" s="55" t="s">
        <v>275</v>
      </c>
      <c r="F6" s="56">
        <v>20.99</v>
      </c>
      <c r="G6" s="56">
        <v>29.99</v>
      </c>
      <c r="H6" s="57" t="e">
        <f t="shared" si="0"/>
        <v>#NULL!</v>
      </c>
      <c r="I6" s="57" t="e">
        <f t="shared" si="1"/>
        <v>#NULL!</v>
      </c>
      <c r="J6" s="56">
        <v>20.99</v>
      </c>
      <c r="K6" s="56">
        <v>29.99</v>
      </c>
      <c r="L6" s="59">
        <f t="shared" si="2"/>
        <v>4.40380128581679</v>
      </c>
      <c r="M6" s="60">
        <f t="shared" si="3"/>
        <v>0.209804730148489</v>
      </c>
      <c r="N6" s="57">
        <f t="shared" si="4"/>
        <v>24.9916666666667</v>
      </c>
      <c r="O6" s="61">
        <f t="shared" si="5"/>
        <v>0.160120040013338</v>
      </c>
      <c r="P6" s="59">
        <f t="shared" si="6"/>
        <v>4.00166666666667</v>
      </c>
      <c r="Q6" s="57">
        <f t="shared" si="7"/>
        <v>62.7823008849558</v>
      </c>
      <c r="R6" s="57">
        <f t="shared" si="8"/>
        <v>1.28875</v>
      </c>
      <c r="S6" s="53">
        <v>16</v>
      </c>
      <c r="T6" s="62">
        <v>7.4</v>
      </c>
      <c r="U6" s="63">
        <v>0.05</v>
      </c>
      <c r="V6" s="63">
        <v>0.1</v>
      </c>
      <c r="W6" s="63">
        <v>0.01</v>
      </c>
      <c r="X6" s="63">
        <f t="shared" si="9"/>
        <v>0.404196984953941</v>
      </c>
      <c r="Y6" s="63">
        <f t="shared" si="10"/>
        <v>0.0613982848975703</v>
      </c>
      <c r="Z6" s="61">
        <v>0.1646</v>
      </c>
      <c r="AA6" s="64">
        <f t="shared" si="11"/>
        <v>1.0495</v>
      </c>
      <c r="AB6" s="64">
        <f t="shared" si="12"/>
        <v>2.099</v>
      </c>
      <c r="AC6" s="64">
        <f t="shared" si="13"/>
        <v>0.2099</v>
      </c>
      <c r="AD6" s="57">
        <f t="shared" si="14"/>
        <v>3.454954</v>
      </c>
      <c r="AE6" s="57">
        <v>61</v>
      </c>
      <c r="AF6" s="65">
        <f t="shared" si="15"/>
        <v>53.9823008849558</v>
      </c>
      <c r="AG6" s="65">
        <v>8.8</v>
      </c>
      <c r="AH6" s="63">
        <f t="shared" si="16"/>
        <v>0.347541949737686</v>
      </c>
      <c r="AI6" s="63">
        <f t="shared" si="17"/>
        <v>0.0566550352162549</v>
      </c>
      <c r="AJ6" s="65">
        <v>8.8</v>
      </c>
      <c r="AK6" s="63"/>
      <c r="AL6" s="63"/>
      <c r="AM6" s="63"/>
      <c r="AN6" s="63"/>
      <c r="AO6" s="66"/>
      <c r="AP6" s="66"/>
      <c r="AQ6" s="66"/>
      <c r="AR6" s="66"/>
      <c r="AS6" s="66"/>
      <c r="AT6" s="66"/>
      <c r="AU6" s="66" t="s">
        <v>600</v>
      </c>
      <c r="AV6" s="66" t="s">
        <v>600</v>
      </c>
      <c r="AW6" s="66" t="s">
        <v>600</v>
      </c>
      <c r="AX6" s="66" t="s">
        <v>600</v>
      </c>
      <c r="AY6" s="66" t="s">
        <v>600</v>
      </c>
      <c r="AZ6" s="66" t="s">
        <v>600</v>
      </c>
      <c r="BA6" s="66" t="s">
        <v>600</v>
      </c>
      <c r="BB6" s="66" t="s">
        <v>600</v>
      </c>
      <c r="BC6" s="66" t="s">
        <v>600</v>
      </c>
      <c r="BD6" s="66" t="s">
        <v>600</v>
      </c>
      <c r="BE6" s="66" t="s">
        <v>600</v>
      </c>
      <c r="BF6" s="66" t="s">
        <v>600</v>
      </c>
      <c r="BG6" s="66" t="s">
        <v>600</v>
      </c>
      <c r="BH6" s="66" t="s">
        <v>600</v>
      </c>
      <c r="BI6" s="66" t="s">
        <v>600</v>
      </c>
      <c r="BJ6" s="66" t="s">
        <v>600</v>
      </c>
      <c r="BK6" s="66" t="s">
        <v>600</v>
      </c>
      <c r="BL6" s="66" t="s">
        <v>600</v>
      </c>
      <c r="BM6" s="66" t="s">
        <v>600</v>
      </c>
      <c r="BN6" s="66" t="s">
        <v>600</v>
      </c>
      <c r="BO6" s="66" t="s">
        <v>600</v>
      </c>
      <c r="BP6" s="66" t="s">
        <v>600</v>
      </c>
      <c r="BQ6" s="66" t="s">
        <v>600</v>
      </c>
      <c r="BR6" s="66" t="s">
        <v>600</v>
      </c>
      <c r="BS6" s="67"/>
      <c r="BT6" s="68" t="s">
        <v>601</v>
      </c>
    </row>
    <row r="7" ht="15.6" spans="1:72">
      <c r="A7" s="53" t="s">
        <v>605</v>
      </c>
      <c r="B7" s="53"/>
      <c r="C7" s="53"/>
      <c r="D7" s="54"/>
      <c r="E7" s="55" t="s">
        <v>275</v>
      </c>
      <c r="F7" s="57">
        <v>48</v>
      </c>
      <c r="G7" s="69">
        <v>66.99</v>
      </c>
      <c r="H7" s="57" t="e">
        <f t="shared" si="0"/>
        <v>#NULL!</v>
      </c>
      <c r="I7" s="57" t="e">
        <f t="shared" si="1"/>
        <v>#NULL!</v>
      </c>
      <c r="J7" s="57">
        <v>22</v>
      </c>
      <c r="K7" s="69">
        <v>35</v>
      </c>
      <c r="L7" s="59">
        <f t="shared" si="2"/>
        <v>5.76990528581679</v>
      </c>
      <c r="M7" s="60">
        <f t="shared" si="3"/>
        <v>0.262268422082581</v>
      </c>
      <c r="N7" s="57">
        <f t="shared" si="4"/>
        <v>29.1666666666667</v>
      </c>
      <c r="O7" s="61">
        <f t="shared" si="5"/>
        <v>0.245714285714286</v>
      </c>
      <c r="P7" s="59">
        <f t="shared" si="6"/>
        <v>7.16666666666667</v>
      </c>
      <c r="Q7" s="57">
        <f t="shared" si="7"/>
        <v>62.7823008849558</v>
      </c>
      <c r="R7" s="57">
        <f t="shared" si="8"/>
        <v>0.75</v>
      </c>
      <c r="S7" s="53">
        <v>16</v>
      </c>
      <c r="T7" s="62">
        <v>7.4</v>
      </c>
      <c r="U7" s="63">
        <v>0.05</v>
      </c>
      <c r="V7" s="63">
        <v>0.1</v>
      </c>
      <c r="W7" s="63">
        <v>0.01</v>
      </c>
      <c r="X7" s="63">
        <f t="shared" si="9"/>
        <v>0.38564066882651</v>
      </c>
      <c r="Y7" s="63">
        <f t="shared" si="10"/>
        <v>0.0340909090909091</v>
      </c>
      <c r="Z7" s="61">
        <v>0.158</v>
      </c>
      <c r="AA7" s="64">
        <f t="shared" si="11"/>
        <v>1.1</v>
      </c>
      <c r="AB7" s="64">
        <f t="shared" si="12"/>
        <v>2.2</v>
      </c>
      <c r="AC7" s="64">
        <f t="shared" si="13"/>
        <v>0.22</v>
      </c>
      <c r="AD7" s="57">
        <f t="shared" si="14"/>
        <v>3.476</v>
      </c>
      <c r="AE7" s="57">
        <v>61</v>
      </c>
      <c r="AF7" s="65">
        <f t="shared" si="15"/>
        <v>53.9823008849558</v>
      </c>
      <c r="AG7" s="65">
        <v>8.8</v>
      </c>
      <c r="AH7" s="63">
        <f t="shared" si="16"/>
        <v>0.331586614772455</v>
      </c>
      <c r="AI7" s="63">
        <f t="shared" si="17"/>
        <v>0.0540540540540541</v>
      </c>
      <c r="AJ7" s="65">
        <v>8.8</v>
      </c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 t="s">
        <v>600</v>
      </c>
      <c r="AV7" s="66" t="s">
        <v>600</v>
      </c>
      <c r="AW7" s="66" t="s">
        <v>600</v>
      </c>
      <c r="AX7" s="66" t="s">
        <v>600</v>
      </c>
      <c r="AY7" s="66" t="s">
        <v>600</v>
      </c>
      <c r="AZ7" s="66" t="s">
        <v>600</v>
      </c>
      <c r="BA7" s="66" t="s">
        <v>600</v>
      </c>
      <c r="BB7" s="66" t="s">
        <v>600</v>
      </c>
      <c r="BC7" s="66" t="s">
        <v>600</v>
      </c>
      <c r="BD7" s="66" t="s">
        <v>600</v>
      </c>
      <c r="BE7" s="66" t="s">
        <v>600</v>
      </c>
      <c r="BF7" s="66" t="s">
        <v>600</v>
      </c>
      <c r="BG7" s="66" t="s">
        <v>600</v>
      </c>
      <c r="BH7" s="66" t="s">
        <v>600</v>
      </c>
      <c r="BI7" s="66" t="s">
        <v>600</v>
      </c>
      <c r="BJ7" s="66" t="s">
        <v>600</v>
      </c>
      <c r="BK7" s="66" t="s">
        <v>600</v>
      </c>
      <c r="BL7" s="66" t="s">
        <v>600</v>
      </c>
      <c r="BM7" s="66" t="s">
        <v>600</v>
      </c>
      <c r="BN7" s="66" t="s">
        <v>600</v>
      </c>
      <c r="BO7" s="66" t="s">
        <v>600</v>
      </c>
      <c r="BP7" s="66" t="s">
        <v>600</v>
      </c>
      <c r="BQ7" s="66" t="s">
        <v>600</v>
      </c>
      <c r="BR7" s="66" t="s">
        <v>600</v>
      </c>
      <c r="BS7" s="70" t="e">
        <f>IF(H7&lt;J7,1,0)</f>
        <v>#NULL!</v>
      </c>
      <c r="BT7" s="68" t="s">
        <v>601</v>
      </c>
    </row>
    <row r="8" ht="15.6" spans="1:72">
      <c r="A8" s="53" t="s">
        <v>607</v>
      </c>
      <c r="B8" s="53"/>
      <c r="C8" s="53"/>
      <c r="D8" s="54"/>
      <c r="E8" s="55" t="s">
        <v>275</v>
      </c>
      <c r="F8" s="57">
        <v>209.99</v>
      </c>
      <c r="G8" s="69">
        <v>329</v>
      </c>
      <c r="H8" s="57" t="e">
        <f t="shared" si="0"/>
        <v>#NULL!</v>
      </c>
      <c r="I8" s="57" t="e">
        <f t="shared" si="1"/>
        <v>#NULL!</v>
      </c>
      <c r="J8" s="57">
        <v>99</v>
      </c>
      <c r="K8" s="69">
        <v>168</v>
      </c>
      <c r="L8" s="59">
        <f t="shared" si="2"/>
        <v>27.3378119469027</v>
      </c>
      <c r="M8" s="60">
        <f t="shared" si="3"/>
        <v>0.276139514615178</v>
      </c>
      <c r="N8" s="57">
        <f t="shared" si="4"/>
        <v>140</v>
      </c>
      <c r="O8" s="61">
        <f t="shared" si="5"/>
        <v>0.292857142857143</v>
      </c>
      <c r="P8" s="59">
        <f t="shared" si="6"/>
        <v>41</v>
      </c>
      <c r="Q8" s="57">
        <f t="shared" si="7"/>
        <v>62.7823008849558</v>
      </c>
      <c r="R8" s="57">
        <f t="shared" si="8"/>
        <v>0.94125</v>
      </c>
      <c r="S8" s="53">
        <v>16</v>
      </c>
      <c r="T8" s="62">
        <v>1.6</v>
      </c>
      <c r="U8" s="63">
        <v>0.05</v>
      </c>
      <c r="V8" s="63">
        <v>0.1</v>
      </c>
      <c r="W8" s="63">
        <v>0.01</v>
      </c>
      <c r="X8" s="63">
        <f t="shared" si="9"/>
        <v>0.396352909627246</v>
      </c>
      <c r="Y8" s="63">
        <f t="shared" si="10"/>
        <v>0.00950757575757576</v>
      </c>
      <c r="Z8" s="61">
        <v>0.158</v>
      </c>
      <c r="AA8" s="64">
        <f t="shared" si="11"/>
        <v>4.95</v>
      </c>
      <c r="AB8" s="64">
        <f t="shared" si="12"/>
        <v>9.9</v>
      </c>
      <c r="AC8" s="64">
        <f t="shared" si="13"/>
        <v>0.99</v>
      </c>
      <c r="AD8" s="57">
        <f t="shared" si="14"/>
        <v>15.642</v>
      </c>
      <c r="AE8" s="57">
        <v>61</v>
      </c>
      <c r="AF8" s="65">
        <f t="shared" si="15"/>
        <v>53.9823008849558</v>
      </c>
      <c r="AG8" s="65">
        <v>8.8</v>
      </c>
      <c r="AH8" s="63">
        <f t="shared" si="16"/>
        <v>0.34079735407169</v>
      </c>
      <c r="AI8" s="63">
        <f t="shared" si="17"/>
        <v>0.0555555555555556</v>
      </c>
      <c r="AJ8" s="65">
        <v>8.8</v>
      </c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 t="s">
        <v>600</v>
      </c>
      <c r="AV8" s="66" t="s">
        <v>600</v>
      </c>
      <c r="AW8" s="66" t="s">
        <v>600</v>
      </c>
      <c r="AX8" s="66" t="s">
        <v>600</v>
      </c>
      <c r="AY8" s="66" t="s">
        <v>600</v>
      </c>
      <c r="AZ8" s="66" t="s">
        <v>600</v>
      </c>
      <c r="BA8" s="66" t="s">
        <v>600</v>
      </c>
      <c r="BB8" s="66" t="s">
        <v>600</v>
      </c>
      <c r="BC8" s="66" t="s">
        <v>600</v>
      </c>
      <c r="BD8" s="66" t="s">
        <v>600</v>
      </c>
      <c r="BE8" s="66" t="s">
        <v>600</v>
      </c>
      <c r="BF8" s="66" t="s">
        <v>600</v>
      </c>
      <c r="BG8" s="66" t="s">
        <v>600</v>
      </c>
      <c r="BH8" s="66" t="s">
        <v>600</v>
      </c>
      <c r="BI8" s="66" t="s">
        <v>600</v>
      </c>
      <c r="BJ8" s="66" t="s">
        <v>600</v>
      </c>
      <c r="BK8" s="66" t="s">
        <v>600</v>
      </c>
      <c r="BL8" s="66" t="s">
        <v>600</v>
      </c>
      <c r="BM8" s="66" t="s">
        <v>600</v>
      </c>
      <c r="BN8" s="66" t="s">
        <v>600</v>
      </c>
      <c r="BO8" s="66" t="s">
        <v>600</v>
      </c>
      <c r="BP8" s="66" t="s">
        <v>600</v>
      </c>
      <c r="BQ8" s="66" t="s">
        <v>600</v>
      </c>
      <c r="BR8" s="66" t="s">
        <v>600</v>
      </c>
      <c r="BS8" s="70" t="e">
        <f>IF(H8&lt;J8,1,0)</f>
        <v>#NULL!</v>
      </c>
      <c r="BT8" s="68" t="s">
        <v>601</v>
      </c>
    </row>
    <row r="9" ht="15.6" spans="1:72">
      <c r="A9" s="53" t="s">
        <v>609</v>
      </c>
      <c r="B9" s="53"/>
      <c r="C9" s="53"/>
      <c r="D9" s="54"/>
      <c r="E9" s="55" t="s">
        <v>275</v>
      </c>
      <c r="F9" s="57">
        <v>474.5115</v>
      </c>
      <c r="G9" s="69">
        <v>720.76</v>
      </c>
      <c r="H9" s="57" t="e">
        <f t="shared" si="0"/>
        <v>#NULL!</v>
      </c>
      <c r="I9" s="57" t="e">
        <f t="shared" si="1"/>
        <v>#NULL!</v>
      </c>
      <c r="J9" s="57">
        <v>270</v>
      </c>
      <c r="K9" s="69">
        <v>538</v>
      </c>
      <c r="L9" s="59">
        <f t="shared" si="2"/>
        <v>60.796581858407</v>
      </c>
      <c r="M9" s="60">
        <f t="shared" si="3"/>
        <v>0.225172525401508</v>
      </c>
      <c r="N9" s="57">
        <f t="shared" si="4"/>
        <v>448.333333333333</v>
      </c>
      <c r="O9" s="61">
        <f t="shared" si="5"/>
        <v>0.397769516728625</v>
      </c>
      <c r="P9" s="59">
        <f t="shared" si="6"/>
        <v>178.333333333333</v>
      </c>
      <c r="Q9" s="57">
        <f t="shared" si="7"/>
        <v>62.7823008849558</v>
      </c>
      <c r="R9" s="57">
        <f t="shared" si="8"/>
        <v>1.15625</v>
      </c>
      <c r="S9" s="53">
        <v>16</v>
      </c>
      <c r="T9" s="62">
        <v>0.6</v>
      </c>
      <c r="U9" s="63">
        <v>0.05</v>
      </c>
      <c r="V9" s="63">
        <v>0.1</v>
      </c>
      <c r="W9" s="63">
        <v>0.01</v>
      </c>
      <c r="X9" s="63">
        <f t="shared" si="9"/>
        <v>0.387545067191085</v>
      </c>
      <c r="Y9" s="63">
        <f t="shared" si="10"/>
        <v>0.00428240740740741</v>
      </c>
      <c r="Z9" s="61">
        <v>0.223</v>
      </c>
      <c r="AA9" s="64">
        <f t="shared" si="11"/>
        <v>13.5</v>
      </c>
      <c r="AB9" s="64">
        <f t="shared" si="12"/>
        <v>27</v>
      </c>
      <c r="AC9" s="64">
        <f t="shared" si="13"/>
        <v>2.7</v>
      </c>
      <c r="AD9" s="57">
        <f t="shared" si="14"/>
        <v>60.21</v>
      </c>
      <c r="AE9" s="57">
        <v>61</v>
      </c>
      <c r="AF9" s="65">
        <f t="shared" si="15"/>
        <v>53.9823008849558</v>
      </c>
      <c r="AG9" s="65">
        <v>8.8</v>
      </c>
      <c r="AH9" s="63">
        <f t="shared" si="16"/>
        <v>0.333224079536764</v>
      </c>
      <c r="AI9" s="63">
        <f t="shared" si="17"/>
        <v>0.054320987654321</v>
      </c>
      <c r="AJ9" s="65">
        <v>8.8</v>
      </c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 t="s">
        <v>600</v>
      </c>
      <c r="AV9" s="66" t="s">
        <v>600</v>
      </c>
      <c r="AW9" s="66" t="s">
        <v>600</v>
      </c>
      <c r="AX9" s="66" t="s">
        <v>600</v>
      </c>
      <c r="AY9" s="66" t="s">
        <v>600</v>
      </c>
      <c r="AZ9" s="66" t="s">
        <v>600</v>
      </c>
      <c r="BA9" s="66" t="s">
        <v>600</v>
      </c>
      <c r="BB9" s="66" t="s">
        <v>600</v>
      </c>
      <c r="BC9" s="66" t="s">
        <v>600</v>
      </c>
      <c r="BD9" s="66" t="s">
        <v>600</v>
      </c>
      <c r="BE9" s="66" t="s">
        <v>600</v>
      </c>
      <c r="BF9" s="66" t="s">
        <v>600</v>
      </c>
      <c r="BG9" s="66" t="s">
        <v>600</v>
      </c>
      <c r="BH9" s="66" t="s">
        <v>600</v>
      </c>
      <c r="BI9" s="66" t="s">
        <v>600</v>
      </c>
      <c r="BJ9" s="66" t="s">
        <v>600</v>
      </c>
      <c r="BK9" s="66" t="s">
        <v>600</v>
      </c>
      <c r="BL9" s="66" t="s">
        <v>600</v>
      </c>
      <c r="BM9" s="66" t="s">
        <v>600</v>
      </c>
      <c r="BN9" s="66" t="s">
        <v>600</v>
      </c>
      <c r="BO9" s="66" t="s">
        <v>600</v>
      </c>
      <c r="BP9" s="66" t="s">
        <v>600</v>
      </c>
      <c r="BQ9" s="66" t="s">
        <v>600</v>
      </c>
      <c r="BR9" s="66" t="s">
        <v>600</v>
      </c>
      <c r="BS9" s="70" t="e">
        <f>IF(H9&lt;J9,1,0)</f>
        <v>#NULL!</v>
      </c>
      <c r="BT9" s="68" t="s">
        <v>601</v>
      </c>
    </row>
    <row r="10" ht="15.6" spans="1:72">
      <c r="A10" s="53" t="s">
        <v>611</v>
      </c>
      <c r="B10" s="53"/>
      <c r="C10" s="53"/>
      <c r="D10" s="54"/>
      <c r="E10" s="55" t="s">
        <v>275</v>
      </c>
      <c r="F10" s="57">
        <f>G10*0.7</f>
        <v>23.0923</v>
      </c>
      <c r="G10" s="69">
        <v>32.989</v>
      </c>
      <c r="H10" s="57" t="e">
        <f t="shared" si="0"/>
        <v>#NULL!</v>
      </c>
      <c r="I10" s="57" t="e">
        <f t="shared" si="1"/>
        <v>#NULL!</v>
      </c>
      <c r="J10" s="57">
        <v>23.09</v>
      </c>
      <c r="K10" s="69">
        <v>32.989</v>
      </c>
      <c r="L10" s="59">
        <f t="shared" si="2"/>
        <v>6.07801028581679</v>
      </c>
      <c r="M10" s="60">
        <f t="shared" si="3"/>
        <v>0.263231281325976</v>
      </c>
      <c r="N10" s="57">
        <f t="shared" si="4"/>
        <v>27.4908333333333</v>
      </c>
      <c r="O10" s="61">
        <f t="shared" si="5"/>
        <v>0.16008366425172</v>
      </c>
      <c r="P10" s="59">
        <f t="shared" si="6"/>
        <v>4.40083333333333</v>
      </c>
      <c r="Q10" s="57">
        <f t="shared" si="7"/>
        <v>62.7823008849558</v>
      </c>
      <c r="R10" s="57">
        <f t="shared" si="8"/>
        <v>0.954375</v>
      </c>
      <c r="S10" s="53">
        <v>16</v>
      </c>
      <c r="T10" s="62">
        <v>7.4</v>
      </c>
      <c r="U10" s="63">
        <v>0.06</v>
      </c>
      <c r="V10" s="63">
        <v>0.1</v>
      </c>
      <c r="W10" s="63">
        <v>0.01</v>
      </c>
      <c r="X10" s="63">
        <f t="shared" si="9"/>
        <v>0.367435890609927</v>
      </c>
      <c r="Y10" s="63">
        <f t="shared" si="10"/>
        <v>0.041332828064097</v>
      </c>
      <c r="Z10" s="61">
        <v>0.158</v>
      </c>
      <c r="AA10" s="64">
        <f t="shared" si="11"/>
        <v>1.3854</v>
      </c>
      <c r="AB10" s="64">
        <f t="shared" si="12"/>
        <v>2.309</v>
      </c>
      <c r="AC10" s="64">
        <f t="shared" si="13"/>
        <v>0.2309</v>
      </c>
      <c r="AD10" s="57">
        <f t="shared" si="14"/>
        <v>3.64822</v>
      </c>
      <c r="AE10" s="57">
        <v>61</v>
      </c>
      <c r="AF10" s="65">
        <f t="shared" si="15"/>
        <v>53.9823008849558</v>
      </c>
      <c r="AG10" s="65">
        <v>8.8</v>
      </c>
      <c r="AH10" s="63">
        <f t="shared" si="16"/>
        <v>0.315933543741621</v>
      </c>
      <c r="AI10" s="63">
        <f t="shared" si="17"/>
        <v>0.0515023468683062</v>
      </c>
      <c r="AJ10" s="65">
        <v>8.8</v>
      </c>
      <c r="AK10" s="63"/>
      <c r="AL10" s="63"/>
      <c r="AM10" s="63"/>
      <c r="AN10" s="63"/>
      <c r="AO10" s="66"/>
      <c r="AP10" s="66"/>
      <c r="AQ10" s="66"/>
      <c r="AR10" s="66"/>
      <c r="AS10" s="66"/>
      <c r="AT10" s="66"/>
      <c r="AU10" s="66" t="s">
        <v>600</v>
      </c>
      <c r="AV10" s="66" t="s">
        <v>600</v>
      </c>
      <c r="AW10" s="66" t="s">
        <v>600</v>
      </c>
      <c r="AX10" s="66" t="s">
        <v>600</v>
      </c>
      <c r="AY10" s="66" t="s">
        <v>600</v>
      </c>
      <c r="AZ10" s="66" t="s">
        <v>600</v>
      </c>
      <c r="BA10" s="66" t="s">
        <v>600</v>
      </c>
      <c r="BB10" s="66" t="s">
        <v>600</v>
      </c>
      <c r="BC10" s="66" t="s">
        <v>600</v>
      </c>
      <c r="BD10" s="66" t="s">
        <v>600</v>
      </c>
      <c r="BE10" s="66" t="s">
        <v>600</v>
      </c>
      <c r="BF10" s="66" t="s">
        <v>600</v>
      </c>
      <c r="BG10" s="66" t="s">
        <v>600</v>
      </c>
      <c r="BH10" s="66" t="s">
        <v>600</v>
      </c>
      <c r="BI10" s="66" t="s">
        <v>600</v>
      </c>
      <c r="BJ10" s="66" t="s">
        <v>600</v>
      </c>
      <c r="BK10" s="66" t="s">
        <v>600</v>
      </c>
      <c r="BL10" s="66" t="s">
        <v>600</v>
      </c>
      <c r="BM10" s="66" t="s">
        <v>600</v>
      </c>
      <c r="BN10" s="66" t="s">
        <v>600</v>
      </c>
      <c r="BO10" s="66" t="s">
        <v>600</v>
      </c>
      <c r="BP10" s="66" t="s">
        <v>600</v>
      </c>
      <c r="BQ10" s="66" t="s">
        <v>600</v>
      </c>
      <c r="BR10" s="66" t="s">
        <v>600</v>
      </c>
      <c r="BS10" s="70" t="e">
        <f>IF(H10&lt;J10,1,0)</f>
        <v>#NULL!</v>
      </c>
      <c r="BT10" s="68" t="s">
        <v>601</v>
      </c>
    </row>
    <row r="11" ht="15.6" spans="1:72">
      <c r="A11" s="53"/>
      <c r="B11" s="53"/>
      <c r="C11" s="53"/>
      <c r="D11" s="54"/>
      <c r="E11" s="55"/>
      <c r="F11" s="57"/>
      <c r="G11" s="69"/>
      <c r="H11" s="57"/>
      <c r="I11" s="57"/>
      <c r="J11" s="57"/>
      <c r="K11" s="69"/>
      <c r="L11" s="59"/>
      <c r="M11" s="60"/>
      <c r="N11" s="57"/>
      <c r="O11" s="61"/>
      <c r="P11" s="59"/>
      <c r="Q11" s="57"/>
      <c r="R11" s="57"/>
      <c r="S11" s="53"/>
      <c r="T11" s="62"/>
      <c r="U11" s="63"/>
      <c r="V11" s="63"/>
      <c r="W11" s="63"/>
      <c r="X11" s="63"/>
      <c r="Y11" s="63"/>
      <c r="Z11" s="61"/>
      <c r="AA11" s="64"/>
      <c r="AB11" s="64"/>
      <c r="AC11" s="64"/>
      <c r="AD11" s="57"/>
      <c r="AE11" s="57"/>
      <c r="AF11" s="65"/>
      <c r="AG11" s="65"/>
      <c r="AH11" s="63"/>
      <c r="AI11" s="63"/>
      <c r="AJ11" s="65"/>
      <c r="AK11" s="63"/>
      <c r="AL11" s="63"/>
      <c r="AM11" s="63"/>
      <c r="AN11" s="63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70"/>
      <c r="BT11" s="68"/>
    </row>
    <row r="12" ht="15.6" spans="1:72">
      <c r="A12" s="53"/>
      <c r="B12" s="53"/>
      <c r="C12" s="53"/>
      <c r="D12" s="54"/>
      <c r="E12" s="55"/>
      <c r="F12" s="57"/>
      <c r="G12" s="69"/>
      <c r="H12" s="57"/>
      <c r="I12" s="57"/>
      <c r="J12" s="57"/>
      <c r="K12" s="69"/>
      <c r="L12" s="59"/>
      <c r="M12" s="60"/>
      <c r="N12" s="57"/>
      <c r="O12" s="61"/>
      <c r="P12" s="59"/>
      <c r="Q12" s="57"/>
      <c r="R12" s="57"/>
      <c r="S12" s="53"/>
      <c r="T12" s="62"/>
      <c r="U12" s="63"/>
      <c r="V12" s="63"/>
      <c r="W12" s="63"/>
      <c r="X12" s="63"/>
      <c r="Y12" s="63"/>
      <c r="Z12" s="61"/>
      <c r="AA12" s="64"/>
      <c r="AB12" s="64"/>
      <c r="AC12" s="64"/>
      <c r="AD12" s="57"/>
      <c r="AE12" s="57"/>
      <c r="AF12" s="65"/>
      <c r="AG12" s="65"/>
      <c r="AH12" s="63"/>
      <c r="AI12" s="63"/>
      <c r="AJ12" s="65"/>
      <c r="AK12" s="63"/>
      <c r="AL12" s="63"/>
      <c r="AM12" s="63"/>
      <c r="AN12" s="63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70"/>
      <c r="BT12" s="68"/>
    </row>
    <row r="13" ht="15.6" spans="1:72">
      <c r="A13" s="53"/>
      <c r="B13" s="53"/>
      <c r="C13" s="53"/>
      <c r="D13" s="54"/>
      <c r="E13" s="55"/>
      <c r="F13" s="57"/>
      <c r="G13" s="69"/>
      <c r="H13" s="57"/>
      <c r="I13" s="57"/>
      <c r="J13" s="57"/>
      <c r="K13" s="69"/>
      <c r="L13" s="59"/>
      <c r="M13" s="60"/>
      <c r="N13" s="57"/>
      <c r="O13" s="61"/>
      <c r="P13" s="59"/>
      <c r="Q13" s="57"/>
      <c r="R13" s="57"/>
      <c r="S13" s="53"/>
      <c r="T13" s="62"/>
      <c r="U13" s="63"/>
      <c r="V13" s="63"/>
      <c r="W13" s="63"/>
      <c r="X13" s="63"/>
      <c r="Y13" s="63"/>
      <c r="Z13" s="61"/>
      <c r="AA13" s="64"/>
      <c r="AB13" s="64"/>
      <c r="AC13" s="64"/>
      <c r="AD13" s="57"/>
      <c r="AE13" s="57"/>
      <c r="AF13" s="65"/>
      <c r="AG13" s="65"/>
      <c r="AH13" s="63"/>
      <c r="AI13" s="63"/>
      <c r="AJ13" s="65"/>
      <c r="AK13" s="63"/>
      <c r="AL13" s="63"/>
      <c r="AM13" s="63"/>
      <c r="AN13" s="63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70"/>
      <c r="BT13" s="68"/>
    </row>
    <row r="14" ht="15.6" spans="1:72">
      <c r="A14" s="53"/>
      <c r="B14" s="53"/>
      <c r="C14" s="53"/>
      <c r="D14" s="54"/>
      <c r="E14" s="55"/>
      <c r="F14" s="57"/>
      <c r="G14" s="69"/>
      <c r="H14" s="57"/>
      <c r="I14" s="57"/>
      <c r="J14" s="57"/>
      <c r="K14" s="69"/>
      <c r="L14" s="59"/>
      <c r="M14" s="60"/>
      <c r="N14" s="57"/>
      <c r="O14" s="61"/>
      <c r="P14" s="59"/>
      <c r="Q14" s="57"/>
      <c r="R14" s="57"/>
      <c r="S14" s="53"/>
      <c r="T14" s="62"/>
      <c r="U14" s="63"/>
      <c r="V14" s="63"/>
      <c r="W14" s="63"/>
      <c r="X14" s="63"/>
      <c r="Y14" s="63"/>
      <c r="Z14" s="61"/>
      <c r="AA14" s="64"/>
      <c r="AB14" s="64"/>
      <c r="AC14" s="64"/>
      <c r="AD14" s="57"/>
      <c r="AE14" s="57"/>
      <c r="AF14" s="65"/>
      <c r="AG14" s="65"/>
      <c r="AH14" s="63"/>
      <c r="AI14" s="63"/>
      <c r="AJ14" s="65"/>
      <c r="AK14" s="63"/>
      <c r="AL14" s="63"/>
      <c r="AM14" s="63"/>
      <c r="AN14" s="63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70"/>
      <c r="BT14" s="68"/>
    </row>
    <row r="15" ht="15.6" spans="1:72">
      <c r="A15" s="53"/>
      <c r="B15" s="53"/>
      <c r="C15" s="53"/>
      <c r="D15" s="54"/>
      <c r="E15" s="55"/>
      <c r="F15" s="57"/>
      <c r="G15" s="69"/>
      <c r="H15" s="57"/>
      <c r="I15" s="57"/>
      <c r="J15" s="57"/>
      <c r="K15" s="69"/>
      <c r="L15" s="59"/>
      <c r="M15" s="60"/>
      <c r="N15" s="57"/>
      <c r="O15" s="61"/>
      <c r="P15" s="59"/>
      <c r="Q15" s="57"/>
      <c r="R15" s="57"/>
      <c r="S15" s="53"/>
      <c r="T15" s="62"/>
      <c r="U15" s="63"/>
      <c r="V15" s="63"/>
      <c r="W15" s="63"/>
      <c r="X15" s="63"/>
      <c r="Y15" s="63"/>
      <c r="Z15" s="61"/>
      <c r="AA15" s="64"/>
      <c r="AB15" s="64"/>
      <c r="AC15" s="64"/>
      <c r="AD15" s="57"/>
      <c r="AE15" s="57"/>
      <c r="AF15" s="65"/>
      <c r="AG15" s="65"/>
      <c r="AH15" s="63"/>
      <c r="AI15" s="63"/>
      <c r="AJ15" s="65"/>
      <c r="AK15" s="63"/>
      <c r="AL15" s="63"/>
      <c r="AM15" s="63"/>
      <c r="AN15" s="63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70"/>
      <c r="BT15" s="68"/>
    </row>
    <row r="16" ht="15.6" spans="1:72">
      <c r="A16" s="53"/>
      <c r="B16" s="53"/>
      <c r="C16" s="53"/>
      <c r="D16" s="54"/>
      <c r="E16" s="55"/>
      <c r="F16" s="57"/>
      <c r="G16" s="69"/>
      <c r="H16" s="57"/>
      <c r="I16" s="57"/>
      <c r="J16" s="57"/>
      <c r="K16" s="69"/>
      <c r="L16" s="59"/>
      <c r="M16" s="60"/>
      <c r="N16" s="57"/>
      <c r="O16" s="61"/>
      <c r="P16" s="59"/>
      <c r="Q16" s="57"/>
      <c r="R16" s="57"/>
      <c r="S16" s="53"/>
      <c r="T16" s="62"/>
      <c r="U16" s="63"/>
      <c r="V16" s="63"/>
      <c r="W16" s="63"/>
      <c r="X16" s="63"/>
      <c r="Y16" s="63"/>
      <c r="Z16" s="61"/>
      <c r="AA16" s="64"/>
      <c r="AB16" s="64"/>
      <c r="AC16" s="64"/>
      <c r="AD16" s="57"/>
      <c r="AE16" s="57"/>
      <c r="AF16" s="65"/>
      <c r="AG16" s="65"/>
      <c r="AH16" s="63"/>
      <c r="AI16" s="63"/>
      <c r="AJ16" s="65"/>
      <c r="AK16" s="63"/>
      <c r="AL16" s="63"/>
      <c r="AM16" s="63"/>
      <c r="AN16" s="63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70"/>
      <c r="BT16" s="68"/>
    </row>
    <row r="17" ht="15.6" spans="1:72">
      <c r="A17" s="53"/>
      <c r="B17" s="53"/>
      <c r="C17" s="53"/>
      <c r="D17" s="54"/>
      <c r="E17" s="55"/>
      <c r="F17" s="57"/>
      <c r="G17" s="69"/>
      <c r="H17" s="57"/>
      <c r="I17" s="57"/>
      <c r="J17" s="57"/>
      <c r="K17" s="69"/>
      <c r="L17" s="59"/>
      <c r="M17" s="60"/>
      <c r="N17" s="57"/>
      <c r="O17" s="61"/>
      <c r="P17" s="59"/>
      <c r="Q17" s="57"/>
      <c r="R17" s="57"/>
      <c r="S17" s="53"/>
      <c r="T17" s="62"/>
      <c r="U17" s="63"/>
      <c r="V17" s="63"/>
      <c r="W17" s="63"/>
      <c r="X17" s="63"/>
      <c r="Y17" s="63"/>
      <c r="Z17" s="61"/>
      <c r="AA17" s="64"/>
      <c r="AB17" s="64"/>
      <c r="AC17" s="64"/>
      <c r="AD17" s="57"/>
      <c r="AE17" s="57"/>
      <c r="AF17" s="65"/>
      <c r="AG17" s="65"/>
      <c r="AH17" s="63"/>
      <c r="AI17" s="63"/>
      <c r="AJ17" s="65"/>
      <c r="AK17" s="63"/>
      <c r="AL17" s="63"/>
      <c r="AM17" s="63"/>
      <c r="AN17" s="63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70"/>
      <c r="BT17" s="68"/>
    </row>
    <row r="18" ht="15.6" spans="1:72">
      <c r="A18" s="53"/>
      <c r="B18" s="53"/>
      <c r="C18" s="53"/>
      <c r="D18" s="54"/>
      <c r="E18" s="55"/>
      <c r="F18" s="57"/>
      <c r="G18" s="69"/>
      <c r="H18" s="57"/>
      <c r="I18" s="57"/>
      <c r="J18" s="57"/>
      <c r="K18" s="69"/>
      <c r="L18" s="59"/>
      <c r="M18" s="60"/>
      <c r="N18" s="57"/>
      <c r="O18" s="61"/>
      <c r="P18" s="59"/>
      <c r="Q18" s="57"/>
      <c r="R18" s="57"/>
      <c r="S18" s="53"/>
      <c r="T18" s="62"/>
      <c r="U18" s="63"/>
      <c r="V18" s="63"/>
      <c r="W18" s="63"/>
      <c r="X18" s="63"/>
      <c r="Y18" s="63"/>
      <c r="Z18" s="61"/>
      <c r="AA18" s="64"/>
      <c r="AB18" s="64"/>
      <c r="AC18" s="64"/>
      <c r="AD18" s="57"/>
      <c r="AE18" s="57"/>
      <c r="AF18" s="65"/>
      <c r="AG18" s="65"/>
      <c r="AH18" s="63"/>
      <c r="AI18" s="63"/>
      <c r="AJ18" s="65"/>
      <c r="AK18" s="63"/>
      <c r="AL18" s="63"/>
      <c r="AM18" s="63"/>
      <c r="AN18" s="63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70"/>
      <c r="BT18" s="68"/>
    </row>
    <row r="19" ht="15.6" spans="1:72">
      <c r="A19" s="53"/>
      <c r="B19" s="53"/>
      <c r="C19" s="53"/>
      <c r="D19" s="54"/>
      <c r="E19" s="55"/>
      <c r="F19" s="57"/>
      <c r="G19" s="69"/>
      <c r="H19" s="57"/>
      <c r="I19" s="57"/>
      <c r="J19" s="57"/>
      <c r="K19" s="69"/>
      <c r="L19" s="59"/>
      <c r="M19" s="60"/>
      <c r="N19" s="57"/>
      <c r="O19" s="61"/>
      <c r="P19" s="59"/>
      <c r="Q19" s="57"/>
      <c r="R19" s="57"/>
      <c r="S19" s="53"/>
      <c r="T19" s="62"/>
      <c r="U19" s="63"/>
      <c r="V19" s="63"/>
      <c r="W19" s="63"/>
      <c r="X19" s="63"/>
      <c r="Y19" s="63"/>
      <c r="Z19" s="61"/>
      <c r="AA19" s="64"/>
      <c r="AB19" s="64"/>
      <c r="AC19" s="64"/>
      <c r="AD19" s="57"/>
      <c r="AE19" s="57"/>
      <c r="AF19" s="65"/>
      <c r="AG19" s="65"/>
      <c r="AH19" s="63"/>
      <c r="AI19" s="63"/>
      <c r="AJ19" s="65"/>
      <c r="AK19" s="63"/>
      <c r="AL19" s="63"/>
      <c r="AM19" s="63"/>
      <c r="AN19" s="63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70"/>
      <c r="BT19" s="68"/>
    </row>
    <row r="20" ht="15.6" spans="1:72">
      <c r="A20" s="53"/>
      <c r="B20" s="53"/>
      <c r="C20" s="53"/>
      <c r="D20" s="54"/>
      <c r="E20" s="55"/>
      <c r="F20" s="57"/>
      <c r="G20" s="69"/>
      <c r="H20" s="57"/>
      <c r="I20" s="57"/>
      <c r="J20" s="57"/>
      <c r="K20" s="69"/>
      <c r="L20" s="59"/>
      <c r="M20" s="60"/>
      <c r="N20" s="57"/>
      <c r="O20" s="61"/>
      <c r="P20" s="59"/>
      <c r="Q20" s="57"/>
      <c r="R20" s="57"/>
      <c r="S20" s="53"/>
      <c r="T20" s="62"/>
      <c r="U20" s="63"/>
      <c r="V20" s="63"/>
      <c r="W20" s="63"/>
      <c r="X20" s="63"/>
      <c r="Y20" s="63"/>
      <c r="Z20" s="61"/>
      <c r="AA20" s="64"/>
      <c r="AB20" s="64"/>
      <c r="AC20" s="64"/>
      <c r="AD20" s="57"/>
      <c r="AE20" s="57"/>
      <c r="AF20" s="65"/>
      <c r="AG20" s="65"/>
      <c r="AH20" s="63"/>
      <c r="AI20" s="63"/>
      <c r="AJ20" s="65"/>
      <c r="AK20" s="63"/>
      <c r="AL20" s="63"/>
      <c r="AM20" s="63"/>
      <c r="AN20" s="63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70"/>
      <c r="BT20" s="68"/>
    </row>
  </sheetData>
  <conditionalFormatting sqref="M2">
    <cfRule type="cellIs" dxfId="1" priority="41" operator="lessThanOrEqual">
      <formula>0</formula>
    </cfRule>
  </conditionalFormatting>
  <conditionalFormatting sqref="M7:M20">
    <cfRule type="cellIs" dxfId="1" priority="9" operator="lessThanOrEqual">
      <formula>0</formula>
    </cfRule>
  </conditionalFormatting>
  <conditionalFormatting sqref="M9:M20">
    <cfRule type="cellIs" dxfId="1" priority="1" operator="lessThanOrEqual">
      <formula>0</formula>
    </cfRule>
  </conditionalFormatting>
  <conditionalFormatting sqref="L1:M1 Q1:R1 AA1">
    <cfRule type="cellIs" dxfId="1" priority="34" operator="lessThanOrEqual">
      <formula>0</formula>
    </cfRule>
  </conditionalFormatting>
  <conditionalFormatting sqref="L2:L20 M7:M20 AA7:AC20">
    <cfRule type="cellIs" dxfId="1" priority="96" operator="lessThanOrEqual">
      <formula>0</formula>
    </cfRule>
  </conditionalFormatting>
  <conditionalFormatting sqref="M2 AA2:AC2">
    <cfRule type="cellIs" dxfId="1" priority="25" operator="lessThanOrEqual">
      <formula>0</formula>
    </cfRule>
  </conditionalFormatting>
  <conditionalFormatting sqref="M3:M6 M10:M20 AA3:AC6 AA10:AC20">
    <cfRule type="cellIs" dxfId="1" priority="29" operator="lessThanOrEqual">
      <formula>0</formula>
    </cfRule>
  </conditionalFormatting>
  <conditionalFormatting sqref="M7:M20 AA7:AC20">
    <cfRule type="cellIs" dxfId="1" priority="8" operator="lessThanOrEqual">
      <formula>0</formula>
    </cfRule>
  </conditionalFormatting>
  <conditionalFormatting sqref="M9:M20 AA9:AC20">
    <cfRule type="cellIs" dxfId="1" priority="2" operator="lessThanOrEqual">
      <formula>0</formula>
    </cfRule>
  </conditionalFormatting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0"/>
  <sheetViews>
    <sheetView workbookViewId="0">
      <selection activeCell="A1" sqref="A1"/>
    </sheetView>
  </sheetViews>
  <sheetFormatPr defaultColWidth="17" defaultRowHeight="11.4"/>
  <cols>
    <col min="1" max="72" width="16.59375" customWidth="1"/>
  </cols>
  <sheetData>
    <row r="1" ht="62.4" spans="1:72">
      <c r="A1" s="27" t="s">
        <v>202</v>
      </c>
      <c r="B1" s="28" t="s">
        <v>0</v>
      </c>
      <c r="C1" s="28" t="s">
        <v>1</v>
      </c>
      <c r="D1" s="27" t="s">
        <v>3</v>
      </c>
      <c r="E1" s="27" t="s">
        <v>986</v>
      </c>
      <c r="F1" s="29" t="s">
        <v>987</v>
      </c>
      <c r="G1" s="30" t="s">
        <v>988</v>
      </c>
      <c r="H1" s="31" t="s">
        <v>989</v>
      </c>
      <c r="I1" s="31" t="s">
        <v>990</v>
      </c>
      <c r="J1" s="32" t="s">
        <v>571</v>
      </c>
      <c r="K1" s="33" t="s">
        <v>572</v>
      </c>
      <c r="L1" s="34" t="s">
        <v>456</v>
      </c>
      <c r="M1" s="35" t="s">
        <v>423</v>
      </c>
      <c r="N1" s="36" t="s">
        <v>575</v>
      </c>
      <c r="O1" s="37" t="s">
        <v>457</v>
      </c>
      <c r="P1" s="38" t="s">
        <v>459</v>
      </c>
      <c r="Q1" s="39" t="s">
        <v>460</v>
      </c>
      <c r="R1" s="34" t="s">
        <v>991</v>
      </c>
      <c r="S1" s="40" t="s">
        <v>9</v>
      </c>
      <c r="T1" s="27" t="s">
        <v>135</v>
      </c>
      <c r="U1" s="41" t="s">
        <v>154</v>
      </c>
      <c r="V1" s="41" t="s">
        <v>462</v>
      </c>
      <c r="W1" s="41" t="s">
        <v>463</v>
      </c>
      <c r="X1" s="42" t="s">
        <v>464</v>
      </c>
      <c r="Y1" s="42" t="s">
        <v>431</v>
      </c>
      <c r="Z1" s="41" t="s">
        <v>153</v>
      </c>
      <c r="AA1" s="43" t="s">
        <v>465</v>
      </c>
      <c r="AB1" s="43" t="s">
        <v>466</v>
      </c>
      <c r="AC1" s="43" t="s">
        <v>467</v>
      </c>
      <c r="AD1" s="43" t="s">
        <v>468</v>
      </c>
      <c r="AE1" s="44" t="s">
        <v>469</v>
      </c>
      <c r="AF1" s="45" t="s">
        <v>470</v>
      </c>
      <c r="AG1" s="44" t="s">
        <v>992</v>
      </c>
      <c r="AH1" s="46" t="s">
        <v>472</v>
      </c>
      <c r="AI1" s="46" t="s">
        <v>430</v>
      </c>
      <c r="AJ1" s="47" t="s">
        <v>471</v>
      </c>
      <c r="AK1" s="48" t="s">
        <v>993</v>
      </c>
      <c r="AL1" s="48" t="s">
        <v>586</v>
      </c>
      <c r="AM1" s="48" t="s">
        <v>123</v>
      </c>
      <c r="AN1" s="48" t="s">
        <v>587</v>
      </c>
      <c r="AO1" s="48" t="s">
        <v>588</v>
      </c>
      <c r="AP1" s="48" t="s">
        <v>589</v>
      </c>
      <c r="AQ1" s="48" t="s">
        <v>590</v>
      </c>
      <c r="AR1" s="48" t="s">
        <v>591</v>
      </c>
      <c r="AS1" s="48" t="s">
        <v>592</v>
      </c>
      <c r="AT1" s="48" t="s">
        <v>593</v>
      </c>
      <c r="AU1" s="49" t="s">
        <v>594</v>
      </c>
      <c r="AV1" s="49" t="s">
        <v>595</v>
      </c>
      <c r="AW1" s="49" t="s">
        <v>110</v>
      </c>
      <c r="AX1" s="49" t="s">
        <v>586</v>
      </c>
      <c r="AY1" s="49" t="s">
        <v>123</v>
      </c>
      <c r="AZ1" s="49" t="s">
        <v>587</v>
      </c>
      <c r="BA1" s="50" t="s">
        <v>588</v>
      </c>
      <c r="BB1" s="50" t="s">
        <v>589</v>
      </c>
      <c r="BC1" s="50" t="s">
        <v>590</v>
      </c>
      <c r="BD1" s="50" t="s">
        <v>591</v>
      </c>
      <c r="BE1" s="50" t="s">
        <v>592</v>
      </c>
      <c r="BF1" s="50" t="s">
        <v>593</v>
      </c>
      <c r="BG1" s="51" t="s">
        <v>596</v>
      </c>
      <c r="BH1" s="51" t="s">
        <v>595</v>
      </c>
      <c r="BI1" s="51" t="s">
        <v>110</v>
      </c>
      <c r="BJ1" s="51" t="s">
        <v>586</v>
      </c>
      <c r="BK1" s="51" t="s">
        <v>123</v>
      </c>
      <c r="BL1" s="51" t="s">
        <v>587</v>
      </c>
      <c r="BM1" s="46" t="s">
        <v>588</v>
      </c>
      <c r="BN1" s="46" t="s">
        <v>589</v>
      </c>
      <c r="BO1" s="46" t="s">
        <v>590</v>
      </c>
      <c r="BP1" s="46" t="s">
        <v>591</v>
      </c>
      <c r="BQ1" s="46" t="s">
        <v>592</v>
      </c>
      <c r="BR1" s="46" t="s">
        <v>593</v>
      </c>
      <c r="BS1" s="52" t="s">
        <v>597</v>
      </c>
      <c r="BT1" s="53" t="s">
        <v>598</v>
      </c>
    </row>
    <row r="2" ht="15.6" spans="1:72">
      <c r="A2" s="53" t="s">
        <v>300</v>
      </c>
      <c r="B2" s="53" t="s">
        <v>30</v>
      </c>
      <c r="C2" s="53" t="s">
        <v>31</v>
      </c>
      <c r="D2" s="54" t="s">
        <v>994</v>
      </c>
      <c r="E2" s="55" t="s">
        <v>275</v>
      </c>
      <c r="F2" s="56">
        <v>17.29</v>
      </c>
      <c r="G2" s="56">
        <v>24.92</v>
      </c>
      <c r="H2" s="57" t="e">
        <f t="shared" ref="H2:H10" si="0">INDEX(#NULL!,MATCH(1,(#NULL!=A2)*(#NULL!=C2),0))</f>
        <v>#NULL!</v>
      </c>
      <c r="I2" s="57" t="e">
        <f t="shared" ref="I2:I10" si="1">H2=J2</f>
        <v>#NULL!</v>
      </c>
      <c r="J2" s="58">
        <v>17.3</v>
      </c>
      <c r="K2" s="56">
        <v>24.99</v>
      </c>
      <c r="L2" s="59">
        <f t="shared" ref="L2:L10" si="2">J2-Q2/T2-AD2-AA2-R2-AB2-AC2</f>
        <v>3.53749673347215</v>
      </c>
      <c r="M2" s="60">
        <f t="shared" ref="M2:M10" si="3">L2/J2</f>
        <v>0.204479579969488</v>
      </c>
      <c r="N2" s="57">
        <f t="shared" ref="N2:N10" si="4">K2/1.2</f>
        <v>20.825</v>
      </c>
      <c r="O2" s="61">
        <f t="shared" ref="O2:O10" si="5">(N2-J2)/N2</f>
        <v>0.169267707082833</v>
      </c>
      <c r="P2" s="59">
        <f t="shared" ref="P2:P10" si="6">K2/1.2-J2</f>
        <v>3.525</v>
      </c>
      <c r="Q2" s="57">
        <f t="shared" ref="Q2:Q10" si="7">AF2+AG2</f>
        <v>65.4646902654867</v>
      </c>
      <c r="R2" s="57">
        <f t="shared" ref="R2:R10" si="8">IFERROR(IF(A2="UK",8.95/S2,IF(A2="DE",11.43/S2,IF(A2="FR",15.27/S2,IF(A2="IT",16.34/S2,IF(A2="ES",20.62/S2,IF(A2="NL",12/S2,IF(A2="PL",15.06/S2,IF(A2="SE",18.5/S2,IF(A2="BE",15.27/S2))))))))),0)</f>
        <v>0.559375</v>
      </c>
      <c r="S2" s="53">
        <v>16</v>
      </c>
      <c r="T2" s="62">
        <v>8.5</v>
      </c>
      <c r="U2" s="63">
        <v>0.05</v>
      </c>
      <c r="V2" s="63">
        <v>0.1</v>
      </c>
      <c r="W2" s="63">
        <v>0.01</v>
      </c>
      <c r="X2" s="63">
        <f t="shared" ref="X2:X10" si="9">Q2/(J2*T2)</f>
        <v>0.44518660500161</v>
      </c>
      <c r="Y2" s="63">
        <f t="shared" ref="Y2:Y10" si="10">R2/J2</f>
        <v>0.0323338150289017</v>
      </c>
      <c r="Z2" s="61">
        <v>0.158</v>
      </c>
      <c r="AA2" s="64">
        <f t="shared" ref="AA2:AA10" si="11">J2*U2</f>
        <v>0.865</v>
      </c>
      <c r="AB2" s="64">
        <f t="shared" ref="AB2:AB10" si="12">J2*V2</f>
        <v>1.73</v>
      </c>
      <c r="AC2" s="64">
        <f t="shared" ref="AC2:AC10" si="13">J2*W2</f>
        <v>0.173</v>
      </c>
      <c r="AD2" s="57">
        <f t="shared" ref="AD2:AD10" si="14">J2*Z2</f>
        <v>2.7334</v>
      </c>
      <c r="AE2" s="57">
        <f>61+2.5</f>
        <v>63.5</v>
      </c>
      <c r="AF2" s="65">
        <f t="shared" ref="AF2:AF10" si="15">AE2/1.13</f>
        <v>56.1946902654867</v>
      </c>
      <c r="AG2" s="62">
        <v>9.27</v>
      </c>
      <c r="AH2" s="63">
        <f t="shared" ref="AH2:AH10" si="16">AF2/(J2*T2)</f>
        <v>0.382146822614667</v>
      </c>
      <c r="AI2" s="63">
        <f t="shared" ref="AI2:AI10" si="17">AG2/T2/J2</f>
        <v>0.0630397823869432</v>
      </c>
      <c r="AJ2" s="62">
        <v>9.27</v>
      </c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6" t="s">
        <v>600</v>
      </c>
      <c r="AV2" s="66" t="s">
        <v>600</v>
      </c>
      <c r="AW2" s="66" t="s">
        <v>600</v>
      </c>
      <c r="AX2" s="66" t="s">
        <v>600</v>
      </c>
      <c r="AY2" s="66" t="s">
        <v>600</v>
      </c>
      <c r="AZ2" s="66" t="s">
        <v>600</v>
      </c>
      <c r="BA2" s="66" t="s">
        <v>600</v>
      </c>
      <c r="BB2" s="66" t="s">
        <v>600</v>
      </c>
      <c r="BC2" s="66" t="s">
        <v>600</v>
      </c>
      <c r="BD2" s="66" t="s">
        <v>600</v>
      </c>
      <c r="BE2" s="66" t="s">
        <v>600</v>
      </c>
      <c r="BF2" s="66" t="s">
        <v>600</v>
      </c>
      <c r="BG2" s="66" t="s">
        <v>600</v>
      </c>
      <c r="BH2" s="66" t="s">
        <v>600</v>
      </c>
      <c r="BI2" s="66" t="s">
        <v>600</v>
      </c>
      <c r="BJ2" s="66" t="s">
        <v>600</v>
      </c>
      <c r="BK2" s="66" t="s">
        <v>600</v>
      </c>
      <c r="BL2" s="66" t="s">
        <v>600</v>
      </c>
      <c r="BM2" s="66" t="s">
        <v>600</v>
      </c>
      <c r="BN2" s="66" t="s">
        <v>600</v>
      </c>
      <c r="BO2" s="66" t="s">
        <v>600</v>
      </c>
      <c r="BP2" s="66" t="s">
        <v>600</v>
      </c>
      <c r="BQ2" s="66" t="s">
        <v>600</v>
      </c>
      <c r="BR2" s="66" t="s">
        <v>600</v>
      </c>
      <c r="BS2" s="67"/>
      <c r="BT2" s="68" t="s">
        <v>601</v>
      </c>
    </row>
    <row r="3" ht="15.6" spans="1:72">
      <c r="A3" s="53" t="s">
        <v>277</v>
      </c>
      <c r="B3" s="53" t="s">
        <v>27</v>
      </c>
      <c r="C3" s="53" t="s">
        <v>28</v>
      </c>
      <c r="D3" s="54" t="s">
        <v>995</v>
      </c>
      <c r="E3" s="55" t="s">
        <v>275</v>
      </c>
      <c r="F3" s="56">
        <v>20.33</v>
      </c>
      <c r="G3" s="56">
        <v>29.99</v>
      </c>
      <c r="H3" s="57" t="e">
        <f t="shared" si="0"/>
        <v>#NULL!</v>
      </c>
      <c r="I3" s="57" t="e">
        <f t="shared" si="1"/>
        <v>#NULL!</v>
      </c>
      <c r="J3" s="56">
        <v>20.33</v>
      </c>
      <c r="K3" s="56">
        <v>29.99</v>
      </c>
      <c r="L3" s="59">
        <f t="shared" si="2"/>
        <v>4.43279528581679</v>
      </c>
      <c r="M3" s="60">
        <f t="shared" si="3"/>
        <v>0.218042070133634</v>
      </c>
      <c r="N3" s="57">
        <f t="shared" si="4"/>
        <v>24.9916666666667</v>
      </c>
      <c r="O3" s="61">
        <f t="shared" si="5"/>
        <v>0.186528842947649</v>
      </c>
      <c r="P3" s="59">
        <f t="shared" si="6"/>
        <v>4.66166666666667</v>
      </c>
      <c r="Q3" s="57">
        <f t="shared" si="7"/>
        <v>62.7823008849558</v>
      </c>
      <c r="R3" s="57">
        <f t="shared" si="8"/>
        <v>0.714375</v>
      </c>
      <c r="S3" s="53">
        <v>16</v>
      </c>
      <c r="T3" s="62">
        <v>7.4</v>
      </c>
      <c r="U3" s="63">
        <v>0.05</v>
      </c>
      <c r="V3" s="63">
        <v>0.1</v>
      </c>
      <c r="W3" s="63">
        <v>0.01</v>
      </c>
      <c r="X3" s="63">
        <f t="shared" si="9"/>
        <v>0.417318972660266</v>
      </c>
      <c r="Y3" s="63">
        <f t="shared" si="10"/>
        <v>0.0351389572060994</v>
      </c>
      <c r="Z3" s="61">
        <v>0.1695</v>
      </c>
      <c r="AA3" s="64">
        <f t="shared" si="11"/>
        <v>1.0165</v>
      </c>
      <c r="AB3" s="64">
        <f t="shared" si="12"/>
        <v>2.033</v>
      </c>
      <c r="AC3" s="64">
        <f t="shared" si="13"/>
        <v>0.2033</v>
      </c>
      <c r="AD3" s="57">
        <f t="shared" si="14"/>
        <v>3.445935</v>
      </c>
      <c r="AE3" s="57">
        <v>61</v>
      </c>
      <c r="AF3" s="65">
        <f t="shared" si="15"/>
        <v>53.9823008849558</v>
      </c>
      <c r="AG3" s="65">
        <v>8.8</v>
      </c>
      <c r="AH3" s="63">
        <f t="shared" si="16"/>
        <v>0.358824669207773</v>
      </c>
      <c r="AI3" s="63">
        <f t="shared" si="17"/>
        <v>0.0584943034524933</v>
      </c>
      <c r="AJ3" s="65">
        <v>8.8</v>
      </c>
      <c r="AK3" s="63"/>
      <c r="AL3" s="63"/>
      <c r="AM3" s="63"/>
      <c r="AN3" s="63"/>
      <c r="AO3" s="66"/>
      <c r="AP3" s="66"/>
      <c r="AQ3" s="66"/>
      <c r="AR3" s="66"/>
      <c r="AS3" s="66"/>
      <c r="AT3" s="66"/>
      <c r="AU3" s="66" t="s">
        <v>600</v>
      </c>
      <c r="AV3" s="66" t="s">
        <v>600</v>
      </c>
      <c r="AW3" s="66" t="s">
        <v>600</v>
      </c>
      <c r="AX3" s="66" t="s">
        <v>600</v>
      </c>
      <c r="AY3" s="66" t="s">
        <v>600</v>
      </c>
      <c r="AZ3" s="66" t="s">
        <v>600</v>
      </c>
      <c r="BA3" s="66" t="s">
        <v>600</v>
      </c>
      <c r="BB3" s="66" t="s">
        <v>600</v>
      </c>
      <c r="BC3" s="66" t="s">
        <v>600</v>
      </c>
      <c r="BD3" s="66" t="s">
        <v>600</v>
      </c>
      <c r="BE3" s="66" t="s">
        <v>600</v>
      </c>
      <c r="BF3" s="66" t="s">
        <v>600</v>
      </c>
      <c r="BG3" s="66" t="s">
        <v>600</v>
      </c>
      <c r="BH3" s="66" t="s">
        <v>600</v>
      </c>
      <c r="BI3" s="66" t="s">
        <v>600</v>
      </c>
      <c r="BJ3" s="66" t="s">
        <v>600</v>
      </c>
      <c r="BK3" s="66" t="s">
        <v>600</v>
      </c>
      <c r="BL3" s="66" t="s">
        <v>600</v>
      </c>
      <c r="BM3" s="66" t="s">
        <v>600</v>
      </c>
      <c r="BN3" s="66" t="s">
        <v>600</v>
      </c>
      <c r="BO3" s="66" t="s">
        <v>600</v>
      </c>
      <c r="BP3" s="66" t="s">
        <v>600</v>
      </c>
      <c r="BQ3" s="66" t="s">
        <v>600</v>
      </c>
      <c r="BR3" s="66" t="s">
        <v>600</v>
      </c>
      <c r="BS3" s="67"/>
      <c r="BT3" s="68" t="s">
        <v>601</v>
      </c>
    </row>
    <row r="4" ht="15.6" spans="1:72">
      <c r="A4" s="53" t="s">
        <v>511</v>
      </c>
      <c r="B4" s="53" t="s">
        <v>27</v>
      </c>
      <c r="C4" s="53" t="s">
        <v>28</v>
      </c>
      <c r="D4" s="54" t="s">
        <v>996</v>
      </c>
      <c r="E4" s="55" t="s">
        <v>275</v>
      </c>
      <c r="F4" s="56">
        <v>20.65</v>
      </c>
      <c r="G4" s="56">
        <v>29.99</v>
      </c>
      <c r="H4" s="57" t="e">
        <f t="shared" si="0"/>
        <v>#NULL!</v>
      </c>
      <c r="I4" s="57" t="e">
        <f t="shared" si="1"/>
        <v>#NULL!</v>
      </c>
      <c r="J4" s="56">
        <v>20.65</v>
      </c>
      <c r="K4" s="56">
        <v>29.99</v>
      </c>
      <c r="L4" s="59">
        <f t="shared" si="2"/>
        <v>3.81883028581679</v>
      </c>
      <c r="M4" s="60">
        <f t="shared" si="3"/>
        <v>0.184931248707835</v>
      </c>
      <c r="N4" s="57">
        <f t="shared" si="4"/>
        <v>24.9916666666667</v>
      </c>
      <c r="O4" s="61">
        <f t="shared" si="5"/>
        <v>0.173724574858286</v>
      </c>
      <c r="P4" s="59">
        <f t="shared" si="6"/>
        <v>4.34166666666667</v>
      </c>
      <c r="Q4" s="57">
        <f t="shared" si="7"/>
        <v>62.7823008849558</v>
      </c>
      <c r="R4" s="57">
        <f t="shared" si="8"/>
        <v>0.954375</v>
      </c>
      <c r="S4" s="53">
        <v>16</v>
      </c>
      <c r="T4" s="62">
        <v>7.4</v>
      </c>
      <c r="U4" s="63">
        <v>0.05</v>
      </c>
      <c r="V4" s="63">
        <v>0.1</v>
      </c>
      <c r="W4" s="63">
        <v>0.01</v>
      </c>
      <c r="X4" s="63">
        <f t="shared" si="9"/>
        <v>0.410852044270373</v>
      </c>
      <c r="Y4" s="63">
        <f t="shared" si="10"/>
        <v>0.0462167070217918</v>
      </c>
      <c r="Z4" s="61">
        <v>0.198</v>
      </c>
      <c r="AA4" s="64">
        <f t="shared" si="11"/>
        <v>1.0325</v>
      </c>
      <c r="AB4" s="64">
        <f t="shared" si="12"/>
        <v>2.065</v>
      </c>
      <c r="AC4" s="64">
        <f t="shared" si="13"/>
        <v>0.2065</v>
      </c>
      <c r="AD4" s="57">
        <f t="shared" si="14"/>
        <v>4.0887</v>
      </c>
      <c r="AE4" s="57">
        <v>61</v>
      </c>
      <c r="AF4" s="65">
        <f t="shared" si="15"/>
        <v>53.9823008849558</v>
      </c>
      <c r="AG4" s="65">
        <v>8.8</v>
      </c>
      <c r="AH4" s="63">
        <f t="shared" si="16"/>
        <v>0.35326419007235</v>
      </c>
      <c r="AI4" s="63">
        <f t="shared" si="17"/>
        <v>0.0575878541980237</v>
      </c>
      <c r="AJ4" s="65">
        <v>8.8</v>
      </c>
      <c r="AK4" s="63"/>
      <c r="AL4" s="63"/>
      <c r="AM4" s="63"/>
      <c r="AN4" s="63"/>
      <c r="AO4" s="66"/>
      <c r="AP4" s="66"/>
      <c r="AQ4" s="66"/>
      <c r="AR4" s="66"/>
      <c r="AS4" s="66"/>
      <c r="AT4" s="66"/>
      <c r="AU4" s="66" t="s">
        <v>600</v>
      </c>
      <c r="AV4" s="66" t="s">
        <v>600</v>
      </c>
      <c r="AW4" s="66" t="s">
        <v>600</v>
      </c>
      <c r="AX4" s="66" t="s">
        <v>600</v>
      </c>
      <c r="AY4" s="66" t="s">
        <v>600</v>
      </c>
      <c r="AZ4" s="66" t="s">
        <v>600</v>
      </c>
      <c r="BA4" s="66" t="s">
        <v>600</v>
      </c>
      <c r="BB4" s="66" t="s">
        <v>600</v>
      </c>
      <c r="BC4" s="66" t="s">
        <v>600</v>
      </c>
      <c r="BD4" s="66" t="s">
        <v>600</v>
      </c>
      <c r="BE4" s="66" t="s">
        <v>600</v>
      </c>
      <c r="BF4" s="66" t="s">
        <v>600</v>
      </c>
      <c r="BG4" s="66" t="s">
        <v>600</v>
      </c>
      <c r="BH4" s="66" t="s">
        <v>600</v>
      </c>
      <c r="BI4" s="66" t="s">
        <v>600</v>
      </c>
      <c r="BJ4" s="66" t="s">
        <v>600</v>
      </c>
      <c r="BK4" s="66" t="s">
        <v>600</v>
      </c>
      <c r="BL4" s="66" t="s">
        <v>600</v>
      </c>
      <c r="BM4" s="66" t="s">
        <v>600</v>
      </c>
      <c r="BN4" s="66" t="s">
        <v>600</v>
      </c>
      <c r="BO4" s="66" t="s">
        <v>600</v>
      </c>
      <c r="BP4" s="66" t="s">
        <v>600</v>
      </c>
      <c r="BQ4" s="66" t="s">
        <v>600</v>
      </c>
      <c r="BR4" s="66" t="s">
        <v>600</v>
      </c>
      <c r="BS4" s="67"/>
      <c r="BT4" s="68" t="s">
        <v>601</v>
      </c>
    </row>
    <row r="5" ht="15.6" spans="1:72">
      <c r="A5" s="53" t="s">
        <v>513</v>
      </c>
      <c r="B5" s="53" t="s">
        <v>27</v>
      </c>
      <c r="C5" s="53" t="s">
        <v>28</v>
      </c>
      <c r="D5" s="54" t="s">
        <v>997</v>
      </c>
      <c r="E5" s="55" t="s">
        <v>275</v>
      </c>
      <c r="F5" s="56">
        <v>20.99</v>
      </c>
      <c r="G5" s="56">
        <v>29.99</v>
      </c>
      <c r="H5" s="57" t="e">
        <f t="shared" si="0"/>
        <v>#NULL!</v>
      </c>
      <c r="I5" s="57" t="e">
        <f t="shared" si="1"/>
        <v>#NULL!</v>
      </c>
      <c r="J5" s="56">
        <v>20.99</v>
      </c>
      <c r="K5" s="56">
        <v>29.99</v>
      </c>
      <c r="L5" s="59">
        <f t="shared" si="2"/>
        <v>4.25150128581679</v>
      </c>
      <c r="M5" s="60">
        <f t="shared" si="3"/>
        <v>0.202548894036055</v>
      </c>
      <c r="N5" s="57">
        <f t="shared" si="4"/>
        <v>24.9916666666667</v>
      </c>
      <c r="O5" s="61">
        <f t="shared" si="5"/>
        <v>0.160120040013338</v>
      </c>
      <c r="P5" s="59">
        <f t="shared" si="6"/>
        <v>4.00166666666667</v>
      </c>
      <c r="Q5" s="57">
        <f t="shared" si="7"/>
        <v>62.7823008849558</v>
      </c>
      <c r="R5" s="57">
        <f t="shared" si="8"/>
        <v>1.02125</v>
      </c>
      <c r="S5" s="53">
        <v>16</v>
      </c>
      <c r="T5" s="62">
        <v>7.4</v>
      </c>
      <c r="U5" s="63">
        <v>0.05</v>
      </c>
      <c r="V5" s="63">
        <v>0.1</v>
      </c>
      <c r="W5" s="63">
        <v>0.01</v>
      </c>
      <c r="X5" s="63">
        <f t="shared" si="9"/>
        <v>0.404196984953941</v>
      </c>
      <c r="Y5" s="63">
        <f t="shared" si="10"/>
        <v>0.0486541210100048</v>
      </c>
      <c r="Z5" s="61">
        <v>0.1846</v>
      </c>
      <c r="AA5" s="64">
        <f t="shared" si="11"/>
        <v>1.0495</v>
      </c>
      <c r="AB5" s="64">
        <f t="shared" si="12"/>
        <v>2.099</v>
      </c>
      <c r="AC5" s="64">
        <f t="shared" si="13"/>
        <v>0.2099</v>
      </c>
      <c r="AD5" s="57">
        <f t="shared" si="14"/>
        <v>3.874754</v>
      </c>
      <c r="AE5" s="57">
        <v>61</v>
      </c>
      <c r="AF5" s="65">
        <f t="shared" si="15"/>
        <v>53.9823008849558</v>
      </c>
      <c r="AG5" s="65">
        <v>8.8</v>
      </c>
      <c r="AH5" s="63">
        <f t="shared" si="16"/>
        <v>0.347541949737686</v>
      </c>
      <c r="AI5" s="63">
        <f t="shared" si="17"/>
        <v>0.0566550352162549</v>
      </c>
      <c r="AJ5" s="65">
        <v>8.8</v>
      </c>
      <c r="AK5" s="60"/>
      <c r="AL5" s="60"/>
      <c r="AM5" s="60"/>
      <c r="AN5" s="60"/>
      <c r="AO5" s="66"/>
      <c r="AP5" s="66"/>
      <c r="AQ5" s="66"/>
      <c r="AR5" s="66"/>
      <c r="AS5" s="66"/>
      <c r="AT5" s="66"/>
      <c r="AU5" s="66" t="s">
        <v>600</v>
      </c>
      <c r="AV5" s="66" t="s">
        <v>600</v>
      </c>
      <c r="AW5" s="66" t="s">
        <v>600</v>
      </c>
      <c r="AX5" s="66" t="s">
        <v>600</v>
      </c>
      <c r="AY5" s="66" t="s">
        <v>600</v>
      </c>
      <c r="AZ5" s="66" t="s">
        <v>600</v>
      </c>
      <c r="BA5" s="66" t="s">
        <v>600</v>
      </c>
      <c r="BB5" s="66" t="s">
        <v>600</v>
      </c>
      <c r="BC5" s="66" t="s">
        <v>600</v>
      </c>
      <c r="BD5" s="66" t="s">
        <v>600</v>
      </c>
      <c r="BE5" s="66" t="s">
        <v>600</v>
      </c>
      <c r="BF5" s="66" t="s">
        <v>600</v>
      </c>
      <c r="BG5" s="66" t="s">
        <v>600</v>
      </c>
      <c r="BH5" s="66" t="s">
        <v>600</v>
      </c>
      <c r="BI5" s="66" t="s">
        <v>600</v>
      </c>
      <c r="BJ5" s="66" t="s">
        <v>600</v>
      </c>
      <c r="BK5" s="66" t="s">
        <v>600</v>
      </c>
      <c r="BL5" s="66" t="s">
        <v>600</v>
      </c>
      <c r="BM5" s="66" t="s">
        <v>600</v>
      </c>
      <c r="BN5" s="66" t="s">
        <v>600</v>
      </c>
      <c r="BO5" s="66" t="s">
        <v>600</v>
      </c>
      <c r="BP5" s="66" t="s">
        <v>600</v>
      </c>
      <c r="BQ5" s="66" t="s">
        <v>600</v>
      </c>
      <c r="BR5" s="66" t="s">
        <v>600</v>
      </c>
      <c r="BS5" s="67"/>
      <c r="BT5" s="68" t="s">
        <v>601</v>
      </c>
    </row>
    <row r="6" ht="15.6" spans="1:72">
      <c r="A6" s="53" t="s">
        <v>516</v>
      </c>
      <c r="B6" s="53" t="s">
        <v>27</v>
      </c>
      <c r="C6" s="53" t="s">
        <v>28</v>
      </c>
      <c r="D6" s="54" t="s">
        <v>998</v>
      </c>
      <c r="E6" s="55" t="s">
        <v>275</v>
      </c>
      <c r="F6" s="56">
        <v>20.99</v>
      </c>
      <c r="G6" s="56">
        <v>29.99</v>
      </c>
      <c r="H6" s="57" t="e">
        <f t="shared" si="0"/>
        <v>#NULL!</v>
      </c>
      <c r="I6" s="57" t="e">
        <f t="shared" si="1"/>
        <v>#NULL!</v>
      </c>
      <c r="J6" s="56">
        <v>20.99</v>
      </c>
      <c r="K6" s="56">
        <v>29.99</v>
      </c>
      <c r="L6" s="59">
        <f t="shared" si="2"/>
        <v>4.40380128581679</v>
      </c>
      <c r="M6" s="60">
        <f t="shared" si="3"/>
        <v>0.209804730148489</v>
      </c>
      <c r="N6" s="57">
        <f t="shared" si="4"/>
        <v>24.9916666666667</v>
      </c>
      <c r="O6" s="61">
        <f t="shared" si="5"/>
        <v>0.160120040013338</v>
      </c>
      <c r="P6" s="59">
        <f t="shared" si="6"/>
        <v>4.00166666666667</v>
      </c>
      <c r="Q6" s="57">
        <f t="shared" si="7"/>
        <v>62.7823008849558</v>
      </c>
      <c r="R6" s="57">
        <f t="shared" si="8"/>
        <v>1.28875</v>
      </c>
      <c r="S6" s="53">
        <v>16</v>
      </c>
      <c r="T6" s="62">
        <v>7.4</v>
      </c>
      <c r="U6" s="63">
        <v>0.05</v>
      </c>
      <c r="V6" s="63">
        <v>0.1</v>
      </c>
      <c r="W6" s="63">
        <v>0.01</v>
      </c>
      <c r="X6" s="63">
        <f t="shared" si="9"/>
        <v>0.404196984953941</v>
      </c>
      <c r="Y6" s="63">
        <f t="shared" si="10"/>
        <v>0.0613982848975703</v>
      </c>
      <c r="Z6" s="61">
        <v>0.1646</v>
      </c>
      <c r="AA6" s="64">
        <f t="shared" si="11"/>
        <v>1.0495</v>
      </c>
      <c r="AB6" s="64">
        <f t="shared" si="12"/>
        <v>2.099</v>
      </c>
      <c r="AC6" s="64">
        <f t="shared" si="13"/>
        <v>0.2099</v>
      </c>
      <c r="AD6" s="57">
        <f t="shared" si="14"/>
        <v>3.454954</v>
      </c>
      <c r="AE6" s="57">
        <v>61</v>
      </c>
      <c r="AF6" s="65">
        <f t="shared" si="15"/>
        <v>53.9823008849558</v>
      </c>
      <c r="AG6" s="65">
        <v>8.8</v>
      </c>
      <c r="AH6" s="63">
        <f t="shared" si="16"/>
        <v>0.347541949737686</v>
      </c>
      <c r="AI6" s="63">
        <f t="shared" si="17"/>
        <v>0.0566550352162549</v>
      </c>
      <c r="AJ6" s="65">
        <v>8.8</v>
      </c>
      <c r="AK6" s="63"/>
      <c r="AL6" s="63"/>
      <c r="AM6" s="63"/>
      <c r="AN6" s="63"/>
      <c r="AO6" s="66"/>
      <c r="AP6" s="66"/>
      <c r="AQ6" s="66"/>
      <c r="AR6" s="66"/>
      <c r="AS6" s="66"/>
      <c r="AT6" s="66"/>
      <c r="AU6" s="66" t="s">
        <v>600</v>
      </c>
      <c r="AV6" s="66" t="s">
        <v>600</v>
      </c>
      <c r="AW6" s="66" t="s">
        <v>600</v>
      </c>
      <c r="AX6" s="66" t="s">
        <v>600</v>
      </c>
      <c r="AY6" s="66" t="s">
        <v>600</v>
      </c>
      <c r="AZ6" s="66" t="s">
        <v>600</v>
      </c>
      <c r="BA6" s="66" t="s">
        <v>600</v>
      </c>
      <c r="BB6" s="66" t="s">
        <v>600</v>
      </c>
      <c r="BC6" s="66" t="s">
        <v>600</v>
      </c>
      <c r="BD6" s="66" t="s">
        <v>600</v>
      </c>
      <c r="BE6" s="66" t="s">
        <v>600</v>
      </c>
      <c r="BF6" s="66" t="s">
        <v>600</v>
      </c>
      <c r="BG6" s="66" t="s">
        <v>600</v>
      </c>
      <c r="BH6" s="66" t="s">
        <v>600</v>
      </c>
      <c r="BI6" s="66" t="s">
        <v>600</v>
      </c>
      <c r="BJ6" s="66" t="s">
        <v>600</v>
      </c>
      <c r="BK6" s="66" t="s">
        <v>600</v>
      </c>
      <c r="BL6" s="66" t="s">
        <v>600</v>
      </c>
      <c r="BM6" s="66" t="s">
        <v>600</v>
      </c>
      <c r="BN6" s="66" t="s">
        <v>600</v>
      </c>
      <c r="BO6" s="66" t="s">
        <v>600</v>
      </c>
      <c r="BP6" s="66" t="s">
        <v>600</v>
      </c>
      <c r="BQ6" s="66" t="s">
        <v>600</v>
      </c>
      <c r="BR6" s="66" t="s">
        <v>600</v>
      </c>
      <c r="BS6" s="67"/>
      <c r="BT6" s="68" t="s">
        <v>601</v>
      </c>
    </row>
    <row r="7" ht="15.6" spans="1:72">
      <c r="A7" s="53" t="s">
        <v>605</v>
      </c>
      <c r="B7" s="53" t="s">
        <v>27</v>
      </c>
      <c r="C7" s="53" t="s">
        <v>28</v>
      </c>
      <c r="D7" s="54" t="s">
        <v>999</v>
      </c>
      <c r="E7" s="55" t="s">
        <v>275</v>
      </c>
      <c r="F7" s="57">
        <v>48</v>
      </c>
      <c r="G7" s="69">
        <v>66.99</v>
      </c>
      <c r="H7" s="57" t="e">
        <f t="shared" si="0"/>
        <v>#NULL!</v>
      </c>
      <c r="I7" s="57" t="e">
        <f t="shared" si="1"/>
        <v>#NULL!</v>
      </c>
      <c r="J7" s="57">
        <v>22</v>
      </c>
      <c r="K7" s="69">
        <v>35</v>
      </c>
      <c r="L7" s="59">
        <f t="shared" si="2"/>
        <v>5.76990528581679</v>
      </c>
      <c r="M7" s="60">
        <f t="shared" si="3"/>
        <v>0.262268422082581</v>
      </c>
      <c r="N7" s="57">
        <f t="shared" si="4"/>
        <v>29.1666666666667</v>
      </c>
      <c r="O7" s="61">
        <f t="shared" si="5"/>
        <v>0.245714285714286</v>
      </c>
      <c r="P7" s="59">
        <f t="shared" si="6"/>
        <v>7.16666666666667</v>
      </c>
      <c r="Q7" s="57">
        <f t="shared" si="7"/>
        <v>62.7823008849558</v>
      </c>
      <c r="R7" s="57">
        <f t="shared" si="8"/>
        <v>0.75</v>
      </c>
      <c r="S7" s="53">
        <v>16</v>
      </c>
      <c r="T7" s="62">
        <v>7.4</v>
      </c>
      <c r="U7" s="63">
        <v>0.05</v>
      </c>
      <c r="V7" s="63">
        <v>0.1</v>
      </c>
      <c r="W7" s="63">
        <v>0.01</v>
      </c>
      <c r="X7" s="63">
        <f t="shared" si="9"/>
        <v>0.38564066882651</v>
      </c>
      <c r="Y7" s="63">
        <f t="shared" si="10"/>
        <v>0.0340909090909091</v>
      </c>
      <c r="Z7" s="61">
        <v>0.158</v>
      </c>
      <c r="AA7" s="64">
        <f t="shared" si="11"/>
        <v>1.1</v>
      </c>
      <c r="AB7" s="64">
        <f t="shared" si="12"/>
        <v>2.2</v>
      </c>
      <c r="AC7" s="64">
        <f t="shared" si="13"/>
        <v>0.22</v>
      </c>
      <c r="AD7" s="57">
        <f t="shared" si="14"/>
        <v>3.476</v>
      </c>
      <c r="AE7" s="57">
        <v>61</v>
      </c>
      <c r="AF7" s="65">
        <f t="shared" si="15"/>
        <v>53.9823008849558</v>
      </c>
      <c r="AG7" s="65">
        <v>8.8</v>
      </c>
      <c r="AH7" s="63">
        <f t="shared" si="16"/>
        <v>0.331586614772455</v>
      </c>
      <c r="AI7" s="63">
        <f t="shared" si="17"/>
        <v>0.0540540540540541</v>
      </c>
      <c r="AJ7" s="65">
        <v>8.8</v>
      </c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 t="s">
        <v>600</v>
      </c>
      <c r="AV7" s="66" t="s">
        <v>600</v>
      </c>
      <c r="AW7" s="66" t="s">
        <v>600</v>
      </c>
      <c r="AX7" s="66" t="s">
        <v>600</v>
      </c>
      <c r="AY7" s="66" t="s">
        <v>600</v>
      </c>
      <c r="AZ7" s="66" t="s">
        <v>600</v>
      </c>
      <c r="BA7" s="66" t="s">
        <v>600</v>
      </c>
      <c r="BB7" s="66" t="s">
        <v>600</v>
      </c>
      <c r="BC7" s="66" t="s">
        <v>600</v>
      </c>
      <c r="BD7" s="66" t="s">
        <v>600</v>
      </c>
      <c r="BE7" s="66" t="s">
        <v>600</v>
      </c>
      <c r="BF7" s="66" t="s">
        <v>600</v>
      </c>
      <c r="BG7" s="66" t="s">
        <v>600</v>
      </c>
      <c r="BH7" s="66" t="s">
        <v>600</v>
      </c>
      <c r="BI7" s="66" t="s">
        <v>600</v>
      </c>
      <c r="BJ7" s="66" t="s">
        <v>600</v>
      </c>
      <c r="BK7" s="66" t="s">
        <v>600</v>
      </c>
      <c r="BL7" s="66" t="s">
        <v>600</v>
      </c>
      <c r="BM7" s="66" t="s">
        <v>600</v>
      </c>
      <c r="BN7" s="66" t="s">
        <v>600</v>
      </c>
      <c r="BO7" s="66" t="s">
        <v>600</v>
      </c>
      <c r="BP7" s="66" t="s">
        <v>600</v>
      </c>
      <c r="BQ7" s="66" t="s">
        <v>600</v>
      </c>
      <c r="BR7" s="66" t="s">
        <v>600</v>
      </c>
      <c r="BS7" s="70" t="e">
        <f>IF(H7&lt;J7,1,0)</f>
        <v>#NULL!</v>
      </c>
      <c r="BT7" s="68" t="s">
        <v>601</v>
      </c>
    </row>
    <row r="8" ht="15.6" spans="1:72">
      <c r="A8" s="53" t="s">
        <v>607</v>
      </c>
      <c r="B8" s="53" t="s">
        <v>27</v>
      </c>
      <c r="C8" s="53" t="s">
        <v>28</v>
      </c>
      <c r="D8" s="54" t="s">
        <v>1000</v>
      </c>
      <c r="E8" s="55" t="s">
        <v>275</v>
      </c>
      <c r="F8" s="57">
        <v>209.99</v>
      </c>
      <c r="G8" s="69">
        <v>329</v>
      </c>
      <c r="H8" s="57" t="e">
        <f t="shared" si="0"/>
        <v>#NULL!</v>
      </c>
      <c r="I8" s="57" t="e">
        <f t="shared" si="1"/>
        <v>#NULL!</v>
      </c>
      <c r="J8" s="57">
        <v>99</v>
      </c>
      <c r="K8" s="69">
        <v>168</v>
      </c>
      <c r="L8" s="59">
        <f t="shared" si="2"/>
        <v>27.3378119469027</v>
      </c>
      <c r="M8" s="60">
        <f t="shared" si="3"/>
        <v>0.276139514615178</v>
      </c>
      <c r="N8" s="57">
        <f t="shared" si="4"/>
        <v>140</v>
      </c>
      <c r="O8" s="61">
        <f t="shared" si="5"/>
        <v>0.292857142857143</v>
      </c>
      <c r="P8" s="59">
        <f t="shared" si="6"/>
        <v>41</v>
      </c>
      <c r="Q8" s="57">
        <f t="shared" si="7"/>
        <v>62.7823008849558</v>
      </c>
      <c r="R8" s="57">
        <f t="shared" si="8"/>
        <v>0.94125</v>
      </c>
      <c r="S8" s="53">
        <v>16</v>
      </c>
      <c r="T8" s="62">
        <v>1.6</v>
      </c>
      <c r="U8" s="63">
        <v>0.05</v>
      </c>
      <c r="V8" s="63">
        <v>0.1</v>
      </c>
      <c r="W8" s="63">
        <v>0.01</v>
      </c>
      <c r="X8" s="63">
        <f t="shared" si="9"/>
        <v>0.396352909627246</v>
      </c>
      <c r="Y8" s="63">
        <f t="shared" si="10"/>
        <v>0.00950757575757576</v>
      </c>
      <c r="Z8" s="61">
        <v>0.158</v>
      </c>
      <c r="AA8" s="64">
        <f t="shared" si="11"/>
        <v>4.95</v>
      </c>
      <c r="AB8" s="64">
        <f t="shared" si="12"/>
        <v>9.9</v>
      </c>
      <c r="AC8" s="64">
        <f t="shared" si="13"/>
        <v>0.99</v>
      </c>
      <c r="AD8" s="57">
        <f t="shared" si="14"/>
        <v>15.642</v>
      </c>
      <c r="AE8" s="57">
        <v>61</v>
      </c>
      <c r="AF8" s="65">
        <f t="shared" si="15"/>
        <v>53.9823008849558</v>
      </c>
      <c r="AG8" s="65">
        <v>8.8</v>
      </c>
      <c r="AH8" s="63">
        <f t="shared" si="16"/>
        <v>0.34079735407169</v>
      </c>
      <c r="AI8" s="63">
        <f t="shared" si="17"/>
        <v>0.0555555555555556</v>
      </c>
      <c r="AJ8" s="65">
        <v>8.8</v>
      </c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 t="s">
        <v>600</v>
      </c>
      <c r="AV8" s="66" t="s">
        <v>600</v>
      </c>
      <c r="AW8" s="66" t="s">
        <v>600</v>
      </c>
      <c r="AX8" s="66" t="s">
        <v>600</v>
      </c>
      <c r="AY8" s="66" t="s">
        <v>600</v>
      </c>
      <c r="AZ8" s="66" t="s">
        <v>600</v>
      </c>
      <c r="BA8" s="66" t="s">
        <v>600</v>
      </c>
      <c r="BB8" s="66" t="s">
        <v>600</v>
      </c>
      <c r="BC8" s="66" t="s">
        <v>600</v>
      </c>
      <c r="BD8" s="66" t="s">
        <v>600</v>
      </c>
      <c r="BE8" s="66" t="s">
        <v>600</v>
      </c>
      <c r="BF8" s="66" t="s">
        <v>600</v>
      </c>
      <c r="BG8" s="66" t="s">
        <v>600</v>
      </c>
      <c r="BH8" s="66" t="s">
        <v>600</v>
      </c>
      <c r="BI8" s="66" t="s">
        <v>600</v>
      </c>
      <c r="BJ8" s="66" t="s">
        <v>600</v>
      </c>
      <c r="BK8" s="66" t="s">
        <v>600</v>
      </c>
      <c r="BL8" s="66" t="s">
        <v>600</v>
      </c>
      <c r="BM8" s="66" t="s">
        <v>600</v>
      </c>
      <c r="BN8" s="66" t="s">
        <v>600</v>
      </c>
      <c r="BO8" s="66" t="s">
        <v>600</v>
      </c>
      <c r="BP8" s="66" t="s">
        <v>600</v>
      </c>
      <c r="BQ8" s="66" t="s">
        <v>600</v>
      </c>
      <c r="BR8" s="66" t="s">
        <v>600</v>
      </c>
      <c r="BS8" s="70" t="e">
        <f>IF(H8&lt;J8,1,0)</f>
        <v>#NULL!</v>
      </c>
      <c r="BT8" s="68" t="s">
        <v>601</v>
      </c>
    </row>
    <row r="9" ht="15.6" spans="1:72">
      <c r="A9" s="53" t="s">
        <v>609</v>
      </c>
      <c r="B9" s="53" t="s">
        <v>27</v>
      </c>
      <c r="C9" s="53" t="s">
        <v>28</v>
      </c>
      <c r="D9" s="54" t="s">
        <v>1001</v>
      </c>
      <c r="E9" s="55" t="s">
        <v>275</v>
      </c>
      <c r="F9" s="57">
        <v>474.5115</v>
      </c>
      <c r="G9" s="69">
        <v>720.76</v>
      </c>
      <c r="H9" s="57" t="e">
        <f t="shared" si="0"/>
        <v>#NULL!</v>
      </c>
      <c r="I9" s="57" t="e">
        <f t="shared" si="1"/>
        <v>#NULL!</v>
      </c>
      <c r="J9" s="57">
        <v>270</v>
      </c>
      <c r="K9" s="69">
        <v>538</v>
      </c>
      <c r="L9" s="59">
        <f t="shared" si="2"/>
        <v>60.796581858407</v>
      </c>
      <c r="M9" s="60">
        <f t="shared" si="3"/>
        <v>0.225172525401508</v>
      </c>
      <c r="N9" s="57">
        <f t="shared" si="4"/>
        <v>448.333333333333</v>
      </c>
      <c r="O9" s="61">
        <f t="shared" si="5"/>
        <v>0.397769516728625</v>
      </c>
      <c r="P9" s="59">
        <f t="shared" si="6"/>
        <v>178.333333333333</v>
      </c>
      <c r="Q9" s="57">
        <f t="shared" si="7"/>
        <v>62.7823008849558</v>
      </c>
      <c r="R9" s="57">
        <f t="shared" si="8"/>
        <v>1.15625</v>
      </c>
      <c r="S9" s="53">
        <v>16</v>
      </c>
      <c r="T9" s="62">
        <v>0.6</v>
      </c>
      <c r="U9" s="63">
        <v>0.05</v>
      </c>
      <c r="V9" s="63">
        <v>0.1</v>
      </c>
      <c r="W9" s="63">
        <v>0.01</v>
      </c>
      <c r="X9" s="63">
        <f t="shared" si="9"/>
        <v>0.387545067191085</v>
      </c>
      <c r="Y9" s="63">
        <f t="shared" si="10"/>
        <v>0.00428240740740741</v>
      </c>
      <c r="Z9" s="61">
        <v>0.223</v>
      </c>
      <c r="AA9" s="64">
        <f t="shared" si="11"/>
        <v>13.5</v>
      </c>
      <c r="AB9" s="64">
        <f t="shared" si="12"/>
        <v>27</v>
      </c>
      <c r="AC9" s="64">
        <f t="shared" si="13"/>
        <v>2.7</v>
      </c>
      <c r="AD9" s="57">
        <f t="shared" si="14"/>
        <v>60.21</v>
      </c>
      <c r="AE9" s="57">
        <v>61</v>
      </c>
      <c r="AF9" s="65">
        <f t="shared" si="15"/>
        <v>53.9823008849558</v>
      </c>
      <c r="AG9" s="65">
        <v>8.8</v>
      </c>
      <c r="AH9" s="63">
        <f t="shared" si="16"/>
        <v>0.333224079536764</v>
      </c>
      <c r="AI9" s="63">
        <f t="shared" si="17"/>
        <v>0.054320987654321</v>
      </c>
      <c r="AJ9" s="65">
        <v>8.8</v>
      </c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 t="s">
        <v>600</v>
      </c>
      <c r="AV9" s="66" t="s">
        <v>600</v>
      </c>
      <c r="AW9" s="66" t="s">
        <v>600</v>
      </c>
      <c r="AX9" s="66" t="s">
        <v>600</v>
      </c>
      <c r="AY9" s="66" t="s">
        <v>600</v>
      </c>
      <c r="AZ9" s="66" t="s">
        <v>600</v>
      </c>
      <c r="BA9" s="66" t="s">
        <v>600</v>
      </c>
      <c r="BB9" s="66" t="s">
        <v>600</v>
      </c>
      <c r="BC9" s="66" t="s">
        <v>600</v>
      </c>
      <c r="BD9" s="66" t="s">
        <v>600</v>
      </c>
      <c r="BE9" s="66" t="s">
        <v>600</v>
      </c>
      <c r="BF9" s="66" t="s">
        <v>600</v>
      </c>
      <c r="BG9" s="66" t="s">
        <v>600</v>
      </c>
      <c r="BH9" s="66" t="s">
        <v>600</v>
      </c>
      <c r="BI9" s="66" t="s">
        <v>600</v>
      </c>
      <c r="BJ9" s="66" t="s">
        <v>600</v>
      </c>
      <c r="BK9" s="66" t="s">
        <v>600</v>
      </c>
      <c r="BL9" s="66" t="s">
        <v>600</v>
      </c>
      <c r="BM9" s="66" t="s">
        <v>600</v>
      </c>
      <c r="BN9" s="66" t="s">
        <v>600</v>
      </c>
      <c r="BO9" s="66" t="s">
        <v>600</v>
      </c>
      <c r="BP9" s="66" t="s">
        <v>600</v>
      </c>
      <c r="BQ9" s="66" t="s">
        <v>600</v>
      </c>
      <c r="BR9" s="66" t="s">
        <v>600</v>
      </c>
      <c r="BS9" s="70" t="e">
        <f>IF(H9&lt;J9,1,0)</f>
        <v>#NULL!</v>
      </c>
      <c r="BT9" s="68" t="s">
        <v>601</v>
      </c>
    </row>
    <row r="10" ht="15.6" spans="1:72">
      <c r="A10" s="53" t="s">
        <v>611</v>
      </c>
      <c r="B10" s="53" t="s">
        <v>27</v>
      </c>
      <c r="C10" s="53" t="s">
        <v>28</v>
      </c>
      <c r="D10" s="54" t="s">
        <v>1002</v>
      </c>
      <c r="E10" s="55" t="s">
        <v>275</v>
      </c>
      <c r="F10" s="57">
        <f>G10*0.7</f>
        <v>23.0923</v>
      </c>
      <c r="G10" s="69">
        <v>32.989</v>
      </c>
      <c r="H10" s="57" t="e">
        <f t="shared" si="0"/>
        <v>#NULL!</v>
      </c>
      <c r="I10" s="57" t="e">
        <f t="shared" si="1"/>
        <v>#NULL!</v>
      </c>
      <c r="J10" s="57">
        <v>23.09</v>
      </c>
      <c r="K10" s="69">
        <v>32.989</v>
      </c>
      <c r="L10" s="59">
        <f t="shared" si="2"/>
        <v>6.07801028581679</v>
      </c>
      <c r="M10" s="60">
        <f t="shared" si="3"/>
        <v>0.263231281325976</v>
      </c>
      <c r="N10" s="57">
        <f t="shared" si="4"/>
        <v>27.4908333333333</v>
      </c>
      <c r="O10" s="61">
        <f t="shared" si="5"/>
        <v>0.16008366425172</v>
      </c>
      <c r="P10" s="59">
        <f t="shared" si="6"/>
        <v>4.40083333333333</v>
      </c>
      <c r="Q10" s="57">
        <f t="shared" si="7"/>
        <v>62.7823008849558</v>
      </c>
      <c r="R10" s="57">
        <f t="shared" si="8"/>
        <v>0.954375</v>
      </c>
      <c r="S10" s="53">
        <v>16</v>
      </c>
      <c r="T10" s="62">
        <v>7.4</v>
      </c>
      <c r="U10" s="63">
        <v>0.06</v>
      </c>
      <c r="V10" s="63">
        <v>0.1</v>
      </c>
      <c r="W10" s="63">
        <v>0.01</v>
      </c>
      <c r="X10" s="63">
        <f t="shared" si="9"/>
        <v>0.367435890609927</v>
      </c>
      <c r="Y10" s="63">
        <f t="shared" si="10"/>
        <v>0.041332828064097</v>
      </c>
      <c r="Z10" s="61">
        <v>0.158</v>
      </c>
      <c r="AA10" s="64">
        <f t="shared" si="11"/>
        <v>1.3854</v>
      </c>
      <c r="AB10" s="64">
        <f t="shared" si="12"/>
        <v>2.309</v>
      </c>
      <c r="AC10" s="64">
        <f t="shared" si="13"/>
        <v>0.2309</v>
      </c>
      <c r="AD10" s="57">
        <f t="shared" si="14"/>
        <v>3.64822</v>
      </c>
      <c r="AE10" s="57">
        <v>61</v>
      </c>
      <c r="AF10" s="65">
        <f t="shared" si="15"/>
        <v>53.9823008849558</v>
      </c>
      <c r="AG10" s="65">
        <v>8.8</v>
      </c>
      <c r="AH10" s="63">
        <f t="shared" si="16"/>
        <v>0.315933543741621</v>
      </c>
      <c r="AI10" s="63">
        <f t="shared" si="17"/>
        <v>0.0515023468683062</v>
      </c>
      <c r="AJ10" s="65">
        <v>8.8</v>
      </c>
      <c r="AK10" s="63"/>
      <c r="AL10" s="63"/>
      <c r="AM10" s="63"/>
      <c r="AN10" s="63"/>
      <c r="AO10" s="66"/>
      <c r="AP10" s="66"/>
      <c r="AQ10" s="66"/>
      <c r="AR10" s="66"/>
      <c r="AS10" s="66"/>
      <c r="AT10" s="66"/>
      <c r="AU10" s="66" t="s">
        <v>600</v>
      </c>
      <c r="AV10" s="66" t="s">
        <v>600</v>
      </c>
      <c r="AW10" s="66" t="s">
        <v>600</v>
      </c>
      <c r="AX10" s="66" t="s">
        <v>600</v>
      </c>
      <c r="AY10" s="66" t="s">
        <v>600</v>
      </c>
      <c r="AZ10" s="66" t="s">
        <v>600</v>
      </c>
      <c r="BA10" s="66" t="s">
        <v>600</v>
      </c>
      <c r="BB10" s="66" t="s">
        <v>600</v>
      </c>
      <c r="BC10" s="66" t="s">
        <v>600</v>
      </c>
      <c r="BD10" s="66" t="s">
        <v>600</v>
      </c>
      <c r="BE10" s="66" t="s">
        <v>600</v>
      </c>
      <c r="BF10" s="66" t="s">
        <v>600</v>
      </c>
      <c r="BG10" s="66" t="s">
        <v>600</v>
      </c>
      <c r="BH10" s="66" t="s">
        <v>600</v>
      </c>
      <c r="BI10" s="66" t="s">
        <v>600</v>
      </c>
      <c r="BJ10" s="66" t="s">
        <v>600</v>
      </c>
      <c r="BK10" s="66" t="s">
        <v>600</v>
      </c>
      <c r="BL10" s="66" t="s">
        <v>600</v>
      </c>
      <c r="BM10" s="66" t="s">
        <v>600</v>
      </c>
      <c r="BN10" s="66" t="s">
        <v>600</v>
      </c>
      <c r="BO10" s="66" t="s">
        <v>600</v>
      </c>
      <c r="BP10" s="66" t="s">
        <v>600</v>
      </c>
      <c r="BQ10" s="66" t="s">
        <v>600</v>
      </c>
      <c r="BR10" s="66" t="s">
        <v>600</v>
      </c>
      <c r="BS10" s="70" t="e">
        <f>IF(H10&lt;J10,1,0)</f>
        <v>#NULL!</v>
      </c>
      <c r="BT10" s="68" t="s">
        <v>601</v>
      </c>
    </row>
    <row r="11" ht="15.6" spans="1:72">
      <c r="A11" s="53"/>
      <c r="B11" s="53"/>
      <c r="C11" s="53"/>
      <c r="D11" s="54"/>
      <c r="E11" s="55"/>
      <c r="F11" s="57"/>
      <c r="G11" s="69"/>
      <c r="H11" s="57"/>
      <c r="I11" s="57"/>
      <c r="J11" s="57"/>
      <c r="K11" s="69"/>
      <c r="L11" s="59"/>
      <c r="M11" s="60"/>
      <c r="N11" s="57"/>
      <c r="O11" s="61"/>
      <c r="P11" s="59"/>
      <c r="Q11" s="57"/>
      <c r="R11" s="57"/>
      <c r="S11" s="53"/>
      <c r="T11" s="62"/>
      <c r="U11" s="63"/>
      <c r="V11" s="63"/>
      <c r="W11" s="63"/>
      <c r="X11" s="63"/>
      <c r="Y11" s="63"/>
      <c r="Z11" s="61"/>
      <c r="AA11" s="64"/>
      <c r="AB11" s="64"/>
      <c r="AC11" s="64"/>
      <c r="AD11" s="57"/>
      <c r="AE11" s="57"/>
      <c r="AF11" s="65"/>
      <c r="AG11" s="65"/>
      <c r="AH11" s="63"/>
      <c r="AI11" s="63"/>
      <c r="AJ11" s="65"/>
      <c r="AK11" s="63"/>
      <c r="AL11" s="63"/>
      <c r="AM11" s="63"/>
      <c r="AN11" s="63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70"/>
      <c r="BT11" s="68"/>
    </row>
    <row r="12" ht="15.6" spans="1:72">
      <c r="A12" s="53" t="s">
        <v>300</v>
      </c>
      <c r="B12" s="53" t="s">
        <v>309</v>
      </c>
      <c r="C12" s="53" t="s">
        <v>310</v>
      </c>
      <c r="D12" s="54" t="s">
        <v>1003</v>
      </c>
      <c r="E12" s="55" t="s">
        <v>275</v>
      </c>
      <c r="F12" s="57">
        <f t="shared" ref="F12:F20" si="18">G12*0.7</f>
        <v>23.0923</v>
      </c>
      <c r="G12" s="69">
        <v>32.989</v>
      </c>
      <c r="H12" s="57" t="e">
        <f t="shared" ref="H12:H20" si="19">INDEX(#NULL!,MATCH(1,(#NULL!=A12)*(#NULL!=C12),0))</f>
        <v>#NULL!</v>
      </c>
      <c r="I12" s="57" t="e">
        <f t="shared" ref="I12:I20" si="20">H12=J12</f>
        <v>#NULL!</v>
      </c>
      <c r="J12" s="57">
        <v>23.09</v>
      </c>
      <c r="K12" s="69">
        <v>32.989</v>
      </c>
      <c r="L12" s="59">
        <f t="shared" ref="L12:L20" si="21">J12-Q12/T12-AD12-AA12-R12-AB12-AC12</f>
        <v>6.47301028581679</v>
      </c>
      <c r="M12" s="60">
        <f t="shared" ref="M12:M20" si="22">L12/J12</f>
        <v>0.280338254041437</v>
      </c>
      <c r="N12" s="57">
        <f t="shared" ref="N12:N20" si="23">K12/1.2</f>
        <v>27.4908333333333</v>
      </c>
      <c r="O12" s="61">
        <f t="shared" ref="O12:O20" si="24">(N12-J12)/N12</f>
        <v>0.16008366425172</v>
      </c>
      <c r="P12" s="59">
        <f t="shared" ref="P12:P20" si="25">K12/1.2-J12</f>
        <v>4.40083333333333</v>
      </c>
      <c r="Q12" s="57">
        <f t="shared" ref="Q12:Q20" si="26">AF12+AG12</f>
        <v>62.7823008849558</v>
      </c>
      <c r="R12" s="57">
        <f t="shared" ref="R12:R20" si="27">IFERROR(IF(A12="UK",8.95/S12,IF(A12="DE",11.43/S12,IF(A12="FR",15.27/S12,IF(A12="IT",16.34/S12,IF(A12="ES",20.62/S12,IF(A12="NL",12/S12,IF(A12="PL",15.06/S12,IF(A12="SE",18.5/S12,IF(A12="BE",15.27/S12))))))))),0)</f>
        <v>0.559375</v>
      </c>
      <c r="S12" s="53">
        <v>16</v>
      </c>
      <c r="T12" s="62">
        <v>7.4</v>
      </c>
      <c r="U12" s="63">
        <v>0.06</v>
      </c>
      <c r="V12" s="63">
        <v>0.1</v>
      </c>
      <c r="W12" s="63">
        <v>0.01</v>
      </c>
      <c r="X12" s="63">
        <f t="shared" ref="X12:X20" si="28">Q12/(J12*T12)</f>
        <v>0.367435890609927</v>
      </c>
      <c r="Y12" s="63">
        <f t="shared" ref="Y12:Y20" si="29">R12/J12</f>
        <v>0.0242258553486358</v>
      </c>
      <c r="Z12" s="61">
        <v>0.158</v>
      </c>
      <c r="AA12" s="64">
        <f t="shared" ref="AA12:AA20" si="30">J12*U12</f>
        <v>1.3854</v>
      </c>
      <c r="AB12" s="64">
        <f t="shared" ref="AB12:AB20" si="31">J12*V12</f>
        <v>2.309</v>
      </c>
      <c r="AC12" s="64">
        <f t="shared" ref="AC12:AC20" si="32">J12*W12</f>
        <v>0.2309</v>
      </c>
      <c r="AD12" s="57">
        <f t="shared" ref="AD12:AD20" si="33">J12*Z12</f>
        <v>3.64822</v>
      </c>
      <c r="AE12" s="57">
        <v>61</v>
      </c>
      <c r="AF12" s="65">
        <f t="shared" ref="AF12:AF20" si="34">AE12/1.13</f>
        <v>53.9823008849558</v>
      </c>
      <c r="AG12" s="65">
        <v>8.8</v>
      </c>
      <c r="AH12" s="63">
        <f t="shared" ref="AH12:AH20" si="35">AF12/(J12*T12)</f>
        <v>0.315933543741621</v>
      </c>
      <c r="AI12" s="63">
        <f t="shared" ref="AI12:AI20" si="36">AG12/T12/J12</f>
        <v>0.0515023468683062</v>
      </c>
      <c r="AJ12" s="65">
        <v>8.8</v>
      </c>
      <c r="AK12" s="63"/>
      <c r="AL12" s="63"/>
      <c r="AM12" s="63"/>
      <c r="AN12" s="63"/>
      <c r="AO12" s="66"/>
      <c r="AP12" s="66"/>
      <c r="AQ12" s="66"/>
      <c r="AR12" s="66"/>
      <c r="AS12" s="66"/>
      <c r="AT12" s="66"/>
      <c r="AU12" s="66" t="s">
        <v>600</v>
      </c>
      <c r="AV12" s="66" t="s">
        <v>600</v>
      </c>
      <c r="AW12" s="66" t="s">
        <v>600</v>
      </c>
      <c r="AX12" s="66" t="s">
        <v>600</v>
      </c>
      <c r="AY12" s="66" t="s">
        <v>600</v>
      </c>
      <c r="AZ12" s="66" t="s">
        <v>600</v>
      </c>
      <c r="BA12" s="66" t="s">
        <v>600</v>
      </c>
      <c r="BB12" s="66" t="s">
        <v>600</v>
      </c>
      <c r="BC12" s="66" t="s">
        <v>600</v>
      </c>
      <c r="BD12" s="66" t="s">
        <v>600</v>
      </c>
      <c r="BE12" s="66" t="s">
        <v>600</v>
      </c>
      <c r="BF12" s="66" t="s">
        <v>600</v>
      </c>
      <c r="BG12" s="66" t="s">
        <v>600</v>
      </c>
      <c r="BH12" s="66" t="s">
        <v>600</v>
      </c>
      <c r="BI12" s="66" t="s">
        <v>600</v>
      </c>
      <c r="BJ12" s="66" t="s">
        <v>600</v>
      </c>
      <c r="BK12" s="66" t="s">
        <v>600</v>
      </c>
      <c r="BL12" s="66" t="s">
        <v>600</v>
      </c>
      <c r="BM12" s="66" t="s">
        <v>600</v>
      </c>
      <c r="BN12" s="66" t="s">
        <v>600</v>
      </c>
      <c r="BO12" s="66" t="s">
        <v>600</v>
      </c>
      <c r="BP12" s="66" t="s">
        <v>600</v>
      </c>
      <c r="BQ12" s="66" t="s">
        <v>600</v>
      </c>
      <c r="BR12" s="66" t="s">
        <v>600</v>
      </c>
      <c r="BS12" s="70" t="e">
        <f t="shared" ref="BS12:BS20" si="37">IF(H12&lt;J12,1,0)</f>
        <v>#NULL!</v>
      </c>
      <c r="BT12" s="68" t="s">
        <v>601</v>
      </c>
    </row>
    <row r="13" ht="15.6" spans="1:72">
      <c r="A13" s="53" t="s">
        <v>277</v>
      </c>
      <c r="B13" s="53" t="s">
        <v>305</v>
      </c>
      <c r="C13" s="53" t="s">
        <v>306</v>
      </c>
      <c r="D13" s="54" t="s">
        <v>1004</v>
      </c>
      <c r="E13" s="55" t="s">
        <v>275</v>
      </c>
      <c r="F13" s="57">
        <f t="shared" si="18"/>
        <v>23.0923</v>
      </c>
      <c r="G13" s="69">
        <v>32.989</v>
      </c>
      <c r="H13" s="57" t="e">
        <f t="shared" si="19"/>
        <v>#NULL!</v>
      </c>
      <c r="I13" s="57" t="e">
        <f t="shared" si="20"/>
        <v>#NULL!</v>
      </c>
      <c r="J13" s="57">
        <v>23.09</v>
      </c>
      <c r="K13" s="69">
        <v>32.989</v>
      </c>
      <c r="L13" s="59">
        <f t="shared" si="21"/>
        <v>6.31801028581679</v>
      </c>
      <c r="M13" s="60">
        <f t="shared" si="22"/>
        <v>0.273625391330307</v>
      </c>
      <c r="N13" s="57">
        <f t="shared" si="23"/>
        <v>27.4908333333333</v>
      </c>
      <c r="O13" s="61">
        <f t="shared" si="24"/>
        <v>0.16008366425172</v>
      </c>
      <c r="P13" s="59">
        <f t="shared" si="25"/>
        <v>4.40083333333333</v>
      </c>
      <c r="Q13" s="57">
        <f t="shared" si="26"/>
        <v>62.7823008849558</v>
      </c>
      <c r="R13" s="57">
        <f t="shared" si="27"/>
        <v>0.714375</v>
      </c>
      <c r="S13" s="53">
        <v>16</v>
      </c>
      <c r="T13" s="62">
        <v>7.4</v>
      </c>
      <c r="U13" s="63">
        <v>0.06</v>
      </c>
      <c r="V13" s="63">
        <v>0.1</v>
      </c>
      <c r="W13" s="63">
        <v>0.01</v>
      </c>
      <c r="X13" s="63">
        <f t="shared" si="28"/>
        <v>0.367435890609927</v>
      </c>
      <c r="Y13" s="63">
        <f t="shared" si="29"/>
        <v>0.0309387180597661</v>
      </c>
      <c r="Z13" s="61">
        <v>0.158</v>
      </c>
      <c r="AA13" s="64">
        <f t="shared" si="30"/>
        <v>1.3854</v>
      </c>
      <c r="AB13" s="64">
        <f t="shared" si="31"/>
        <v>2.309</v>
      </c>
      <c r="AC13" s="64">
        <f t="shared" si="32"/>
        <v>0.2309</v>
      </c>
      <c r="AD13" s="57">
        <f t="shared" si="33"/>
        <v>3.64822</v>
      </c>
      <c r="AE13" s="57">
        <v>61</v>
      </c>
      <c r="AF13" s="65">
        <f t="shared" si="34"/>
        <v>53.9823008849558</v>
      </c>
      <c r="AG13" s="65">
        <v>8.8</v>
      </c>
      <c r="AH13" s="63">
        <f t="shared" si="35"/>
        <v>0.315933543741621</v>
      </c>
      <c r="AI13" s="63">
        <f t="shared" si="36"/>
        <v>0.0515023468683062</v>
      </c>
      <c r="AJ13" s="65">
        <v>8.8</v>
      </c>
      <c r="AK13" s="63"/>
      <c r="AL13" s="63"/>
      <c r="AM13" s="63"/>
      <c r="AN13" s="63"/>
      <c r="AO13" s="66"/>
      <c r="AP13" s="66"/>
      <c r="AQ13" s="66"/>
      <c r="AR13" s="66"/>
      <c r="AS13" s="66"/>
      <c r="AT13" s="66"/>
      <c r="AU13" s="66" t="s">
        <v>600</v>
      </c>
      <c r="AV13" s="66" t="s">
        <v>600</v>
      </c>
      <c r="AW13" s="66" t="s">
        <v>600</v>
      </c>
      <c r="AX13" s="66" t="s">
        <v>600</v>
      </c>
      <c r="AY13" s="66" t="s">
        <v>600</v>
      </c>
      <c r="AZ13" s="66" t="s">
        <v>600</v>
      </c>
      <c r="BA13" s="66" t="s">
        <v>600</v>
      </c>
      <c r="BB13" s="66" t="s">
        <v>600</v>
      </c>
      <c r="BC13" s="66" t="s">
        <v>600</v>
      </c>
      <c r="BD13" s="66" t="s">
        <v>600</v>
      </c>
      <c r="BE13" s="66" t="s">
        <v>600</v>
      </c>
      <c r="BF13" s="66" t="s">
        <v>600</v>
      </c>
      <c r="BG13" s="66" t="s">
        <v>600</v>
      </c>
      <c r="BH13" s="66" t="s">
        <v>600</v>
      </c>
      <c r="BI13" s="66" t="s">
        <v>600</v>
      </c>
      <c r="BJ13" s="66" t="s">
        <v>600</v>
      </c>
      <c r="BK13" s="66" t="s">
        <v>600</v>
      </c>
      <c r="BL13" s="66" t="s">
        <v>600</v>
      </c>
      <c r="BM13" s="66" t="s">
        <v>600</v>
      </c>
      <c r="BN13" s="66" t="s">
        <v>600</v>
      </c>
      <c r="BO13" s="66" t="s">
        <v>600</v>
      </c>
      <c r="BP13" s="66" t="s">
        <v>600</v>
      </c>
      <c r="BQ13" s="66" t="s">
        <v>600</v>
      </c>
      <c r="BR13" s="66" t="s">
        <v>600</v>
      </c>
      <c r="BS13" s="70" t="e">
        <f t="shared" si="37"/>
        <v>#NULL!</v>
      </c>
      <c r="BT13" s="68" t="s">
        <v>601</v>
      </c>
    </row>
    <row r="14" ht="15.6" spans="1:72">
      <c r="A14" s="53" t="s">
        <v>511</v>
      </c>
      <c r="B14" s="53" t="s">
        <v>305</v>
      </c>
      <c r="C14" s="53" t="s">
        <v>306</v>
      </c>
      <c r="D14" s="54" t="s">
        <v>1005</v>
      </c>
      <c r="E14" s="55" t="s">
        <v>275</v>
      </c>
      <c r="F14" s="57">
        <f t="shared" si="18"/>
        <v>23.0923</v>
      </c>
      <c r="G14" s="69">
        <v>32.989</v>
      </c>
      <c r="H14" s="57" t="e">
        <f t="shared" si="19"/>
        <v>#NULL!</v>
      </c>
      <c r="I14" s="57" t="e">
        <f t="shared" si="20"/>
        <v>#NULL!</v>
      </c>
      <c r="J14" s="57">
        <v>23.09</v>
      </c>
      <c r="K14" s="69">
        <v>32.989</v>
      </c>
      <c r="L14" s="59">
        <f t="shared" si="21"/>
        <v>6.07801028581679</v>
      </c>
      <c r="M14" s="60">
        <f t="shared" si="22"/>
        <v>0.263231281325976</v>
      </c>
      <c r="N14" s="57">
        <f t="shared" si="23"/>
        <v>27.4908333333333</v>
      </c>
      <c r="O14" s="61">
        <f t="shared" si="24"/>
        <v>0.16008366425172</v>
      </c>
      <c r="P14" s="59">
        <f t="shared" si="25"/>
        <v>4.40083333333333</v>
      </c>
      <c r="Q14" s="57">
        <f t="shared" si="26"/>
        <v>62.7823008849558</v>
      </c>
      <c r="R14" s="57">
        <f t="shared" si="27"/>
        <v>0.954375</v>
      </c>
      <c r="S14" s="53">
        <v>16</v>
      </c>
      <c r="T14" s="62">
        <v>7.4</v>
      </c>
      <c r="U14" s="63">
        <v>0.06</v>
      </c>
      <c r="V14" s="63">
        <v>0.1</v>
      </c>
      <c r="W14" s="63">
        <v>0.01</v>
      </c>
      <c r="X14" s="63">
        <f t="shared" si="28"/>
        <v>0.367435890609927</v>
      </c>
      <c r="Y14" s="63">
        <f t="shared" si="29"/>
        <v>0.041332828064097</v>
      </c>
      <c r="Z14" s="61">
        <v>0.158</v>
      </c>
      <c r="AA14" s="64">
        <f t="shared" si="30"/>
        <v>1.3854</v>
      </c>
      <c r="AB14" s="64">
        <f t="shared" si="31"/>
        <v>2.309</v>
      </c>
      <c r="AC14" s="64">
        <f t="shared" si="32"/>
        <v>0.2309</v>
      </c>
      <c r="AD14" s="57">
        <f t="shared" si="33"/>
        <v>3.64822</v>
      </c>
      <c r="AE14" s="57">
        <v>61</v>
      </c>
      <c r="AF14" s="65">
        <f t="shared" si="34"/>
        <v>53.9823008849558</v>
      </c>
      <c r="AG14" s="65">
        <v>8.8</v>
      </c>
      <c r="AH14" s="63">
        <f t="shared" si="35"/>
        <v>0.315933543741621</v>
      </c>
      <c r="AI14" s="63">
        <f t="shared" si="36"/>
        <v>0.0515023468683062</v>
      </c>
      <c r="AJ14" s="65">
        <v>8.8</v>
      </c>
      <c r="AK14" s="63"/>
      <c r="AL14" s="63"/>
      <c r="AM14" s="63"/>
      <c r="AN14" s="63"/>
      <c r="AO14" s="66"/>
      <c r="AP14" s="66"/>
      <c r="AQ14" s="66"/>
      <c r="AR14" s="66"/>
      <c r="AS14" s="66"/>
      <c r="AT14" s="66"/>
      <c r="AU14" s="66" t="s">
        <v>600</v>
      </c>
      <c r="AV14" s="66" t="s">
        <v>600</v>
      </c>
      <c r="AW14" s="66" t="s">
        <v>600</v>
      </c>
      <c r="AX14" s="66" t="s">
        <v>600</v>
      </c>
      <c r="AY14" s="66" t="s">
        <v>600</v>
      </c>
      <c r="AZ14" s="66" t="s">
        <v>600</v>
      </c>
      <c r="BA14" s="66" t="s">
        <v>600</v>
      </c>
      <c r="BB14" s="66" t="s">
        <v>600</v>
      </c>
      <c r="BC14" s="66" t="s">
        <v>600</v>
      </c>
      <c r="BD14" s="66" t="s">
        <v>600</v>
      </c>
      <c r="BE14" s="66" t="s">
        <v>600</v>
      </c>
      <c r="BF14" s="66" t="s">
        <v>600</v>
      </c>
      <c r="BG14" s="66" t="s">
        <v>600</v>
      </c>
      <c r="BH14" s="66" t="s">
        <v>600</v>
      </c>
      <c r="BI14" s="66" t="s">
        <v>600</v>
      </c>
      <c r="BJ14" s="66" t="s">
        <v>600</v>
      </c>
      <c r="BK14" s="66" t="s">
        <v>600</v>
      </c>
      <c r="BL14" s="66" t="s">
        <v>600</v>
      </c>
      <c r="BM14" s="66" t="s">
        <v>600</v>
      </c>
      <c r="BN14" s="66" t="s">
        <v>600</v>
      </c>
      <c r="BO14" s="66" t="s">
        <v>600</v>
      </c>
      <c r="BP14" s="66" t="s">
        <v>600</v>
      </c>
      <c r="BQ14" s="66" t="s">
        <v>600</v>
      </c>
      <c r="BR14" s="66" t="s">
        <v>600</v>
      </c>
      <c r="BS14" s="70" t="e">
        <f t="shared" si="37"/>
        <v>#NULL!</v>
      </c>
      <c r="BT14" s="68" t="s">
        <v>601</v>
      </c>
    </row>
    <row r="15" ht="15.6" spans="1:72">
      <c r="A15" s="53" t="s">
        <v>513</v>
      </c>
      <c r="B15" s="53" t="s">
        <v>305</v>
      </c>
      <c r="C15" s="53" t="s">
        <v>306</v>
      </c>
      <c r="D15" s="54" t="s">
        <v>1006</v>
      </c>
      <c r="E15" s="55" t="s">
        <v>275</v>
      </c>
      <c r="F15" s="57">
        <f t="shared" si="18"/>
        <v>23.0923</v>
      </c>
      <c r="G15" s="69">
        <v>32.989</v>
      </c>
      <c r="H15" s="57" t="e">
        <f t="shared" si="19"/>
        <v>#NULL!</v>
      </c>
      <c r="I15" s="57" t="e">
        <f t="shared" si="20"/>
        <v>#NULL!</v>
      </c>
      <c r="J15" s="57">
        <v>23.09</v>
      </c>
      <c r="K15" s="69">
        <v>32.989</v>
      </c>
      <c r="L15" s="59">
        <f t="shared" si="21"/>
        <v>6.01113528581679</v>
      </c>
      <c r="M15" s="60">
        <f t="shared" si="22"/>
        <v>0.260335005882061</v>
      </c>
      <c r="N15" s="57">
        <f t="shared" si="23"/>
        <v>27.4908333333333</v>
      </c>
      <c r="O15" s="61">
        <f t="shared" si="24"/>
        <v>0.16008366425172</v>
      </c>
      <c r="P15" s="59">
        <f t="shared" si="25"/>
        <v>4.40083333333333</v>
      </c>
      <c r="Q15" s="57">
        <f t="shared" si="26"/>
        <v>62.7823008849558</v>
      </c>
      <c r="R15" s="57">
        <f t="shared" si="27"/>
        <v>1.02125</v>
      </c>
      <c r="S15" s="53">
        <v>16</v>
      </c>
      <c r="T15" s="62">
        <v>7.4</v>
      </c>
      <c r="U15" s="63">
        <v>0.06</v>
      </c>
      <c r="V15" s="63">
        <v>0.1</v>
      </c>
      <c r="W15" s="63">
        <v>0.01</v>
      </c>
      <c r="X15" s="63">
        <f t="shared" si="28"/>
        <v>0.367435890609927</v>
      </c>
      <c r="Y15" s="63">
        <f t="shared" si="29"/>
        <v>0.0442291035080121</v>
      </c>
      <c r="Z15" s="61">
        <v>0.158</v>
      </c>
      <c r="AA15" s="64">
        <f t="shared" si="30"/>
        <v>1.3854</v>
      </c>
      <c r="AB15" s="64">
        <f t="shared" si="31"/>
        <v>2.309</v>
      </c>
      <c r="AC15" s="64">
        <f t="shared" si="32"/>
        <v>0.2309</v>
      </c>
      <c r="AD15" s="57">
        <f t="shared" si="33"/>
        <v>3.64822</v>
      </c>
      <c r="AE15" s="57">
        <v>61</v>
      </c>
      <c r="AF15" s="65">
        <f t="shared" si="34"/>
        <v>53.9823008849558</v>
      </c>
      <c r="AG15" s="65">
        <v>8.8</v>
      </c>
      <c r="AH15" s="63">
        <f t="shared" si="35"/>
        <v>0.315933543741621</v>
      </c>
      <c r="AI15" s="63">
        <f t="shared" si="36"/>
        <v>0.0515023468683062</v>
      </c>
      <c r="AJ15" s="65">
        <v>8.8</v>
      </c>
      <c r="AK15" s="63"/>
      <c r="AL15" s="63"/>
      <c r="AM15" s="63"/>
      <c r="AN15" s="63"/>
      <c r="AO15" s="66"/>
      <c r="AP15" s="66"/>
      <c r="AQ15" s="66"/>
      <c r="AR15" s="66"/>
      <c r="AS15" s="66"/>
      <c r="AT15" s="66"/>
      <c r="AU15" s="66" t="s">
        <v>600</v>
      </c>
      <c r="AV15" s="66" t="s">
        <v>600</v>
      </c>
      <c r="AW15" s="66" t="s">
        <v>600</v>
      </c>
      <c r="AX15" s="66" t="s">
        <v>600</v>
      </c>
      <c r="AY15" s="66" t="s">
        <v>600</v>
      </c>
      <c r="AZ15" s="66" t="s">
        <v>600</v>
      </c>
      <c r="BA15" s="66" t="s">
        <v>600</v>
      </c>
      <c r="BB15" s="66" t="s">
        <v>600</v>
      </c>
      <c r="BC15" s="66" t="s">
        <v>600</v>
      </c>
      <c r="BD15" s="66" t="s">
        <v>600</v>
      </c>
      <c r="BE15" s="66" t="s">
        <v>600</v>
      </c>
      <c r="BF15" s="66" t="s">
        <v>600</v>
      </c>
      <c r="BG15" s="66" t="s">
        <v>600</v>
      </c>
      <c r="BH15" s="66" t="s">
        <v>600</v>
      </c>
      <c r="BI15" s="66" t="s">
        <v>600</v>
      </c>
      <c r="BJ15" s="66" t="s">
        <v>600</v>
      </c>
      <c r="BK15" s="66" t="s">
        <v>600</v>
      </c>
      <c r="BL15" s="66" t="s">
        <v>600</v>
      </c>
      <c r="BM15" s="66" t="s">
        <v>600</v>
      </c>
      <c r="BN15" s="66" t="s">
        <v>600</v>
      </c>
      <c r="BO15" s="66" t="s">
        <v>600</v>
      </c>
      <c r="BP15" s="66" t="s">
        <v>600</v>
      </c>
      <c r="BQ15" s="66" t="s">
        <v>600</v>
      </c>
      <c r="BR15" s="66" t="s">
        <v>600</v>
      </c>
      <c r="BS15" s="70" t="e">
        <f t="shared" si="37"/>
        <v>#NULL!</v>
      </c>
      <c r="BT15" s="68" t="s">
        <v>601</v>
      </c>
    </row>
    <row r="16" ht="15.6" spans="1:72">
      <c r="A16" s="53" t="s">
        <v>516</v>
      </c>
      <c r="B16" s="53" t="s">
        <v>305</v>
      </c>
      <c r="C16" s="53" t="s">
        <v>306</v>
      </c>
      <c r="D16" s="54" t="s">
        <v>1007</v>
      </c>
      <c r="E16" s="55" t="s">
        <v>275</v>
      </c>
      <c r="F16" s="57">
        <f t="shared" si="18"/>
        <v>23.0923</v>
      </c>
      <c r="G16" s="69">
        <v>32.989</v>
      </c>
      <c r="H16" s="57" t="e">
        <f t="shared" si="19"/>
        <v>#NULL!</v>
      </c>
      <c r="I16" s="57" t="e">
        <f t="shared" si="20"/>
        <v>#NULL!</v>
      </c>
      <c r="J16" s="57">
        <v>23.09</v>
      </c>
      <c r="K16" s="69">
        <v>32.989</v>
      </c>
      <c r="L16" s="59">
        <f t="shared" si="21"/>
        <v>5.74363528581679</v>
      </c>
      <c r="M16" s="60">
        <f t="shared" si="22"/>
        <v>0.2487499041064</v>
      </c>
      <c r="N16" s="57">
        <f t="shared" si="23"/>
        <v>27.4908333333333</v>
      </c>
      <c r="O16" s="61">
        <f t="shared" si="24"/>
        <v>0.16008366425172</v>
      </c>
      <c r="P16" s="59">
        <f t="shared" si="25"/>
        <v>4.40083333333333</v>
      </c>
      <c r="Q16" s="57">
        <f t="shared" si="26"/>
        <v>62.7823008849558</v>
      </c>
      <c r="R16" s="57">
        <f t="shared" si="27"/>
        <v>1.28875</v>
      </c>
      <c r="S16" s="53">
        <v>16</v>
      </c>
      <c r="T16" s="62">
        <v>7.4</v>
      </c>
      <c r="U16" s="63">
        <v>0.06</v>
      </c>
      <c r="V16" s="63">
        <v>0.1</v>
      </c>
      <c r="W16" s="63">
        <v>0.01</v>
      </c>
      <c r="X16" s="63">
        <f t="shared" si="28"/>
        <v>0.367435890609927</v>
      </c>
      <c r="Y16" s="63">
        <f t="shared" si="29"/>
        <v>0.0558142052836726</v>
      </c>
      <c r="Z16" s="61">
        <v>0.158</v>
      </c>
      <c r="AA16" s="64">
        <f t="shared" si="30"/>
        <v>1.3854</v>
      </c>
      <c r="AB16" s="64">
        <f t="shared" si="31"/>
        <v>2.309</v>
      </c>
      <c r="AC16" s="64">
        <f t="shared" si="32"/>
        <v>0.2309</v>
      </c>
      <c r="AD16" s="57">
        <f t="shared" si="33"/>
        <v>3.64822</v>
      </c>
      <c r="AE16" s="57">
        <v>61</v>
      </c>
      <c r="AF16" s="65">
        <f t="shared" si="34"/>
        <v>53.9823008849558</v>
      </c>
      <c r="AG16" s="65">
        <v>8.8</v>
      </c>
      <c r="AH16" s="63">
        <f t="shared" si="35"/>
        <v>0.315933543741621</v>
      </c>
      <c r="AI16" s="63">
        <f t="shared" si="36"/>
        <v>0.0515023468683062</v>
      </c>
      <c r="AJ16" s="65">
        <v>8.8</v>
      </c>
      <c r="AK16" s="63"/>
      <c r="AL16" s="63"/>
      <c r="AM16" s="63"/>
      <c r="AN16" s="63"/>
      <c r="AO16" s="66"/>
      <c r="AP16" s="66"/>
      <c r="AQ16" s="66"/>
      <c r="AR16" s="66"/>
      <c r="AS16" s="66"/>
      <c r="AT16" s="66"/>
      <c r="AU16" s="66" t="s">
        <v>600</v>
      </c>
      <c r="AV16" s="66" t="s">
        <v>600</v>
      </c>
      <c r="AW16" s="66" t="s">
        <v>600</v>
      </c>
      <c r="AX16" s="66" t="s">
        <v>600</v>
      </c>
      <c r="AY16" s="66" t="s">
        <v>600</v>
      </c>
      <c r="AZ16" s="66" t="s">
        <v>600</v>
      </c>
      <c r="BA16" s="66" t="s">
        <v>600</v>
      </c>
      <c r="BB16" s="66" t="s">
        <v>600</v>
      </c>
      <c r="BC16" s="66" t="s">
        <v>600</v>
      </c>
      <c r="BD16" s="66" t="s">
        <v>600</v>
      </c>
      <c r="BE16" s="66" t="s">
        <v>600</v>
      </c>
      <c r="BF16" s="66" t="s">
        <v>600</v>
      </c>
      <c r="BG16" s="66" t="s">
        <v>600</v>
      </c>
      <c r="BH16" s="66" t="s">
        <v>600</v>
      </c>
      <c r="BI16" s="66" t="s">
        <v>600</v>
      </c>
      <c r="BJ16" s="66" t="s">
        <v>600</v>
      </c>
      <c r="BK16" s="66" t="s">
        <v>600</v>
      </c>
      <c r="BL16" s="66" t="s">
        <v>600</v>
      </c>
      <c r="BM16" s="66" t="s">
        <v>600</v>
      </c>
      <c r="BN16" s="66" t="s">
        <v>600</v>
      </c>
      <c r="BO16" s="66" t="s">
        <v>600</v>
      </c>
      <c r="BP16" s="66" t="s">
        <v>600</v>
      </c>
      <c r="BQ16" s="66" t="s">
        <v>600</v>
      </c>
      <c r="BR16" s="66" t="s">
        <v>600</v>
      </c>
      <c r="BS16" s="70" t="e">
        <f t="shared" si="37"/>
        <v>#NULL!</v>
      </c>
      <c r="BT16" s="68" t="s">
        <v>601</v>
      </c>
    </row>
    <row r="17" ht="15.6" spans="1:72">
      <c r="A17" s="53" t="s">
        <v>605</v>
      </c>
      <c r="B17" s="53" t="s">
        <v>305</v>
      </c>
      <c r="C17" s="53" t="s">
        <v>306</v>
      </c>
      <c r="D17" s="54" t="s">
        <v>1008</v>
      </c>
      <c r="E17" s="55" t="s">
        <v>275</v>
      </c>
      <c r="F17" s="57">
        <f t="shared" si="18"/>
        <v>23.0923</v>
      </c>
      <c r="G17" s="69">
        <v>32.989</v>
      </c>
      <c r="H17" s="57" t="e">
        <f t="shared" si="19"/>
        <v>#NULL!</v>
      </c>
      <c r="I17" s="57" t="e">
        <f t="shared" si="20"/>
        <v>#NULL!</v>
      </c>
      <c r="J17" s="57">
        <v>23.09</v>
      </c>
      <c r="K17" s="69">
        <v>32.989</v>
      </c>
      <c r="L17" s="59">
        <f t="shared" si="21"/>
        <v>6.28238528581679</v>
      </c>
      <c r="M17" s="60">
        <f t="shared" si="22"/>
        <v>0.272082515626539</v>
      </c>
      <c r="N17" s="57">
        <f t="shared" si="23"/>
        <v>27.4908333333333</v>
      </c>
      <c r="O17" s="61">
        <f t="shared" si="24"/>
        <v>0.16008366425172</v>
      </c>
      <c r="P17" s="59">
        <f t="shared" si="25"/>
        <v>4.40083333333333</v>
      </c>
      <c r="Q17" s="57">
        <f t="shared" si="26"/>
        <v>62.7823008849558</v>
      </c>
      <c r="R17" s="57">
        <f t="shared" si="27"/>
        <v>0.75</v>
      </c>
      <c r="S17" s="53">
        <v>16</v>
      </c>
      <c r="T17" s="62">
        <v>7.4</v>
      </c>
      <c r="U17" s="63">
        <v>0.06</v>
      </c>
      <c r="V17" s="63">
        <v>0.1</v>
      </c>
      <c r="W17" s="63">
        <v>0.01</v>
      </c>
      <c r="X17" s="63">
        <f t="shared" si="28"/>
        <v>0.367435890609927</v>
      </c>
      <c r="Y17" s="63">
        <f t="shared" si="29"/>
        <v>0.032481593763534</v>
      </c>
      <c r="Z17" s="61">
        <v>0.158</v>
      </c>
      <c r="AA17" s="64">
        <f t="shared" si="30"/>
        <v>1.3854</v>
      </c>
      <c r="AB17" s="64">
        <f t="shared" si="31"/>
        <v>2.309</v>
      </c>
      <c r="AC17" s="64">
        <f t="shared" si="32"/>
        <v>0.2309</v>
      </c>
      <c r="AD17" s="57">
        <f t="shared" si="33"/>
        <v>3.64822</v>
      </c>
      <c r="AE17" s="57">
        <v>61</v>
      </c>
      <c r="AF17" s="65">
        <f t="shared" si="34"/>
        <v>53.9823008849558</v>
      </c>
      <c r="AG17" s="65">
        <v>8.8</v>
      </c>
      <c r="AH17" s="63">
        <f t="shared" si="35"/>
        <v>0.315933543741621</v>
      </c>
      <c r="AI17" s="63">
        <f t="shared" si="36"/>
        <v>0.0515023468683062</v>
      </c>
      <c r="AJ17" s="65">
        <v>8.8</v>
      </c>
      <c r="AK17" s="63"/>
      <c r="AL17" s="63"/>
      <c r="AM17" s="63"/>
      <c r="AN17" s="63"/>
      <c r="AO17" s="66"/>
      <c r="AP17" s="66"/>
      <c r="AQ17" s="66"/>
      <c r="AR17" s="66"/>
      <c r="AS17" s="66"/>
      <c r="AT17" s="66"/>
      <c r="AU17" s="66" t="s">
        <v>600</v>
      </c>
      <c r="AV17" s="66" t="s">
        <v>600</v>
      </c>
      <c r="AW17" s="66" t="s">
        <v>600</v>
      </c>
      <c r="AX17" s="66" t="s">
        <v>600</v>
      </c>
      <c r="AY17" s="66" t="s">
        <v>600</v>
      </c>
      <c r="AZ17" s="66" t="s">
        <v>600</v>
      </c>
      <c r="BA17" s="66" t="s">
        <v>600</v>
      </c>
      <c r="BB17" s="66" t="s">
        <v>600</v>
      </c>
      <c r="BC17" s="66" t="s">
        <v>600</v>
      </c>
      <c r="BD17" s="66" t="s">
        <v>600</v>
      </c>
      <c r="BE17" s="66" t="s">
        <v>600</v>
      </c>
      <c r="BF17" s="66" t="s">
        <v>600</v>
      </c>
      <c r="BG17" s="66" t="s">
        <v>600</v>
      </c>
      <c r="BH17" s="66" t="s">
        <v>600</v>
      </c>
      <c r="BI17" s="66" t="s">
        <v>600</v>
      </c>
      <c r="BJ17" s="66" t="s">
        <v>600</v>
      </c>
      <c r="BK17" s="66" t="s">
        <v>600</v>
      </c>
      <c r="BL17" s="66" t="s">
        <v>600</v>
      </c>
      <c r="BM17" s="66" t="s">
        <v>600</v>
      </c>
      <c r="BN17" s="66" t="s">
        <v>600</v>
      </c>
      <c r="BO17" s="66" t="s">
        <v>600</v>
      </c>
      <c r="BP17" s="66" t="s">
        <v>600</v>
      </c>
      <c r="BQ17" s="66" t="s">
        <v>600</v>
      </c>
      <c r="BR17" s="66" t="s">
        <v>600</v>
      </c>
      <c r="BS17" s="70" t="e">
        <f t="shared" si="37"/>
        <v>#NULL!</v>
      </c>
      <c r="BT17" s="68" t="s">
        <v>601</v>
      </c>
    </row>
    <row r="18" ht="15.6" spans="1:72">
      <c r="A18" s="53" t="s">
        <v>607</v>
      </c>
      <c r="B18" s="53" t="s">
        <v>305</v>
      </c>
      <c r="C18" s="53" t="s">
        <v>306</v>
      </c>
      <c r="D18" s="54" t="s">
        <v>1009</v>
      </c>
      <c r="E18" s="55" t="s">
        <v>275</v>
      </c>
      <c r="F18" s="57">
        <f t="shared" si="18"/>
        <v>23.0923</v>
      </c>
      <c r="G18" s="69">
        <v>32.989</v>
      </c>
      <c r="H18" s="57" t="e">
        <f t="shared" si="19"/>
        <v>#NULL!</v>
      </c>
      <c r="I18" s="57" t="e">
        <f t="shared" si="20"/>
        <v>#NULL!</v>
      </c>
      <c r="J18" s="57">
        <v>23.09</v>
      </c>
      <c r="K18" s="69">
        <v>32.989</v>
      </c>
      <c r="L18" s="59">
        <f t="shared" si="21"/>
        <v>6.09113528581679</v>
      </c>
      <c r="M18" s="60">
        <f t="shared" si="22"/>
        <v>0.263799709216838</v>
      </c>
      <c r="N18" s="57">
        <f t="shared" si="23"/>
        <v>27.4908333333333</v>
      </c>
      <c r="O18" s="61">
        <f t="shared" si="24"/>
        <v>0.16008366425172</v>
      </c>
      <c r="P18" s="59">
        <f t="shared" si="25"/>
        <v>4.40083333333333</v>
      </c>
      <c r="Q18" s="57">
        <f t="shared" si="26"/>
        <v>62.7823008849558</v>
      </c>
      <c r="R18" s="57">
        <f t="shared" si="27"/>
        <v>0.94125</v>
      </c>
      <c r="S18" s="53">
        <v>16</v>
      </c>
      <c r="T18" s="62">
        <v>7.4</v>
      </c>
      <c r="U18" s="63">
        <v>0.06</v>
      </c>
      <c r="V18" s="63">
        <v>0.1</v>
      </c>
      <c r="W18" s="63">
        <v>0.01</v>
      </c>
      <c r="X18" s="63">
        <f t="shared" si="28"/>
        <v>0.367435890609927</v>
      </c>
      <c r="Y18" s="63">
        <f t="shared" si="29"/>
        <v>0.0407644001732352</v>
      </c>
      <c r="Z18" s="61">
        <v>0.158</v>
      </c>
      <c r="AA18" s="64">
        <f t="shared" si="30"/>
        <v>1.3854</v>
      </c>
      <c r="AB18" s="64">
        <f t="shared" si="31"/>
        <v>2.309</v>
      </c>
      <c r="AC18" s="64">
        <f t="shared" si="32"/>
        <v>0.2309</v>
      </c>
      <c r="AD18" s="57">
        <f t="shared" si="33"/>
        <v>3.64822</v>
      </c>
      <c r="AE18" s="57">
        <v>61</v>
      </c>
      <c r="AF18" s="65">
        <f t="shared" si="34"/>
        <v>53.9823008849558</v>
      </c>
      <c r="AG18" s="65">
        <v>8.8</v>
      </c>
      <c r="AH18" s="63">
        <f t="shared" si="35"/>
        <v>0.315933543741621</v>
      </c>
      <c r="AI18" s="63">
        <f t="shared" si="36"/>
        <v>0.0515023468683062</v>
      </c>
      <c r="AJ18" s="65">
        <v>8.8</v>
      </c>
      <c r="AK18" s="63"/>
      <c r="AL18" s="63"/>
      <c r="AM18" s="63"/>
      <c r="AN18" s="63"/>
      <c r="AO18" s="66"/>
      <c r="AP18" s="66"/>
      <c r="AQ18" s="66"/>
      <c r="AR18" s="66"/>
      <c r="AS18" s="66"/>
      <c r="AT18" s="66"/>
      <c r="AU18" s="66" t="s">
        <v>600</v>
      </c>
      <c r="AV18" s="66" t="s">
        <v>600</v>
      </c>
      <c r="AW18" s="66" t="s">
        <v>600</v>
      </c>
      <c r="AX18" s="66" t="s">
        <v>600</v>
      </c>
      <c r="AY18" s="66" t="s">
        <v>600</v>
      </c>
      <c r="AZ18" s="66" t="s">
        <v>600</v>
      </c>
      <c r="BA18" s="66" t="s">
        <v>600</v>
      </c>
      <c r="BB18" s="66" t="s">
        <v>600</v>
      </c>
      <c r="BC18" s="66" t="s">
        <v>600</v>
      </c>
      <c r="BD18" s="66" t="s">
        <v>600</v>
      </c>
      <c r="BE18" s="66" t="s">
        <v>600</v>
      </c>
      <c r="BF18" s="66" t="s">
        <v>600</v>
      </c>
      <c r="BG18" s="66" t="s">
        <v>600</v>
      </c>
      <c r="BH18" s="66" t="s">
        <v>600</v>
      </c>
      <c r="BI18" s="66" t="s">
        <v>600</v>
      </c>
      <c r="BJ18" s="66" t="s">
        <v>600</v>
      </c>
      <c r="BK18" s="66" t="s">
        <v>600</v>
      </c>
      <c r="BL18" s="66" t="s">
        <v>600</v>
      </c>
      <c r="BM18" s="66" t="s">
        <v>600</v>
      </c>
      <c r="BN18" s="66" t="s">
        <v>600</v>
      </c>
      <c r="BO18" s="66" t="s">
        <v>600</v>
      </c>
      <c r="BP18" s="66" t="s">
        <v>600</v>
      </c>
      <c r="BQ18" s="66" t="s">
        <v>600</v>
      </c>
      <c r="BR18" s="66" t="s">
        <v>600</v>
      </c>
      <c r="BS18" s="70" t="e">
        <f t="shared" si="37"/>
        <v>#NULL!</v>
      </c>
      <c r="BT18" s="68" t="s">
        <v>601</v>
      </c>
    </row>
    <row r="19" ht="15.6" spans="1:72">
      <c r="A19" s="53" t="s">
        <v>609</v>
      </c>
      <c r="B19" s="53" t="s">
        <v>305</v>
      </c>
      <c r="C19" s="53" t="s">
        <v>306</v>
      </c>
      <c r="D19" s="54" t="s">
        <v>1010</v>
      </c>
      <c r="E19" s="55" t="s">
        <v>275</v>
      </c>
      <c r="F19" s="57">
        <f t="shared" si="18"/>
        <v>23.0923</v>
      </c>
      <c r="G19" s="69">
        <v>32.989</v>
      </c>
      <c r="H19" s="57" t="e">
        <f t="shared" si="19"/>
        <v>#NULL!</v>
      </c>
      <c r="I19" s="57" t="e">
        <f t="shared" si="20"/>
        <v>#NULL!</v>
      </c>
      <c r="J19" s="57">
        <v>23.09</v>
      </c>
      <c r="K19" s="69">
        <v>32.989</v>
      </c>
      <c r="L19" s="59">
        <f t="shared" si="21"/>
        <v>5.87613528581679</v>
      </c>
      <c r="M19" s="60">
        <f t="shared" si="22"/>
        <v>0.254488319004625</v>
      </c>
      <c r="N19" s="57">
        <f t="shared" si="23"/>
        <v>27.4908333333333</v>
      </c>
      <c r="O19" s="61">
        <f t="shared" si="24"/>
        <v>0.16008366425172</v>
      </c>
      <c r="P19" s="59">
        <f t="shared" si="25"/>
        <v>4.40083333333333</v>
      </c>
      <c r="Q19" s="57">
        <f t="shared" si="26"/>
        <v>62.7823008849558</v>
      </c>
      <c r="R19" s="57">
        <f t="shared" si="27"/>
        <v>1.15625</v>
      </c>
      <c r="S19" s="53">
        <v>16</v>
      </c>
      <c r="T19" s="62">
        <v>7.4</v>
      </c>
      <c r="U19" s="63">
        <v>0.06</v>
      </c>
      <c r="V19" s="63">
        <v>0.1</v>
      </c>
      <c r="W19" s="63">
        <v>0.01</v>
      </c>
      <c r="X19" s="63">
        <f t="shared" si="28"/>
        <v>0.367435890609927</v>
      </c>
      <c r="Y19" s="63">
        <f t="shared" si="29"/>
        <v>0.0500757903854482</v>
      </c>
      <c r="Z19" s="61">
        <v>0.158</v>
      </c>
      <c r="AA19" s="64">
        <f t="shared" si="30"/>
        <v>1.3854</v>
      </c>
      <c r="AB19" s="64">
        <f t="shared" si="31"/>
        <v>2.309</v>
      </c>
      <c r="AC19" s="64">
        <f t="shared" si="32"/>
        <v>0.2309</v>
      </c>
      <c r="AD19" s="57">
        <f t="shared" si="33"/>
        <v>3.64822</v>
      </c>
      <c r="AE19" s="57">
        <v>61</v>
      </c>
      <c r="AF19" s="65">
        <f t="shared" si="34"/>
        <v>53.9823008849558</v>
      </c>
      <c r="AG19" s="65">
        <v>8.8</v>
      </c>
      <c r="AH19" s="63">
        <f t="shared" si="35"/>
        <v>0.315933543741621</v>
      </c>
      <c r="AI19" s="63">
        <f t="shared" si="36"/>
        <v>0.0515023468683062</v>
      </c>
      <c r="AJ19" s="65">
        <v>8.8</v>
      </c>
      <c r="AK19" s="63"/>
      <c r="AL19" s="63"/>
      <c r="AM19" s="63"/>
      <c r="AN19" s="63"/>
      <c r="AO19" s="66"/>
      <c r="AP19" s="66"/>
      <c r="AQ19" s="66"/>
      <c r="AR19" s="66"/>
      <c r="AS19" s="66"/>
      <c r="AT19" s="66"/>
      <c r="AU19" s="66" t="s">
        <v>600</v>
      </c>
      <c r="AV19" s="66" t="s">
        <v>600</v>
      </c>
      <c r="AW19" s="66" t="s">
        <v>600</v>
      </c>
      <c r="AX19" s="66" t="s">
        <v>600</v>
      </c>
      <c r="AY19" s="66" t="s">
        <v>600</v>
      </c>
      <c r="AZ19" s="66" t="s">
        <v>600</v>
      </c>
      <c r="BA19" s="66" t="s">
        <v>600</v>
      </c>
      <c r="BB19" s="66" t="s">
        <v>600</v>
      </c>
      <c r="BC19" s="66" t="s">
        <v>600</v>
      </c>
      <c r="BD19" s="66" t="s">
        <v>600</v>
      </c>
      <c r="BE19" s="66" t="s">
        <v>600</v>
      </c>
      <c r="BF19" s="66" t="s">
        <v>600</v>
      </c>
      <c r="BG19" s="66" t="s">
        <v>600</v>
      </c>
      <c r="BH19" s="66" t="s">
        <v>600</v>
      </c>
      <c r="BI19" s="66" t="s">
        <v>600</v>
      </c>
      <c r="BJ19" s="66" t="s">
        <v>600</v>
      </c>
      <c r="BK19" s="66" t="s">
        <v>600</v>
      </c>
      <c r="BL19" s="66" t="s">
        <v>600</v>
      </c>
      <c r="BM19" s="66" t="s">
        <v>600</v>
      </c>
      <c r="BN19" s="66" t="s">
        <v>600</v>
      </c>
      <c r="BO19" s="66" t="s">
        <v>600</v>
      </c>
      <c r="BP19" s="66" t="s">
        <v>600</v>
      </c>
      <c r="BQ19" s="66" t="s">
        <v>600</v>
      </c>
      <c r="BR19" s="66" t="s">
        <v>600</v>
      </c>
      <c r="BS19" s="70" t="e">
        <f t="shared" si="37"/>
        <v>#NULL!</v>
      </c>
      <c r="BT19" s="68" t="s">
        <v>601</v>
      </c>
    </row>
    <row r="20" ht="15.6" spans="1:72">
      <c r="A20" s="53" t="s">
        <v>611</v>
      </c>
      <c r="B20" s="53" t="s">
        <v>305</v>
      </c>
      <c r="C20" s="53" t="s">
        <v>306</v>
      </c>
      <c r="D20" s="54" t="s">
        <v>1011</v>
      </c>
      <c r="E20" s="55" t="s">
        <v>275</v>
      </c>
      <c r="F20" s="57">
        <f t="shared" si="18"/>
        <v>23.0923</v>
      </c>
      <c r="G20" s="69">
        <v>32.989</v>
      </c>
      <c r="H20" s="57" t="e">
        <f t="shared" si="19"/>
        <v>#NULL!</v>
      </c>
      <c r="I20" s="57" t="e">
        <f t="shared" si="20"/>
        <v>#NULL!</v>
      </c>
      <c r="J20" s="57">
        <v>23.09</v>
      </c>
      <c r="K20" s="69">
        <v>32.989</v>
      </c>
      <c r="L20" s="59">
        <f t="shared" si="21"/>
        <v>6.07801028581679</v>
      </c>
      <c r="M20" s="60">
        <f t="shared" si="22"/>
        <v>0.263231281325976</v>
      </c>
      <c r="N20" s="57">
        <f t="shared" si="23"/>
        <v>27.4908333333333</v>
      </c>
      <c r="O20" s="61">
        <f t="shared" si="24"/>
        <v>0.16008366425172</v>
      </c>
      <c r="P20" s="59">
        <f t="shared" si="25"/>
        <v>4.40083333333333</v>
      </c>
      <c r="Q20" s="57">
        <f t="shared" si="26"/>
        <v>62.7823008849558</v>
      </c>
      <c r="R20" s="57">
        <f t="shared" si="27"/>
        <v>0.954375</v>
      </c>
      <c r="S20" s="53">
        <v>16</v>
      </c>
      <c r="T20" s="62">
        <v>7.4</v>
      </c>
      <c r="U20" s="63">
        <v>0.06</v>
      </c>
      <c r="V20" s="63">
        <v>0.1</v>
      </c>
      <c r="W20" s="63">
        <v>0.01</v>
      </c>
      <c r="X20" s="63">
        <f t="shared" si="28"/>
        <v>0.367435890609927</v>
      </c>
      <c r="Y20" s="63">
        <f t="shared" si="29"/>
        <v>0.041332828064097</v>
      </c>
      <c r="Z20" s="61">
        <v>0.158</v>
      </c>
      <c r="AA20" s="64">
        <f t="shared" si="30"/>
        <v>1.3854</v>
      </c>
      <c r="AB20" s="64">
        <f t="shared" si="31"/>
        <v>2.309</v>
      </c>
      <c r="AC20" s="64">
        <f t="shared" si="32"/>
        <v>0.2309</v>
      </c>
      <c r="AD20" s="57">
        <f t="shared" si="33"/>
        <v>3.64822</v>
      </c>
      <c r="AE20" s="57">
        <v>61</v>
      </c>
      <c r="AF20" s="65">
        <f t="shared" si="34"/>
        <v>53.9823008849558</v>
      </c>
      <c r="AG20" s="65">
        <v>8.8</v>
      </c>
      <c r="AH20" s="63">
        <f t="shared" si="35"/>
        <v>0.315933543741621</v>
      </c>
      <c r="AI20" s="63">
        <f t="shared" si="36"/>
        <v>0.0515023468683062</v>
      </c>
      <c r="AJ20" s="65">
        <v>8.8</v>
      </c>
      <c r="AK20" s="63"/>
      <c r="AL20" s="63"/>
      <c r="AM20" s="63"/>
      <c r="AN20" s="63"/>
      <c r="AO20" s="66"/>
      <c r="AP20" s="66"/>
      <c r="AQ20" s="66"/>
      <c r="AR20" s="66"/>
      <c r="AS20" s="66"/>
      <c r="AT20" s="66"/>
      <c r="AU20" s="66" t="s">
        <v>600</v>
      </c>
      <c r="AV20" s="66" t="s">
        <v>600</v>
      </c>
      <c r="AW20" s="66" t="s">
        <v>600</v>
      </c>
      <c r="AX20" s="66" t="s">
        <v>600</v>
      </c>
      <c r="AY20" s="66" t="s">
        <v>600</v>
      </c>
      <c r="AZ20" s="66" t="s">
        <v>600</v>
      </c>
      <c r="BA20" s="66" t="s">
        <v>600</v>
      </c>
      <c r="BB20" s="66" t="s">
        <v>600</v>
      </c>
      <c r="BC20" s="66" t="s">
        <v>600</v>
      </c>
      <c r="BD20" s="66" t="s">
        <v>600</v>
      </c>
      <c r="BE20" s="66" t="s">
        <v>600</v>
      </c>
      <c r="BF20" s="66" t="s">
        <v>600</v>
      </c>
      <c r="BG20" s="66" t="s">
        <v>600</v>
      </c>
      <c r="BH20" s="66" t="s">
        <v>600</v>
      </c>
      <c r="BI20" s="66" t="s">
        <v>600</v>
      </c>
      <c r="BJ20" s="66" t="s">
        <v>600</v>
      </c>
      <c r="BK20" s="66" t="s">
        <v>600</v>
      </c>
      <c r="BL20" s="66" t="s">
        <v>600</v>
      </c>
      <c r="BM20" s="66" t="s">
        <v>600</v>
      </c>
      <c r="BN20" s="66" t="s">
        <v>600</v>
      </c>
      <c r="BO20" s="66" t="s">
        <v>600</v>
      </c>
      <c r="BP20" s="66" t="s">
        <v>600</v>
      </c>
      <c r="BQ20" s="66" t="s">
        <v>600</v>
      </c>
      <c r="BR20" s="66" t="s">
        <v>600</v>
      </c>
      <c r="BS20" s="70" t="e">
        <f t="shared" si="37"/>
        <v>#NULL!</v>
      </c>
      <c r="BT20" s="68" t="s">
        <v>601</v>
      </c>
    </row>
  </sheetData>
  <conditionalFormatting sqref="M2">
    <cfRule type="cellIs" dxfId="1" priority="104" operator="lessThanOrEqual">
      <formula>0</formula>
    </cfRule>
  </conditionalFormatting>
  <conditionalFormatting sqref="M7:M20">
    <cfRule type="cellIs" dxfId="1" priority="1" operator="lessThanOrEqual">
      <formula>0</formula>
    </cfRule>
  </conditionalFormatting>
  <conditionalFormatting sqref="M9:M20">
    <cfRule type="cellIs" dxfId="1" priority="2" operator="lessThanOrEqual">
      <formula>0</formula>
    </cfRule>
  </conditionalFormatting>
  <conditionalFormatting sqref="L1:M1 Q1:R1 AA1">
    <cfRule type="cellIs" dxfId="1" priority="11" operator="lessThanOrEqual">
      <formula>0</formula>
    </cfRule>
  </conditionalFormatting>
  <conditionalFormatting sqref="L2:L20 M7:M20 AA7:AC20">
    <cfRule type="cellIs" dxfId="1" priority="95" operator="lessThanOrEqual">
      <formula>0</formula>
    </cfRule>
  </conditionalFormatting>
  <conditionalFormatting sqref="M2 AA2:AC2">
    <cfRule type="cellIs" dxfId="1" priority="108" operator="lessThanOrEqual">
      <formula>0</formula>
    </cfRule>
  </conditionalFormatting>
  <conditionalFormatting sqref="M3:M6 M10:M20 AA3:AC6 AA10:AC20">
    <cfRule type="cellIs" dxfId="1" priority="72" operator="lessThanOrEqual">
      <formula>0</formula>
    </cfRule>
  </conditionalFormatting>
  <conditionalFormatting sqref="M7:M20 AA7:AC20">
    <cfRule type="cellIs" dxfId="1" priority="19" operator="lessThanOrEqual">
      <formula>0</formula>
    </cfRule>
  </conditionalFormatting>
  <conditionalFormatting sqref="M9:M20 AA9:AC20">
    <cfRule type="cellIs" dxfId="1" priority="3" operator="lessThanOrEqual">
      <formula>0</formula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5"/>
  <sheetViews>
    <sheetView workbookViewId="0">
      <selection activeCell="A1" sqref="A1"/>
    </sheetView>
  </sheetViews>
  <sheetFormatPr defaultColWidth="17" defaultRowHeight="11.4"/>
  <cols>
    <col min="1" max="1" width="10.3020833333333" customWidth="1"/>
    <col min="2" max="2" width="16.9375" customWidth="1"/>
    <col min="3" max="3" width="12.21875" customWidth="1"/>
    <col min="4" max="4" width="12.3958333333333" customWidth="1"/>
    <col min="5" max="8" width="16.59375" customWidth="1"/>
    <col min="9" max="9" width="12.5729166666667" customWidth="1"/>
    <col min="10" max="17" width="16.59375" customWidth="1"/>
    <col min="18" max="18" width="12.0520833333333" customWidth="1"/>
    <col min="19" max="21" width="11.5208333333333" customWidth="1"/>
    <col min="22" max="22" width="11.3541666666667" customWidth="1"/>
    <col min="23" max="26" width="12.0520833333333" customWidth="1"/>
    <col min="27" max="28" width="16.59375" customWidth="1"/>
  </cols>
  <sheetData>
    <row r="1" ht="24" spans="1:28">
      <c r="A1" s="1" t="s">
        <v>906</v>
      </c>
      <c r="B1" s="1" t="s">
        <v>1012</v>
      </c>
      <c r="C1" s="1" t="s">
        <v>1013</v>
      </c>
      <c r="D1" s="1" t="s">
        <v>1014</v>
      </c>
      <c r="E1" s="1" t="s">
        <v>1</v>
      </c>
      <c r="F1" s="1" t="s">
        <v>0</v>
      </c>
      <c r="G1" s="1" t="s">
        <v>3</v>
      </c>
      <c r="H1" s="1" t="s">
        <v>452</v>
      </c>
      <c r="I1" s="2" t="s">
        <v>453</v>
      </c>
      <c r="J1" s="3" t="s">
        <v>1015</v>
      </c>
      <c r="K1" s="2" t="s">
        <v>455</v>
      </c>
      <c r="L1" s="4" t="s">
        <v>456</v>
      </c>
      <c r="M1" s="5" t="s">
        <v>423</v>
      </c>
      <c r="N1" s="6" t="s">
        <v>457</v>
      </c>
      <c r="O1" s="7" t="s">
        <v>1016</v>
      </c>
      <c r="P1" s="8" t="s">
        <v>459</v>
      </c>
      <c r="Q1" s="9" t="s">
        <v>460</v>
      </c>
      <c r="R1" s="10" t="s">
        <v>154</v>
      </c>
      <c r="S1" s="10" t="s">
        <v>462</v>
      </c>
      <c r="T1" s="10" t="s">
        <v>463</v>
      </c>
      <c r="U1" s="11" t="s">
        <v>464</v>
      </c>
      <c r="V1" s="11" t="s">
        <v>153</v>
      </c>
      <c r="W1" s="12" t="s">
        <v>465</v>
      </c>
      <c r="X1" s="12" t="s">
        <v>466</v>
      </c>
      <c r="Y1" s="12" t="s">
        <v>467</v>
      </c>
      <c r="Z1" s="12" t="s">
        <v>468</v>
      </c>
      <c r="AA1" s="13" t="s">
        <v>1017</v>
      </c>
      <c r="AB1" s="13" t="s">
        <v>1018</v>
      </c>
    </row>
    <row r="2" spans="1:28">
      <c r="A2" s="14" t="s">
        <v>1019</v>
      </c>
      <c r="B2" s="15" t="s">
        <v>1020</v>
      </c>
      <c r="C2" s="14">
        <v>180</v>
      </c>
      <c r="D2" s="14">
        <v>7.94</v>
      </c>
      <c r="E2" s="15" t="s">
        <v>1021</v>
      </c>
      <c r="F2" s="15" t="s">
        <v>1022</v>
      </c>
      <c r="G2" s="15" t="s">
        <v>1023</v>
      </c>
      <c r="H2" s="15" t="s">
        <v>275</v>
      </c>
      <c r="I2" s="14" t="s">
        <v>1024</v>
      </c>
      <c r="J2" s="14">
        <v>290</v>
      </c>
      <c r="K2" s="14">
        <v>399</v>
      </c>
      <c r="L2" s="16">
        <f t="shared" ref="L2:L9" si="0">J2-Q2-W2-X2-Y2-Z2</f>
        <v>-10.34</v>
      </c>
      <c r="M2" s="17">
        <f t="shared" ref="M2:M9" si="1">L2/J2</f>
        <v>-0.0356551724137931</v>
      </c>
      <c r="N2" s="17">
        <f t="shared" ref="N2:N9" si="2">(K2-J2)/K2</f>
        <v>0.273182957393484</v>
      </c>
      <c r="O2" s="17">
        <f t="shared" ref="O2:O9" si="3">(K2-J2+Z2)/K2</f>
        <v>0.374937343358396</v>
      </c>
      <c r="P2" s="16">
        <f t="shared" ref="P2:P9" si="4">K2-J2</f>
        <v>109</v>
      </c>
      <c r="Q2" s="16">
        <f t="shared" ref="Q2:Q9" si="5">C2+D2</f>
        <v>187.94</v>
      </c>
      <c r="R2" s="18">
        <v>0.1</v>
      </c>
      <c r="S2" s="18">
        <v>0.1</v>
      </c>
      <c r="T2" s="18">
        <v>0.01</v>
      </c>
      <c r="U2" s="18">
        <f t="shared" ref="U2:U9" si="6">Q2/J2</f>
        <v>0.648068965517241</v>
      </c>
      <c r="V2" s="18">
        <v>0.14</v>
      </c>
      <c r="W2" s="19">
        <f t="shared" ref="W2:W9" si="7">J2*R2</f>
        <v>29</v>
      </c>
      <c r="X2" s="19">
        <f t="shared" ref="X2:X9" si="8">K2*S2</f>
        <v>39.9</v>
      </c>
      <c r="Y2" s="19">
        <f t="shared" ref="Y2:Y9" si="9">J2*T2</f>
        <v>2.9</v>
      </c>
      <c r="Z2" s="19">
        <f t="shared" ref="Z2:Z9" si="10">J2*V2</f>
        <v>40.6</v>
      </c>
    </row>
    <row r="3" spans="1:28">
      <c r="A3" s="20" t="s">
        <v>1019</v>
      </c>
      <c r="B3" s="15" t="s">
        <v>1025</v>
      </c>
      <c r="C3" s="14">
        <v>100</v>
      </c>
      <c r="D3" s="14">
        <v>4.19</v>
      </c>
      <c r="E3" s="21" t="s">
        <v>1021</v>
      </c>
      <c r="F3" s="15" t="s">
        <v>1026</v>
      </c>
      <c r="G3" s="15" t="s">
        <v>1027</v>
      </c>
      <c r="H3" s="15" t="s">
        <v>275</v>
      </c>
      <c r="I3" s="20" t="s">
        <v>1024</v>
      </c>
      <c r="J3" s="14">
        <v>170</v>
      </c>
      <c r="K3" s="14">
        <v>239</v>
      </c>
      <c r="L3" s="16">
        <f t="shared" si="0"/>
        <v>-0.59</v>
      </c>
      <c r="M3" s="17">
        <f t="shared" si="1"/>
        <v>-0.00347058823529412</v>
      </c>
      <c r="N3" s="17">
        <f t="shared" si="2"/>
        <v>0.288702928870293</v>
      </c>
      <c r="O3" s="17">
        <f t="shared" si="3"/>
        <v>0.388284518828452</v>
      </c>
      <c r="P3" s="16">
        <f t="shared" si="4"/>
        <v>69</v>
      </c>
      <c r="Q3" s="16">
        <f t="shared" si="5"/>
        <v>104.19</v>
      </c>
      <c r="R3" s="18">
        <v>0.1</v>
      </c>
      <c r="S3" s="18">
        <v>0.1</v>
      </c>
      <c r="T3" s="18">
        <v>0.01</v>
      </c>
      <c r="U3" s="18">
        <f t="shared" si="6"/>
        <v>0.612882352941176</v>
      </c>
      <c r="V3" s="18">
        <v>0.14</v>
      </c>
      <c r="W3" s="19">
        <f t="shared" si="7"/>
        <v>17</v>
      </c>
      <c r="X3" s="19">
        <f t="shared" si="8"/>
        <v>23.9</v>
      </c>
      <c r="Y3" s="19">
        <f t="shared" si="9"/>
        <v>1.7</v>
      </c>
      <c r="Z3" s="19">
        <f t="shared" si="10"/>
        <v>23.8</v>
      </c>
    </row>
    <row r="4" spans="1:28">
      <c r="A4" s="20" t="s">
        <v>1019</v>
      </c>
      <c r="B4" s="21" t="s">
        <v>1028</v>
      </c>
      <c r="C4" s="14">
        <v>251.12</v>
      </c>
      <c r="D4" s="14">
        <v>7.57</v>
      </c>
      <c r="E4" s="21" t="s">
        <v>1021</v>
      </c>
      <c r="F4" s="15" t="s">
        <v>1029</v>
      </c>
      <c r="G4" s="15" t="s">
        <v>1030</v>
      </c>
      <c r="H4" s="15" t="s">
        <v>275</v>
      </c>
      <c r="I4" s="20" t="s">
        <v>1024</v>
      </c>
      <c r="J4" s="14">
        <v>420</v>
      </c>
      <c r="K4" s="14">
        <v>579.99</v>
      </c>
      <c r="L4" s="16">
        <f t="shared" si="0"/>
        <v>-1.68900000000001</v>
      </c>
      <c r="M4" s="17">
        <f t="shared" si="1"/>
        <v>-0.00402142857142859</v>
      </c>
      <c r="N4" s="17">
        <f t="shared" si="2"/>
        <v>0.275849583613511</v>
      </c>
      <c r="O4" s="17">
        <f t="shared" si="3"/>
        <v>0.377230641907619</v>
      </c>
      <c r="P4" s="16">
        <f t="shared" si="4"/>
        <v>159.99</v>
      </c>
      <c r="Q4" s="16">
        <f t="shared" si="5"/>
        <v>258.69</v>
      </c>
      <c r="R4" s="18">
        <v>0.1</v>
      </c>
      <c r="S4" s="18">
        <v>0.1</v>
      </c>
      <c r="T4" s="18">
        <v>0.01</v>
      </c>
      <c r="U4" s="18">
        <f t="shared" si="6"/>
        <v>0.615928571428571</v>
      </c>
      <c r="V4" s="18">
        <v>0.14</v>
      </c>
      <c r="W4" s="19">
        <f t="shared" si="7"/>
        <v>42</v>
      </c>
      <c r="X4" s="19">
        <f t="shared" si="8"/>
        <v>57.999</v>
      </c>
      <c r="Y4" s="19">
        <f t="shared" si="9"/>
        <v>4.2</v>
      </c>
      <c r="Z4" s="19">
        <f t="shared" si="10"/>
        <v>58.8</v>
      </c>
    </row>
    <row r="5" spans="1:28">
      <c r="A5" s="20" t="s">
        <v>1019</v>
      </c>
      <c r="B5" s="15"/>
      <c r="C5" s="14">
        <v>153.04</v>
      </c>
      <c r="D5" s="14">
        <v>5.69</v>
      </c>
      <c r="I5" s="20" t="s">
        <v>1024</v>
      </c>
      <c r="J5" s="14">
        <v>245</v>
      </c>
      <c r="K5" s="14">
        <v>339</v>
      </c>
      <c r="L5" s="16">
        <f t="shared" si="0"/>
        <v>-8.87999999999999</v>
      </c>
      <c r="M5" s="17">
        <f t="shared" si="1"/>
        <v>-0.0362448979591836</v>
      </c>
      <c r="N5" s="17">
        <f t="shared" si="2"/>
        <v>0.277286135693215</v>
      </c>
      <c r="O5" s="17">
        <f t="shared" si="3"/>
        <v>0.378466076696165</v>
      </c>
      <c r="P5" s="16">
        <f t="shared" si="4"/>
        <v>94</v>
      </c>
      <c r="Q5" s="16">
        <f t="shared" si="5"/>
        <v>158.73</v>
      </c>
      <c r="R5" s="18">
        <v>0.1</v>
      </c>
      <c r="S5" s="18">
        <v>0.1</v>
      </c>
      <c r="T5" s="18">
        <v>0.01</v>
      </c>
      <c r="U5" s="18">
        <f t="shared" si="6"/>
        <v>0.647877551020408</v>
      </c>
      <c r="V5" s="18">
        <v>0.14</v>
      </c>
      <c r="W5" s="19">
        <f t="shared" si="7"/>
        <v>24.5</v>
      </c>
      <c r="X5" s="19">
        <f t="shared" si="8"/>
        <v>33.9</v>
      </c>
      <c r="Y5" s="19">
        <f t="shared" si="9"/>
        <v>2.45</v>
      </c>
      <c r="Z5" s="19">
        <f t="shared" si="10"/>
        <v>34.3</v>
      </c>
    </row>
    <row r="6" spans="1:28">
      <c r="A6" s="20" t="s">
        <v>1019</v>
      </c>
      <c r="B6" s="15" t="s">
        <v>1031</v>
      </c>
      <c r="C6" s="14">
        <v>52.38</v>
      </c>
      <c r="D6" s="14">
        <v>2.48</v>
      </c>
      <c r="E6" s="15" t="s">
        <v>1032</v>
      </c>
      <c r="F6" s="15" t="s">
        <v>1033</v>
      </c>
      <c r="G6" s="15" t="s">
        <v>1034</v>
      </c>
      <c r="H6" s="15"/>
      <c r="I6" s="20" t="s">
        <v>1024</v>
      </c>
      <c r="J6" s="14">
        <v>93.5</v>
      </c>
      <c r="K6" s="14">
        <v>129.99</v>
      </c>
      <c r="L6" s="16">
        <f t="shared" si="0"/>
        <v>2.26599999999999</v>
      </c>
      <c r="M6" s="17">
        <f t="shared" si="1"/>
        <v>0.024235294117647</v>
      </c>
      <c r="N6" s="17">
        <f t="shared" si="2"/>
        <v>0.280713901069313</v>
      </c>
      <c r="O6" s="17">
        <f t="shared" si="3"/>
        <v>0.381413954919609</v>
      </c>
      <c r="P6" s="16">
        <f t="shared" si="4"/>
        <v>36.49</v>
      </c>
      <c r="Q6" s="16">
        <f t="shared" si="5"/>
        <v>54.86</v>
      </c>
      <c r="R6" s="18">
        <v>0.1</v>
      </c>
      <c r="S6" s="18">
        <v>0.1</v>
      </c>
      <c r="T6" s="18">
        <v>0.01</v>
      </c>
      <c r="U6" s="18">
        <f t="shared" si="6"/>
        <v>0.586737967914439</v>
      </c>
      <c r="V6" s="18">
        <v>0.14</v>
      </c>
      <c r="W6" s="19">
        <f t="shared" si="7"/>
        <v>9.35</v>
      </c>
      <c r="X6" s="19">
        <f t="shared" si="8"/>
        <v>12.999</v>
      </c>
      <c r="Y6" s="19">
        <f t="shared" si="9"/>
        <v>0.935</v>
      </c>
      <c r="Z6" s="19">
        <f t="shared" si="10"/>
        <v>13.09</v>
      </c>
      <c r="AA6" s="15"/>
      <c r="AB6" s="15"/>
    </row>
    <row r="7" spans="1:28">
      <c r="A7" s="20" t="s">
        <v>1019</v>
      </c>
      <c r="B7" s="15" t="s">
        <v>1035</v>
      </c>
      <c r="C7" s="20">
        <v>52.38</v>
      </c>
      <c r="D7" s="14">
        <v>2.18</v>
      </c>
      <c r="E7" s="21" t="s">
        <v>1032</v>
      </c>
      <c r="F7" s="15" t="s">
        <v>1036</v>
      </c>
      <c r="G7" s="15" t="s">
        <v>1037</v>
      </c>
      <c r="H7" s="15"/>
      <c r="I7" s="20" t="s">
        <v>1024</v>
      </c>
      <c r="J7" s="20">
        <v>93.5</v>
      </c>
      <c r="K7" s="20">
        <v>129.99</v>
      </c>
      <c r="L7" s="16">
        <f t="shared" si="0"/>
        <v>2.56599999999999</v>
      </c>
      <c r="M7" s="17">
        <f t="shared" si="1"/>
        <v>0.0274438502673796</v>
      </c>
      <c r="N7" s="17">
        <f t="shared" si="2"/>
        <v>0.280713901069313</v>
      </c>
      <c r="O7" s="17">
        <f t="shared" si="3"/>
        <v>0.381413954919609</v>
      </c>
      <c r="P7" s="16">
        <f t="shared" si="4"/>
        <v>36.49</v>
      </c>
      <c r="Q7" s="16">
        <f t="shared" si="5"/>
        <v>54.56</v>
      </c>
      <c r="R7" s="18">
        <v>0.1</v>
      </c>
      <c r="S7" s="18">
        <v>0.1</v>
      </c>
      <c r="T7" s="18">
        <v>0.01</v>
      </c>
      <c r="U7" s="18">
        <f t="shared" si="6"/>
        <v>0.583529411764706</v>
      </c>
      <c r="V7" s="18">
        <v>0.14</v>
      </c>
      <c r="W7" s="19">
        <f t="shared" si="7"/>
        <v>9.35</v>
      </c>
      <c r="X7" s="19">
        <f t="shared" si="8"/>
        <v>12.999</v>
      </c>
      <c r="Y7" s="19">
        <f t="shared" si="9"/>
        <v>0.935</v>
      </c>
      <c r="Z7" s="19">
        <f t="shared" si="10"/>
        <v>13.09</v>
      </c>
      <c r="AA7" s="15"/>
      <c r="AB7" s="15"/>
    </row>
    <row r="8" spans="1:28">
      <c r="A8" s="20" t="s">
        <v>1019</v>
      </c>
      <c r="B8" s="15" t="s">
        <v>1038</v>
      </c>
      <c r="C8" s="14">
        <v>43.65</v>
      </c>
      <c r="D8" s="14">
        <v>1.8</v>
      </c>
      <c r="E8" s="21" t="s">
        <v>1032</v>
      </c>
      <c r="F8" s="15" t="s">
        <v>1039</v>
      </c>
      <c r="G8" s="15" t="s">
        <v>1040</v>
      </c>
      <c r="I8" s="20" t="s">
        <v>1024</v>
      </c>
      <c r="J8" s="14">
        <v>86.5</v>
      </c>
      <c r="K8" s="14">
        <v>119.99</v>
      </c>
      <c r="L8" s="16">
        <f t="shared" si="0"/>
        <v>7.426</v>
      </c>
      <c r="M8" s="17">
        <f t="shared" si="1"/>
        <v>0.085849710982659</v>
      </c>
      <c r="N8" s="17">
        <f t="shared" si="2"/>
        <v>0.279106592216018</v>
      </c>
      <c r="O8" s="17">
        <f t="shared" si="3"/>
        <v>0.380031669305775</v>
      </c>
      <c r="P8" s="16">
        <f t="shared" si="4"/>
        <v>33.49</v>
      </c>
      <c r="Q8" s="16">
        <f t="shared" si="5"/>
        <v>45.45</v>
      </c>
      <c r="R8" s="18">
        <v>0.1</v>
      </c>
      <c r="S8" s="18">
        <v>0.1</v>
      </c>
      <c r="T8" s="18">
        <v>0.01</v>
      </c>
      <c r="U8" s="18">
        <f t="shared" si="6"/>
        <v>0.525433526011561</v>
      </c>
      <c r="V8" s="18">
        <v>0.14</v>
      </c>
      <c r="W8" s="19">
        <f t="shared" si="7"/>
        <v>8.65</v>
      </c>
      <c r="X8" s="19">
        <f t="shared" si="8"/>
        <v>11.999</v>
      </c>
      <c r="Y8" s="19">
        <f t="shared" si="9"/>
        <v>0.865</v>
      </c>
      <c r="Z8" s="19">
        <f t="shared" si="10"/>
        <v>12.11</v>
      </c>
    </row>
    <row r="9" spans="1:28">
      <c r="A9" s="20" t="s">
        <v>1019</v>
      </c>
      <c r="B9" s="15" t="s">
        <v>1041</v>
      </c>
      <c r="C9" s="20">
        <v>43.65</v>
      </c>
      <c r="D9" s="14">
        <v>1.95</v>
      </c>
      <c r="E9" s="21" t="s">
        <v>1032</v>
      </c>
      <c r="F9" s="15" t="s">
        <v>1042</v>
      </c>
      <c r="G9" s="15" t="s">
        <v>1043</v>
      </c>
      <c r="I9" s="20" t="s">
        <v>1024</v>
      </c>
      <c r="J9" s="20">
        <v>86.5</v>
      </c>
      <c r="K9" s="20">
        <v>119.99</v>
      </c>
      <c r="L9" s="16">
        <f t="shared" si="0"/>
        <v>7.276</v>
      </c>
      <c r="M9" s="17">
        <f t="shared" si="1"/>
        <v>0.0841156069364162</v>
      </c>
      <c r="N9" s="17">
        <f t="shared" si="2"/>
        <v>0.279106592216018</v>
      </c>
      <c r="O9" s="17">
        <f t="shared" si="3"/>
        <v>0.380031669305775</v>
      </c>
      <c r="P9" s="16">
        <f t="shared" si="4"/>
        <v>33.49</v>
      </c>
      <c r="Q9" s="16">
        <f t="shared" si="5"/>
        <v>45.6</v>
      </c>
      <c r="R9" s="18">
        <v>0.1</v>
      </c>
      <c r="S9" s="18">
        <v>0.1</v>
      </c>
      <c r="T9" s="18">
        <v>0.01</v>
      </c>
      <c r="U9" s="18">
        <f t="shared" si="6"/>
        <v>0.527167630057804</v>
      </c>
      <c r="V9" s="18">
        <v>0.14</v>
      </c>
      <c r="W9" s="19">
        <f t="shared" si="7"/>
        <v>8.65</v>
      </c>
      <c r="X9" s="19">
        <f t="shared" si="8"/>
        <v>11.999</v>
      </c>
      <c r="Y9" s="19">
        <f t="shared" si="9"/>
        <v>0.865</v>
      </c>
      <c r="Z9" s="19">
        <f t="shared" si="10"/>
        <v>12.11</v>
      </c>
    </row>
    <row r="10" spans="1:28">
      <c r="A10" s="14"/>
      <c r="C10" s="14"/>
      <c r="D10" s="14"/>
      <c r="E10" s="15"/>
      <c r="F10" s="15"/>
      <c r="G10" s="15"/>
      <c r="H10" s="15"/>
      <c r="I10" s="20"/>
      <c r="J10" s="14"/>
      <c r="K10" s="14"/>
      <c r="L10" s="14"/>
      <c r="M10" s="17"/>
      <c r="N10" s="17"/>
      <c r="O10" s="17"/>
      <c r="P10" s="16"/>
      <c r="Q10" s="16"/>
      <c r="R10" s="18"/>
      <c r="S10" s="18"/>
      <c r="T10" s="18"/>
      <c r="U10" s="18"/>
      <c r="V10" s="18"/>
      <c r="W10" s="19"/>
      <c r="X10" s="19"/>
      <c r="Y10" s="19"/>
      <c r="Z10" s="19"/>
      <c r="AA10" s="15"/>
      <c r="AB10" s="15"/>
    </row>
    <row r="11" spans="1:28">
      <c r="A11" s="14"/>
      <c r="B11" s="22" t="s">
        <v>1044</v>
      </c>
      <c r="C11" s="14">
        <v>78</v>
      </c>
      <c r="D11" s="14">
        <v>2.25</v>
      </c>
      <c r="F11" s="15" t="s">
        <v>1045</v>
      </c>
      <c r="I11" s="20" t="s">
        <v>1024</v>
      </c>
      <c r="J11" s="14">
        <v>137</v>
      </c>
      <c r="K11" s="14">
        <v>189.99</v>
      </c>
      <c r="L11" s="16">
        <f t="shared" ref="L11:L16" si="11">J11-Q11-W11-X11-Y11-Z11</f>
        <v>3.50099999999999</v>
      </c>
      <c r="M11" s="17">
        <f t="shared" ref="M11:M16" si="12">L11/J11</f>
        <v>0.0255547445255474</v>
      </c>
      <c r="N11" s="17">
        <f t="shared" ref="N11:N16" si="13">(K11-J11)/K11</f>
        <v>0.278909416285068</v>
      </c>
      <c r="O11" s="17">
        <f t="shared" ref="O11:O16" si="14">(K11-J11+Z11)/K11</f>
        <v>0.379862098005158</v>
      </c>
      <c r="P11" s="16">
        <f t="shared" ref="P11:P16" si="15">K11-J11</f>
        <v>52.99</v>
      </c>
      <c r="Q11" s="16">
        <f t="shared" ref="Q11:Q16" si="16">C11+D11</f>
        <v>80.25</v>
      </c>
      <c r="R11" s="18">
        <v>0.1</v>
      </c>
      <c r="S11" s="18">
        <v>0.1</v>
      </c>
      <c r="T11" s="18">
        <v>0.01</v>
      </c>
      <c r="U11" s="18">
        <f t="shared" ref="U11:U16" si="17">Q11/J11</f>
        <v>0.585766423357664</v>
      </c>
      <c r="V11" s="18">
        <v>0.14</v>
      </c>
      <c r="W11" s="19">
        <f t="shared" ref="W11:W16" si="18">J11*R11</f>
        <v>13.7</v>
      </c>
      <c r="X11" s="19">
        <f t="shared" ref="X11:X16" si="19">K11*S11</f>
        <v>18.999</v>
      </c>
      <c r="Y11" s="19">
        <f t="shared" ref="Y11:Y16" si="20">J11*T11</f>
        <v>1.37</v>
      </c>
      <c r="Z11" s="19">
        <f t="shared" ref="Z11:Z16" si="21">J11*V11</f>
        <v>19.18</v>
      </c>
    </row>
    <row r="12" spans="1:28">
      <c r="A12" s="14"/>
      <c r="B12" s="22" t="s">
        <v>1046</v>
      </c>
      <c r="C12" s="14">
        <v>95</v>
      </c>
      <c r="D12" s="14">
        <v>4.64</v>
      </c>
      <c r="F12" s="15" t="s">
        <v>1047</v>
      </c>
      <c r="I12" s="20" t="s">
        <v>1024</v>
      </c>
      <c r="J12" s="14">
        <v>159</v>
      </c>
      <c r="K12" s="14">
        <v>219.99</v>
      </c>
      <c r="L12" s="16">
        <f t="shared" si="11"/>
        <v>-2.389</v>
      </c>
      <c r="M12" s="17">
        <f t="shared" si="12"/>
        <v>-0.0150251572327044</v>
      </c>
      <c r="N12" s="17">
        <f t="shared" si="13"/>
        <v>0.277239874539752</v>
      </c>
      <c r="O12" s="17">
        <f t="shared" si="14"/>
        <v>0.378426292104187</v>
      </c>
      <c r="P12" s="16">
        <f t="shared" si="15"/>
        <v>60.99</v>
      </c>
      <c r="Q12" s="16">
        <f t="shared" si="16"/>
        <v>99.64</v>
      </c>
      <c r="R12" s="18">
        <v>0.1</v>
      </c>
      <c r="S12" s="18">
        <v>0.1</v>
      </c>
      <c r="T12" s="18">
        <v>0.01</v>
      </c>
      <c r="U12" s="18">
        <f t="shared" si="17"/>
        <v>0.626666666666667</v>
      </c>
      <c r="V12" s="18">
        <v>0.14</v>
      </c>
      <c r="W12" s="19">
        <f t="shared" si="18"/>
        <v>15.9</v>
      </c>
      <c r="X12" s="19">
        <f t="shared" si="19"/>
        <v>21.999</v>
      </c>
      <c r="Y12" s="19">
        <f t="shared" si="20"/>
        <v>1.59</v>
      </c>
      <c r="Z12" s="19">
        <f t="shared" si="21"/>
        <v>22.26</v>
      </c>
    </row>
    <row r="13" spans="1:28">
      <c r="A13" s="14"/>
      <c r="B13" s="22" t="s">
        <v>1048</v>
      </c>
      <c r="C13" s="14">
        <v>145</v>
      </c>
      <c r="D13" s="14">
        <v>4.94</v>
      </c>
      <c r="F13" s="15" t="s">
        <v>1049</v>
      </c>
      <c r="I13" s="20" t="s">
        <v>1024</v>
      </c>
      <c r="J13" s="14">
        <v>245</v>
      </c>
      <c r="K13" s="14">
        <v>339</v>
      </c>
      <c r="L13" s="16">
        <f t="shared" si="11"/>
        <v>-0.0900000000000034</v>
      </c>
      <c r="M13" s="17">
        <f t="shared" si="12"/>
        <v>-0.000367346938775524</v>
      </c>
      <c r="N13" s="17">
        <f t="shared" si="13"/>
        <v>0.277286135693215</v>
      </c>
      <c r="O13" s="17">
        <f t="shared" si="14"/>
        <v>0.378466076696165</v>
      </c>
      <c r="P13" s="16">
        <f t="shared" si="15"/>
        <v>94</v>
      </c>
      <c r="Q13" s="16">
        <f t="shared" si="16"/>
        <v>149.94</v>
      </c>
      <c r="R13" s="18">
        <v>0.1</v>
      </c>
      <c r="S13" s="18">
        <v>0.1</v>
      </c>
      <c r="T13" s="18">
        <v>0.01</v>
      </c>
      <c r="U13" s="18">
        <f t="shared" si="17"/>
        <v>0.612</v>
      </c>
      <c r="V13" s="18">
        <v>0.14</v>
      </c>
      <c r="W13" s="19">
        <f t="shared" si="18"/>
        <v>24.5</v>
      </c>
      <c r="X13" s="19">
        <f t="shared" si="19"/>
        <v>33.9</v>
      </c>
      <c r="Y13" s="19">
        <f t="shared" si="20"/>
        <v>2.45</v>
      </c>
      <c r="Z13" s="19">
        <f t="shared" si="21"/>
        <v>34.3</v>
      </c>
    </row>
    <row r="14" spans="1:28">
      <c r="A14" s="14"/>
      <c r="B14" s="23" t="s">
        <v>1050</v>
      </c>
      <c r="C14" s="14">
        <v>43</v>
      </c>
      <c r="D14" s="14">
        <v>2.1</v>
      </c>
      <c r="E14" s="21" t="s">
        <v>1032</v>
      </c>
      <c r="F14" s="15" t="s">
        <v>1051</v>
      </c>
      <c r="I14" s="20" t="s">
        <v>1024</v>
      </c>
      <c r="J14" s="14">
        <v>79</v>
      </c>
      <c r="K14" s="14">
        <v>109</v>
      </c>
      <c r="L14" s="16">
        <f t="shared" si="11"/>
        <v>3.25</v>
      </c>
      <c r="M14" s="17">
        <f t="shared" si="12"/>
        <v>0.0411392405063291</v>
      </c>
      <c r="N14" s="17">
        <f t="shared" si="13"/>
        <v>0.275229357798165</v>
      </c>
      <c r="O14" s="17">
        <f t="shared" si="14"/>
        <v>0.376697247706422</v>
      </c>
      <c r="P14" s="16">
        <f t="shared" si="15"/>
        <v>30</v>
      </c>
      <c r="Q14" s="16">
        <f t="shared" si="16"/>
        <v>45.1</v>
      </c>
      <c r="R14" s="18">
        <v>0.1</v>
      </c>
      <c r="S14" s="18">
        <v>0.1</v>
      </c>
      <c r="T14" s="18">
        <v>0.01</v>
      </c>
      <c r="U14" s="18">
        <f t="shared" si="17"/>
        <v>0.570886075949367</v>
      </c>
      <c r="V14" s="18">
        <v>0.14</v>
      </c>
      <c r="W14" s="19">
        <f t="shared" si="18"/>
        <v>7.9</v>
      </c>
      <c r="X14" s="19">
        <f t="shared" si="19"/>
        <v>10.9</v>
      </c>
      <c r="Y14" s="19">
        <f t="shared" si="20"/>
        <v>0.79</v>
      </c>
      <c r="Z14" s="19">
        <f t="shared" si="21"/>
        <v>11.06</v>
      </c>
    </row>
    <row r="15" spans="1:28">
      <c r="A15" s="14"/>
      <c r="B15" s="22" t="s">
        <v>1052</v>
      </c>
      <c r="C15" s="14">
        <v>66</v>
      </c>
      <c r="D15" s="14">
        <v>2.7</v>
      </c>
      <c r="F15" s="15" t="s">
        <v>1053</v>
      </c>
      <c r="I15" s="20" t="s">
        <v>1024</v>
      </c>
      <c r="J15" s="14">
        <v>110</v>
      </c>
      <c r="K15" s="14">
        <v>149.99</v>
      </c>
      <c r="L15" s="16">
        <f t="shared" si="11"/>
        <v>-1.19900000000001</v>
      </c>
      <c r="M15" s="17">
        <f t="shared" si="12"/>
        <v>-0.0109000000000001</v>
      </c>
      <c r="N15" s="17">
        <f t="shared" si="13"/>
        <v>0.266617774518301</v>
      </c>
      <c r="O15" s="17">
        <f t="shared" si="14"/>
        <v>0.369291286085739</v>
      </c>
      <c r="P15" s="16">
        <f t="shared" si="15"/>
        <v>39.99</v>
      </c>
      <c r="Q15" s="16">
        <f t="shared" si="16"/>
        <v>68.7</v>
      </c>
      <c r="R15" s="18">
        <v>0.1</v>
      </c>
      <c r="S15" s="18">
        <v>0.1</v>
      </c>
      <c r="T15" s="18">
        <v>0.01</v>
      </c>
      <c r="U15" s="18">
        <f t="shared" si="17"/>
        <v>0.624545454545455</v>
      </c>
      <c r="V15" s="18">
        <v>0.14</v>
      </c>
      <c r="W15" s="19">
        <f t="shared" si="18"/>
        <v>11</v>
      </c>
      <c r="X15" s="19">
        <f t="shared" si="19"/>
        <v>14.999</v>
      </c>
      <c r="Y15" s="19">
        <f t="shared" si="20"/>
        <v>1.1</v>
      </c>
      <c r="Z15" s="19">
        <f t="shared" si="21"/>
        <v>15.4</v>
      </c>
    </row>
    <row r="16" spans="1:28">
      <c r="A16" s="14"/>
      <c r="B16" s="22" t="s">
        <v>1054</v>
      </c>
      <c r="C16" s="14">
        <v>65</v>
      </c>
      <c r="D16" s="14">
        <v>6.07</v>
      </c>
      <c r="F16" s="15" t="s">
        <v>1055</v>
      </c>
      <c r="I16" s="20" t="s">
        <v>1024</v>
      </c>
      <c r="J16" s="20">
        <v>110</v>
      </c>
      <c r="K16" s="20">
        <v>149.99</v>
      </c>
      <c r="L16" s="16">
        <f t="shared" si="11"/>
        <v>-3.569</v>
      </c>
      <c r="M16" s="17">
        <f t="shared" si="12"/>
        <v>-0.0324454545454545</v>
      </c>
      <c r="N16" s="17">
        <f t="shared" si="13"/>
        <v>0.266617774518301</v>
      </c>
      <c r="O16" s="17">
        <f t="shared" si="14"/>
        <v>0.369291286085739</v>
      </c>
      <c r="P16" s="16">
        <f t="shared" si="15"/>
        <v>39.99</v>
      </c>
      <c r="Q16" s="16">
        <f t="shared" si="16"/>
        <v>71.07</v>
      </c>
      <c r="R16" s="18">
        <v>0.1</v>
      </c>
      <c r="S16" s="18">
        <v>0.1</v>
      </c>
      <c r="T16" s="18">
        <v>0.01</v>
      </c>
      <c r="U16" s="18">
        <f t="shared" si="17"/>
        <v>0.646090909090909</v>
      </c>
      <c r="V16" s="18">
        <v>0.14</v>
      </c>
      <c r="W16" s="19">
        <f t="shared" si="18"/>
        <v>11</v>
      </c>
      <c r="X16" s="19">
        <f t="shared" si="19"/>
        <v>14.999</v>
      </c>
      <c r="Y16" s="19">
        <f t="shared" si="20"/>
        <v>1.1</v>
      </c>
      <c r="Z16" s="19">
        <f t="shared" si="21"/>
        <v>15.4</v>
      </c>
    </row>
    <row r="17" spans="1:28">
      <c r="A17" s="14"/>
      <c r="B17" s="15"/>
      <c r="C17" s="14"/>
      <c r="D17" s="14"/>
      <c r="F17" s="15"/>
      <c r="G17" s="15"/>
      <c r="I17" s="20"/>
      <c r="J17" s="20"/>
      <c r="K17" s="20"/>
      <c r="L17" s="14"/>
      <c r="M17" s="17"/>
      <c r="N17" s="17"/>
      <c r="O17" s="17"/>
      <c r="P17" s="16"/>
      <c r="Q17" s="16"/>
      <c r="R17" s="18"/>
      <c r="S17" s="18"/>
      <c r="T17" s="18"/>
      <c r="U17" s="18"/>
      <c r="V17" s="18"/>
      <c r="W17" s="19"/>
      <c r="X17" s="19"/>
      <c r="Y17" s="19"/>
      <c r="Z17" s="19"/>
      <c r="AA17" s="15"/>
      <c r="AB17" s="15"/>
    </row>
    <row r="18" spans="1:28">
      <c r="A18" s="14"/>
      <c r="B18" s="15" t="s">
        <v>1056</v>
      </c>
      <c r="C18" s="14">
        <v>92</v>
      </c>
      <c r="D18" s="14">
        <v>4.64</v>
      </c>
      <c r="F18" s="15" t="s">
        <v>1057</v>
      </c>
      <c r="G18" s="15" t="s">
        <v>1058</v>
      </c>
      <c r="I18" s="20" t="s">
        <v>1024</v>
      </c>
      <c r="J18" s="14">
        <v>164.3</v>
      </c>
      <c r="K18" s="14">
        <v>229</v>
      </c>
      <c r="L18" s="16">
        <f t="shared" ref="L18:L24" si="22">J18-Q18-W18-X18-Y18-Z18</f>
        <v>3.685</v>
      </c>
      <c r="M18" s="17">
        <f t="shared" ref="M18:M24" si="23">L18/J18</f>
        <v>0.0224284844796105</v>
      </c>
      <c r="N18" s="17">
        <f t="shared" ref="N18:N24" si="24">(K18-J18)/K18</f>
        <v>0.282532751091703</v>
      </c>
      <c r="O18" s="17">
        <f t="shared" ref="O18:O24" si="25">(K18-J18+Z18)/K18</f>
        <v>0.382978165938865</v>
      </c>
      <c r="P18" s="16">
        <f t="shared" ref="P18:P24" si="26">K18-J18</f>
        <v>64.7</v>
      </c>
      <c r="Q18" s="16">
        <f t="shared" ref="Q18:Q24" si="27">C18+D18</f>
        <v>96.64</v>
      </c>
      <c r="R18" s="18">
        <v>0.1</v>
      </c>
      <c r="S18" s="18">
        <v>0.1</v>
      </c>
      <c r="T18" s="18">
        <v>0.01</v>
      </c>
      <c r="U18" s="18">
        <f t="shared" ref="U18:U24" si="28">Q18/J18</f>
        <v>0.588192331101643</v>
      </c>
      <c r="V18" s="18">
        <v>0.14</v>
      </c>
      <c r="W18" s="19">
        <f t="shared" ref="W18:W24" si="29">J18*R18</f>
        <v>16.43</v>
      </c>
      <c r="X18" s="19">
        <f t="shared" ref="X18:X24" si="30">K18*S18</f>
        <v>22.9</v>
      </c>
      <c r="Y18" s="19">
        <f t="shared" ref="Y18:Y24" si="31">J18*T18</f>
        <v>1.643</v>
      </c>
      <c r="Z18" s="19">
        <f t="shared" ref="Z18:Z24" si="32">J18*V18</f>
        <v>23.002</v>
      </c>
      <c r="AA18" s="15"/>
      <c r="AB18" s="15"/>
    </row>
    <row r="19" spans="1:28">
      <c r="A19" s="14"/>
      <c r="B19" s="15" t="s">
        <v>1059</v>
      </c>
      <c r="C19" s="14">
        <v>106</v>
      </c>
      <c r="D19" s="14">
        <v>4.64</v>
      </c>
      <c r="F19" s="15" t="s">
        <v>1060</v>
      </c>
      <c r="G19" s="15" t="s">
        <v>1061</v>
      </c>
      <c r="I19" s="20" t="s">
        <v>1024</v>
      </c>
      <c r="J19" s="20">
        <v>164.3</v>
      </c>
      <c r="K19" s="20">
        <v>229</v>
      </c>
      <c r="L19" s="16">
        <f t="shared" si="22"/>
        <v>-10.315</v>
      </c>
      <c r="M19" s="17">
        <f t="shared" si="23"/>
        <v>-0.0627814972611077</v>
      </c>
      <c r="N19" s="17">
        <f t="shared" si="24"/>
        <v>0.282532751091703</v>
      </c>
      <c r="O19" s="17">
        <f t="shared" si="25"/>
        <v>0.382978165938865</v>
      </c>
      <c r="P19" s="16">
        <f t="shared" si="26"/>
        <v>64.7</v>
      </c>
      <c r="Q19" s="16">
        <f t="shared" si="27"/>
        <v>110.64</v>
      </c>
      <c r="R19" s="18">
        <v>0.1</v>
      </c>
      <c r="S19" s="18">
        <v>0.1</v>
      </c>
      <c r="T19" s="18">
        <v>0.01</v>
      </c>
      <c r="U19" s="18">
        <f t="shared" si="28"/>
        <v>0.673402312842362</v>
      </c>
      <c r="V19" s="18">
        <v>0.14</v>
      </c>
      <c r="W19" s="19">
        <f t="shared" si="29"/>
        <v>16.43</v>
      </c>
      <c r="X19" s="19">
        <f t="shared" si="30"/>
        <v>22.9</v>
      </c>
      <c r="Y19" s="19">
        <f t="shared" si="31"/>
        <v>1.643</v>
      </c>
      <c r="Z19" s="19">
        <f t="shared" si="32"/>
        <v>23.002</v>
      </c>
      <c r="AA19" s="15"/>
      <c r="AB19" s="15"/>
    </row>
    <row r="20" spans="1:28">
      <c r="A20" s="14"/>
      <c r="B20" s="15" t="s">
        <v>1062</v>
      </c>
      <c r="C20" s="14">
        <v>84</v>
      </c>
      <c r="D20" s="14">
        <v>4</v>
      </c>
      <c r="F20" s="15" t="s">
        <v>1063</v>
      </c>
      <c r="G20" s="15" t="s">
        <v>1064</v>
      </c>
      <c r="I20" s="20" t="s">
        <v>1024</v>
      </c>
      <c r="J20" s="20">
        <v>142.8</v>
      </c>
      <c r="K20" s="20">
        <v>199</v>
      </c>
      <c r="L20" s="16">
        <f t="shared" si="22"/>
        <v>-0.799999999999997</v>
      </c>
      <c r="M20" s="17">
        <f t="shared" si="23"/>
        <v>-0.00560224089635852</v>
      </c>
      <c r="N20" s="17">
        <f t="shared" si="24"/>
        <v>0.282412060301508</v>
      </c>
      <c r="O20" s="17">
        <f t="shared" si="25"/>
        <v>0.382874371859296</v>
      </c>
      <c r="P20" s="16">
        <f t="shared" si="26"/>
        <v>56.2</v>
      </c>
      <c r="Q20" s="16">
        <f t="shared" si="27"/>
        <v>88</v>
      </c>
      <c r="R20" s="18">
        <v>0.1</v>
      </c>
      <c r="S20" s="18">
        <v>0.1</v>
      </c>
      <c r="T20" s="18">
        <v>0.01</v>
      </c>
      <c r="U20" s="18">
        <f t="shared" si="28"/>
        <v>0.61624649859944</v>
      </c>
      <c r="V20" s="18">
        <v>0.14</v>
      </c>
      <c r="W20" s="19">
        <f t="shared" si="29"/>
        <v>14.28</v>
      </c>
      <c r="X20" s="19">
        <f t="shared" si="30"/>
        <v>19.9</v>
      </c>
      <c r="Y20" s="19">
        <f t="shared" si="31"/>
        <v>1.428</v>
      </c>
      <c r="Z20" s="19">
        <f t="shared" si="32"/>
        <v>19.992</v>
      </c>
      <c r="AA20" s="15"/>
      <c r="AB20" s="15"/>
    </row>
    <row r="21" spans="1:28">
      <c r="A21" s="14"/>
      <c r="B21" s="15" t="s">
        <v>1065</v>
      </c>
      <c r="C21" s="14">
        <v>18</v>
      </c>
      <c r="D21" s="14">
        <v>3.53</v>
      </c>
      <c r="F21" s="15" t="s">
        <v>1066</v>
      </c>
      <c r="G21" s="15" t="s">
        <v>1067</v>
      </c>
      <c r="I21" s="20" t="s">
        <v>1024</v>
      </c>
      <c r="J21" s="20">
        <v>28.44</v>
      </c>
      <c r="K21" s="20">
        <v>39.51</v>
      </c>
      <c r="L21" s="16">
        <f t="shared" si="22"/>
        <v>-4.151</v>
      </c>
      <c r="M21" s="17">
        <f t="shared" si="23"/>
        <v>-0.145956399437412</v>
      </c>
      <c r="N21" s="17">
        <f t="shared" si="24"/>
        <v>0.280182232346241</v>
      </c>
      <c r="O21" s="17">
        <f t="shared" si="25"/>
        <v>0.380956719817768</v>
      </c>
      <c r="P21" s="16">
        <f t="shared" si="26"/>
        <v>11.07</v>
      </c>
      <c r="Q21" s="16">
        <f t="shared" si="27"/>
        <v>21.53</v>
      </c>
      <c r="R21" s="18">
        <v>0.1</v>
      </c>
      <c r="S21" s="18">
        <v>0.1</v>
      </c>
      <c r="T21" s="18">
        <v>0.01</v>
      </c>
      <c r="U21" s="18">
        <f t="shared" si="28"/>
        <v>0.757032348804501</v>
      </c>
      <c r="V21" s="18">
        <v>0.14</v>
      </c>
      <c r="W21" s="19">
        <f t="shared" si="29"/>
        <v>2.844</v>
      </c>
      <c r="X21" s="19">
        <f t="shared" si="30"/>
        <v>3.951</v>
      </c>
      <c r="Y21" s="19">
        <f t="shared" si="31"/>
        <v>0.2844</v>
      </c>
      <c r="Z21" s="19">
        <f t="shared" si="32"/>
        <v>3.9816</v>
      </c>
    </row>
    <row r="22" spans="1:28">
      <c r="A22" s="14"/>
      <c r="B22" s="15" t="s">
        <v>1068</v>
      </c>
      <c r="C22" s="14">
        <v>18</v>
      </c>
      <c r="D22" s="14">
        <v>3.53</v>
      </c>
      <c r="F22" s="15" t="s">
        <v>1069</v>
      </c>
      <c r="G22" s="15" t="s">
        <v>1067</v>
      </c>
      <c r="I22" s="20" t="s">
        <v>1024</v>
      </c>
      <c r="J22" s="20">
        <v>28.44</v>
      </c>
      <c r="K22" s="20">
        <v>39.51</v>
      </c>
      <c r="L22" s="16">
        <f t="shared" si="22"/>
        <v>-4.151</v>
      </c>
      <c r="M22" s="17">
        <f t="shared" si="23"/>
        <v>-0.145956399437412</v>
      </c>
      <c r="N22" s="17">
        <f t="shared" si="24"/>
        <v>0.280182232346241</v>
      </c>
      <c r="O22" s="17">
        <f t="shared" si="25"/>
        <v>0.380956719817768</v>
      </c>
      <c r="P22" s="16">
        <f t="shared" si="26"/>
        <v>11.07</v>
      </c>
      <c r="Q22" s="16">
        <f t="shared" si="27"/>
        <v>21.53</v>
      </c>
      <c r="R22" s="18">
        <v>0.1</v>
      </c>
      <c r="S22" s="18">
        <v>0.1</v>
      </c>
      <c r="T22" s="18">
        <v>0.01</v>
      </c>
      <c r="U22" s="18">
        <f t="shared" si="28"/>
        <v>0.757032348804501</v>
      </c>
      <c r="V22" s="18">
        <v>0.14</v>
      </c>
      <c r="W22" s="19">
        <f t="shared" si="29"/>
        <v>2.844</v>
      </c>
      <c r="X22" s="19">
        <f t="shared" si="30"/>
        <v>3.951</v>
      </c>
      <c r="Y22" s="19">
        <f t="shared" si="31"/>
        <v>0.2844</v>
      </c>
      <c r="Z22" s="19">
        <f t="shared" si="32"/>
        <v>3.9816</v>
      </c>
    </row>
    <row r="23" spans="1:28">
      <c r="A23" s="14"/>
      <c r="B23" s="15" t="s">
        <v>1070</v>
      </c>
      <c r="C23" s="14">
        <v>28</v>
      </c>
      <c r="D23" s="14">
        <v>3.57</v>
      </c>
      <c r="F23" s="15" t="s">
        <v>1071</v>
      </c>
      <c r="G23" s="15" t="s">
        <v>1072</v>
      </c>
      <c r="I23" s="20" t="s">
        <v>1024</v>
      </c>
      <c r="J23" s="20">
        <v>51.8</v>
      </c>
      <c r="K23" s="20">
        <v>72.99</v>
      </c>
      <c r="L23" s="16">
        <f t="shared" si="22"/>
        <v>-0.0190000000000028</v>
      </c>
      <c r="M23" s="17">
        <f t="shared" si="23"/>
        <v>-0.000366795366795421</v>
      </c>
      <c r="N23" s="17">
        <f t="shared" si="24"/>
        <v>0.290313741608439</v>
      </c>
      <c r="O23" s="17">
        <f t="shared" si="25"/>
        <v>0.389669817783258</v>
      </c>
      <c r="P23" s="16">
        <f t="shared" si="26"/>
        <v>21.19</v>
      </c>
      <c r="Q23" s="16">
        <f t="shared" si="27"/>
        <v>31.57</v>
      </c>
      <c r="R23" s="18">
        <v>0.1</v>
      </c>
      <c r="S23" s="18">
        <v>0.1</v>
      </c>
      <c r="T23" s="18">
        <v>0.01</v>
      </c>
      <c r="U23" s="18">
        <f t="shared" si="28"/>
        <v>0.609459459459459</v>
      </c>
      <c r="V23" s="18">
        <v>0.14</v>
      </c>
      <c r="W23" s="19">
        <f t="shared" si="29"/>
        <v>5.18</v>
      </c>
      <c r="X23" s="19">
        <f t="shared" si="30"/>
        <v>7.299</v>
      </c>
      <c r="Y23" s="19">
        <f t="shared" si="31"/>
        <v>0.518</v>
      </c>
      <c r="Z23" s="19">
        <f t="shared" si="32"/>
        <v>7.252</v>
      </c>
    </row>
    <row r="24" spans="1:28">
      <c r="A24" s="14"/>
      <c r="B24" s="15" t="s">
        <v>1073</v>
      </c>
      <c r="C24" s="14">
        <v>28</v>
      </c>
      <c r="D24" s="14">
        <v>3.57</v>
      </c>
      <c r="F24" s="15" t="s">
        <v>1074</v>
      </c>
      <c r="G24" s="15" t="s">
        <v>1072</v>
      </c>
      <c r="I24" s="20" t="s">
        <v>1024</v>
      </c>
      <c r="J24" s="20">
        <v>51.8</v>
      </c>
      <c r="K24" s="20">
        <v>72.99</v>
      </c>
      <c r="L24" s="16">
        <f t="shared" si="22"/>
        <v>-0.0190000000000028</v>
      </c>
      <c r="M24" s="17">
        <f t="shared" si="23"/>
        <v>-0.000366795366795421</v>
      </c>
      <c r="N24" s="17">
        <f t="shared" si="24"/>
        <v>0.290313741608439</v>
      </c>
      <c r="O24" s="17">
        <f t="shared" si="25"/>
        <v>0.389669817783258</v>
      </c>
      <c r="P24" s="16">
        <f t="shared" si="26"/>
        <v>21.19</v>
      </c>
      <c r="Q24" s="16">
        <f t="shared" si="27"/>
        <v>31.57</v>
      </c>
      <c r="R24" s="18">
        <v>0.1</v>
      </c>
      <c r="S24" s="18">
        <v>0.1</v>
      </c>
      <c r="T24" s="18">
        <v>0.01</v>
      </c>
      <c r="U24" s="18">
        <f t="shared" si="28"/>
        <v>0.609459459459459</v>
      </c>
      <c r="V24" s="18">
        <v>0.14</v>
      </c>
      <c r="W24" s="19">
        <f t="shared" si="29"/>
        <v>5.18</v>
      </c>
      <c r="X24" s="19">
        <f t="shared" si="30"/>
        <v>7.299</v>
      </c>
      <c r="Y24" s="19">
        <f t="shared" si="31"/>
        <v>0.518</v>
      </c>
      <c r="Z24" s="19">
        <f t="shared" si="32"/>
        <v>7.252</v>
      </c>
    </row>
    <row r="25" spans="1:28">
      <c r="A25" s="14"/>
      <c r="B25" s="15"/>
      <c r="C25" s="14"/>
      <c r="D25" s="14"/>
      <c r="I25" s="14"/>
      <c r="P25" s="24"/>
      <c r="Q25" s="25"/>
      <c r="R25" s="14"/>
      <c r="U25" s="18"/>
      <c r="V25" s="14"/>
    </row>
    <row r="26" spans="1:28">
      <c r="A26" s="14"/>
      <c r="B26" s="15"/>
      <c r="C26" s="14"/>
      <c r="D26" s="14"/>
      <c r="E26" s="15" t="s">
        <v>1075</v>
      </c>
      <c r="F26" s="15" t="s">
        <v>1076</v>
      </c>
      <c r="G26" s="15" t="s">
        <v>1077</v>
      </c>
      <c r="I26" s="20" t="s">
        <v>1024</v>
      </c>
      <c r="J26" s="26">
        <v>109.79</v>
      </c>
      <c r="P26" s="24"/>
      <c r="Q26" s="25"/>
      <c r="R26" s="14"/>
      <c r="U26" s="18"/>
      <c r="V26" s="14"/>
    </row>
    <row r="27" spans="1:28">
      <c r="A27" s="14"/>
      <c r="B27" s="15"/>
      <c r="C27" s="14"/>
      <c r="D27" s="14"/>
      <c r="E27" s="15" t="s">
        <v>1078</v>
      </c>
      <c r="F27" s="15" t="s">
        <v>1079</v>
      </c>
      <c r="G27" s="15" t="s">
        <v>1080</v>
      </c>
      <c r="I27" s="20" t="s">
        <v>1024</v>
      </c>
      <c r="J27" s="26">
        <v>100.64</v>
      </c>
      <c r="P27" s="24"/>
      <c r="Q27" s="25"/>
      <c r="R27" s="14"/>
      <c r="U27" s="18"/>
      <c r="V27" s="14"/>
    </row>
    <row r="28" spans="1:28">
      <c r="A28" s="14"/>
      <c r="B28" s="15"/>
      <c r="C28" s="14"/>
      <c r="D28" s="14"/>
      <c r="E28" s="15" t="s">
        <v>1081</v>
      </c>
      <c r="F28" s="15" t="s">
        <v>1082</v>
      </c>
      <c r="G28" s="15" t="s">
        <v>1083</v>
      </c>
      <c r="I28" s="20" t="s">
        <v>1024</v>
      </c>
      <c r="J28" s="26">
        <v>88.8</v>
      </c>
      <c r="P28" s="24"/>
      <c r="Q28" s="25"/>
      <c r="R28" s="14"/>
      <c r="U28" s="18"/>
      <c r="V28" s="14"/>
    </row>
    <row r="29" spans="1:28">
      <c r="A29" s="14"/>
      <c r="B29" s="15"/>
      <c r="C29" s="14"/>
      <c r="D29" s="14"/>
      <c r="E29" s="15" t="s">
        <v>1084</v>
      </c>
      <c r="F29" s="15" t="s">
        <v>1085</v>
      </c>
      <c r="G29" s="15" t="s">
        <v>1086</v>
      </c>
      <c r="I29" s="20" t="s">
        <v>1024</v>
      </c>
      <c r="J29" s="26">
        <v>63.84</v>
      </c>
      <c r="P29" s="24"/>
      <c r="Q29" s="25"/>
      <c r="R29" s="14"/>
      <c r="U29" s="18"/>
      <c r="V29" s="14"/>
    </row>
    <row r="30" spans="1:28">
      <c r="A30" s="14"/>
      <c r="B30" s="15"/>
      <c r="C30" s="14"/>
      <c r="D30" s="14"/>
      <c r="E30" s="15" t="s">
        <v>1087</v>
      </c>
      <c r="F30" s="15" t="s">
        <v>1088</v>
      </c>
      <c r="G30" s="15" t="s">
        <v>1089</v>
      </c>
      <c r="I30" s="20" t="s">
        <v>1024</v>
      </c>
      <c r="J30" s="26">
        <v>71.04</v>
      </c>
      <c r="P30" s="24"/>
      <c r="Q30" s="25"/>
      <c r="R30" s="14"/>
      <c r="U30" s="18"/>
      <c r="V30" s="14"/>
    </row>
    <row r="31" spans="1:28">
      <c r="A31" s="14"/>
      <c r="B31" s="15"/>
      <c r="C31" s="14"/>
      <c r="D31" s="14"/>
      <c r="I31" s="14"/>
      <c r="P31" s="24"/>
      <c r="Q31" s="25"/>
      <c r="R31" s="14"/>
      <c r="U31" s="18"/>
      <c r="V31" s="14"/>
    </row>
    <row r="32" spans="1:28">
      <c r="A32" s="14"/>
      <c r="B32" s="15"/>
      <c r="C32" s="14"/>
      <c r="D32" s="14"/>
      <c r="I32" s="14"/>
      <c r="P32" s="24"/>
      <c r="Q32" s="25"/>
      <c r="R32" s="14"/>
      <c r="U32" s="18"/>
      <c r="V32" s="14"/>
    </row>
    <row r="33" spans="1:22">
      <c r="A33" s="14"/>
      <c r="B33" s="15"/>
      <c r="C33" s="14"/>
      <c r="D33" s="14"/>
      <c r="I33" s="14"/>
      <c r="P33" s="24"/>
      <c r="Q33" s="25"/>
      <c r="R33" s="14"/>
      <c r="U33" s="18"/>
      <c r="V33" s="14"/>
    </row>
    <row r="34" spans="1:22">
      <c r="A34" s="14"/>
      <c r="B34" s="15"/>
      <c r="C34" s="14"/>
      <c r="D34" s="14"/>
      <c r="I34" s="14"/>
      <c r="P34" s="24"/>
      <c r="Q34" s="25"/>
      <c r="R34" s="14"/>
      <c r="U34" s="18"/>
      <c r="V34" s="14"/>
    </row>
    <row r="35" spans="1:22">
      <c r="A35" s="14"/>
      <c r="B35" s="15"/>
      <c r="C35" s="14"/>
      <c r="D35" s="14"/>
      <c r="I35" s="14"/>
      <c r="P35" s="24"/>
      <c r="Q35" s="25"/>
      <c r="R35" s="14"/>
      <c r="U35" s="18"/>
      <c r="V35" s="14"/>
    </row>
    <row r="36" spans="1:22">
      <c r="A36" s="14"/>
      <c r="B36" s="15"/>
      <c r="C36" s="14"/>
      <c r="D36" s="14"/>
      <c r="I36" s="14"/>
      <c r="P36" s="24"/>
      <c r="Q36" s="25"/>
      <c r="R36" s="14"/>
      <c r="U36" s="18"/>
      <c r="V36" s="14"/>
    </row>
    <row r="37" spans="1:22">
      <c r="A37" s="14"/>
      <c r="B37" s="15"/>
      <c r="C37" s="14"/>
      <c r="D37" s="14"/>
      <c r="I37" s="14"/>
      <c r="P37" s="24"/>
      <c r="Q37" s="25"/>
      <c r="R37" s="14"/>
      <c r="U37" s="18"/>
      <c r="V37" s="14"/>
    </row>
    <row r="38" spans="1:22">
      <c r="A38" s="14"/>
      <c r="B38" s="15"/>
      <c r="C38" s="14"/>
      <c r="D38" s="14"/>
      <c r="I38" s="14"/>
      <c r="P38" s="24"/>
      <c r="Q38" s="25"/>
      <c r="R38" s="14"/>
      <c r="U38" s="18"/>
      <c r="V38" s="14"/>
    </row>
    <row r="39" spans="1:22">
      <c r="A39" s="14"/>
      <c r="B39" s="15"/>
      <c r="C39" s="14"/>
      <c r="D39" s="14"/>
      <c r="I39" s="14"/>
      <c r="P39" s="24"/>
      <c r="Q39" s="25"/>
      <c r="R39" s="14"/>
      <c r="U39" s="18"/>
      <c r="V39" s="14"/>
    </row>
    <row r="40" spans="1:22">
      <c r="A40" s="14"/>
      <c r="B40" s="15"/>
      <c r="C40" s="14"/>
      <c r="D40" s="14"/>
      <c r="I40" s="14"/>
      <c r="P40" s="24"/>
      <c r="Q40" s="25"/>
      <c r="R40" s="14"/>
      <c r="U40" s="18"/>
      <c r="V40" s="14"/>
    </row>
    <row r="41" spans="1:22">
      <c r="A41" s="14"/>
      <c r="B41" s="15"/>
      <c r="C41" s="14"/>
      <c r="D41" s="14"/>
      <c r="I41" s="14"/>
      <c r="P41" s="24"/>
      <c r="Q41" s="25"/>
      <c r="R41" s="14"/>
      <c r="U41" s="18"/>
      <c r="V41" s="14"/>
    </row>
    <row r="42" spans="1:22">
      <c r="A42" s="14"/>
      <c r="B42" s="15"/>
      <c r="C42" s="14"/>
      <c r="D42" s="14"/>
      <c r="I42" s="14"/>
      <c r="P42" s="24"/>
      <c r="Q42" s="25"/>
      <c r="R42" s="14"/>
      <c r="U42" s="18"/>
      <c r="V42" s="14"/>
    </row>
    <row r="43" spans="1:22">
      <c r="A43" s="14"/>
      <c r="B43" s="15"/>
      <c r="C43" s="14"/>
      <c r="D43" s="14"/>
      <c r="I43" s="14"/>
      <c r="P43" s="24"/>
      <c r="Q43" s="25"/>
      <c r="R43" s="14"/>
      <c r="U43" s="18"/>
      <c r="V43" s="14"/>
    </row>
    <row r="44" spans="1:22">
      <c r="A44" s="14"/>
      <c r="B44" s="15"/>
      <c r="C44" s="14"/>
      <c r="D44" s="14"/>
      <c r="I44" s="14"/>
      <c r="P44" s="24"/>
      <c r="Q44" s="25"/>
      <c r="R44" s="14"/>
      <c r="U44" s="18"/>
      <c r="V44" s="14"/>
    </row>
    <row r="45" spans="1:22">
      <c r="A45" s="14"/>
      <c r="B45" s="15"/>
      <c r="C45" s="14"/>
      <c r="D45" s="14"/>
      <c r="I45" s="14"/>
      <c r="P45" s="24"/>
      <c r="Q45" s="25"/>
      <c r="R45" s="14"/>
      <c r="U45" s="18"/>
      <c r="V45" s="14"/>
    </row>
    <row r="46" spans="1:22">
      <c r="A46" s="14"/>
      <c r="B46" s="15"/>
      <c r="C46" s="14"/>
      <c r="D46" s="14"/>
      <c r="I46" s="14"/>
      <c r="P46" s="24"/>
      <c r="Q46" s="25"/>
      <c r="R46" s="14"/>
      <c r="U46" s="18"/>
      <c r="V46" s="14"/>
    </row>
    <row r="47" spans="1:22">
      <c r="A47" s="14"/>
      <c r="B47" s="15"/>
      <c r="C47" s="14"/>
      <c r="D47" s="14"/>
      <c r="I47" s="14"/>
      <c r="P47" s="24"/>
      <c r="Q47" s="25"/>
      <c r="R47" s="14"/>
      <c r="U47" s="18"/>
      <c r="V47" s="14"/>
    </row>
    <row r="48" spans="1:22">
      <c r="A48" s="14"/>
      <c r="B48" s="15"/>
      <c r="C48" s="14"/>
      <c r="D48" s="14"/>
      <c r="I48" s="14"/>
      <c r="P48" s="24"/>
      <c r="Q48" s="25"/>
      <c r="R48" s="14"/>
      <c r="U48" s="18"/>
      <c r="V48" s="14"/>
    </row>
    <row r="49" spans="1:22">
      <c r="A49" s="14"/>
      <c r="B49" s="15"/>
      <c r="C49" s="14"/>
      <c r="D49" s="14"/>
      <c r="I49" s="14"/>
      <c r="P49" s="24"/>
      <c r="Q49" s="25"/>
      <c r="R49" s="14"/>
      <c r="U49" s="18"/>
      <c r="V49" s="14"/>
    </row>
    <row r="50" spans="1:22">
      <c r="A50" s="14"/>
      <c r="B50" s="15"/>
      <c r="C50" s="14"/>
      <c r="D50" s="14"/>
      <c r="I50" s="14"/>
      <c r="P50" s="24"/>
      <c r="Q50" s="25"/>
      <c r="R50" s="14"/>
      <c r="U50" s="18"/>
      <c r="V50" s="14"/>
    </row>
    <row r="51" spans="1:22">
      <c r="A51" s="14"/>
      <c r="B51" s="15"/>
      <c r="C51" s="14"/>
      <c r="D51" s="14"/>
      <c r="I51" s="14"/>
      <c r="P51" s="24"/>
      <c r="Q51" s="25"/>
      <c r="R51" s="14"/>
      <c r="U51" s="18"/>
      <c r="V51" s="14"/>
    </row>
    <row r="52" spans="1:22">
      <c r="A52" s="14"/>
      <c r="B52" s="15"/>
      <c r="C52" s="14"/>
      <c r="D52" s="14"/>
      <c r="I52" s="14"/>
      <c r="P52" s="24"/>
      <c r="Q52" s="25"/>
      <c r="R52" s="14"/>
      <c r="U52" s="18"/>
      <c r="V52" s="14"/>
    </row>
    <row r="53" spans="1:22">
      <c r="A53" s="14"/>
      <c r="B53" s="15"/>
      <c r="C53" s="14"/>
      <c r="D53" s="14"/>
      <c r="I53" s="14"/>
      <c r="P53" s="24"/>
      <c r="Q53" s="25"/>
      <c r="R53" s="14"/>
      <c r="U53" s="18"/>
      <c r="V53" s="14"/>
    </row>
    <row r="54" spans="1:22">
      <c r="A54" s="14"/>
      <c r="B54" s="15"/>
      <c r="C54" s="14"/>
      <c r="D54" s="14"/>
      <c r="I54" s="14"/>
      <c r="P54" s="24"/>
      <c r="Q54" s="25"/>
      <c r="R54" s="14"/>
      <c r="U54" s="18"/>
      <c r="V54" s="14"/>
    </row>
    <row r="55" spans="1:22">
      <c r="A55" s="14"/>
      <c r="B55" s="15"/>
      <c r="C55" s="14"/>
      <c r="D55" s="14"/>
      <c r="I55" s="14"/>
      <c r="P55" s="24"/>
      <c r="Q55" s="25"/>
      <c r="R55" s="14"/>
      <c r="U55" s="18"/>
      <c r="V55" s="14"/>
    </row>
    <row r="56" spans="1:22">
      <c r="A56" s="14"/>
      <c r="B56" s="15"/>
      <c r="C56" s="14"/>
      <c r="D56" s="14"/>
      <c r="I56" s="14"/>
      <c r="P56" s="24"/>
      <c r="Q56" s="25"/>
      <c r="R56" s="14"/>
      <c r="U56" s="18"/>
      <c r="V56" s="14"/>
    </row>
    <row r="57" spans="1:22">
      <c r="A57" s="14"/>
      <c r="B57" s="15"/>
      <c r="C57" s="14"/>
      <c r="D57" s="14"/>
      <c r="I57" s="14"/>
      <c r="P57" s="24"/>
      <c r="Q57" s="25"/>
      <c r="R57" s="14"/>
      <c r="U57" s="18"/>
      <c r="V57" s="14"/>
    </row>
    <row r="58" spans="1:22">
      <c r="A58" s="14"/>
      <c r="B58" s="15"/>
      <c r="C58" s="14"/>
      <c r="D58" s="14"/>
      <c r="I58" s="14"/>
      <c r="P58" s="24"/>
      <c r="Q58" s="25"/>
      <c r="R58" s="14"/>
      <c r="U58" s="18"/>
      <c r="V58" s="14"/>
    </row>
    <row r="59" spans="1:22">
      <c r="A59" s="14"/>
      <c r="B59" s="15"/>
      <c r="C59" s="14"/>
      <c r="D59" s="14"/>
      <c r="I59" s="14"/>
      <c r="P59" s="24"/>
      <c r="Q59" s="25"/>
      <c r="R59" s="14"/>
      <c r="U59" s="18"/>
      <c r="V59" s="14"/>
    </row>
    <row r="60" spans="1:22">
      <c r="A60" s="14"/>
      <c r="B60" s="15"/>
      <c r="C60" s="14"/>
      <c r="D60" s="14"/>
      <c r="I60" s="14"/>
      <c r="P60" s="24"/>
      <c r="Q60" s="25"/>
      <c r="R60" s="14"/>
      <c r="U60" s="18"/>
      <c r="V60" s="14"/>
    </row>
    <row r="61" spans="1:22">
      <c r="A61" s="14"/>
      <c r="B61" s="15"/>
      <c r="C61" s="14"/>
      <c r="D61" s="14"/>
      <c r="I61" s="14"/>
      <c r="P61" s="24"/>
      <c r="Q61" s="25"/>
      <c r="R61" s="14"/>
      <c r="U61" s="18"/>
      <c r="V61" s="14"/>
    </row>
    <row r="62" spans="1:22">
      <c r="A62" s="14"/>
      <c r="B62" s="15"/>
      <c r="C62" s="14"/>
      <c r="D62" s="14"/>
      <c r="I62" s="14"/>
      <c r="P62" s="24"/>
      <c r="Q62" s="25"/>
      <c r="R62" s="14"/>
      <c r="U62" s="18"/>
      <c r="V62" s="14"/>
    </row>
    <row r="63" spans="1:22">
      <c r="A63" s="14"/>
      <c r="B63" s="15"/>
      <c r="C63" s="14"/>
      <c r="D63" s="14"/>
      <c r="I63" s="14"/>
      <c r="P63" s="24"/>
      <c r="Q63" s="25"/>
      <c r="R63" s="14"/>
      <c r="U63" s="18"/>
      <c r="V63" s="14"/>
    </row>
    <row r="64" spans="1:22">
      <c r="A64" s="14"/>
      <c r="B64" s="15"/>
      <c r="C64" s="14"/>
      <c r="D64" s="14"/>
      <c r="I64" s="14"/>
      <c r="P64" s="24"/>
      <c r="Q64" s="25"/>
      <c r="R64" s="14"/>
      <c r="U64" s="18"/>
      <c r="V64" s="14"/>
    </row>
    <row r="65" spans="1:22">
      <c r="A65" s="14"/>
      <c r="B65" s="15"/>
      <c r="C65" s="14"/>
      <c r="D65" s="14"/>
      <c r="I65" s="14"/>
      <c r="P65" s="24"/>
      <c r="Q65" s="25"/>
      <c r="R65" s="14"/>
      <c r="U65" s="18"/>
      <c r="V65" s="14"/>
    </row>
    <row r="66" spans="1:22">
      <c r="A66" s="14"/>
      <c r="B66" s="15"/>
      <c r="C66" s="14"/>
      <c r="D66" s="14"/>
      <c r="I66" s="14"/>
      <c r="P66" s="24"/>
      <c r="Q66" s="25"/>
      <c r="R66" s="14"/>
      <c r="U66" s="18"/>
      <c r="V66" s="14"/>
    </row>
    <row r="67" spans="1:22">
      <c r="A67" s="14"/>
      <c r="B67" s="15"/>
      <c r="C67" s="14"/>
      <c r="D67" s="14"/>
      <c r="I67" s="14"/>
      <c r="P67" s="24"/>
      <c r="Q67" s="25"/>
      <c r="R67" s="14"/>
      <c r="U67" s="18"/>
      <c r="V67" s="14"/>
    </row>
    <row r="68" spans="1:22">
      <c r="A68" s="14"/>
      <c r="B68" s="15"/>
      <c r="C68" s="14"/>
      <c r="D68" s="14"/>
      <c r="I68" s="14"/>
      <c r="P68" s="24"/>
      <c r="Q68" s="25"/>
      <c r="R68" s="14"/>
      <c r="U68" s="18"/>
      <c r="V68" s="14"/>
    </row>
    <row r="69" spans="1:22">
      <c r="A69" s="14"/>
      <c r="B69" s="15"/>
      <c r="C69" s="14"/>
      <c r="D69" s="14"/>
      <c r="I69" s="14"/>
      <c r="P69" s="24"/>
      <c r="Q69" s="25"/>
      <c r="R69" s="14"/>
      <c r="U69" s="18"/>
      <c r="V69" s="14"/>
    </row>
    <row r="70" spans="1:22">
      <c r="A70" s="14"/>
      <c r="B70" s="15"/>
      <c r="C70" s="14"/>
      <c r="D70" s="14"/>
      <c r="I70" s="14"/>
      <c r="P70" s="24"/>
      <c r="Q70" s="25"/>
      <c r="R70" s="14"/>
      <c r="U70" s="18"/>
      <c r="V70" s="14"/>
    </row>
    <row r="71" spans="1:22">
      <c r="A71" s="14"/>
      <c r="B71" s="15"/>
      <c r="C71" s="14"/>
      <c r="D71" s="14"/>
      <c r="I71" s="14"/>
      <c r="P71" s="24"/>
      <c r="Q71" s="25"/>
      <c r="R71" s="14"/>
      <c r="U71" s="18"/>
      <c r="V71" s="14"/>
    </row>
    <row r="72" spans="1:22">
      <c r="A72" s="14"/>
      <c r="B72" s="15"/>
      <c r="C72" s="14"/>
      <c r="D72" s="14"/>
      <c r="I72" s="14"/>
      <c r="P72" s="24"/>
      <c r="Q72" s="25"/>
      <c r="R72" s="14"/>
      <c r="U72" s="18"/>
      <c r="V72" s="14"/>
    </row>
    <row r="73" spans="1:22">
      <c r="A73" s="14"/>
      <c r="B73" s="15"/>
      <c r="C73" s="14"/>
      <c r="D73" s="14"/>
      <c r="I73" s="14"/>
      <c r="P73" s="24"/>
      <c r="Q73" s="25"/>
      <c r="R73" s="14"/>
      <c r="U73" s="18"/>
      <c r="V73" s="14"/>
    </row>
    <row r="74" spans="1:22">
      <c r="A74" s="14"/>
      <c r="B74" s="15"/>
      <c r="C74" s="14"/>
      <c r="D74" s="14"/>
      <c r="I74" s="14"/>
      <c r="P74" s="24"/>
      <c r="Q74" s="25"/>
      <c r="R74" s="14"/>
      <c r="U74" s="18"/>
      <c r="V74" s="14"/>
    </row>
    <row r="75" spans="1:22">
      <c r="A75" s="14"/>
      <c r="B75" s="15"/>
      <c r="C75" s="14"/>
      <c r="D75" s="14"/>
      <c r="I75" s="14"/>
      <c r="P75" s="24"/>
      <c r="Q75" s="25"/>
      <c r="R75" s="14"/>
      <c r="U75" s="18"/>
      <c r="V75" s="14"/>
    </row>
    <row r="76" spans="1:22">
      <c r="A76" s="14"/>
      <c r="B76" s="15"/>
      <c r="C76" s="14"/>
      <c r="D76" s="14"/>
      <c r="I76" s="14"/>
      <c r="P76" s="24"/>
      <c r="Q76" s="25"/>
      <c r="R76" s="14"/>
      <c r="U76" s="18"/>
      <c r="V76" s="14"/>
    </row>
    <row r="77" spans="1:22">
      <c r="A77" s="14"/>
      <c r="B77" s="15"/>
      <c r="C77" s="14"/>
      <c r="D77" s="14"/>
      <c r="I77" s="14"/>
      <c r="P77" s="24"/>
      <c r="Q77" s="25"/>
      <c r="R77" s="14"/>
      <c r="U77" s="18"/>
      <c r="V77" s="14"/>
    </row>
    <row r="78" spans="1:22">
      <c r="A78" s="14"/>
      <c r="B78" s="15"/>
      <c r="C78" s="14"/>
      <c r="D78" s="14"/>
      <c r="I78" s="14"/>
      <c r="P78" s="24"/>
      <c r="Q78" s="25"/>
      <c r="R78" s="14"/>
      <c r="U78" s="18"/>
      <c r="V78" s="14"/>
    </row>
    <row r="79" spans="1:22">
      <c r="A79" s="14"/>
      <c r="B79" s="15"/>
      <c r="C79" s="14"/>
      <c r="D79" s="14"/>
      <c r="I79" s="14"/>
      <c r="P79" s="24"/>
      <c r="Q79" s="25"/>
      <c r="R79" s="14"/>
      <c r="U79" s="18"/>
      <c r="V79" s="14"/>
    </row>
    <row r="80" spans="1:22">
      <c r="A80" s="14"/>
      <c r="B80" s="15"/>
      <c r="C80" s="14"/>
      <c r="D80" s="14"/>
      <c r="I80" s="14"/>
      <c r="P80" s="24"/>
      <c r="Q80" s="25"/>
      <c r="R80" s="14"/>
      <c r="U80" s="18"/>
      <c r="V80" s="14"/>
    </row>
    <row r="81" spans="1:22">
      <c r="A81" s="14"/>
      <c r="B81" s="15"/>
      <c r="C81" s="14"/>
      <c r="D81" s="14"/>
      <c r="I81" s="14"/>
      <c r="P81" s="24"/>
      <c r="Q81" s="25"/>
      <c r="R81" s="14"/>
      <c r="U81" s="18"/>
      <c r="V81" s="14"/>
    </row>
    <row r="82" spans="1:22">
      <c r="A82" s="14"/>
      <c r="B82" s="15"/>
      <c r="C82" s="14"/>
      <c r="D82" s="14"/>
      <c r="I82" s="14"/>
      <c r="P82" s="24"/>
      <c r="Q82" s="25"/>
      <c r="R82" s="14"/>
      <c r="U82" s="18"/>
      <c r="V82" s="14"/>
    </row>
    <row r="83" spans="1:22">
      <c r="A83" s="14"/>
      <c r="B83" s="15"/>
      <c r="C83" s="14"/>
      <c r="D83" s="14"/>
      <c r="I83" s="14"/>
      <c r="P83" s="24"/>
      <c r="Q83" s="25"/>
      <c r="R83" s="14"/>
      <c r="U83" s="18"/>
      <c r="V83" s="14"/>
    </row>
    <row r="84" spans="1:22">
      <c r="A84" s="14"/>
      <c r="B84" s="15"/>
      <c r="C84" s="14"/>
      <c r="D84" s="14"/>
      <c r="I84" s="14"/>
      <c r="P84" s="24"/>
      <c r="Q84" s="25"/>
      <c r="R84" s="14"/>
      <c r="U84" s="18"/>
      <c r="V84" s="14"/>
    </row>
    <row r="85" spans="1:22">
      <c r="A85" s="14"/>
      <c r="B85" s="15"/>
      <c r="C85" s="14"/>
      <c r="D85" s="14"/>
      <c r="I85" s="14"/>
      <c r="P85" s="24"/>
      <c r="Q85" s="25"/>
      <c r="R85" s="14"/>
      <c r="U85" s="18"/>
      <c r="V85" s="14"/>
    </row>
    <row r="86" spans="1:22">
      <c r="A86" s="14"/>
      <c r="B86" s="15"/>
      <c r="C86" s="14"/>
      <c r="D86" s="14"/>
      <c r="I86" s="14"/>
      <c r="P86" s="24"/>
      <c r="Q86" s="25"/>
      <c r="R86" s="14"/>
      <c r="U86" s="18"/>
      <c r="V86" s="14"/>
    </row>
    <row r="87" spans="1:22">
      <c r="A87" s="14"/>
      <c r="B87" s="15"/>
      <c r="C87" s="14"/>
      <c r="D87" s="14"/>
      <c r="I87" s="14"/>
      <c r="P87" s="24"/>
      <c r="Q87" s="25"/>
      <c r="R87" s="14"/>
      <c r="U87" s="18"/>
      <c r="V87" s="14"/>
    </row>
    <row r="88" spans="1:22">
      <c r="A88" s="14"/>
      <c r="B88" s="15"/>
      <c r="C88" s="14"/>
      <c r="D88" s="14"/>
      <c r="I88" s="14"/>
      <c r="P88" s="24"/>
      <c r="Q88" s="25"/>
      <c r="R88" s="14"/>
      <c r="U88" s="18"/>
      <c r="V88" s="14"/>
    </row>
    <row r="89" spans="1:22">
      <c r="A89" s="14"/>
      <c r="B89" s="15"/>
      <c r="C89" s="14"/>
      <c r="D89" s="14"/>
      <c r="I89" s="14"/>
      <c r="P89" s="24"/>
      <c r="Q89" s="25"/>
      <c r="R89" s="14"/>
      <c r="U89" s="18"/>
      <c r="V89" s="14"/>
    </row>
    <row r="90" spans="1:22">
      <c r="A90" s="14"/>
      <c r="B90" s="15"/>
      <c r="C90" s="14"/>
      <c r="D90" s="14"/>
      <c r="I90" s="14"/>
      <c r="P90" s="24"/>
      <c r="Q90" s="25"/>
      <c r="R90" s="14"/>
      <c r="U90" s="18"/>
      <c r="V90" s="14"/>
    </row>
    <row r="91" spans="1:22">
      <c r="A91" s="14"/>
      <c r="B91" s="15"/>
      <c r="C91" s="14"/>
      <c r="D91" s="14"/>
      <c r="I91" s="14"/>
      <c r="P91" s="24"/>
      <c r="Q91" s="25"/>
      <c r="R91" s="14"/>
      <c r="U91" s="18"/>
      <c r="V91" s="14"/>
    </row>
    <row r="92" spans="1:22">
      <c r="A92" s="14"/>
      <c r="B92" s="15"/>
      <c r="C92" s="14"/>
      <c r="D92" s="14"/>
      <c r="I92" s="14"/>
      <c r="P92" s="24"/>
      <c r="Q92" s="25"/>
      <c r="R92" s="14"/>
      <c r="U92" s="18"/>
      <c r="V92" s="14"/>
    </row>
    <row r="93" spans="1:22">
      <c r="A93" s="14"/>
      <c r="B93" s="15"/>
      <c r="C93" s="14"/>
      <c r="D93" s="14"/>
      <c r="I93" s="14"/>
      <c r="P93" s="24"/>
      <c r="Q93" s="25"/>
      <c r="R93" s="14"/>
      <c r="U93" s="18"/>
      <c r="V93" s="14"/>
    </row>
    <row r="94" spans="1:22">
      <c r="A94" s="14"/>
      <c r="B94" s="15"/>
      <c r="C94" s="14"/>
      <c r="D94" s="14"/>
      <c r="I94" s="14"/>
      <c r="P94" s="24"/>
      <c r="Q94" s="25"/>
      <c r="R94" s="14"/>
      <c r="U94" s="18"/>
      <c r="V94" s="14"/>
    </row>
    <row r="95" spans="1:22">
      <c r="A95" s="14"/>
      <c r="B95" s="15"/>
      <c r="C95" s="14"/>
      <c r="D95" s="14"/>
      <c r="I95" s="14"/>
      <c r="P95" s="24"/>
      <c r="Q95" s="25"/>
      <c r="R95" s="14"/>
      <c r="U95" s="18"/>
      <c r="V95" s="14"/>
    </row>
    <row r="96" spans="1:22">
      <c r="A96" s="14"/>
      <c r="B96" s="15"/>
      <c r="C96" s="14"/>
      <c r="D96" s="14"/>
      <c r="I96" s="14"/>
      <c r="P96" s="24"/>
      <c r="Q96" s="25"/>
      <c r="R96" s="14"/>
      <c r="U96" s="18"/>
      <c r="V96" s="14"/>
    </row>
    <row r="97" spans="1:22">
      <c r="A97" s="14"/>
      <c r="B97" s="15"/>
      <c r="C97" s="14"/>
      <c r="D97" s="14"/>
      <c r="I97" s="14"/>
      <c r="P97" s="24"/>
      <c r="Q97" s="25"/>
      <c r="R97" s="14"/>
      <c r="U97" s="18"/>
      <c r="V97" s="14"/>
    </row>
    <row r="98" spans="1:22">
      <c r="A98" s="14"/>
      <c r="B98" s="15"/>
      <c r="C98" s="14"/>
      <c r="D98" s="14"/>
      <c r="I98" s="14"/>
      <c r="P98" s="24"/>
      <c r="Q98" s="25"/>
      <c r="R98" s="14"/>
      <c r="U98" s="18"/>
      <c r="V98" s="14"/>
    </row>
    <row r="99" spans="1:22">
      <c r="A99" s="14"/>
      <c r="B99" s="15"/>
      <c r="C99" s="14"/>
      <c r="D99" s="14"/>
      <c r="I99" s="14"/>
      <c r="P99" s="24"/>
      <c r="Q99" s="25"/>
      <c r="R99" s="14"/>
      <c r="U99" s="18"/>
      <c r="V99" s="14"/>
    </row>
    <row r="100" spans="1:22">
      <c r="A100" s="14"/>
      <c r="B100" s="15"/>
      <c r="C100" s="14"/>
      <c r="D100" s="14"/>
      <c r="I100" s="14"/>
      <c r="P100" s="24"/>
      <c r="Q100" s="25"/>
      <c r="R100" s="14"/>
      <c r="U100" s="18"/>
      <c r="V100" s="14"/>
    </row>
    <row r="101" spans="1:22">
      <c r="A101" s="14"/>
      <c r="B101" s="15"/>
      <c r="C101" s="14"/>
      <c r="D101" s="14"/>
      <c r="I101" s="14"/>
      <c r="P101" s="24"/>
      <c r="Q101" s="25"/>
      <c r="R101" s="14"/>
      <c r="U101" s="18"/>
      <c r="V101" s="14"/>
    </row>
    <row r="102" spans="1:22">
      <c r="A102" s="14"/>
      <c r="B102" s="15"/>
      <c r="C102" s="14"/>
      <c r="D102" s="14"/>
      <c r="I102" s="14"/>
      <c r="P102" s="24"/>
      <c r="Q102" s="25"/>
      <c r="R102" s="14"/>
      <c r="U102" s="18"/>
      <c r="V102" s="14"/>
    </row>
    <row r="103" spans="1:22">
      <c r="A103" s="14"/>
      <c r="B103" s="15"/>
      <c r="C103" s="14"/>
      <c r="D103" s="14"/>
      <c r="I103" s="14"/>
      <c r="P103" s="24"/>
      <c r="Q103" s="25"/>
      <c r="R103" s="14"/>
      <c r="U103" s="18"/>
      <c r="V103" s="14"/>
    </row>
    <row r="104" spans="1:22">
      <c r="A104" s="14"/>
      <c r="B104" s="15"/>
      <c r="C104" s="14"/>
      <c r="D104" s="14"/>
      <c r="I104" s="14"/>
      <c r="P104" s="24"/>
      <c r="Q104" s="25"/>
      <c r="R104" s="14"/>
      <c r="U104" s="18"/>
      <c r="V104" s="14"/>
    </row>
    <row r="105" spans="1:22">
      <c r="A105" s="14"/>
      <c r="B105" s="15"/>
      <c r="C105" s="14"/>
      <c r="D105" s="14"/>
      <c r="I105" s="14"/>
      <c r="P105" s="24"/>
      <c r="Q105" s="25"/>
      <c r="R105" s="14"/>
      <c r="U105" s="18"/>
      <c r="V105" s="14"/>
    </row>
    <row r="106" spans="1:22">
      <c r="A106" s="14"/>
      <c r="B106" s="15"/>
      <c r="C106" s="14"/>
      <c r="D106" s="14"/>
      <c r="I106" s="14"/>
      <c r="P106" s="24"/>
      <c r="Q106" s="25"/>
      <c r="R106" s="14"/>
      <c r="U106" s="18"/>
      <c r="V106" s="14"/>
    </row>
    <row r="107" spans="1:22">
      <c r="A107" s="14"/>
      <c r="B107" s="15"/>
      <c r="C107" s="14"/>
      <c r="D107" s="14"/>
      <c r="I107" s="14"/>
      <c r="P107" s="24"/>
      <c r="Q107" s="25"/>
      <c r="R107" s="14"/>
      <c r="U107" s="18"/>
      <c r="V107" s="14"/>
    </row>
    <row r="108" spans="1:22">
      <c r="A108" s="14"/>
      <c r="B108" s="15"/>
      <c r="C108" s="14"/>
      <c r="D108" s="14"/>
      <c r="I108" s="14"/>
      <c r="P108" s="24"/>
      <c r="Q108" s="25"/>
      <c r="R108" s="14"/>
      <c r="U108" s="18"/>
      <c r="V108" s="14"/>
    </row>
    <row r="109" spans="1:22">
      <c r="A109" s="14"/>
      <c r="B109" s="15"/>
      <c r="C109" s="14"/>
      <c r="D109" s="14"/>
      <c r="I109" s="14"/>
      <c r="P109" s="24"/>
      <c r="Q109" s="25"/>
      <c r="R109" s="14"/>
      <c r="U109" s="18"/>
      <c r="V109" s="14"/>
    </row>
    <row r="110" spans="1:22">
      <c r="A110" s="14"/>
      <c r="B110" s="15"/>
      <c r="C110" s="14"/>
      <c r="D110" s="14"/>
      <c r="I110" s="14"/>
      <c r="P110" s="24"/>
      <c r="Q110" s="25"/>
      <c r="R110" s="14"/>
      <c r="U110" s="18"/>
      <c r="V110" s="14"/>
    </row>
    <row r="111" spans="1:22">
      <c r="A111" s="14"/>
      <c r="B111" s="15"/>
      <c r="C111" s="14"/>
      <c r="D111" s="14"/>
      <c r="I111" s="14"/>
      <c r="P111" s="24"/>
      <c r="Q111" s="25"/>
      <c r="R111" s="14"/>
      <c r="U111" s="18"/>
      <c r="V111" s="14"/>
    </row>
    <row r="112" spans="1:22">
      <c r="A112" s="14"/>
      <c r="B112" s="15"/>
      <c r="C112" s="14"/>
      <c r="D112" s="14"/>
      <c r="I112" s="14"/>
      <c r="P112" s="24"/>
      <c r="Q112" s="25"/>
      <c r="R112" s="14"/>
      <c r="U112" s="18"/>
      <c r="V112" s="14"/>
    </row>
    <row r="113" spans="1:22">
      <c r="A113" s="14"/>
      <c r="B113" s="15"/>
      <c r="C113" s="14"/>
      <c r="D113" s="14"/>
      <c r="I113" s="14"/>
      <c r="P113" s="24"/>
      <c r="Q113" s="25"/>
      <c r="R113" s="14"/>
      <c r="U113" s="18"/>
      <c r="V113" s="14"/>
    </row>
    <row r="114" spans="1:22">
      <c r="A114" s="14"/>
      <c r="B114" s="15"/>
      <c r="C114" s="14"/>
      <c r="D114" s="14"/>
      <c r="I114" s="14"/>
      <c r="P114" s="24"/>
      <c r="Q114" s="25"/>
      <c r="R114" s="14"/>
      <c r="U114" s="18"/>
      <c r="V114" s="14"/>
    </row>
    <row r="115" spans="1:22">
      <c r="A115" s="14"/>
      <c r="B115" s="15"/>
      <c r="C115" s="14"/>
      <c r="D115" s="14"/>
      <c r="I115" s="14"/>
      <c r="P115" s="24"/>
      <c r="Q115" s="25"/>
      <c r="R115" s="14"/>
      <c r="U115" s="18"/>
      <c r="V115" s="14"/>
    </row>
    <row r="116" spans="1:22">
      <c r="A116" s="14"/>
      <c r="B116" s="15"/>
      <c r="C116" s="14"/>
      <c r="D116" s="14"/>
      <c r="I116" s="14"/>
      <c r="P116" s="24"/>
      <c r="Q116" s="25"/>
      <c r="R116" s="14"/>
      <c r="U116" s="18"/>
      <c r="V116" s="14"/>
    </row>
    <row r="117" spans="1:22">
      <c r="A117" s="14"/>
      <c r="B117" s="15"/>
      <c r="C117" s="14"/>
      <c r="D117" s="14"/>
      <c r="I117" s="14"/>
      <c r="P117" s="24"/>
      <c r="Q117" s="25"/>
      <c r="R117" s="14"/>
      <c r="U117" s="18"/>
      <c r="V117" s="14"/>
    </row>
    <row r="118" spans="1:22">
      <c r="A118" s="14"/>
      <c r="B118" s="15"/>
      <c r="C118" s="14"/>
      <c r="D118" s="14"/>
      <c r="I118" s="14"/>
      <c r="P118" s="24"/>
      <c r="Q118" s="25"/>
      <c r="R118" s="14"/>
      <c r="U118" s="18"/>
      <c r="V118" s="14"/>
    </row>
    <row r="119" spans="1:22">
      <c r="A119" s="14"/>
      <c r="B119" s="15"/>
      <c r="C119" s="14"/>
      <c r="D119" s="14"/>
      <c r="I119" s="14"/>
      <c r="P119" s="24"/>
      <c r="Q119" s="25"/>
      <c r="R119" s="14"/>
      <c r="U119" s="18"/>
      <c r="V119" s="14"/>
    </row>
    <row r="120" spans="1:22">
      <c r="A120" s="14"/>
      <c r="B120" s="15"/>
      <c r="C120" s="14"/>
      <c r="D120" s="14"/>
      <c r="I120" s="14"/>
      <c r="P120" s="24"/>
      <c r="Q120" s="25"/>
      <c r="R120" s="14"/>
      <c r="U120" s="18"/>
      <c r="V120" s="14"/>
    </row>
    <row r="121" spans="1:22">
      <c r="A121" s="14"/>
      <c r="B121" s="15"/>
      <c r="C121" s="14"/>
      <c r="D121" s="14"/>
      <c r="I121" s="14"/>
      <c r="P121" s="24"/>
      <c r="Q121" s="25"/>
      <c r="R121" s="14"/>
      <c r="U121" s="18"/>
      <c r="V121" s="14"/>
    </row>
    <row r="122" spans="1:22">
      <c r="A122" s="14"/>
      <c r="B122" s="15"/>
      <c r="C122" s="14"/>
      <c r="D122" s="14"/>
      <c r="I122" s="14"/>
      <c r="P122" s="24"/>
      <c r="Q122" s="25"/>
      <c r="R122" s="14"/>
      <c r="U122" s="18"/>
      <c r="V122" s="14"/>
    </row>
    <row r="123" spans="1:22">
      <c r="A123" s="14"/>
      <c r="B123" s="15"/>
      <c r="C123" s="14"/>
      <c r="D123" s="14"/>
      <c r="I123" s="14"/>
      <c r="P123" s="24"/>
      <c r="Q123" s="25"/>
      <c r="R123" s="14"/>
      <c r="U123" s="18"/>
      <c r="V123" s="14"/>
    </row>
    <row r="124" spans="1:22">
      <c r="A124" s="14"/>
      <c r="B124" s="15"/>
      <c r="C124" s="14"/>
      <c r="D124" s="14"/>
      <c r="I124" s="14"/>
      <c r="P124" s="24"/>
      <c r="Q124" s="25"/>
      <c r="R124" s="14"/>
      <c r="U124" s="18"/>
      <c r="V124" s="14"/>
    </row>
    <row r="125" spans="1:22">
      <c r="A125" s="14"/>
      <c r="B125" s="15"/>
      <c r="C125" s="14"/>
      <c r="D125" s="14"/>
      <c r="I125" s="14"/>
      <c r="P125" s="24"/>
      <c r="Q125" s="25"/>
      <c r="R125" s="14"/>
      <c r="U125" s="18"/>
      <c r="V125" s="14"/>
    </row>
    <row r="126" spans="1:22">
      <c r="A126" s="14"/>
      <c r="B126" s="15"/>
      <c r="C126" s="14"/>
      <c r="D126" s="14"/>
      <c r="I126" s="14"/>
      <c r="P126" s="24"/>
      <c r="Q126" s="25"/>
      <c r="R126" s="14"/>
      <c r="U126" s="18"/>
      <c r="V126" s="14"/>
    </row>
    <row r="127" spans="1:22">
      <c r="A127" s="14"/>
      <c r="B127" s="15"/>
      <c r="C127" s="14"/>
      <c r="D127" s="14"/>
      <c r="I127" s="14"/>
      <c r="P127" s="24"/>
      <c r="Q127" s="25"/>
      <c r="R127" s="14"/>
      <c r="U127" s="18"/>
      <c r="V127" s="14"/>
    </row>
    <row r="128" spans="1:22">
      <c r="A128" s="14"/>
      <c r="B128" s="15"/>
      <c r="C128" s="14"/>
      <c r="D128" s="14"/>
      <c r="I128" s="14"/>
      <c r="P128" s="24"/>
      <c r="Q128" s="25"/>
      <c r="R128" s="14"/>
      <c r="U128" s="18"/>
      <c r="V128" s="14"/>
    </row>
    <row r="129" spans="1:22">
      <c r="A129" s="14"/>
      <c r="B129" s="15"/>
      <c r="C129" s="14"/>
      <c r="D129" s="14"/>
      <c r="I129" s="14"/>
      <c r="P129" s="24"/>
      <c r="Q129" s="25"/>
      <c r="R129" s="14"/>
      <c r="U129" s="18"/>
      <c r="V129" s="14"/>
    </row>
    <row r="130" spans="1:22">
      <c r="A130" s="14"/>
      <c r="B130" s="15"/>
      <c r="C130" s="14"/>
      <c r="D130" s="14"/>
      <c r="I130" s="14"/>
      <c r="P130" s="24"/>
      <c r="Q130" s="25"/>
      <c r="R130" s="14"/>
      <c r="U130" s="18"/>
      <c r="V130" s="14"/>
    </row>
    <row r="131" spans="1:22">
      <c r="A131" s="14"/>
      <c r="B131" s="15"/>
      <c r="C131" s="14"/>
      <c r="D131" s="14"/>
      <c r="I131" s="14"/>
      <c r="P131" s="24"/>
      <c r="Q131" s="25"/>
      <c r="R131" s="14"/>
      <c r="U131" s="18"/>
      <c r="V131" s="14"/>
    </row>
    <row r="132" spans="1:22">
      <c r="A132" s="14"/>
      <c r="B132" s="15"/>
      <c r="C132" s="14"/>
      <c r="D132" s="14"/>
      <c r="I132" s="14"/>
      <c r="P132" s="24"/>
      <c r="Q132" s="25"/>
      <c r="R132" s="14"/>
      <c r="U132" s="18"/>
      <c r="V132" s="14"/>
    </row>
    <row r="133" spans="1:22">
      <c r="A133" s="14"/>
      <c r="B133" s="15"/>
      <c r="C133" s="14"/>
      <c r="D133" s="14"/>
      <c r="I133" s="14"/>
      <c r="P133" s="24"/>
      <c r="Q133" s="25"/>
      <c r="R133" s="14"/>
      <c r="U133" s="18"/>
      <c r="V133" s="14"/>
    </row>
    <row r="134" spans="1:22">
      <c r="A134" s="14"/>
      <c r="B134" s="15"/>
      <c r="C134" s="14"/>
      <c r="D134" s="14"/>
      <c r="I134" s="14"/>
      <c r="P134" s="24"/>
      <c r="Q134" s="25"/>
      <c r="R134" s="14"/>
      <c r="U134" s="18"/>
      <c r="V134" s="14"/>
    </row>
    <row r="135" spans="1:22">
      <c r="A135" s="14"/>
      <c r="B135" s="15"/>
      <c r="C135" s="14"/>
      <c r="D135" s="14"/>
      <c r="I135" s="14"/>
      <c r="P135" s="24"/>
      <c r="Q135" s="25"/>
      <c r="R135" s="14"/>
      <c r="U135" s="18"/>
      <c r="V135" s="14"/>
    </row>
    <row r="136" spans="1:22">
      <c r="A136" s="14"/>
      <c r="B136" s="15"/>
      <c r="C136" s="14"/>
      <c r="D136" s="14"/>
      <c r="I136" s="14"/>
      <c r="P136" s="24"/>
      <c r="Q136" s="25"/>
      <c r="R136" s="14"/>
      <c r="U136" s="18"/>
      <c r="V136" s="14"/>
    </row>
    <row r="137" spans="1:22">
      <c r="A137" s="14"/>
      <c r="B137" s="15"/>
      <c r="C137" s="14"/>
      <c r="D137" s="14"/>
      <c r="I137" s="14"/>
      <c r="P137" s="24"/>
      <c r="Q137" s="25"/>
      <c r="R137" s="14"/>
      <c r="U137" s="18"/>
      <c r="V137" s="14"/>
    </row>
    <row r="138" spans="1:22">
      <c r="A138" s="14"/>
      <c r="B138" s="15"/>
      <c r="C138" s="14"/>
      <c r="D138" s="14"/>
      <c r="I138" s="14"/>
      <c r="P138" s="24"/>
      <c r="Q138" s="25"/>
      <c r="R138" s="14"/>
      <c r="U138" s="18"/>
      <c r="V138" s="14"/>
    </row>
    <row r="139" spans="1:22">
      <c r="A139" s="14"/>
      <c r="B139" s="15"/>
      <c r="C139" s="14"/>
      <c r="D139" s="14"/>
      <c r="I139" s="14"/>
      <c r="P139" s="24"/>
      <c r="Q139" s="25"/>
      <c r="R139" s="14"/>
      <c r="U139" s="18"/>
      <c r="V139" s="14"/>
    </row>
    <row r="140" spans="1:22">
      <c r="A140" s="14"/>
      <c r="B140" s="15"/>
      <c r="C140" s="14"/>
      <c r="D140" s="14"/>
      <c r="I140" s="14"/>
      <c r="P140" s="24"/>
      <c r="Q140" s="25"/>
      <c r="R140" s="14"/>
      <c r="U140" s="18"/>
      <c r="V140" s="14"/>
    </row>
    <row r="141" spans="1:22">
      <c r="A141" s="14"/>
      <c r="B141" s="15"/>
      <c r="C141" s="14"/>
      <c r="D141" s="14"/>
      <c r="I141" s="14"/>
      <c r="P141" s="24"/>
      <c r="Q141" s="25"/>
      <c r="R141" s="14"/>
      <c r="U141" s="18"/>
      <c r="V141" s="14"/>
    </row>
    <row r="142" spans="1:22">
      <c r="A142" s="14"/>
      <c r="B142" s="15"/>
      <c r="C142" s="14"/>
      <c r="D142" s="14"/>
      <c r="I142" s="14"/>
      <c r="P142" s="24"/>
      <c r="Q142" s="25"/>
      <c r="R142" s="14"/>
      <c r="U142" s="18"/>
      <c r="V142" s="14"/>
    </row>
    <row r="143" spans="1:22">
      <c r="A143" s="14"/>
      <c r="B143" s="15"/>
      <c r="C143" s="14"/>
      <c r="D143" s="14"/>
      <c r="I143" s="14"/>
      <c r="P143" s="24"/>
      <c r="Q143" s="25"/>
      <c r="R143" s="14"/>
      <c r="U143" s="18"/>
      <c r="V143" s="14"/>
    </row>
    <row r="144" spans="1:22">
      <c r="A144" s="14"/>
      <c r="B144" s="15"/>
      <c r="C144" s="14"/>
      <c r="D144" s="14"/>
      <c r="I144" s="14"/>
      <c r="P144" s="24"/>
      <c r="Q144" s="25"/>
      <c r="R144" s="14"/>
      <c r="U144" s="18"/>
      <c r="V144" s="14"/>
    </row>
    <row r="145" spans="1:22">
      <c r="A145" s="14"/>
      <c r="B145" s="15"/>
      <c r="C145" s="14"/>
      <c r="D145" s="14"/>
      <c r="I145" s="14"/>
      <c r="P145" s="24"/>
      <c r="Q145" s="25"/>
      <c r="R145" s="14"/>
      <c r="U145" s="18"/>
      <c r="V145" s="14"/>
    </row>
    <row r="146" spans="1:22">
      <c r="A146" s="14"/>
      <c r="B146" s="15"/>
      <c r="C146" s="14"/>
      <c r="D146" s="14"/>
      <c r="I146" s="14"/>
      <c r="P146" s="24"/>
      <c r="Q146" s="25"/>
      <c r="R146" s="14"/>
      <c r="U146" s="18"/>
      <c r="V146" s="14"/>
    </row>
    <row r="147" spans="1:22">
      <c r="A147" s="14"/>
      <c r="B147" s="15"/>
      <c r="C147" s="14"/>
      <c r="D147" s="14"/>
      <c r="I147" s="14"/>
      <c r="P147" s="24"/>
      <c r="Q147" s="25"/>
      <c r="R147" s="14"/>
      <c r="U147" s="18"/>
      <c r="V147" s="14"/>
    </row>
    <row r="148" spans="1:22">
      <c r="A148" s="14"/>
      <c r="B148" s="15"/>
      <c r="C148" s="14"/>
      <c r="D148" s="14"/>
      <c r="I148" s="14"/>
      <c r="P148" s="24"/>
      <c r="Q148" s="25"/>
      <c r="R148" s="14"/>
      <c r="U148" s="18"/>
      <c r="V148" s="14"/>
    </row>
    <row r="149" spans="1:22">
      <c r="A149" s="14"/>
      <c r="B149" s="15"/>
      <c r="C149" s="14"/>
      <c r="D149" s="14"/>
      <c r="I149" s="14"/>
      <c r="P149" s="24"/>
      <c r="Q149" s="25"/>
      <c r="R149" s="14"/>
      <c r="U149" s="18"/>
      <c r="V149" s="14"/>
    </row>
    <row r="150" spans="1:22">
      <c r="A150" s="14"/>
      <c r="B150" s="15"/>
      <c r="C150" s="14"/>
      <c r="D150" s="14"/>
      <c r="I150" s="14"/>
      <c r="P150" s="24"/>
      <c r="Q150" s="25"/>
      <c r="R150" s="14"/>
      <c r="U150" s="18"/>
      <c r="V150" s="14"/>
    </row>
    <row r="151" spans="1:22">
      <c r="A151" s="14"/>
      <c r="B151" s="15"/>
      <c r="C151" s="14"/>
      <c r="D151" s="14"/>
      <c r="I151" s="14"/>
      <c r="P151" s="24"/>
      <c r="Q151" s="25"/>
      <c r="R151" s="14"/>
      <c r="U151" s="18"/>
      <c r="V151" s="14"/>
    </row>
    <row r="152" spans="1:22">
      <c r="A152" s="14"/>
      <c r="B152" s="15"/>
      <c r="C152" s="14"/>
      <c r="D152" s="14"/>
      <c r="I152" s="14"/>
      <c r="P152" s="24"/>
      <c r="Q152" s="25"/>
      <c r="R152" s="14"/>
      <c r="U152" s="18"/>
      <c r="V152" s="14"/>
    </row>
    <row r="153" spans="1:22">
      <c r="A153" s="14"/>
      <c r="B153" s="15"/>
      <c r="C153" s="14"/>
      <c r="D153" s="14"/>
      <c r="I153" s="14"/>
      <c r="P153" s="24"/>
      <c r="Q153" s="25"/>
      <c r="R153" s="14"/>
      <c r="U153" s="18"/>
      <c r="V153" s="14"/>
    </row>
    <row r="154" spans="1:22">
      <c r="A154" s="14"/>
      <c r="B154" s="15"/>
      <c r="C154" s="14"/>
      <c r="D154" s="14"/>
      <c r="I154" s="14"/>
      <c r="P154" s="24"/>
      <c r="Q154" s="25"/>
      <c r="R154" s="14"/>
      <c r="U154" s="18"/>
      <c r="V154" s="14"/>
    </row>
    <row r="155" spans="1:22">
      <c r="A155" s="14"/>
      <c r="B155" s="15"/>
      <c r="C155" s="14"/>
      <c r="D155" s="14"/>
      <c r="I155" s="14"/>
      <c r="P155" s="24"/>
      <c r="Q155" s="25"/>
      <c r="R155" s="14"/>
      <c r="U155" s="18"/>
      <c r="V155" s="14"/>
    </row>
    <row r="156" spans="1:22">
      <c r="A156" s="14"/>
      <c r="B156" s="15"/>
      <c r="C156" s="14"/>
      <c r="D156" s="14"/>
      <c r="I156" s="14"/>
      <c r="P156" s="24"/>
      <c r="Q156" s="25"/>
      <c r="R156" s="14"/>
      <c r="U156" s="18"/>
      <c r="V156" s="14"/>
    </row>
    <row r="157" spans="1:22">
      <c r="A157" s="14"/>
      <c r="B157" s="15"/>
      <c r="C157" s="14"/>
      <c r="D157" s="14"/>
      <c r="I157" s="14"/>
      <c r="P157" s="24"/>
      <c r="Q157" s="25"/>
      <c r="R157" s="14"/>
      <c r="U157" s="18"/>
      <c r="V157" s="14"/>
    </row>
    <row r="158" spans="1:22">
      <c r="A158" s="14"/>
      <c r="B158" s="15"/>
      <c r="C158" s="14"/>
      <c r="D158" s="14"/>
      <c r="I158" s="14"/>
      <c r="P158" s="24"/>
      <c r="Q158" s="25"/>
      <c r="R158" s="14"/>
      <c r="U158" s="18"/>
      <c r="V158" s="14"/>
    </row>
    <row r="159" spans="1:22">
      <c r="A159" s="14"/>
      <c r="B159" s="15"/>
      <c r="C159" s="14"/>
      <c r="D159" s="14"/>
      <c r="I159" s="14"/>
      <c r="P159" s="24"/>
      <c r="Q159" s="25"/>
      <c r="R159" s="14"/>
      <c r="U159" s="18"/>
      <c r="V159" s="14"/>
    </row>
    <row r="160" spans="1:22">
      <c r="A160" s="14"/>
      <c r="B160" s="15"/>
      <c r="C160" s="14"/>
      <c r="D160" s="14"/>
      <c r="I160" s="14"/>
      <c r="P160" s="24"/>
      <c r="Q160" s="25"/>
      <c r="R160" s="14"/>
      <c r="U160" s="18"/>
      <c r="V160" s="14"/>
    </row>
    <row r="161" spans="1:22">
      <c r="A161" s="14"/>
      <c r="B161" s="15"/>
      <c r="C161" s="14"/>
      <c r="D161" s="14"/>
      <c r="I161" s="14"/>
      <c r="P161" s="24"/>
      <c r="Q161" s="25"/>
      <c r="R161" s="14"/>
      <c r="U161" s="18"/>
      <c r="V161" s="14"/>
    </row>
    <row r="162" spans="1:22">
      <c r="A162" s="14"/>
      <c r="B162" s="15"/>
      <c r="C162" s="14"/>
      <c r="D162" s="14"/>
      <c r="I162" s="14"/>
      <c r="P162" s="24"/>
      <c r="Q162" s="25"/>
      <c r="R162" s="14"/>
      <c r="U162" s="18"/>
      <c r="V162" s="14"/>
    </row>
    <row r="163" spans="1:22">
      <c r="A163" s="14"/>
      <c r="B163" s="15"/>
      <c r="C163" s="14"/>
      <c r="D163" s="14"/>
      <c r="I163" s="14"/>
      <c r="P163" s="24"/>
      <c r="Q163" s="25"/>
      <c r="R163" s="14"/>
      <c r="U163" s="18"/>
      <c r="V163" s="14"/>
    </row>
    <row r="164" spans="1:22">
      <c r="A164" s="14"/>
      <c r="B164" s="15"/>
      <c r="C164" s="14"/>
      <c r="D164" s="14"/>
      <c r="I164" s="14"/>
      <c r="P164" s="24"/>
      <c r="Q164" s="25"/>
      <c r="R164" s="14"/>
      <c r="U164" s="18"/>
      <c r="V164" s="14"/>
    </row>
    <row r="165" spans="1:22">
      <c r="A165" s="14"/>
      <c r="B165" s="15"/>
      <c r="C165" s="14"/>
      <c r="D165" s="14"/>
      <c r="I165" s="14"/>
      <c r="P165" s="24"/>
      <c r="Q165" s="25"/>
      <c r="R165" s="14"/>
      <c r="U165" s="18"/>
      <c r="V165" s="14"/>
    </row>
    <row r="166" spans="1:22">
      <c r="A166" s="14"/>
      <c r="B166" s="15"/>
      <c r="C166" s="14"/>
      <c r="D166" s="14"/>
      <c r="I166" s="14"/>
      <c r="P166" s="24"/>
      <c r="Q166" s="25"/>
      <c r="R166" s="14"/>
      <c r="U166" s="18"/>
      <c r="V166" s="14"/>
    </row>
    <row r="167" spans="1:22">
      <c r="A167" s="14"/>
      <c r="B167" s="15"/>
      <c r="C167" s="14"/>
      <c r="D167" s="14"/>
      <c r="I167" s="14"/>
      <c r="P167" s="24"/>
      <c r="Q167" s="25"/>
      <c r="R167" s="14"/>
      <c r="U167" s="18"/>
      <c r="V167" s="14"/>
    </row>
    <row r="168" spans="1:22">
      <c r="A168" s="14"/>
      <c r="B168" s="15"/>
      <c r="C168" s="14"/>
      <c r="D168" s="14"/>
      <c r="I168" s="14"/>
      <c r="P168" s="24"/>
      <c r="Q168" s="25"/>
      <c r="R168" s="14"/>
      <c r="U168" s="18"/>
      <c r="V168" s="14"/>
    </row>
    <row r="169" spans="1:22">
      <c r="A169" s="14"/>
      <c r="B169" s="15"/>
      <c r="C169" s="14"/>
      <c r="D169" s="14"/>
      <c r="I169" s="14"/>
      <c r="P169" s="24"/>
      <c r="Q169" s="25"/>
      <c r="R169" s="14"/>
      <c r="U169" s="18"/>
      <c r="V169" s="14"/>
    </row>
    <row r="170" spans="1:22">
      <c r="A170" s="14"/>
      <c r="B170" s="15"/>
      <c r="C170" s="14"/>
      <c r="D170" s="14"/>
      <c r="I170" s="14"/>
      <c r="P170" s="24"/>
      <c r="Q170" s="25"/>
      <c r="R170" s="14"/>
      <c r="U170" s="18"/>
      <c r="V170" s="14"/>
    </row>
    <row r="171" spans="1:22">
      <c r="A171" s="14"/>
      <c r="B171" s="15"/>
      <c r="C171" s="14"/>
      <c r="D171" s="14"/>
      <c r="I171" s="14"/>
      <c r="P171" s="24"/>
      <c r="Q171" s="25"/>
      <c r="R171" s="14"/>
      <c r="U171" s="18"/>
      <c r="V171" s="14"/>
    </row>
    <row r="172" spans="1:22">
      <c r="A172" s="14"/>
      <c r="B172" s="15"/>
      <c r="C172" s="14"/>
      <c r="D172" s="14"/>
      <c r="I172" s="14"/>
      <c r="P172" s="24"/>
      <c r="Q172" s="25"/>
      <c r="R172" s="14"/>
      <c r="U172" s="18"/>
      <c r="V172" s="14"/>
    </row>
    <row r="173" spans="1:22">
      <c r="A173" s="14"/>
      <c r="B173" s="15"/>
      <c r="C173" s="14"/>
      <c r="D173" s="14"/>
      <c r="I173" s="14"/>
      <c r="P173" s="24"/>
      <c r="Q173" s="25"/>
      <c r="R173" s="14"/>
      <c r="U173" s="18"/>
      <c r="V173" s="14"/>
    </row>
    <row r="174" spans="1:22">
      <c r="A174" s="14"/>
      <c r="B174" s="15"/>
      <c r="C174" s="14"/>
      <c r="D174" s="14"/>
      <c r="I174" s="14"/>
      <c r="P174" s="24"/>
      <c r="Q174" s="25"/>
      <c r="R174" s="14"/>
      <c r="U174" s="18"/>
      <c r="V174" s="14"/>
    </row>
    <row r="175" spans="1:22">
      <c r="A175" s="14"/>
      <c r="B175" s="15"/>
      <c r="C175" s="14"/>
      <c r="D175" s="14"/>
      <c r="I175" s="14"/>
      <c r="P175" s="24"/>
      <c r="Q175" s="25"/>
      <c r="R175" s="14"/>
      <c r="U175" s="18"/>
      <c r="V175" s="14"/>
    </row>
    <row r="176" spans="1:22">
      <c r="A176" s="14"/>
      <c r="B176" s="15"/>
      <c r="C176" s="14"/>
      <c r="D176" s="14"/>
      <c r="I176" s="14"/>
      <c r="P176" s="24"/>
      <c r="Q176" s="25"/>
      <c r="R176" s="14"/>
      <c r="U176" s="18"/>
      <c r="V176" s="14"/>
    </row>
    <row r="177" spans="1:22">
      <c r="A177" s="14"/>
      <c r="B177" s="15"/>
      <c r="C177" s="14"/>
      <c r="D177" s="14"/>
      <c r="I177" s="14"/>
      <c r="P177" s="24"/>
      <c r="Q177" s="25"/>
      <c r="R177" s="14"/>
      <c r="U177" s="18"/>
      <c r="V177" s="14"/>
    </row>
    <row r="178" spans="1:22">
      <c r="A178" s="14"/>
      <c r="B178" s="15"/>
      <c r="C178" s="14"/>
      <c r="D178" s="14"/>
      <c r="I178" s="14"/>
      <c r="P178" s="24"/>
      <c r="Q178" s="25"/>
      <c r="R178" s="14"/>
      <c r="U178" s="18"/>
      <c r="V178" s="14"/>
    </row>
    <row r="179" spans="1:22">
      <c r="A179" s="14"/>
      <c r="B179" s="15"/>
      <c r="C179" s="14"/>
      <c r="D179" s="14"/>
      <c r="I179" s="14"/>
      <c r="P179" s="24"/>
      <c r="Q179" s="25"/>
      <c r="R179" s="14"/>
      <c r="U179" s="18"/>
      <c r="V179" s="14"/>
    </row>
    <row r="180" spans="1:22">
      <c r="A180" s="14"/>
      <c r="B180" s="15"/>
      <c r="C180" s="14"/>
      <c r="D180" s="14"/>
      <c r="I180" s="14"/>
      <c r="P180" s="24"/>
      <c r="Q180" s="25"/>
      <c r="R180" s="14"/>
      <c r="U180" s="18"/>
      <c r="V180" s="14"/>
    </row>
    <row r="181" spans="1:22">
      <c r="A181" s="14"/>
      <c r="B181" s="15"/>
      <c r="C181" s="14"/>
      <c r="D181" s="14"/>
      <c r="I181" s="14"/>
      <c r="P181" s="24"/>
      <c r="Q181" s="25"/>
      <c r="R181" s="14"/>
      <c r="U181" s="18"/>
      <c r="V181" s="14"/>
    </row>
    <row r="182" spans="1:22">
      <c r="A182" s="14"/>
      <c r="B182" s="15"/>
      <c r="C182" s="14"/>
      <c r="D182" s="14"/>
      <c r="I182" s="14"/>
      <c r="P182" s="24"/>
      <c r="Q182" s="25"/>
      <c r="R182" s="14"/>
      <c r="U182" s="18"/>
      <c r="V182" s="14"/>
    </row>
    <row r="183" spans="1:22">
      <c r="A183" s="14"/>
      <c r="B183" s="15"/>
      <c r="C183" s="14"/>
      <c r="D183" s="14"/>
      <c r="I183" s="14"/>
      <c r="P183" s="24"/>
      <c r="Q183" s="25"/>
      <c r="R183" s="14"/>
      <c r="U183" s="18"/>
      <c r="V183" s="14"/>
    </row>
    <row r="184" spans="1:22">
      <c r="A184" s="14"/>
      <c r="B184" s="15"/>
      <c r="C184" s="14"/>
      <c r="D184" s="14"/>
      <c r="I184" s="14"/>
      <c r="P184" s="24"/>
      <c r="Q184" s="25"/>
      <c r="R184" s="14"/>
      <c r="U184" s="18"/>
      <c r="V184" s="14"/>
    </row>
    <row r="185" spans="1:22">
      <c r="A185" s="14"/>
      <c r="B185" s="15"/>
      <c r="C185" s="14"/>
      <c r="D185" s="14"/>
      <c r="I185" s="14"/>
      <c r="P185" s="24"/>
      <c r="Q185" s="25"/>
      <c r="R185" s="14"/>
      <c r="U185" s="18"/>
      <c r="V185" s="14"/>
    </row>
    <row r="186" spans="1:22">
      <c r="A186" s="14"/>
      <c r="B186" s="15"/>
      <c r="C186" s="14"/>
      <c r="D186" s="14"/>
      <c r="I186" s="14"/>
      <c r="P186" s="24"/>
      <c r="Q186" s="25"/>
      <c r="R186" s="14"/>
      <c r="U186" s="18"/>
      <c r="V186" s="14"/>
    </row>
    <row r="187" spans="1:22">
      <c r="A187" s="14"/>
      <c r="B187" s="15"/>
      <c r="C187" s="14"/>
      <c r="D187" s="14"/>
      <c r="I187" s="14"/>
      <c r="P187" s="24"/>
      <c r="Q187" s="25"/>
      <c r="R187" s="14"/>
      <c r="U187" s="18"/>
      <c r="V187" s="14"/>
    </row>
    <row r="188" spans="1:22">
      <c r="A188" s="14"/>
      <c r="B188" s="15"/>
      <c r="C188" s="14"/>
      <c r="D188" s="14"/>
      <c r="I188" s="14"/>
      <c r="P188" s="24"/>
      <c r="Q188" s="25"/>
      <c r="R188" s="14"/>
      <c r="U188" s="18"/>
      <c r="V188" s="14"/>
    </row>
    <row r="189" spans="1:22">
      <c r="A189" s="14"/>
      <c r="B189" s="15"/>
      <c r="C189" s="14"/>
      <c r="D189" s="14"/>
      <c r="I189" s="14"/>
      <c r="P189" s="24"/>
      <c r="Q189" s="25"/>
      <c r="R189" s="14"/>
      <c r="U189" s="18"/>
      <c r="V189" s="14"/>
    </row>
    <row r="190" spans="1:22">
      <c r="A190" s="14"/>
      <c r="B190" s="15"/>
      <c r="C190" s="14"/>
      <c r="D190" s="14"/>
      <c r="I190" s="14"/>
      <c r="P190" s="24"/>
      <c r="Q190" s="25"/>
      <c r="R190" s="14"/>
      <c r="U190" s="18"/>
      <c r="V190" s="14"/>
    </row>
    <row r="191" spans="1:22">
      <c r="A191" s="14"/>
      <c r="B191" s="15"/>
      <c r="C191" s="14"/>
      <c r="D191" s="14"/>
      <c r="I191" s="14"/>
      <c r="P191" s="24"/>
      <c r="Q191" s="25"/>
      <c r="R191" s="14"/>
      <c r="U191" s="18"/>
      <c r="V191" s="14"/>
    </row>
    <row r="192" spans="1:22">
      <c r="A192" s="14"/>
      <c r="B192" s="15"/>
      <c r="C192" s="14"/>
      <c r="D192" s="14"/>
      <c r="I192" s="14"/>
      <c r="P192" s="24"/>
      <c r="Q192" s="25"/>
      <c r="R192" s="14"/>
      <c r="U192" s="18"/>
      <c r="V192" s="14"/>
    </row>
    <row r="193" spans="1:22">
      <c r="A193" s="14"/>
      <c r="B193" s="15"/>
      <c r="C193" s="14"/>
      <c r="D193" s="14"/>
      <c r="I193" s="14"/>
      <c r="P193" s="24"/>
      <c r="Q193" s="25"/>
      <c r="R193" s="14"/>
      <c r="U193" s="18"/>
      <c r="V193" s="14"/>
    </row>
    <row r="194" spans="1:22">
      <c r="A194" s="14"/>
      <c r="B194" s="15"/>
      <c r="C194" s="14"/>
      <c r="D194" s="14"/>
      <c r="I194" s="14"/>
      <c r="P194" s="24"/>
      <c r="Q194" s="25"/>
      <c r="R194" s="14"/>
      <c r="U194" s="18"/>
      <c r="V194" s="14"/>
    </row>
    <row r="195" spans="1:22">
      <c r="A195" s="14"/>
      <c r="B195" s="15"/>
      <c r="C195" s="14"/>
      <c r="D195" s="14"/>
      <c r="I195" s="14"/>
      <c r="P195" s="24"/>
      <c r="Q195" s="25"/>
      <c r="R195" s="14"/>
      <c r="U195" s="18"/>
      <c r="V195" s="14"/>
    </row>
    <row r="196" spans="1:22">
      <c r="A196" s="14"/>
      <c r="B196" s="15"/>
      <c r="C196" s="14"/>
      <c r="D196" s="14"/>
      <c r="I196" s="14"/>
      <c r="P196" s="24"/>
      <c r="Q196" s="25"/>
      <c r="R196" s="14"/>
      <c r="U196" s="18"/>
      <c r="V196" s="14"/>
    </row>
    <row r="197" spans="1:22">
      <c r="A197" s="14"/>
      <c r="B197" s="15"/>
      <c r="C197" s="14"/>
      <c r="D197" s="14"/>
      <c r="I197" s="14"/>
      <c r="P197" s="24"/>
      <c r="Q197" s="25"/>
      <c r="R197" s="14"/>
      <c r="U197" s="18"/>
      <c r="V197" s="14"/>
    </row>
    <row r="198" spans="1:22">
      <c r="A198" s="14"/>
      <c r="B198" s="15"/>
      <c r="C198" s="14"/>
      <c r="D198" s="14"/>
      <c r="I198" s="14"/>
      <c r="P198" s="24"/>
      <c r="Q198" s="25"/>
      <c r="R198" s="14"/>
      <c r="U198" s="18"/>
      <c r="V198" s="14"/>
    </row>
    <row r="199" spans="1:22">
      <c r="A199" s="14"/>
      <c r="B199" s="15"/>
      <c r="C199" s="14"/>
      <c r="D199" s="14"/>
      <c r="I199" s="14"/>
      <c r="P199" s="24"/>
      <c r="Q199" s="25"/>
      <c r="R199" s="14"/>
      <c r="U199" s="18"/>
      <c r="V199" s="14"/>
    </row>
    <row r="200" spans="1:22">
      <c r="A200" s="14"/>
      <c r="B200" s="15"/>
      <c r="C200" s="14"/>
      <c r="D200" s="14"/>
      <c r="I200" s="14"/>
      <c r="P200" s="24"/>
      <c r="Q200" s="25"/>
      <c r="R200" s="14"/>
      <c r="U200" s="18"/>
      <c r="V200" s="14"/>
    </row>
    <row r="201" spans="1:22">
      <c r="A201" s="14"/>
      <c r="B201" s="15"/>
      <c r="C201" s="14"/>
      <c r="D201" s="14"/>
      <c r="I201" s="14"/>
      <c r="P201" s="24"/>
      <c r="Q201" s="25"/>
      <c r="R201" s="14"/>
      <c r="U201" s="18"/>
      <c r="V201" s="14"/>
    </row>
    <row r="202" spans="1:22">
      <c r="A202" s="14"/>
      <c r="B202" s="15"/>
      <c r="C202" s="14"/>
      <c r="D202" s="14"/>
      <c r="I202" s="14"/>
      <c r="P202" s="24"/>
      <c r="Q202" s="25"/>
      <c r="R202" s="14"/>
      <c r="U202" s="18"/>
      <c r="V202" s="14"/>
    </row>
    <row r="203" spans="1:22">
      <c r="A203" s="14"/>
      <c r="B203" s="15"/>
      <c r="C203" s="14"/>
      <c r="D203" s="14"/>
      <c r="I203" s="14"/>
      <c r="P203" s="24"/>
      <c r="Q203" s="25"/>
      <c r="R203" s="14"/>
      <c r="U203" s="18"/>
      <c r="V203" s="14"/>
    </row>
    <row r="204" spans="1:22">
      <c r="A204" s="14"/>
      <c r="B204" s="15"/>
      <c r="C204" s="14"/>
      <c r="D204" s="14"/>
      <c r="I204" s="14"/>
      <c r="P204" s="24"/>
      <c r="Q204" s="25"/>
      <c r="R204" s="14"/>
      <c r="U204" s="18"/>
      <c r="V204" s="14"/>
    </row>
    <row r="205" spans="1:22">
      <c r="A205" s="14"/>
      <c r="B205" s="15"/>
      <c r="C205" s="14"/>
      <c r="D205" s="14"/>
      <c r="I205" s="14"/>
      <c r="P205" s="24"/>
      <c r="Q205" s="25"/>
      <c r="R205" s="14"/>
      <c r="U205" s="18"/>
      <c r="V205" s="14"/>
    </row>
  </sheetData>
  <conditionalFormatting sqref="F1">
    <cfRule type="duplicateValues" dxfId="0" priority="2"/>
  </conditionalFormatting>
  <conditionalFormatting sqref="M1">
    <cfRule type="cellIs" dxfId="2" priority="1" operator="lessThan">
      <formula>0</formula>
    </cfRule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产品信息</vt:lpstr>
      <vt:lpstr>Walmart核算</vt:lpstr>
      <vt:lpstr>2026欧洲listing SOP流程</vt:lpstr>
      <vt:lpstr>美国SC毛利测算</vt:lpstr>
      <vt:lpstr>美国VC毛利测算</vt:lpstr>
      <vt:lpstr>欧洲SC毛利测算</vt:lpstr>
      <vt:lpstr>欧洲VC毛利测算</vt:lpstr>
      <vt:lpstr>活动排期</vt:lpstr>
      <vt:lpstr>发货物流价格</vt:lpstr>
      <vt:lpstr>除螨仪-采购计划</vt:lpstr>
      <vt:lpstr>AP100A-采购计划</vt:lpstr>
      <vt:lpstr>39in1-采购计划</vt:lpstr>
      <vt:lpstr>TK视频链接</vt:lpstr>
      <vt:lpstr>佣金</vt:lpstr>
      <vt:lpstr>美国DI毛利测算</vt:lpstr>
      <vt:lpstr>欧洲DI毛利测算</vt:lpstr>
      <vt:lpstr>美国DF上架测算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2026-05-30T07:04:07Z</dcterms:created>
  <dcterms:modified xsi:type="dcterms:W3CDTF">2026-05-30T08:16:49Z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62589B6EB69244B1992A09507E94BD5F_12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