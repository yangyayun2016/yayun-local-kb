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按周统计" sheetId="1" r:id="rId1"/>
    <sheet name="按促销节点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<sst xmlns="http://schemas.openxmlformats.org/spreadsheetml/2006/main" count="161" uniqueCount="84">
  <si>
    <t>店铺代码</t>
  </si>
  <si>
    <t>销售周期</t>
  </si>
  <si>
    <t>优惠力度</t>
  </si>
  <si>
    <t>价格变动</t>
  </si>
  <si>
    <t>日期</t>
  </si>
  <si>
    <t>总流量</t>
  </si>
  <si>
    <t>总销量</t>
  </si>
  <si>
    <t>转化率</t>
  </si>
  <si>
    <t>总销售额</t>
  </si>
  <si>
    <t>优惠金额</t>
  </si>
  <si>
    <t>退货数量</t>
  </si>
  <si>
    <t>退款率</t>
  </si>
  <si>
    <t>净销售</t>
  </si>
  <si>
    <t>曝光</t>
  </si>
  <si>
    <t>点击</t>
  </si>
  <si>
    <t>点击率</t>
  </si>
  <si>
    <t>广告单</t>
  </si>
  <si>
    <t>广告销售额</t>
  </si>
  <si>
    <t>广告花费</t>
  </si>
  <si>
    <t>CPC</t>
  </si>
  <si>
    <t>ACOS</t>
  </si>
  <si>
    <t>投产比</t>
  </si>
  <si>
    <t>CPA</t>
  </si>
  <si>
    <t>TACOS</t>
  </si>
  <si>
    <t>广告单占比</t>
  </si>
  <si>
    <t>广告流量占比</t>
  </si>
  <si>
    <t>优惠支出占比</t>
  </si>
  <si>
    <t>备注</t>
  </si>
  <si>
    <t>S店铺</t>
  </si>
  <si>
    <t>W1</t>
  </si>
  <si>
    <t>/</t>
  </si>
  <si>
    <t>2月9-2月15</t>
  </si>
  <si>
    <t>W2</t>
  </si>
  <si>
    <t>2月16-2月22</t>
  </si>
  <si>
    <t>W3</t>
  </si>
  <si>
    <t>2月23-3月1</t>
  </si>
  <si>
    <t>W4</t>
  </si>
  <si>
    <t>3月2-3月7</t>
  </si>
  <si>
    <t>W5</t>
  </si>
  <si>
    <t>20%-30%</t>
  </si>
  <si>
    <t>3月8-3月15</t>
  </si>
  <si>
    <t>W6</t>
  </si>
  <si>
    <t>3月16-3月17</t>
  </si>
  <si>
    <t>汇总</t>
  </si>
  <si>
    <t>T店</t>
  </si>
  <si>
    <t>1月19-1月25</t>
  </si>
  <si>
    <t>30%-40%</t>
  </si>
  <si>
    <t>1月26-2月1</t>
  </si>
  <si>
    <t>30%-20%</t>
  </si>
  <si>
    <t>2月2-2月8</t>
  </si>
  <si>
    <t>W7</t>
  </si>
  <si>
    <t>3月2-3月8</t>
  </si>
  <si>
    <t>W8</t>
  </si>
  <si>
    <t>3.13降价到54.99</t>
  </si>
  <si>
    <t>3月9-3月15</t>
  </si>
  <si>
    <t>W9</t>
  </si>
  <si>
    <t>运营策略分析总结</t>
  </si>
  <si>
    <t>1. 从推广策略上，S店铺手动广告竞价策略以动态竞价-提高降低为主；T店手动广告竞价策略以固定竞价为主；从优惠力度上，S店一开始就给了50%的优惠券（顶额优惠力度），T店刚开始给了30%的优惠券，而后又将优惠券提升到40%，属于根据实际销售情况去测试调整的过程。</t>
  </si>
  <si>
    <t>2. 新链接最核心的两个指标就是销量和转化率。从这两个指标来看，S店推广上通过提高降低这种竞价策略，通过系统自动出价快速的让产品拿到更多的曝光，50%的优惠券让链接拿到链接拿到更多的点击和更高的转化率，从而产生了更多的广告单。</t>
  </si>
  <si>
    <t>3. 做广告的目的是通过广告单提升自然单。从Z列“广告单占比”这一项来看，S店铺从W1-W6，广告单占比逐渐递减，自然单占比在不断提升。T店广告单占比呈现波动递减趋势，没有S店的规律。</t>
  </si>
  <si>
    <t>4. 从核心关键词自然搜索位来看，S店铺仅用一个月的时间让几个核心关键词均已经上到了第一页靠前的位置。T店几个核心关键词也上到了首页位置</t>
  </si>
  <si>
    <t>5. S店已经实现了第一个阶段的目标：快速起销量，打关键词的自然搜索排名。我认为第二阶段的目标是逐步优化广告，降低推广占比，具体如何操作：保持现在的竞价策略不变，以7天为一个小周期，先从单量少的广告组开始逐步降低基础竞价，同时核心词开启手动广告固定策略的精准匹配方式，在不影响整体销量和排名的情况下逐渐降低CPC，从而降低推广占比，当推广占比逐渐降低到预期之后，随着链接评价和排名的稳定，每次以5%的幅度减少优惠券额度，每次调整观察时间以7天为一个周期，观察实际的销量，转化率情况再考虑下一步是否继续降低优惠券力度。------这是我个人的建议，接下来如何调整，需要问浩磊和大威的想法。</t>
  </si>
  <si>
    <t>T</t>
  </si>
  <si>
    <t>1/22-1/27</t>
  </si>
  <si>
    <t>1/28'</t>
  </si>
  <si>
    <t>1/29'</t>
  </si>
  <si>
    <t>1/30'</t>
  </si>
  <si>
    <t>1/31-2/2</t>
  </si>
  <si>
    <t>2/3-2/24</t>
  </si>
  <si>
    <t>2/25-2/26</t>
  </si>
  <si>
    <t>2/27'</t>
  </si>
  <si>
    <t>2/28-3/6</t>
  </si>
  <si>
    <t>3/7/-3/11</t>
  </si>
  <si>
    <t>降价到54.99</t>
  </si>
  <si>
    <t>3/12-3/16</t>
  </si>
  <si>
    <t>3/17'</t>
  </si>
  <si>
    <t>3/18-3/19</t>
  </si>
  <si>
    <t>总计</t>
  </si>
  <si>
    <t>S</t>
  </si>
  <si>
    <t>2/10-2/22</t>
  </si>
  <si>
    <t>2/23-2/24</t>
  </si>
  <si>
    <t>3/7-3/10</t>
  </si>
  <si>
    <t>3/11'</t>
  </si>
  <si>
    <t>3/12-3.19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</si>
</sst>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_ "/>
    <numFmt numFmtId="178" formatCode="0.00_ "/>
    <numFmt numFmtId="179" formatCode="0.0_ "/>
  </numFmts>
  <fonts count="21">
    <font>
      <sz val="11"/>
      <color theme="1"/>
      <name val="宋体"/>
      <charset val="134"/>
      <scheme val="minor"/>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tint="-0.35"/>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hair">
        <color auto="1"/>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8"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9" applyNumberFormat="0" applyFill="0" applyAlignment="0" applyProtection="0">
      <alignment vertical="center"/>
    </xf>
    <xf numFmtId="0" fontId="8" fillId="0" borderId="9" applyNumberFormat="0" applyFill="0" applyAlignment="0" applyProtection="0">
      <alignment vertical="center"/>
    </xf>
    <xf numFmtId="0" fontId="9" fillId="0" borderId="10" applyNumberFormat="0" applyFill="0" applyAlignment="0" applyProtection="0">
      <alignment vertical="center"/>
    </xf>
    <xf numFmtId="0" fontId="9" fillId="0" borderId="0" applyNumberFormat="0" applyFill="0" applyBorder="0" applyAlignment="0" applyProtection="0">
      <alignment vertical="center"/>
    </xf>
    <xf numFmtId="0" fontId="10" fillId="6" borderId="11" applyNumberFormat="0" applyAlignment="0" applyProtection="0">
      <alignment vertical="center"/>
    </xf>
    <xf numFmtId="0" fontId="11" fillId="7" borderId="12" applyNumberFormat="0" applyAlignment="0" applyProtection="0">
      <alignment vertical="center"/>
    </xf>
    <xf numFmtId="0" fontId="12" fillId="7" borderId="11" applyNumberFormat="0" applyAlignment="0" applyProtection="0">
      <alignment vertical="center"/>
    </xf>
    <xf numFmtId="0" fontId="13" fillId="8" borderId="13" applyNumberFormat="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74">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lignment vertical="center"/>
    </xf>
    <xf numFmtId="0" fontId="1" fillId="2" borderId="2" xfId="0" applyFont="1" applyFill="1" applyBorder="1" applyAlignment="1">
      <alignment vertical="center"/>
    </xf>
    <xf numFmtId="9" fontId="1" fillId="0" borderId="1" xfId="3" applyFont="1" applyBorder="1">
      <alignment vertical="center"/>
    </xf>
    <xf numFmtId="176" fontId="1" fillId="0" borderId="1" xfId="3" applyNumberFormat="1" applyFont="1" applyBorder="1">
      <alignment vertical="center"/>
    </xf>
    <xf numFmtId="177" fontId="1" fillId="0" borderId="1" xfId="0" applyNumberFormat="1" applyFont="1" applyBorder="1">
      <alignment vertical="center"/>
    </xf>
    <xf numFmtId="177" fontId="1" fillId="0" borderId="1" xfId="0" applyNumberFormat="1" applyFont="1" applyBorder="1" applyAlignment="1">
      <alignment horizontal="right" vertical="center"/>
    </xf>
    <xf numFmtId="10" fontId="1" fillId="0" borderId="1" xfId="3" applyNumberFormat="1" applyFont="1" applyBorder="1">
      <alignment vertical="center"/>
    </xf>
    <xf numFmtId="178" fontId="1" fillId="0" borderId="1" xfId="0" applyNumberFormat="1" applyFont="1" applyBorder="1">
      <alignment vertical="center"/>
    </xf>
    <xf numFmtId="179" fontId="1" fillId="0" borderId="1" xfId="0" applyNumberFormat="1" applyFont="1" applyBorder="1">
      <alignment vertical="center"/>
    </xf>
    <xf numFmtId="9" fontId="1" fillId="0" borderId="1" xfId="3" applyFont="1" applyBorder="1" applyAlignment="1">
      <alignment horizontal="center" vertical="center"/>
    </xf>
    <xf numFmtId="0" fontId="1"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176" fontId="1" fillId="3" borderId="1" xfId="3" applyNumberFormat="1" applyFont="1" applyFill="1" applyBorder="1" applyAlignment="1">
      <alignment horizontal="center" vertical="center" wrapText="1"/>
    </xf>
    <xf numFmtId="177" fontId="1" fillId="0" borderId="1" xfId="0" applyNumberFormat="1" applyFont="1" applyBorder="1" applyAlignment="1">
      <alignment horizontal="center" vertical="center" wrapText="1"/>
    </xf>
    <xf numFmtId="0" fontId="1" fillId="0" borderId="3" xfId="0" applyFont="1" applyBorder="1" applyAlignment="1">
      <alignment horizontal="center" vertical="center"/>
    </xf>
    <xf numFmtId="9" fontId="1" fillId="0" borderId="1" xfId="3" applyNumberFormat="1" applyFont="1" applyBorder="1">
      <alignment vertical="center"/>
    </xf>
    <xf numFmtId="0" fontId="1" fillId="0" borderId="4" xfId="0" applyFont="1" applyBorder="1" applyAlignment="1">
      <alignment horizontal="center" vertical="center"/>
    </xf>
    <xf numFmtId="58" fontId="1" fillId="0" borderId="1" xfId="0" applyNumberFormat="1" applyFont="1" applyBorder="1">
      <alignment vertical="center"/>
    </xf>
    <xf numFmtId="0" fontId="1" fillId="3" borderId="1" xfId="0" applyFont="1" applyFill="1" applyBorder="1" applyAlignment="1">
      <alignment vertical="center"/>
    </xf>
    <xf numFmtId="9" fontId="1" fillId="0" borderId="1" xfId="3" applyNumberFormat="1" applyFont="1" applyFill="1" applyBorder="1">
      <alignment vertical="center"/>
    </xf>
    <xf numFmtId="0" fontId="1" fillId="0" borderId="5" xfId="0" applyFont="1" applyBorder="1" applyAlignment="1">
      <alignment horizontal="center" vertical="center"/>
    </xf>
    <xf numFmtId="0" fontId="1" fillId="2" borderId="6" xfId="0" applyFont="1" applyFill="1" applyBorder="1" applyAlignment="1">
      <alignment vertical="center"/>
    </xf>
    <xf numFmtId="177" fontId="1" fillId="0" borderId="1" xfId="0" applyNumberFormat="1" applyFont="1" applyBorder="1" applyAlignment="1">
      <alignment horizontal="right" vertical="center" wrapText="1"/>
    </xf>
    <xf numFmtId="10" fontId="1" fillId="0" borderId="1" xfId="3" applyNumberFormat="1" applyFont="1" applyBorder="1" applyAlignment="1">
      <alignment horizontal="center" vertical="center" wrapText="1"/>
    </xf>
    <xf numFmtId="177" fontId="1" fillId="0" borderId="3" xfId="0" applyNumberFormat="1" applyFont="1" applyBorder="1" applyAlignment="1">
      <alignment horizontal="right" vertical="center"/>
    </xf>
    <xf numFmtId="177" fontId="1" fillId="0" borderId="5" xfId="0" applyNumberFormat="1" applyFont="1" applyBorder="1" applyAlignment="1">
      <alignment horizontal="right" vertical="center"/>
    </xf>
    <xf numFmtId="178" fontId="1" fillId="0" borderId="1" xfId="0" applyNumberFormat="1" applyFont="1" applyBorder="1" applyAlignment="1">
      <alignment horizontal="center" vertical="center" wrapText="1"/>
    </xf>
    <xf numFmtId="176" fontId="1" fillId="0" borderId="1" xfId="3" applyNumberFormat="1" applyFont="1" applyBorder="1" applyAlignment="1">
      <alignment horizontal="center" vertical="center" wrapText="1"/>
    </xf>
    <xf numFmtId="179" fontId="1" fillId="3" borderId="1" xfId="0" applyNumberFormat="1" applyFont="1" applyFill="1" applyBorder="1" applyAlignment="1">
      <alignment horizontal="center" vertical="center" wrapText="1"/>
    </xf>
    <xf numFmtId="179" fontId="1" fillId="3" borderId="1" xfId="0" applyNumberFormat="1" applyFont="1" applyFill="1" applyBorder="1">
      <alignment vertical="center"/>
    </xf>
    <xf numFmtId="0" fontId="1" fillId="2" borderId="7" xfId="0" applyFont="1" applyFill="1" applyBorder="1" applyAlignment="1">
      <alignment vertical="center"/>
    </xf>
    <xf numFmtId="0" fontId="1" fillId="0" borderId="1"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177" fontId="1" fillId="0" borderId="0" xfId="0" applyNumberFormat="1" applyFont="1" applyAlignment="1">
      <alignment horizontal="center" vertical="center"/>
    </xf>
    <xf numFmtId="9" fontId="1" fillId="0" borderId="0" xfId="0" applyNumberFormat="1" applyFont="1" applyAlignment="1">
      <alignment horizontal="center" vertical="center"/>
    </xf>
    <xf numFmtId="10" fontId="1" fillId="0" borderId="0" xfId="3" applyNumberFormat="1" applyFont="1" applyAlignment="1">
      <alignment horizontal="center" vertical="center"/>
    </xf>
    <xf numFmtId="179" fontId="1" fillId="0" borderId="0" xfId="0" applyNumberFormat="1" applyFont="1" applyAlignment="1">
      <alignment horizontal="center" vertical="center"/>
    </xf>
    <xf numFmtId="9" fontId="1" fillId="0" borderId="0" xfId="3" applyFont="1" applyAlignment="1">
      <alignment horizontal="center" vertical="center"/>
    </xf>
    <xf numFmtId="176" fontId="1" fillId="0" borderId="0" xfId="3" applyNumberFormat="1" applyFont="1" applyAlignment="1">
      <alignment horizontal="center" vertical="center"/>
    </xf>
    <xf numFmtId="178" fontId="1" fillId="0" borderId="0" xfId="0" applyNumberFormat="1" applyFont="1" applyAlignment="1">
      <alignment horizontal="center" vertical="center"/>
    </xf>
    <xf numFmtId="9" fontId="1" fillId="0" borderId="1" xfId="0" applyNumberFormat="1" applyFont="1" applyBorder="1" applyAlignment="1">
      <alignment horizontal="center" vertical="center"/>
    </xf>
    <xf numFmtId="14" fontId="1" fillId="0" borderId="1" xfId="0" applyNumberFormat="1" applyFont="1" applyBorder="1" applyAlignment="1">
      <alignment horizontal="left" vertical="center"/>
    </xf>
    <xf numFmtId="0" fontId="1" fillId="3" borderId="1" xfId="0" applyFont="1" applyFill="1" applyBorder="1" applyAlignment="1">
      <alignment horizontal="center" vertical="center"/>
    </xf>
    <xf numFmtId="10" fontId="1" fillId="3" borderId="1" xfId="0" applyNumberFormat="1" applyFont="1" applyFill="1" applyBorder="1" applyAlignment="1">
      <alignment horizontal="center" vertical="center"/>
    </xf>
    <xf numFmtId="0" fontId="1" fillId="0" borderId="1" xfId="0" applyFont="1" applyBorder="1" applyAlignment="1">
      <alignment horizontal="left" vertical="center"/>
    </xf>
    <xf numFmtId="14" fontId="1" fillId="0" borderId="0" xfId="0" applyNumberFormat="1" applyFont="1" applyAlignment="1">
      <alignment horizontal="left" vertical="center"/>
    </xf>
    <xf numFmtId="0" fontId="1" fillId="3" borderId="0" xfId="0" applyFont="1" applyFill="1" applyAlignment="1">
      <alignment horizontal="center" vertical="center"/>
    </xf>
    <xf numFmtId="10" fontId="1" fillId="3" borderId="0" xfId="0" applyNumberFormat="1" applyFont="1" applyFill="1" applyAlignment="1">
      <alignment horizontal="center" vertical="center"/>
    </xf>
    <xf numFmtId="0" fontId="1" fillId="4" borderId="1" xfId="0" applyFont="1" applyFill="1" applyBorder="1" applyAlignment="1">
      <alignment horizontal="left" vertical="center" wrapText="1"/>
    </xf>
    <xf numFmtId="0" fontId="1" fillId="0" borderId="0" xfId="0" applyFont="1" applyAlignment="1">
      <alignment horizontal="left" vertical="center" wrapText="1"/>
    </xf>
    <xf numFmtId="9" fontId="1" fillId="0" borderId="1" xfId="0" applyNumberFormat="1" applyFont="1" applyBorder="1" applyAlignment="1">
      <alignment horizontal="center" vertical="center" wrapText="1"/>
    </xf>
    <xf numFmtId="177" fontId="1" fillId="0" borderId="1" xfId="0" applyNumberFormat="1" applyFont="1" applyBorder="1" applyAlignment="1">
      <alignment horizontal="center" vertical="center"/>
    </xf>
    <xf numFmtId="10" fontId="1" fillId="0" borderId="1" xfId="3" applyNumberFormat="1" applyFont="1" applyBorder="1" applyAlignment="1">
      <alignment horizontal="center" vertical="center"/>
    </xf>
    <xf numFmtId="177" fontId="1" fillId="0" borderId="0" xfId="0" applyNumberFormat="1" applyFont="1" applyAlignment="1">
      <alignment horizontal="left" vertical="center"/>
    </xf>
    <xf numFmtId="9" fontId="1" fillId="0" borderId="0" xfId="0" applyNumberFormat="1" applyFont="1" applyAlignment="1">
      <alignment horizontal="left" vertical="center"/>
    </xf>
    <xf numFmtId="10" fontId="1" fillId="0" borderId="0" xfId="3" applyNumberFormat="1" applyFont="1" applyAlignment="1">
      <alignment horizontal="left" vertical="center"/>
    </xf>
    <xf numFmtId="4" fontId="1" fillId="0" borderId="0" xfId="0" applyNumberFormat="1" applyFont="1" applyAlignment="1">
      <alignment horizontal="left" vertical="center"/>
    </xf>
    <xf numFmtId="179" fontId="1" fillId="0" borderId="1" xfId="0" applyNumberFormat="1" applyFont="1" applyBorder="1" applyAlignment="1">
      <alignment horizontal="center" vertical="center" wrapText="1"/>
    </xf>
    <xf numFmtId="9" fontId="1" fillId="0" borderId="1" xfId="3" applyFont="1" applyBorder="1" applyAlignment="1">
      <alignment horizontal="center" vertical="center" wrapText="1"/>
    </xf>
    <xf numFmtId="178" fontId="1" fillId="0" borderId="1" xfId="0" applyNumberFormat="1" applyFont="1" applyBorder="1" applyAlignment="1">
      <alignment horizontal="center" vertical="center"/>
    </xf>
    <xf numFmtId="176" fontId="1" fillId="3" borderId="1" xfId="3" applyNumberFormat="1" applyFont="1" applyFill="1" applyBorder="1" applyAlignment="1">
      <alignment horizontal="center" vertical="center"/>
    </xf>
    <xf numFmtId="179" fontId="1" fillId="3" borderId="1" xfId="0" applyNumberFormat="1" applyFont="1" applyFill="1" applyBorder="1" applyAlignment="1">
      <alignment horizontal="center" vertical="center"/>
    </xf>
    <xf numFmtId="176" fontId="1" fillId="3" borderId="0" xfId="3" applyNumberFormat="1" applyFont="1" applyFill="1" applyAlignment="1">
      <alignment horizontal="center" vertical="center"/>
    </xf>
    <xf numFmtId="179" fontId="1" fillId="3" borderId="0" xfId="0" applyNumberFormat="1" applyFont="1" applyFill="1" applyAlignment="1">
      <alignment horizontal="center" vertical="center"/>
    </xf>
    <xf numFmtId="179" fontId="1" fillId="0" borderId="0" xfId="0" applyNumberFormat="1" applyFont="1" applyAlignment="1">
      <alignment horizontal="left" vertical="center"/>
    </xf>
    <xf numFmtId="9" fontId="1" fillId="0" borderId="0" xfId="3" applyFont="1" applyAlignment="1">
      <alignment horizontal="left" vertical="center"/>
    </xf>
    <xf numFmtId="176" fontId="1" fillId="0" borderId="0" xfId="3" applyNumberFormat="1" applyFont="1" applyAlignment="1">
      <alignment horizontal="left" vertical="center"/>
    </xf>
    <xf numFmtId="178" fontId="1" fillId="0" borderId="0" xfId="0" applyNumberFormat="1" applyFont="1" applyAlignment="1">
      <alignment horizontal="left" vertical="center"/>
    </xf>
    <xf numFmtId="9" fontId="1" fillId="3" borderId="1" xfId="3" applyFont="1" applyFill="1" applyBorder="1" applyAlignment="1">
      <alignment horizontal="center" vertical="center" wrapText="1"/>
    </xf>
    <xf numFmtId="9" fontId="1" fillId="3" borderId="1" xfId="3" applyFont="1" applyFill="1" applyBorder="1" applyAlignment="1">
      <alignment horizontal="center" vertical="center"/>
    </xf>
    <xf numFmtId="9" fontId="1" fillId="3" borderId="0" xfId="3"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6"/>
  <sheetViews>
    <sheetView tabSelected="1" zoomScaleSheetLayoutView="60" workbookViewId="0">
      <pane ySplit="1" topLeftCell="A20" activePane="bottomLeft" state="frozen"/>
      <selection/>
      <selection pane="bottomLeft" activeCell="G5" sqref="G5"/>
    </sheetView>
  </sheetViews>
  <sheetFormatPr defaultColWidth="10" defaultRowHeight="18" customHeight="1"/>
  <cols>
    <col min="1" max="1" width="5.33333333333333" style="35" customWidth="1"/>
    <col min="2" max="2" width="5.22222222222222" style="35" customWidth="1"/>
    <col min="3" max="3" width="9" style="35" customWidth="1"/>
    <col min="4" max="4" width="8.55555555555556" style="35" customWidth="1"/>
    <col min="5" max="5" width="10.8888888888889" style="34" customWidth="1"/>
    <col min="6" max="8" width="6.66666666666667" style="35" customWidth="1"/>
    <col min="9" max="9" width="7.44444444444444" style="36" customWidth="1"/>
    <col min="10" max="10" width="6.66666666666667" style="36" customWidth="1"/>
    <col min="11" max="11" width="6.66666666666667" style="35" customWidth="1"/>
    <col min="12" max="12" width="6.88888888888889" style="37" customWidth="1"/>
    <col min="13" max="13" width="6.88888888888889" style="36" customWidth="1"/>
    <col min="14" max="14" width="9.22222222222222" style="35" customWidth="1"/>
    <col min="15" max="15" width="6.88888888888889" style="35" customWidth="1"/>
    <col min="16" max="16" width="6.88888888888889" style="38" customWidth="1"/>
    <col min="17" max="17" width="6.88888888888889" style="35" customWidth="1"/>
    <col min="18" max="19" width="6.88888888888889" style="36" customWidth="1"/>
    <col min="20" max="20" width="6.88888888888889" style="39" customWidth="1"/>
    <col min="21" max="21" width="6.88888888888889" style="40" customWidth="1"/>
    <col min="22" max="22" width="6.88888888888889" style="41" customWidth="1"/>
    <col min="23" max="23" width="6.88888888888889" style="42" customWidth="1"/>
    <col min="24" max="24" width="6.88888888888889" style="39" customWidth="1"/>
    <col min="25" max="27" width="6.88888888888889" style="40" customWidth="1"/>
    <col min="28" max="28" width="7.66666666666667" style="40" customWidth="1"/>
    <col min="29" max="16384" width="10" style="35"/>
  </cols>
  <sheetData>
    <row r="1" s="1" customFormat="1" ht="26" customHeight="1" spans="1:29">
      <c r="A1" s="1" t="s">
        <v>0</v>
      </c>
      <c r="B1" s="1" t="s">
        <v>1</v>
      </c>
      <c r="C1" s="33" t="s">
        <v>2</v>
      </c>
      <c r="D1" s="1" t="s">
        <v>3</v>
      </c>
      <c r="E1" s="12" t="s">
        <v>4</v>
      </c>
      <c r="F1" s="1" t="s">
        <v>5</v>
      </c>
      <c r="G1" s="13" t="s">
        <v>6</v>
      </c>
      <c r="H1" s="13" t="s">
        <v>7</v>
      </c>
      <c r="I1" s="15" t="s">
        <v>8</v>
      </c>
      <c r="J1" s="15" t="s">
        <v>9</v>
      </c>
      <c r="K1" s="1" t="s">
        <v>10</v>
      </c>
      <c r="L1" s="53" t="s">
        <v>11</v>
      </c>
      <c r="M1" s="15" t="s">
        <v>12</v>
      </c>
      <c r="N1" s="1" t="s">
        <v>13</v>
      </c>
      <c r="O1" s="1" t="s">
        <v>14</v>
      </c>
      <c r="P1" s="25" t="s">
        <v>15</v>
      </c>
      <c r="Q1" s="1" t="s">
        <v>16</v>
      </c>
      <c r="R1" s="15" t="s">
        <v>17</v>
      </c>
      <c r="S1" s="15" t="s">
        <v>18</v>
      </c>
      <c r="T1" s="60" t="s">
        <v>19</v>
      </c>
      <c r="U1" s="61" t="s">
        <v>20</v>
      </c>
      <c r="V1" s="14" t="s">
        <v>7</v>
      </c>
      <c r="W1" s="28" t="s">
        <v>21</v>
      </c>
      <c r="X1" s="30" t="s">
        <v>22</v>
      </c>
      <c r="Y1" s="61" t="s">
        <v>23</v>
      </c>
      <c r="Z1" s="61" t="s">
        <v>24</v>
      </c>
      <c r="AA1" s="71" t="s">
        <v>25</v>
      </c>
      <c r="AB1" s="61" t="s">
        <v>26</v>
      </c>
      <c r="AC1" s="1" t="s">
        <v>27</v>
      </c>
    </row>
    <row r="2" s="33" customFormat="1" customHeight="1" spans="1:28">
      <c r="A2" s="33" t="s">
        <v>28</v>
      </c>
      <c r="B2" s="33" t="s">
        <v>29</v>
      </c>
      <c r="C2" s="43">
        <v>0.5</v>
      </c>
      <c r="D2" s="33" t="s">
        <v>30</v>
      </c>
      <c r="E2" s="44" t="s">
        <v>31</v>
      </c>
      <c r="F2" s="33">
        <v>470</v>
      </c>
      <c r="G2" s="45">
        <v>27</v>
      </c>
      <c r="H2" s="46">
        <v>0.0574</v>
      </c>
      <c r="I2" s="54">
        <v>1901.05</v>
      </c>
      <c r="J2" s="54"/>
      <c r="K2" s="33">
        <v>0</v>
      </c>
      <c r="L2" s="43">
        <v>0</v>
      </c>
      <c r="M2" s="54">
        <f t="shared" ref="M2:M7" si="0">I2*(1-L2)</f>
        <v>1901.05</v>
      </c>
      <c r="N2" s="33">
        <v>37890</v>
      </c>
      <c r="O2" s="33">
        <v>69</v>
      </c>
      <c r="P2" s="55">
        <f t="shared" ref="P2:P8" si="1">O2/N2</f>
        <v>0.00182106096595408</v>
      </c>
      <c r="Q2" s="33">
        <v>8</v>
      </c>
      <c r="R2" s="54">
        <v>555.43</v>
      </c>
      <c r="S2" s="54">
        <v>185.46</v>
      </c>
      <c r="T2" s="62">
        <f t="shared" ref="T2:T8" si="2">S2/O2</f>
        <v>2.68782608695652</v>
      </c>
      <c r="U2" s="11">
        <f t="shared" ref="U2:U8" si="3">S2/R2</f>
        <v>0.333903462182453</v>
      </c>
      <c r="V2" s="63">
        <f t="shared" ref="V2:V8" si="4">Q2/O2</f>
        <v>0.115942028985507</v>
      </c>
      <c r="W2" s="62">
        <f t="shared" ref="W2:W8" si="5">R2/S2</f>
        <v>2.99487760163917</v>
      </c>
      <c r="X2" s="64">
        <f>T2/V2</f>
        <v>23.1825</v>
      </c>
      <c r="Y2" s="11">
        <f>S2/I2</f>
        <v>0.0975566134504616</v>
      </c>
      <c r="Z2" s="11">
        <f>Q2/G2</f>
        <v>0.296296296296296</v>
      </c>
      <c r="AA2" s="72">
        <f>O2/F2</f>
        <v>0.146808510638298</v>
      </c>
      <c r="AB2" s="11"/>
    </row>
    <row r="3" s="33" customFormat="1" customHeight="1" spans="2:28">
      <c r="B3" s="33" t="s">
        <v>32</v>
      </c>
      <c r="C3" s="43">
        <v>0.3</v>
      </c>
      <c r="D3" s="33" t="s">
        <v>30</v>
      </c>
      <c r="E3" s="44" t="s">
        <v>33</v>
      </c>
      <c r="F3" s="33">
        <v>5613</v>
      </c>
      <c r="G3" s="45">
        <v>542</v>
      </c>
      <c r="H3" s="46">
        <v>0.0966</v>
      </c>
      <c r="I3" s="54">
        <v>38201.01</v>
      </c>
      <c r="J3" s="54"/>
      <c r="K3" s="33">
        <v>5</v>
      </c>
      <c r="L3" s="43">
        <v>0.0092</v>
      </c>
      <c r="M3" s="54">
        <f t="shared" si="0"/>
        <v>37849.560708</v>
      </c>
      <c r="N3" s="33">
        <v>650279</v>
      </c>
      <c r="O3" s="33">
        <v>1586</v>
      </c>
      <c r="P3" s="55">
        <f t="shared" si="1"/>
        <v>0.00243895312627349</v>
      </c>
      <c r="Q3" s="33">
        <v>509</v>
      </c>
      <c r="R3" s="54">
        <v>36108.46</v>
      </c>
      <c r="S3" s="54">
        <v>4853.37</v>
      </c>
      <c r="T3" s="62">
        <f t="shared" si="2"/>
        <v>3.06013240857503</v>
      </c>
      <c r="U3" s="11">
        <f t="shared" si="3"/>
        <v>0.134410883211303</v>
      </c>
      <c r="V3" s="63">
        <f t="shared" si="4"/>
        <v>0.32093316519546</v>
      </c>
      <c r="W3" s="62">
        <f t="shared" si="5"/>
        <v>7.43987373721764</v>
      </c>
      <c r="X3" s="64">
        <f t="shared" ref="X3:X8" si="6">T3/V3</f>
        <v>9.53510805500982</v>
      </c>
      <c r="Y3" s="11">
        <f t="shared" ref="Y3:Y19" si="7">S3/I3</f>
        <v>0.127048211552522</v>
      </c>
      <c r="Z3" s="11">
        <f t="shared" ref="Z3:Z19" si="8">Q3/G3</f>
        <v>0.939114391143911</v>
      </c>
      <c r="AA3" s="72">
        <f t="shared" ref="AA3:AA19" si="9">O3/F3</f>
        <v>0.282558346695172</v>
      </c>
      <c r="AB3" s="11"/>
    </row>
    <row r="4" s="33" customFormat="1" customHeight="1" spans="2:28">
      <c r="B4" s="33" t="s">
        <v>34</v>
      </c>
      <c r="C4" s="43">
        <v>0.3</v>
      </c>
      <c r="D4" s="33" t="s">
        <v>30</v>
      </c>
      <c r="E4" s="44" t="s">
        <v>35</v>
      </c>
      <c r="F4" s="33">
        <v>8206</v>
      </c>
      <c r="G4" s="45">
        <v>555</v>
      </c>
      <c r="H4" s="46">
        <v>0.0676</v>
      </c>
      <c r="I4" s="54">
        <v>38524.46</v>
      </c>
      <c r="J4" s="54"/>
      <c r="K4" s="33">
        <v>72</v>
      </c>
      <c r="L4" s="43">
        <v>0.1297</v>
      </c>
      <c r="M4" s="54">
        <f t="shared" si="0"/>
        <v>33527.837538</v>
      </c>
      <c r="N4" s="33">
        <v>1219737</v>
      </c>
      <c r="O4" s="33">
        <v>2374</v>
      </c>
      <c r="P4" s="55">
        <f t="shared" si="1"/>
        <v>0.0019463212151472</v>
      </c>
      <c r="Q4" s="33">
        <v>427</v>
      </c>
      <c r="R4" s="54">
        <v>30199.65</v>
      </c>
      <c r="S4" s="54">
        <v>7186.34</v>
      </c>
      <c r="T4" s="62">
        <f t="shared" si="2"/>
        <v>3.02710193765796</v>
      </c>
      <c r="U4" s="11">
        <f t="shared" si="3"/>
        <v>0.237961035972271</v>
      </c>
      <c r="V4" s="63">
        <f t="shared" si="4"/>
        <v>0.179865206402696</v>
      </c>
      <c r="W4" s="62">
        <f t="shared" si="5"/>
        <v>4.20236866054208</v>
      </c>
      <c r="X4" s="64">
        <f t="shared" si="6"/>
        <v>16.8298360655738</v>
      </c>
      <c r="Y4" s="11">
        <f t="shared" si="7"/>
        <v>0.186539668563816</v>
      </c>
      <c r="Z4" s="11">
        <f t="shared" si="8"/>
        <v>0.769369369369369</v>
      </c>
      <c r="AA4" s="72">
        <f t="shared" si="9"/>
        <v>0.289300511820619</v>
      </c>
      <c r="AB4" s="11"/>
    </row>
    <row r="5" s="33" customFormat="1" customHeight="1" spans="2:28">
      <c r="B5" s="33" t="s">
        <v>36</v>
      </c>
      <c r="C5" s="43">
        <v>0.15</v>
      </c>
      <c r="D5" s="33" t="s">
        <v>30</v>
      </c>
      <c r="E5" s="44" t="s">
        <v>37</v>
      </c>
      <c r="F5" s="33">
        <v>6707</v>
      </c>
      <c r="G5" s="45">
        <v>386</v>
      </c>
      <c r="H5" s="46">
        <v>0.0576</v>
      </c>
      <c r="I5" s="54">
        <v>26706.81</v>
      </c>
      <c r="J5" s="54"/>
      <c r="K5" s="33">
        <v>98</v>
      </c>
      <c r="L5" s="43">
        <v>0.2539</v>
      </c>
      <c r="M5" s="54">
        <f t="shared" si="0"/>
        <v>19925.950941</v>
      </c>
      <c r="N5" s="33">
        <v>975212</v>
      </c>
      <c r="O5" s="33">
        <v>1926</v>
      </c>
      <c r="P5" s="55">
        <f t="shared" si="1"/>
        <v>0.00197495518923065</v>
      </c>
      <c r="Q5" s="33">
        <v>271</v>
      </c>
      <c r="R5" s="54">
        <v>18825.1</v>
      </c>
      <c r="S5" s="54">
        <v>5932.98</v>
      </c>
      <c r="T5" s="62">
        <f t="shared" si="2"/>
        <v>3.08046728971963</v>
      </c>
      <c r="U5" s="11">
        <f t="shared" si="3"/>
        <v>0.315163266064988</v>
      </c>
      <c r="V5" s="63">
        <f t="shared" si="4"/>
        <v>0.140706126687435</v>
      </c>
      <c r="W5" s="62">
        <f t="shared" si="5"/>
        <v>3.1729586143894</v>
      </c>
      <c r="X5" s="64">
        <f t="shared" si="6"/>
        <v>21.8929151291513</v>
      </c>
      <c r="Y5" s="11">
        <f t="shared" si="7"/>
        <v>0.22215232744008</v>
      </c>
      <c r="Z5" s="11">
        <f t="shared" si="8"/>
        <v>0.702072538860104</v>
      </c>
      <c r="AA5" s="72">
        <f t="shared" si="9"/>
        <v>0.287162665871478</v>
      </c>
      <c r="AB5" s="11"/>
    </row>
    <row r="6" s="33" customFormat="1" customHeight="1" spans="2:28">
      <c r="B6" s="33" t="s">
        <v>38</v>
      </c>
      <c r="C6" s="33" t="s">
        <v>39</v>
      </c>
      <c r="D6" s="33" t="s">
        <v>30</v>
      </c>
      <c r="E6" s="44" t="s">
        <v>40</v>
      </c>
      <c r="F6" s="33">
        <v>4521</v>
      </c>
      <c r="G6" s="45">
        <v>311</v>
      </c>
      <c r="H6" s="46">
        <v>0.0688</v>
      </c>
      <c r="I6" s="54">
        <v>21912.8</v>
      </c>
      <c r="J6" s="54"/>
      <c r="K6" s="33">
        <v>96</v>
      </c>
      <c r="L6" s="43">
        <v>0.3087</v>
      </c>
      <c r="M6" s="54">
        <f t="shared" si="0"/>
        <v>15148.31864</v>
      </c>
      <c r="N6" s="33">
        <v>1088692</v>
      </c>
      <c r="O6" s="33">
        <v>1316</v>
      </c>
      <c r="P6" s="55">
        <f t="shared" si="1"/>
        <v>0.00120878999753833</v>
      </c>
      <c r="Q6" s="33">
        <v>200</v>
      </c>
      <c r="R6" s="54">
        <v>14255.96</v>
      </c>
      <c r="S6" s="54">
        <v>3327.59</v>
      </c>
      <c r="T6" s="62">
        <f t="shared" si="2"/>
        <v>2.52856382978723</v>
      </c>
      <c r="U6" s="11">
        <f t="shared" si="3"/>
        <v>0.233417461889624</v>
      </c>
      <c r="V6" s="63">
        <f t="shared" si="4"/>
        <v>0.151975683890578</v>
      </c>
      <c r="W6" s="62">
        <f t="shared" si="5"/>
        <v>4.2841696242626</v>
      </c>
      <c r="X6" s="64">
        <f t="shared" si="6"/>
        <v>16.63795</v>
      </c>
      <c r="Y6" s="11">
        <f t="shared" si="7"/>
        <v>0.151855992844365</v>
      </c>
      <c r="Z6" s="11">
        <f t="shared" si="8"/>
        <v>0.643086816720257</v>
      </c>
      <c r="AA6" s="72">
        <f t="shared" si="9"/>
        <v>0.29108604291086</v>
      </c>
      <c r="AB6" s="11"/>
    </row>
    <row r="7" s="33" customFormat="1" customHeight="1" spans="2:28">
      <c r="B7" s="33" t="s">
        <v>41</v>
      </c>
      <c r="C7" s="43">
        <v>0.3</v>
      </c>
      <c r="D7" s="33" t="s">
        <v>30</v>
      </c>
      <c r="E7" s="44" t="s">
        <v>42</v>
      </c>
      <c r="F7" s="33">
        <v>1502</v>
      </c>
      <c r="G7" s="45">
        <v>114</v>
      </c>
      <c r="H7" s="46">
        <v>0.0759</v>
      </c>
      <c r="I7" s="54">
        <v>8131.36</v>
      </c>
      <c r="J7" s="54"/>
      <c r="K7" s="33">
        <v>37</v>
      </c>
      <c r="L7" s="43">
        <v>0.3246</v>
      </c>
      <c r="M7" s="54">
        <f t="shared" si="0"/>
        <v>5491.920544</v>
      </c>
      <c r="N7" s="33">
        <v>345859</v>
      </c>
      <c r="O7" s="33">
        <v>418</v>
      </c>
      <c r="P7" s="55">
        <f t="shared" si="1"/>
        <v>0.00120858500140231</v>
      </c>
      <c r="Q7" s="33">
        <v>61</v>
      </c>
      <c r="R7" s="54">
        <v>4369.62</v>
      </c>
      <c r="S7" s="54">
        <v>1155.59</v>
      </c>
      <c r="T7" s="62">
        <f t="shared" si="2"/>
        <v>2.76456937799043</v>
      </c>
      <c r="U7" s="11">
        <f t="shared" si="3"/>
        <v>0.264460067465821</v>
      </c>
      <c r="V7" s="63">
        <f t="shared" si="4"/>
        <v>0.145933014354067</v>
      </c>
      <c r="W7" s="62">
        <f t="shared" si="5"/>
        <v>3.78128921157158</v>
      </c>
      <c r="X7" s="64">
        <f t="shared" si="6"/>
        <v>18.9440983606557</v>
      </c>
      <c r="Y7" s="11">
        <f t="shared" si="7"/>
        <v>0.142115218118494</v>
      </c>
      <c r="Z7" s="11">
        <f t="shared" si="8"/>
        <v>0.535087719298246</v>
      </c>
      <c r="AA7" s="72">
        <f t="shared" si="9"/>
        <v>0.278295605858855</v>
      </c>
      <c r="AB7" s="11"/>
    </row>
    <row r="8" s="33" customFormat="1" customHeight="1" spans="5:28">
      <c r="E8" s="47" t="s">
        <v>43</v>
      </c>
      <c r="F8" s="33">
        <f>SUM(F2:F7)</f>
        <v>27019</v>
      </c>
      <c r="G8" s="45">
        <f>SUM(G2:G7)</f>
        <v>1935</v>
      </c>
      <c r="H8" s="46">
        <f>G8/F8</f>
        <v>0.0716162700321996</v>
      </c>
      <c r="I8" s="54">
        <f>SUM(I2:I7)</f>
        <v>135377.49</v>
      </c>
      <c r="J8" s="54">
        <v>35507.65</v>
      </c>
      <c r="K8" s="33">
        <f>SUM(K2:K7)</f>
        <v>308</v>
      </c>
      <c r="L8" s="43">
        <f>K8/G8</f>
        <v>0.159173126614987</v>
      </c>
      <c r="M8" s="54">
        <f t="shared" ref="M8:O8" si="10">SUM(M2:M7)</f>
        <v>113844.638371</v>
      </c>
      <c r="N8" s="33">
        <f t="shared" si="10"/>
        <v>4317669</v>
      </c>
      <c r="O8" s="33">
        <f t="shared" si="10"/>
        <v>7689</v>
      </c>
      <c r="P8" s="55">
        <f t="shared" si="1"/>
        <v>0.00178082201298895</v>
      </c>
      <c r="Q8" s="33">
        <f t="shared" ref="Q8:S8" si="11">SUM(Q2:Q7)</f>
        <v>1476</v>
      </c>
      <c r="R8" s="54">
        <f t="shared" si="11"/>
        <v>104314.22</v>
      </c>
      <c r="S8" s="54">
        <f t="shared" si="11"/>
        <v>22641.33</v>
      </c>
      <c r="T8" s="62">
        <f t="shared" si="2"/>
        <v>2.94463909481077</v>
      </c>
      <c r="U8" s="11">
        <f t="shared" si="3"/>
        <v>0.217049315040653</v>
      </c>
      <c r="V8" s="63">
        <f t="shared" si="4"/>
        <v>0.191962543893874</v>
      </c>
      <c r="W8" s="62">
        <f t="shared" si="5"/>
        <v>4.60724789577291</v>
      </c>
      <c r="X8" s="64">
        <f t="shared" si="6"/>
        <v>15.3396544715447</v>
      </c>
      <c r="Y8" s="11">
        <f t="shared" si="7"/>
        <v>0.167245898856597</v>
      </c>
      <c r="Z8" s="11">
        <f t="shared" si="8"/>
        <v>0.762790697674419</v>
      </c>
      <c r="AA8" s="72">
        <f t="shared" si="9"/>
        <v>0.284577519523298</v>
      </c>
      <c r="AB8" s="11">
        <f>J8/I8</f>
        <v>0.262286219075269</v>
      </c>
    </row>
    <row r="9" ht="23" customHeight="1" spans="5:27">
      <c r="E9" s="48"/>
      <c r="G9" s="49"/>
      <c r="H9" s="50"/>
      <c r="V9" s="65"/>
      <c r="X9" s="66"/>
      <c r="AA9" s="73"/>
    </row>
    <row r="10" s="33" customFormat="1" customHeight="1" spans="1:28">
      <c r="A10" s="33" t="s">
        <v>44</v>
      </c>
      <c r="B10" s="33" t="s">
        <v>29</v>
      </c>
      <c r="C10" s="43">
        <v>0.3</v>
      </c>
      <c r="D10" s="33" t="s">
        <v>30</v>
      </c>
      <c r="E10" s="47" t="s">
        <v>45</v>
      </c>
      <c r="F10" s="33">
        <v>150</v>
      </c>
      <c r="G10" s="45">
        <v>9</v>
      </c>
      <c r="H10" s="46">
        <v>0.06</v>
      </c>
      <c r="I10" s="54">
        <v>601</v>
      </c>
      <c r="J10" s="54"/>
      <c r="K10" s="33">
        <v>0</v>
      </c>
      <c r="L10" s="43">
        <v>0</v>
      </c>
      <c r="M10" s="54">
        <f>I10*(1-L10)</f>
        <v>601</v>
      </c>
      <c r="N10" s="33">
        <v>15786</v>
      </c>
      <c r="O10" s="33">
        <v>11</v>
      </c>
      <c r="P10" s="55">
        <f>O10/N10</f>
        <v>0.00069681996705942</v>
      </c>
      <c r="Q10" s="33">
        <v>0</v>
      </c>
      <c r="R10" s="54">
        <v>0</v>
      </c>
      <c r="S10" s="54">
        <v>16.87</v>
      </c>
      <c r="T10" s="62">
        <f>S10/O10</f>
        <v>1.53363636363636</v>
      </c>
      <c r="U10" s="11" t="e">
        <f>S10/R10</f>
        <v>#DIV/0!</v>
      </c>
      <c r="V10" s="63">
        <f>Q10/O10</f>
        <v>0</v>
      </c>
      <c r="W10" s="62">
        <f>R10/S10</f>
        <v>0</v>
      </c>
      <c r="X10" s="64" t="e">
        <f>T10/V10</f>
        <v>#DIV/0!</v>
      </c>
      <c r="Y10" s="11">
        <f t="shared" si="7"/>
        <v>0.0280698835274542</v>
      </c>
      <c r="Z10" s="11">
        <f t="shared" si="8"/>
        <v>0</v>
      </c>
      <c r="AA10" s="72">
        <f t="shared" si="9"/>
        <v>0.0733333333333333</v>
      </c>
      <c r="AB10" s="11"/>
    </row>
    <row r="11" s="33" customFormat="1" customHeight="1" spans="2:28">
      <c r="B11" s="33" t="s">
        <v>32</v>
      </c>
      <c r="C11" s="33" t="s">
        <v>46</v>
      </c>
      <c r="D11" s="33" t="s">
        <v>30</v>
      </c>
      <c r="E11" s="47" t="s">
        <v>47</v>
      </c>
      <c r="F11" s="33">
        <v>1639</v>
      </c>
      <c r="G11" s="45">
        <v>142</v>
      </c>
      <c r="H11" s="46">
        <v>0.0866</v>
      </c>
      <c r="I11" s="54">
        <v>9122</v>
      </c>
      <c r="J11" s="54"/>
      <c r="K11" s="33">
        <v>2</v>
      </c>
      <c r="L11" s="43">
        <v>0.0141</v>
      </c>
      <c r="M11" s="54">
        <f t="shared" ref="M11:M18" si="12">I11*(1-L11)</f>
        <v>8993.3798</v>
      </c>
      <c r="N11" s="33">
        <v>398068</v>
      </c>
      <c r="O11" s="33">
        <v>528</v>
      </c>
      <c r="P11" s="55">
        <f t="shared" ref="P11:P19" si="13">O11/N11</f>
        <v>0.00132640654360562</v>
      </c>
      <c r="Q11" s="33">
        <v>115</v>
      </c>
      <c r="R11" s="54">
        <v>7485.83</v>
      </c>
      <c r="S11" s="54">
        <v>1003.4</v>
      </c>
      <c r="T11" s="62">
        <f t="shared" ref="T11:T19" si="14">S11/O11</f>
        <v>1.90037878787879</v>
      </c>
      <c r="U11" s="11">
        <f t="shared" ref="U11:U19" si="15">S11/R11</f>
        <v>0.134039912741807</v>
      </c>
      <c r="V11" s="63">
        <f t="shared" ref="V11:V19" si="16">Q11/O11</f>
        <v>0.21780303030303</v>
      </c>
      <c r="W11" s="62">
        <f t="shared" ref="W11:W19" si="17">R11/S11</f>
        <v>7.46046442096871</v>
      </c>
      <c r="X11" s="64">
        <f t="shared" ref="X11:X19" si="18">T11/V11</f>
        <v>8.72521739130435</v>
      </c>
      <c r="Y11" s="11">
        <f t="shared" si="7"/>
        <v>0.109997807498356</v>
      </c>
      <c r="Z11" s="11">
        <f t="shared" si="8"/>
        <v>0.809859154929577</v>
      </c>
      <c r="AA11" s="72">
        <f t="shared" si="9"/>
        <v>0.322147651006711</v>
      </c>
      <c r="AB11" s="11"/>
    </row>
    <row r="12" s="33" customFormat="1" customHeight="1" spans="2:28">
      <c r="B12" s="33" t="s">
        <v>34</v>
      </c>
      <c r="C12" s="33" t="s">
        <v>48</v>
      </c>
      <c r="D12" s="33" t="s">
        <v>30</v>
      </c>
      <c r="E12" s="47" t="s">
        <v>49</v>
      </c>
      <c r="F12" s="33">
        <v>4916</v>
      </c>
      <c r="G12" s="45">
        <v>337</v>
      </c>
      <c r="H12" s="46">
        <v>0.0686</v>
      </c>
      <c r="I12" s="54">
        <v>20823</v>
      </c>
      <c r="J12" s="54"/>
      <c r="K12" s="33">
        <v>26</v>
      </c>
      <c r="L12" s="43">
        <v>0.0772</v>
      </c>
      <c r="M12" s="54">
        <f t="shared" si="12"/>
        <v>19215.4644</v>
      </c>
      <c r="N12" s="33">
        <v>1093865</v>
      </c>
      <c r="O12" s="33">
        <v>1768</v>
      </c>
      <c r="P12" s="55">
        <f t="shared" si="13"/>
        <v>0.00161628720180278</v>
      </c>
      <c r="Q12" s="33">
        <v>298</v>
      </c>
      <c r="R12" s="54">
        <v>18466.97</v>
      </c>
      <c r="S12" s="54">
        <v>3340.75</v>
      </c>
      <c r="T12" s="62">
        <f t="shared" si="14"/>
        <v>1.88956447963801</v>
      </c>
      <c r="U12" s="11">
        <f t="shared" si="15"/>
        <v>0.180904068182274</v>
      </c>
      <c r="V12" s="63">
        <f t="shared" si="16"/>
        <v>0.168552036199095</v>
      </c>
      <c r="W12" s="62">
        <f t="shared" si="17"/>
        <v>5.52779166354861</v>
      </c>
      <c r="X12" s="64">
        <f t="shared" si="18"/>
        <v>11.2105704697987</v>
      </c>
      <c r="Y12" s="11">
        <f t="shared" si="7"/>
        <v>0.160435576045719</v>
      </c>
      <c r="Z12" s="11">
        <f t="shared" si="8"/>
        <v>0.884272997032641</v>
      </c>
      <c r="AA12" s="72">
        <f t="shared" si="9"/>
        <v>0.359641985353946</v>
      </c>
      <c r="AB12" s="11"/>
    </row>
    <row r="13" s="33" customFormat="1" customHeight="1" spans="2:28">
      <c r="B13" s="33" t="s">
        <v>36</v>
      </c>
      <c r="C13" s="43">
        <v>0.3</v>
      </c>
      <c r="D13" s="33" t="s">
        <v>30</v>
      </c>
      <c r="E13" s="47" t="s">
        <v>31</v>
      </c>
      <c r="F13" s="33">
        <v>6447</v>
      </c>
      <c r="G13" s="45">
        <v>436</v>
      </c>
      <c r="H13" s="46">
        <v>0.0676</v>
      </c>
      <c r="I13" s="54">
        <v>26034</v>
      </c>
      <c r="J13" s="54"/>
      <c r="K13" s="33">
        <v>59</v>
      </c>
      <c r="L13" s="43">
        <v>0.1353</v>
      </c>
      <c r="M13" s="54">
        <f t="shared" si="12"/>
        <v>22511.5998</v>
      </c>
      <c r="N13" s="33">
        <v>1141171</v>
      </c>
      <c r="O13" s="33">
        <v>2001</v>
      </c>
      <c r="P13" s="55">
        <f t="shared" si="13"/>
        <v>0.00175346201401893</v>
      </c>
      <c r="Q13" s="33">
        <v>277</v>
      </c>
      <c r="R13" s="54">
        <v>16577.2</v>
      </c>
      <c r="S13" s="54">
        <v>3586.49</v>
      </c>
      <c r="T13" s="62">
        <f t="shared" si="14"/>
        <v>1.79234882558721</v>
      </c>
      <c r="U13" s="11">
        <f t="shared" si="15"/>
        <v>0.216350770938397</v>
      </c>
      <c r="V13" s="63">
        <f t="shared" si="16"/>
        <v>0.138430784607696</v>
      </c>
      <c r="W13" s="62">
        <f t="shared" si="17"/>
        <v>4.62212358043658</v>
      </c>
      <c r="X13" s="64">
        <f t="shared" si="18"/>
        <v>12.9476173285199</v>
      </c>
      <c r="Y13" s="11">
        <f t="shared" si="7"/>
        <v>0.137761773065991</v>
      </c>
      <c r="Z13" s="11">
        <f t="shared" si="8"/>
        <v>0.635321100917431</v>
      </c>
      <c r="AA13" s="72">
        <f t="shared" si="9"/>
        <v>0.310376919497441</v>
      </c>
      <c r="AB13" s="11"/>
    </row>
    <row r="14" s="33" customFormat="1" customHeight="1" spans="2:28">
      <c r="B14" s="33" t="s">
        <v>38</v>
      </c>
      <c r="C14" s="43">
        <v>0.3</v>
      </c>
      <c r="D14" s="33" t="s">
        <v>30</v>
      </c>
      <c r="E14" s="47" t="s">
        <v>33</v>
      </c>
      <c r="F14" s="33">
        <v>5811</v>
      </c>
      <c r="G14" s="45">
        <v>336</v>
      </c>
      <c r="H14" s="46">
        <v>0.0578</v>
      </c>
      <c r="I14" s="54">
        <v>19939</v>
      </c>
      <c r="J14" s="54"/>
      <c r="K14" s="33">
        <v>74</v>
      </c>
      <c r="L14" s="43">
        <v>0.2202</v>
      </c>
      <c r="M14" s="54">
        <f t="shared" si="12"/>
        <v>15548.4322</v>
      </c>
      <c r="N14" s="33">
        <v>1318912</v>
      </c>
      <c r="O14" s="33">
        <v>1877</v>
      </c>
      <c r="P14" s="55">
        <f t="shared" si="13"/>
        <v>0.00142314271156832</v>
      </c>
      <c r="Q14" s="33">
        <v>236</v>
      </c>
      <c r="R14" s="54">
        <v>14461.59</v>
      </c>
      <c r="S14" s="54">
        <v>3522.23</v>
      </c>
      <c r="T14" s="62">
        <f t="shared" si="14"/>
        <v>1.8765210442195</v>
      </c>
      <c r="U14" s="11">
        <f t="shared" si="15"/>
        <v>0.243557589449016</v>
      </c>
      <c r="V14" s="63">
        <f t="shared" si="16"/>
        <v>0.125732551944592</v>
      </c>
      <c r="W14" s="62">
        <f t="shared" si="17"/>
        <v>4.10580512913694</v>
      </c>
      <c r="X14" s="64">
        <f t="shared" si="18"/>
        <v>14.9247033898305</v>
      </c>
      <c r="Y14" s="11">
        <f t="shared" si="7"/>
        <v>0.176650283364261</v>
      </c>
      <c r="Z14" s="11">
        <f t="shared" si="8"/>
        <v>0.702380952380952</v>
      </c>
      <c r="AA14" s="72">
        <f t="shared" si="9"/>
        <v>0.323008088108759</v>
      </c>
      <c r="AB14" s="11"/>
    </row>
    <row r="15" s="33" customFormat="1" customHeight="1" spans="2:28">
      <c r="B15" s="33" t="s">
        <v>41</v>
      </c>
      <c r="C15" s="33" t="s">
        <v>48</v>
      </c>
      <c r="D15" s="33" t="s">
        <v>30</v>
      </c>
      <c r="E15" s="47" t="s">
        <v>35</v>
      </c>
      <c r="F15" s="33">
        <v>5403</v>
      </c>
      <c r="G15" s="45">
        <v>382</v>
      </c>
      <c r="H15" s="46">
        <v>0.0707</v>
      </c>
      <c r="I15" s="54">
        <v>22675</v>
      </c>
      <c r="J15" s="54"/>
      <c r="K15" s="33">
        <v>110</v>
      </c>
      <c r="L15" s="43">
        <v>0.288</v>
      </c>
      <c r="M15" s="54">
        <f t="shared" si="12"/>
        <v>16144.6</v>
      </c>
      <c r="N15" s="33">
        <v>1158404</v>
      </c>
      <c r="O15" s="33">
        <v>1407</v>
      </c>
      <c r="P15" s="55">
        <f t="shared" si="13"/>
        <v>0.00121460215952293</v>
      </c>
      <c r="Q15" s="33">
        <v>239</v>
      </c>
      <c r="R15" s="54">
        <v>14700.55</v>
      </c>
      <c r="S15" s="54">
        <v>2454.34</v>
      </c>
      <c r="T15" s="62">
        <f t="shared" si="14"/>
        <v>1.74437810945274</v>
      </c>
      <c r="U15" s="11">
        <f t="shared" si="15"/>
        <v>0.166955658121635</v>
      </c>
      <c r="V15" s="63">
        <f t="shared" si="16"/>
        <v>0.169864960909737</v>
      </c>
      <c r="W15" s="62">
        <f t="shared" si="17"/>
        <v>5.98961431586496</v>
      </c>
      <c r="X15" s="64">
        <f t="shared" si="18"/>
        <v>10.2692050209205</v>
      </c>
      <c r="Y15" s="11">
        <f t="shared" si="7"/>
        <v>0.108239911797133</v>
      </c>
      <c r="Z15" s="11">
        <f t="shared" si="8"/>
        <v>0.62565445026178</v>
      </c>
      <c r="AA15" s="72">
        <f t="shared" si="9"/>
        <v>0.260410882842865</v>
      </c>
      <c r="AB15" s="11"/>
    </row>
    <row r="16" s="33" customFormat="1" customHeight="1" spans="2:28">
      <c r="B16" s="33" t="s">
        <v>50</v>
      </c>
      <c r="C16" s="43">
        <v>0.2</v>
      </c>
      <c r="D16" s="33" t="s">
        <v>30</v>
      </c>
      <c r="E16" s="47" t="s">
        <v>51</v>
      </c>
      <c r="F16" s="33">
        <v>5200</v>
      </c>
      <c r="G16" s="45">
        <v>279</v>
      </c>
      <c r="H16" s="46">
        <v>0.0537</v>
      </c>
      <c r="I16" s="54">
        <v>16533</v>
      </c>
      <c r="J16" s="54"/>
      <c r="K16" s="33">
        <v>97</v>
      </c>
      <c r="L16" s="43">
        <v>0.3477</v>
      </c>
      <c r="M16" s="54">
        <f t="shared" si="12"/>
        <v>10784.4759</v>
      </c>
      <c r="N16" s="33">
        <v>806852</v>
      </c>
      <c r="O16" s="33">
        <v>1335</v>
      </c>
      <c r="P16" s="55">
        <f t="shared" si="13"/>
        <v>0.00165457853484902</v>
      </c>
      <c r="Q16" s="33">
        <v>170</v>
      </c>
      <c r="R16" s="54">
        <v>10188.3</v>
      </c>
      <c r="S16" s="54">
        <v>2426.92</v>
      </c>
      <c r="T16" s="62">
        <f t="shared" si="14"/>
        <v>1.81791760299625</v>
      </c>
      <c r="U16" s="11">
        <f t="shared" si="15"/>
        <v>0.238206570281598</v>
      </c>
      <c r="V16" s="63">
        <f t="shared" si="16"/>
        <v>0.127340823970037</v>
      </c>
      <c r="W16" s="62">
        <f t="shared" si="17"/>
        <v>4.19803701811349</v>
      </c>
      <c r="X16" s="64">
        <f t="shared" si="18"/>
        <v>14.276</v>
      </c>
      <c r="Y16" s="11">
        <f t="shared" si="7"/>
        <v>0.146792475654751</v>
      </c>
      <c r="Z16" s="11">
        <f t="shared" si="8"/>
        <v>0.609318996415771</v>
      </c>
      <c r="AA16" s="72">
        <f t="shared" si="9"/>
        <v>0.256730769230769</v>
      </c>
      <c r="AB16" s="11"/>
    </row>
    <row r="17" s="33" customFormat="1" customHeight="1" spans="2:28">
      <c r="B17" s="33" t="s">
        <v>52</v>
      </c>
      <c r="C17" s="43">
        <v>0.15</v>
      </c>
      <c r="D17" s="51" t="s">
        <v>53</v>
      </c>
      <c r="E17" s="47" t="s">
        <v>54</v>
      </c>
      <c r="F17" s="33">
        <v>4079</v>
      </c>
      <c r="G17" s="45">
        <v>248</v>
      </c>
      <c r="H17" s="46">
        <v>0.0608</v>
      </c>
      <c r="I17" s="54">
        <v>13581</v>
      </c>
      <c r="J17" s="54"/>
      <c r="K17" s="33">
        <v>82</v>
      </c>
      <c r="L17" s="43">
        <v>0.3306</v>
      </c>
      <c r="M17" s="54">
        <f t="shared" si="12"/>
        <v>9091.1214</v>
      </c>
      <c r="N17" s="33">
        <v>698436</v>
      </c>
      <c r="O17" s="33">
        <v>936</v>
      </c>
      <c r="P17" s="55">
        <f t="shared" si="13"/>
        <v>0.00134013710633473</v>
      </c>
      <c r="Q17" s="33">
        <v>119</v>
      </c>
      <c r="R17" s="54">
        <v>6365.82</v>
      </c>
      <c r="S17" s="54">
        <v>1585.06</v>
      </c>
      <c r="T17" s="62">
        <f t="shared" si="14"/>
        <v>1.69344017094017</v>
      </c>
      <c r="U17" s="11">
        <f t="shared" si="15"/>
        <v>0.248995416144346</v>
      </c>
      <c r="V17" s="63">
        <f t="shared" si="16"/>
        <v>0.127136752136752</v>
      </c>
      <c r="W17" s="62">
        <f t="shared" si="17"/>
        <v>4.01613819035242</v>
      </c>
      <c r="X17" s="64">
        <f t="shared" si="18"/>
        <v>13.3198319327731</v>
      </c>
      <c r="Y17" s="11">
        <f t="shared" si="7"/>
        <v>0.116711582357706</v>
      </c>
      <c r="Z17" s="11">
        <f t="shared" si="8"/>
        <v>0.479838709677419</v>
      </c>
      <c r="AA17" s="72">
        <f t="shared" si="9"/>
        <v>0.229468006864428</v>
      </c>
      <c r="AB17" s="11"/>
    </row>
    <row r="18" s="33" customFormat="1" customHeight="1" spans="2:28">
      <c r="B18" s="33" t="s">
        <v>55</v>
      </c>
      <c r="C18" s="43">
        <v>0.1</v>
      </c>
      <c r="E18" s="47" t="s">
        <v>42</v>
      </c>
      <c r="F18" s="33">
        <v>1843</v>
      </c>
      <c r="G18" s="45">
        <v>102</v>
      </c>
      <c r="H18" s="46">
        <v>0.0553</v>
      </c>
      <c r="I18" s="54">
        <v>5655</v>
      </c>
      <c r="J18" s="54"/>
      <c r="K18" s="33">
        <v>27</v>
      </c>
      <c r="L18" s="43">
        <v>0.2647</v>
      </c>
      <c r="M18" s="54">
        <f t="shared" si="12"/>
        <v>4158.1215</v>
      </c>
      <c r="N18" s="33">
        <v>333281</v>
      </c>
      <c r="O18" s="33">
        <v>537</v>
      </c>
      <c r="P18" s="55">
        <f t="shared" si="13"/>
        <v>0.00161125296671577</v>
      </c>
      <c r="Q18" s="33">
        <v>55</v>
      </c>
      <c r="R18" s="54">
        <v>3036.45</v>
      </c>
      <c r="S18" s="54">
        <v>1185.26</v>
      </c>
      <c r="T18" s="62">
        <f t="shared" si="14"/>
        <v>2.20718808193669</v>
      </c>
      <c r="U18" s="11">
        <f t="shared" si="15"/>
        <v>0.39034398722192</v>
      </c>
      <c r="V18" s="63">
        <f t="shared" si="16"/>
        <v>0.102420856610801</v>
      </c>
      <c r="W18" s="62">
        <f t="shared" si="17"/>
        <v>2.56184297116244</v>
      </c>
      <c r="X18" s="64">
        <f t="shared" si="18"/>
        <v>21.5501818181818</v>
      </c>
      <c r="Y18" s="11">
        <f t="shared" si="7"/>
        <v>0.209595048629531</v>
      </c>
      <c r="Z18" s="11">
        <f t="shared" si="8"/>
        <v>0.53921568627451</v>
      </c>
      <c r="AA18" s="72">
        <f t="shared" si="9"/>
        <v>0.291372761801411</v>
      </c>
      <c r="AB18" s="11"/>
    </row>
    <row r="19" s="33" customFormat="1" customHeight="1" spans="5:28">
      <c r="E19" s="47" t="s">
        <v>43</v>
      </c>
      <c r="F19" s="33">
        <f>SUM(F10:F18)</f>
        <v>35488</v>
      </c>
      <c r="G19" s="45">
        <f>SUM(G10:G18)</f>
        <v>2271</v>
      </c>
      <c r="H19" s="46">
        <f>G19/F19</f>
        <v>0.0639934625788999</v>
      </c>
      <c r="I19" s="54">
        <f>SUM(I10:I18)</f>
        <v>134963</v>
      </c>
      <c r="J19" s="54">
        <v>32670.98</v>
      </c>
      <c r="K19" s="33">
        <f t="shared" ref="K19:S19" si="19">SUM(K10:K18)</f>
        <v>477</v>
      </c>
      <c r="L19" s="43">
        <f>K19/G19</f>
        <v>0.21003963011889</v>
      </c>
      <c r="M19" s="54">
        <f t="shared" si="19"/>
        <v>107048.195</v>
      </c>
      <c r="N19" s="33">
        <f t="shared" si="19"/>
        <v>6964775</v>
      </c>
      <c r="O19" s="33">
        <f t="shared" si="19"/>
        <v>10400</v>
      </c>
      <c r="P19" s="55">
        <f t="shared" si="13"/>
        <v>0.00149322842446454</v>
      </c>
      <c r="Q19" s="33">
        <f t="shared" si="19"/>
        <v>1509</v>
      </c>
      <c r="R19" s="54">
        <f t="shared" si="19"/>
        <v>91282.71</v>
      </c>
      <c r="S19" s="54">
        <f t="shared" si="19"/>
        <v>19121.32</v>
      </c>
      <c r="T19" s="62">
        <f t="shared" si="14"/>
        <v>1.83858846153846</v>
      </c>
      <c r="U19" s="11">
        <f t="shared" si="15"/>
        <v>0.209473623208601</v>
      </c>
      <c r="V19" s="63">
        <f t="shared" si="16"/>
        <v>0.145096153846154</v>
      </c>
      <c r="W19" s="62">
        <f t="shared" si="17"/>
        <v>4.77387073695749</v>
      </c>
      <c r="X19" s="64">
        <f t="shared" si="18"/>
        <v>12.6715175612989</v>
      </c>
      <c r="Y19" s="11">
        <f t="shared" si="7"/>
        <v>0.141678237739232</v>
      </c>
      <c r="Z19" s="11">
        <f t="shared" si="8"/>
        <v>0.66446499339498</v>
      </c>
      <c r="AA19" s="72">
        <f t="shared" si="9"/>
        <v>0.293056807935077</v>
      </c>
      <c r="AB19" s="11">
        <f>J19/I19</f>
        <v>0.242073605358506</v>
      </c>
    </row>
    <row r="20" ht="21" customHeight="1"/>
    <row r="21" s="34" customFormat="1" ht="22" customHeight="1" spans="1:28">
      <c r="A21" s="34" t="s">
        <v>56</v>
      </c>
      <c r="S21" s="56"/>
      <c r="T21" s="67"/>
      <c r="U21" s="68"/>
      <c r="V21" s="69"/>
      <c r="W21" s="70"/>
      <c r="X21" s="67"/>
      <c r="Y21" s="68"/>
      <c r="Z21" s="68"/>
      <c r="AA21" s="68"/>
      <c r="AB21" s="68"/>
    </row>
    <row r="22" s="34" customFormat="1" ht="48" customHeight="1" spans="1:28">
      <c r="A22" s="52" t="s">
        <v>57</v>
      </c>
      <c r="B22" s="52"/>
      <c r="C22" s="52"/>
      <c r="D22" s="52"/>
      <c r="E22" s="52"/>
      <c r="F22" s="52"/>
      <c r="G22" s="52"/>
      <c r="H22" s="52"/>
      <c r="I22" s="52"/>
      <c r="J22" s="52"/>
      <c r="K22" s="52"/>
      <c r="L22" s="52"/>
      <c r="M22" s="52"/>
      <c r="N22" s="52"/>
      <c r="O22" s="52"/>
      <c r="P22" s="52"/>
      <c r="Q22" s="52"/>
      <c r="R22" s="52"/>
      <c r="S22" s="56"/>
      <c r="T22" s="67"/>
      <c r="U22" s="68"/>
      <c r="V22" s="69"/>
      <c r="W22" s="70"/>
      <c r="X22" s="67"/>
      <c r="Y22" s="68"/>
      <c r="Z22" s="68"/>
      <c r="AA22" s="68"/>
      <c r="AB22" s="68"/>
    </row>
    <row r="23" s="34" customFormat="1" ht="42" customHeight="1" spans="1:28">
      <c r="A23" s="52" t="s">
        <v>58</v>
      </c>
      <c r="B23" s="52"/>
      <c r="C23" s="52"/>
      <c r="D23" s="52"/>
      <c r="E23" s="52"/>
      <c r="F23" s="52"/>
      <c r="G23" s="52"/>
      <c r="H23" s="52"/>
      <c r="I23" s="52"/>
      <c r="J23" s="52"/>
      <c r="K23" s="52"/>
      <c r="L23" s="52"/>
      <c r="M23" s="52"/>
      <c r="N23" s="52"/>
      <c r="O23" s="52"/>
      <c r="P23" s="52"/>
      <c r="Q23" s="52"/>
      <c r="R23" s="52"/>
      <c r="S23" s="56"/>
      <c r="T23" s="67"/>
      <c r="U23" s="68"/>
      <c r="V23" s="69"/>
      <c r="W23" s="70"/>
      <c r="X23" s="67"/>
      <c r="Y23" s="68"/>
      <c r="Z23" s="68"/>
      <c r="AA23" s="68"/>
      <c r="AB23" s="68"/>
    </row>
    <row r="24" s="34" customFormat="1" ht="42" customHeight="1" spans="1:28">
      <c r="A24" s="52" t="s">
        <v>59</v>
      </c>
      <c r="B24" s="52"/>
      <c r="C24" s="52"/>
      <c r="D24" s="52"/>
      <c r="E24" s="52"/>
      <c r="F24" s="52"/>
      <c r="G24" s="52"/>
      <c r="H24" s="52"/>
      <c r="I24" s="52"/>
      <c r="J24" s="52"/>
      <c r="K24" s="52"/>
      <c r="L24" s="52"/>
      <c r="M24" s="52"/>
      <c r="N24" s="52"/>
      <c r="O24" s="52"/>
      <c r="P24" s="52"/>
      <c r="Q24" s="52"/>
      <c r="R24" s="52"/>
      <c r="S24" s="56"/>
      <c r="T24" s="67"/>
      <c r="U24" s="68"/>
      <c r="V24" s="69"/>
      <c r="W24" s="70"/>
      <c r="X24" s="67"/>
      <c r="Y24" s="68"/>
      <c r="Z24" s="68"/>
      <c r="AA24" s="68"/>
      <c r="AB24" s="68"/>
    </row>
    <row r="25" s="34" customFormat="1" ht="37" customHeight="1" spans="1:28">
      <c r="A25" s="52" t="s">
        <v>60</v>
      </c>
      <c r="B25" s="52"/>
      <c r="C25" s="52"/>
      <c r="D25" s="52"/>
      <c r="E25" s="52"/>
      <c r="F25" s="52"/>
      <c r="G25" s="52"/>
      <c r="H25" s="52"/>
      <c r="I25" s="52"/>
      <c r="J25" s="52"/>
      <c r="K25" s="52"/>
      <c r="L25" s="52"/>
      <c r="M25" s="52"/>
      <c r="N25" s="52"/>
      <c r="O25" s="52"/>
      <c r="P25" s="52"/>
      <c r="Q25" s="52"/>
      <c r="R25" s="52"/>
      <c r="S25" s="56"/>
      <c r="T25" s="67"/>
      <c r="U25" s="68"/>
      <c r="V25" s="69"/>
      <c r="W25" s="70"/>
      <c r="X25" s="67"/>
      <c r="Y25" s="68"/>
      <c r="Z25" s="68"/>
      <c r="AA25" s="68"/>
      <c r="AB25" s="68"/>
    </row>
    <row r="26" s="34" customFormat="1" ht="93" customHeight="1" spans="1:28">
      <c r="A26" s="52" t="s">
        <v>61</v>
      </c>
      <c r="B26" s="52"/>
      <c r="C26" s="52"/>
      <c r="D26" s="52"/>
      <c r="E26" s="52"/>
      <c r="F26" s="52"/>
      <c r="G26" s="52"/>
      <c r="H26" s="52"/>
      <c r="I26" s="52"/>
      <c r="J26" s="52"/>
      <c r="K26" s="52"/>
      <c r="L26" s="52"/>
      <c r="M26" s="52"/>
      <c r="N26" s="52"/>
      <c r="O26" s="52"/>
      <c r="P26" s="52"/>
      <c r="Q26" s="52"/>
      <c r="R26" s="52"/>
      <c r="S26" s="56"/>
      <c r="T26" s="67"/>
      <c r="U26" s="68"/>
      <c r="V26" s="69"/>
      <c r="W26" s="70"/>
      <c r="X26" s="67"/>
      <c r="Y26" s="68"/>
      <c r="Z26" s="68"/>
      <c r="AA26" s="68"/>
      <c r="AB26" s="68"/>
    </row>
    <row r="27" s="34" customFormat="1" ht="34" customHeight="1" spans="1:28">
      <c r="A27" s="52"/>
      <c r="B27" s="52"/>
      <c r="C27" s="52"/>
      <c r="D27" s="52"/>
      <c r="E27" s="52"/>
      <c r="F27" s="52"/>
      <c r="G27" s="52"/>
      <c r="H27" s="52"/>
      <c r="I27" s="52"/>
      <c r="J27" s="52"/>
      <c r="K27" s="52"/>
      <c r="L27" s="52"/>
      <c r="M27" s="52"/>
      <c r="N27" s="52"/>
      <c r="O27" s="52"/>
      <c r="P27" s="52"/>
      <c r="Q27" s="52"/>
      <c r="R27" s="52"/>
      <c r="S27" s="56"/>
      <c r="T27" s="67"/>
      <c r="U27" s="68"/>
      <c r="V27" s="69"/>
      <c r="W27" s="70"/>
      <c r="X27" s="67"/>
      <c r="Y27" s="68"/>
      <c r="Z27" s="68"/>
      <c r="AA27" s="68"/>
      <c r="AB27" s="68"/>
    </row>
    <row r="28" s="34" customFormat="1" customHeight="1" spans="9:28">
      <c r="I28" s="56"/>
      <c r="J28" s="56"/>
      <c r="L28" s="57"/>
      <c r="M28" s="56"/>
      <c r="P28" s="58"/>
      <c r="R28" s="56"/>
      <c r="S28" s="56"/>
      <c r="T28" s="67"/>
      <c r="U28" s="68"/>
      <c r="V28" s="69"/>
      <c r="W28" s="70"/>
      <c r="X28" s="67"/>
      <c r="Y28" s="68"/>
      <c r="Z28" s="68"/>
      <c r="AA28" s="68"/>
      <c r="AB28" s="68"/>
    </row>
    <row r="29" s="34" customFormat="1" customHeight="1" spans="9:28">
      <c r="I29" s="56"/>
      <c r="J29" s="56"/>
      <c r="L29" s="57"/>
      <c r="M29" s="56"/>
      <c r="N29" s="59"/>
      <c r="P29" s="58"/>
      <c r="R29" s="56"/>
      <c r="S29" s="56"/>
      <c r="T29" s="67"/>
      <c r="U29" s="68"/>
      <c r="V29" s="69"/>
      <c r="W29" s="70"/>
      <c r="X29" s="67"/>
      <c r="Y29" s="68"/>
      <c r="Z29" s="68"/>
      <c r="AA29" s="68"/>
      <c r="AB29" s="68"/>
    </row>
    <row r="30" s="34" customFormat="1" customHeight="1" spans="9:28">
      <c r="I30" s="56"/>
      <c r="J30" s="56"/>
      <c r="L30" s="57"/>
      <c r="M30" s="56"/>
      <c r="N30" s="59"/>
      <c r="P30" s="58"/>
      <c r="R30" s="56"/>
      <c r="S30" s="56"/>
      <c r="T30" s="67"/>
      <c r="U30" s="68"/>
      <c r="V30" s="69"/>
      <c r="W30" s="70"/>
      <c r="X30" s="67"/>
      <c r="Y30" s="68"/>
      <c r="Z30" s="68"/>
      <c r="AA30" s="68"/>
      <c r="AB30" s="68"/>
    </row>
    <row r="31" s="34" customFormat="1" customHeight="1" spans="9:28">
      <c r="I31" s="56"/>
      <c r="J31" s="56"/>
      <c r="L31" s="57"/>
      <c r="M31" s="56"/>
      <c r="P31" s="58"/>
      <c r="R31" s="56"/>
      <c r="S31" s="56"/>
      <c r="T31" s="67"/>
      <c r="U31" s="68"/>
      <c r="V31" s="69"/>
      <c r="W31" s="70"/>
      <c r="X31" s="67"/>
      <c r="Y31" s="68"/>
      <c r="Z31" s="68"/>
      <c r="AA31" s="68"/>
      <c r="AB31" s="68"/>
    </row>
    <row r="32" s="34" customFormat="1" customHeight="1" spans="9:28">
      <c r="I32" s="56"/>
      <c r="J32" s="56"/>
      <c r="L32" s="57"/>
      <c r="M32" s="56"/>
      <c r="P32" s="58"/>
      <c r="R32" s="56"/>
      <c r="S32" s="56"/>
      <c r="T32" s="67"/>
      <c r="U32" s="68"/>
      <c r="V32" s="69"/>
      <c r="W32" s="70"/>
      <c r="X32" s="67"/>
      <c r="Y32" s="68"/>
      <c r="Z32" s="68"/>
      <c r="AA32" s="68"/>
      <c r="AB32" s="68"/>
    </row>
    <row r="33" s="34" customFormat="1" customHeight="1" spans="9:28">
      <c r="I33" s="56"/>
      <c r="J33" s="56"/>
      <c r="L33" s="57"/>
      <c r="M33" s="56"/>
      <c r="P33" s="58"/>
      <c r="R33" s="56"/>
      <c r="S33" s="56"/>
      <c r="T33" s="67"/>
      <c r="U33" s="68"/>
      <c r="V33" s="69"/>
      <c r="W33" s="70"/>
      <c r="X33" s="67"/>
      <c r="Y33" s="68"/>
      <c r="Z33" s="68"/>
      <c r="AA33" s="68"/>
      <c r="AB33" s="68"/>
    </row>
    <row r="34" s="34" customFormat="1" customHeight="1" spans="9:28">
      <c r="I34" s="56"/>
      <c r="J34" s="56"/>
      <c r="L34" s="57"/>
      <c r="M34" s="56"/>
      <c r="P34" s="58"/>
      <c r="R34" s="56"/>
      <c r="S34" s="56"/>
      <c r="T34" s="67"/>
      <c r="U34" s="68"/>
      <c r="V34" s="69"/>
      <c r="W34" s="70"/>
      <c r="X34" s="67"/>
      <c r="Y34" s="68"/>
      <c r="Z34" s="68"/>
      <c r="AA34" s="68"/>
      <c r="AB34" s="68"/>
    </row>
    <row r="35" s="34" customFormat="1" customHeight="1" spans="9:28">
      <c r="I35" s="56"/>
      <c r="J35" s="56"/>
      <c r="L35" s="57"/>
      <c r="M35" s="56"/>
      <c r="P35" s="58"/>
      <c r="R35" s="56"/>
      <c r="S35" s="56"/>
      <c r="T35" s="67"/>
      <c r="U35" s="68"/>
      <c r="V35" s="69"/>
      <c r="W35" s="70"/>
      <c r="X35" s="67"/>
      <c r="Y35" s="68"/>
      <c r="Z35" s="68"/>
      <c r="AA35" s="68"/>
      <c r="AB35" s="68"/>
    </row>
    <row r="36" s="34" customFormat="1" customHeight="1" spans="9:28">
      <c r="I36" s="56"/>
      <c r="J36" s="56"/>
      <c r="L36" s="57"/>
      <c r="M36" s="56"/>
      <c r="P36" s="58"/>
      <c r="R36" s="56"/>
      <c r="S36" s="56"/>
      <c r="T36" s="67"/>
      <c r="U36" s="68"/>
      <c r="V36" s="69"/>
      <c r="W36" s="70"/>
      <c r="X36" s="67"/>
      <c r="Y36" s="68"/>
      <c r="Z36" s="68"/>
      <c r="AA36" s="68"/>
      <c r="AB36" s="68"/>
    </row>
  </sheetData>
  <mergeCells count="9">
    <mergeCell ref="A21:R21"/>
    <mergeCell ref="A22:R22"/>
    <mergeCell ref="A23:R23"/>
    <mergeCell ref="A24:R24"/>
    <mergeCell ref="A25:R25"/>
    <mergeCell ref="A26:R26"/>
    <mergeCell ref="A27:R27"/>
    <mergeCell ref="A2:A7"/>
    <mergeCell ref="A10:A18"/>
  </mergeCells>
  <pageMargins left="0.75" right="0.75" top="1" bottom="1" header="0.5" footer="0.5"/>
  <headerFooter/>
  <ignoredErrors>
    <ignoredError sqref="X10 U10" evalError="1"/>
    <ignoredError sqref="K8:M8 P8 H8:I8 L19:P19 H19"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pane xSplit="4" ySplit="1" topLeftCell="K6" activePane="bottomRight" state="frozen"/>
      <selection/>
      <selection pane="topRight"/>
      <selection pane="bottomLeft"/>
      <selection pane="bottomRight" activeCell="P20" sqref="P20"/>
    </sheetView>
  </sheetViews>
  <sheetFormatPr defaultColWidth="8.88888888888889" defaultRowHeight="13.2"/>
  <cols>
    <col min="1" max="1" width="8.88888888888889" style="2"/>
    <col min="2" max="2" width="8.55555555555556" style="4" customWidth="1"/>
    <col min="3" max="3" width="9.55555555555556" style="2" customWidth="1"/>
    <col min="4" max="4" width="9.22222222222222" style="2" customWidth="1"/>
    <col min="5" max="6" width="8.88888888888889" style="2"/>
    <col min="7" max="7" width="9" style="5" customWidth="1"/>
    <col min="8" max="8" width="9.66666666666667" style="6"/>
    <col min="9" max="9" width="8.11111111111111" style="7" customWidth="1"/>
    <col min="10" max="10" width="8.88888888888889" style="2"/>
    <col min="11" max="11" width="7.44444444444444" style="4" customWidth="1"/>
    <col min="12" max="12" width="8" style="2" customWidth="1"/>
    <col min="13" max="14" width="8.88888888888889" style="2"/>
    <col min="15" max="15" width="7.88888888888889" style="8" customWidth="1"/>
    <col min="16" max="16" width="7.88888888888889" style="2" customWidth="1"/>
    <col min="17" max="17" width="8.33333333333333" style="6" customWidth="1"/>
    <col min="18" max="18" width="7.88888888888889" style="6" customWidth="1"/>
    <col min="19" max="19" width="7.88888888888889" style="9" customWidth="1"/>
    <col min="20" max="21" width="8.11111111111111" style="5" customWidth="1"/>
    <col min="22" max="22" width="7.88888888888889" style="9" customWidth="1"/>
    <col min="23" max="23" width="7.77777777777778" style="10" customWidth="1"/>
    <col min="24" max="27" width="8.11111111111111" style="5" customWidth="1"/>
    <col min="28" max="16384" width="8.88888888888889" style="2"/>
  </cols>
  <sheetData>
    <row r="1" s="1" customFormat="1" ht="26" customHeight="1" spans="1:28">
      <c r="A1" s="1" t="s">
        <v>0</v>
      </c>
      <c r="B1" s="11" t="s">
        <v>2</v>
      </c>
      <c r="C1" s="1" t="s">
        <v>3</v>
      </c>
      <c r="D1" s="12" t="s">
        <v>4</v>
      </c>
      <c r="E1" s="1" t="s">
        <v>5</v>
      </c>
      <c r="F1" s="13" t="s">
        <v>6</v>
      </c>
      <c r="G1" s="14" t="s">
        <v>7</v>
      </c>
      <c r="H1" s="15" t="s">
        <v>8</v>
      </c>
      <c r="I1" s="24" t="s">
        <v>9</v>
      </c>
      <c r="J1" s="1" t="s">
        <v>10</v>
      </c>
      <c r="K1" s="11" t="s">
        <v>11</v>
      </c>
      <c r="L1" s="15" t="s">
        <v>12</v>
      </c>
      <c r="M1" s="1" t="s">
        <v>13</v>
      </c>
      <c r="N1" s="1" t="s">
        <v>14</v>
      </c>
      <c r="O1" s="25" t="s">
        <v>15</v>
      </c>
      <c r="P1" s="1" t="s">
        <v>16</v>
      </c>
      <c r="Q1" s="15" t="s">
        <v>17</v>
      </c>
      <c r="R1" s="15" t="s">
        <v>18</v>
      </c>
      <c r="S1" s="28" t="s">
        <v>19</v>
      </c>
      <c r="T1" s="29" t="s">
        <v>20</v>
      </c>
      <c r="U1" s="29" t="s">
        <v>7</v>
      </c>
      <c r="V1" s="28" t="s">
        <v>21</v>
      </c>
      <c r="W1" s="30" t="s">
        <v>22</v>
      </c>
      <c r="X1" s="29" t="s">
        <v>23</v>
      </c>
      <c r="Y1" s="29" t="s">
        <v>24</v>
      </c>
      <c r="Z1" s="29" t="s">
        <v>25</v>
      </c>
      <c r="AA1" s="29" t="s">
        <v>26</v>
      </c>
      <c r="AB1" s="1" t="s">
        <v>27</v>
      </c>
    </row>
    <row r="2" ht="17" customHeight="1" spans="1:27">
      <c r="A2" s="16" t="s">
        <v>62</v>
      </c>
      <c r="B2" s="17">
        <v>0.3</v>
      </c>
      <c r="C2" s="2" t="s">
        <v>30</v>
      </c>
      <c r="D2" s="2" t="s">
        <v>63</v>
      </c>
      <c r="E2" s="2">
        <v>258</v>
      </c>
      <c r="F2" s="2">
        <v>11</v>
      </c>
      <c r="G2" s="5">
        <f>F2/E2</f>
        <v>0.0426356589147287</v>
      </c>
      <c r="H2" s="6">
        <v>737.89</v>
      </c>
      <c r="I2" s="7">
        <v>41.7</v>
      </c>
      <c r="J2" s="2">
        <v>0</v>
      </c>
      <c r="K2" s="17">
        <v>0</v>
      </c>
      <c r="L2" s="2">
        <f>F2-J2</f>
        <v>11</v>
      </c>
      <c r="M2" s="2">
        <v>48613</v>
      </c>
      <c r="N2" s="2">
        <v>38</v>
      </c>
      <c r="O2" s="8">
        <f>N2/M2</f>
        <v>0.000781683911710859</v>
      </c>
      <c r="P2" s="2">
        <v>3</v>
      </c>
      <c r="Q2" s="6">
        <v>189.97</v>
      </c>
      <c r="R2" s="6">
        <v>63.53</v>
      </c>
      <c r="S2" s="9">
        <f>R2/N2</f>
        <v>1.67184210526316</v>
      </c>
      <c r="T2" s="5">
        <f>R2/Q2</f>
        <v>0.334421224403853</v>
      </c>
      <c r="U2" s="5">
        <f>P2/N2</f>
        <v>0.0789473684210526</v>
      </c>
      <c r="V2" s="9">
        <f>Q2/R2</f>
        <v>2.99024083110342</v>
      </c>
      <c r="W2" s="31">
        <f>S2/U2</f>
        <v>21.1766666666667</v>
      </c>
      <c r="X2" s="5">
        <f>R2/H2</f>
        <v>0.086096843702991</v>
      </c>
      <c r="Y2" s="5">
        <f>P2/F2</f>
        <v>0.272727272727273</v>
      </c>
      <c r="Z2" s="5">
        <f>N2/E2</f>
        <v>0.147286821705426</v>
      </c>
      <c r="AA2" s="5">
        <f>I2/H2</f>
        <v>0.0565124883112659</v>
      </c>
    </row>
    <row r="3" ht="17" customHeight="1" spans="1:27">
      <c r="A3" s="18"/>
      <c r="B3" s="17">
        <v>0.5</v>
      </c>
      <c r="C3" s="2" t="s">
        <v>30</v>
      </c>
      <c r="D3" s="19" t="s">
        <v>64</v>
      </c>
      <c r="E3" s="2">
        <v>158</v>
      </c>
      <c r="F3" s="2">
        <v>9</v>
      </c>
      <c r="G3" s="5">
        <f t="shared" ref="G3:G12" si="0">F3/E3</f>
        <v>0.0569620253164557</v>
      </c>
      <c r="H3" s="6">
        <v>611.91</v>
      </c>
      <c r="I3" s="7">
        <v>848.46</v>
      </c>
      <c r="J3" s="2">
        <v>0</v>
      </c>
      <c r="K3" s="17">
        <v>0</v>
      </c>
      <c r="L3" s="2">
        <f t="shared" ref="L3:L14" si="1">F3-J3</f>
        <v>9</v>
      </c>
      <c r="M3" s="2">
        <v>39652</v>
      </c>
      <c r="N3" s="2">
        <v>35</v>
      </c>
      <c r="O3" s="8">
        <f t="shared" ref="O3:O15" si="2">N3/M3</f>
        <v>0.000882679309996974</v>
      </c>
      <c r="P3" s="2">
        <v>3</v>
      </c>
      <c r="Q3" s="6">
        <v>190.97</v>
      </c>
      <c r="R3" s="6">
        <v>73.31</v>
      </c>
      <c r="S3" s="9">
        <f t="shared" ref="S3:S15" si="3">R3/N3</f>
        <v>2.09457142857143</v>
      </c>
      <c r="T3" s="5">
        <f t="shared" ref="T3:T15" si="4">R3/Q3</f>
        <v>0.383882285175682</v>
      </c>
      <c r="U3" s="5">
        <f t="shared" ref="U3:U15" si="5">P3/N3</f>
        <v>0.0857142857142857</v>
      </c>
      <c r="V3" s="9">
        <f t="shared" ref="V3:V15" si="6">Q3/R3</f>
        <v>2.60496521620516</v>
      </c>
      <c r="W3" s="31">
        <f t="shared" ref="W3:W15" si="7">S3/U3</f>
        <v>24.4366666666667</v>
      </c>
      <c r="X3" s="5">
        <f t="shared" ref="X3:X15" si="8">R3/H3</f>
        <v>0.119805200111127</v>
      </c>
      <c r="Y3" s="5">
        <f t="shared" ref="Y3:Y15" si="9">P3/F3</f>
        <v>0.333333333333333</v>
      </c>
      <c r="Z3" s="5">
        <f t="shared" ref="Z3:Z15" si="10">N3/E3</f>
        <v>0.221518987341772</v>
      </c>
      <c r="AA3" s="5">
        <f t="shared" ref="AA3:AA15" si="11">I3/H3</f>
        <v>1.38657645732216</v>
      </c>
    </row>
    <row r="4" ht="17" customHeight="1" spans="1:27">
      <c r="A4" s="18"/>
      <c r="B4" s="17">
        <v>0.3</v>
      </c>
      <c r="C4" s="2" t="s">
        <v>30</v>
      </c>
      <c r="D4" s="19" t="s">
        <v>65</v>
      </c>
      <c r="E4" s="2">
        <v>248</v>
      </c>
      <c r="F4" s="2">
        <v>19</v>
      </c>
      <c r="G4" s="5">
        <f t="shared" si="0"/>
        <v>0.0766129032258065</v>
      </c>
      <c r="H4" s="6">
        <v>1336.81</v>
      </c>
      <c r="I4" s="7">
        <v>0</v>
      </c>
      <c r="J4" s="2">
        <v>0</v>
      </c>
      <c r="K4" s="17">
        <v>0</v>
      </c>
      <c r="L4" s="2">
        <f t="shared" si="1"/>
        <v>19</v>
      </c>
      <c r="M4" s="2">
        <v>85278</v>
      </c>
      <c r="N4" s="2">
        <v>79</v>
      </c>
      <c r="O4" s="8">
        <f t="shared" si="2"/>
        <v>0.000926381950796219</v>
      </c>
      <c r="P4" s="2">
        <v>22</v>
      </c>
      <c r="Q4" s="6">
        <v>1482.78</v>
      </c>
      <c r="R4" s="6">
        <v>149.18</v>
      </c>
      <c r="S4" s="9">
        <f t="shared" si="3"/>
        <v>1.88835443037975</v>
      </c>
      <c r="T4" s="5">
        <f t="shared" si="4"/>
        <v>0.100608316810316</v>
      </c>
      <c r="U4" s="5">
        <f t="shared" si="5"/>
        <v>0.278481012658228</v>
      </c>
      <c r="V4" s="9">
        <f t="shared" si="6"/>
        <v>9.93953613084864</v>
      </c>
      <c r="W4" s="31">
        <f t="shared" si="7"/>
        <v>6.78090909090909</v>
      </c>
      <c r="X4" s="5">
        <f t="shared" si="8"/>
        <v>0.11159401859651</v>
      </c>
      <c r="Y4" s="5">
        <f t="shared" si="9"/>
        <v>1.15789473684211</v>
      </c>
      <c r="Z4" s="5">
        <f t="shared" si="10"/>
        <v>0.318548387096774</v>
      </c>
      <c r="AA4" s="5">
        <f t="shared" si="11"/>
        <v>0</v>
      </c>
    </row>
    <row r="5" ht="17" customHeight="1" spans="1:27">
      <c r="A5" s="18"/>
      <c r="B5" s="17">
        <v>0.5</v>
      </c>
      <c r="C5" s="2" t="s">
        <v>30</v>
      </c>
      <c r="D5" s="19" t="s">
        <v>66</v>
      </c>
      <c r="E5" s="2">
        <v>298</v>
      </c>
      <c r="F5" s="2">
        <v>36</v>
      </c>
      <c r="G5" s="5">
        <f t="shared" si="0"/>
        <v>0.120805369127517</v>
      </c>
      <c r="H5" s="6">
        <v>2337.64</v>
      </c>
      <c r="I5" s="7">
        <v>1048.13</v>
      </c>
      <c r="J5" s="2">
        <v>0</v>
      </c>
      <c r="K5" s="17">
        <v>0</v>
      </c>
      <c r="L5" s="2">
        <f t="shared" si="1"/>
        <v>36</v>
      </c>
      <c r="M5" s="2">
        <v>55497</v>
      </c>
      <c r="N5" s="2">
        <v>80</v>
      </c>
      <c r="O5" s="8">
        <f t="shared" si="2"/>
        <v>0.00144151936140692</v>
      </c>
      <c r="P5" s="2">
        <v>18</v>
      </c>
      <c r="Q5" s="6">
        <v>1115.82</v>
      </c>
      <c r="R5" s="6">
        <v>150.83</v>
      </c>
      <c r="S5" s="9">
        <f t="shared" si="3"/>
        <v>1.885375</v>
      </c>
      <c r="T5" s="5">
        <f t="shared" si="4"/>
        <v>0.135174132028463</v>
      </c>
      <c r="U5" s="5">
        <f t="shared" si="5"/>
        <v>0.225</v>
      </c>
      <c r="V5" s="9">
        <f t="shared" si="6"/>
        <v>7.39786514619107</v>
      </c>
      <c r="W5" s="31">
        <f t="shared" si="7"/>
        <v>8.37944444444445</v>
      </c>
      <c r="X5" s="5">
        <f t="shared" si="8"/>
        <v>0.0645223387690149</v>
      </c>
      <c r="Y5" s="5">
        <f t="shared" si="9"/>
        <v>0.5</v>
      </c>
      <c r="Z5" s="5">
        <f t="shared" si="10"/>
        <v>0.268456375838926</v>
      </c>
      <c r="AA5" s="5">
        <f t="shared" si="11"/>
        <v>0.448371006656286</v>
      </c>
    </row>
    <row r="6" ht="17" customHeight="1" spans="1:27">
      <c r="A6" s="18"/>
      <c r="B6" s="17">
        <v>0.4</v>
      </c>
      <c r="C6" s="2" t="s">
        <v>30</v>
      </c>
      <c r="D6" s="2" t="s">
        <v>67</v>
      </c>
      <c r="E6" s="2">
        <v>1512</v>
      </c>
      <c r="F6" s="2">
        <v>137</v>
      </c>
      <c r="G6" s="5">
        <f t="shared" si="0"/>
        <v>0.0906084656084656</v>
      </c>
      <c r="H6" s="6">
        <v>8487.64</v>
      </c>
      <c r="I6" s="7">
        <v>3297.38</v>
      </c>
      <c r="J6" s="2">
        <v>2</v>
      </c>
      <c r="K6" s="17">
        <v>0.0146</v>
      </c>
      <c r="L6" s="2">
        <f t="shared" si="1"/>
        <v>135</v>
      </c>
      <c r="M6" s="2">
        <v>369088</v>
      </c>
      <c r="N6" s="2">
        <v>559</v>
      </c>
      <c r="O6" s="8">
        <f t="shared" si="2"/>
        <v>0.00151454395699671</v>
      </c>
      <c r="P6" s="2">
        <v>110</v>
      </c>
      <c r="Q6" s="6">
        <v>7015.88</v>
      </c>
      <c r="R6" s="6">
        <v>1070.67</v>
      </c>
      <c r="S6" s="9">
        <f t="shared" si="3"/>
        <v>1.91533094812165</v>
      </c>
      <c r="T6" s="5">
        <f t="shared" si="4"/>
        <v>0.152606658038621</v>
      </c>
      <c r="U6" s="5">
        <f t="shared" si="5"/>
        <v>0.196779964221825</v>
      </c>
      <c r="V6" s="9">
        <f t="shared" si="6"/>
        <v>6.55279404485042</v>
      </c>
      <c r="W6" s="31">
        <f t="shared" si="7"/>
        <v>9.73336363636364</v>
      </c>
      <c r="X6" s="5">
        <f t="shared" si="8"/>
        <v>0.126144605567625</v>
      </c>
      <c r="Y6" s="5">
        <f t="shared" si="9"/>
        <v>0.802919708029197</v>
      </c>
      <c r="Z6" s="5">
        <f t="shared" si="10"/>
        <v>0.369708994708995</v>
      </c>
      <c r="AA6" s="5">
        <f t="shared" si="11"/>
        <v>0.388491971855545</v>
      </c>
    </row>
    <row r="7" ht="17" customHeight="1" spans="1:27">
      <c r="A7" s="18"/>
      <c r="B7" s="17">
        <v>0.3</v>
      </c>
      <c r="C7" s="2" t="s">
        <v>30</v>
      </c>
      <c r="D7" s="2" t="s">
        <v>68</v>
      </c>
      <c r="E7" s="2">
        <v>17954</v>
      </c>
      <c r="F7" s="2">
        <v>1131</v>
      </c>
      <c r="G7" s="5">
        <f t="shared" si="0"/>
        <v>0.0629943188147488</v>
      </c>
      <c r="H7" s="6">
        <v>67863.71</v>
      </c>
      <c r="I7" s="7">
        <v>17651.54</v>
      </c>
      <c r="J7" s="2">
        <v>187</v>
      </c>
      <c r="K7" s="17">
        <v>0.1653</v>
      </c>
      <c r="L7" s="2">
        <f t="shared" si="1"/>
        <v>944</v>
      </c>
      <c r="M7" s="2">
        <v>3781225</v>
      </c>
      <c r="N7" s="2">
        <v>5840</v>
      </c>
      <c r="O7" s="8">
        <f t="shared" si="2"/>
        <v>0.00154447302130923</v>
      </c>
      <c r="P7" s="2">
        <v>826</v>
      </c>
      <c r="Q7" s="6">
        <v>50341.61</v>
      </c>
      <c r="R7" s="6">
        <v>10769.71</v>
      </c>
      <c r="S7" s="9">
        <f t="shared" si="3"/>
        <v>1.84412842465753</v>
      </c>
      <c r="T7" s="5">
        <f t="shared" si="4"/>
        <v>0.213932569895957</v>
      </c>
      <c r="U7" s="5">
        <f t="shared" si="5"/>
        <v>0.141438356164384</v>
      </c>
      <c r="V7" s="9">
        <f t="shared" si="6"/>
        <v>4.67437006196081</v>
      </c>
      <c r="W7" s="31">
        <f t="shared" si="7"/>
        <v>13.0383898305085</v>
      </c>
      <c r="X7" s="5">
        <f t="shared" si="8"/>
        <v>0.158696157342415</v>
      </c>
      <c r="Y7" s="5">
        <f t="shared" si="9"/>
        <v>0.730327144120248</v>
      </c>
      <c r="Z7" s="5">
        <f t="shared" si="10"/>
        <v>0.325275704578367</v>
      </c>
      <c r="AA7" s="5">
        <f t="shared" si="11"/>
        <v>0.260102785420956</v>
      </c>
    </row>
    <row r="8" ht="17" customHeight="1" spans="1:27">
      <c r="A8" s="18"/>
      <c r="B8" s="17">
        <v>0.5</v>
      </c>
      <c r="C8" s="2" t="s">
        <v>30</v>
      </c>
      <c r="D8" s="2" t="s">
        <v>69</v>
      </c>
      <c r="E8" s="2">
        <v>2067</v>
      </c>
      <c r="F8" s="2">
        <v>201</v>
      </c>
      <c r="G8" s="5">
        <f t="shared" si="0"/>
        <v>0.0972423802612482</v>
      </c>
      <c r="H8" s="6">
        <v>12169.99</v>
      </c>
      <c r="I8" s="7">
        <v>5378.86</v>
      </c>
      <c r="J8" s="2">
        <v>28</v>
      </c>
      <c r="K8" s="17">
        <v>0.1393</v>
      </c>
      <c r="L8" s="2">
        <f t="shared" si="1"/>
        <v>173</v>
      </c>
      <c r="M8" s="2">
        <v>414930</v>
      </c>
      <c r="N8" s="2">
        <v>477</v>
      </c>
      <c r="O8" s="8">
        <f t="shared" si="2"/>
        <v>0.001149591497361</v>
      </c>
      <c r="P8" s="2">
        <v>134</v>
      </c>
      <c r="Q8" s="6">
        <v>8445.61</v>
      </c>
      <c r="R8" s="6">
        <v>807.94</v>
      </c>
      <c r="S8" s="9">
        <f t="shared" si="3"/>
        <v>1.69379454926625</v>
      </c>
      <c r="T8" s="5">
        <f t="shared" si="4"/>
        <v>0.0956639011273312</v>
      </c>
      <c r="U8" s="5">
        <f t="shared" si="5"/>
        <v>0.280922431865828</v>
      </c>
      <c r="V8" s="9">
        <f t="shared" si="6"/>
        <v>10.4532638562269</v>
      </c>
      <c r="W8" s="31">
        <f t="shared" si="7"/>
        <v>6.02940298507463</v>
      </c>
      <c r="X8" s="5">
        <f t="shared" si="8"/>
        <v>0.06638789349868</v>
      </c>
      <c r="Y8" s="5">
        <f t="shared" si="9"/>
        <v>0.666666666666667</v>
      </c>
      <c r="Z8" s="5">
        <f t="shared" si="10"/>
        <v>0.230769230769231</v>
      </c>
      <c r="AA8" s="5">
        <f t="shared" si="11"/>
        <v>0.441977355774327</v>
      </c>
    </row>
    <row r="9" ht="17" customHeight="1" spans="1:27">
      <c r="A9" s="18"/>
      <c r="B9" s="17">
        <v>0.3</v>
      </c>
      <c r="C9" s="2" t="s">
        <v>30</v>
      </c>
      <c r="D9" s="19" t="s">
        <v>70</v>
      </c>
      <c r="E9" s="2">
        <v>706</v>
      </c>
      <c r="F9" s="2">
        <v>42</v>
      </c>
      <c r="G9" s="5">
        <f t="shared" si="0"/>
        <v>0.0594900849858357</v>
      </c>
      <c r="H9" s="6">
        <v>2706.56</v>
      </c>
      <c r="I9" s="7">
        <v>720.25</v>
      </c>
      <c r="J9" s="2">
        <v>22</v>
      </c>
      <c r="K9" s="17">
        <v>0.5</v>
      </c>
      <c r="L9" s="2">
        <f t="shared" si="1"/>
        <v>20</v>
      </c>
      <c r="M9" s="2">
        <v>146726</v>
      </c>
      <c r="N9" s="2">
        <v>174</v>
      </c>
      <c r="O9" s="8">
        <f t="shared" si="2"/>
        <v>0.00118588389242534</v>
      </c>
      <c r="P9" s="2">
        <v>21</v>
      </c>
      <c r="Q9" s="6">
        <v>1240.79</v>
      </c>
      <c r="R9" s="6">
        <v>283.11</v>
      </c>
      <c r="S9" s="9">
        <f t="shared" si="3"/>
        <v>1.62706896551724</v>
      </c>
      <c r="T9" s="5">
        <f t="shared" si="4"/>
        <v>0.228169150299406</v>
      </c>
      <c r="U9" s="5">
        <f t="shared" si="5"/>
        <v>0.120689655172414</v>
      </c>
      <c r="V9" s="9">
        <f t="shared" si="6"/>
        <v>4.38271343294126</v>
      </c>
      <c r="W9" s="31">
        <f t="shared" si="7"/>
        <v>13.4814285714286</v>
      </c>
      <c r="X9" s="5">
        <f t="shared" si="8"/>
        <v>0.104601412863561</v>
      </c>
      <c r="Y9" s="5">
        <f t="shared" si="9"/>
        <v>0.5</v>
      </c>
      <c r="Z9" s="5">
        <f t="shared" si="10"/>
        <v>0.246458923512748</v>
      </c>
      <c r="AA9" s="5">
        <f t="shared" si="11"/>
        <v>0.266112703948924</v>
      </c>
    </row>
    <row r="10" ht="17" customHeight="1" spans="1:27">
      <c r="A10" s="18"/>
      <c r="B10" s="17">
        <v>0.2</v>
      </c>
      <c r="C10" s="2" t="s">
        <v>30</v>
      </c>
      <c r="D10" s="2" t="s">
        <v>71</v>
      </c>
      <c r="E10" s="2">
        <v>5270</v>
      </c>
      <c r="F10" s="2">
        <v>274</v>
      </c>
      <c r="G10" s="5">
        <f t="shared" si="0"/>
        <v>0.0519924098671727</v>
      </c>
      <c r="H10" s="6">
        <v>16033.27</v>
      </c>
      <c r="I10" s="7">
        <v>2277.77</v>
      </c>
      <c r="J10" s="2">
        <v>107</v>
      </c>
      <c r="K10" s="17">
        <v>0.3905</v>
      </c>
      <c r="L10" s="2">
        <f t="shared" si="1"/>
        <v>167</v>
      </c>
      <c r="M10" s="2">
        <v>821299</v>
      </c>
      <c r="N10" s="2">
        <v>1380</v>
      </c>
      <c r="O10" s="8">
        <f t="shared" si="2"/>
        <v>0.00168026504354687</v>
      </c>
      <c r="P10" s="2">
        <v>169</v>
      </c>
      <c r="Q10" s="6">
        <v>10165.3</v>
      </c>
      <c r="R10" s="6">
        <v>2512.25</v>
      </c>
      <c r="S10" s="9">
        <f t="shared" si="3"/>
        <v>1.82047101449275</v>
      </c>
      <c r="T10" s="5">
        <f t="shared" si="4"/>
        <v>0.247139779445762</v>
      </c>
      <c r="U10" s="5">
        <f t="shared" si="5"/>
        <v>0.122463768115942</v>
      </c>
      <c r="V10" s="9">
        <f t="shared" si="6"/>
        <v>4.04629316349886</v>
      </c>
      <c r="W10" s="31">
        <f t="shared" si="7"/>
        <v>14.8653846153846</v>
      </c>
      <c r="X10" s="5">
        <f t="shared" si="8"/>
        <v>0.156689808130219</v>
      </c>
      <c r="Y10" s="5">
        <f t="shared" si="9"/>
        <v>0.616788321167883</v>
      </c>
      <c r="Z10" s="5">
        <f t="shared" si="10"/>
        <v>0.261859582542694</v>
      </c>
      <c r="AA10" s="5">
        <f t="shared" si="11"/>
        <v>0.142065218137036</v>
      </c>
    </row>
    <row r="11" ht="17" customHeight="1" spans="1:27">
      <c r="A11" s="18"/>
      <c r="B11" s="17">
        <v>0.15</v>
      </c>
      <c r="C11" s="2" t="s">
        <v>30</v>
      </c>
      <c r="D11" s="2" t="s">
        <v>72</v>
      </c>
      <c r="E11" s="2">
        <v>2981</v>
      </c>
      <c r="F11" s="2">
        <v>156</v>
      </c>
      <c r="G11" s="5">
        <f t="shared" si="0"/>
        <v>0.0523314324052331</v>
      </c>
      <c r="H11" s="6">
        <v>9025.44</v>
      </c>
      <c r="I11" s="26">
        <v>1104.29</v>
      </c>
      <c r="J11" s="2">
        <v>60</v>
      </c>
      <c r="K11" s="17">
        <v>0.3846</v>
      </c>
      <c r="L11" s="2">
        <f t="shared" si="1"/>
        <v>96</v>
      </c>
      <c r="M11" s="2">
        <v>516259</v>
      </c>
      <c r="N11" s="2">
        <v>721</v>
      </c>
      <c r="O11" s="8">
        <f t="shared" si="2"/>
        <v>0.00139658582223264</v>
      </c>
      <c r="P11" s="2">
        <v>90</v>
      </c>
      <c r="Q11" s="6">
        <v>4876.11</v>
      </c>
      <c r="R11" s="6">
        <v>1296.44</v>
      </c>
      <c r="S11" s="9">
        <f t="shared" si="3"/>
        <v>1.79811373092926</v>
      </c>
      <c r="T11" s="5">
        <f t="shared" si="4"/>
        <v>0.265875872365472</v>
      </c>
      <c r="U11" s="5">
        <f t="shared" si="5"/>
        <v>0.124826629680999</v>
      </c>
      <c r="V11" s="9">
        <f t="shared" si="6"/>
        <v>3.76115362068434</v>
      </c>
      <c r="W11" s="31">
        <f t="shared" si="7"/>
        <v>14.4048888888889</v>
      </c>
      <c r="X11" s="5">
        <f t="shared" si="8"/>
        <v>0.143642858409119</v>
      </c>
      <c r="Y11" s="5">
        <f t="shared" si="9"/>
        <v>0.576923076923077</v>
      </c>
      <c r="Z11" s="5">
        <f t="shared" si="10"/>
        <v>0.241865145924187</v>
      </c>
      <c r="AA11" s="5">
        <f t="shared" si="11"/>
        <v>0.122353037635838</v>
      </c>
    </row>
    <row r="12" ht="17" customHeight="1" spans="1:27">
      <c r="A12" s="18"/>
      <c r="B12" s="17">
        <v>0.15</v>
      </c>
      <c r="C12" s="20" t="s">
        <v>73</v>
      </c>
      <c r="D12" s="2" t="s">
        <v>74</v>
      </c>
      <c r="E12" s="2">
        <v>3102</v>
      </c>
      <c r="F12" s="2">
        <v>209</v>
      </c>
      <c r="G12" s="5">
        <f t="shared" ref="G12:G17" si="12">F12/E12</f>
        <v>0.0673758865248227</v>
      </c>
      <c r="H12" s="6">
        <v>11227.92</v>
      </c>
      <c r="I12" s="27"/>
      <c r="J12" s="2">
        <v>51</v>
      </c>
      <c r="K12" s="17">
        <v>0.244</v>
      </c>
      <c r="L12" s="2">
        <f t="shared" si="1"/>
        <v>158</v>
      </c>
      <c r="M12" s="2">
        <v>523938</v>
      </c>
      <c r="N12" s="2">
        <v>736</v>
      </c>
      <c r="O12" s="8">
        <f t="shared" si="2"/>
        <v>0.0014047463631193</v>
      </c>
      <c r="P12" s="2">
        <v>89</v>
      </c>
      <c r="Q12" s="6">
        <v>4848.11</v>
      </c>
      <c r="R12" s="6">
        <v>1336.94</v>
      </c>
      <c r="S12" s="9">
        <f t="shared" si="3"/>
        <v>1.81649456521739</v>
      </c>
      <c r="T12" s="5">
        <f t="shared" si="4"/>
        <v>0.275765195096646</v>
      </c>
      <c r="U12" s="5">
        <f t="shared" si="5"/>
        <v>0.120923913043478</v>
      </c>
      <c r="V12" s="9">
        <f t="shared" si="6"/>
        <v>3.62627343037085</v>
      </c>
      <c r="W12" s="31">
        <f t="shared" si="7"/>
        <v>15.021797752809</v>
      </c>
      <c r="X12" s="5">
        <f t="shared" si="8"/>
        <v>0.119072811348852</v>
      </c>
      <c r="Y12" s="5">
        <f t="shared" si="9"/>
        <v>0.425837320574163</v>
      </c>
      <c r="Z12" s="5">
        <f t="shared" si="10"/>
        <v>0.237266279819471</v>
      </c>
      <c r="AA12" s="5">
        <f t="shared" si="11"/>
        <v>0</v>
      </c>
    </row>
    <row r="13" ht="17" customHeight="1" spans="1:27">
      <c r="A13" s="18"/>
      <c r="B13" s="21">
        <v>0</v>
      </c>
      <c r="C13" s="20" t="s">
        <v>73</v>
      </c>
      <c r="D13" s="19" t="s">
        <v>75</v>
      </c>
      <c r="E13" s="2">
        <v>933</v>
      </c>
      <c r="F13" s="2">
        <v>44</v>
      </c>
      <c r="G13" s="5">
        <f t="shared" si="12"/>
        <v>0.0471596998928189</v>
      </c>
      <c r="H13" s="6">
        <v>2422.56</v>
      </c>
      <c r="I13" s="7">
        <v>0</v>
      </c>
      <c r="J13" s="2">
        <v>20</v>
      </c>
      <c r="K13" s="17">
        <v>0.4545</v>
      </c>
      <c r="L13" s="2">
        <f t="shared" si="1"/>
        <v>24</v>
      </c>
      <c r="M13" s="2">
        <v>160009</v>
      </c>
      <c r="N13" s="2">
        <v>279</v>
      </c>
      <c r="O13" s="8">
        <f t="shared" si="2"/>
        <v>0.00174365191957952</v>
      </c>
      <c r="P13" s="2">
        <v>28</v>
      </c>
      <c r="Q13" s="6">
        <v>1535.72</v>
      </c>
      <c r="R13" s="6">
        <v>606.56</v>
      </c>
      <c r="S13" s="9">
        <f t="shared" si="3"/>
        <v>2.17405017921147</v>
      </c>
      <c r="T13" s="5">
        <f t="shared" si="4"/>
        <v>0.394967832677832</v>
      </c>
      <c r="U13" s="5">
        <f t="shared" si="5"/>
        <v>0.100358422939068</v>
      </c>
      <c r="V13" s="9">
        <f t="shared" si="6"/>
        <v>2.53185175415458</v>
      </c>
      <c r="W13" s="31">
        <f t="shared" si="7"/>
        <v>21.6628571428571</v>
      </c>
      <c r="X13" s="5">
        <f t="shared" si="8"/>
        <v>0.250379763555908</v>
      </c>
      <c r="Y13" s="5">
        <f t="shared" si="9"/>
        <v>0.636363636363636</v>
      </c>
      <c r="Z13" s="5">
        <f t="shared" si="10"/>
        <v>0.29903536977492</v>
      </c>
      <c r="AA13" s="5">
        <f t="shared" si="11"/>
        <v>0</v>
      </c>
    </row>
    <row r="14" ht="17" customHeight="1" spans="1:27">
      <c r="A14" s="18"/>
      <c r="B14" s="17">
        <v>0.1</v>
      </c>
      <c r="C14" s="20" t="s">
        <v>73</v>
      </c>
      <c r="D14" s="2" t="s">
        <v>76</v>
      </c>
      <c r="E14" s="2">
        <v>1598</v>
      </c>
      <c r="F14" s="2">
        <v>101</v>
      </c>
      <c r="G14" s="5">
        <f t="shared" si="12"/>
        <v>0.0632040050062578</v>
      </c>
      <c r="H14" s="6">
        <v>5294</v>
      </c>
      <c r="I14" s="7">
        <v>409.1</v>
      </c>
      <c r="J14" s="2">
        <v>28</v>
      </c>
      <c r="K14" s="17">
        <v>0.2772</v>
      </c>
      <c r="L14" s="2">
        <f t="shared" si="1"/>
        <v>73</v>
      </c>
      <c r="M14" s="2">
        <v>205813</v>
      </c>
      <c r="N14" s="2">
        <v>384</v>
      </c>
      <c r="O14" s="8">
        <f t="shared" si="2"/>
        <v>0.00186577135555091</v>
      </c>
      <c r="P14" s="2">
        <v>41</v>
      </c>
      <c r="Q14" s="6">
        <v>2075.59</v>
      </c>
      <c r="R14" s="6">
        <v>602.95</v>
      </c>
      <c r="S14" s="9">
        <f t="shared" si="3"/>
        <v>1.57018229166667</v>
      </c>
      <c r="T14" s="5">
        <f t="shared" si="4"/>
        <v>0.290495714471548</v>
      </c>
      <c r="U14" s="5">
        <f t="shared" si="5"/>
        <v>0.106770833333333</v>
      </c>
      <c r="V14" s="9">
        <f t="shared" si="6"/>
        <v>3.44239157475744</v>
      </c>
      <c r="W14" s="31">
        <f t="shared" si="7"/>
        <v>14.7060975609756</v>
      </c>
      <c r="X14" s="5">
        <f t="shared" si="8"/>
        <v>0.113893086513034</v>
      </c>
      <c r="Y14" s="5">
        <f t="shared" si="9"/>
        <v>0.405940594059406</v>
      </c>
      <c r="Z14" s="5">
        <f t="shared" si="10"/>
        <v>0.240300375469337</v>
      </c>
      <c r="AA14" s="5">
        <f t="shared" si="11"/>
        <v>0.0772761616924821</v>
      </c>
    </row>
    <row r="15" s="2" customFormat="1" ht="17" customHeight="1" spans="1:27">
      <c r="A15" s="22"/>
      <c r="B15" s="17"/>
      <c r="C15" s="17"/>
      <c r="D15" s="2" t="s">
        <v>77</v>
      </c>
      <c r="E15" s="2">
        <f t="shared" ref="E15:J15" si="13">SUM(E2:E14)</f>
        <v>37085</v>
      </c>
      <c r="F15" s="2">
        <f t="shared" si="13"/>
        <v>2370</v>
      </c>
      <c r="G15" s="5">
        <f t="shared" si="12"/>
        <v>0.0639072401240394</v>
      </c>
      <c r="H15" s="6">
        <f t="shared" si="13"/>
        <v>140255.34</v>
      </c>
      <c r="I15" s="7">
        <f t="shared" si="13"/>
        <v>32777.48</v>
      </c>
      <c r="J15" s="2">
        <f t="shared" si="13"/>
        <v>505</v>
      </c>
      <c r="K15" s="17">
        <f>J15/F15</f>
        <v>0.213080168776371</v>
      </c>
      <c r="L15" s="2">
        <f t="shared" ref="L15:R15" si="14">SUM(L2:L14)</f>
        <v>1865</v>
      </c>
      <c r="M15" s="2">
        <f t="shared" si="14"/>
        <v>7168327</v>
      </c>
      <c r="N15" s="2">
        <f t="shared" si="14"/>
        <v>10782</v>
      </c>
      <c r="O15" s="8">
        <f t="shared" si="2"/>
        <v>0.00150411665092845</v>
      </c>
      <c r="P15" s="2">
        <f t="shared" si="14"/>
        <v>1554</v>
      </c>
      <c r="Q15" s="2">
        <f t="shared" si="14"/>
        <v>93524.26</v>
      </c>
      <c r="R15" s="6">
        <f t="shared" si="14"/>
        <v>19723.42</v>
      </c>
      <c r="S15" s="9">
        <f t="shared" si="3"/>
        <v>1.82929141161195</v>
      </c>
      <c r="T15" s="5">
        <f t="shared" si="4"/>
        <v>0.210890949578216</v>
      </c>
      <c r="U15" s="5">
        <f t="shared" si="5"/>
        <v>0.144129104062326</v>
      </c>
      <c r="V15" s="9">
        <f t="shared" si="6"/>
        <v>4.74178717484087</v>
      </c>
      <c r="W15" s="31">
        <f t="shared" si="7"/>
        <v>12.6920334620335</v>
      </c>
      <c r="X15" s="5">
        <f t="shared" si="8"/>
        <v>0.140625091351246</v>
      </c>
      <c r="Y15" s="5">
        <f t="shared" si="9"/>
        <v>0.655696202531646</v>
      </c>
      <c r="Z15" s="5">
        <f t="shared" si="10"/>
        <v>0.290737494944047</v>
      </c>
      <c r="AA15" s="5">
        <f t="shared" si="11"/>
        <v>0.233698624237765</v>
      </c>
    </row>
    <row r="16" s="3" customFormat="1" ht="17" customHeight="1" spans="1:16384">
      <c r="A16" s="23"/>
      <c r="XFD16" s="32"/>
    </row>
    <row r="17" ht="17" customHeight="1" spans="1:27">
      <c r="A17" s="16" t="s">
        <v>78</v>
      </c>
      <c r="B17" s="17">
        <v>0.5</v>
      </c>
      <c r="C17" s="2" t="s">
        <v>30</v>
      </c>
      <c r="D17" s="2" t="s">
        <v>79</v>
      </c>
      <c r="E17" s="2">
        <v>6063</v>
      </c>
      <c r="F17" s="2">
        <v>569</v>
      </c>
      <c r="G17" s="5">
        <f t="shared" si="12"/>
        <v>0.0938479300676233</v>
      </c>
      <c r="H17" s="6">
        <v>40102.06</v>
      </c>
      <c r="I17" s="7">
        <v>20462.22</v>
      </c>
      <c r="J17" s="2">
        <v>5</v>
      </c>
      <c r="K17" s="17">
        <v>0.0088</v>
      </c>
      <c r="L17" s="2">
        <f>F17-J17</f>
        <v>564</v>
      </c>
      <c r="M17" s="2">
        <v>674767</v>
      </c>
      <c r="N17" s="2">
        <v>1634</v>
      </c>
      <c r="O17" s="8">
        <f>N17/M17</f>
        <v>0.00242157663311928</v>
      </c>
      <c r="P17" s="2">
        <v>515</v>
      </c>
      <c r="Q17" s="6">
        <v>36516.05</v>
      </c>
      <c r="R17" s="6">
        <v>5002.79</v>
      </c>
      <c r="S17" s="9">
        <f>R17/N17</f>
        <v>3.06168298653611</v>
      </c>
      <c r="T17" s="5">
        <f>R17/Q17</f>
        <v>0.137002496162646</v>
      </c>
      <c r="U17" s="5">
        <f>P17/N17</f>
        <v>0.315177478580171</v>
      </c>
      <c r="V17" s="9">
        <f>Q17/R17</f>
        <v>7.29913708150852</v>
      </c>
      <c r="W17" s="31">
        <f>S17/U17</f>
        <v>9.71415533980582</v>
      </c>
      <c r="X17" s="5">
        <f>R17/H17</f>
        <v>0.124751446683786</v>
      </c>
      <c r="Y17" s="5">
        <f>P17/F17</f>
        <v>0.905096660808436</v>
      </c>
      <c r="Z17" s="5">
        <f>N17/E17</f>
        <v>0.269503546099291</v>
      </c>
      <c r="AA17" s="5">
        <f>I17/H17</f>
        <v>0.510253587970294</v>
      </c>
    </row>
    <row r="18" ht="17" customHeight="1" spans="1:27">
      <c r="A18" s="18"/>
      <c r="B18" s="17">
        <v>0.3</v>
      </c>
      <c r="C18" s="2" t="s">
        <v>30</v>
      </c>
      <c r="D18" s="2" t="s">
        <v>80</v>
      </c>
      <c r="E18" s="2">
        <v>2993</v>
      </c>
      <c r="F18" s="2">
        <v>196</v>
      </c>
      <c r="G18" s="5">
        <f t="shared" ref="G18:G25" si="15">F18/E18</f>
        <v>0.0654861343133979</v>
      </c>
      <c r="H18" s="6">
        <v>13742.99</v>
      </c>
      <c r="I18" s="7">
        <v>2993.83</v>
      </c>
      <c r="J18" s="2">
        <v>10</v>
      </c>
      <c r="K18" s="17">
        <v>0.051</v>
      </c>
      <c r="L18" s="2">
        <f t="shared" ref="L18:L24" si="16">F18-J18</f>
        <v>186</v>
      </c>
      <c r="M18" s="2">
        <v>400116</v>
      </c>
      <c r="N18" s="2">
        <v>836</v>
      </c>
      <c r="O18" s="8">
        <f t="shared" ref="O18:O25" si="17">N18/M18</f>
        <v>0.00208939407571804</v>
      </c>
      <c r="P18" s="2">
        <v>150</v>
      </c>
      <c r="Q18" s="6">
        <v>10734.53</v>
      </c>
      <c r="R18" s="6">
        <v>2550.34</v>
      </c>
      <c r="S18" s="9">
        <f t="shared" ref="S18:S25" si="18">R18/N18</f>
        <v>3.05064593301435</v>
      </c>
      <c r="T18" s="5">
        <f t="shared" ref="T18:T25" si="19">R18/Q18</f>
        <v>0.237582828498313</v>
      </c>
      <c r="U18" s="5">
        <f t="shared" ref="U18:U25" si="20">P18/N18</f>
        <v>0.179425837320574</v>
      </c>
      <c r="V18" s="9">
        <f t="shared" ref="V18:V25" si="21">Q18/R18</f>
        <v>4.20905840005646</v>
      </c>
      <c r="W18" s="31">
        <f t="shared" ref="W18:W25" si="22">S18/U18</f>
        <v>17.0022666666667</v>
      </c>
      <c r="X18" s="5">
        <f t="shared" ref="X18:X25" si="23">R18/H18</f>
        <v>0.185573881666217</v>
      </c>
      <c r="Y18" s="5">
        <f t="shared" ref="Y18:Y25" si="24">P18/F18</f>
        <v>0.76530612244898</v>
      </c>
      <c r="Z18" s="5">
        <f t="shared" ref="Z18:Z25" si="25">N18/E18</f>
        <v>0.279318409622452</v>
      </c>
      <c r="AA18" s="5">
        <f t="shared" ref="AA18:AA25" si="26">I18/H18</f>
        <v>0.217844151818491</v>
      </c>
    </row>
    <row r="19" ht="17" customHeight="1" spans="1:27">
      <c r="A19" s="18"/>
      <c r="B19" s="17">
        <v>0.5</v>
      </c>
      <c r="C19" s="2" t="s">
        <v>30</v>
      </c>
      <c r="D19" s="2" t="s">
        <v>69</v>
      </c>
      <c r="E19" s="2">
        <v>2420</v>
      </c>
      <c r="F19" s="2">
        <v>191</v>
      </c>
      <c r="G19" s="5">
        <f t="shared" si="15"/>
        <v>0.0789256198347107</v>
      </c>
      <c r="H19" s="6">
        <v>13166.73</v>
      </c>
      <c r="I19" s="7">
        <v>4295.22</v>
      </c>
      <c r="J19" s="2">
        <v>25</v>
      </c>
      <c r="K19" s="17">
        <v>0.1309</v>
      </c>
      <c r="L19" s="2">
        <f t="shared" si="16"/>
        <v>166</v>
      </c>
      <c r="M19" s="2">
        <v>385054</v>
      </c>
      <c r="N19" s="2">
        <v>661</v>
      </c>
      <c r="O19" s="8">
        <f t="shared" si="17"/>
        <v>0.00171664234107424</v>
      </c>
      <c r="P19" s="2">
        <v>145</v>
      </c>
      <c r="Q19" s="6">
        <v>10182.35</v>
      </c>
      <c r="R19" s="6">
        <v>2064.73</v>
      </c>
      <c r="S19" s="9">
        <f t="shared" si="18"/>
        <v>3.12364599092284</v>
      </c>
      <c r="T19" s="5">
        <f t="shared" si="19"/>
        <v>0.20277539074968</v>
      </c>
      <c r="U19" s="5">
        <f t="shared" si="20"/>
        <v>0.219364599092284</v>
      </c>
      <c r="V19" s="9">
        <f t="shared" si="21"/>
        <v>4.93156490194844</v>
      </c>
      <c r="W19" s="31">
        <f t="shared" si="22"/>
        <v>14.2395172413793</v>
      </c>
      <c r="X19" s="5">
        <f t="shared" si="23"/>
        <v>0.156814182412793</v>
      </c>
      <c r="Y19" s="5">
        <f t="shared" si="24"/>
        <v>0.759162303664921</v>
      </c>
      <c r="Z19" s="5">
        <f t="shared" si="25"/>
        <v>0.273140495867769</v>
      </c>
      <c r="AA19" s="5">
        <f t="shared" si="26"/>
        <v>0.326217671358037</v>
      </c>
    </row>
    <row r="20" ht="17" customHeight="1" spans="1:27">
      <c r="A20" s="18"/>
      <c r="B20" s="17">
        <v>0.3</v>
      </c>
      <c r="C20" s="2" t="s">
        <v>30</v>
      </c>
      <c r="D20" s="19" t="s">
        <v>70</v>
      </c>
      <c r="E20" s="2">
        <v>1010</v>
      </c>
      <c r="F20" s="2">
        <v>60</v>
      </c>
      <c r="G20" s="5">
        <f t="shared" si="15"/>
        <v>0.0594059405940594</v>
      </c>
      <c r="H20" s="6">
        <v>4145.04</v>
      </c>
      <c r="I20" s="7">
        <v>1329.34</v>
      </c>
      <c r="J20" s="2">
        <v>12</v>
      </c>
      <c r="K20" s="17">
        <v>0.2</v>
      </c>
      <c r="L20" s="2">
        <f t="shared" si="16"/>
        <v>48</v>
      </c>
      <c r="M20" s="2">
        <v>162386</v>
      </c>
      <c r="N20" s="2">
        <v>286</v>
      </c>
      <c r="O20" s="8">
        <f t="shared" si="17"/>
        <v>0.00176123557449534</v>
      </c>
      <c r="P20" s="2">
        <v>57</v>
      </c>
      <c r="Q20" s="6">
        <v>4040.99</v>
      </c>
      <c r="R20" s="6">
        <v>888.66</v>
      </c>
      <c r="S20" s="9">
        <f t="shared" si="18"/>
        <v>3.1072027972028</v>
      </c>
      <c r="T20" s="5">
        <f t="shared" si="19"/>
        <v>0.219911457340899</v>
      </c>
      <c r="U20" s="5">
        <f t="shared" si="20"/>
        <v>0.199300699300699</v>
      </c>
      <c r="V20" s="9">
        <f t="shared" si="21"/>
        <v>4.54728467580402</v>
      </c>
      <c r="W20" s="31">
        <f t="shared" si="22"/>
        <v>15.5905263157895</v>
      </c>
      <c r="X20" s="5">
        <f t="shared" si="23"/>
        <v>0.214391175959701</v>
      </c>
      <c r="Y20" s="5">
        <f t="shared" si="24"/>
        <v>0.95</v>
      </c>
      <c r="Z20" s="5">
        <f t="shared" si="25"/>
        <v>0.283168316831683</v>
      </c>
      <c r="AA20" s="5">
        <f t="shared" si="26"/>
        <v>0.32070619342636</v>
      </c>
    </row>
    <row r="21" ht="17" customHeight="1" spans="1:27">
      <c r="A21" s="18"/>
      <c r="B21" s="17">
        <v>0.2</v>
      </c>
      <c r="C21" s="2" t="s">
        <v>30</v>
      </c>
      <c r="D21" s="2" t="s">
        <v>71</v>
      </c>
      <c r="E21" s="2">
        <v>7254</v>
      </c>
      <c r="F21" s="2">
        <v>437</v>
      </c>
      <c r="G21" s="5">
        <f t="shared" si="15"/>
        <v>0.0602426247587538</v>
      </c>
      <c r="H21" s="6">
        <v>30173.02</v>
      </c>
      <c r="I21" s="7">
        <v>4839.87</v>
      </c>
      <c r="J21" s="2">
        <v>92</v>
      </c>
      <c r="K21" s="17">
        <v>0.2105</v>
      </c>
      <c r="L21" s="2">
        <f t="shared" si="16"/>
        <v>345</v>
      </c>
      <c r="M21" s="2">
        <v>956082</v>
      </c>
      <c r="N21" s="2">
        <v>2036</v>
      </c>
      <c r="O21" s="8">
        <f t="shared" si="17"/>
        <v>0.00212952445501536</v>
      </c>
      <c r="P21" s="2">
        <v>299</v>
      </c>
      <c r="Q21" s="6">
        <v>20684.19</v>
      </c>
      <c r="R21" s="6">
        <v>6460.8</v>
      </c>
      <c r="S21" s="9">
        <f t="shared" si="18"/>
        <v>3.17328094302554</v>
      </c>
      <c r="T21" s="5">
        <f t="shared" si="19"/>
        <v>0.312354508443405</v>
      </c>
      <c r="U21" s="5">
        <f t="shared" si="20"/>
        <v>0.146856581532417</v>
      </c>
      <c r="V21" s="9">
        <f t="shared" si="21"/>
        <v>3.20149052748886</v>
      </c>
      <c r="W21" s="31">
        <f t="shared" si="22"/>
        <v>21.6080267558528</v>
      </c>
      <c r="X21" s="5">
        <f t="shared" si="23"/>
        <v>0.214125069350035</v>
      </c>
      <c r="Y21" s="5">
        <f t="shared" si="24"/>
        <v>0.684210526315789</v>
      </c>
      <c r="Z21" s="5">
        <f t="shared" si="25"/>
        <v>0.280672732285635</v>
      </c>
      <c r="AA21" s="5">
        <f t="shared" si="26"/>
        <v>0.160403897256556</v>
      </c>
    </row>
    <row r="22" ht="17" customHeight="1" spans="1:27">
      <c r="A22" s="18"/>
      <c r="B22" s="17">
        <v>0.15</v>
      </c>
      <c r="C22" s="2" t="s">
        <v>30</v>
      </c>
      <c r="D22" s="2" t="s">
        <v>81</v>
      </c>
      <c r="E22" s="2">
        <v>2562</v>
      </c>
      <c r="F22" s="2">
        <v>148</v>
      </c>
      <c r="G22" s="5">
        <f t="shared" si="15"/>
        <v>0.0577673692427791</v>
      </c>
      <c r="H22" s="6">
        <v>10423.38</v>
      </c>
      <c r="I22" s="7">
        <v>1556.41</v>
      </c>
      <c r="J22" s="2">
        <v>60</v>
      </c>
      <c r="K22" s="17">
        <v>0.4054</v>
      </c>
      <c r="L22" s="2">
        <f t="shared" si="16"/>
        <v>88</v>
      </c>
      <c r="M22" s="2">
        <v>545075</v>
      </c>
      <c r="N22" s="2">
        <v>697</v>
      </c>
      <c r="O22" s="8">
        <f t="shared" si="17"/>
        <v>0.00127872311149842</v>
      </c>
      <c r="P22" s="2">
        <v>98</v>
      </c>
      <c r="Q22" s="6">
        <v>7055.48</v>
      </c>
      <c r="R22" s="6">
        <v>1814.74</v>
      </c>
      <c r="S22" s="9">
        <f t="shared" si="18"/>
        <v>2.60364418938307</v>
      </c>
      <c r="T22" s="5">
        <f t="shared" si="19"/>
        <v>0.257209998469275</v>
      </c>
      <c r="U22" s="5">
        <f t="shared" si="20"/>
        <v>0.140602582496413</v>
      </c>
      <c r="V22" s="9">
        <f t="shared" si="21"/>
        <v>3.88787374499928</v>
      </c>
      <c r="W22" s="31">
        <f t="shared" si="22"/>
        <v>18.5177551020408</v>
      </c>
      <c r="X22" s="5">
        <f t="shared" si="23"/>
        <v>0.174102834205411</v>
      </c>
      <c r="Y22" s="5">
        <f t="shared" si="24"/>
        <v>0.662162162162162</v>
      </c>
      <c r="Z22" s="5">
        <f t="shared" si="25"/>
        <v>0.272053083528493</v>
      </c>
      <c r="AA22" s="5">
        <f t="shared" si="26"/>
        <v>0.149319126809154</v>
      </c>
    </row>
    <row r="23" ht="17" customHeight="1" spans="1:27">
      <c r="A23" s="18"/>
      <c r="B23" s="17">
        <v>0.2</v>
      </c>
      <c r="C23" s="2" t="s">
        <v>30</v>
      </c>
      <c r="D23" s="19" t="s">
        <v>82</v>
      </c>
      <c r="E23" s="2">
        <v>635</v>
      </c>
      <c r="F23" s="2">
        <v>38</v>
      </c>
      <c r="G23" s="5">
        <f t="shared" si="15"/>
        <v>0.0598425196850394</v>
      </c>
      <c r="H23" s="6">
        <v>2551.43</v>
      </c>
      <c r="I23" s="7">
        <v>43.36</v>
      </c>
      <c r="J23" s="2">
        <v>25</v>
      </c>
      <c r="K23" s="17">
        <v>0.6579</v>
      </c>
      <c r="L23" s="2">
        <f t="shared" si="16"/>
        <v>13</v>
      </c>
      <c r="M23" s="2">
        <v>166032</v>
      </c>
      <c r="N23" s="2">
        <v>214</v>
      </c>
      <c r="O23" s="8">
        <f t="shared" si="17"/>
        <v>0.00128890816228197</v>
      </c>
      <c r="P23" s="2">
        <v>20</v>
      </c>
      <c r="Q23" s="6">
        <v>1422.68</v>
      </c>
      <c r="R23" s="6">
        <v>532.11</v>
      </c>
      <c r="S23" s="9">
        <f t="shared" si="18"/>
        <v>2.4864953271028</v>
      </c>
      <c r="T23" s="5">
        <f t="shared" si="19"/>
        <v>0.374019456237524</v>
      </c>
      <c r="U23" s="5">
        <f t="shared" si="20"/>
        <v>0.0934579439252336</v>
      </c>
      <c r="V23" s="9">
        <f t="shared" si="21"/>
        <v>2.67365770235478</v>
      </c>
      <c r="W23" s="31">
        <f t="shared" si="22"/>
        <v>26.6055</v>
      </c>
      <c r="X23" s="5">
        <f t="shared" si="23"/>
        <v>0.208553634628424</v>
      </c>
      <c r="Y23" s="5">
        <f t="shared" si="24"/>
        <v>0.526315789473684</v>
      </c>
      <c r="Z23" s="5">
        <f t="shared" si="25"/>
        <v>0.337007874015748</v>
      </c>
      <c r="AA23" s="5">
        <f t="shared" si="26"/>
        <v>0.0169943913805199</v>
      </c>
    </row>
    <row r="24" ht="17" customHeight="1" spans="1:27">
      <c r="A24" s="18"/>
      <c r="B24" s="17">
        <v>0.3</v>
      </c>
      <c r="C24" s="2" t="s">
        <v>30</v>
      </c>
      <c r="D24" s="2" t="s">
        <v>83</v>
      </c>
      <c r="E24" s="2">
        <v>5400</v>
      </c>
      <c r="F24" s="2">
        <v>407</v>
      </c>
      <c r="G24" s="5">
        <f t="shared" si="15"/>
        <v>0.0753703703703704</v>
      </c>
      <c r="H24" s="6">
        <v>28833.92</v>
      </c>
      <c r="I24" s="7">
        <v>7299.91</v>
      </c>
      <c r="J24" s="2">
        <v>115</v>
      </c>
      <c r="K24" s="17">
        <v>0.2826</v>
      </c>
      <c r="L24" s="2">
        <f t="shared" si="16"/>
        <v>292</v>
      </c>
      <c r="M24" s="2">
        <v>1256312</v>
      </c>
      <c r="N24" s="2">
        <v>1493</v>
      </c>
      <c r="O24" s="8">
        <f t="shared" si="17"/>
        <v>0.00118839906010609</v>
      </c>
      <c r="P24" s="2">
        <v>235</v>
      </c>
      <c r="Q24" s="6">
        <v>16876.83</v>
      </c>
      <c r="R24" s="6">
        <v>3957.03</v>
      </c>
      <c r="S24" s="9">
        <f t="shared" si="18"/>
        <v>2.65038847957133</v>
      </c>
      <c r="T24" s="5">
        <f t="shared" si="19"/>
        <v>0.23446524021395</v>
      </c>
      <c r="U24" s="5">
        <f t="shared" si="20"/>
        <v>0.157401205626256</v>
      </c>
      <c r="V24" s="9">
        <f t="shared" si="21"/>
        <v>4.26502452597024</v>
      </c>
      <c r="W24" s="31">
        <f t="shared" si="22"/>
        <v>16.8384255319149</v>
      </c>
      <c r="X24" s="5">
        <f t="shared" si="23"/>
        <v>0.137235242381195</v>
      </c>
      <c r="Y24" s="5">
        <f t="shared" si="24"/>
        <v>0.577395577395577</v>
      </c>
      <c r="Z24" s="5">
        <f t="shared" si="25"/>
        <v>0.276481481481481</v>
      </c>
      <c r="AA24" s="5">
        <f t="shared" si="26"/>
        <v>0.253170918140856</v>
      </c>
    </row>
    <row r="25" ht="19" customHeight="1" spans="1:27">
      <c r="A25" s="22"/>
      <c r="D25" s="2" t="s">
        <v>77</v>
      </c>
      <c r="E25" s="2">
        <f t="shared" ref="E25:I25" si="27">SUM(E17:E24)</f>
        <v>28337</v>
      </c>
      <c r="F25" s="2">
        <f t="shared" si="27"/>
        <v>2046</v>
      </c>
      <c r="G25" s="5">
        <f t="shared" si="15"/>
        <v>0.0722024208631824</v>
      </c>
      <c r="H25" s="6">
        <f t="shared" si="27"/>
        <v>143138.57</v>
      </c>
      <c r="I25" s="7">
        <f t="shared" si="27"/>
        <v>42820.16</v>
      </c>
      <c r="J25" s="2">
        <f t="shared" ref="J25:M25" si="28">SUM(J17:J24)</f>
        <v>344</v>
      </c>
      <c r="K25" s="4">
        <f>J25/F25</f>
        <v>0.168132942326491</v>
      </c>
      <c r="L25" s="2">
        <f t="shared" si="28"/>
        <v>1702</v>
      </c>
      <c r="M25" s="2">
        <f t="shared" si="28"/>
        <v>4545824</v>
      </c>
      <c r="N25" s="2">
        <f t="shared" ref="N25:R25" si="29">SUM(N17:N24)</f>
        <v>7857</v>
      </c>
      <c r="O25" s="8">
        <f t="shared" si="17"/>
        <v>0.00172839951568737</v>
      </c>
      <c r="P25" s="2">
        <f t="shared" si="29"/>
        <v>1519</v>
      </c>
      <c r="Q25" s="2">
        <f t="shared" si="29"/>
        <v>107513.1</v>
      </c>
      <c r="R25" s="2">
        <f t="shared" si="29"/>
        <v>23271.2</v>
      </c>
      <c r="S25" s="9">
        <f t="shared" si="18"/>
        <v>2.96184294259896</v>
      </c>
      <c r="T25" s="5">
        <f t="shared" si="19"/>
        <v>0.216449902383989</v>
      </c>
      <c r="U25" s="5">
        <f t="shared" si="20"/>
        <v>0.193330787832506</v>
      </c>
      <c r="V25" s="9">
        <f t="shared" si="21"/>
        <v>4.62000670356492</v>
      </c>
      <c r="W25" s="31">
        <f t="shared" si="22"/>
        <v>15.3200789993417</v>
      </c>
      <c r="X25" s="5">
        <f t="shared" si="23"/>
        <v>0.162578122724015</v>
      </c>
      <c r="Y25" s="5">
        <f t="shared" si="24"/>
        <v>0.742424242424242</v>
      </c>
      <c r="Z25" s="5">
        <f t="shared" si="25"/>
        <v>0.277270000352896</v>
      </c>
      <c r="AA25" s="5">
        <f t="shared" si="26"/>
        <v>0.299151793957422</v>
      </c>
    </row>
  </sheetData>
  <mergeCells count="3">
    <mergeCell ref="A2:A15"/>
    <mergeCell ref="A17:A25"/>
    <mergeCell ref="I11:I12"/>
  </mergeCells>
  <pageMargins left="0.75" right="0.75" top="1" bottom="1" header="0.5" footer="0.5"/>
  <headerFooter/>
  <ignoredErrors>
    <ignoredError sqref="I15" emptyCellReference="1"/>
    <ignoredError sqref="K25 G25 K15 G15 O25" formula="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按周统计</vt:lpstr>
      <vt:lpstr>按促销节点统计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2025-03-19T10:18:00Z</dcterms:created>
  <dcterms:modified xsi:type="dcterms:W3CDTF">2025-07-11T01:11:39Z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45573ECD91044D9CBA0982C47DB7FD37_13</vt:lpwstr>
  </property>
  <property fmtid="{D5CDD505-2E9C-101B-9397-08002B2CF9AE}" pid="4" name="KSOProductBuildVer">
    <vt:lpwstr>2052-12.1.0.21915</vt:lpwstr>
  </property>
</Properties>
</file>