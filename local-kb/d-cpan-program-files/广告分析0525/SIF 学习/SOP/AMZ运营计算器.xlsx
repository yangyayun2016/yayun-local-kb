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3040" windowHeight="9180" activeTab="5"/>
  </bookViews>
  <sheets>
    <sheet name="回款周期预测" sheetId="6" r:id="rId1"/>
    <sheet name="FBA最低售价及利润" sheetId="8" r:id="rId2"/>
    <sheet name="FBM-北美" sheetId="17" r:id="rId3"/>
    <sheet name="尺寸" sheetId="18" r:id="rId4"/>
    <sheet name="广告竞价模拟" sheetId="15" r:id="rId5"/>
    <sheet name="广告平衡" sheetId="19" r:id="rId6"/>
  </sheets>
  <externalReferences>
    <externalReference r:id="rId7"/>
  </externalReferences>
  <definedNames>
    <definedName name="drinkingstrawcalifornia_proposition__chemical_names">'[1]Dropdown Lists'!$E$4:$E$869</definedName>
    <definedName name="drinkingstrawitem_display_width_unit_of_measure">'[1]Dropdown Lists'!$F$4</definedName>
    <definedName name="drinkingstrawcontrol_method">'[1]Dropdown Lists'!$G$4:$G$7</definedName>
    <definedName name="drinkingstrawcapacity_unit_of_measure">'[1]Dropdown Lists'!$I$4:$I$17</definedName>
    <definedName name="requiredAttributePTDMap">[1]AttributePTDMAP!$A$1:$B$15</definedName>
    <definedName name="optionalAttributePTDMap">[1]AttributePTDMAP!$A$16:$B$218</definedName>
    <definedName name="preferredAttributePTDMap">[1]AttributePTDMAP!$A$219:$B$224</definedName>
    <definedName name="attributeMapFeedProductType">[1]AttributePTDMAP!$B$1</definedName>
    <definedName name="CONDITION_LIST_0">'[1]Conditions List'!$A$2</definedName>
    <definedName name="CONDITION_LIST_1">'[1]Conditions List'!$B$2:$B$13</definedName>
    <definedName name="CONDITION_LIST_2">'[1]Conditions List'!$C$2</definedName>
    <definedName name="CONDITION_LIST_3">'[1]Conditions List'!$D$2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<sst xmlns="http://schemas.openxmlformats.org/spreadsheetml/2006/main" count="507" uniqueCount="140">
  <si>
    <t>基本成本</t>
  </si>
  <si>
    <t>采购成本</t>
  </si>
  <si>
    <t>￥</t>
  </si>
  <si>
    <t>汇率</t>
  </si>
  <si>
    <t>头程成本</t>
  </si>
  <si>
    <t>佣金</t>
  </si>
  <si>
    <t>%</t>
  </si>
  <si>
    <t>FBA配送</t>
  </si>
  <si>
    <t>$</t>
  </si>
  <si>
    <t>第1次备货</t>
  </si>
  <si>
    <t>启动资金</t>
  </si>
  <si>
    <t>备货数量</t>
  </si>
  <si>
    <t>件</t>
  </si>
  <si>
    <t>备货成本</t>
  </si>
  <si>
    <t>¥</t>
  </si>
  <si>
    <t>剩余资金</t>
  </si>
  <si>
    <t>第1批货销售情况</t>
  </si>
  <si>
    <t>折后售价</t>
  </si>
  <si>
    <t>每单回款</t>
  </si>
  <si>
    <t>日广告预算</t>
  </si>
  <si>
    <t>总销售金额</t>
  </si>
  <si>
    <t>日均出单</t>
  </si>
  <si>
    <t>单</t>
  </si>
  <si>
    <t>总广告花费</t>
  </si>
  <si>
    <t>总销售利润</t>
  </si>
  <si>
    <t>实际销售回款</t>
  </si>
  <si>
    <t>亚马逊账户金额</t>
  </si>
  <si>
    <t>盈利</t>
  </si>
  <si>
    <t>第2次备货</t>
  </si>
  <si>
    <t>备货周期</t>
  </si>
  <si>
    <t>天</t>
  </si>
  <si>
    <t>预计日订单</t>
  </si>
  <si>
    <t>第2批货销售情况</t>
  </si>
  <si>
    <t>第3次备货</t>
  </si>
  <si>
    <t>账户提现</t>
  </si>
  <si>
    <t>第3批货销售情况</t>
  </si>
  <si>
    <t>第4次备货</t>
  </si>
  <si>
    <t>第4批货销售情况</t>
  </si>
  <si>
    <t>第5次备货</t>
  </si>
  <si>
    <t>第5批货销售情况</t>
  </si>
  <si>
    <t>第6次备货</t>
  </si>
  <si>
    <t>第6批货销售情况</t>
  </si>
  <si>
    <t>第7次备货</t>
  </si>
  <si>
    <t>第7批货销售情况</t>
  </si>
  <si>
    <t>第8次备货</t>
  </si>
  <si>
    <t>单件采购</t>
  </si>
  <si>
    <t>广告预算</t>
  </si>
  <si>
    <t>平均cpc</t>
  </si>
  <si>
    <r>
      <rPr>
        <b/>
        <sz val="11"/>
        <color theme="1"/>
        <rFont val="宋体"/>
        <charset val="134"/>
      </rPr>
      <t>平均</t>
    </r>
    <r>
      <rPr>
        <b/>
        <sz val="11"/>
        <color theme="1"/>
        <rFont val="Tahoma"/>
        <charset val="134"/>
      </rPr>
      <t>CR</t>
    </r>
  </si>
  <si>
    <t>单价</t>
  </si>
  <si>
    <t>ACOSS</t>
  </si>
  <si>
    <t>单件头程</t>
  </si>
  <si>
    <t>广告CPCP</t>
  </si>
  <si>
    <t>平台佣金</t>
  </si>
  <si>
    <t>点击次数</t>
  </si>
  <si>
    <t>次</t>
  </si>
  <si>
    <t>转化率</t>
  </si>
  <si>
    <r>
      <rPr>
        <b/>
        <sz val="11"/>
        <color theme="1"/>
        <rFont val="宋体"/>
        <charset val="134"/>
      </rPr>
      <t>平均</t>
    </r>
    <r>
      <rPr>
        <b/>
        <sz val="11"/>
        <color theme="1"/>
        <rFont val="Tahoma"/>
        <charset val="134"/>
      </rPr>
      <t>CVR</t>
    </r>
  </si>
  <si>
    <t>最低售价</t>
  </si>
  <si>
    <t>客单价</t>
  </si>
  <si>
    <t>成本</t>
  </si>
  <si>
    <t>出单量</t>
  </si>
  <si>
    <t>产品售价</t>
  </si>
  <si>
    <t>日利润</t>
  </si>
  <si>
    <t>优惠折扣</t>
  </si>
  <si>
    <t>折后价格</t>
  </si>
  <si>
    <t>月利润</t>
  </si>
  <si>
    <t>ACOS</t>
  </si>
  <si>
    <t>实际利润</t>
  </si>
  <si>
    <t>销售回款</t>
  </si>
  <si>
    <t>实际成本</t>
  </si>
  <si>
    <t>投产比</t>
  </si>
  <si>
    <t>毛利率</t>
  </si>
  <si>
    <t>不同站点，请修改汇率，欧洲和日本的vat税叠加到平台佣金</t>
  </si>
  <si>
    <t>义达-美国</t>
  </si>
  <si>
    <t>极兔-加拿大-普货</t>
  </si>
  <si>
    <t>投入</t>
  </si>
  <si>
    <t>重量</t>
  </si>
  <si>
    <t>运费</t>
  </si>
  <si>
    <t>挂号费</t>
  </si>
  <si>
    <t>国内快递费</t>
  </si>
  <si>
    <t>费用总额</t>
  </si>
  <si>
    <t>收取运费</t>
  </si>
  <si>
    <t>¢</t>
  </si>
  <si>
    <t>重量区间</t>
  </si>
  <si>
    <t>0 - 0.3</t>
  </si>
  <si>
    <t>0 - 0.15</t>
  </si>
  <si>
    <t>0.3 - 0.45</t>
  </si>
  <si>
    <t>0.151 - 0.3</t>
  </si>
  <si>
    <t>售价</t>
  </si>
  <si>
    <t>0.45 - 0.7</t>
  </si>
  <si>
    <t>0.31 - 0.5</t>
  </si>
  <si>
    <t>0.7 - 1</t>
  </si>
  <si>
    <t>0.51 - 0.75</t>
  </si>
  <si>
    <t>1 - 31</t>
  </si>
  <si>
    <t>0.751 - 1</t>
  </si>
  <si>
    <t>EP</t>
  </si>
  <si>
    <t>1.1 - 1.5</t>
  </si>
  <si>
    <t>利润</t>
  </si>
  <si>
    <t>1.5 - 2</t>
  </si>
  <si>
    <t>投产</t>
  </si>
  <si>
    <t>2 - 5</t>
  </si>
  <si>
    <t>利率</t>
  </si>
  <si>
    <t>在这里输入，有公式的地方不要改</t>
  </si>
  <si>
    <t>采购价</t>
  </si>
  <si>
    <t>Kg</t>
  </si>
  <si>
    <t>美国售价</t>
  </si>
  <si>
    <t>.98</t>
  </si>
  <si>
    <t>加拿大售价</t>
  </si>
  <si>
    <t>厘米</t>
  </si>
  <si>
    <t>英寸</t>
  </si>
  <si>
    <t>广告位</t>
  </si>
  <si>
    <t>广告活动的竞价策略</t>
  </si>
  <si>
    <t>竞价调整</t>
  </si>
  <si>
    <t>曝光量</t>
  </si>
  <si>
    <t>点击率</t>
  </si>
  <si>
    <t>花费</t>
  </si>
  <si>
    <t>单次点击成本</t>
  </si>
  <si>
    <t>订单</t>
  </si>
  <si>
    <t>销售额</t>
  </si>
  <si>
    <t>ROAS</t>
  </si>
  <si>
    <t>总计：3</t>
  </si>
  <si>
    <t>搜索结果顶部</t>
  </si>
  <si>
    <t>固定竞价</t>
  </si>
  <si>
    <t>商品页面</t>
  </si>
  <si>
    <t>搜索结果的其余位置</t>
  </si>
  <si>
    <t>关键词</t>
  </si>
  <si>
    <t>竞价</t>
  </si>
  <si>
    <t>搜索结果顶部曝光</t>
  </si>
  <si>
    <t>Key words</t>
  </si>
  <si>
    <t>最低建议竞价</t>
  </si>
  <si>
    <t>最高建议竞价</t>
  </si>
  <si>
    <t>关键词月搜索量</t>
  </si>
  <si>
    <t>自然点击</t>
  </si>
  <si>
    <t>广告点击</t>
  </si>
  <si>
    <t>CPC</t>
  </si>
  <si>
    <t>Acos</t>
  </si>
  <si>
    <t>去广告销售额</t>
  </si>
  <si>
    <t>广告转化</t>
  </si>
  <si>
    <t>真实转化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</si>
</sst>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0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%"/>
    <numFmt numFmtId="177" formatCode="0_ "/>
    <numFmt numFmtId="178" formatCode="0_);[Red]\(0\)"/>
    <numFmt numFmtId="179" formatCode="\$#,##0.00"/>
    <numFmt numFmtId="180" formatCode="0.00_ "/>
    <numFmt numFmtId="181" formatCode="#,##0_ "/>
  </numFmts>
  <fonts count="75">
    <font>
      <sz val="11"/>
      <color theme="1"/>
      <name val="等线"/>
      <charset val="134"/>
      <scheme val="minor"/>
    </font>
    <font>
      <sz val="9"/>
      <color theme="1"/>
      <name val="等线"/>
      <charset val="134"/>
      <scheme val="minor"/>
    </font>
    <font>
      <sz val="10"/>
      <color theme="1"/>
      <name val="微软雅黑"/>
      <charset val="134"/>
    </font>
    <font>
      <sz val="11"/>
      <color theme="1"/>
      <name val="微软雅黑"/>
      <charset val="134"/>
    </font>
    <font>
      <sz val="10"/>
      <color rgb="FFFF0000"/>
      <name val="微软雅黑"/>
      <charset val="134"/>
    </font>
    <font>
      <sz val="10"/>
      <color rgb="FF0070C0"/>
      <name val="微软雅黑"/>
      <charset val="134"/>
    </font>
    <font>
      <sz val="10"/>
      <color theme="0"/>
      <name val="微软雅黑"/>
      <charset val="134"/>
    </font>
    <font>
      <sz val="11"/>
      <color theme="0"/>
      <name val="微软雅黑"/>
      <charset val="134"/>
    </font>
    <font>
      <sz val="11"/>
      <color rgb="FFFF0000"/>
      <name val="微软雅黑"/>
      <charset val="134"/>
    </font>
    <font>
      <sz val="11"/>
      <name val="微软雅黑"/>
      <charset val="134"/>
    </font>
    <font>
      <b/>
      <sz val="9"/>
      <color rgb="FF000000"/>
      <name val="微软雅黑"/>
      <charset val="134"/>
    </font>
    <font>
      <sz val="9"/>
      <color rgb="FF000000"/>
      <name val="微软雅黑"/>
      <charset val="134"/>
    </font>
    <font>
      <sz val="11"/>
      <color rgb="FF000000"/>
      <name val="微软雅黑"/>
      <charset val="134"/>
    </font>
    <font>
      <sz val="6"/>
      <color theme="0"/>
      <name val="微软雅黑"/>
      <charset val="134"/>
    </font>
    <font>
      <b/>
      <sz val="10"/>
      <color rgb="FF000000"/>
      <name val="微软雅黑"/>
      <charset val="134"/>
    </font>
    <font>
      <sz val="10"/>
      <color rgb="FF000000"/>
      <name val="微软雅黑"/>
      <charset val="134"/>
    </font>
    <font>
      <sz val="6"/>
      <color rgb="FFFF0000"/>
      <name val="微软雅黑"/>
      <charset val="134"/>
    </font>
    <font>
      <sz val="6"/>
      <color theme="4" tint="-0.249977111117893"/>
      <name val="微软雅黑"/>
      <charset val="134"/>
    </font>
    <font>
      <sz val="6"/>
      <color theme="5"/>
      <name val="微软雅黑"/>
      <charset val="134"/>
    </font>
    <font>
      <sz val="6"/>
      <color indexed="8"/>
      <name val="微软雅黑"/>
      <charset val="134"/>
    </font>
    <font>
      <sz val="6"/>
      <color theme="1"/>
      <name val="微软雅黑"/>
      <charset val="134"/>
    </font>
    <font>
      <b/>
      <sz val="9"/>
      <color theme="9"/>
      <name val="微软雅黑"/>
      <charset val="134"/>
    </font>
    <font>
      <sz val="8"/>
      <color theme="1"/>
      <name val="微软雅黑"/>
      <charset val="134"/>
    </font>
    <font>
      <b/>
      <sz val="10"/>
      <color theme="9"/>
      <name val="微软雅黑"/>
      <charset val="134"/>
    </font>
    <font>
      <sz val="9"/>
      <color rgb="FFFF0000"/>
      <name val="微软雅黑"/>
      <charset val="134"/>
    </font>
    <font>
      <sz val="6"/>
      <color rgb="FFFFFFFF"/>
      <name val="微软雅黑"/>
      <charset val="134"/>
    </font>
    <font>
      <sz val="6"/>
      <color rgb="FF000000"/>
      <name val="微软雅黑"/>
      <charset val="134"/>
    </font>
    <font>
      <sz val="6"/>
      <color theme="5" tint="-0.249977111117893"/>
      <name val="微软雅黑"/>
      <charset val="134"/>
    </font>
    <font>
      <b/>
      <sz val="9"/>
      <color theme="1"/>
      <name val="微软雅黑"/>
      <charset val="134"/>
    </font>
    <font>
      <b/>
      <sz val="10"/>
      <color theme="1"/>
      <name val="微软雅黑"/>
      <charset val="134"/>
    </font>
    <font>
      <sz val="7"/>
      <color theme="0"/>
      <name val="微软雅黑"/>
      <charset val="134"/>
    </font>
    <font>
      <sz val="7"/>
      <color theme="4" tint="-0.249977111117893"/>
      <name val="微软雅黑"/>
      <charset val="134"/>
    </font>
    <font>
      <sz val="7"/>
      <color indexed="8"/>
      <name val="微软雅黑"/>
      <charset val="134"/>
    </font>
    <font>
      <sz val="9"/>
      <color theme="1"/>
      <name val="微软雅黑"/>
      <charset val="134"/>
    </font>
    <font>
      <sz val="8"/>
      <color rgb="FF000000"/>
      <name val="微软雅黑"/>
      <charset val="134"/>
    </font>
    <font>
      <sz val="8"/>
      <color rgb="FFFFFFFF"/>
      <name val="微软雅黑"/>
      <charset val="134"/>
    </font>
    <font>
      <b/>
      <sz val="11"/>
      <color rgb="FF000000"/>
      <name val="微软雅黑"/>
      <charset val="134"/>
    </font>
    <font>
      <b/>
      <sz val="11"/>
      <color theme="1"/>
      <name val="微软雅黑"/>
      <charset val="134"/>
    </font>
    <font>
      <b/>
      <sz val="11"/>
      <color rgb="FFFF0000"/>
      <name val="微软雅黑"/>
      <charset val="134"/>
    </font>
    <font>
      <sz val="11"/>
      <color theme="1"/>
      <name val="Tahoma"/>
      <charset val="134"/>
    </font>
    <font>
      <b/>
      <sz val="11"/>
      <color theme="1"/>
      <name val="宋体"/>
      <charset val="134"/>
    </font>
    <font>
      <b/>
      <sz val="11"/>
      <color theme="1"/>
      <name val="等线"/>
      <charset val="134"/>
      <scheme val="minor"/>
    </font>
    <font>
      <sz val="10"/>
      <name val="Arial"/>
      <charset val="134"/>
    </font>
    <font>
      <sz val="11"/>
      <color theme="1"/>
      <name val="Microsoft YaHei Light"/>
      <charset val="134"/>
    </font>
    <font>
      <sz val="11"/>
      <color theme="0"/>
      <name val="Microsoft YaHei Light"/>
      <charset val="134"/>
    </font>
    <font>
      <b/>
      <sz val="14"/>
      <color theme="0"/>
      <name val="Microsoft YaHei Light"/>
      <charset val="134"/>
    </font>
    <font>
      <b/>
      <sz val="11"/>
      <color theme="0"/>
      <name val="Microsoft YaHei Light"/>
      <charset val="134"/>
    </font>
    <font>
      <sz val="9"/>
      <color theme="0"/>
      <name val="Microsoft YaHei Light"/>
      <charset val="134"/>
    </font>
    <font>
      <sz val="11"/>
      <color theme="0" tint="-0.249977111117893"/>
      <name val="Microsoft YaHei Light"/>
      <charset val="134"/>
    </font>
    <font>
      <b/>
      <sz val="11"/>
      <color rgb="FFFF0000"/>
      <name val="Microsoft YaHei Light"/>
      <charset val="134"/>
    </font>
    <font>
      <sz val="11"/>
      <name val="Microsoft YaHei Light"/>
      <charset val="134"/>
    </font>
    <font>
      <sz val="9"/>
      <color theme="1"/>
      <name val="Microsoft YaHei Light"/>
      <charset val="134"/>
    </font>
    <font>
      <b/>
      <sz val="11"/>
      <color theme="2" tint="-0.899990844447157"/>
      <name val="Microsoft YaHei Light"/>
      <charset val="134"/>
    </font>
    <font>
      <sz val="11"/>
      <color theme="0" tint="-0.349986266670736"/>
      <name val="Microsoft YaHei Light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134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1"/>
      <color indexed="8"/>
      <name val="等线"/>
      <charset val="134"/>
      <scheme val="minor"/>
    </font>
    <font>
      <b/>
      <sz val="11"/>
      <color theme="1"/>
      <name val="Tahoma"/>
      <charset val="134"/>
    </font>
  </fonts>
  <fills count="39">
    <fill>
      <patternFill patternType="none"/>
    </fill>
    <fill>
      <patternFill patternType="gray125"/>
    </fill>
    <fill>
      <patternFill patternType="solid">
        <fgColor theme="7" tint="0.799981688894314"/>
        <bgColor indexed="64"/>
      </patternFill>
    </fill>
    <fill>
      <patternFill patternType="solid">
        <fgColor rgb="FFF1F1F1"/>
        <bgColor indexed="64"/>
      </patternFill>
    </fill>
    <fill>
      <patternFill patternType="solid">
        <fgColor rgb="FFFFF3CC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2F75B5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42">
    <border>
      <left/>
      <right/>
      <top/>
      <bottom/>
      <diagonal/>
    </border>
    <border>
      <left style="thin">
        <color theme="0" tint="-0.149998474074526"/>
      </left>
      <right style="thin">
        <color theme="0" tint="-0.149998474074526"/>
      </right>
      <top style="thin">
        <color theme="0" tint="-0.149998474074526"/>
      </top>
      <bottom style="thin">
        <color theme="0" tint="-0.149998474074526"/>
      </bottom>
      <diagonal/>
    </border>
    <border>
      <left style="medium">
        <color theme="0" tint="-0.249977111117893"/>
      </left>
      <right style="thin">
        <color theme="0" tint="-0.149998474074526"/>
      </right>
      <top style="medium">
        <color theme="0" tint="-0.249977111117893"/>
      </top>
      <bottom style="thin">
        <color theme="0" tint="-0.149998474074526"/>
      </bottom>
      <diagonal/>
    </border>
    <border>
      <left style="thin">
        <color theme="0" tint="-0.149998474074526"/>
      </left>
      <right style="thin">
        <color theme="0" tint="-0.149998474074526"/>
      </right>
      <top style="medium">
        <color theme="0" tint="-0.249977111117893"/>
      </top>
      <bottom style="thin">
        <color theme="0" tint="-0.149998474074526"/>
      </bottom>
      <diagonal/>
    </border>
    <border>
      <left style="thin">
        <color theme="0" tint="-0.149998474074526"/>
      </left>
      <right style="medium">
        <color theme="0" tint="-0.249977111117893"/>
      </right>
      <top style="medium">
        <color theme="0" tint="-0.249977111117893"/>
      </top>
      <bottom style="thin">
        <color theme="0" tint="-0.149998474074526"/>
      </bottom>
      <diagonal/>
    </border>
    <border>
      <left style="medium">
        <color theme="0" tint="-0.249977111117893"/>
      </left>
      <right style="thin">
        <color theme="0" tint="-0.149998474074526"/>
      </right>
      <top style="thin">
        <color theme="0" tint="-0.149998474074526"/>
      </top>
      <bottom style="thin">
        <color theme="0" tint="-0.149998474074526"/>
      </bottom>
      <diagonal/>
    </border>
    <border>
      <left style="thin">
        <color theme="0" tint="-0.149998474074526"/>
      </left>
      <right style="medium">
        <color theme="0" tint="-0.249977111117893"/>
      </right>
      <top style="thin">
        <color theme="0" tint="-0.149998474074526"/>
      </top>
      <bottom style="thin">
        <color theme="0" tint="-0.149998474074526"/>
      </bottom>
      <diagonal/>
    </border>
    <border>
      <left style="medium">
        <color theme="0" tint="-0.249977111117893"/>
      </left>
      <right style="thin">
        <color theme="0" tint="-0.149998474074526"/>
      </right>
      <top style="thin">
        <color theme="0" tint="-0.149998474074526"/>
      </top>
      <bottom style="medium">
        <color theme="0" tint="-0.249977111117893"/>
      </bottom>
      <diagonal/>
    </border>
    <border>
      <left style="thin">
        <color theme="0" tint="-0.149998474074526"/>
      </left>
      <right style="thin">
        <color theme="0" tint="-0.149998474074526"/>
      </right>
      <top style="thin">
        <color theme="0" tint="-0.149998474074526"/>
      </top>
      <bottom style="medium">
        <color theme="0" tint="-0.249977111117893"/>
      </bottom>
      <diagonal/>
    </border>
    <border>
      <left style="thin">
        <color theme="0" tint="-0.149998474074526"/>
      </left>
      <right style="medium">
        <color theme="0" tint="-0.249977111117893"/>
      </right>
      <top style="thin">
        <color theme="0" tint="-0.149998474074526"/>
      </top>
      <bottom style="medium">
        <color theme="0" tint="-0.249977111117893"/>
      </bottom>
      <diagonal/>
    </border>
    <border>
      <left style="medium">
        <color theme="0" tint="-0.249977111117893"/>
      </left>
      <right/>
      <top style="medium">
        <color theme="0" tint="-0.249977111117893"/>
      </top>
      <bottom/>
      <diagonal/>
    </border>
    <border>
      <left/>
      <right/>
      <top style="medium">
        <color theme="0" tint="-0.249977111117893"/>
      </top>
      <bottom/>
      <diagonal/>
    </border>
    <border>
      <left/>
      <right style="medium">
        <color theme="0" tint="-0.249977111117893"/>
      </right>
      <top style="medium">
        <color theme="0" tint="-0.249977111117893"/>
      </top>
      <bottom/>
      <diagonal/>
    </border>
    <border>
      <left style="medium">
        <color theme="0" tint="-0.249977111117893"/>
      </left>
      <right/>
      <top/>
      <bottom/>
      <diagonal/>
    </border>
    <border>
      <left/>
      <right style="medium">
        <color theme="0" tint="-0.249977111117893"/>
      </right>
      <top/>
      <bottom/>
      <diagonal/>
    </border>
    <border>
      <left/>
      <right style="thin">
        <color theme="0" tint="-0.149998474074526"/>
      </right>
      <top style="thin">
        <color theme="0" tint="-0.149998474074526"/>
      </top>
      <bottom style="thin">
        <color theme="0" tint="-0.149998474074526"/>
      </bottom>
      <diagonal/>
    </border>
    <border>
      <left style="medium">
        <color theme="0" tint="-0.249977111117893"/>
      </left>
      <right/>
      <top/>
      <bottom style="medium">
        <color theme="0" tint="-0.249977111117893"/>
      </bottom>
      <diagonal/>
    </border>
    <border>
      <left/>
      <right/>
      <top/>
      <bottom style="medium">
        <color theme="0" tint="-0.249977111117893"/>
      </bottom>
      <diagonal/>
    </border>
    <border>
      <left/>
      <right style="medium">
        <color theme="0" tint="-0.249977111117893"/>
      </right>
      <top/>
      <bottom style="medium">
        <color theme="0" tint="-0.249977111117893"/>
      </bottom>
      <diagonal/>
    </border>
    <border>
      <left/>
      <right style="thin">
        <color theme="0" tint="-0.149998474074526"/>
      </right>
      <top style="thin">
        <color theme="0" tint="-0.149998474074526"/>
      </top>
      <bottom/>
      <diagonal/>
    </border>
    <border>
      <left style="thin">
        <color theme="0" tint="-0.149998474074526"/>
      </left>
      <right style="thin">
        <color theme="0" tint="-0.149998474074526"/>
      </right>
      <top style="thin">
        <color theme="0" tint="-0.149998474074526"/>
      </top>
      <bottom/>
      <diagonal/>
    </border>
    <border>
      <left style="thin">
        <color theme="0" tint="-0.149998474074526"/>
      </left>
      <right style="thin">
        <color theme="0" tint="-0.149998474074526"/>
      </right>
      <top/>
      <bottom style="thin">
        <color theme="0" tint="-0.149998474074526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 tint="-0.0499893185216834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theme="0" tint="-0.149998474074526"/>
      </left>
      <right/>
      <top style="thin">
        <color theme="0" tint="-0.149998474074526"/>
      </top>
      <bottom style="thin">
        <color theme="0" tint="-0.149998474074526"/>
      </bottom>
      <diagonal/>
    </border>
    <border>
      <left/>
      <right/>
      <top style="thin">
        <color theme="0" tint="-0.149998474074526"/>
      </top>
      <bottom style="thin">
        <color theme="0" tint="-0.149998474074526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0" fillId="13" borderId="34" applyNumberFormat="0" applyFont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59" fillId="0" borderId="35" applyNumberFormat="0" applyFill="0" applyAlignment="0" applyProtection="0">
      <alignment vertical="center"/>
    </xf>
    <xf numFmtId="0" fontId="60" fillId="0" borderId="35" applyNumberFormat="0" applyFill="0" applyAlignment="0" applyProtection="0">
      <alignment vertical="center"/>
    </xf>
    <xf numFmtId="0" fontId="61" fillId="0" borderId="36" applyNumberFormat="0" applyFill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2" fillId="14" borderId="37" applyNumberFormat="0" applyAlignment="0" applyProtection="0">
      <alignment vertical="center"/>
    </xf>
    <xf numFmtId="0" fontId="63" fillId="15" borderId="38" applyNumberFormat="0" applyAlignment="0" applyProtection="0">
      <alignment vertical="center"/>
    </xf>
    <xf numFmtId="0" fontId="64" fillId="15" borderId="37" applyNumberFormat="0" applyAlignment="0" applyProtection="0">
      <alignment vertical="center"/>
    </xf>
    <xf numFmtId="0" fontId="65" fillId="16" borderId="39" applyNumberFormat="0" applyAlignment="0" applyProtection="0">
      <alignment vertical="center"/>
    </xf>
    <xf numFmtId="0" fontId="66" fillId="0" borderId="40" applyNumberFormat="0" applyFill="0" applyAlignment="0" applyProtection="0">
      <alignment vertical="center"/>
    </xf>
    <xf numFmtId="0" fontId="67" fillId="0" borderId="41" applyNumberFormat="0" applyFill="0" applyAlignment="0" applyProtection="0">
      <alignment vertical="center"/>
    </xf>
    <xf numFmtId="0" fontId="68" fillId="17" borderId="0" applyNumberFormat="0" applyBorder="0" applyAlignment="0" applyProtection="0">
      <alignment vertical="center"/>
    </xf>
    <xf numFmtId="0" fontId="69" fillId="18" borderId="0" applyNumberFormat="0" applyBorder="0" applyAlignment="0" applyProtection="0">
      <alignment vertical="center"/>
    </xf>
    <xf numFmtId="0" fontId="70" fillId="19" borderId="0" applyNumberFormat="0" applyBorder="0" applyAlignment="0" applyProtection="0">
      <alignment vertical="center"/>
    </xf>
    <xf numFmtId="0" fontId="71" fillId="6" borderId="0" applyNumberFormat="0" applyBorder="0" applyAlignment="0" applyProtection="0">
      <alignment vertical="center"/>
    </xf>
    <xf numFmtId="0" fontId="72" fillId="20" borderId="0" applyNumberFormat="0" applyBorder="0" applyAlignment="0" applyProtection="0">
      <alignment vertical="center"/>
    </xf>
    <xf numFmtId="0" fontId="72" fillId="10" borderId="0" applyNumberFormat="0" applyBorder="0" applyAlignment="0" applyProtection="0">
      <alignment vertical="center"/>
    </xf>
    <xf numFmtId="0" fontId="71" fillId="21" borderId="0" applyNumberFormat="0" applyBorder="0" applyAlignment="0" applyProtection="0">
      <alignment vertical="center"/>
    </xf>
    <xf numFmtId="0" fontId="71" fillId="22" borderId="0" applyNumberFormat="0" applyBorder="0" applyAlignment="0" applyProtection="0">
      <alignment vertical="center"/>
    </xf>
    <xf numFmtId="0" fontId="72" fillId="23" borderId="0" applyNumberFormat="0" applyBorder="0" applyAlignment="0" applyProtection="0">
      <alignment vertical="center"/>
    </xf>
    <xf numFmtId="0" fontId="72" fillId="24" borderId="0" applyNumberFormat="0" applyBorder="0" applyAlignment="0" applyProtection="0">
      <alignment vertical="center"/>
    </xf>
    <xf numFmtId="0" fontId="71" fillId="7" borderId="0" applyNumberFormat="0" applyBorder="0" applyAlignment="0" applyProtection="0">
      <alignment vertical="center"/>
    </xf>
    <xf numFmtId="0" fontId="71" fillId="25" borderId="0" applyNumberFormat="0" applyBorder="0" applyAlignment="0" applyProtection="0">
      <alignment vertical="center"/>
    </xf>
    <xf numFmtId="0" fontId="72" fillId="26" borderId="0" applyNumberFormat="0" applyBorder="0" applyAlignment="0" applyProtection="0">
      <alignment vertical="center"/>
    </xf>
    <xf numFmtId="0" fontId="72" fillId="27" borderId="0" applyNumberFormat="0" applyBorder="0" applyAlignment="0" applyProtection="0">
      <alignment vertical="center"/>
    </xf>
    <xf numFmtId="0" fontId="71" fillId="28" borderId="0" applyNumberFormat="0" applyBorder="0" applyAlignment="0" applyProtection="0">
      <alignment vertical="center"/>
    </xf>
    <xf numFmtId="0" fontId="71" fillId="29" borderId="0" applyNumberFormat="0" applyBorder="0" applyAlignment="0" applyProtection="0">
      <alignment vertical="center"/>
    </xf>
    <xf numFmtId="0" fontId="72" fillId="2" borderId="0" applyNumberFormat="0" applyBorder="0" applyAlignment="0" applyProtection="0">
      <alignment vertical="center"/>
    </xf>
    <xf numFmtId="0" fontId="72" fillId="30" borderId="0" applyNumberFormat="0" applyBorder="0" applyAlignment="0" applyProtection="0">
      <alignment vertical="center"/>
    </xf>
    <xf numFmtId="0" fontId="71" fillId="9" borderId="0" applyNumberFormat="0" applyBorder="0" applyAlignment="0" applyProtection="0">
      <alignment vertical="center"/>
    </xf>
    <xf numFmtId="0" fontId="71" fillId="31" borderId="0" applyNumberFormat="0" applyBorder="0" applyAlignment="0" applyProtection="0">
      <alignment vertical="center"/>
    </xf>
    <xf numFmtId="0" fontId="72" fillId="32" borderId="0" applyNumberFormat="0" applyBorder="0" applyAlignment="0" applyProtection="0">
      <alignment vertical="center"/>
    </xf>
    <xf numFmtId="0" fontId="72" fillId="33" borderId="0" applyNumberFormat="0" applyBorder="0" applyAlignment="0" applyProtection="0">
      <alignment vertical="center"/>
    </xf>
    <xf numFmtId="0" fontId="71" fillId="34" borderId="0" applyNumberFormat="0" applyBorder="0" applyAlignment="0" applyProtection="0">
      <alignment vertical="center"/>
    </xf>
    <xf numFmtId="0" fontId="71" fillId="35" borderId="0" applyNumberFormat="0" applyBorder="0" applyAlignment="0" applyProtection="0">
      <alignment vertical="center"/>
    </xf>
    <xf numFmtId="0" fontId="72" fillId="36" borderId="0" applyNumberFormat="0" applyBorder="0" applyAlignment="0" applyProtection="0">
      <alignment vertical="center"/>
    </xf>
    <xf numFmtId="0" fontId="72" fillId="37" borderId="0" applyNumberFormat="0" applyBorder="0" applyAlignment="0" applyProtection="0">
      <alignment vertical="center"/>
    </xf>
    <xf numFmtId="0" fontId="71" fillId="38" borderId="0" applyNumberFormat="0" applyBorder="0" applyAlignment="0" applyProtection="0">
      <alignment vertical="center"/>
    </xf>
    <xf numFmtId="0" fontId="73" fillId="0" borderId="0"/>
  </cellStyleXfs>
  <cellXfs count="262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left"/>
    </xf>
    <xf numFmtId="0" fontId="0" fillId="2" borderId="1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176" fontId="0" fillId="3" borderId="1" xfId="0" applyNumberFormat="1" applyFill="1" applyBorder="1" applyAlignment="1">
      <alignment horizontal="left"/>
    </xf>
    <xf numFmtId="177" fontId="0" fillId="3" borderId="1" xfId="0" applyNumberFormat="1" applyFill="1" applyBorder="1" applyAlignment="1">
      <alignment horizontal="left"/>
    </xf>
    <xf numFmtId="0" fontId="1" fillId="0" borderId="1" xfId="0" applyFont="1" applyBorder="1"/>
    <xf numFmtId="176" fontId="0" fillId="4" borderId="1" xfId="0" applyNumberFormat="1" applyFill="1" applyBorder="1" applyAlignment="1">
      <alignment horizontal="left"/>
    </xf>
    <xf numFmtId="0" fontId="2" fillId="0" borderId="0" xfId="0" applyFont="1" applyAlignment="1" applyProtection="1">
      <alignment horizontal="left" vertical="center"/>
      <protection locked="0"/>
    </xf>
    <xf numFmtId="0" fontId="3" fillId="0" borderId="0" xfId="0" applyFont="1" applyAlignment="1" applyProtection="1">
      <alignment horizontal="left" vertical="center"/>
      <protection locked="0"/>
    </xf>
    <xf numFmtId="0" fontId="2" fillId="5" borderId="2" xfId="0" applyFont="1" applyFill="1" applyBorder="1" applyAlignment="1" applyProtection="1">
      <alignment horizontal="left" vertical="center"/>
      <protection locked="0"/>
    </xf>
    <xf numFmtId="0" fontId="2" fillId="5" borderId="3" xfId="0" applyFont="1" applyFill="1" applyBorder="1" applyAlignment="1" applyProtection="1">
      <alignment horizontal="left" vertical="center"/>
      <protection locked="0"/>
    </xf>
    <xf numFmtId="0" fontId="2" fillId="5" borderId="4" xfId="0" applyFont="1" applyFill="1" applyBorder="1" applyAlignment="1" applyProtection="1">
      <alignment horizontal="left" vertical="center"/>
      <protection locked="0"/>
    </xf>
    <xf numFmtId="0" fontId="2" fillId="5" borderId="5" xfId="0" applyFont="1" applyFill="1" applyBorder="1" applyAlignment="1" applyProtection="1">
      <alignment horizontal="left" vertical="center"/>
      <protection locked="0"/>
    </xf>
    <xf numFmtId="0" fontId="2" fillId="5" borderId="1" xfId="0" applyFont="1" applyFill="1" applyBorder="1" applyAlignment="1" applyProtection="1">
      <alignment horizontal="left" vertical="center"/>
      <protection locked="0"/>
    </xf>
    <xf numFmtId="177" fontId="2" fillId="5" borderId="1" xfId="0" applyNumberFormat="1" applyFont="1" applyFill="1" applyBorder="1" applyAlignment="1">
      <alignment horizontal="left" vertical="center"/>
    </xf>
    <xf numFmtId="178" fontId="2" fillId="5" borderId="1" xfId="0" applyNumberFormat="1" applyFont="1" applyFill="1" applyBorder="1" applyAlignment="1">
      <alignment horizontal="left" vertical="center"/>
    </xf>
    <xf numFmtId="10" fontId="2" fillId="5" borderId="1" xfId="0" applyNumberFormat="1" applyFont="1" applyFill="1" applyBorder="1" applyAlignment="1">
      <alignment horizontal="left" vertical="center"/>
    </xf>
    <xf numFmtId="179" fontId="4" fillId="5" borderId="1" xfId="0" applyNumberFormat="1" applyFont="1" applyFill="1" applyBorder="1" applyAlignment="1">
      <alignment horizontal="left" vertical="center"/>
    </xf>
    <xf numFmtId="179" fontId="5" fillId="5" borderId="1" xfId="0" applyNumberFormat="1" applyFont="1" applyFill="1" applyBorder="1" applyAlignment="1">
      <alignment horizontal="left" vertical="center"/>
    </xf>
    <xf numFmtId="179" fontId="2" fillId="5" borderId="1" xfId="0" applyNumberFormat="1" applyFont="1" applyFill="1" applyBorder="1" applyAlignment="1">
      <alignment horizontal="left" vertical="center"/>
    </xf>
    <xf numFmtId="180" fontId="2" fillId="5" borderId="1" xfId="0" applyNumberFormat="1" applyFont="1" applyFill="1" applyBorder="1" applyAlignment="1">
      <alignment horizontal="left" vertical="center"/>
    </xf>
    <xf numFmtId="10" fontId="2" fillId="5" borderId="6" xfId="0" applyNumberFormat="1" applyFont="1" applyFill="1" applyBorder="1" applyAlignment="1">
      <alignment horizontal="left" vertical="center"/>
    </xf>
    <xf numFmtId="0" fontId="2" fillId="0" borderId="5" xfId="0" applyFont="1" applyBorder="1" applyAlignment="1" applyProtection="1">
      <alignment horizontal="left" vertical="center"/>
      <protection locked="0"/>
    </xf>
    <xf numFmtId="0" fontId="2" fillId="0" borderId="1" xfId="0" applyFont="1" applyBorder="1" applyAlignment="1" applyProtection="1">
      <alignment horizontal="left" vertical="center"/>
      <protection locked="0"/>
    </xf>
    <xf numFmtId="9" fontId="2" fillId="2" borderId="1" xfId="0" applyNumberFormat="1" applyFont="1" applyFill="1" applyBorder="1" applyAlignment="1" applyProtection="1">
      <alignment horizontal="left" vertical="center"/>
      <protection locked="0"/>
    </xf>
    <xf numFmtId="177" fontId="2" fillId="0" borderId="1" xfId="0" applyNumberFormat="1" applyFont="1" applyBorder="1" applyAlignment="1">
      <alignment horizontal="left" vertical="center"/>
    </xf>
    <xf numFmtId="178" fontId="2" fillId="0" borderId="1" xfId="0" applyNumberFormat="1" applyFont="1" applyBorder="1" applyAlignment="1">
      <alignment horizontal="left" vertical="center"/>
    </xf>
    <xf numFmtId="10" fontId="2" fillId="2" borderId="1" xfId="0" applyNumberFormat="1" applyFont="1" applyFill="1" applyBorder="1" applyAlignment="1" applyProtection="1">
      <alignment horizontal="left" vertical="center"/>
      <protection locked="0"/>
    </xf>
    <xf numFmtId="179" fontId="4" fillId="0" borderId="1" xfId="0" applyNumberFormat="1" applyFont="1" applyBorder="1" applyAlignment="1">
      <alignment horizontal="left" vertical="center"/>
    </xf>
    <xf numFmtId="179" fontId="5" fillId="0" borderId="1" xfId="0" applyNumberFormat="1" applyFont="1" applyBorder="1" applyAlignment="1">
      <alignment horizontal="left" vertical="center"/>
    </xf>
    <xf numFmtId="179" fontId="2" fillId="0" borderId="1" xfId="0" applyNumberFormat="1" applyFont="1" applyBorder="1" applyAlignment="1">
      <alignment horizontal="left" vertical="center"/>
    </xf>
    <xf numFmtId="180" fontId="2" fillId="0" borderId="1" xfId="0" applyNumberFormat="1" applyFont="1" applyBorder="1" applyAlignment="1">
      <alignment horizontal="left" vertical="center"/>
    </xf>
    <xf numFmtId="9" fontId="2" fillId="2" borderId="6" xfId="0" applyNumberFormat="1" applyFont="1" applyFill="1" applyBorder="1" applyAlignment="1" applyProtection="1">
      <alignment horizontal="left" vertical="center"/>
      <protection locked="0"/>
    </xf>
    <xf numFmtId="0" fontId="2" fillId="0" borderId="7" xfId="0" applyFont="1" applyBorder="1" applyAlignment="1" applyProtection="1">
      <alignment horizontal="left" vertical="center"/>
      <protection locked="0"/>
    </xf>
    <xf numFmtId="0" fontId="2" fillId="0" borderId="8" xfId="0" applyFont="1" applyBorder="1" applyAlignment="1" applyProtection="1">
      <alignment horizontal="left" vertical="center"/>
      <protection locked="0"/>
    </xf>
    <xf numFmtId="9" fontId="2" fillId="0" borderId="8" xfId="0" applyNumberFormat="1" applyFont="1" applyBorder="1" applyAlignment="1" applyProtection="1">
      <alignment horizontal="left" vertical="center"/>
      <protection locked="0"/>
    </xf>
    <xf numFmtId="177" fontId="2" fillId="0" borderId="8" xfId="0" applyNumberFormat="1" applyFont="1" applyBorder="1" applyAlignment="1">
      <alignment horizontal="left" vertical="center"/>
    </xf>
    <xf numFmtId="178" fontId="2" fillId="0" borderId="8" xfId="0" applyNumberFormat="1" applyFont="1" applyBorder="1" applyAlignment="1">
      <alignment horizontal="left" vertical="center"/>
    </xf>
    <xf numFmtId="10" fontId="2" fillId="2" borderId="8" xfId="0" applyNumberFormat="1" applyFont="1" applyFill="1" applyBorder="1" applyAlignment="1" applyProtection="1">
      <alignment horizontal="left" vertical="center"/>
      <protection locked="0"/>
    </xf>
    <xf numFmtId="179" fontId="4" fillId="0" borderId="8" xfId="0" applyNumberFormat="1" applyFont="1" applyBorder="1" applyAlignment="1">
      <alignment horizontal="left" vertical="center"/>
    </xf>
    <xf numFmtId="179" fontId="5" fillId="0" borderId="8" xfId="0" applyNumberFormat="1" applyFont="1" applyBorder="1" applyAlignment="1">
      <alignment horizontal="left" vertical="center"/>
    </xf>
    <xf numFmtId="179" fontId="2" fillId="0" borderId="8" xfId="0" applyNumberFormat="1" applyFont="1" applyBorder="1" applyAlignment="1">
      <alignment horizontal="left" vertical="center"/>
    </xf>
    <xf numFmtId="180" fontId="2" fillId="0" borderId="8" xfId="0" applyNumberFormat="1" applyFont="1" applyBorder="1" applyAlignment="1">
      <alignment horizontal="left" vertical="center"/>
    </xf>
    <xf numFmtId="9" fontId="2" fillId="2" borderId="9" xfId="0" applyNumberFormat="1" applyFont="1" applyFill="1" applyBorder="1" applyAlignment="1" applyProtection="1">
      <alignment horizontal="left" vertical="center"/>
      <protection locked="0"/>
    </xf>
    <xf numFmtId="179" fontId="2" fillId="2" borderId="8" xfId="0" applyNumberFormat="1" applyFont="1" applyFill="1" applyBorder="1" applyAlignment="1" applyProtection="1">
      <alignment horizontal="left" vertical="center"/>
      <protection locked="0"/>
    </xf>
    <xf numFmtId="181" fontId="2" fillId="0" borderId="8" xfId="0" applyNumberFormat="1" applyFont="1" applyBorder="1" applyAlignment="1">
      <alignment horizontal="left" vertical="center"/>
    </xf>
    <xf numFmtId="10" fontId="2" fillId="0" borderId="8" xfId="0" applyNumberFormat="1" applyFont="1" applyBorder="1" applyAlignment="1">
      <alignment horizontal="left" vertical="center"/>
    </xf>
    <xf numFmtId="4" fontId="2" fillId="0" borderId="8" xfId="0" applyNumberFormat="1" applyFont="1" applyBorder="1" applyAlignment="1">
      <alignment horizontal="left" vertical="center"/>
    </xf>
    <xf numFmtId="180" fontId="2" fillId="0" borderId="9" xfId="0" applyNumberFormat="1" applyFont="1" applyBorder="1" applyAlignment="1">
      <alignment horizontal="left" vertical="center"/>
    </xf>
    <xf numFmtId="177" fontId="6" fillId="0" borderId="0" xfId="0" applyNumberFormat="1" applyFont="1" applyAlignment="1" applyProtection="1">
      <alignment horizontal="left" vertical="center"/>
      <protection locked="0"/>
    </xf>
    <xf numFmtId="0" fontId="4" fillId="0" borderId="0" xfId="0" applyFont="1" applyAlignment="1" applyProtection="1">
      <alignment horizontal="left" vertical="center"/>
      <protection locked="0"/>
    </xf>
    <xf numFmtId="0" fontId="6" fillId="0" borderId="0" xfId="0" applyFont="1" applyAlignment="1" applyProtection="1">
      <alignment horizontal="left" vertical="center"/>
      <protection locked="0"/>
    </xf>
    <xf numFmtId="0" fontId="2" fillId="0" borderId="10" xfId="0" applyFont="1" applyBorder="1" applyAlignment="1" applyProtection="1">
      <alignment horizontal="left" vertical="center"/>
      <protection locked="0"/>
    </xf>
    <xf numFmtId="0" fontId="2" fillId="2" borderId="11" xfId="0" applyFont="1" applyFill="1" applyBorder="1" applyAlignment="1" applyProtection="1">
      <alignment horizontal="left" vertical="center"/>
      <protection locked="0"/>
    </xf>
    <xf numFmtId="0" fontId="6" fillId="0" borderId="12" xfId="0" applyFont="1" applyBorder="1" applyAlignment="1" applyProtection="1">
      <alignment horizontal="left" vertical="center"/>
      <protection locked="0"/>
    </xf>
    <xf numFmtId="0" fontId="2" fillId="0" borderId="13" xfId="0" applyFont="1" applyBorder="1" applyAlignment="1" applyProtection="1">
      <alignment horizontal="left" vertical="center"/>
      <protection locked="0"/>
    </xf>
    <xf numFmtId="0" fontId="2" fillId="0" borderId="14" xfId="0" applyFont="1" applyBorder="1" applyAlignment="1" applyProtection="1">
      <alignment horizontal="left" vertical="center"/>
      <protection locked="0"/>
    </xf>
    <xf numFmtId="180" fontId="6" fillId="0" borderId="15" xfId="0" applyNumberFormat="1" applyFont="1" applyBorder="1" applyAlignment="1">
      <alignment horizontal="left" vertical="center"/>
    </xf>
    <xf numFmtId="0" fontId="6" fillId="0" borderId="0" xfId="0" applyFont="1" applyAlignment="1">
      <alignment horizontal="left" vertical="center"/>
    </xf>
    <xf numFmtId="180" fontId="2" fillId="2" borderId="16" xfId="0" applyNumberFormat="1" applyFont="1" applyFill="1" applyBorder="1" applyAlignment="1" applyProtection="1">
      <alignment horizontal="left" vertical="center"/>
      <protection locked="0"/>
    </xf>
    <xf numFmtId="4" fontId="2" fillId="2" borderId="17" xfId="0" applyNumberFormat="1" applyFont="1" applyFill="1" applyBorder="1" applyAlignment="1" applyProtection="1">
      <alignment horizontal="left" vertical="center"/>
      <protection locked="0"/>
    </xf>
    <xf numFmtId="181" fontId="2" fillId="2" borderId="18" xfId="0" applyNumberFormat="1" applyFont="1" applyFill="1" applyBorder="1" applyAlignment="1" applyProtection="1">
      <alignment horizontal="left" vertical="center"/>
      <protection locked="0"/>
    </xf>
    <xf numFmtId="180" fontId="6" fillId="0" borderId="19" xfId="0" applyNumberFormat="1" applyFont="1" applyBorder="1" applyAlignment="1">
      <alignment horizontal="left" vertical="center"/>
    </xf>
    <xf numFmtId="180" fontId="6" fillId="0" borderId="0" xfId="0" applyNumberFormat="1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7" fillId="0" borderId="0" xfId="0" applyFont="1" applyAlignment="1" applyProtection="1">
      <alignment horizontal="left" vertical="center"/>
      <protection locked="0"/>
    </xf>
    <xf numFmtId="0" fontId="8" fillId="0" borderId="0" xfId="0" applyFont="1" applyAlignment="1" applyProtection="1">
      <alignment horizontal="left" vertical="center"/>
      <protection locked="0"/>
    </xf>
    <xf numFmtId="0" fontId="9" fillId="0" borderId="0" xfId="0" applyFont="1" applyAlignment="1" applyProtection="1">
      <alignment horizontal="left" vertical="center"/>
      <protection locked="0"/>
    </xf>
    <xf numFmtId="0" fontId="0" fillId="0" borderId="1" xfId="0" applyBorder="1" applyProtection="1">
      <protection locked="0"/>
    </xf>
    <xf numFmtId="49" fontId="0" fillId="0" borderId="1" xfId="0" applyNumberFormat="1" applyBorder="1" applyAlignment="1" applyProtection="1">
      <alignment horizontal="right"/>
      <protection locked="0"/>
    </xf>
    <xf numFmtId="0" fontId="0" fillId="0" borderId="1" xfId="0" applyBorder="1" applyAlignment="1" applyProtection="1">
      <alignment horizontal="left"/>
      <protection locked="0"/>
    </xf>
    <xf numFmtId="2" fontId="0" fillId="2" borderId="1" xfId="0" applyNumberFormat="1" applyFill="1" applyBorder="1" applyAlignment="1">
      <alignment horizontal="left"/>
    </xf>
    <xf numFmtId="0" fontId="0" fillId="0" borderId="20" xfId="0" applyBorder="1" applyProtection="1">
      <protection locked="0"/>
    </xf>
    <xf numFmtId="0" fontId="0" fillId="0" borderId="21" xfId="0" applyBorder="1" applyProtection="1">
      <protection locked="0"/>
    </xf>
    <xf numFmtId="0" fontId="3" fillId="0" borderId="22" xfId="0" applyFont="1" applyBorder="1" applyProtection="1">
      <protection locked="0"/>
    </xf>
    <xf numFmtId="0" fontId="3" fillId="0" borderId="22" xfId="0" applyFont="1" applyBorder="1" applyAlignment="1" applyProtection="1">
      <alignment horizontal="right"/>
      <protection locked="0"/>
    </xf>
    <xf numFmtId="0" fontId="3" fillId="0" borderId="22" xfId="0" applyFont="1" applyBorder="1" applyAlignment="1" applyProtection="1">
      <alignment horizontal="left"/>
      <protection locked="0"/>
    </xf>
    <xf numFmtId="0" fontId="10" fillId="0" borderId="1" xfId="0" applyFont="1" applyBorder="1" applyAlignment="1" applyProtection="1">
      <alignment horizontal="left" vertical="center"/>
      <protection locked="0"/>
    </xf>
    <xf numFmtId="0" fontId="11" fillId="0" borderId="1" xfId="0" applyFont="1" applyBorder="1" applyAlignment="1">
      <alignment vertical="center"/>
    </xf>
    <xf numFmtId="0" fontId="11" fillId="0" borderId="1" xfId="0" applyFont="1" applyBorder="1" applyAlignment="1" applyProtection="1">
      <alignment horizontal="left" vertical="center"/>
      <protection locked="0"/>
    </xf>
    <xf numFmtId="0" fontId="12" fillId="0" borderId="1" xfId="0" applyFont="1" applyBorder="1" applyAlignment="1" applyProtection="1">
      <alignment horizontal="left" vertical="center"/>
      <protection locked="0"/>
    </xf>
    <xf numFmtId="0" fontId="12" fillId="0" borderId="1" xfId="0" applyFont="1" applyBorder="1" applyAlignment="1" applyProtection="1">
      <alignment horizontal="right" vertical="center"/>
      <protection locked="0"/>
    </xf>
    <xf numFmtId="0" fontId="12" fillId="0" borderId="23" xfId="0" applyFont="1" applyBorder="1" applyAlignment="1" applyProtection="1">
      <alignment horizontal="left" vertical="center"/>
      <protection locked="0"/>
    </xf>
    <xf numFmtId="49" fontId="13" fillId="6" borderId="1" xfId="0" applyNumberFormat="1" applyFont="1" applyFill="1" applyBorder="1" applyAlignment="1" applyProtection="1">
      <alignment horizontal="center"/>
      <protection locked="0"/>
    </xf>
    <xf numFmtId="0" fontId="13" fillId="6" borderId="1" xfId="0" applyFont="1" applyFill="1" applyBorder="1" applyProtection="1">
      <protection locked="0"/>
    </xf>
    <xf numFmtId="0" fontId="3" fillId="0" borderId="23" xfId="0" applyFont="1" applyBorder="1" applyProtection="1">
      <protection locked="0"/>
    </xf>
    <xf numFmtId="49" fontId="13" fillId="7" borderId="1" xfId="0" applyNumberFormat="1" applyFont="1" applyFill="1" applyBorder="1" applyAlignment="1" applyProtection="1">
      <alignment horizontal="center"/>
      <protection locked="0"/>
    </xf>
    <xf numFmtId="0" fontId="13" fillId="7" borderId="1" xfId="0" applyFont="1" applyFill="1" applyBorder="1" applyProtection="1">
      <protection locked="0"/>
    </xf>
    <xf numFmtId="0" fontId="14" fillId="0" borderId="1" xfId="0" applyFont="1" applyBorder="1" applyAlignment="1" applyProtection="1">
      <alignment horizontal="left" vertical="center"/>
      <protection locked="0"/>
    </xf>
    <xf numFmtId="0" fontId="15" fillId="0" borderId="1" xfId="0" applyFont="1" applyBorder="1" applyAlignment="1">
      <alignment vertical="center"/>
    </xf>
    <xf numFmtId="0" fontId="15" fillId="0" borderId="1" xfId="0" applyFont="1" applyBorder="1" applyAlignment="1" applyProtection="1">
      <alignment horizontal="left" vertical="center"/>
      <protection locked="0"/>
    </xf>
    <xf numFmtId="0" fontId="3" fillId="0" borderId="24" xfId="0" applyFont="1" applyBorder="1" applyProtection="1">
      <protection locked="0"/>
    </xf>
    <xf numFmtId="0" fontId="16" fillId="0" borderId="1" xfId="0" applyFont="1" applyBorder="1" applyAlignment="1" applyProtection="1">
      <alignment horizontal="right" vertical="center"/>
      <protection locked="0"/>
    </xf>
    <xf numFmtId="0" fontId="16" fillId="0" borderId="1" xfId="0" applyFont="1" applyBorder="1" applyAlignment="1">
      <alignment horizontal="right" vertical="center"/>
    </xf>
    <xf numFmtId="0" fontId="16" fillId="0" borderId="1" xfId="0" applyFont="1" applyBorder="1" applyAlignment="1" applyProtection="1">
      <alignment horizontal="left" vertical="center"/>
      <protection locked="0"/>
    </xf>
    <xf numFmtId="0" fontId="16" fillId="0" borderId="23" xfId="0" applyFont="1" applyBorder="1" applyAlignment="1" applyProtection="1">
      <alignment horizontal="left" vertical="center"/>
      <protection locked="0"/>
    </xf>
    <xf numFmtId="49" fontId="17" fillId="0" borderId="1" xfId="0" applyNumberFormat="1" applyFont="1" applyBorder="1" applyAlignment="1" applyProtection="1">
      <alignment horizontal="left"/>
      <protection locked="0"/>
    </xf>
    <xf numFmtId="0" fontId="17" fillId="0" borderId="1" xfId="0" applyFont="1" applyBorder="1" applyAlignment="1" applyProtection="1">
      <alignment horizontal="left"/>
      <protection locked="0"/>
    </xf>
    <xf numFmtId="49" fontId="18" fillId="0" borderId="1" xfId="0" applyNumberFormat="1" applyFont="1" applyBorder="1" applyAlignment="1" applyProtection="1">
      <alignment horizontal="left"/>
      <protection locked="0"/>
    </xf>
    <xf numFmtId="0" fontId="18" fillId="0" borderId="1" xfId="0" applyFont="1" applyBorder="1" applyAlignment="1" applyProtection="1">
      <alignment horizontal="left"/>
      <protection locked="0"/>
    </xf>
    <xf numFmtId="0" fontId="19" fillId="0" borderId="1" xfId="0" applyFont="1" applyBorder="1" applyAlignment="1">
      <alignment horizontal="left"/>
    </xf>
    <xf numFmtId="0" fontId="20" fillId="0" borderId="1" xfId="0" applyFont="1" applyBorder="1" applyAlignment="1">
      <alignment horizontal="left"/>
    </xf>
    <xf numFmtId="180" fontId="17" fillId="0" borderId="1" xfId="0" applyNumberFormat="1" applyFont="1" applyBorder="1" applyAlignment="1">
      <alignment horizontal="left"/>
    </xf>
    <xf numFmtId="180" fontId="18" fillId="0" borderId="1" xfId="0" applyNumberFormat="1" applyFont="1" applyBorder="1" applyAlignment="1">
      <alignment horizontal="left"/>
    </xf>
    <xf numFmtId="0" fontId="21" fillId="0" borderId="1" xfId="0" applyFont="1" applyBorder="1" applyAlignment="1" applyProtection="1">
      <alignment horizontal="left" vertical="center"/>
      <protection locked="0"/>
    </xf>
    <xf numFmtId="0" fontId="11" fillId="2" borderId="1" xfId="0" applyFont="1" applyFill="1" applyBorder="1" applyAlignment="1" applyProtection="1">
      <alignment vertical="center"/>
      <protection locked="0"/>
    </xf>
    <xf numFmtId="0" fontId="22" fillId="0" borderId="25" xfId="0" applyFont="1" applyBorder="1" applyProtection="1">
      <protection locked="0"/>
    </xf>
    <xf numFmtId="0" fontId="22" fillId="0" borderId="26" xfId="0" applyFont="1" applyBorder="1" applyAlignment="1" applyProtection="1">
      <alignment horizontal="left"/>
      <protection locked="0"/>
    </xf>
    <xf numFmtId="0" fontId="22" fillId="0" borderId="26" xfId="0" applyFont="1" applyBorder="1" applyProtection="1">
      <protection locked="0"/>
    </xf>
    <xf numFmtId="0" fontId="20" fillId="0" borderId="25" xfId="0" applyFont="1" applyBorder="1" applyProtection="1">
      <protection locked="0"/>
    </xf>
    <xf numFmtId="0" fontId="20" fillId="0" borderId="26" xfId="0" applyFont="1" applyBorder="1" applyAlignment="1" applyProtection="1">
      <alignment horizontal="left"/>
      <protection locked="0"/>
    </xf>
    <xf numFmtId="0" fontId="20" fillId="0" borderId="26" xfId="0" applyFont="1" applyBorder="1" applyProtection="1">
      <protection locked="0"/>
    </xf>
    <xf numFmtId="0" fontId="23" fillId="0" borderId="1" xfId="0" applyFont="1" applyBorder="1" applyAlignment="1" applyProtection="1">
      <alignment horizontal="left" vertical="center"/>
      <protection locked="0"/>
    </xf>
    <xf numFmtId="0" fontId="15" fillId="2" borderId="1" xfId="0" applyFont="1" applyFill="1" applyBorder="1" applyAlignment="1" applyProtection="1">
      <alignment vertical="center"/>
      <protection locked="0"/>
    </xf>
    <xf numFmtId="180" fontId="24" fillId="0" borderId="1" xfId="0" applyNumberFormat="1" applyFont="1" applyBorder="1" applyAlignment="1">
      <alignment vertical="center"/>
    </xf>
    <xf numFmtId="0" fontId="25" fillId="6" borderId="1" xfId="0" applyFont="1" applyFill="1" applyBorder="1" applyProtection="1">
      <protection locked="0"/>
    </xf>
    <xf numFmtId="0" fontId="25" fillId="6" borderId="1" xfId="0" applyFont="1" applyFill="1" applyBorder="1" applyAlignment="1" applyProtection="1">
      <alignment horizontal="left"/>
      <protection locked="0"/>
    </xf>
    <xf numFmtId="0" fontId="22" fillId="0" borderId="27" xfId="0" applyFont="1" applyBorder="1" applyAlignment="1" applyProtection="1">
      <alignment horizontal="left"/>
      <protection locked="0"/>
    </xf>
    <xf numFmtId="0" fontId="25" fillId="7" borderId="1" xfId="0" applyFont="1" applyFill="1" applyBorder="1" applyAlignment="1" applyProtection="1">
      <alignment horizontal="left"/>
      <protection locked="0"/>
    </xf>
    <xf numFmtId="0" fontId="20" fillId="0" borderId="27" xfId="0" applyFont="1" applyBorder="1" applyAlignment="1" applyProtection="1">
      <alignment horizontal="left"/>
      <protection locked="0"/>
    </xf>
    <xf numFmtId="180" fontId="4" fillId="0" borderId="1" xfId="0" applyNumberFormat="1" applyFont="1" applyBorder="1" applyAlignment="1">
      <alignment vertical="center"/>
    </xf>
    <xf numFmtId="0" fontId="11" fillId="0" borderId="1" xfId="0" applyFont="1" applyBorder="1" applyAlignment="1" applyProtection="1">
      <alignment vertical="center"/>
      <protection locked="0"/>
    </xf>
    <xf numFmtId="0" fontId="26" fillId="0" borderId="1" xfId="0" applyFont="1" applyBorder="1" applyProtection="1">
      <protection locked="0"/>
    </xf>
    <xf numFmtId="0" fontId="26" fillId="0" borderId="1" xfId="0" applyFont="1" applyBorder="1" applyAlignment="1" applyProtection="1">
      <alignment horizontal="left"/>
      <protection locked="0"/>
    </xf>
    <xf numFmtId="0" fontId="22" fillId="0" borderId="24" xfId="0" applyFont="1" applyBorder="1" applyAlignment="1" applyProtection="1">
      <alignment horizontal="left"/>
      <protection locked="0"/>
    </xf>
    <xf numFmtId="0" fontId="22" fillId="0" borderId="22" xfId="0" applyFont="1" applyBorder="1" applyProtection="1">
      <protection locked="0"/>
    </xf>
    <xf numFmtId="49" fontId="26" fillId="0" borderId="0" xfId="0" applyNumberFormat="1" applyFont="1" applyAlignment="1" applyProtection="1">
      <alignment horizontal="left"/>
      <protection locked="0"/>
    </xf>
    <xf numFmtId="0" fontId="26" fillId="0" borderId="0" xfId="0" applyFont="1" applyAlignment="1" applyProtection="1">
      <alignment horizontal="left"/>
      <protection locked="0"/>
    </xf>
    <xf numFmtId="0" fontId="20" fillId="0" borderId="24" xfId="0" applyFont="1" applyBorder="1" applyAlignment="1" applyProtection="1">
      <alignment horizontal="left"/>
      <protection locked="0"/>
    </xf>
    <xf numFmtId="0" fontId="20" fillId="0" borderId="22" xfId="0" applyFont="1" applyBorder="1" applyProtection="1">
      <protection locked="0"/>
    </xf>
    <xf numFmtId="0" fontId="15" fillId="0" borderId="1" xfId="0" applyFont="1" applyBorder="1" applyAlignment="1" applyProtection="1">
      <alignment vertical="center"/>
      <protection locked="0"/>
    </xf>
    <xf numFmtId="180" fontId="27" fillId="0" borderId="1" xfId="0" applyNumberFormat="1" applyFont="1" applyBorder="1" applyAlignment="1">
      <alignment vertical="center"/>
    </xf>
    <xf numFmtId="180" fontId="28" fillId="0" borderId="1" xfId="20" applyNumberFormat="1" applyFont="1" applyBorder="1" applyAlignment="1" applyProtection="1">
      <alignment vertical="center"/>
    </xf>
    <xf numFmtId="180" fontId="16" fillId="0" borderId="1" xfId="0" applyNumberFormat="1" applyFont="1" applyBorder="1" applyAlignment="1">
      <alignment horizontal="right" vertical="center"/>
    </xf>
    <xf numFmtId="0" fontId="3" fillId="0" borderId="24" xfId="0" applyFont="1" applyBorder="1" applyAlignment="1" applyProtection="1">
      <alignment horizontal="left"/>
      <protection locked="0"/>
    </xf>
    <xf numFmtId="180" fontId="29" fillId="0" borderId="1" xfId="20" applyNumberFormat="1" applyFont="1" applyBorder="1" applyAlignment="1" applyProtection="1">
      <alignment vertical="center"/>
    </xf>
    <xf numFmtId="180" fontId="11" fillId="0" borderId="1" xfId="0" applyNumberFormat="1" applyFont="1" applyBorder="1" applyAlignment="1">
      <alignment vertical="center"/>
    </xf>
    <xf numFmtId="49" fontId="26" fillId="0" borderId="1" xfId="0" applyNumberFormat="1" applyFont="1" applyBorder="1" applyProtection="1">
      <protection locked="0"/>
    </xf>
    <xf numFmtId="180" fontId="15" fillId="0" borderId="1" xfId="0" applyNumberFormat="1" applyFont="1" applyBorder="1" applyAlignment="1">
      <alignment vertical="center"/>
    </xf>
    <xf numFmtId="0" fontId="26" fillId="0" borderId="1" xfId="0" applyFont="1" applyBorder="1" applyAlignment="1" applyProtection="1">
      <alignment horizontal="right" vertical="center"/>
      <protection locked="0"/>
    </xf>
    <xf numFmtId="180" fontId="26" fillId="0" borderId="1" xfId="0" applyNumberFormat="1" applyFont="1" applyBorder="1" applyAlignment="1">
      <alignment horizontal="right" vertical="center"/>
    </xf>
    <xf numFmtId="0" fontId="26" fillId="0" borderId="1" xfId="0" applyFont="1" applyBorder="1" applyAlignment="1" applyProtection="1">
      <alignment horizontal="left" vertical="center"/>
      <protection locked="0"/>
    </xf>
    <xf numFmtId="0" fontId="26" fillId="0" borderId="24" xfId="0" applyFont="1" applyBorder="1" applyAlignment="1" applyProtection="1">
      <alignment horizontal="left" vertical="center"/>
      <protection locked="0"/>
    </xf>
    <xf numFmtId="0" fontId="3" fillId="0" borderId="26" xfId="0" applyFont="1" applyBorder="1" applyProtection="1">
      <protection locked="0"/>
    </xf>
    <xf numFmtId="0" fontId="3" fillId="0" borderId="25" xfId="0" applyFont="1" applyBorder="1" applyAlignment="1" applyProtection="1">
      <alignment horizontal="left"/>
      <protection locked="0"/>
    </xf>
    <xf numFmtId="0" fontId="3" fillId="0" borderId="28" xfId="0" applyFont="1" applyBorder="1" applyProtection="1">
      <protection locked="0"/>
    </xf>
    <xf numFmtId="0" fontId="16" fillId="0" borderId="24" xfId="0" applyFont="1" applyBorder="1" applyAlignment="1" applyProtection="1">
      <alignment horizontal="left" vertical="center"/>
      <protection locked="0"/>
    </xf>
    <xf numFmtId="49" fontId="30" fillId="0" borderId="22" xfId="0" applyNumberFormat="1" applyFont="1" applyBorder="1" applyProtection="1">
      <protection locked="0"/>
    </xf>
    <xf numFmtId="0" fontId="30" fillId="0" borderId="22" xfId="0" applyFont="1" applyBorder="1" applyProtection="1">
      <protection locked="0"/>
    </xf>
    <xf numFmtId="0" fontId="30" fillId="0" borderId="29" xfId="0" applyFont="1" applyBorder="1" applyProtection="1">
      <protection locked="0"/>
    </xf>
    <xf numFmtId="0" fontId="28" fillId="0" borderId="1" xfId="0" applyFont="1" applyBorder="1" applyProtection="1">
      <protection locked="0"/>
    </xf>
    <xf numFmtId="180" fontId="24" fillId="0" borderId="1" xfId="0" applyNumberFormat="1" applyFont="1" applyBorder="1"/>
    <xf numFmtId="49" fontId="31" fillId="0" borderId="22" xfId="0" applyNumberFormat="1" applyFont="1" applyBorder="1" applyAlignment="1" applyProtection="1">
      <alignment horizontal="left"/>
      <protection locked="0"/>
    </xf>
    <xf numFmtId="49" fontId="31" fillId="0" borderId="30" xfId="0" applyNumberFormat="1" applyFont="1" applyBorder="1" applyAlignment="1" applyProtection="1">
      <alignment horizontal="left"/>
      <protection locked="0"/>
    </xf>
    <xf numFmtId="0" fontId="31" fillId="0" borderId="30" xfId="0" applyFont="1" applyBorder="1" applyAlignment="1" applyProtection="1">
      <alignment horizontal="left"/>
      <protection locked="0"/>
    </xf>
    <xf numFmtId="0" fontId="3" fillId="0" borderId="31" xfId="0" applyFont="1" applyBorder="1" applyProtection="1">
      <protection locked="0"/>
    </xf>
    <xf numFmtId="0" fontId="29" fillId="0" borderId="1" xfId="0" applyFont="1" applyBorder="1" applyProtection="1">
      <protection locked="0"/>
    </xf>
    <xf numFmtId="180" fontId="4" fillId="0" borderId="1" xfId="0" applyNumberFormat="1" applyFont="1" applyBorder="1"/>
    <xf numFmtId="0" fontId="20" fillId="0" borderId="1" xfId="0" applyFont="1" applyBorder="1" applyAlignment="1" applyProtection="1">
      <alignment horizontal="right" vertical="center"/>
      <protection locked="0"/>
    </xf>
    <xf numFmtId="180" fontId="20" fillId="0" borderId="1" xfId="0" applyNumberFormat="1" applyFont="1" applyBorder="1" applyAlignment="1">
      <alignment horizontal="right" vertical="center"/>
    </xf>
    <xf numFmtId="0" fontId="32" fillId="0" borderId="22" xfId="0" applyFont="1" applyBorder="1" applyAlignment="1" applyProtection="1">
      <alignment horizontal="left"/>
      <protection locked="0"/>
    </xf>
    <xf numFmtId="0" fontId="32" fillId="0" borderId="28" xfId="0" applyFont="1" applyBorder="1" applyAlignment="1" applyProtection="1">
      <alignment horizontal="left"/>
      <protection locked="0"/>
    </xf>
    <xf numFmtId="0" fontId="30" fillId="8" borderId="32" xfId="0" applyFont="1" applyFill="1" applyBorder="1" applyAlignment="1" applyProtection="1">
      <alignment horizontal="center" vertical="center"/>
      <protection locked="0"/>
    </xf>
    <xf numFmtId="0" fontId="30" fillId="8" borderId="33" xfId="0" applyFont="1" applyFill="1" applyBorder="1" applyAlignment="1" applyProtection="1">
      <alignment horizontal="center" vertical="center"/>
      <protection locked="0"/>
    </xf>
    <xf numFmtId="0" fontId="30" fillId="8" borderId="15" xfId="0" applyFont="1" applyFill="1" applyBorder="1" applyAlignment="1" applyProtection="1">
      <alignment horizontal="center" vertical="center"/>
      <protection locked="0"/>
    </xf>
    <xf numFmtId="0" fontId="3" fillId="0" borderId="27" xfId="0" applyFont="1" applyBorder="1" applyProtection="1">
      <protection locked="0"/>
    </xf>
    <xf numFmtId="0" fontId="33" fillId="0" borderId="1" xfId="0" applyFont="1" applyBorder="1" applyProtection="1">
      <protection locked="0"/>
    </xf>
    <xf numFmtId="0" fontId="3" fillId="0" borderId="1" xfId="0" applyFont="1" applyBorder="1" applyProtection="1">
      <protection locked="0"/>
    </xf>
    <xf numFmtId="0" fontId="3" fillId="0" borderId="1" xfId="0" applyFont="1" applyBorder="1" applyAlignment="1" applyProtection="1">
      <alignment horizontal="right"/>
      <protection locked="0"/>
    </xf>
    <xf numFmtId="0" fontId="22" fillId="0" borderId="28" xfId="0" applyFont="1" applyBorder="1" applyProtection="1">
      <protection locked="0"/>
    </xf>
    <xf numFmtId="0" fontId="22" fillId="0" borderId="21" xfId="0" applyFont="1" applyBorder="1" applyAlignment="1" applyProtection="1">
      <alignment horizontal="left"/>
      <protection locked="0"/>
    </xf>
    <xf numFmtId="0" fontId="33" fillId="2" borderId="21" xfId="0" applyFont="1" applyFill="1" applyBorder="1" applyProtection="1">
      <protection locked="0"/>
    </xf>
    <xf numFmtId="0" fontId="34" fillId="0" borderId="21" xfId="0" applyFont="1" applyBorder="1" applyAlignment="1" applyProtection="1">
      <alignment horizontal="left"/>
      <protection locked="0"/>
    </xf>
    <xf numFmtId="0" fontId="2" fillId="0" borderId="1" xfId="0" applyFont="1" applyBorder="1" applyProtection="1">
      <protection locked="0"/>
    </xf>
    <xf numFmtId="0" fontId="28" fillId="0" borderId="1" xfId="0" applyFont="1" applyBorder="1" applyAlignment="1" applyProtection="1">
      <alignment horizontal="right"/>
      <protection locked="0"/>
    </xf>
    <xf numFmtId="0" fontId="33" fillId="2" borderId="1" xfId="0" applyFont="1" applyFill="1" applyBorder="1" applyAlignment="1" applyProtection="1">
      <alignment horizontal="left"/>
      <protection locked="0"/>
    </xf>
    <xf numFmtId="0" fontId="35" fillId="0" borderId="22" xfId="0" applyFont="1" applyBorder="1" applyProtection="1">
      <protection locked="0"/>
    </xf>
    <xf numFmtId="0" fontId="35" fillId="0" borderId="28" xfId="0" applyFont="1" applyBorder="1" applyProtection="1">
      <protection locked="0"/>
    </xf>
    <xf numFmtId="0" fontId="34" fillId="0" borderId="1" xfId="0" applyFont="1" applyBorder="1" applyAlignment="1" applyProtection="1">
      <alignment horizontal="left"/>
      <protection locked="0"/>
    </xf>
    <xf numFmtId="0" fontId="11" fillId="2" borderId="1" xfId="0" applyFont="1" applyFill="1" applyBorder="1" applyAlignment="1" applyProtection="1">
      <alignment horizontal="right"/>
      <protection locked="0"/>
    </xf>
    <xf numFmtId="0" fontId="29" fillId="0" borderId="1" xfId="0" applyFont="1" applyBorder="1" applyAlignment="1" applyProtection="1">
      <alignment horizontal="right"/>
      <protection locked="0"/>
    </xf>
    <xf numFmtId="0" fontId="2" fillId="2" borderId="1" xfId="0" applyFont="1" applyFill="1" applyBorder="1" applyAlignment="1" applyProtection="1">
      <alignment horizontal="left"/>
      <protection locked="0"/>
    </xf>
    <xf numFmtId="0" fontId="3" fillId="0" borderId="26" xfId="0" applyFont="1" applyBorder="1" applyAlignment="1" applyProtection="1">
      <alignment horizontal="right"/>
      <protection locked="0"/>
    </xf>
    <xf numFmtId="0" fontId="34" fillId="0" borderId="22" xfId="0" applyFont="1" applyBorder="1" applyProtection="1">
      <protection locked="0"/>
    </xf>
    <xf numFmtId="0" fontId="34" fillId="0" borderId="28" xfId="0" applyFont="1" applyBorder="1" applyAlignment="1" applyProtection="1">
      <alignment horizontal="left"/>
      <protection locked="0"/>
    </xf>
    <xf numFmtId="0" fontId="34" fillId="0" borderId="32" xfId="0" applyFont="1" applyBorder="1" applyAlignment="1" applyProtection="1">
      <alignment horizontal="left"/>
      <protection locked="0"/>
    </xf>
    <xf numFmtId="0" fontId="34" fillId="0" borderId="15" xfId="0" applyFont="1" applyBorder="1" applyAlignment="1" applyProtection="1">
      <alignment horizontal="left"/>
      <protection locked="0"/>
    </xf>
    <xf numFmtId="49" fontId="34" fillId="0" borderId="1" xfId="0" applyNumberFormat="1" applyFont="1" applyBorder="1" applyAlignment="1" applyProtection="1">
      <alignment horizontal="left"/>
      <protection locked="0"/>
    </xf>
    <xf numFmtId="49" fontId="34" fillId="0" borderId="22" xfId="0" applyNumberFormat="1" applyFont="1" applyBorder="1" applyProtection="1">
      <protection locked="0"/>
    </xf>
    <xf numFmtId="0" fontId="34" fillId="0" borderId="22" xfId="0" applyFont="1" applyBorder="1" applyAlignment="1" applyProtection="1">
      <alignment horizontal="left"/>
      <protection locked="0"/>
    </xf>
    <xf numFmtId="0" fontId="34" fillId="0" borderId="26" xfId="0" applyFont="1" applyBorder="1" applyAlignment="1" applyProtection="1">
      <alignment horizontal="left"/>
      <protection locked="0"/>
    </xf>
    <xf numFmtId="0" fontId="3" fillId="0" borderId="26" xfId="0" applyFont="1" applyBorder="1" applyAlignment="1" applyProtection="1">
      <alignment horizontal="left"/>
      <protection locked="0"/>
    </xf>
    <xf numFmtId="0" fontId="3" fillId="0" borderId="0" xfId="0" applyFont="1" applyProtection="1">
      <protection locked="0"/>
    </xf>
    <xf numFmtId="0" fontId="3" fillId="0" borderId="0" xfId="0" applyFont="1" applyAlignment="1" applyProtection="1">
      <alignment horizontal="right"/>
      <protection locked="0"/>
    </xf>
    <xf numFmtId="0" fontId="36" fillId="0" borderId="1" xfId="0" applyFont="1" applyBorder="1" applyAlignment="1" applyProtection="1">
      <alignment horizontal="right" vertical="center"/>
      <protection locked="0"/>
    </xf>
    <xf numFmtId="0" fontId="12" fillId="0" borderId="1" xfId="0" applyFont="1" applyBorder="1" applyAlignment="1" applyProtection="1">
      <alignment vertical="center"/>
      <protection locked="0"/>
    </xf>
    <xf numFmtId="0" fontId="37" fillId="0" borderId="1" xfId="0" applyFont="1" applyBorder="1" applyAlignment="1" applyProtection="1">
      <alignment horizontal="right"/>
      <protection locked="0"/>
    </xf>
    <xf numFmtId="0" fontId="37" fillId="0" borderId="0" xfId="0" applyFont="1" applyFill="1" applyBorder="1" applyAlignment="1">
      <alignment horizontal="center" vertical="center"/>
    </xf>
    <xf numFmtId="0" fontId="38" fillId="0" borderId="0" xfId="0" applyFont="1" applyFill="1" applyBorder="1" applyAlignment="1">
      <alignment horizontal="center" vertical="center"/>
    </xf>
    <xf numFmtId="10" fontId="37" fillId="0" borderId="0" xfId="0" applyNumberFormat="1" applyFont="1" applyFill="1" applyBorder="1" applyAlignment="1">
      <alignment horizontal="center" vertical="center"/>
    </xf>
    <xf numFmtId="10" fontId="38" fillId="0" borderId="0" xfId="0" applyNumberFormat="1" applyFont="1" applyFill="1" applyBorder="1" applyAlignment="1">
      <alignment horizontal="center" vertical="center"/>
    </xf>
    <xf numFmtId="177" fontId="3" fillId="9" borderId="1" xfId="0" applyNumberFormat="1" applyFont="1" applyFill="1" applyBorder="1" applyAlignment="1">
      <alignment horizontal="right"/>
    </xf>
    <xf numFmtId="0" fontId="39" fillId="0" borderId="0" xfId="0" applyFont="1" applyFill="1" applyAlignment="1"/>
    <xf numFmtId="177" fontId="3" fillId="0" borderId="1" xfId="0" applyNumberFormat="1" applyFont="1" applyBorder="1" applyAlignment="1" applyProtection="1">
      <alignment horizontal="right"/>
      <protection locked="0"/>
    </xf>
    <xf numFmtId="0" fontId="40" fillId="0" borderId="0" xfId="0" applyFont="1" applyFill="1" applyBorder="1" applyAlignment="1">
      <alignment horizontal="center" vertical="center"/>
    </xf>
    <xf numFmtId="180" fontId="8" fillId="9" borderId="1" xfId="0" applyNumberFormat="1" applyFont="1" applyFill="1" applyBorder="1" applyAlignment="1">
      <alignment vertical="center"/>
    </xf>
    <xf numFmtId="180" fontId="3" fillId="0" borderId="1" xfId="0" applyNumberFormat="1" applyFont="1" applyBorder="1" applyAlignment="1">
      <alignment horizontal="right"/>
    </xf>
    <xf numFmtId="180" fontId="38" fillId="0" borderId="0" xfId="0" applyNumberFormat="1" applyFont="1" applyFill="1" applyBorder="1" applyAlignment="1">
      <alignment horizontal="center" vertical="center"/>
    </xf>
    <xf numFmtId="177" fontId="3" fillId="0" borderId="0" xfId="0" applyNumberFormat="1" applyFont="1" applyProtection="1">
      <protection locked="0"/>
    </xf>
    <xf numFmtId="180" fontId="41" fillId="0" borderId="1" xfId="20" applyNumberFormat="1" applyFont="1" applyBorder="1" applyAlignment="1" applyProtection="1">
      <alignment vertical="center"/>
      <protection locked="0"/>
    </xf>
    <xf numFmtId="180" fontId="3" fillId="9" borderId="1" xfId="0" applyNumberFormat="1" applyFont="1" applyFill="1" applyBorder="1" applyAlignment="1">
      <alignment horizontal="right"/>
    </xf>
    <xf numFmtId="0" fontId="3" fillId="0" borderId="0" xfId="0" applyFont="1" applyAlignment="1" applyProtection="1">
      <alignment horizontal="center"/>
      <protection locked="0"/>
    </xf>
    <xf numFmtId="0" fontId="3" fillId="9" borderId="1" xfId="0" applyFont="1" applyFill="1" applyBorder="1" applyAlignment="1">
      <alignment horizontal="right"/>
    </xf>
    <xf numFmtId="49" fontId="42" fillId="0" borderId="0" xfId="49" applyNumberFormat="1" applyFont="1" applyAlignment="1" applyProtection="1">
      <alignment horizontal="left" vertical="center"/>
      <protection locked="0"/>
    </xf>
    <xf numFmtId="180" fontId="12" fillId="9" borderId="1" xfId="0" applyNumberFormat="1" applyFont="1" applyFill="1" applyBorder="1" applyAlignment="1">
      <alignment vertical="center"/>
    </xf>
    <xf numFmtId="49" fontId="42" fillId="0" borderId="0" xfId="49" applyNumberFormat="1" applyFont="1" applyFill="1" applyAlignment="1" applyProtection="1">
      <alignment horizontal="left" vertical="center"/>
      <protection locked="0"/>
    </xf>
    <xf numFmtId="180" fontId="8" fillId="9" borderId="1" xfId="0" applyNumberFormat="1" applyFont="1" applyFill="1" applyBorder="1"/>
    <xf numFmtId="0" fontId="37" fillId="0" borderId="1" xfId="0" applyFont="1" applyBorder="1" applyProtection="1">
      <protection locked="0"/>
    </xf>
    <xf numFmtId="0" fontId="3" fillId="10" borderId="1" xfId="0" applyFont="1" applyFill="1" applyBorder="1" applyAlignment="1" applyProtection="1">
      <alignment horizontal="left"/>
      <protection locked="0"/>
    </xf>
    <xf numFmtId="180" fontId="8" fillId="9" borderId="1" xfId="0" applyNumberFormat="1" applyFont="1" applyFill="1" applyBorder="1" applyAlignment="1">
      <alignment horizontal="right" vertical="center"/>
    </xf>
    <xf numFmtId="10" fontId="8" fillId="9" borderId="1" xfId="0" applyNumberFormat="1" applyFont="1" applyFill="1" applyBorder="1" applyAlignment="1">
      <alignment horizontal="right" vertical="center"/>
    </xf>
    <xf numFmtId="0" fontId="3" fillId="0" borderId="0" xfId="0" applyFont="1" applyAlignment="1" applyProtection="1">
      <alignment horizontal="center" vertical="center" wrapText="1"/>
      <protection locked="0"/>
    </xf>
    <xf numFmtId="0" fontId="43" fillId="0" borderId="0" xfId="0" applyFont="1" applyAlignment="1">
      <alignment vertical="center" wrapText="1"/>
    </xf>
    <xf numFmtId="177" fontId="43" fillId="0" borderId="0" xfId="0" applyNumberFormat="1" applyFont="1" applyAlignment="1">
      <alignment vertical="center" wrapText="1"/>
    </xf>
    <xf numFmtId="0" fontId="44" fillId="0" borderId="0" xfId="0" applyFont="1" applyAlignment="1">
      <alignment vertical="center" wrapText="1"/>
    </xf>
    <xf numFmtId="0" fontId="44" fillId="0" borderId="0" xfId="0" applyFont="1" applyAlignment="1">
      <alignment horizontal="center" vertical="center" wrapText="1"/>
    </xf>
    <xf numFmtId="0" fontId="45" fillId="11" borderId="0" xfId="0" applyFont="1" applyFill="1" applyAlignment="1">
      <alignment horizontal="center" vertical="center"/>
    </xf>
    <xf numFmtId="0" fontId="46" fillId="0" borderId="0" xfId="0" applyFont="1" applyAlignment="1">
      <alignment vertical="center" wrapText="1"/>
    </xf>
    <xf numFmtId="0" fontId="47" fillId="0" borderId="0" xfId="0" applyFont="1" applyAlignment="1">
      <alignment vertical="center" wrapText="1"/>
    </xf>
    <xf numFmtId="0" fontId="43" fillId="0" borderId="0" xfId="0" applyFont="1" applyAlignment="1">
      <alignment horizontal="right" vertical="center" wrapText="1"/>
    </xf>
    <xf numFmtId="177" fontId="43" fillId="0" borderId="0" xfId="0" applyNumberFormat="1" applyFont="1" applyAlignment="1">
      <alignment horizontal="left" vertical="center" wrapText="1"/>
    </xf>
    <xf numFmtId="0" fontId="48" fillId="0" borderId="0" xfId="0" applyFont="1" applyAlignment="1">
      <alignment vertical="center" wrapText="1"/>
    </xf>
    <xf numFmtId="0" fontId="49" fillId="0" borderId="0" xfId="0" applyFont="1" applyAlignment="1">
      <alignment horizontal="right" vertical="center" wrapText="1"/>
    </xf>
    <xf numFmtId="0" fontId="49" fillId="0" borderId="0" xfId="0" applyFont="1" applyAlignment="1">
      <alignment horizontal="left" vertical="center" wrapText="1"/>
    </xf>
    <xf numFmtId="0" fontId="44" fillId="0" borderId="0" xfId="0" applyFont="1" applyAlignment="1">
      <alignment horizontal="right" vertical="center" wrapText="1"/>
    </xf>
    <xf numFmtId="177" fontId="44" fillId="0" borderId="0" xfId="0" applyNumberFormat="1" applyFont="1" applyAlignment="1">
      <alignment horizontal="left" vertical="center" wrapText="1"/>
    </xf>
    <xf numFmtId="0" fontId="43" fillId="0" borderId="0" xfId="0" applyFont="1" applyAlignment="1">
      <alignment horizontal="left" vertical="center" wrapText="1"/>
    </xf>
    <xf numFmtId="0" fontId="50" fillId="0" borderId="0" xfId="0" applyFont="1" applyAlignment="1">
      <alignment vertical="center" wrapText="1"/>
    </xf>
    <xf numFmtId="180" fontId="43" fillId="0" borderId="0" xfId="0" applyNumberFormat="1" applyFont="1" applyAlignment="1">
      <alignment horizontal="left" vertical="center" wrapText="1"/>
    </xf>
    <xf numFmtId="0" fontId="46" fillId="0" borderId="0" xfId="0" applyFont="1" applyAlignment="1">
      <alignment horizontal="right" vertical="center" wrapText="1"/>
    </xf>
    <xf numFmtId="177" fontId="46" fillId="0" borderId="0" xfId="0" applyNumberFormat="1" applyFont="1" applyAlignment="1">
      <alignment horizontal="left" vertical="center" wrapText="1"/>
    </xf>
    <xf numFmtId="0" fontId="51" fillId="0" borderId="0" xfId="0" applyFont="1" applyAlignment="1">
      <alignment vertical="center" wrapText="1"/>
    </xf>
    <xf numFmtId="0" fontId="52" fillId="0" borderId="0" xfId="0" applyFont="1" applyAlignment="1">
      <alignment horizontal="right" vertical="center" wrapText="1"/>
    </xf>
    <xf numFmtId="0" fontId="52" fillId="0" borderId="0" xfId="0" applyFont="1" applyAlignment="1">
      <alignment horizontal="left" vertical="center" wrapText="1"/>
    </xf>
    <xf numFmtId="0" fontId="52" fillId="0" borderId="0" xfId="0" applyFont="1" applyAlignment="1">
      <alignment vertical="center" wrapText="1"/>
    </xf>
    <xf numFmtId="0" fontId="53" fillId="0" borderId="0" xfId="0" applyFont="1" applyAlignment="1">
      <alignment vertical="center" wrapText="1"/>
    </xf>
    <xf numFmtId="0" fontId="50" fillId="0" borderId="0" xfId="0" applyFont="1" applyAlignment="1">
      <alignment horizontal="right" vertical="center" wrapText="1"/>
    </xf>
    <xf numFmtId="177" fontId="50" fillId="0" borderId="0" xfId="0" applyNumberFormat="1" applyFont="1" applyAlignment="1">
      <alignment horizontal="left" vertical="center" wrapText="1"/>
    </xf>
    <xf numFmtId="0" fontId="44" fillId="0" borderId="0" xfId="0" applyFont="1" applyAlignment="1">
      <alignment horizontal="left" vertical="center" wrapText="1"/>
    </xf>
    <xf numFmtId="0" fontId="46" fillId="0" borderId="0" xfId="0" applyFont="1" applyAlignment="1">
      <alignment horizontal="left" vertical="center" wrapText="1"/>
    </xf>
    <xf numFmtId="0" fontId="46" fillId="11" borderId="0" xfId="0" applyFont="1" applyFill="1" applyAlignment="1">
      <alignment horizontal="right" vertical="center" wrapText="1"/>
    </xf>
    <xf numFmtId="180" fontId="46" fillId="11" borderId="0" xfId="0" applyNumberFormat="1" applyFont="1" applyFill="1" applyAlignment="1">
      <alignment horizontal="left" vertical="center" wrapText="1"/>
    </xf>
    <xf numFmtId="0" fontId="46" fillId="11" borderId="0" xfId="0" applyFont="1" applyFill="1" applyAlignment="1">
      <alignment vertical="center" wrapText="1"/>
    </xf>
    <xf numFmtId="177" fontId="46" fillId="11" borderId="0" xfId="0" applyNumberFormat="1" applyFont="1" applyFill="1" applyAlignment="1">
      <alignment horizontal="left" vertical="center" wrapText="1"/>
    </xf>
    <xf numFmtId="0" fontId="46" fillId="12" borderId="0" xfId="0" applyFont="1" applyFill="1" applyAlignment="1">
      <alignment horizontal="right" vertical="center" wrapText="1"/>
    </xf>
    <xf numFmtId="177" fontId="46" fillId="12" borderId="0" xfId="0" applyNumberFormat="1" applyFont="1" applyFill="1" applyAlignment="1">
      <alignment horizontal="left" vertical="center" wrapText="1"/>
    </xf>
    <xf numFmtId="0" fontId="46" fillId="12" borderId="0" xfId="0" applyFont="1" applyFill="1" applyAlignment="1">
      <alignment horizontal="left" vertical="center" wrapText="1"/>
    </xf>
    <xf numFmtId="177" fontId="44" fillId="0" borderId="0" xfId="0" applyNumberFormat="1" applyFont="1" applyAlignment="1">
      <alignment horizontal="center" vertical="center" wrapText="1"/>
    </xf>
    <xf numFmtId="0" fontId="45" fillId="0" borderId="0" xfId="0" applyFont="1" applyAlignment="1">
      <alignment vertical="center"/>
    </xf>
    <xf numFmtId="177" fontId="44" fillId="0" borderId="0" xfId="0" applyNumberFormat="1" applyFont="1" applyAlignment="1">
      <alignment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5">
    <dxf>
      <fill>
        <patternFill patternType="solid">
          <fgColor rgb="FFFFFFFF"/>
        </patternFill>
      </fill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</border>
    </dxf>
    <dxf>
      <fill>
        <patternFill patternType="solid">
          <fgColor rgb="FFFFFFFF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ill>
        <patternFill patternType="solid">
          <fgColor rgb="FFFFFFFF"/>
        </patternFill>
      </fill>
      <border>
        <left style="thin">
          <color rgb="FFB8B8B8"/>
        </left>
        <right style="thin">
          <color rgb="FFB8B8B8"/>
        </right>
        <top style="thin">
          <color rgb="FFB8B8B8"/>
        </top>
        <bottom style="thin">
          <color rgb="FFB8B8B8"/>
        </bottom>
      </border>
    </dxf>
    <dxf>
      <fill>
        <patternFill patternType="solid">
          <fgColor rgb="FFFFFFFF"/>
        </patternFill>
      </fill>
      <border>
        <left style="thin">
          <color rgb="FFFFA500"/>
        </left>
        <right style="thin">
          <color rgb="FFFFA500"/>
        </right>
        <top style="thin">
          <color rgb="FFFFA500"/>
        </top>
        <bottom style="thin">
          <color rgb="FFFFA500"/>
        </bottom>
      </border>
    </dxf>
    <dxf>
      <fill>
        <patternFill patternType="solid">
          <fgColor rgb="FFFFFFFF"/>
          <bgColor rgb="FF808080"/>
        </patternFill>
      </fill>
      <border>
        <left/>
        <right/>
        <top/>
        <bottom/>
      </border>
    </dxf>
  </dxfs>
  <tableStyles count="0" defaultTableStyle="TableStyleMedium2" defaultPivotStyle="PivotStyleLight16"/>
  <colors>
    <mruColors>
      <color rgb="00FFF3CC"/>
      <color rgb="00F1F1F1"/>
      <color rgb="002F75B5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externalLink" Target="externalLinks/externalLink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Administrator\Desktop\DRINKING_STRAW.xlsm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Instructions"/>
      <sheetName val="Images"/>
      <sheetName val="Example"/>
      <sheetName val="Data Definitions"/>
      <sheetName val="Dropdown Lists"/>
      <sheetName val="AttributePTDMAP"/>
      <sheetName val="Template"/>
      <sheetName val="Browse Data"/>
      <sheetName val="Conditions List"/>
      <sheetName val="Valid Valu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23"/>
  <sheetViews>
    <sheetView zoomScale="150" zoomScaleNormal="150" workbookViewId="0">
      <selection activeCell="B15" sqref="B15"/>
    </sheetView>
  </sheetViews>
  <sheetFormatPr defaultColWidth="9" defaultRowHeight="15.6"/>
  <cols>
    <col min="1" max="1" width="14.3333333333333" style="224" customWidth="1"/>
    <col min="2" max="2" width="8" style="225" customWidth="1"/>
    <col min="3" max="3" width="4" style="224" customWidth="1"/>
    <col min="4" max="4" width="8.5" style="224" customWidth="1"/>
    <col min="5" max="5" width="13.3333333333333" style="224" customWidth="1"/>
    <col min="6" max="6" width="8.66666666666667" style="224" customWidth="1"/>
    <col min="7" max="7" width="5" style="224" customWidth="1"/>
    <col min="8" max="8" width="3.5" style="224" customWidth="1"/>
    <col min="9" max="9" width="16" style="224" customWidth="1"/>
    <col min="10" max="10" width="10.6666666666667" style="224" customWidth="1"/>
    <col min="11" max="11" width="5" style="224" customWidth="1"/>
    <col min="12" max="12" width="3.83333333333333" style="226" customWidth="1"/>
    <col min="13" max="13" width="7.5" style="227" customWidth="1"/>
    <col min="14" max="14" width="8.5" style="224" customWidth="1"/>
    <col min="15" max="16384" width="9" style="224"/>
  </cols>
  <sheetData>
    <row r="1" ht="21.75" customHeight="1" spans="1:15">
      <c r="A1" s="228" t="s">
        <v>0</v>
      </c>
      <c r="B1" s="228"/>
      <c r="C1" s="228"/>
      <c r="D1" s="228"/>
      <c r="E1" s="228"/>
      <c r="F1" s="228"/>
      <c r="G1" s="228"/>
      <c r="K1" s="229"/>
      <c r="M1" s="230"/>
    </row>
    <row r="2" spans="1:15">
      <c r="A2" s="231" t="s">
        <v>1</v>
      </c>
      <c r="B2" s="232">
        <v>15</v>
      </c>
      <c r="C2" s="233" t="s">
        <v>2</v>
      </c>
      <c r="E2" s="234" t="s">
        <v>3</v>
      </c>
      <c r="F2" s="235">
        <v>7</v>
      </c>
      <c r="M2" s="230"/>
    </row>
    <row r="3" spans="1:15">
      <c r="A3" s="231" t="s">
        <v>4</v>
      </c>
      <c r="B3" s="232">
        <v>5</v>
      </c>
      <c r="C3" s="233" t="s">
        <v>2</v>
      </c>
      <c r="E3" s="236"/>
      <c r="F3" s="237"/>
      <c r="G3" s="226"/>
      <c r="M3" s="230"/>
    </row>
    <row r="4" spans="1:15">
      <c r="A4" s="231" t="s">
        <v>5</v>
      </c>
      <c r="B4" s="238">
        <v>15</v>
      </c>
      <c r="C4" s="233" t="s">
        <v>6</v>
      </c>
      <c r="E4" s="236"/>
      <c r="F4" s="237"/>
      <c r="G4" s="226"/>
      <c r="I4" s="239"/>
      <c r="M4" s="230"/>
    </row>
    <row r="5" spans="1:15">
      <c r="A5" s="231" t="s">
        <v>7</v>
      </c>
      <c r="B5" s="240">
        <v>3.99</v>
      </c>
      <c r="C5" s="233" t="s">
        <v>8</v>
      </c>
      <c r="E5" s="236"/>
      <c r="F5" s="237"/>
      <c r="G5" s="226"/>
      <c r="I5" s="239"/>
      <c r="M5" s="230"/>
    </row>
    <row r="6" spans="1:15">
      <c r="B6" s="224"/>
      <c r="E6" s="241"/>
      <c r="F6" s="242"/>
      <c r="G6" s="229"/>
      <c r="I6" s="243"/>
      <c r="M6" s="230"/>
    </row>
    <row r="7" spans="1:15">
      <c r="B7" s="224"/>
      <c r="E7" s="241"/>
      <c r="F7" s="242"/>
      <c r="G7" s="229"/>
      <c r="M7" s="230"/>
    </row>
    <row r="8" ht="19.2" spans="1:15">
      <c r="A8" s="228" t="s">
        <v>9</v>
      </c>
      <c r="B8" s="228"/>
      <c r="C8" s="228"/>
      <c r="D8" s="228"/>
      <c r="E8" s="228"/>
      <c r="F8" s="228"/>
      <c r="G8" s="228"/>
      <c r="M8" s="230"/>
    </row>
    <row r="9" spans="1:15">
      <c r="A9" s="244" t="s">
        <v>10</v>
      </c>
      <c r="B9" s="245">
        <v>20000</v>
      </c>
      <c r="C9" s="246" t="s">
        <v>2</v>
      </c>
      <c r="E9" s="231" t="s">
        <v>11</v>
      </c>
      <c r="F9" s="232">
        <v>300</v>
      </c>
      <c r="G9" s="247" t="s">
        <v>12</v>
      </c>
      <c r="L9" s="237"/>
      <c r="M9" s="230"/>
    </row>
    <row r="10" spans="1:15">
      <c r="B10" s="224"/>
      <c r="E10" s="248" t="s">
        <v>13</v>
      </c>
      <c r="F10" s="249">
        <f>F9*(B2+B3)</f>
        <v>6000</v>
      </c>
      <c r="G10" s="247" t="s">
        <v>14</v>
      </c>
      <c r="L10" s="250"/>
      <c r="M10" s="230"/>
    </row>
    <row r="11" spans="1:15">
      <c r="B11" s="224"/>
      <c r="E11" s="248" t="s">
        <v>15</v>
      </c>
      <c r="F11" s="249">
        <f>B9-F10</f>
        <v>14000</v>
      </c>
      <c r="G11" s="247" t="s">
        <v>14</v>
      </c>
      <c r="I11" s="241"/>
      <c r="J11" s="242"/>
      <c r="K11" s="229"/>
      <c r="L11" s="250"/>
      <c r="M11" s="230"/>
      <c r="N11" s="226"/>
      <c r="O11" s="226"/>
    </row>
    <row r="12" spans="1:15">
      <c r="B12" s="224"/>
      <c r="E12" s="241"/>
      <c r="F12" s="251"/>
      <c r="G12" s="251"/>
      <c r="K12" s="231"/>
      <c r="L12" s="250"/>
      <c r="M12" s="230"/>
    </row>
    <row r="13" ht="19.2" spans="1:15">
      <c r="A13" s="228" t="s">
        <v>16</v>
      </c>
      <c r="B13" s="228"/>
      <c r="C13" s="228"/>
      <c r="D13" s="228"/>
      <c r="E13" s="228"/>
      <c r="F13" s="228"/>
      <c r="G13" s="228"/>
      <c r="K13" s="231"/>
      <c r="L13" s="250"/>
      <c r="M13" s="230"/>
    </row>
    <row r="14" spans="1:15">
      <c r="A14" s="231" t="s">
        <v>17</v>
      </c>
      <c r="B14" s="240">
        <v>12.99</v>
      </c>
      <c r="C14" s="233" t="s">
        <v>8</v>
      </c>
      <c r="E14" s="252" t="s">
        <v>18</v>
      </c>
      <c r="F14" s="253">
        <f>B14-(B14*(B4/100))-B5</f>
        <v>7.0515</v>
      </c>
      <c r="G14" s="254" t="s">
        <v>8</v>
      </c>
      <c r="K14" s="231"/>
      <c r="L14" s="250"/>
      <c r="M14" s="230"/>
    </row>
    <row r="15" spans="1:15">
      <c r="A15" s="231" t="s">
        <v>19</v>
      </c>
      <c r="B15" s="232">
        <v>30</v>
      </c>
      <c r="C15" s="233" t="s">
        <v>8</v>
      </c>
      <c r="E15" s="252" t="s">
        <v>20</v>
      </c>
      <c r="F15" s="255">
        <f>F14*F9</f>
        <v>2115.45</v>
      </c>
      <c r="G15" s="254" t="s">
        <v>8</v>
      </c>
      <c r="K15" s="231"/>
      <c r="L15" s="250"/>
      <c r="M15" s="230"/>
    </row>
    <row r="16" spans="1:15">
      <c r="A16" s="231" t="s">
        <v>21</v>
      </c>
      <c r="B16" s="232">
        <v>8</v>
      </c>
      <c r="C16" s="233" t="s">
        <v>22</v>
      </c>
      <c r="E16" s="252" t="s">
        <v>23</v>
      </c>
      <c r="F16" s="255">
        <f>B15*(F9/B16)</f>
        <v>1125</v>
      </c>
      <c r="G16" s="254" t="s">
        <v>8</v>
      </c>
      <c r="K16" s="231"/>
      <c r="L16" s="250"/>
      <c r="M16" s="230"/>
    </row>
    <row r="17" spans="1:13">
      <c r="B17" s="224"/>
      <c r="E17" s="252" t="s">
        <v>24</v>
      </c>
      <c r="F17" s="255">
        <f>F15-F16-(F10/F2)</f>
        <v>133.307142857143</v>
      </c>
      <c r="G17" s="254" t="s">
        <v>8</v>
      </c>
      <c r="K17" s="231"/>
      <c r="L17" s="250"/>
      <c r="M17" s="230"/>
    </row>
    <row r="18" ht="31.2" spans="1:13">
      <c r="B18" s="224"/>
      <c r="E18" s="256" t="s">
        <v>25</v>
      </c>
      <c r="F18" s="257">
        <f>F15-F16</f>
        <v>990.45</v>
      </c>
      <c r="G18" s="258" t="s">
        <v>8</v>
      </c>
      <c r="I18" s="224" t="s">
        <v>26</v>
      </c>
      <c r="J18" s="232">
        <f>F18</f>
        <v>990.45</v>
      </c>
      <c r="K18" s="231"/>
      <c r="L18" s="250"/>
      <c r="M18" s="230"/>
    </row>
    <row r="19" spans="1:13">
      <c r="B19" s="224"/>
      <c r="F19" s="224">
        <f>F18*F2</f>
        <v>6933.15</v>
      </c>
      <c r="G19" s="224" t="s">
        <v>14</v>
      </c>
      <c r="K19" s="231"/>
      <c r="L19" s="250"/>
      <c r="M19" s="230"/>
    </row>
    <row r="20" spans="1:13">
      <c r="B20" s="224"/>
      <c r="E20" s="231" t="s">
        <v>27</v>
      </c>
      <c r="F20" s="225">
        <f>F19-F10</f>
        <v>933.150000000001</v>
      </c>
      <c r="G20" s="224" t="s">
        <v>14</v>
      </c>
      <c r="K20" s="231"/>
      <c r="L20" s="250"/>
      <c r="M20" s="230"/>
    </row>
    <row r="21" spans="1:13">
      <c r="B21" s="224"/>
      <c r="K21" s="231"/>
      <c r="L21" s="250"/>
      <c r="M21" s="230"/>
    </row>
    <row r="22" ht="19.2" spans="1:13">
      <c r="A22" s="228" t="s">
        <v>28</v>
      </c>
      <c r="B22" s="228"/>
      <c r="C22" s="228"/>
      <c r="D22" s="228"/>
      <c r="E22" s="228"/>
      <c r="F22" s="228"/>
      <c r="G22" s="228"/>
      <c r="K22" s="231"/>
      <c r="L22" s="250"/>
      <c r="M22" s="230"/>
    </row>
    <row r="23" spans="1:13">
      <c r="A23" s="248" t="s">
        <v>15</v>
      </c>
      <c r="B23" s="249">
        <f>F11</f>
        <v>14000</v>
      </c>
      <c r="C23" s="247" t="s">
        <v>14</v>
      </c>
      <c r="E23" s="231" t="s">
        <v>29</v>
      </c>
      <c r="F23" s="238">
        <v>35</v>
      </c>
      <c r="G23" s="247" t="s">
        <v>30</v>
      </c>
      <c r="K23" s="231"/>
      <c r="L23" s="250"/>
      <c r="M23" s="230"/>
    </row>
    <row r="24" spans="1:13">
      <c r="B24" s="224"/>
      <c r="E24" s="231" t="s">
        <v>31</v>
      </c>
      <c r="F24" s="232">
        <v>12</v>
      </c>
      <c r="G24" s="247" t="s">
        <v>12</v>
      </c>
      <c r="L24" s="250"/>
      <c r="M24" s="230"/>
    </row>
    <row r="25" spans="1:13">
      <c r="B25" s="224"/>
      <c r="E25" s="248" t="s">
        <v>11</v>
      </c>
      <c r="F25" s="249">
        <f>F23*F24</f>
        <v>420</v>
      </c>
      <c r="G25" s="247" t="s">
        <v>14</v>
      </c>
      <c r="L25" s="250"/>
      <c r="M25" s="230"/>
    </row>
    <row r="26" spans="1:13">
      <c r="E26" s="248" t="s">
        <v>13</v>
      </c>
      <c r="F26" s="249">
        <f>F25*(B2+B3)</f>
        <v>8400</v>
      </c>
      <c r="G26" s="247" t="s">
        <v>14</v>
      </c>
      <c r="L26" s="250"/>
    </row>
    <row r="27" spans="1:13">
      <c r="A27" s="231"/>
      <c r="B27" s="232"/>
      <c r="E27" s="248" t="s">
        <v>15</v>
      </c>
      <c r="F27" s="249">
        <f>B23-F26</f>
        <v>5600</v>
      </c>
      <c r="G27" s="247" t="s">
        <v>14</v>
      </c>
      <c r="I27" s="241"/>
      <c r="J27" s="251"/>
      <c r="K27" s="229"/>
      <c r="L27" s="250"/>
      <c r="M27" s="259"/>
    </row>
    <row r="28" ht="19.2" spans="1:13">
      <c r="A28" s="260"/>
      <c r="B28" s="260"/>
      <c r="C28" s="260"/>
      <c r="D28" s="260"/>
      <c r="E28" s="260"/>
      <c r="F28" s="260"/>
      <c r="G28" s="260"/>
      <c r="H28" s="226"/>
      <c r="I28" s="241"/>
      <c r="J28" s="242"/>
      <c r="K28" s="229"/>
      <c r="L28" s="250"/>
    </row>
    <row r="29" ht="19.2" spans="1:13">
      <c r="A29" s="228" t="s">
        <v>32</v>
      </c>
      <c r="B29" s="228"/>
      <c r="C29" s="228"/>
      <c r="D29" s="228"/>
      <c r="E29" s="228"/>
      <c r="F29" s="228"/>
      <c r="G29" s="228"/>
      <c r="L29" s="250"/>
    </row>
    <row r="30" spans="1:13">
      <c r="A30" s="231" t="s">
        <v>17</v>
      </c>
      <c r="B30" s="240">
        <v>12.99</v>
      </c>
      <c r="C30" s="233" t="s">
        <v>8</v>
      </c>
      <c r="E30" s="252" t="s">
        <v>18</v>
      </c>
      <c r="F30" s="253">
        <f>B30-(B30*(B4/100))-B5</f>
        <v>7.0515</v>
      </c>
      <c r="G30" s="254" t="s">
        <v>8</v>
      </c>
      <c r="L30" s="250"/>
    </row>
    <row r="31" spans="1:13">
      <c r="A31" s="231" t="s">
        <v>19</v>
      </c>
      <c r="B31" s="232">
        <v>40</v>
      </c>
      <c r="C31" s="233" t="s">
        <v>8</v>
      </c>
      <c r="E31" s="252" t="s">
        <v>20</v>
      </c>
      <c r="F31" s="255">
        <f>F30*F25</f>
        <v>2961.63</v>
      </c>
      <c r="G31" s="254" t="s">
        <v>8</v>
      </c>
      <c r="L31" s="250"/>
    </row>
    <row r="32" spans="1:13">
      <c r="A32" s="231" t="s">
        <v>21</v>
      </c>
      <c r="B32" s="232">
        <f>F24</f>
        <v>12</v>
      </c>
      <c r="C32" s="233" t="s">
        <v>22</v>
      </c>
      <c r="E32" s="252" t="s">
        <v>23</v>
      </c>
      <c r="F32" s="255">
        <f>B31*(F25/B32)</f>
        <v>1400</v>
      </c>
      <c r="G32" s="254" t="s">
        <v>8</v>
      </c>
      <c r="L32" s="250"/>
    </row>
    <row r="33" spans="1:13">
      <c r="B33" s="224"/>
      <c r="E33" s="252" t="s">
        <v>24</v>
      </c>
      <c r="F33" s="255">
        <f>F31-F32-(F26/F2)</f>
        <v>361.63</v>
      </c>
      <c r="G33" s="254" t="s">
        <v>8</v>
      </c>
      <c r="I33" s="241"/>
      <c r="J33" s="242"/>
      <c r="K33" s="229"/>
      <c r="L33" s="250"/>
    </row>
    <row r="34" ht="31.2" spans="1:13">
      <c r="B34" s="224"/>
      <c r="E34" s="256" t="s">
        <v>25</v>
      </c>
      <c r="F34" s="257">
        <f>F31-F32</f>
        <v>1561.63</v>
      </c>
      <c r="G34" s="258" t="s">
        <v>8</v>
      </c>
      <c r="I34" s="224" t="s">
        <v>26</v>
      </c>
      <c r="J34" s="232">
        <f>J18+F34</f>
        <v>2552.08</v>
      </c>
      <c r="K34" s="229"/>
      <c r="L34" s="261"/>
      <c r="M34" s="259"/>
    </row>
    <row r="35" spans="1:13">
      <c r="B35" s="224"/>
      <c r="F35" s="224">
        <f>F34*F2</f>
        <v>10931.41</v>
      </c>
      <c r="G35" s="224" t="s">
        <v>14</v>
      </c>
      <c r="H35" s="250"/>
      <c r="I35" s="241"/>
      <c r="J35" s="242"/>
      <c r="K35" s="229"/>
    </row>
    <row r="36" spans="1:13">
      <c r="B36" s="224"/>
      <c r="E36" s="231" t="s">
        <v>27</v>
      </c>
      <c r="F36" s="225">
        <f>F35-F26</f>
        <v>2531.41</v>
      </c>
      <c r="G36" s="224" t="s">
        <v>14</v>
      </c>
      <c r="I36" s="241"/>
      <c r="J36" s="242"/>
      <c r="K36" s="229"/>
      <c r="L36" s="250"/>
    </row>
    <row r="37" spans="1:13">
      <c r="A37" s="231"/>
      <c r="B37" s="232"/>
      <c r="E37" s="241"/>
      <c r="F37" s="251"/>
      <c r="G37" s="229"/>
      <c r="L37" s="250"/>
    </row>
    <row r="38" ht="19.2" spans="1:13">
      <c r="A38" s="228" t="s">
        <v>33</v>
      </c>
      <c r="B38" s="228"/>
      <c r="C38" s="228"/>
      <c r="D38" s="228"/>
      <c r="E38" s="228"/>
      <c r="F38" s="228"/>
      <c r="G38" s="228"/>
      <c r="L38" s="250"/>
    </row>
    <row r="39" spans="1:13">
      <c r="A39" s="248" t="s">
        <v>34</v>
      </c>
      <c r="B39" s="249">
        <f>F19</f>
        <v>6933.15</v>
      </c>
      <c r="C39" s="247" t="s">
        <v>14</v>
      </c>
      <c r="E39" s="231" t="s">
        <v>29</v>
      </c>
      <c r="F39" s="238">
        <v>35</v>
      </c>
      <c r="G39" s="247" t="s">
        <v>30</v>
      </c>
      <c r="L39" s="250"/>
    </row>
    <row r="40" spans="1:13">
      <c r="A40" s="248" t="s">
        <v>15</v>
      </c>
      <c r="B40" s="249">
        <f>B39+F27</f>
        <v>12533.15</v>
      </c>
      <c r="C40" s="247" t="s">
        <v>14</v>
      </c>
      <c r="E40" s="231" t="s">
        <v>31</v>
      </c>
      <c r="F40" s="232">
        <v>15</v>
      </c>
      <c r="G40" s="247" t="s">
        <v>12</v>
      </c>
      <c r="H40" s="250"/>
      <c r="L40" s="250"/>
    </row>
    <row r="41" spans="1:13">
      <c r="B41" s="224"/>
      <c r="E41" s="248" t="s">
        <v>11</v>
      </c>
      <c r="F41" s="249">
        <f>F39*F40</f>
        <v>525</v>
      </c>
      <c r="G41" s="247" t="s">
        <v>14</v>
      </c>
      <c r="L41" s="250"/>
    </row>
    <row r="42" spans="1:13">
      <c r="E42" s="248" t="s">
        <v>13</v>
      </c>
      <c r="F42" s="249">
        <f>F41*(B3+B2)</f>
        <v>10500</v>
      </c>
      <c r="G42" s="247" t="s">
        <v>14</v>
      </c>
      <c r="I42" s="241"/>
      <c r="J42" s="251"/>
      <c r="K42" s="229"/>
      <c r="L42" s="250"/>
      <c r="M42" s="259"/>
    </row>
    <row r="43" spans="1:13">
      <c r="A43" s="231"/>
      <c r="B43" s="232"/>
      <c r="E43" s="248" t="s">
        <v>15</v>
      </c>
      <c r="F43" s="249">
        <f>B40-F42</f>
        <v>2033.15</v>
      </c>
      <c r="G43" s="247" t="s">
        <v>14</v>
      </c>
      <c r="I43" s="241"/>
      <c r="J43" s="242"/>
      <c r="K43" s="229"/>
      <c r="L43" s="250"/>
    </row>
    <row r="44" spans="1:13">
      <c r="A44" s="231"/>
      <c r="B44" s="232"/>
      <c r="C44" s="247"/>
      <c r="E44" s="231"/>
      <c r="F44" s="238"/>
      <c r="G44" s="233"/>
      <c r="L44" s="250"/>
    </row>
    <row r="45" ht="19.2" spans="1:13">
      <c r="A45" s="228" t="s">
        <v>35</v>
      </c>
      <c r="B45" s="228"/>
      <c r="C45" s="228"/>
      <c r="D45" s="228"/>
      <c r="E45" s="228"/>
      <c r="F45" s="228"/>
      <c r="G45" s="228"/>
      <c r="L45" s="250"/>
    </row>
    <row r="46" spans="1:13">
      <c r="A46" s="231" t="s">
        <v>17</v>
      </c>
      <c r="B46" s="240">
        <v>12.99</v>
      </c>
      <c r="C46" s="233" t="s">
        <v>8</v>
      </c>
      <c r="E46" s="252" t="s">
        <v>18</v>
      </c>
      <c r="F46" s="253">
        <f>B46-(B46*(B4/100))-B5</f>
        <v>7.0515</v>
      </c>
      <c r="G46" s="254" t="s">
        <v>8</v>
      </c>
      <c r="L46" s="250"/>
    </row>
    <row r="47" spans="1:13">
      <c r="A47" s="231" t="s">
        <v>19</v>
      </c>
      <c r="B47" s="232">
        <v>50</v>
      </c>
      <c r="C47" s="233" t="s">
        <v>8</v>
      </c>
      <c r="E47" s="252" t="s">
        <v>20</v>
      </c>
      <c r="F47" s="255">
        <f>F46*F41</f>
        <v>3702.0375</v>
      </c>
      <c r="G47" s="254" t="s">
        <v>8</v>
      </c>
      <c r="L47" s="250"/>
    </row>
    <row r="48" spans="1:13">
      <c r="A48" s="231" t="s">
        <v>21</v>
      </c>
      <c r="B48" s="232">
        <f>F40</f>
        <v>15</v>
      </c>
      <c r="C48" s="233" t="s">
        <v>22</v>
      </c>
      <c r="E48" s="252" t="s">
        <v>23</v>
      </c>
      <c r="F48" s="255">
        <f>B47*(F41/B48)</f>
        <v>1750</v>
      </c>
      <c r="G48" s="254" t="s">
        <v>8</v>
      </c>
      <c r="I48" s="241"/>
      <c r="J48" s="242"/>
      <c r="K48" s="229"/>
      <c r="L48" s="250"/>
    </row>
    <row r="49" spans="1:13">
      <c r="B49" s="224"/>
      <c r="E49" s="252" t="s">
        <v>24</v>
      </c>
      <c r="F49" s="255">
        <f>F47-F48-(F42/F2)</f>
        <v>452.0375</v>
      </c>
      <c r="G49" s="254" t="s">
        <v>8</v>
      </c>
      <c r="I49" s="241"/>
      <c r="J49" s="242"/>
      <c r="K49" s="229"/>
      <c r="L49" s="237"/>
      <c r="M49" s="259"/>
    </row>
    <row r="50" ht="31.2" spans="1:13">
      <c r="B50" s="224"/>
      <c r="E50" s="256" t="s">
        <v>25</v>
      </c>
      <c r="F50" s="257">
        <f>F47-F48</f>
        <v>1952.0375</v>
      </c>
      <c r="G50" s="258" t="s">
        <v>8</v>
      </c>
      <c r="H50" s="250"/>
      <c r="I50" s="224" t="s">
        <v>26</v>
      </c>
      <c r="J50" s="232">
        <f>J34-(B39/F2)+F50</f>
        <v>3513.6675</v>
      </c>
      <c r="K50" s="229"/>
    </row>
    <row r="51" spans="1:13">
      <c r="B51" s="224"/>
      <c r="F51" s="224">
        <f>F50*F2</f>
        <v>13664.2625</v>
      </c>
      <c r="G51" s="224" t="s">
        <v>14</v>
      </c>
    </row>
    <row r="52" spans="1:13">
      <c r="B52" s="224"/>
      <c r="E52" s="231" t="s">
        <v>27</v>
      </c>
      <c r="F52" s="225">
        <f>F51-F42</f>
        <v>3164.2625</v>
      </c>
      <c r="G52" s="224" t="s">
        <v>14</v>
      </c>
    </row>
    <row r="53" spans="1:13">
      <c r="A53" s="231"/>
      <c r="B53" s="232"/>
      <c r="E53" s="241"/>
      <c r="F53" s="251"/>
      <c r="G53" s="229"/>
    </row>
    <row r="54" ht="19.2" spans="1:13">
      <c r="A54" s="228" t="s">
        <v>36</v>
      </c>
      <c r="B54" s="228"/>
      <c r="C54" s="228"/>
      <c r="D54" s="228"/>
      <c r="E54" s="228"/>
      <c r="F54" s="228"/>
      <c r="G54" s="228"/>
    </row>
    <row r="55" spans="1:13">
      <c r="A55" s="248" t="s">
        <v>34</v>
      </c>
      <c r="B55" s="249">
        <f>F35</f>
        <v>10931.41</v>
      </c>
      <c r="C55" s="247" t="s">
        <v>14</v>
      </c>
      <c r="E55" s="231" t="s">
        <v>29</v>
      </c>
      <c r="F55" s="238">
        <v>35</v>
      </c>
      <c r="G55" s="247" t="s">
        <v>30</v>
      </c>
      <c r="H55" s="250"/>
    </row>
    <row r="56" spans="1:13">
      <c r="A56" s="248" t="s">
        <v>15</v>
      </c>
      <c r="B56" s="249">
        <f>B55+F43</f>
        <v>12964.56</v>
      </c>
      <c r="C56" s="247" t="s">
        <v>14</v>
      </c>
      <c r="E56" s="231" t="s">
        <v>31</v>
      </c>
      <c r="F56" s="232">
        <v>15</v>
      </c>
      <c r="G56" s="247" t="s">
        <v>12</v>
      </c>
    </row>
    <row r="57" spans="1:13">
      <c r="B57" s="224"/>
      <c r="E57" s="248" t="s">
        <v>11</v>
      </c>
      <c r="F57" s="249">
        <f>F55*F56</f>
        <v>525</v>
      </c>
      <c r="G57" s="247" t="s">
        <v>14</v>
      </c>
    </row>
    <row r="58" spans="1:13">
      <c r="E58" s="248" t="s">
        <v>13</v>
      </c>
      <c r="F58" s="249">
        <f>F57*(B2+B3)</f>
        <v>10500</v>
      </c>
      <c r="G58" s="247" t="s">
        <v>14</v>
      </c>
    </row>
    <row r="59" spans="1:13">
      <c r="A59" s="231"/>
      <c r="B59" s="232"/>
      <c r="E59" s="248" t="s">
        <v>15</v>
      </c>
      <c r="F59" s="249">
        <f>B56-F58</f>
        <v>2464.56</v>
      </c>
      <c r="G59" s="247" t="s">
        <v>14</v>
      </c>
    </row>
    <row r="61" ht="19.2" spans="1:13">
      <c r="A61" s="228" t="s">
        <v>37</v>
      </c>
      <c r="B61" s="228"/>
      <c r="C61" s="228"/>
      <c r="D61" s="228"/>
      <c r="E61" s="228"/>
      <c r="F61" s="228"/>
      <c r="G61" s="228"/>
    </row>
    <row r="62" spans="1:13">
      <c r="A62" s="231" t="s">
        <v>17</v>
      </c>
      <c r="B62" s="240">
        <v>12.99</v>
      </c>
      <c r="C62" s="233" t="s">
        <v>8</v>
      </c>
      <c r="E62" s="252" t="s">
        <v>18</v>
      </c>
      <c r="F62" s="253">
        <f>B62-(B62*(B4/100))-B5</f>
        <v>7.0515</v>
      </c>
      <c r="G62" s="254" t="s">
        <v>8</v>
      </c>
    </row>
    <row r="63" spans="1:13">
      <c r="A63" s="231" t="s">
        <v>19</v>
      </c>
      <c r="B63" s="232">
        <v>50</v>
      </c>
      <c r="C63" s="233" t="s">
        <v>8</v>
      </c>
      <c r="E63" s="252" t="s">
        <v>20</v>
      </c>
      <c r="F63" s="255">
        <f>F62*F57</f>
        <v>3702.0375</v>
      </c>
      <c r="G63" s="254" t="s">
        <v>8</v>
      </c>
    </row>
    <row r="64" spans="1:13">
      <c r="A64" s="231" t="s">
        <v>21</v>
      </c>
      <c r="B64" s="232">
        <f>F56</f>
        <v>15</v>
      </c>
      <c r="C64" s="233" t="s">
        <v>22</v>
      </c>
      <c r="E64" s="252" t="s">
        <v>23</v>
      </c>
      <c r="F64" s="255">
        <f>B63*(F57/B64)</f>
        <v>1750</v>
      </c>
      <c r="G64" s="254" t="s">
        <v>8</v>
      </c>
    </row>
    <row r="65" spans="1:10">
      <c r="B65" s="224"/>
      <c r="E65" s="252" t="s">
        <v>24</v>
      </c>
      <c r="F65" s="255">
        <f>F63-F64-(F58/F2)</f>
        <v>452.0375</v>
      </c>
      <c r="G65" s="254" t="s">
        <v>8</v>
      </c>
    </row>
    <row r="66" ht="31.2" spans="1:10">
      <c r="B66" s="224"/>
      <c r="E66" s="256" t="s">
        <v>25</v>
      </c>
      <c r="F66" s="257">
        <f>F63-F64</f>
        <v>1952.0375</v>
      </c>
      <c r="G66" s="258" t="s">
        <v>8</v>
      </c>
      <c r="I66" s="224" t="s">
        <v>26</v>
      </c>
      <c r="J66" s="232">
        <f>J50-(B55/F2)+F66</f>
        <v>3904.075</v>
      </c>
    </row>
    <row r="67" spans="1:10">
      <c r="B67" s="224"/>
      <c r="F67" s="224">
        <f>F66*F2</f>
        <v>13664.2625</v>
      </c>
      <c r="G67" s="224" t="s">
        <v>14</v>
      </c>
    </row>
    <row r="68" spans="1:10">
      <c r="B68" s="224"/>
      <c r="E68" s="231" t="s">
        <v>27</v>
      </c>
      <c r="F68" s="225">
        <f>F67-F58</f>
        <v>3164.2625</v>
      </c>
      <c r="G68" s="224" t="s">
        <v>14</v>
      </c>
    </row>
    <row r="70" ht="19.2" spans="1:10">
      <c r="A70" s="228" t="s">
        <v>38</v>
      </c>
      <c r="B70" s="228"/>
      <c r="C70" s="228"/>
      <c r="D70" s="228"/>
      <c r="E70" s="228"/>
      <c r="F70" s="228"/>
      <c r="G70" s="228"/>
    </row>
    <row r="71" spans="1:10">
      <c r="A71" s="248" t="s">
        <v>34</v>
      </c>
      <c r="B71" s="249">
        <f>F51</f>
        <v>13664.2625</v>
      </c>
      <c r="C71" s="247" t="s">
        <v>14</v>
      </c>
      <c r="E71" s="231" t="s">
        <v>29</v>
      </c>
      <c r="F71" s="238">
        <v>35</v>
      </c>
      <c r="G71" s="247" t="s">
        <v>30</v>
      </c>
    </row>
    <row r="72" spans="1:10">
      <c r="A72" s="248" t="s">
        <v>15</v>
      </c>
      <c r="B72" s="249">
        <f>B71+F59</f>
        <v>16128.8225</v>
      </c>
      <c r="C72" s="247" t="s">
        <v>14</v>
      </c>
      <c r="E72" s="231" t="s">
        <v>31</v>
      </c>
      <c r="F72" s="232">
        <v>15</v>
      </c>
      <c r="G72" s="247" t="s">
        <v>12</v>
      </c>
    </row>
    <row r="73" spans="1:10">
      <c r="B73" s="224"/>
      <c r="E73" s="248" t="s">
        <v>11</v>
      </c>
      <c r="F73" s="249">
        <f>F71*F72</f>
        <v>525</v>
      </c>
      <c r="G73" s="247" t="s">
        <v>14</v>
      </c>
    </row>
    <row r="74" spans="1:10">
      <c r="E74" s="248" t="s">
        <v>13</v>
      </c>
      <c r="F74" s="249">
        <f>F73*(B2+B3)</f>
        <v>10500</v>
      </c>
      <c r="G74" s="247" t="s">
        <v>14</v>
      </c>
    </row>
    <row r="75" spans="1:10">
      <c r="A75" s="231"/>
      <c r="B75" s="232"/>
      <c r="E75" s="248" t="s">
        <v>15</v>
      </c>
      <c r="F75" s="249">
        <f>B72-F74</f>
        <v>5628.8225</v>
      </c>
      <c r="G75" s="247" t="s">
        <v>14</v>
      </c>
    </row>
    <row r="77" ht="19.2" spans="1:10">
      <c r="A77" s="228" t="s">
        <v>39</v>
      </c>
      <c r="B77" s="228"/>
      <c r="C77" s="228"/>
      <c r="D77" s="228"/>
      <c r="E77" s="228"/>
      <c r="F77" s="228"/>
      <c r="G77" s="228"/>
    </row>
    <row r="78" spans="1:10">
      <c r="A78" s="231" t="s">
        <v>17</v>
      </c>
      <c r="B78" s="240">
        <v>12.99</v>
      </c>
      <c r="C78" s="233" t="s">
        <v>8</v>
      </c>
      <c r="E78" s="252" t="s">
        <v>18</v>
      </c>
      <c r="F78" s="253">
        <f>B78-(B78*(B4/100))-B5</f>
        <v>7.0515</v>
      </c>
      <c r="G78" s="254" t="s">
        <v>8</v>
      </c>
    </row>
    <row r="79" spans="1:10">
      <c r="A79" s="231" t="s">
        <v>19</v>
      </c>
      <c r="B79" s="232">
        <v>50</v>
      </c>
      <c r="C79" s="233" t="s">
        <v>8</v>
      </c>
      <c r="E79" s="252" t="s">
        <v>20</v>
      </c>
      <c r="F79" s="255">
        <f>F78*F73</f>
        <v>3702.0375</v>
      </c>
      <c r="G79" s="254" t="s">
        <v>8</v>
      </c>
    </row>
    <row r="80" spans="1:10">
      <c r="A80" s="231" t="s">
        <v>21</v>
      </c>
      <c r="B80" s="232">
        <f>F72</f>
        <v>15</v>
      </c>
      <c r="C80" s="233" t="s">
        <v>22</v>
      </c>
      <c r="E80" s="252" t="s">
        <v>23</v>
      </c>
      <c r="F80" s="255">
        <f>B79*(F73/B80)</f>
        <v>1750</v>
      </c>
      <c r="G80" s="254" t="s">
        <v>8</v>
      </c>
    </row>
    <row r="81" spans="1:10">
      <c r="B81" s="224"/>
      <c r="E81" s="252" t="s">
        <v>24</v>
      </c>
      <c r="F81" s="255">
        <f>F79-F80-(F74/F2)</f>
        <v>452.0375</v>
      </c>
      <c r="G81" s="254" t="s">
        <v>8</v>
      </c>
    </row>
    <row r="82" ht="31.2" spans="1:10">
      <c r="B82" s="224"/>
      <c r="E82" s="256" t="s">
        <v>25</v>
      </c>
      <c r="F82" s="257">
        <f>F79-F80</f>
        <v>1952.0375</v>
      </c>
      <c r="G82" s="258" t="s">
        <v>8</v>
      </c>
      <c r="I82" s="224" t="s">
        <v>26</v>
      </c>
      <c r="J82" s="232">
        <f>J66-(B71/F2)+F82</f>
        <v>3904.075</v>
      </c>
    </row>
    <row r="83" spans="1:10">
      <c r="B83" s="224"/>
      <c r="F83" s="224">
        <f>F82*F2</f>
        <v>13664.2625</v>
      </c>
      <c r="G83" s="224" t="s">
        <v>14</v>
      </c>
    </row>
    <row r="84" spans="1:10">
      <c r="B84" s="224"/>
      <c r="E84" s="231" t="s">
        <v>27</v>
      </c>
      <c r="F84" s="225">
        <f>F83-F74</f>
        <v>3164.2625</v>
      </c>
      <c r="G84" s="224" t="s">
        <v>14</v>
      </c>
    </row>
    <row r="86" ht="19.2" spans="1:10">
      <c r="A86" s="228" t="s">
        <v>40</v>
      </c>
      <c r="B86" s="228"/>
      <c r="C86" s="228"/>
      <c r="D86" s="228"/>
      <c r="E86" s="228"/>
      <c r="F86" s="228"/>
      <c r="G86" s="228"/>
    </row>
    <row r="87" spans="1:10">
      <c r="A87" s="248" t="s">
        <v>34</v>
      </c>
      <c r="B87" s="249">
        <f>F67</f>
        <v>13664.2625</v>
      </c>
      <c r="C87" s="247" t="s">
        <v>14</v>
      </c>
      <c r="E87" s="231" t="s">
        <v>29</v>
      </c>
      <c r="F87" s="238">
        <v>35</v>
      </c>
      <c r="G87" s="247" t="s">
        <v>30</v>
      </c>
    </row>
    <row r="88" spans="1:10">
      <c r="A88" s="248" t="s">
        <v>15</v>
      </c>
      <c r="B88" s="249">
        <f>B87+F75</f>
        <v>19293.085</v>
      </c>
      <c r="C88" s="247" t="s">
        <v>14</v>
      </c>
      <c r="E88" s="231" t="s">
        <v>31</v>
      </c>
      <c r="F88" s="232">
        <v>15</v>
      </c>
      <c r="G88" s="247" t="s">
        <v>12</v>
      </c>
    </row>
    <row r="89" spans="1:10">
      <c r="B89" s="224"/>
      <c r="E89" s="248" t="s">
        <v>11</v>
      </c>
      <c r="F89" s="249">
        <f>F87*F88</f>
        <v>525</v>
      </c>
      <c r="G89" s="247" t="s">
        <v>14</v>
      </c>
    </row>
    <row r="90" spans="1:10">
      <c r="E90" s="248" t="s">
        <v>13</v>
      </c>
      <c r="F90" s="232">
        <f>F89*(B2+B3)</f>
        <v>10500</v>
      </c>
      <c r="G90" s="247" t="s">
        <v>14</v>
      </c>
    </row>
    <row r="91" spans="1:10">
      <c r="A91" s="231"/>
      <c r="B91" s="232"/>
      <c r="E91" s="248" t="s">
        <v>15</v>
      </c>
      <c r="F91" s="249">
        <f>B88-F90</f>
        <v>8793.08500000001</v>
      </c>
      <c r="G91" s="247" t="s">
        <v>14</v>
      </c>
    </row>
    <row r="93" ht="19.2" spans="1:10">
      <c r="A93" s="228" t="s">
        <v>41</v>
      </c>
      <c r="B93" s="228"/>
      <c r="C93" s="228"/>
      <c r="D93" s="228"/>
      <c r="E93" s="228"/>
      <c r="F93" s="228"/>
      <c r="G93" s="228"/>
    </row>
    <row r="94" spans="1:10">
      <c r="A94" s="231" t="s">
        <v>17</v>
      </c>
      <c r="B94" s="240">
        <v>12.99</v>
      </c>
      <c r="C94" s="233" t="s">
        <v>8</v>
      </c>
      <c r="E94" s="252" t="s">
        <v>18</v>
      </c>
      <c r="F94" s="253">
        <f>B94-(B94*(B4/100))-B5</f>
        <v>7.0515</v>
      </c>
      <c r="G94" s="254" t="s">
        <v>8</v>
      </c>
    </row>
    <row r="95" spans="1:10">
      <c r="A95" s="231" t="s">
        <v>19</v>
      </c>
      <c r="B95" s="232">
        <v>50</v>
      </c>
      <c r="C95" s="233" t="s">
        <v>8</v>
      </c>
      <c r="E95" s="252" t="s">
        <v>20</v>
      </c>
      <c r="F95" s="255">
        <f>F94*F89</f>
        <v>3702.0375</v>
      </c>
      <c r="G95" s="254" t="s">
        <v>8</v>
      </c>
    </row>
    <row r="96" spans="1:10">
      <c r="A96" s="231" t="s">
        <v>21</v>
      </c>
      <c r="B96" s="232">
        <f>F88</f>
        <v>15</v>
      </c>
      <c r="C96" s="233" t="s">
        <v>22</v>
      </c>
      <c r="E96" s="252" t="s">
        <v>23</v>
      </c>
      <c r="F96" s="255">
        <f>B95*(F89/B96)</f>
        <v>1750</v>
      </c>
      <c r="G96" s="254" t="s">
        <v>8</v>
      </c>
    </row>
    <row r="97" spans="1:10">
      <c r="B97" s="224"/>
      <c r="E97" s="252" t="s">
        <v>24</v>
      </c>
      <c r="F97" s="255">
        <f>F95-F96-(F90/F2)</f>
        <v>452.0375</v>
      </c>
      <c r="G97" s="254" t="s">
        <v>8</v>
      </c>
    </row>
    <row r="98" ht="31.2" spans="1:10">
      <c r="B98" s="224"/>
      <c r="E98" s="256" t="s">
        <v>25</v>
      </c>
      <c r="F98" s="257">
        <f>F95-F96</f>
        <v>1952.0375</v>
      </c>
      <c r="G98" s="258" t="s">
        <v>8</v>
      </c>
      <c r="I98" s="224" t="s">
        <v>26</v>
      </c>
      <c r="J98" s="232">
        <f>J82-(B87/F2)+F98</f>
        <v>3904.075</v>
      </c>
    </row>
    <row r="99" spans="1:10">
      <c r="B99" s="224"/>
      <c r="F99" s="224">
        <f>F98*F2</f>
        <v>13664.2625</v>
      </c>
      <c r="G99" s="224" t="s">
        <v>14</v>
      </c>
    </row>
    <row r="100" spans="1:10">
      <c r="B100" s="224"/>
      <c r="E100" s="231" t="s">
        <v>27</v>
      </c>
      <c r="F100" s="225">
        <f>F99-F90</f>
        <v>3164.2625</v>
      </c>
      <c r="G100" s="224" t="s">
        <v>14</v>
      </c>
    </row>
    <row r="102" ht="19.2" spans="1:10">
      <c r="A102" s="228" t="s">
        <v>42</v>
      </c>
      <c r="B102" s="228"/>
      <c r="C102" s="228"/>
      <c r="D102" s="228"/>
      <c r="E102" s="228"/>
      <c r="F102" s="228"/>
      <c r="G102" s="228"/>
    </row>
    <row r="103" spans="1:10">
      <c r="A103" s="248" t="s">
        <v>34</v>
      </c>
      <c r="B103" s="249">
        <f>F83</f>
        <v>13664.2625</v>
      </c>
      <c r="C103" s="247" t="s">
        <v>14</v>
      </c>
      <c r="E103" s="231" t="s">
        <v>29</v>
      </c>
      <c r="F103" s="238">
        <v>35</v>
      </c>
      <c r="G103" s="247" t="s">
        <v>30</v>
      </c>
    </row>
    <row r="104" spans="1:10">
      <c r="A104" s="248" t="s">
        <v>15</v>
      </c>
      <c r="B104" s="249">
        <f>B103+F91</f>
        <v>22457.3475</v>
      </c>
      <c r="C104" s="247" t="s">
        <v>14</v>
      </c>
      <c r="E104" s="231" t="s">
        <v>31</v>
      </c>
      <c r="F104" s="232">
        <v>15</v>
      </c>
      <c r="G104" s="247" t="s">
        <v>12</v>
      </c>
    </row>
    <row r="105" spans="1:10">
      <c r="B105" s="224"/>
      <c r="E105" s="248" t="s">
        <v>11</v>
      </c>
      <c r="F105" s="249">
        <f>F103*F104</f>
        <v>525</v>
      </c>
      <c r="G105" s="247" t="s">
        <v>14</v>
      </c>
    </row>
    <row r="106" spans="1:10">
      <c r="E106" s="248" t="s">
        <v>13</v>
      </c>
      <c r="F106" s="232">
        <f>F105*(B3+B2)</f>
        <v>10500</v>
      </c>
      <c r="G106" s="247" t="s">
        <v>14</v>
      </c>
    </row>
    <row r="107" spans="1:10">
      <c r="A107" s="231"/>
      <c r="B107" s="232"/>
      <c r="E107" s="248" t="s">
        <v>15</v>
      </c>
      <c r="F107" s="249">
        <f>B104-F106</f>
        <v>11957.3475</v>
      </c>
      <c r="G107" s="247" t="s">
        <v>14</v>
      </c>
    </row>
    <row r="109" ht="19.2" spans="1:10">
      <c r="A109" s="228" t="s">
        <v>43</v>
      </c>
      <c r="B109" s="228"/>
      <c r="C109" s="228"/>
      <c r="D109" s="228"/>
      <c r="E109" s="228"/>
      <c r="F109" s="228"/>
      <c r="G109" s="228"/>
    </row>
    <row r="110" spans="1:10">
      <c r="A110" s="231" t="s">
        <v>17</v>
      </c>
      <c r="B110" s="240">
        <v>12.99</v>
      </c>
      <c r="C110" s="233" t="s">
        <v>8</v>
      </c>
      <c r="E110" s="252" t="s">
        <v>18</v>
      </c>
      <c r="F110" s="253">
        <f>B110-(B110*(B4/100))-B5</f>
        <v>7.0515</v>
      </c>
      <c r="G110" s="254" t="s">
        <v>8</v>
      </c>
    </row>
    <row r="111" spans="1:10">
      <c r="A111" s="231" t="s">
        <v>19</v>
      </c>
      <c r="B111" s="232">
        <v>50</v>
      </c>
      <c r="C111" s="233" t="s">
        <v>8</v>
      </c>
      <c r="E111" s="252" t="s">
        <v>20</v>
      </c>
      <c r="F111" s="255">
        <f>F110*F105</f>
        <v>3702.0375</v>
      </c>
      <c r="G111" s="254" t="s">
        <v>8</v>
      </c>
    </row>
    <row r="112" spans="1:10">
      <c r="A112" s="231" t="s">
        <v>21</v>
      </c>
      <c r="B112" s="232">
        <f>F104</f>
        <v>15</v>
      </c>
      <c r="C112" s="233" t="s">
        <v>22</v>
      </c>
      <c r="E112" s="252" t="s">
        <v>23</v>
      </c>
      <c r="F112" s="255">
        <f>B111*(F105/B112)</f>
        <v>1750</v>
      </c>
      <c r="G112" s="254" t="s">
        <v>8</v>
      </c>
    </row>
    <row r="113" spans="1:10">
      <c r="B113" s="224"/>
      <c r="E113" s="252" t="s">
        <v>24</v>
      </c>
      <c r="F113" s="255">
        <f>F111-F112-(F106/F2)</f>
        <v>452.0375</v>
      </c>
      <c r="G113" s="254" t="s">
        <v>8</v>
      </c>
    </row>
    <row r="114" ht="31.2" spans="1:10">
      <c r="B114" s="224"/>
      <c r="E114" s="256" t="s">
        <v>25</v>
      </c>
      <c r="F114" s="257">
        <f>F111-F112</f>
        <v>1952.0375</v>
      </c>
      <c r="G114" s="258" t="s">
        <v>8</v>
      </c>
      <c r="I114" s="224" t="s">
        <v>26</v>
      </c>
      <c r="J114" s="232">
        <f>J98-(B103/F2)+F114</f>
        <v>3904.075</v>
      </c>
    </row>
    <row r="115" spans="1:10">
      <c r="B115" s="224"/>
      <c r="F115" s="224">
        <f>F114*F2</f>
        <v>13664.2625</v>
      </c>
      <c r="G115" s="224" t="s">
        <v>14</v>
      </c>
    </row>
    <row r="116" spans="1:10">
      <c r="B116" s="224"/>
      <c r="E116" s="231" t="s">
        <v>27</v>
      </c>
      <c r="F116" s="225">
        <f>F115-F106</f>
        <v>3164.2625</v>
      </c>
      <c r="G116" s="224" t="s">
        <v>14</v>
      </c>
    </row>
    <row r="118" ht="19.2" spans="1:10">
      <c r="A118" s="228" t="s">
        <v>44</v>
      </c>
      <c r="B118" s="228"/>
      <c r="C118" s="228"/>
      <c r="D118" s="228"/>
      <c r="E118" s="228"/>
      <c r="F118" s="228"/>
      <c r="G118" s="228"/>
    </row>
    <row r="119" spans="1:10">
      <c r="A119" s="248" t="s">
        <v>34</v>
      </c>
      <c r="B119" s="249">
        <f>F99</f>
        <v>13664.2625</v>
      </c>
      <c r="C119" s="247" t="s">
        <v>14</v>
      </c>
      <c r="E119" s="231" t="s">
        <v>29</v>
      </c>
      <c r="F119" s="238">
        <v>35</v>
      </c>
      <c r="G119" s="247" t="s">
        <v>30</v>
      </c>
    </row>
    <row r="120" spans="1:10">
      <c r="A120" s="248" t="s">
        <v>15</v>
      </c>
      <c r="B120" s="249">
        <f>B119+F107</f>
        <v>25621.61</v>
      </c>
      <c r="C120" s="247" t="s">
        <v>14</v>
      </c>
      <c r="E120" s="231" t="s">
        <v>31</v>
      </c>
      <c r="F120" s="232">
        <v>15</v>
      </c>
      <c r="G120" s="247" t="s">
        <v>12</v>
      </c>
    </row>
    <row r="121" spans="1:10">
      <c r="B121" s="224"/>
      <c r="E121" s="248" t="s">
        <v>11</v>
      </c>
      <c r="F121" s="249">
        <f>F119*F120</f>
        <v>525</v>
      </c>
      <c r="G121" s="247" t="s">
        <v>14</v>
      </c>
    </row>
    <row r="122" spans="1:10">
      <c r="E122" s="248" t="s">
        <v>13</v>
      </c>
      <c r="F122" s="232">
        <f>F121*(B2+B3)</f>
        <v>10500</v>
      </c>
      <c r="G122" s="247" t="s">
        <v>14</v>
      </c>
    </row>
    <row r="123" spans="1:10">
      <c r="A123" s="231"/>
      <c r="B123" s="232"/>
      <c r="E123" s="248" t="s">
        <v>15</v>
      </c>
      <c r="F123" s="249">
        <f>B120-F122</f>
        <v>15121.61</v>
      </c>
      <c r="G123" s="247" t="s">
        <v>14</v>
      </c>
    </row>
  </sheetData>
  <mergeCells count="16">
    <mergeCell ref="A1:G1"/>
    <mergeCell ref="A8:G8"/>
    <mergeCell ref="A13:G13"/>
    <mergeCell ref="A22:G22"/>
    <mergeCell ref="A29:G29"/>
    <mergeCell ref="A38:G38"/>
    <mergeCell ref="A45:G45"/>
    <mergeCell ref="A54:G54"/>
    <mergeCell ref="A61:G61"/>
    <mergeCell ref="A70:G70"/>
    <mergeCell ref="A77:G77"/>
    <mergeCell ref="A86:G86"/>
    <mergeCell ref="A93:G93"/>
    <mergeCell ref="A102:G102"/>
    <mergeCell ref="A109:G109"/>
    <mergeCell ref="A118:G118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0"/>
  <sheetViews>
    <sheetView zoomScale="115" zoomScaleNormal="115" workbookViewId="0">
      <selection activeCell="G23" sqref="G23"/>
    </sheetView>
  </sheetViews>
  <sheetFormatPr defaultColWidth="8.66666666666667" defaultRowHeight="15.6"/>
  <cols>
    <col min="1" max="1" width="12.5" style="194" customWidth="1"/>
    <col min="2" max="2" width="9.16666666666667" style="194" customWidth="1"/>
    <col min="3" max="3" width="2.66666666666667" style="194" customWidth="1"/>
    <col min="4" max="4" width="18" style="194" customWidth="1"/>
    <col min="5" max="5" width="11.6666666666667" style="195" customWidth="1"/>
    <col min="6" max="7" width="8.66666666666667" style="194"/>
    <col min="8" max="8" width="16.25" style="194" customWidth="1"/>
    <col min="9" max="9" width="9.87962962962963" style="194" customWidth="1"/>
    <col min="10" max="16384" width="8.66666666666667" style="194"/>
  </cols>
  <sheetData>
    <row r="1" ht="16.2" spans="1:11">
      <c r="A1" s="196" t="s">
        <v>45</v>
      </c>
      <c r="B1" s="197">
        <v>5.9</v>
      </c>
      <c r="C1" s="82" t="s">
        <v>2</v>
      </c>
      <c r="D1" s="198" t="s">
        <v>46</v>
      </c>
      <c r="E1" s="170">
        <v>40</v>
      </c>
      <c r="F1" s="169" t="s">
        <v>8</v>
      </c>
      <c r="H1" s="199" t="s">
        <v>47</v>
      </c>
      <c r="I1" s="199" t="s">
        <v>48</v>
      </c>
      <c r="J1" s="199" t="s">
        <v>49</v>
      </c>
      <c r="K1" s="200" t="s">
        <v>50</v>
      </c>
    </row>
    <row r="2" ht="16.2" spans="1:11">
      <c r="A2" s="196" t="s">
        <v>51</v>
      </c>
      <c r="B2" s="197">
        <v>1</v>
      </c>
      <c r="C2" s="82" t="s">
        <v>2</v>
      </c>
      <c r="D2" s="198" t="s">
        <v>52</v>
      </c>
      <c r="E2" s="170">
        <v>0.27</v>
      </c>
      <c r="F2" s="169" t="s">
        <v>8</v>
      </c>
      <c r="H2" s="199">
        <v>0.4</v>
      </c>
      <c r="I2" s="201">
        <v>0.2</v>
      </c>
      <c r="J2" s="199">
        <v>9.99</v>
      </c>
      <c r="K2" s="202">
        <f>H2/(I2*J2)</f>
        <v>0.2002002002002</v>
      </c>
    </row>
    <row r="3" ht="16.2" spans="1:11">
      <c r="A3" s="196" t="s">
        <v>53</v>
      </c>
      <c r="B3" s="197">
        <v>15</v>
      </c>
      <c r="C3" s="82" t="s">
        <v>6</v>
      </c>
      <c r="D3" s="198" t="s">
        <v>54</v>
      </c>
      <c r="E3" s="203">
        <f>E1/E2</f>
        <v>148.148148148148</v>
      </c>
      <c r="F3" s="169" t="s">
        <v>55</v>
      </c>
      <c r="H3" s="204"/>
      <c r="I3" s="204"/>
      <c r="J3" s="204"/>
      <c r="K3" s="204"/>
    </row>
    <row r="4" ht="16.2" spans="1:11">
      <c r="A4" s="196" t="s">
        <v>7</v>
      </c>
      <c r="B4" s="197">
        <v>2.91</v>
      </c>
      <c r="C4" s="82" t="s">
        <v>8</v>
      </c>
      <c r="D4" s="198" t="s">
        <v>56</v>
      </c>
      <c r="E4" s="205">
        <v>5.81</v>
      </c>
      <c r="F4" s="169" t="s">
        <v>6</v>
      </c>
      <c r="H4" s="200" t="s">
        <v>47</v>
      </c>
      <c r="I4" s="206" t="s">
        <v>57</v>
      </c>
      <c r="J4" s="199" t="s">
        <v>49</v>
      </c>
      <c r="K4" s="199" t="s">
        <v>50</v>
      </c>
    </row>
    <row r="5" ht="16.2" spans="1:11">
      <c r="A5" s="196" t="s">
        <v>58</v>
      </c>
      <c r="B5" s="207">
        <f>((B1+B2)/E14+B4)/(1-(B3/100))</f>
        <v>4.55098039215686</v>
      </c>
      <c r="C5" s="82" t="s">
        <v>8</v>
      </c>
      <c r="D5" s="198" t="s">
        <v>59</v>
      </c>
      <c r="E5" s="208">
        <v>9.99</v>
      </c>
      <c r="F5" s="169" t="s">
        <v>8</v>
      </c>
      <c r="H5" s="209">
        <f>K5*I5*J5</f>
        <v>0.95934969</v>
      </c>
      <c r="I5" s="201">
        <v>0.2075</v>
      </c>
      <c r="J5" s="199">
        <v>9.99</v>
      </c>
      <c r="K5" s="201">
        <v>0.4628</v>
      </c>
    </row>
    <row r="6" ht="16.2" spans="1:11">
      <c r="A6" s="196"/>
      <c r="B6" s="197"/>
      <c r="C6" s="82"/>
      <c r="D6" s="198" t="s">
        <v>60</v>
      </c>
      <c r="E6" s="208">
        <f>B14</f>
        <v>5.36683333333333</v>
      </c>
      <c r="F6" s="169" t="s">
        <v>8</v>
      </c>
    </row>
    <row r="7" ht="16.2" spans="1:11">
      <c r="A7" s="195"/>
      <c r="D7" s="198" t="s">
        <v>61</v>
      </c>
      <c r="E7" s="203">
        <f>ROUND(E3,0)*(E4/100)</f>
        <v>8.5988</v>
      </c>
      <c r="F7" s="169" t="s">
        <v>22</v>
      </c>
      <c r="G7" s="210"/>
    </row>
    <row r="8" ht="16.2" spans="1:11">
      <c r="A8" s="196" t="s">
        <v>62</v>
      </c>
      <c r="B8" s="211">
        <v>9.99</v>
      </c>
      <c r="C8" s="82" t="s">
        <v>8</v>
      </c>
      <c r="D8" s="198" t="s">
        <v>63</v>
      </c>
      <c r="E8" s="212">
        <f>(ROUND(E5,2)-ROUND(E6,2))*ROUND(E7,0)-E1</f>
        <v>1.58</v>
      </c>
      <c r="F8" s="169" t="s">
        <v>8</v>
      </c>
      <c r="I8" s="213"/>
      <c r="J8" s="213"/>
      <c r="K8" s="213"/>
    </row>
    <row r="9" ht="16.2" spans="1:11">
      <c r="A9" s="196" t="s">
        <v>64</v>
      </c>
      <c r="B9" s="197">
        <v>0</v>
      </c>
      <c r="C9" s="82" t="s">
        <v>6</v>
      </c>
      <c r="D9" s="198" t="s">
        <v>63</v>
      </c>
      <c r="E9" s="214">
        <f>E8*E14</f>
        <v>11.376</v>
      </c>
      <c r="F9" s="169" t="s">
        <v>14</v>
      </c>
      <c r="H9" s="215"/>
      <c r="I9" s="213"/>
      <c r="J9" s="213"/>
      <c r="K9" s="213"/>
    </row>
    <row r="10" ht="16.2" spans="1:11">
      <c r="A10" s="196" t="s">
        <v>65</v>
      </c>
      <c r="B10" s="216">
        <f>B8-(B8*(B9/100))</f>
        <v>9.99</v>
      </c>
      <c r="C10" s="82" t="s">
        <v>8</v>
      </c>
      <c r="D10" s="198" t="s">
        <v>66</v>
      </c>
      <c r="E10" s="214">
        <f>E9*30</f>
        <v>341.28</v>
      </c>
      <c r="F10" s="169" t="s">
        <v>14</v>
      </c>
      <c r="H10" s="217"/>
      <c r="I10" s="213"/>
      <c r="J10" s="213"/>
      <c r="K10" s="213"/>
    </row>
    <row r="11" ht="16.2" spans="1:11">
      <c r="A11" s="196" t="s">
        <v>53</v>
      </c>
      <c r="B11" s="197">
        <v>15</v>
      </c>
      <c r="C11" s="82" t="s">
        <v>6</v>
      </c>
      <c r="D11" s="198" t="s">
        <v>67</v>
      </c>
      <c r="E11" s="212">
        <f>(E2/((E4/100)*E5))*100</f>
        <v>46.5181188072754</v>
      </c>
      <c r="F11" s="169" t="s">
        <v>6</v>
      </c>
      <c r="H11" s="217"/>
      <c r="I11" s="213"/>
      <c r="J11" s="213"/>
      <c r="K11" s="213"/>
    </row>
    <row r="12" ht="16.2" spans="1:11">
      <c r="A12" s="196" t="s">
        <v>68</v>
      </c>
      <c r="B12" s="207">
        <f>(B8-(B8*(B9/100)))-((B8-(B8*(B9/100)))*(B11/100))-B4-((B1+B2)/E14)</f>
        <v>4.62316666666667</v>
      </c>
      <c r="C12" s="82" t="s">
        <v>8</v>
      </c>
      <c r="D12" s="169"/>
      <c r="E12" s="170"/>
      <c r="F12" s="169"/>
      <c r="H12" s="217"/>
      <c r="I12" s="213"/>
      <c r="J12" s="213"/>
      <c r="K12" s="213"/>
    </row>
    <row r="13" ht="16.2" spans="1:11">
      <c r="A13" s="198" t="s">
        <v>69</v>
      </c>
      <c r="B13" s="218">
        <f>(B8-(B8*(B9/100)))-((B8-(B8*(B9/100)))*(B11/100))-B4</f>
        <v>5.5815</v>
      </c>
      <c r="C13" s="82" t="s">
        <v>8</v>
      </c>
      <c r="D13" s="219"/>
      <c r="E13" s="170"/>
      <c r="F13" s="169"/>
      <c r="H13" s="217"/>
      <c r="I13" s="213"/>
      <c r="J13" s="213"/>
      <c r="K13" s="213"/>
    </row>
    <row r="14" ht="16.2" spans="1:11">
      <c r="A14" s="198" t="s">
        <v>70</v>
      </c>
      <c r="B14" s="218">
        <f>B10-B12</f>
        <v>5.36683333333333</v>
      </c>
      <c r="C14" s="82" t="s">
        <v>8</v>
      </c>
      <c r="D14" s="198" t="s">
        <v>3</v>
      </c>
      <c r="E14" s="220">
        <v>7.2</v>
      </c>
      <c r="F14" s="169"/>
      <c r="H14" s="217"/>
      <c r="I14" s="213"/>
      <c r="J14" s="213"/>
      <c r="K14" s="213"/>
    </row>
    <row r="15" ht="16.2" spans="1:11">
      <c r="A15" s="196" t="s">
        <v>71</v>
      </c>
      <c r="B15" s="221">
        <f>B12*E14/(B1+B2)*100</f>
        <v>482.417391304348</v>
      </c>
      <c r="C15" s="194" t="s">
        <v>6</v>
      </c>
      <c r="H15" s="215"/>
      <c r="I15" s="213"/>
      <c r="J15" s="213"/>
      <c r="K15" s="213"/>
    </row>
    <row r="16" ht="16.2" spans="1:11">
      <c r="A16" s="196" t="s">
        <v>68</v>
      </c>
      <c r="B16" s="221">
        <f>B12*B18</f>
        <v>33.2868</v>
      </c>
      <c r="C16" s="82" t="s">
        <v>8</v>
      </c>
      <c r="H16" s="215"/>
      <c r="I16" s="213"/>
      <c r="J16" s="213"/>
      <c r="K16" s="213"/>
    </row>
    <row r="17" ht="17" customHeight="1" spans="1:11">
      <c r="A17" s="198" t="s">
        <v>72</v>
      </c>
      <c r="B17" s="222">
        <f>B12/B8</f>
        <v>0.462779446112779</v>
      </c>
      <c r="C17" s="194" t="s">
        <v>6</v>
      </c>
      <c r="H17" s="217"/>
      <c r="I17" s="213"/>
      <c r="J17" s="213"/>
      <c r="K17" s="213"/>
    </row>
    <row r="18" ht="13" customHeight="1" spans="1:11">
      <c r="A18" s="198" t="s">
        <v>3</v>
      </c>
      <c r="B18" s="220">
        <v>7.2</v>
      </c>
      <c r="H18" s="217"/>
      <c r="I18" s="213"/>
      <c r="J18" s="213"/>
      <c r="K18" s="213"/>
    </row>
    <row r="19" spans="1:11">
      <c r="A19" s="223" t="s">
        <v>73</v>
      </c>
      <c r="B19" s="223"/>
      <c r="C19" s="223"/>
      <c r="D19" s="223"/>
    </row>
    <row r="20" spans="1:11">
      <c r="B20" s="194">
        <f>B12*B16</f>
        <v>153.8904242</v>
      </c>
    </row>
  </sheetData>
  <sheetProtection selectLockedCells="1"/>
  <mergeCells count="1">
    <mergeCell ref="A19:D19"/>
  </mergeCells>
  <conditionalFormatting sqref="H9:H18">
    <cfRule type="expression" dxfId="0" priority="1" stopIfTrue="1">
      <formula>IF(LEN(H9)&gt;0,1,0)</formula>
    </cfRule>
    <cfRule type="expression" dxfId="1" priority="2" stopIfTrue="1">
      <formula>IF(VLOOKUP($B$3,requiredAttributePTDMap,MATCH($A7,attributeMapFeedProductType,0)+1,FALSE)&gt;0,1,0)</formula>
    </cfRule>
    <cfRule type="expression" dxfId="2" priority="3" stopIfTrue="1">
      <formula>IF(VLOOKUP($B$3,optionalAttributePTDMap,MATCH($A7,attributeMapFeedProductType,0)+1,FALSE)&gt;0,1,0)</formula>
    </cfRule>
    <cfRule type="expression" dxfId="3" priority="4" stopIfTrue="1">
      <formula>IF(VLOOKUP($B$3,preferredAttributePTDMap,MATCH($A7,attributeMapFeedProductType,0)+1,FALSE)&gt;0,1,0)</formula>
    </cfRule>
    <cfRule type="expression" dxfId="4" priority="5" stopIfTrue="1">
      <formula>AND(IF(IFERROR(VLOOKUP($B$3,requiredAttributePTDMap,MATCH($A7,attributeMapFeedProductType,0)+1,FALSE),0)&gt;0,0,1),IF(IFERROR(VLOOKUP($B$3,optionalAttributePTDMap,MATCH($A7,attributeMapFeedProductType,0)+1,FALSE),0)&gt;0,0,1),IF(IFERROR(VLOOKUP($B$3,preferredAttributePTDMap,MATCH($A7,attributeMapFeedProductType,0)+1,FALSE),0)&gt;0,0,1),IF(IFERROR(MATCH($A7,attributeMapFeedProductType,0),0)&gt;0,1,0))</formula>
    </cfRule>
  </conditionalFormatting>
  <dataValidations count="1">
    <dataValidation allowBlank="1" showInputMessage="1" sqref="H9:H18"/>
  </dataValidations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21"/>
  <sheetViews>
    <sheetView zoomScale="200" zoomScaleNormal="200" workbookViewId="0">
      <selection activeCell="B16" sqref="B16"/>
    </sheetView>
  </sheetViews>
  <sheetFormatPr defaultColWidth="8.66666666666667" defaultRowHeight="15.6"/>
  <cols>
    <col min="1" max="1" width="7.5" style="76" customWidth="1"/>
    <col min="2" max="2" width="6.66666666666667" style="76" customWidth="1"/>
    <col min="3" max="3" width="2.66666666666667" style="76" customWidth="1"/>
    <col min="4" max="4" width="3" style="76" customWidth="1"/>
    <col min="5" max="5" width="5" style="77" customWidth="1"/>
    <col min="6" max="6" width="3" style="76" customWidth="1"/>
    <col min="7" max="7" width="3.16666666666667" style="76" customWidth="1"/>
    <col min="8" max="8" width="5.66666666666667" style="76" customWidth="1"/>
    <col min="9" max="9" width="4.16666666666667" style="76" customWidth="1"/>
    <col min="10" max="10" width="4.33333333333333" style="76" customWidth="1"/>
    <col min="11" max="11" width="7" style="78" customWidth="1"/>
    <col min="12" max="12" width="6.33333333333333" style="76" customWidth="1"/>
    <col min="13" max="13" width="7.5" style="76" customWidth="1"/>
    <col min="14" max="14" width="5.66666666666667" style="76" customWidth="1"/>
    <col min="15" max="15" width="4.16666666666667" style="76" customWidth="1"/>
    <col min="16" max="16" width="4.5" style="76" customWidth="1"/>
    <col min="17" max="18" width="5.83333333333333" style="76" customWidth="1"/>
    <col min="19" max="19" width="2.66666666666667" style="76" customWidth="1"/>
    <col min="20" max="21" width="8.66666666666667" style="76"/>
    <col min="22" max="22" width="3.33333333333333" style="76" customWidth="1"/>
    <col min="23" max="23" width="4" style="76" customWidth="1"/>
    <col min="24" max="24" width="5" style="76" customWidth="1"/>
    <col min="25" max="25" width="3.33333333333333" style="76" customWidth="1"/>
    <col min="26" max="16384" width="8.66666666666667" style="76"/>
  </cols>
  <sheetData>
    <row r="1" spans="1:26">
      <c r="A1" s="79" t="s">
        <v>45</v>
      </c>
      <c r="B1" s="80">
        <f>L16</f>
        <v>20</v>
      </c>
      <c r="C1" s="81" t="s">
        <v>2</v>
      </c>
      <c r="D1" s="82"/>
      <c r="E1" s="83"/>
      <c r="F1" s="82"/>
      <c r="G1" s="84"/>
      <c r="H1" s="85" t="s">
        <v>74</v>
      </c>
      <c r="I1" s="86"/>
      <c r="J1" s="86"/>
      <c r="K1" s="86"/>
      <c r="L1" s="86"/>
      <c r="M1" s="87"/>
      <c r="N1" s="88" t="s">
        <v>75</v>
      </c>
      <c r="O1" s="89"/>
      <c r="P1" s="89"/>
      <c r="Q1" s="89"/>
      <c r="R1" s="89"/>
      <c r="S1" s="87"/>
      <c r="T1" s="90" t="s">
        <v>45</v>
      </c>
      <c r="U1" s="91">
        <f>L16</f>
        <v>20</v>
      </c>
      <c r="V1" s="92" t="s">
        <v>2</v>
      </c>
      <c r="W1" s="82"/>
      <c r="X1" s="83"/>
      <c r="Y1" s="82"/>
      <c r="Z1" s="93"/>
    </row>
    <row r="2" spans="1:26">
      <c r="A2" s="79" t="s">
        <v>51</v>
      </c>
      <c r="B2" s="80">
        <f>L3</f>
        <v>29.8</v>
      </c>
      <c r="C2" s="81" t="s">
        <v>2</v>
      </c>
      <c r="D2" s="94" t="s">
        <v>76</v>
      </c>
      <c r="E2" s="95">
        <f>B1+B2</f>
        <v>49.8</v>
      </c>
      <c r="F2" s="96" t="s">
        <v>14</v>
      </c>
      <c r="G2" s="97"/>
      <c r="H2" s="98" t="s">
        <v>77</v>
      </c>
      <c r="I2" s="98" t="s">
        <v>78</v>
      </c>
      <c r="J2" s="98" t="s">
        <v>79</v>
      </c>
      <c r="K2" s="99" t="s">
        <v>80</v>
      </c>
      <c r="L2" s="98" t="s">
        <v>81</v>
      </c>
      <c r="M2" s="87"/>
      <c r="N2" s="100" t="s">
        <v>77</v>
      </c>
      <c r="O2" s="100" t="s">
        <v>78</v>
      </c>
      <c r="P2" s="100" t="s">
        <v>79</v>
      </c>
      <c r="Q2" s="101" t="s">
        <v>80</v>
      </c>
      <c r="R2" s="100" t="s">
        <v>81</v>
      </c>
      <c r="S2" s="87"/>
      <c r="T2" s="90" t="s">
        <v>51</v>
      </c>
      <c r="U2" s="91">
        <f>R3</f>
        <v>38.3</v>
      </c>
      <c r="V2" s="92" t="s">
        <v>2</v>
      </c>
      <c r="W2" s="94" t="s">
        <v>76</v>
      </c>
      <c r="X2" s="95">
        <f>U1+U2</f>
        <v>58.3</v>
      </c>
      <c r="Y2" s="96" t="s">
        <v>14</v>
      </c>
      <c r="Z2" s="93"/>
    </row>
    <row r="3" spans="1:26">
      <c r="A3" s="79" t="s">
        <v>53</v>
      </c>
      <c r="B3" s="80">
        <f>L20</f>
        <v>15</v>
      </c>
      <c r="C3" s="81" t="s">
        <v>6</v>
      </c>
      <c r="D3" s="82"/>
      <c r="E3" s="83"/>
      <c r="F3" s="82"/>
      <c r="G3" s="84"/>
      <c r="H3" s="102">
        <f>L17</f>
        <v>0.1</v>
      </c>
      <c r="I3" s="102">
        <f>IF(H3&lt;=0.3,I6,IF(H3&lt;=0.45,I7,IF(H3&lt;=0.7,I8,IF(H3&lt;=1,I9,I10))))</f>
        <v>68</v>
      </c>
      <c r="J3" s="102">
        <f>IF(H3&lt;=0.3,J6,IF(H3&lt;=0.45,J7,IF(H3&lt;=0.7,J8,IF(H3&lt;=1,J9,J10))))</f>
        <v>17</v>
      </c>
      <c r="K3" s="103">
        <f>L15</f>
        <v>6</v>
      </c>
      <c r="L3" s="104">
        <f>H3*I3+J3+K3</f>
        <v>29.8</v>
      </c>
      <c r="M3" s="87"/>
      <c r="N3" s="102">
        <f>L17</f>
        <v>0.1</v>
      </c>
      <c r="O3" s="102">
        <f>IF(N3&lt;=0.15,O6,IF(N3&lt;=0.3,O7,IF(N3&lt;=0.5,O8,IF(N3&lt;=0.75,O9,IF(N3&lt;=1,O10,IF(N3&lt;=1.5,O11,IF(N3&lt;=2,O12,O13)))))))</f>
        <v>83</v>
      </c>
      <c r="P3" s="102">
        <f>IF(N3&lt;=0.15,P6,IF(N3&lt;=0.3,P7,IF(N3&lt;=0.5,P8,IF(N3&lt;=0.75,P9,IF(N3&lt;=1,P10,IF(N3&lt;=1.5,P11,IF(N3&lt;=2,P12,P13)))))))</f>
        <v>24</v>
      </c>
      <c r="Q3" s="103">
        <f>L15</f>
        <v>6</v>
      </c>
      <c r="R3" s="105">
        <f>N3*O3+P3+Q3</f>
        <v>38.3</v>
      </c>
      <c r="S3" s="87"/>
      <c r="T3" s="90" t="s">
        <v>53</v>
      </c>
      <c r="U3" s="91">
        <f>L20</f>
        <v>15</v>
      </c>
      <c r="V3" s="92" t="s">
        <v>6</v>
      </c>
      <c r="W3" s="82"/>
      <c r="X3" s="83"/>
      <c r="Y3" s="82"/>
      <c r="Z3" s="93"/>
    </row>
    <row r="4" ht="16" customHeight="1" spans="1:26">
      <c r="A4" s="106" t="s">
        <v>82</v>
      </c>
      <c r="B4" s="107">
        <v>3.99</v>
      </c>
      <c r="C4" s="81" t="s">
        <v>8</v>
      </c>
      <c r="D4" s="82"/>
      <c r="E4" s="83"/>
      <c r="F4" s="82"/>
      <c r="G4" s="84"/>
      <c r="H4" s="108"/>
      <c r="I4" s="108"/>
      <c r="J4" s="108"/>
      <c r="K4" s="109"/>
      <c r="L4" s="110"/>
      <c r="M4" s="87"/>
      <c r="N4" s="111"/>
      <c r="O4" s="111"/>
      <c r="P4" s="111"/>
      <c r="Q4" s="112"/>
      <c r="R4" s="113"/>
      <c r="S4" s="87"/>
      <c r="T4" s="114" t="s">
        <v>82</v>
      </c>
      <c r="U4" s="115">
        <v>4.99</v>
      </c>
      <c r="V4" s="92" t="s">
        <v>83</v>
      </c>
      <c r="W4" s="82"/>
      <c r="X4" s="83"/>
      <c r="Y4" s="82"/>
      <c r="Z4" s="93"/>
    </row>
    <row r="5" spans="1:26">
      <c r="A5" s="79" t="s">
        <v>58</v>
      </c>
      <c r="B5" s="116">
        <f>((B1+B2)/B16)/(1-(B3/100))-B4</f>
        <v>4.6259169550173</v>
      </c>
      <c r="C5" s="81" t="s">
        <v>8</v>
      </c>
      <c r="D5" s="82"/>
      <c r="E5" s="83"/>
      <c r="F5" s="82"/>
      <c r="G5" s="84"/>
      <c r="H5" s="117" t="s">
        <v>84</v>
      </c>
      <c r="I5" s="117" t="s">
        <v>78</v>
      </c>
      <c r="J5" s="118" t="s">
        <v>79</v>
      </c>
      <c r="K5" s="119"/>
      <c r="L5" s="110"/>
      <c r="M5" s="87"/>
      <c r="N5" s="120" t="s">
        <v>84</v>
      </c>
      <c r="O5" s="120" t="s">
        <v>78</v>
      </c>
      <c r="P5" s="120" t="s">
        <v>79</v>
      </c>
      <c r="Q5" s="121"/>
      <c r="R5" s="113"/>
      <c r="S5" s="87"/>
      <c r="T5" s="90" t="s">
        <v>58</v>
      </c>
      <c r="U5" s="122">
        <f>((U1+U2)/U16)/(1-(U3/100))-U4</f>
        <v>7.71152505446623</v>
      </c>
      <c r="V5" s="92" t="s">
        <v>83</v>
      </c>
      <c r="W5" s="82"/>
      <c r="X5" s="83"/>
      <c r="Y5" s="82"/>
      <c r="Z5" s="93"/>
    </row>
    <row r="6" spans="1:26">
      <c r="A6" s="79"/>
      <c r="B6" s="123"/>
      <c r="C6" s="81"/>
      <c r="D6" s="82"/>
      <c r="E6" s="83"/>
      <c r="F6" s="82"/>
      <c r="G6" s="84"/>
      <c r="H6" s="124" t="s">
        <v>85</v>
      </c>
      <c r="I6" s="125">
        <v>68</v>
      </c>
      <c r="J6" s="125">
        <v>17</v>
      </c>
      <c r="K6" s="126"/>
      <c r="L6" s="127"/>
      <c r="M6" s="87"/>
      <c r="N6" s="128" t="s">
        <v>86</v>
      </c>
      <c r="O6" s="129">
        <v>83</v>
      </c>
      <c r="P6" s="129">
        <v>24</v>
      </c>
      <c r="Q6" s="130"/>
      <c r="R6" s="131"/>
      <c r="S6" s="87"/>
      <c r="T6" s="90"/>
      <c r="U6" s="132"/>
      <c r="V6" s="92"/>
      <c r="W6" s="82"/>
      <c r="X6" s="83"/>
      <c r="Y6" s="82"/>
      <c r="Z6" s="93"/>
    </row>
    <row r="7" spans="1:26">
      <c r="A7" s="79"/>
      <c r="B7" s="133">
        <f>B4+B10</f>
        <v>11.97</v>
      </c>
      <c r="C7" s="81"/>
      <c r="D7" s="82"/>
      <c r="E7" s="83"/>
      <c r="F7" s="82"/>
      <c r="G7" s="84"/>
      <c r="H7" s="124" t="s">
        <v>87</v>
      </c>
      <c r="I7" s="125">
        <v>68</v>
      </c>
      <c r="J7" s="125">
        <v>17</v>
      </c>
      <c r="K7" s="126"/>
      <c r="L7" s="127"/>
      <c r="M7" s="87"/>
      <c r="N7" s="128" t="s">
        <v>88</v>
      </c>
      <c r="O7" s="129">
        <v>83</v>
      </c>
      <c r="P7" s="129">
        <v>22</v>
      </c>
      <c r="Q7" s="130"/>
      <c r="R7" s="131"/>
      <c r="S7" s="87"/>
      <c r="T7" s="90"/>
      <c r="U7" s="133">
        <f>U10+U4</f>
        <v>13.97</v>
      </c>
      <c r="V7" s="92"/>
      <c r="W7" s="82"/>
      <c r="X7" s="83"/>
      <c r="Y7" s="82"/>
      <c r="Z7" s="93"/>
    </row>
    <row r="8" spans="1:26">
      <c r="A8" s="79" t="s">
        <v>62</v>
      </c>
      <c r="B8" s="134">
        <f>L18+0.98</f>
        <v>7.98</v>
      </c>
      <c r="C8" s="81" t="s">
        <v>8</v>
      </c>
      <c r="D8" s="94" t="s">
        <v>89</v>
      </c>
      <c r="E8" s="135">
        <f>B8*B16</f>
        <v>54.264</v>
      </c>
      <c r="F8" s="96" t="s">
        <v>14</v>
      </c>
      <c r="G8" s="97"/>
      <c r="H8" s="124" t="s">
        <v>90</v>
      </c>
      <c r="I8" s="125">
        <v>68</v>
      </c>
      <c r="J8" s="125">
        <v>17</v>
      </c>
      <c r="K8" s="136"/>
      <c r="M8" s="87"/>
      <c r="N8" s="128" t="s">
        <v>91</v>
      </c>
      <c r="O8" s="129">
        <v>73</v>
      </c>
      <c r="P8" s="129">
        <v>22</v>
      </c>
      <c r="Q8" s="130"/>
      <c r="R8" s="131"/>
      <c r="S8" s="87"/>
      <c r="T8" s="90" t="s">
        <v>62</v>
      </c>
      <c r="U8" s="137">
        <f>L19+0.98</f>
        <v>8.98</v>
      </c>
      <c r="V8" s="92" t="s">
        <v>83</v>
      </c>
      <c r="W8" s="94" t="s">
        <v>89</v>
      </c>
      <c r="X8" s="135">
        <f>U8*U16</f>
        <v>48.492</v>
      </c>
      <c r="Y8" s="96" t="s">
        <v>14</v>
      </c>
      <c r="Z8" s="93"/>
    </row>
    <row r="9" spans="1:26">
      <c r="A9" s="79" t="s">
        <v>64</v>
      </c>
      <c r="B9" s="107"/>
      <c r="C9" s="81" t="s">
        <v>6</v>
      </c>
      <c r="D9" s="82"/>
      <c r="E9" s="83"/>
      <c r="F9" s="82"/>
      <c r="G9" s="84"/>
      <c r="H9" s="124" t="s">
        <v>92</v>
      </c>
      <c r="I9" s="125">
        <v>68</v>
      </c>
      <c r="J9" s="125">
        <v>10</v>
      </c>
      <c r="K9" s="136"/>
      <c r="M9" s="87"/>
      <c r="N9" s="128" t="s">
        <v>93</v>
      </c>
      <c r="O9" s="129">
        <v>70</v>
      </c>
      <c r="P9" s="129">
        <v>26</v>
      </c>
      <c r="Q9" s="130"/>
      <c r="R9" s="131"/>
      <c r="S9" s="87"/>
      <c r="T9" s="90" t="s">
        <v>64</v>
      </c>
      <c r="U9" s="115"/>
      <c r="V9" s="92" t="s">
        <v>6</v>
      </c>
      <c r="W9" s="82"/>
      <c r="X9" s="83"/>
      <c r="Y9" s="82"/>
      <c r="Z9" s="93"/>
    </row>
    <row r="10" spans="1:26">
      <c r="A10" s="79" t="s">
        <v>65</v>
      </c>
      <c r="B10" s="138">
        <f>B8-(B8*(B9/100))</f>
        <v>7.98</v>
      </c>
      <c r="C10" s="81" t="s">
        <v>8</v>
      </c>
      <c r="D10" s="82"/>
      <c r="E10" s="83"/>
      <c r="F10" s="82"/>
      <c r="G10" s="84"/>
      <c r="H10" s="139" t="s">
        <v>94</v>
      </c>
      <c r="I10" s="125">
        <v>68</v>
      </c>
      <c r="J10" s="125">
        <v>10</v>
      </c>
      <c r="K10" s="136"/>
      <c r="M10" s="87"/>
      <c r="N10" s="128" t="s">
        <v>95</v>
      </c>
      <c r="O10" s="129">
        <v>70</v>
      </c>
      <c r="P10" s="129">
        <v>29</v>
      </c>
      <c r="Q10" s="130"/>
      <c r="R10" s="131"/>
      <c r="S10" s="87"/>
      <c r="T10" s="90" t="s">
        <v>65</v>
      </c>
      <c r="U10" s="140">
        <f>U8-(U8*(U9/100))</f>
        <v>8.98</v>
      </c>
      <c r="V10" s="92" t="s">
        <v>83</v>
      </c>
      <c r="W10" s="82"/>
      <c r="X10" s="83"/>
      <c r="Y10" s="82"/>
      <c r="Z10" s="93"/>
    </row>
    <row r="11" spans="1:26">
      <c r="A11" s="79" t="s">
        <v>53</v>
      </c>
      <c r="B11" s="80">
        <f>B3</f>
        <v>15</v>
      </c>
      <c r="C11" s="81" t="s">
        <v>6</v>
      </c>
      <c r="D11" s="141" t="s">
        <v>96</v>
      </c>
      <c r="E11" s="142">
        <f>E12-E2</f>
        <v>-30.4134</v>
      </c>
      <c r="F11" s="143" t="s">
        <v>14</v>
      </c>
      <c r="G11" s="144"/>
      <c r="H11" s="145"/>
      <c r="I11" s="145"/>
      <c r="J11" s="145"/>
      <c r="K11" s="146"/>
      <c r="L11" s="145"/>
      <c r="M11" s="147"/>
      <c r="N11" s="128" t="s">
        <v>97</v>
      </c>
      <c r="O11" s="129">
        <v>78</v>
      </c>
      <c r="P11" s="129">
        <v>29</v>
      </c>
      <c r="Q11" s="93"/>
      <c r="S11" s="87"/>
      <c r="T11" s="90" t="s">
        <v>53</v>
      </c>
      <c r="U11" s="91">
        <f>U3</f>
        <v>15</v>
      </c>
      <c r="V11" s="92" t="s">
        <v>6</v>
      </c>
      <c r="W11" s="141" t="s">
        <v>96</v>
      </c>
      <c r="X11" s="142">
        <f>X12-X2</f>
        <v>-52.4777</v>
      </c>
      <c r="Y11" s="143" t="s">
        <v>14</v>
      </c>
      <c r="Z11" s="93"/>
    </row>
    <row r="12" spans="1:26">
      <c r="A12" s="79" t="s">
        <v>68</v>
      </c>
      <c r="B12" s="116">
        <f>(B8-(B8*(B9/100))+B4)-((B8-(B8*(B9/100))+B4)*(B11/100))-((B1+B2)/B16)</f>
        <v>2.85097058823529</v>
      </c>
      <c r="C12" s="81" t="s">
        <v>8</v>
      </c>
      <c r="D12" s="94" t="s">
        <v>98</v>
      </c>
      <c r="E12" s="135">
        <f>B12*B16</f>
        <v>19.3866</v>
      </c>
      <c r="F12" s="96" t="s">
        <v>14</v>
      </c>
      <c r="G12" s="148"/>
      <c r="H12" s="149"/>
      <c r="I12" s="150"/>
      <c r="J12" s="150"/>
      <c r="K12" s="151"/>
      <c r="L12" s="150"/>
      <c r="M12" s="147"/>
      <c r="N12" s="128" t="s">
        <v>99</v>
      </c>
      <c r="O12" s="129">
        <v>78</v>
      </c>
      <c r="P12" s="129">
        <v>31</v>
      </c>
      <c r="Q12" s="93"/>
      <c r="S12" s="87"/>
      <c r="T12" s="90" t="s">
        <v>68</v>
      </c>
      <c r="U12" s="122">
        <f>(U8-(U8*(U9/100))+U4)-((U8-(U8*(U9/100))+U4)*(U11/100))-((U1+U2)/U16)</f>
        <v>1.07820370370371</v>
      </c>
      <c r="V12" s="92" t="s">
        <v>83</v>
      </c>
      <c r="W12" s="94" t="s">
        <v>98</v>
      </c>
      <c r="X12" s="135">
        <f>U12*U16</f>
        <v>5.82230000000001</v>
      </c>
      <c r="Y12" s="96" t="s">
        <v>14</v>
      </c>
      <c r="Z12" s="93"/>
    </row>
    <row r="13" spans="1:26">
      <c r="A13" s="152" t="s">
        <v>69</v>
      </c>
      <c r="B13" s="153">
        <f>(B8-(B8*(B9/100))+B4)-((B8-(B8*(B9/100))+B4)*(B11/100))</f>
        <v>10.1745</v>
      </c>
      <c r="C13" s="81" t="s">
        <v>8</v>
      </c>
      <c r="D13" s="94" t="s">
        <v>100</v>
      </c>
      <c r="E13" s="135">
        <f>E12/(B1+B2)*100</f>
        <v>38.9289156626506</v>
      </c>
      <c r="F13" s="96" t="s">
        <v>6</v>
      </c>
      <c r="G13" s="148"/>
      <c r="H13" s="154"/>
      <c r="I13" s="154"/>
      <c r="J13" s="155"/>
      <c r="K13" s="156"/>
      <c r="L13" s="155"/>
      <c r="M13" s="157"/>
      <c r="N13" s="128" t="s">
        <v>101</v>
      </c>
      <c r="O13" s="129">
        <v>73</v>
      </c>
      <c r="P13" s="129">
        <v>32</v>
      </c>
      <c r="Q13" s="93"/>
      <c r="S13" s="87"/>
      <c r="T13" s="158" t="s">
        <v>69</v>
      </c>
      <c r="U13" s="159">
        <f>(U8-(U8*(U9/100))+U4)-((U8-(U8*(U9/100))+U4)*(U11/100))</f>
        <v>11.8745</v>
      </c>
      <c r="V13" s="92" t="s">
        <v>83</v>
      </c>
      <c r="W13" s="94" t="s">
        <v>100</v>
      </c>
      <c r="X13" s="135">
        <f>X12/(U1+U2)*100</f>
        <v>9.9867924528302</v>
      </c>
      <c r="Y13" s="96" t="s">
        <v>6</v>
      </c>
      <c r="Z13" s="93"/>
    </row>
    <row r="14" spans="1:26">
      <c r="A14" s="152" t="s">
        <v>70</v>
      </c>
      <c r="B14" s="153">
        <f>B10-B12</f>
        <v>5.12902941176471</v>
      </c>
      <c r="C14" s="81" t="s">
        <v>8</v>
      </c>
      <c r="D14" s="160" t="s">
        <v>102</v>
      </c>
      <c r="E14" s="161">
        <f>B12/B13*100</f>
        <v>28.0207439012757</v>
      </c>
      <c r="F14" s="96" t="s">
        <v>6</v>
      </c>
      <c r="G14" s="148"/>
      <c r="H14" s="162"/>
      <c r="I14" s="163"/>
      <c r="J14" s="164" t="s">
        <v>103</v>
      </c>
      <c r="K14" s="165"/>
      <c r="L14" s="165"/>
      <c r="M14" s="166"/>
      <c r="N14" s="167"/>
      <c r="O14" s="145"/>
      <c r="P14" s="145"/>
      <c r="S14" s="147"/>
      <c r="T14" s="158" t="s">
        <v>70</v>
      </c>
      <c r="U14" s="159">
        <f>U10-U12</f>
        <v>7.9017962962963</v>
      </c>
      <c r="V14" s="92" t="s">
        <v>83</v>
      </c>
      <c r="W14" s="160" t="s">
        <v>102</v>
      </c>
      <c r="X14" s="161">
        <f>U12/U13*100</f>
        <v>9.07999245192391</v>
      </c>
      <c r="Y14" s="96" t="s">
        <v>6</v>
      </c>
      <c r="Z14" s="93"/>
    </row>
    <row r="15" ht="18" customHeight="1" spans="1:26">
      <c r="A15" s="168"/>
      <c r="B15" s="168"/>
      <c r="C15" s="168"/>
      <c r="D15" s="169"/>
      <c r="E15" s="170"/>
      <c r="F15" s="169"/>
      <c r="G15" s="93"/>
      <c r="H15" s="127"/>
      <c r="I15" s="171"/>
      <c r="J15" s="172" t="s">
        <v>80</v>
      </c>
      <c r="K15" s="172"/>
      <c r="L15" s="173">
        <v>6</v>
      </c>
      <c r="M15" s="174" t="s">
        <v>14</v>
      </c>
      <c r="N15" s="93"/>
      <c r="S15" s="147"/>
      <c r="T15" s="175"/>
      <c r="U15" s="175"/>
      <c r="V15" s="175"/>
      <c r="W15" s="169"/>
      <c r="X15" s="170"/>
      <c r="Y15" s="169"/>
      <c r="Z15" s="93"/>
    </row>
    <row r="16" spans="1:26">
      <c r="A16" s="176" t="s">
        <v>3</v>
      </c>
      <c r="B16" s="177">
        <v>6.8</v>
      </c>
      <c r="C16" s="168"/>
      <c r="D16" s="169"/>
      <c r="E16" s="170"/>
      <c r="F16" s="169"/>
      <c r="G16" s="93"/>
      <c r="H16" s="178"/>
      <c r="I16" s="179"/>
      <c r="J16" s="180" t="s">
        <v>104</v>
      </c>
      <c r="K16" s="180"/>
      <c r="L16" s="181">
        <v>20</v>
      </c>
      <c r="M16" s="180" t="s">
        <v>14</v>
      </c>
      <c r="N16" s="93"/>
      <c r="S16" s="147"/>
      <c r="T16" s="182" t="s">
        <v>3</v>
      </c>
      <c r="U16" s="183">
        <v>5.4</v>
      </c>
      <c r="V16" s="175"/>
      <c r="W16" s="169"/>
      <c r="X16" s="170"/>
      <c r="Y16" s="169"/>
      <c r="Z16" s="93"/>
    </row>
    <row r="17" spans="1:25">
      <c r="A17" s="145"/>
      <c r="B17" s="145"/>
      <c r="C17" s="145"/>
      <c r="D17" s="145"/>
      <c r="E17" s="184"/>
      <c r="F17" s="145"/>
      <c r="H17" s="185"/>
      <c r="I17" s="186"/>
      <c r="J17" s="187" t="s">
        <v>77</v>
      </c>
      <c r="K17" s="188"/>
      <c r="L17" s="181">
        <v>0.1</v>
      </c>
      <c r="M17" s="180" t="s">
        <v>105</v>
      </c>
      <c r="N17" s="93"/>
      <c r="T17" s="145"/>
      <c r="U17" s="145"/>
      <c r="V17" s="145"/>
      <c r="W17" s="145"/>
      <c r="X17" s="145"/>
      <c r="Y17" s="145"/>
    </row>
    <row r="18" spans="1:25">
      <c r="H18" s="185"/>
      <c r="I18" s="186"/>
      <c r="J18" s="187" t="s">
        <v>106</v>
      </c>
      <c r="K18" s="188"/>
      <c r="L18" s="181">
        <v>7</v>
      </c>
      <c r="M18" s="189" t="s">
        <v>107</v>
      </c>
      <c r="N18" s="93"/>
    </row>
    <row r="19" spans="1:25">
      <c r="H19" s="185"/>
      <c r="I19" s="186"/>
      <c r="J19" s="187" t="s">
        <v>108</v>
      </c>
      <c r="K19" s="188"/>
      <c r="L19" s="181">
        <v>8</v>
      </c>
      <c r="M19" s="189" t="s">
        <v>107</v>
      </c>
      <c r="N19" s="93"/>
    </row>
    <row r="20" spans="1:25">
      <c r="H20" s="185"/>
      <c r="I20" s="186"/>
      <c r="J20" s="187" t="s">
        <v>5</v>
      </c>
      <c r="K20" s="188"/>
      <c r="L20" s="181">
        <v>15</v>
      </c>
      <c r="M20" s="180" t="s">
        <v>6</v>
      </c>
      <c r="N20" s="93"/>
    </row>
    <row r="21" spans="1:25">
      <c r="H21" s="190"/>
      <c r="I21" s="191"/>
      <c r="J21" s="192"/>
      <c r="K21" s="193"/>
      <c r="L21" s="145"/>
      <c r="M21" s="145"/>
    </row>
  </sheetData>
  <sheetProtection selectLockedCells="1"/>
  <mergeCells count="9">
    <mergeCell ref="H1:L1"/>
    <mergeCell ref="N1:R1"/>
    <mergeCell ref="J14:M14"/>
    <mergeCell ref="J15:K15"/>
    <mergeCell ref="J16:K16"/>
    <mergeCell ref="J17:K17"/>
    <mergeCell ref="J18:K18"/>
    <mergeCell ref="J19:K19"/>
    <mergeCell ref="J20:K20"/>
  </mergeCells>
  <pageMargins left="0.7" right="0.7" top="0.75" bottom="0.75" header="0.3" footer="0.3"/>
  <pageSetup paperSize="9" orientation="portrait"/>
  <headerFooter/>
  <ignoredErrors>
    <ignoredError sqref="M18:M19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8"/>
  <sheetViews>
    <sheetView zoomScale="200" zoomScaleNormal="200" workbookViewId="0">
      <selection activeCell="D5" sqref="D5"/>
    </sheetView>
  </sheetViews>
  <sheetFormatPr defaultColWidth="10.8333333333333" defaultRowHeight="13.8" outlineLevelRow="7"/>
  <cols>
    <col min="1" max="4" width="10.8333333333333" style="70"/>
    <col min="5" max="5" width="6.5" style="70" customWidth="1"/>
    <col min="6" max="16384" width="10.8333333333333" style="70"/>
  </cols>
  <sheetData>
    <row r="1" spans="1:9">
      <c r="A1" s="71" t="s">
        <v>109</v>
      </c>
      <c r="B1" s="72">
        <v>25</v>
      </c>
      <c r="C1" s="71" t="s">
        <v>110</v>
      </c>
      <c r="D1" s="73">
        <f>B1/2.54</f>
        <v>9.84251968503937</v>
      </c>
    </row>
    <row r="2" spans="1:9">
      <c r="A2" s="71" t="s">
        <v>109</v>
      </c>
      <c r="B2" s="72">
        <v>30</v>
      </c>
      <c r="C2" s="71" t="s">
        <v>110</v>
      </c>
      <c r="D2" s="73">
        <f>B2/2.54</f>
        <v>11.8110236220472</v>
      </c>
    </row>
    <row r="3" spans="1:9">
      <c r="A3" s="71" t="s">
        <v>109</v>
      </c>
      <c r="B3" s="72">
        <v>1</v>
      </c>
      <c r="C3" s="71" t="s">
        <v>110</v>
      </c>
      <c r="D3" s="73">
        <f>B3/2.54</f>
        <v>0.393700787401575</v>
      </c>
    </row>
    <row r="4" spans="1:9">
      <c r="A4" s="71" t="s">
        <v>110</v>
      </c>
      <c r="B4" s="72">
        <v>23</v>
      </c>
      <c r="C4" s="71" t="s">
        <v>109</v>
      </c>
      <c r="D4" s="73">
        <f>B4*2.54</f>
        <v>58.42</v>
      </c>
    </row>
    <row r="5" spans="1:9">
      <c r="A5" s="71" t="s">
        <v>110</v>
      </c>
      <c r="B5" s="72">
        <v>22.4</v>
      </c>
      <c r="C5" s="71" t="s">
        <v>109</v>
      </c>
      <c r="D5" s="73">
        <f>B5*2.54</f>
        <v>56.896</v>
      </c>
    </row>
    <row r="6" spans="1:9">
      <c r="A6" s="71" t="s">
        <v>110</v>
      </c>
      <c r="B6" s="72">
        <v>16.53</v>
      </c>
      <c r="C6" s="71" t="s">
        <v>109</v>
      </c>
      <c r="D6" s="73">
        <f>B6*2.54</f>
        <v>41.9862</v>
      </c>
    </row>
    <row r="7" spans="1:9">
      <c r="A7" s="74"/>
      <c r="B7" s="74"/>
      <c r="C7" s="74"/>
      <c r="D7" s="74"/>
      <c r="F7" s="74"/>
      <c r="G7" s="74"/>
      <c r="H7" s="74"/>
      <c r="I7" s="74"/>
    </row>
    <row r="8" spans="1:9">
      <c r="A8" s="75"/>
      <c r="B8" s="75"/>
      <c r="C8" s="75"/>
      <c r="D8" s="75"/>
      <c r="F8" s="75"/>
      <c r="G8" s="75"/>
      <c r="H8" s="75"/>
      <c r="I8" s="75"/>
    </row>
  </sheetData>
  <sheetProtection selectLockedCells="1"/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9"/>
  <sheetViews>
    <sheetView zoomScale="173" zoomScaleNormal="173" topLeftCell="A6" workbookViewId="0">
      <selection activeCell="D9" sqref="D9"/>
    </sheetView>
  </sheetViews>
  <sheetFormatPr defaultColWidth="10.8333333333333" defaultRowHeight="15.6"/>
  <cols>
    <col min="1" max="1" width="22.3333333333333" style="10" customWidth="1"/>
    <col min="2" max="2" width="18.6666666666667" style="10" customWidth="1"/>
    <col min="3" max="3" width="16.5" style="10" customWidth="1"/>
    <col min="4" max="4" width="19.6666666666667" style="10" customWidth="1"/>
    <col min="5" max="6" width="9.5" style="10" customWidth="1"/>
    <col min="7" max="7" width="10" style="10" customWidth="1"/>
    <col min="8" max="8" width="13" style="10" customWidth="1"/>
    <col min="9" max="9" width="11" style="10" customWidth="1"/>
    <col min="10" max="10" width="9.83333333333333" style="10" customWidth="1"/>
    <col min="11" max="11" width="9.66666666666667" style="10" customWidth="1"/>
    <col min="12" max="12" width="10.8333333333333" style="10" customWidth="1"/>
    <col min="13" max="16384" width="10.8333333333333" style="10"/>
  </cols>
  <sheetData>
    <row r="1" s="9" customFormat="1" ht="33" customHeight="1" spans="1:13">
      <c r="A1" s="11" t="s">
        <v>111</v>
      </c>
      <c r="B1" s="12" t="s">
        <v>112</v>
      </c>
      <c r="C1" s="12" t="s">
        <v>113</v>
      </c>
      <c r="D1" s="12" t="s">
        <v>114</v>
      </c>
      <c r="E1" s="12" t="s">
        <v>54</v>
      </c>
      <c r="F1" s="12" t="s">
        <v>115</v>
      </c>
      <c r="G1" s="12" t="s">
        <v>116</v>
      </c>
      <c r="H1" s="12" t="s">
        <v>117</v>
      </c>
      <c r="I1" s="12" t="s">
        <v>118</v>
      </c>
      <c r="J1" s="12" t="s">
        <v>119</v>
      </c>
      <c r="K1" s="12" t="s">
        <v>120</v>
      </c>
      <c r="L1" s="13" t="s">
        <v>56</v>
      </c>
    </row>
    <row r="2" s="9" customFormat="1" ht="22" customHeight="1" spans="1:13">
      <c r="A2" s="14" t="s">
        <v>121</v>
      </c>
      <c r="B2" s="15"/>
      <c r="C2" s="15"/>
      <c r="D2" s="16">
        <f>D3+D4+D5</f>
        <v>17062</v>
      </c>
      <c r="E2" s="17">
        <f>E3+E4+E5</f>
        <v>87</v>
      </c>
      <c r="F2" s="18">
        <f>(F3+F4+F5)/3</f>
        <v>0.0208333333333333</v>
      </c>
      <c r="G2" s="19">
        <f>G3+G4+G5</f>
        <v>53</v>
      </c>
      <c r="H2" s="20">
        <f>(H3+H4+H5)/3</f>
        <v>0.666666666666667</v>
      </c>
      <c r="I2" s="16">
        <f>I3+I4+I5</f>
        <v>4</v>
      </c>
      <c r="J2" s="21">
        <f>J3+J4+J5</f>
        <v>75.96</v>
      </c>
      <c r="K2" s="22">
        <f>J2/G2</f>
        <v>1.43320754716981</v>
      </c>
      <c r="L2" s="23">
        <f>(L3+L4+L5)/3</f>
        <v>0.1</v>
      </c>
    </row>
    <row r="3" s="9" customFormat="1" ht="29" customHeight="1" spans="1:13">
      <c r="A3" s="24" t="s">
        <v>122</v>
      </c>
      <c r="B3" s="25" t="s">
        <v>123</v>
      </c>
      <c r="C3" s="26">
        <v>1</v>
      </c>
      <c r="D3" s="27">
        <f>ROUNDDOWN(D13,0)</f>
        <v>396</v>
      </c>
      <c r="E3" s="28">
        <f t="shared" ref="D3:E5" si="0">ROUNDDOWN(E13,0)</f>
        <v>19</v>
      </c>
      <c r="F3" s="29">
        <v>0.05</v>
      </c>
      <c r="G3" s="30">
        <f>E3*H3</f>
        <v>19</v>
      </c>
      <c r="H3" s="31">
        <f>(C3+1)*B9</f>
        <v>1</v>
      </c>
      <c r="I3" s="27">
        <f>ROUNDDOWN(I13,0)</f>
        <v>0</v>
      </c>
      <c r="J3" s="32">
        <f>I3*B12</f>
        <v>0</v>
      </c>
      <c r="K3" s="33">
        <f>J3/G3</f>
        <v>0</v>
      </c>
      <c r="L3" s="34">
        <v>0.05</v>
      </c>
    </row>
    <row r="4" s="9" customFormat="1" ht="26" customHeight="1" spans="1:13">
      <c r="A4" s="24" t="s">
        <v>124</v>
      </c>
      <c r="B4" s="25" t="s">
        <v>123</v>
      </c>
      <c r="C4" s="26">
        <v>0</v>
      </c>
      <c r="D4" s="27">
        <f t="shared" si="0"/>
        <v>15000</v>
      </c>
      <c r="E4" s="28">
        <f t="shared" si="0"/>
        <v>54</v>
      </c>
      <c r="F4" s="29">
        <v>0.0036</v>
      </c>
      <c r="G4" s="30">
        <f>E4*H4</f>
        <v>27</v>
      </c>
      <c r="H4" s="31">
        <f>(C4+1)*B9</f>
        <v>0.5</v>
      </c>
      <c r="I4" s="27">
        <f>ROUNDDOWN(I14,0)</f>
        <v>2</v>
      </c>
      <c r="J4" s="32">
        <f>I4*B12</f>
        <v>37.98</v>
      </c>
      <c r="K4" s="33">
        <f>J4/G4</f>
        <v>1.40666666666667</v>
      </c>
      <c r="L4" s="34">
        <v>0.05</v>
      </c>
    </row>
    <row r="5" s="9" customFormat="1" ht="25" customHeight="1" spans="1:13">
      <c r="A5" s="35" t="s">
        <v>125</v>
      </c>
      <c r="B5" s="36" t="s">
        <v>123</v>
      </c>
      <c r="C5" s="37"/>
      <c r="D5" s="38">
        <f t="shared" si="0"/>
        <v>1666</v>
      </c>
      <c r="E5" s="39">
        <f t="shared" si="0"/>
        <v>14</v>
      </c>
      <c r="F5" s="40">
        <v>0.0089</v>
      </c>
      <c r="G5" s="41">
        <f>E5*H5</f>
        <v>7</v>
      </c>
      <c r="H5" s="42">
        <f>B9</f>
        <v>0.5</v>
      </c>
      <c r="I5" s="38">
        <f>ROUNDDOWN(I15,0)</f>
        <v>2</v>
      </c>
      <c r="J5" s="43">
        <f>I5*B12</f>
        <v>37.98</v>
      </c>
      <c r="K5" s="44">
        <f>J5/G5</f>
        <v>5.42571428571429</v>
      </c>
      <c r="L5" s="45">
        <v>0.2</v>
      </c>
    </row>
    <row r="6" s="9" customFormat="1" ht="15"/>
    <row r="7" s="9" customFormat="1" ht="15.75"/>
    <row r="8" s="9" customFormat="1" ht="26" customHeight="1" spans="1:13">
      <c r="A8" s="11" t="s">
        <v>126</v>
      </c>
      <c r="B8" s="12" t="s">
        <v>127</v>
      </c>
      <c r="C8" s="12" t="s">
        <v>114</v>
      </c>
      <c r="D8" s="12" t="s">
        <v>128</v>
      </c>
      <c r="E8" s="12" t="s">
        <v>54</v>
      </c>
      <c r="F8" s="12" t="s">
        <v>116</v>
      </c>
      <c r="G8" s="12" t="s">
        <v>118</v>
      </c>
      <c r="H8" s="12" t="s">
        <v>119</v>
      </c>
      <c r="I8" s="12" t="s">
        <v>67</v>
      </c>
      <c r="J8" s="13" t="s">
        <v>120</v>
      </c>
    </row>
    <row r="9" s="9" customFormat="1" ht="25" customHeight="1" spans="1:13">
      <c r="A9" s="35" t="s">
        <v>129</v>
      </c>
      <c r="B9" s="46">
        <v>0.5</v>
      </c>
      <c r="C9" s="47">
        <f>D2</f>
        <v>17062</v>
      </c>
      <c r="D9" s="48">
        <f>D3/D2</f>
        <v>0.0232094713398195</v>
      </c>
      <c r="E9" s="49">
        <f>E2</f>
        <v>87</v>
      </c>
      <c r="F9" s="43">
        <f>G2</f>
        <v>53</v>
      </c>
      <c r="G9" s="38">
        <f>I2</f>
        <v>4</v>
      </c>
      <c r="H9" s="43">
        <f>J2</f>
        <v>75.96</v>
      </c>
      <c r="I9" s="48">
        <f>F9/H9</f>
        <v>0.697735650342285</v>
      </c>
      <c r="J9" s="50">
        <f>K2</f>
        <v>1.43320754716981</v>
      </c>
      <c r="K9" s="51"/>
      <c r="L9" s="51"/>
      <c r="M9" s="51"/>
    </row>
    <row r="10" s="9" customFormat="1" ht="15" spans="1:13">
      <c r="D10" s="52"/>
      <c r="F10" s="52"/>
      <c r="G10" s="52"/>
      <c r="H10" s="52"/>
      <c r="I10" s="52"/>
    </row>
    <row r="11" s="9" customFormat="1" ht="15.75" spans="1:13">
      <c r="D11" s="52"/>
      <c r="E11" s="52"/>
      <c r="F11" s="52"/>
      <c r="G11" s="52"/>
      <c r="H11" s="52"/>
      <c r="I11" s="52"/>
      <c r="J11" s="53"/>
    </row>
    <row r="12" s="9" customFormat="1" ht="15" spans="1:13">
      <c r="A12" s="54" t="s">
        <v>62</v>
      </c>
      <c r="B12" s="55">
        <v>18.99</v>
      </c>
      <c r="C12" s="56"/>
      <c r="D12" s="52"/>
      <c r="E12" s="52"/>
      <c r="F12" s="52"/>
      <c r="G12" s="52"/>
      <c r="H12" s="52"/>
      <c r="I12" s="52"/>
      <c r="J12" s="52"/>
      <c r="K12" s="52"/>
      <c r="L12" s="52"/>
      <c r="M12" s="52"/>
    </row>
    <row r="13" s="9" customFormat="1" ht="15" spans="1:13">
      <c r="A13" s="57" t="s">
        <v>130</v>
      </c>
      <c r="B13" s="9" t="s">
        <v>131</v>
      </c>
      <c r="C13" s="58" t="s">
        <v>132</v>
      </c>
      <c r="D13" s="59">
        <f>IF(OR((H3&gt;B15),(H3=B15)),H3/B14*C15/7,0)</f>
        <v>396.825396825397</v>
      </c>
      <c r="E13" s="60">
        <f>D3*F3</f>
        <v>19.8</v>
      </c>
      <c r="F13" s="53"/>
      <c r="G13" s="53"/>
      <c r="H13" s="53"/>
      <c r="I13" s="60">
        <f>E3*L3</f>
        <v>0.95</v>
      </c>
      <c r="J13" s="53"/>
      <c r="K13" s="52"/>
      <c r="L13" s="52"/>
      <c r="M13" s="52"/>
    </row>
    <row r="14" s="9" customFormat="1" ht="15.75" spans="1:13">
      <c r="A14" s="61">
        <v>0.5</v>
      </c>
      <c r="B14" s="62">
        <v>1.2</v>
      </c>
      <c r="C14" s="63">
        <v>50000</v>
      </c>
      <c r="D14" s="64">
        <f>IF(OR((H4&gt;A16),(H4=A16)),H4/A14/10*C14*3,0)</f>
        <v>15000</v>
      </c>
      <c r="E14" s="60">
        <f>D4*F4</f>
        <v>54</v>
      </c>
      <c r="F14" s="53"/>
      <c r="G14" s="53"/>
      <c r="H14" s="53"/>
      <c r="I14" s="60">
        <f>L4*E4</f>
        <v>2.7</v>
      </c>
      <c r="J14" s="53"/>
      <c r="K14" s="52"/>
      <c r="L14" s="52"/>
      <c r="M14" s="52"/>
    </row>
    <row r="15" s="9" customFormat="1" ht="15" spans="1:13">
      <c r="A15" s="60">
        <f>A14/1.5</f>
        <v>0.333333333333333</v>
      </c>
      <c r="B15" s="60">
        <f>B14/2.5</f>
        <v>0.48</v>
      </c>
      <c r="C15" s="60">
        <f>C14/3/5</f>
        <v>3333.33333333333</v>
      </c>
      <c r="D15" s="65">
        <f>IF(OR((H5&gt;A15),(H5=A15)),(H5/A14*C15/2),0)</f>
        <v>1666.66666666667</v>
      </c>
      <c r="E15" s="60">
        <f>D5*F5</f>
        <v>14.8274</v>
      </c>
      <c r="F15" s="53"/>
      <c r="G15" s="53"/>
      <c r="H15" s="53"/>
      <c r="I15" s="60">
        <f>L5*E5</f>
        <v>2.8</v>
      </c>
      <c r="J15" s="53"/>
      <c r="K15" s="52"/>
      <c r="L15" s="52"/>
      <c r="M15" s="52"/>
    </row>
    <row r="16" spans="1:13">
      <c r="A16" s="66">
        <f>A14/2</f>
        <v>0.25</v>
      </c>
      <c r="B16" s="67"/>
      <c r="C16" s="67"/>
      <c r="D16" s="68"/>
      <c r="E16" s="68"/>
      <c r="F16" s="68"/>
      <c r="G16" s="68"/>
      <c r="H16" s="68"/>
      <c r="I16" s="68"/>
      <c r="J16" s="68"/>
      <c r="K16" s="68"/>
      <c r="L16" s="68"/>
      <c r="M16" s="68"/>
    </row>
    <row r="17" spans="1:13">
      <c r="A17" s="68"/>
      <c r="B17" s="68"/>
      <c r="C17" s="68"/>
      <c r="D17" s="68"/>
      <c r="E17" s="68"/>
      <c r="F17" s="68"/>
      <c r="G17" s="68"/>
      <c r="H17" s="68"/>
      <c r="I17" s="68"/>
      <c r="J17" s="68"/>
      <c r="K17" s="68"/>
      <c r="L17" s="68"/>
      <c r="M17" s="68"/>
    </row>
    <row r="18" spans="1:13">
      <c r="D18" s="68"/>
      <c r="E18" s="68"/>
      <c r="F18" s="68"/>
      <c r="G18" s="68"/>
      <c r="H18" s="68"/>
      <c r="I18" s="68"/>
      <c r="J18" s="68"/>
      <c r="K18" s="68"/>
      <c r="L18" s="68"/>
      <c r="M18" s="68"/>
    </row>
    <row r="19" spans="1:13">
      <c r="D19" s="69"/>
      <c r="E19" s="69"/>
      <c r="F19" s="69"/>
      <c r="G19" s="69"/>
      <c r="H19" s="69"/>
    </row>
  </sheetData>
  <sheetProtection selectLockedCells="1"/>
  <pageMargins left="0.7" right="0.7" top="0.75" bottom="0.75" header="0.3" footer="0.3"/>
  <pageSetup paperSize="9" orientation="portrait"/>
  <headerFooter/>
  <ignoredErrors>
    <ignoredError sqref="F2:H2" formula="1"/>
    <ignoredError sqref="K2:K5 I9:J9" evalError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5"/>
  <sheetViews>
    <sheetView tabSelected="1" zoomScale="218" zoomScaleNormal="218" workbookViewId="0">
      <selection activeCell="D12" sqref="D12"/>
    </sheetView>
  </sheetViews>
  <sheetFormatPr defaultColWidth="11" defaultRowHeight="13.8" outlineLevelRow="4" outlineLevelCol="7"/>
  <cols>
    <col min="1" max="1" width="10.8333333333333" style="1"/>
    <col min="2" max="2" width="10.8333333333333" style="2"/>
    <col min="3" max="3" width="10.8333333333333" style="1"/>
    <col min="4" max="4" width="10.8333333333333" style="2"/>
    <col min="5" max="5" width="10.8333333333333" style="1"/>
    <col min="6" max="6" width="10.8333333333333" style="2"/>
    <col min="7" max="16384" width="10.8333333333333" style="1"/>
  </cols>
  <sheetData>
    <row r="1" spans="1:8">
      <c r="A1" s="1" t="s">
        <v>133</v>
      </c>
      <c r="B1" s="3">
        <v>500</v>
      </c>
    </row>
    <row r="2" spans="1:8">
      <c r="A2" s="1" t="s">
        <v>134</v>
      </c>
      <c r="B2" s="3">
        <v>50</v>
      </c>
      <c r="C2" s="1" t="s">
        <v>135</v>
      </c>
      <c r="D2" s="3">
        <v>0.9</v>
      </c>
      <c r="E2" s="1" t="s">
        <v>116</v>
      </c>
      <c r="F2" s="4">
        <f>D2*B2</f>
        <v>45</v>
      </c>
      <c r="G2" s="1" t="s">
        <v>136</v>
      </c>
      <c r="H2" s="5">
        <f>F2/F3</f>
        <v>0.0456717399512023</v>
      </c>
    </row>
    <row r="3" spans="1:8">
      <c r="A3" s="1" t="s">
        <v>118</v>
      </c>
      <c r="B3" s="6">
        <f>B5*(B2+B1)</f>
        <v>30.8</v>
      </c>
      <c r="C3" s="1" t="s">
        <v>49</v>
      </c>
      <c r="D3" s="3">
        <v>31.99</v>
      </c>
      <c r="E3" s="1" t="s">
        <v>119</v>
      </c>
      <c r="F3" s="4">
        <f>D3*B3</f>
        <v>985.292</v>
      </c>
      <c r="G3" s="7" t="s">
        <v>137</v>
      </c>
      <c r="H3" s="4">
        <f>F3-F2</f>
        <v>940.292</v>
      </c>
    </row>
    <row r="4" spans="1:8">
      <c r="A4" s="1" t="s">
        <v>138</v>
      </c>
      <c r="B4" s="5">
        <f>B3/B2</f>
        <v>0.616</v>
      </c>
    </row>
    <row r="5" spans="1:8">
      <c r="A5" s="1" t="s">
        <v>139</v>
      </c>
      <c r="B5" s="8">
        <v>0.056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回款周期预测</vt:lpstr>
      <vt:lpstr>FBA最低售价及利润</vt:lpstr>
      <vt:lpstr>FBM-北美</vt:lpstr>
      <vt:lpstr>尺寸</vt:lpstr>
      <vt:lpstr>广告竞价模拟</vt:lpstr>
      <vt:lpstr>广告平衡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Hank Wen</dc:creator>
  <cp:lastModifiedBy>侣桌稍呜</cp:lastModifiedBy>
  <dcterms:created xsi:type="dcterms:W3CDTF">2015-06-05T18:19:00Z</dcterms:created>
  <dcterms:modified xsi:type="dcterms:W3CDTF">2026-01-21T06:49:05Z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4188BBEE3F6448C685264EB1E8C57179_13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