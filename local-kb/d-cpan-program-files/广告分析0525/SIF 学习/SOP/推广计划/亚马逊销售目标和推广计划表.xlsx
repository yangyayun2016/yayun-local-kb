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787" activeTab="1"/>
  </bookViews>
  <sheets>
    <sheet name="1.主要运营数据目标" sheetId="1" r:id="rId1"/>
    <sheet name="2.目标定位&amp;推广思路" sheetId="2" r:id="rId2"/>
    <sheet name="3.推广计划细化" sheetId="3" r:id="rId3"/>
    <sheet name="4.库存安排和跟进" sheetId="4" r:id="rId4"/>
    <sheet name="5.投入产出分析" sheetId="5" r:id="rId5"/>
    <sheet name="6.风控预案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<sst xmlns="http://schemas.openxmlformats.org/spreadsheetml/2006/main" count="272" uniqueCount="166">
  <si>
    <t>月份</t>
  </si>
  <si>
    <t>定价（$）</t>
  </si>
  <si>
    <t>站内活动</t>
  </si>
  <si>
    <t>站外活动</t>
  </si>
  <si>
    <t>广告计划</t>
  </si>
  <si>
    <t>Goal</t>
  </si>
  <si>
    <t>活动销量</t>
  </si>
  <si>
    <t>折扣金额</t>
  </si>
  <si>
    <t>广告销量（周）</t>
  </si>
  <si>
    <t>rank</t>
  </si>
  <si>
    <t>日均总销量</t>
  </si>
  <si>
    <t>本周GMV</t>
  </si>
  <si>
    <t>累计总GMV</t>
  </si>
  <si>
    <t>毛利</t>
  </si>
  <si>
    <t>毛利率</t>
  </si>
  <si>
    <t>8月W3</t>
  </si>
  <si>
    <t>8月W4</t>
  </si>
  <si>
    <t>9月W1</t>
  </si>
  <si>
    <t>9月W2</t>
  </si>
  <si>
    <t>9月W3</t>
  </si>
  <si>
    <t>9月W4</t>
  </si>
  <si>
    <t>10月W1</t>
  </si>
  <si>
    <t>10月W2</t>
  </si>
  <si>
    <t>10月W3</t>
  </si>
  <si>
    <t>10月W4</t>
  </si>
  <si>
    <t>11月W1</t>
  </si>
  <si>
    <t>11月W2</t>
  </si>
  <si>
    <t>8月</t>
  </si>
  <si>
    <t>9月</t>
  </si>
  <si>
    <t>10月</t>
  </si>
  <si>
    <t>目标日销</t>
  </si>
  <si>
    <t>目标排名</t>
  </si>
  <si>
    <t>#600</t>
  </si>
  <si>
    <t>#300</t>
  </si>
  <si>
    <t>#150</t>
  </si>
  <si>
    <t xml:space="preserve"> 运营推广思路——第一阶段</t>
  </si>
  <si>
    <t>第一阶段 8月W3-9月W2</t>
  </si>
  <si>
    <t>目标售价</t>
  </si>
  <si>
    <t>对标竞品</t>
  </si>
  <si>
    <t>以B0XXXXX为竞争目标
竞品情况：预估日销8-10，排名#260-#150，售价
主要卖点：
我们产品：
主要卖点：</t>
  </si>
  <si>
    <t>广告销量占比</t>
  </si>
  <si>
    <t>每天广告总费用（45）：
1. 手动系列：预算25，投放方式多种配合，
1）主投精准流量中词，30%的Coupon显示在Listing页面提升这些词的转化率， 
2）广泛匹配投大词和中词 
3）利用产品和折扣优势定投在其他竞品上 
2.自动广告预算20跑关联流量</t>
  </si>
  <si>
    <t>目标流量</t>
  </si>
  <si>
    <t>广告流量：50
自然流量：35</t>
  </si>
  <si>
    <t>1.中等核心词目标流量（广告）：目标位置P4
2.中等核心词目标流量（自然）：目标位置P5
3.流量大词目标流量（广告）：目标位置：P4
4.流量大词目标流量（自然）：目标位置：P5
5.竞品asin关联位置引流
6. coupon &amp;站外引流</t>
  </si>
  <si>
    <t>目标转化率</t>
  </si>
  <si>
    <t>listing转化率：4%
广告转化率：3%</t>
  </si>
  <si>
    <t>1.多张主图测试
2.多次调整上架图顺序测试
3.逐步优化五点和埋词以及页面其他信息
4.拍摄开箱视频&amp;买家秀</t>
  </si>
  <si>
    <t>目标评分/数量</t>
  </si>
  <si>
    <t>4.4/6</t>
  </si>
  <si>
    <t>1.测评8个                                  
2.自然留评（留评率3%）
3.优惠卡索评                                      
4.Top reviewer 邀评</t>
  </si>
  <si>
    <t>运营推广思路——第二阶段</t>
  </si>
  <si>
    <t>第二阶段 9月W3-10月W2</t>
  </si>
  <si>
    <t>XXXXXXXXXXXXXXXXXXXXXXXXXX</t>
  </si>
  <si>
    <t>每天广告总费用（65）：
1. 手动系列：预算40，投放方式多种配合，
 1）主投精准流量中词，另外一组投精准的长尾词，20%的Coupon显示在Listing页面提升这些词的转化率， 
 2）广泛匹配投大词和中词， 
 3）利用产品和折扣优势定投在其他竞品上                   
2.自动广告预算20 跑关联流量
3.SB 15/天 （作为组合型广告，从此链接中抽出$5/天的预算）</t>
  </si>
  <si>
    <t>广告流量：75
自然流量：75
站外引流：20</t>
  </si>
  <si>
    <t>1.中等核心词目标流量（广告）：目标位置P3
2.中等核心词目标流量（自然）：目标位置P4
3.流量大词目标流量（广告）：目标位置：P3
4.流量大词目标流量（广告）：目标位置：P4
5.竞品asin关联位置引流
6. coupon &amp;站外视频网站 &amp; 站外deal网站 引流</t>
  </si>
  <si>
    <t>listing转化率：4%
广告转化率：4%</t>
  </si>
  <si>
    <t>1.多张主图测试
2.多次调整上架图顺序测试
3.逐步优化五点和埋词以及A+页面其他信息
4.优化QA布局</t>
  </si>
  <si>
    <t>4.2/18</t>
  </si>
  <si>
    <t>1.测评3-5单                                    
2.自然留评
3.优惠卡索评                                      
4.Top reviewer 邀评</t>
  </si>
  <si>
    <t>——第三阶段</t>
  </si>
  <si>
    <t>第三阶段 10月W3-11月W2</t>
  </si>
  <si>
    <t>每天广告总费用（85）：
1. 手动系列：预算110，投放方式多种配合，
 1）主投精准流量大词，另外一组投精准的长尾词，15%-20%的coupon显示在Listing页面提升这些词的转化率， 
 2）广泛匹配投大词和中词， 
 3）利用产品和价格优势定投在其他竞品上                   
2.自动广告预算90跑关联流量
3.SB广告和视频广告</t>
  </si>
  <si>
    <t>广告流量：100
自然流量：120
站外引流：30</t>
  </si>
  <si>
    <t>1.中等核心词目标流量（广告）：目标位置P2
2.中等核心词目标流量（自然）：目标位置P2
3.流量大词目标流量（广告）：目标位置：P2
4.流量大词目标流量（自然）：目标位置：P3
5.竞品asin关联位置引流
6. coupon &amp;站外折扣网站 &amp; 站外deal网站 引流</t>
  </si>
  <si>
    <t>listing转化率：5%
广告转化率：4%</t>
  </si>
  <si>
    <t>1.多张主图测试
2.多次调整上架图顺序测试
3.做A+的AB方式，测试效果
4.优化QA布局</t>
  </si>
  <si>
    <t>4.0/42</t>
  </si>
  <si>
    <t>1.测评2-3单                                   
2.自然留评
3.优惠卡索评                                      
4.Top reviewer 邀评</t>
  </si>
  <si>
    <t>Date</t>
  </si>
  <si>
    <t>REVIEW计划</t>
  </si>
  <si>
    <t>定价</t>
  </si>
  <si>
    <t>推广计划</t>
  </si>
  <si>
    <t>广告计划（运营&amp;广告）</t>
  </si>
  <si>
    <t>小类排名</t>
  </si>
  <si>
    <t>日预算</t>
  </si>
  <si>
    <t>流量</t>
  </si>
  <si>
    <t>CVR</t>
  </si>
  <si>
    <t>订单</t>
  </si>
  <si>
    <t>1、测评
2、优惠卡索评
3、自然留评
4、Top reviewer 邀评</t>
  </si>
  <si>
    <t>1、链接：完善listing内容
2、优惠券：30%coupon挂上
3、QA: 上4组基本操作的QA部分
4、视频部分：做一个安装和首次连接视频，放到QA上
5、测评：做3个测评单
6、广告：开自动广告，跑关联；开一组手动关键词，低预算，养关键词</t>
  </si>
  <si>
    <t>#1000</t>
  </si>
  <si>
    <t>1、QA: 做6组QA上去
2、测评：做3个测评单
3、优惠券：做$15的coupon挂上；
4、广告：自动广告开启关键词和关联两组；手动广告开启核心关键词精准+广泛
5、站外：联系YouTube网红，做视频宣传
6、投放post模块，一周上3个post引流、</t>
  </si>
  <si>
    <r>
      <rPr>
        <sz val="10"/>
        <color theme="1"/>
        <rFont val="微软雅黑"/>
        <charset val="134"/>
      </rPr>
      <t>#8</t>
    </r>
    <r>
      <rPr>
        <sz val="11"/>
        <color theme="1"/>
        <rFont val="宋体"/>
        <charset val="134"/>
        <scheme val="minor"/>
      </rPr>
      <t>00</t>
    </r>
  </si>
  <si>
    <t>1、listing：调整橱窗图和A+的组合，测试出单效果
2、广告：广告逐步放量，主投SP广告的手动关键词，配合PA定投，重点提升精准中等词的自然排名；同时自动广告的预算慢慢加大，多跑关联
3、优惠券：根据前两周的结果，看哪一个方式的转化好，选择30% coupon或者$15 coupon
4、QA方面：准备8组QA，结合回评信息，逐步放上去
5、视频方面：联系YouTube主播，做相关视频，同时准备好关联视频
6、测评：结合实际情况，放1-2个测评单
7、post：一周上3-4个post</t>
  </si>
  <si>
    <t>#700</t>
  </si>
  <si>
    <t>1、广告：多种广告方式结合进行放量，主投SP广告手动，同时开始投放SB，加大流量入口；
2、listing：提交主图需求，测试不同主图的点击率；
3、优惠券：25% coupon，看出单情况；
4、活动：看后台有没有deal推荐，有的话就直接报，或者找服务商报活动
5、库存：关注实时库存情况，及时备货以确保之后的运营能够顺利进行
6、QA部分：上8组QA，保持链接的活跃度
7、测评：之前的测评单应该能够上一般的评论了，结合实际情况做1-2单测评单</t>
  </si>
  <si>
    <t>1、listing：优化listing，特别是在五点与产品描述部分突出产品与竞品的差异化
2、广告：广告重点关注投放PA定投与SD定投等广告形式，形成与竞品的关联，打下关联位
3、优惠券：看能否跑LD活动，能跑活动就跑活动
4、站外：每日联系YouTube网红，争取获得更多的优质网红资源，同时根据实际情况，做站外促销，冲刺排名</t>
  </si>
  <si>
    <t>#500</t>
  </si>
  <si>
    <t>1、广告：冲第1级和第2级关键词，结合站内站外活动连续刺激，目标一周内核心关键词到前3页；
2、优惠券：活动后设置大额coupon（20%左右）进行维稳，
3、每日监控listing数据表现，根据情况及时进行放量、优化等操作</t>
  </si>
  <si>
    <t>#450</t>
  </si>
  <si>
    <t>跑BD，优化广告，稳关键词排名，关注自身流量转化率数据和跟进竞争对手随时采取有效措施</t>
  </si>
  <si>
    <t>#350</t>
  </si>
  <si>
    <t>优化广告，稳关键词排名，关注自身流量转化率数据和跟进竞争对手随时采取有效措施</t>
  </si>
  <si>
    <r>
      <rPr>
        <sz val="10"/>
        <color theme="1"/>
        <rFont val="微软雅黑"/>
        <charset val="134"/>
      </rPr>
      <t>#30</t>
    </r>
    <r>
      <rPr>
        <sz val="11"/>
        <color theme="1"/>
        <rFont val="宋体"/>
        <charset val="134"/>
        <scheme val="minor"/>
      </rPr>
      <t>0</t>
    </r>
  </si>
  <si>
    <t>每周跑LD，定期优化广告和listing，稳关键词排名，关注自身流量转化率数据和跟进竞争对手随时采取有效措施</t>
  </si>
  <si>
    <r>
      <rPr>
        <sz val="10"/>
        <color theme="1"/>
        <rFont val="微软雅黑"/>
        <charset val="134"/>
      </rPr>
      <t>#</t>
    </r>
    <r>
      <rPr>
        <sz val="11"/>
        <color theme="1"/>
        <rFont val="宋体"/>
        <charset val="134"/>
        <scheme val="minor"/>
      </rPr>
      <t>250</t>
    </r>
  </si>
  <si>
    <t>定期优化广告和listing，稳关键词排名，关注自身流量转化率数据和跟进竞争对手随时采取有效措施</t>
  </si>
  <si>
    <r>
      <rPr>
        <sz val="10"/>
        <color theme="1"/>
        <rFont val="微软雅黑"/>
        <charset val="134"/>
      </rPr>
      <t>#</t>
    </r>
    <r>
      <rPr>
        <sz val="11"/>
        <color theme="1"/>
        <rFont val="宋体"/>
        <charset val="134"/>
        <scheme val="minor"/>
      </rPr>
      <t>200</t>
    </r>
  </si>
  <si>
    <t>#130</t>
  </si>
  <si>
    <t>发货记录</t>
  </si>
  <si>
    <t>物流方式</t>
  </si>
  <si>
    <t>海运</t>
  </si>
  <si>
    <t>店铺</t>
  </si>
  <si>
    <t>发货时间</t>
  </si>
  <si>
    <t>到货时间</t>
  </si>
  <si>
    <t>发货库存</t>
  </si>
  <si>
    <t>Tronsmart Bang 库存计划</t>
  </si>
  <si>
    <t>时间</t>
  </si>
  <si>
    <t>8月下</t>
  </si>
  <si>
    <t>9月上</t>
  </si>
  <si>
    <t>9月下</t>
  </si>
  <si>
    <t>10月上</t>
  </si>
  <si>
    <t>10月下</t>
  </si>
  <si>
    <t>11月上</t>
  </si>
  <si>
    <t>预估日销</t>
  </si>
  <si>
    <t>需要库存</t>
  </si>
  <si>
    <t>现有库存</t>
  </si>
  <si>
    <t>预计到货</t>
  </si>
  <si>
    <t>剩余</t>
  </si>
  <si>
    <t>可售天数</t>
  </si>
  <si>
    <t>新订单预计发货时间</t>
  </si>
  <si>
    <t>新订单预计发货数量</t>
  </si>
  <si>
    <t>预计下单时间</t>
  </si>
  <si>
    <t>预计下单数量</t>
  </si>
  <si>
    <t>预计提货时间</t>
  </si>
  <si>
    <t>预计提货数量</t>
  </si>
  <si>
    <t>说明：</t>
  </si>
  <si>
    <t>1、海运有效时效为30天左右</t>
  </si>
  <si>
    <t>2、根据实际销售情况对备货、发货数据进行调整</t>
  </si>
  <si>
    <t>coupon额度</t>
  </si>
  <si>
    <t>coupon预算</t>
  </si>
  <si>
    <t>固定成本（$）</t>
  </si>
  <si>
    <t>FBA佣金</t>
  </si>
  <si>
    <t>备货回款时间</t>
  </si>
  <si>
    <t>退货</t>
  </si>
  <si>
    <t>活动数量</t>
  </si>
  <si>
    <t>LD/7DD预算</t>
  </si>
  <si>
    <t>预算</t>
  </si>
  <si>
    <t>花费占比</t>
  </si>
  <si>
    <t>产品成本</t>
  </si>
  <si>
    <t>头程物流</t>
  </si>
  <si>
    <t>FBA fee</t>
  </si>
  <si>
    <t>非活动单</t>
  </si>
  <si>
    <t>平均日销</t>
  </si>
  <si>
    <t>GMV</t>
  </si>
  <si>
    <t>毛利（$）</t>
  </si>
  <si>
    <t>备货时间</t>
  </si>
  <si>
    <t>回款时间</t>
  </si>
  <si>
    <t>回款</t>
  </si>
  <si>
    <t>退货率按5个点算的</t>
  </si>
  <si>
    <t>利润回正</t>
  </si>
  <si>
    <t>3个月总盈利</t>
  </si>
  <si>
    <t>USD</t>
  </si>
  <si>
    <t>3个月总盈利RMB</t>
  </si>
  <si>
    <t>RMB</t>
  </si>
  <si>
    <t>退货率按8个点算</t>
  </si>
  <si>
    <t>3月总盈利</t>
  </si>
  <si>
    <t>退货率按10个点算的</t>
  </si>
  <si>
    <t>8个月总亏损</t>
  </si>
  <si>
    <t>8个月总亏损RMB=</t>
  </si>
  <si>
    <t>1、前两周出现差评问题</t>
  </si>
  <si>
    <t>在前两周尽量做安全的测评工作，争取在第三周上评，保护链接安全。</t>
  </si>
  <si>
    <t>2、出现差评过多怎么办？</t>
  </si>
  <si>
    <t>找欧洲链接，合并国际评论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</si>
</sst>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\$#,##0.00;\-\$#,##0.00"/>
    <numFmt numFmtId="178" formatCode="0_ "/>
    <numFmt numFmtId="179" formatCode="0.00_ "/>
    <numFmt numFmtId="180" formatCode="0_);[Red]\(0\)"/>
  </numFmts>
  <fonts count="4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0"/>
      <color rgb="FF000000"/>
      <name val="宋体"/>
      <charset val="134"/>
      <scheme val="minor"/>
    </font>
    <font>
      <b/>
      <sz val="14"/>
      <color rgb="FFC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4"/>
      <color rgb="FF7030A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0"/>
      <color rgb="FF0070C0"/>
      <name val="宋体"/>
      <charset val="134"/>
      <scheme val="minor"/>
    </font>
    <font>
      <sz val="10"/>
      <color rgb="FF0070C0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23" applyNumberFormat="0" applyAlignment="0" applyProtection="0">
      <alignment vertical="center"/>
    </xf>
    <xf numFmtId="0" fontId="31" fillId="19" borderId="24" applyNumberFormat="0" applyAlignment="0" applyProtection="0">
      <alignment vertical="center"/>
    </xf>
    <xf numFmtId="0" fontId="32" fillId="19" borderId="23" applyNumberFormat="0" applyAlignment="0" applyProtection="0">
      <alignment vertical="center"/>
    </xf>
    <xf numFmtId="0" fontId="33" fillId="20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2" fillId="0" borderId="0">
      <alignment vertical="center"/>
    </xf>
  </cellStyleXfs>
  <cellXfs count="129">
    <xf numFmtId="0" fontId="0" fillId="0" borderId="0" xfId="0"/>
    <xf numFmtId="176" fontId="0" fillId="0" borderId="0" xfId="0" applyNumberFormat="1"/>
    <xf numFmtId="2" fontId="0" fillId="0" borderId="0" xfId="0" applyNumberFormat="1"/>
    <xf numFmtId="0" fontId="1" fillId="2" borderId="1" xfId="51" applyFont="1" applyFill="1" applyBorder="1" applyAlignment="1">
      <alignment horizontal="center" vertical="center" wrapText="1"/>
    </xf>
    <xf numFmtId="177" fontId="1" fillId="2" borderId="1" xfId="51" applyNumberFormat="1" applyFont="1" applyFill="1" applyBorder="1" applyAlignment="1">
      <alignment horizontal="center" vertical="center" wrapText="1"/>
    </xf>
    <xf numFmtId="176" fontId="1" fillId="2" borderId="1" xfId="5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8" fontId="1" fillId="2" borderId="2" xfId="51" applyNumberFormat="1" applyFont="1" applyFill="1" applyBorder="1" applyAlignment="1">
      <alignment horizontal="center" vertical="center" wrapText="1"/>
    </xf>
    <xf numFmtId="178" fontId="1" fillId="2" borderId="3" xfId="51" applyNumberFormat="1" applyFont="1" applyFill="1" applyBorder="1" applyAlignment="1">
      <alignment horizontal="center" vertical="center" wrapText="1"/>
    </xf>
    <xf numFmtId="178" fontId="1" fillId="2" borderId="4" xfId="51" applyNumberFormat="1" applyFont="1" applyFill="1" applyBorder="1" applyAlignment="1">
      <alignment horizontal="center" vertical="center" wrapText="1"/>
    </xf>
    <xf numFmtId="178" fontId="1" fillId="2" borderId="1" xfId="51" applyNumberFormat="1" applyFont="1" applyFill="1" applyBorder="1" applyAlignment="1">
      <alignment horizontal="center" vertical="center" wrapText="1"/>
    </xf>
    <xf numFmtId="179" fontId="1" fillId="2" borderId="1" xfId="51" applyNumberFormat="1" applyFont="1" applyFill="1" applyBorder="1" applyAlignment="1">
      <alignment horizontal="center" vertical="center" wrapText="1"/>
    </xf>
    <xf numFmtId="179" fontId="1" fillId="2" borderId="2" xfId="51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2" fillId="3" borderId="0" xfId="0" applyFont="1" applyFill="1" applyAlignment="1">
      <alignment horizontal="center" vertical="center"/>
    </xf>
    <xf numFmtId="179" fontId="1" fillId="2" borderId="5" xfId="51" applyNumberFormat="1" applyFont="1" applyFill="1" applyBorder="1" applyAlignment="1">
      <alignment horizontal="center" vertical="center" wrapText="1"/>
    </xf>
    <xf numFmtId="0" fontId="1" fillId="4" borderId="3" xfId="51" applyFont="1" applyFill="1" applyBorder="1" applyAlignment="1">
      <alignment horizontal="center" vertical="center" wrapText="1"/>
    </xf>
    <xf numFmtId="2" fontId="1" fillId="4" borderId="3" xfId="51" applyNumberFormat="1" applyFont="1" applyFill="1" applyBorder="1" applyAlignment="1">
      <alignment horizontal="center" vertical="center" wrapText="1"/>
    </xf>
    <xf numFmtId="0" fontId="1" fillId="4" borderId="4" xfId="51" applyFont="1" applyFill="1" applyBorder="1" applyAlignment="1">
      <alignment horizontal="center" vertical="center" wrapText="1"/>
    </xf>
    <xf numFmtId="0" fontId="3" fillId="5" borderId="1" xfId="50" applyFont="1" applyFill="1" applyBorder="1" applyAlignment="1">
      <alignment horizontal="center" vertical="center"/>
    </xf>
    <xf numFmtId="0" fontId="1" fillId="4" borderId="6" xfId="51" applyFont="1" applyFill="1" applyBorder="1" applyAlignment="1">
      <alignment horizontal="center" vertical="center" wrapText="1"/>
    </xf>
    <xf numFmtId="0" fontId="1" fillId="3" borderId="1" xfId="51" applyFont="1" applyFill="1" applyBorder="1" applyAlignment="1">
      <alignment horizontal="center" vertical="center" wrapText="1"/>
    </xf>
    <xf numFmtId="177" fontId="1" fillId="4" borderId="1" xfId="51" applyNumberFormat="1" applyFont="1" applyFill="1" applyBorder="1" applyAlignment="1">
      <alignment horizontal="center" vertical="center" wrapText="1"/>
    </xf>
    <xf numFmtId="2" fontId="1" fillId="6" borderId="1" xfId="49" applyNumberFormat="1" applyFont="1" applyFill="1" applyBorder="1" applyAlignment="1">
      <alignment horizontal="center" vertical="center" wrapText="1"/>
    </xf>
    <xf numFmtId="0" fontId="3" fillId="7" borderId="1" xfId="50" applyFont="1" applyFill="1" applyBorder="1" applyAlignment="1">
      <alignment horizontal="center" vertical="center"/>
    </xf>
    <xf numFmtId="178" fontId="0" fillId="0" borderId="0" xfId="0" applyNumberFormat="1" applyAlignment="1">
      <alignment horizontal="center"/>
    </xf>
    <xf numFmtId="179" fontId="3" fillId="3" borderId="0" xfId="50" applyNumberFormat="1" applyFont="1" applyFill="1" applyAlignment="1">
      <alignment horizontal="center" vertical="center"/>
    </xf>
    <xf numFmtId="2" fontId="4" fillId="0" borderId="0" xfId="0" applyNumberFormat="1" applyFont="1"/>
    <xf numFmtId="10" fontId="4" fillId="0" borderId="0" xfId="0" applyNumberFormat="1" applyFont="1"/>
    <xf numFmtId="0" fontId="0" fillId="3" borderId="0" xfId="0" applyFill="1" applyAlignment="1">
      <alignment horizontal="center"/>
    </xf>
    <xf numFmtId="2" fontId="2" fillId="3" borderId="0" xfId="0" applyNumberFormat="1" applyFont="1" applyFill="1"/>
    <xf numFmtId="2" fontId="2" fillId="0" borderId="0" xfId="0" applyNumberFormat="1" applyFont="1"/>
    <xf numFmtId="0" fontId="2" fillId="0" borderId="0" xfId="0" applyFont="1"/>
    <xf numFmtId="0" fontId="3" fillId="0" borderId="0" xfId="50" applyFont="1">
      <alignment vertical="center"/>
    </xf>
    <xf numFmtId="0" fontId="0" fillId="8" borderId="0" xfId="0" applyFill="1"/>
    <xf numFmtId="0" fontId="3" fillId="0" borderId="0" xfId="50" applyFont="1" applyAlignment="1">
      <alignment horizontal="center" vertical="center"/>
    </xf>
    <xf numFmtId="179" fontId="0" fillId="0" borderId="0" xfId="0" applyNumberFormat="1"/>
    <xf numFmtId="179" fontId="0" fillId="0" borderId="0" xfId="0" applyNumberFormat="1" applyAlignment="1">
      <alignment horizontal="center"/>
    </xf>
    <xf numFmtId="0" fontId="5" fillId="3" borderId="7" xfId="0" applyFont="1" applyFill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58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7" fillId="12" borderId="1" xfId="0" applyNumberFormat="1" applyFont="1" applyFill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58" fontId="9" fillId="0" borderId="9" xfId="0" applyNumberFormat="1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58" fontId="4" fillId="13" borderId="5" xfId="0" applyNumberFormat="1" applyFont="1" applyFill="1" applyBorder="1" applyAlignment="1">
      <alignment vertical="center" wrapText="1"/>
    </xf>
    <xf numFmtId="58" fontId="10" fillId="0" borderId="4" xfId="0" applyNumberFormat="1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180" fontId="7" fillId="0" borderId="2" xfId="0" applyNumberFormat="1" applyFont="1" applyBorder="1" applyAlignment="1">
      <alignment horizontal="center" vertical="center"/>
    </xf>
    <xf numFmtId="180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178" fontId="7" fillId="12" borderId="2" xfId="0" applyNumberFormat="1" applyFont="1" applyFill="1" applyBorder="1" applyAlignment="1">
      <alignment horizontal="center" vertical="center"/>
    </xf>
    <xf numFmtId="178" fontId="7" fillId="12" borderId="5" xfId="0" applyNumberFormat="1" applyFont="1" applyFill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58" fontId="7" fillId="0" borderId="2" xfId="0" applyNumberFormat="1" applyFont="1" applyBorder="1" applyAlignment="1">
      <alignment horizontal="center" vertical="center"/>
    </xf>
    <xf numFmtId="0" fontId="0" fillId="0" borderId="5" xfId="0" applyBorder="1"/>
    <xf numFmtId="0" fontId="13" fillId="0" borderId="1" xfId="0" applyFont="1" applyBorder="1" applyAlignment="1">
      <alignment horizontal="center" vertical="center"/>
    </xf>
    <xf numFmtId="58" fontId="9" fillId="0" borderId="10" xfId="0" applyNumberFormat="1" applyFont="1" applyBorder="1" applyAlignment="1">
      <alignment horizontal="center" vertical="center"/>
    </xf>
    <xf numFmtId="178" fontId="14" fillId="0" borderId="5" xfId="50" applyNumberFormat="1" applyFont="1" applyBorder="1" applyAlignment="1">
      <alignment horizontal="center" vertical="center"/>
    </xf>
    <xf numFmtId="0" fontId="15" fillId="2" borderId="5" xfId="51" applyFont="1" applyFill="1" applyBorder="1" applyAlignment="1">
      <alignment horizontal="center" vertical="center" wrapText="1"/>
    </xf>
    <xf numFmtId="0" fontId="15" fillId="2" borderId="11" xfId="51" applyFont="1" applyFill="1" applyBorder="1" applyAlignment="1">
      <alignment horizontal="center" vertical="center" wrapText="1"/>
    </xf>
    <xf numFmtId="178" fontId="16" fillId="0" borderId="5" xfId="50" applyNumberFormat="1" applyFont="1" applyBorder="1" applyAlignment="1">
      <alignment horizontal="center" vertical="center"/>
    </xf>
    <xf numFmtId="178" fontId="15" fillId="2" borderId="12" xfId="51" applyNumberFormat="1" applyFont="1" applyFill="1" applyBorder="1" applyAlignment="1">
      <alignment horizontal="center" vertical="center" wrapText="1"/>
    </xf>
    <xf numFmtId="178" fontId="15" fillId="2" borderId="13" xfId="51" applyNumberFormat="1" applyFont="1" applyFill="1" applyBorder="1" applyAlignment="1">
      <alignment horizontal="center" vertical="center" wrapText="1"/>
    </xf>
    <xf numFmtId="178" fontId="15" fillId="2" borderId="5" xfId="51" applyNumberFormat="1" applyFont="1" applyFill="1" applyBorder="1" applyAlignment="1">
      <alignment horizontal="center" vertical="center" wrapText="1"/>
    </xf>
    <xf numFmtId="10" fontId="15" fillId="2" borderId="5" xfId="51" applyNumberFormat="1" applyFont="1" applyFill="1" applyBorder="1" applyAlignment="1">
      <alignment horizontal="center" vertical="center" wrapText="1"/>
    </xf>
    <xf numFmtId="0" fontId="17" fillId="0" borderId="14" xfId="50" applyFont="1" applyBorder="1" applyAlignment="1">
      <alignment horizontal="center" vertical="center" wrapText="1"/>
    </xf>
    <xf numFmtId="0" fontId="17" fillId="0" borderId="14" xfId="5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4" fillId="0" borderId="15" xfId="50" applyFont="1" applyBorder="1" applyAlignment="1">
      <alignment vertical="center" wrapText="1"/>
    </xf>
    <xf numFmtId="178" fontId="14" fillId="0" borderId="13" xfId="50" applyNumberFormat="1" applyFont="1" applyBorder="1" applyAlignment="1">
      <alignment horizontal="center" vertical="center"/>
    </xf>
    <xf numFmtId="10" fontId="14" fillId="0" borderId="5" xfId="50" applyNumberFormat="1" applyFont="1" applyBorder="1" applyAlignment="1">
      <alignment horizontal="center" vertical="center"/>
    </xf>
    <xf numFmtId="0" fontId="14" fillId="0" borderId="11" xfId="50" applyFont="1" applyBorder="1" applyAlignment="1">
      <alignment vertical="center" wrapText="1"/>
    </xf>
    <xf numFmtId="0" fontId="17" fillId="0" borderId="11" xfId="50" applyFont="1" applyBorder="1" applyAlignment="1">
      <alignment vertical="center" wrapText="1"/>
    </xf>
    <xf numFmtId="178" fontId="14" fillId="0" borderId="16" xfId="50" applyNumberFormat="1" applyFont="1" applyBorder="1" applyAlignment="1">
      <alignment horizontal="center" vertical="center"/>
    </xf>
    <xf numFmtId="10" fontId="14" fillId="0" borderId="16" xfId="50" applyNumberFormat="1" applyFont="1" applyBorder="1" applyAlignment="1">
      <alignment horizontal="center" vertical="center"/>
    </xf>
    <xf numFmtId="178" fontId="14" fillId="0" borderId="0" xfId="50" applyNumberFormat="1" applyFont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3" borderId="17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16" borderId="16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vertical="center"/>
    </xf>
    <xf numFmtId="0" fontId="0" fillId="16" borderId="5" xfId="0" applyFill="1" applyBorder="1" applyAlignment="1">
      <alignment horizontal="center" vertical="center"/>
    </xf>
    <xf numFmtId="0" fontId="0" fillId="16" borderId="5" xfId="0" applyFill="1" applyBorder="1" applyAlignment="1">
      <alignment horizontal="left" vertical="center" wrapText="1"/>
    </xf>
    <xf numFmtId="0" fontId="4" fillId="16" borderId="18" xfId="0" applyFont="1" applyFill="1" applyBorder="1" applyAlignment="1">
      <alignment horizontal="center" vertical="center"/>
    </xf>
    <xf numFmtId="10" fontId="21" fillId="16" borderId="5" xfId="0" applyNumberFormat="1" applyFont="1" applyFill="1" applyBorder="1" applyAlignment="1">
      <alignment horizontal="center" vertical="center"/>
    </xf>
    <xf numFmtId="10" fontId="21" fillId="16" borderId="5" xfId="0" applyNumberFormat="1" applyFont="1" applyFill="1" applyBorder="1" applyAlignment="1">
      <alignment horizontal="left" vertical="center" wrapText="1"/>
    </xf>
    <xf numFmtId="0" fontId="0" fillId="0" borderId="19" xfId="0" applyBorder="1" applyAlignment="1">
      <alignment horizontal="center"/>
    </xf>
    <xf numFmtId="9" fontId="0" fillId="16" borderId="5" xfId="0" applyNumberForma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 wrapText="1"/>
    </xf>
    <xf numFmtId="9" fontId="0" fillId="16" borderId="5" xfId="0" applyNumberForma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20" fillId="3" borderId="12" xfId="0" applyFont="1" applyFill="1" applyBorder="1" applyAlignment="1">
      <alignment horizontal="left" vertical="center"/>
    </xf>
    <xf numFmtId="0" fontId="22" fillId="0" borderId="0" xfId="6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51" applyFont="1" applyFill="1" applyBorder="1" applyAlignment="1">
      <alignment vertical="center" wrapText="1"/>
    </xf>
    <xf numFmtId="177" fontId="1" fillId="2" borderId="1" xfId="51" applyNumberFormat="1" applyFont="1" applyFill="1" applyBorder="1" applyAlignment="1">
      <alignment vertical="center" wrapText="1"/>
    </xf>
    <xf numFmtId="177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 2" xfId="50"/>
    <cellStyle name="常规 3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"日均自然单"</c:f>
              <c:strCache>
                <c:ptCount val="1"/>
                <c:pt idx="0">
                  <c:v>日均自然单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'1.主要运营数据目标'!$A$1:$A$35</c:f>
              <c:strCache>
                <c:ptCount val="35"/>
                <c:pt idx="0">
                  <c:v>月份</c:v>
                </c:pt>
                <c:pt idx="1">
                  <c:v>月份</c:v>
                </c:pt>
                <c:pt idx="2">
                  <c:v>8月W3</c:v>
                </c:pt>
                <c:pt idx="3">
                  <c:v>8月W4</c:v>
                </c:pt>
                <c:pt idx="4">
                  <c:v>9月W1</c:v>
                </c:pt>
                <c:pt idx="5">
                  <c:v>9月W2</c:v>
                </c:pt>
                <c:pt idx="6">
                  <c:v>9月W3</c:v>
                </c:pt>
                <c:pt idx="7">
                  <c:v>9月W4</c:v>
                </c:pt>
                <c:pt idx="8">
                  <c:v>10月W1</c:v>
                </c:pt>
                <c:pt idx="9">
                  <c:v>10月W2</c:v>
                </c:pt>
                <c:pt idx="10">
                  <c:v>10月W3</c:v>
                </c:pt>
                <c:pt idx="11">
                  <c:v>10月W4</c:v>
                </c:pt>
                <c:pt idx="12">
                  <c:v>11月W1</c:v>
                </c:pt>
                <c:pt idx="13">
                  <c:v>11月W2</c:v>
                </c:pt>
              </c:strCache>
            </c:strRef>
          </c:cat>
          <c:val>
            <c:numRef>
              <c:f>'1.主要运营数据目标'!#REF!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"日均总销量"</c:f>
              <c:strCache>
                <c:ptCount val="1"/>
                <c:pt idx="0">
                  <c:v>日均总销量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'1.主要运营数据目标'!$A$1:$A$35</c:f>
              <c:strCache>
                <c:ptCount val="35"/>
                <c:pt idx="0">
                  <c:v>月份</c:v>
                </c:pt>
                <c:pt idx="1">
                  <c:v>月份</c:v>
                </c:pt>
                <c:pt idx="2">
                  <c:v>8月W3</c:v>
                </c:pt>
                <c:pt idx="3">
                  <c:v>8月W4</c:v>
                </c:pt>
                <c:pt idx="4">
                  <c:v>9月W1</c:v>
                </c:pt>
                <c:pt idx="5">
                  <c:v>9月W2</c:v>
                </c:pt>
                <c:pt idx="6">
                  <c:v>9月W3</c:v>
                </c:pt>
                <c:pt idx="7">
                  <c:v>9月W4</c:v>
                </c:pt>
                <c:pt idx="8">
                  <c:v>10月W1</c:v>
                </c:pt>
                <c:pt idx="9">
                  <c:v>10月W2</c:v>
                </c:pt>
                <c:pt idx="10">
                  <c:v>10月W3</c:v>
                </c:pt>
                <c:pt idx="11">
                  <c:v>10月W4</c:v>
                </c:pt>
                <c:pt idx="12">
                  <c:v>11月W1</c:v>
                </c:pt>
                <c:pt idx="13">
                  <c:v>11月W2</c:v>
                </c:pt>
              </c:strCache>
            </c:strRef>
          </c:cat>
          <c:val>
            <c:numRef>
              <c:f>'1.主要运营数据目标'!$I$1:$I$35</c:f>
              <c:numCache>
                <c:formatCode>General</c:formatCode>
                <c:ptCount val="35"/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4708608"/>
        <c:axId val="174710144"/>
      </c:barChart>
      <c:catAx>
        <c:axId val="174708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10144"/>
        <c:crosses val="autoZero"/>
        <c:auto val="1"/>
        <c:lblAlgn val="ctr"/>
        <c:lblOffset val="100"/>
        <c:noMultiLvlLbl val="0"/>
      </c:catAx>
      <c:valAx>
        <c:axId val="17471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086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1082d-cf11-4e38-92db-bc589768e240}"/>
      </c:ext>
    </c:extLst>
  </c:chart>
  <c:txPr>
    <a:bodyPr/>
    <a:lstStyle/>
    <a:p>
      <a:pPr>
        <a:defRPr lang="zh-CN" sz="12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53034846448144"/>
          <c:y val="0.00523914145681933"/>
          <c:w val="0.837348774687209"/>
          <c:h val="0.798884569883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"日均总销量"</c:f>
              <c:strCache>
                <c:ptCount val="1"/>
                <c:pt idx="0">
                  <c:v>日均总销量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'1.主要运营数据目标'!$A$3:$A$14</c:f>
              <c:strCache>
                <c:ptCount val="12"/>
                <c:pt idx="0">
                  <c:v>8月W3</c:v>
                </c:pt>
                <c:pt idx="1">
                  <c:v>8月W4</c:v>
                </c:pt>
                <c:pt idx="2">
                  <c:v>9月W1</c:v>
                </c:pt>
                <c:pt idx="3">
                  <c:v>9月W2</c:v>
                </c:pt>
                <c:pt idx="4">
                  <c:v>9月W3</c:v>
                </c:pt>
                <c:pt idx="5">
                  <c:v>9月W4</c:v>
                </c:pt>
                <c:pt idx="6">
                  <c:v>10月W1</c:v>
                </c:pt>
                <c:pt idx="7">
                  <c:v>10月W2</c:v>
                </c:pt>
                <c:pt idx="8">
                  <c:v>10月W3</c:v>
                </c:pt>
                <c:pt idx="9">
                  <c:v>10月W4</c:v>
                </c:pt>
                <c:pt idx="10">
                  <c:v>11月W1</c:v>
                </c:pt>
                <c:pt idx="11">
                  <c:v>11月W2</c:v>
                </c:pt>
              </c:strCache>
            </c:strRef>
          </c:cat>
          <c:val>
            <c:numRef>
              <c:f>'1.主要运营数据目标'!$I$3:$I$35</c:f>
              <c:numCache>
                <c:formatCode>General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42144"/>
        <c:axId val="174756224"/>
      </c:barChart>
      <c:lineChart>
        <c:grouping val="stacked"/>
        <c:varyColors val="0"/>
        <c:ser>
          <c:idx val="1"/>
          <c:order val="1"/>
          <c:tx>
            <c:strRef>
              <c:f>"毛利率"</c:f>
              <c:strCache>
                <c:ptCount val="1"/>
                <c:pt idx="0">
                  <c:v>毛利率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'1.主要运营数据目标'!$A$3:$A$14</c:f>
              <c:strCache>
                <c:ptCount val="12"/>
                <c:pt idx="0">
                  <c:v>8月W3</c:v>
                </c:pt>
                <c:pt idx="1">
                  <c:v>8月W4</c:v>
                </c:pt>
                <c:pt idx="2">
                  <c:v>9月W1</c:v>
                </c:pt>
                <c:pt idx="3">
                  <c:v>9月W2</c:v>
                </c:pt>
                <c:pt idx="4">
                  <c:v>9月W3</c:v>
                </c:pt>
                <c:pt idx="5">
                  <c:v>9月W4</c:v>
                </c:pt>
                <c:pt idx="6">
                  <c:v>10月W1</c:v>
                </c:pt>
                <c:pt idx="7">
                  <c:v>10月W2</c:v>
                </c:pt>
                <c:pt idx="8">
                  <c:v>10月W3</c:v>
                </c:pt>
                <c:pt idx="9">
                  <c:v>10月W4</c:v>
                </c:pt>
                <c:pt idx="10">
                  <c:v>11月W1</c:v>
                </c:pt>
                <c:pt idx="11">
                  <c:v>11月W2</c:v>
                </c:pt>
              </c:strCache>
            </c:strRef>
          </c:cat>
          <c:val>
            <c:numRef>
              <c:f>'1.主要运营数据目标'!$M$3:$M$35</c:f>
              <c:numCache>
                <c:formatCode>0.00%</c:formatCode>
                <c:ptCount val="33"/>
                <c:pt idx="0">
                  <c:v>-0.140437434153497</c:v>
                </c:pt>
                <c:pt idx="1">
                  <c:v>-0.228074009087532</c:v>
                </c:pt>
                <c:pt idx="2">
                  <c:v>-0.271892296554549</c:v>
                </c:pt>
                <c:pt idx="3">
                  <c:v>-0.0705191466864801</c:v>
                </c:pt>
                <c:pt idx="4">
                  <c:v>0.0402499976185713</c:v>
                </c:pt>
                <c:pt idx="5">
                  <c:v>-0.0514046707754249</c:v>
                </c:pt>
                <c:pt idx="6">
                  <c:v>0.0358350135635593</c:v>
                </c:pt>
                <c:pt idx="7">
                  <c:v>0.00401787070641645</c:v>
                </c:pt>
                <c:pt idx="8">
                  <c:v>0.0571245134741234</c:v>
                </c:pt>
                <c:pt idx="9">
                  <c:v>0.0805577715543109</c:v>
                </c:pt>
                <c:pt idx="10">
                  <c:v>0.103991029634498</c:v>
                </c:pt>
                <c:pt idx="11">
                  <c:v>0.107896572647863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4759296"/>
        <c:axId val="174757760"/>
      </c:lineChart>
      <c:catAx>
        <c:axId val="17474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56224"/>
        <c:crosses val="autoZero"/>
        <c:auto val="1"/>
        <c:lblAlgn val="ctr"/>
        <c:lblOffset val="100"/>
        <c:noMultiLvlLbl val="0"/>
      </c:catAx>
      <c:valAx>
        <c:axId val="17475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42144"/>
        <c:crosses val="autoZero"/>
        <c:crossBetween val="between"/>
      </c:valAx>
      <c:catAx>
        <c:axId val="174759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57760"/>
        <c:crosses val="autoZero"/>
        <c:auto val="1"/>
        <c:lblAlgn val="ctr"/>
        <c:lblOffset val="100"/>
        <c:noMultiLvlLbl val="0"/>
      </c:catAx>
      <c:valAx>
        <c:axId val="1747577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59296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985698-8141-446f-9ef1-0d4d28fb046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38</xdr:row>
      <xdr:rowOff>156210</xdr:rowOff>
    </xdr:from>
    <xdr:to>
      <xdr:col>12</xdr:col>
      <xdr:colOff>375920</xdr:colOff>
      <xdr:row>61</xdr:row>
      <xdr:rowOff>151130</xdr:rowOff>
    </xdr:to>
    <xdr:graphicFrame>
      <xdr:nvGraphicFramePr>
        <xdr:cNvPr id="15" name="图表 14"/>
        <xdr:cNvGraphicFramePr/>
      </xdr:nvGraphicFramePr>
      <xdr:xfrm>
        <a:off x="9525" y="7580630"/>
        <a:ext cx="8801735" cy="420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87630</xdr:colOff>
      <xdr:row>15</xdr:row>
      <xdr:rowOff>67945</xdr:rowOff>
    </xdr:from>
    <xdr:to>
      <xdr:col>12</xdr:col>
      <xdr:colOff>504190</xdr:colOff>
      <xdr:row>37</xdr:row>
      <xdr:rowOff>59690</xdr:rowOff>
    </xdr:to>
    <xdr:graphicFrame>
      <xdr:nvGraphicFramePr>
        <xdr:cNvPr id="2" name="图表 1"/>
        <xdr:cNvGraphicFramePr/>
      </xdr:nvGraphicFramePr>
      <xdr:xfrm>
        <a:off x="87630" y="3284855"/>
        <a:ext cx="8851900" cy="401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opLeftCell="A2" workbookViewId="0">
      <selection activeCell="P21" sqref="P21"/>
    </sheetView>
  </sheetViews>
  <sheetFormatPr defaultColWidth="9" defaultRowHeight="14.4"/>
  <cols>
    <col min="9" max="9" width="12.1666666666667" customWidth="1"/>
    <col min="10" max="10" width="12.6666666666667" customWidth="1"/>
    <col min="11" max="11" width="15.5" customWidth="1"/>
    <col min="12" max="13" width="10.6666666666667" customWidth="1"/>
  </cols>
  <sheetData>
    <row r="1" ht="32.4" spans="1:13">
      <c r="A1" s="125" t="s">
        <v>0</v>
      </c>
      <c r="B1" s="126" t="s">
        <v>1</v>
      </c>
      <c r="C1" s="4" t="s">
        <v>2</v>
      </c>
      <c r="D1" s="4"/>
      <c r="E1" s="3" t="s">
        <v>3</v>
      </c>
      <c r="F1" s="3"/>
      <c r="G1" s="9" t="s">
        <v>4</v>
      </c>
      <c r="H1" s="18" t="s">
        <v>5</v>
      </c>
      <c r="I1" s="18"/>
      <c r="J1" s="18"/>
      <c r="K1" s="18"/>
      <c r="L1" s="18"/>
      <c r="M1" s="20"/>
    </row>
    <row r="2" ht="32.4" spans="1:13">
      <c r="A2" s="125" t="s">
        <v>0</v>
      </c>
      <c r="B2" s="126" t="s">
        <v>1</v>
      </c>
      <c r="C2" s="4" t="s">
        <v>6</v>
      </c>
      <c r="D2" s="4" t="s">
        <v>7</v>
      </c>
      <c r="E2" s="3" t="s">
        <v>6</v>
      </c>
      <c r="F2" s="3" t="s">
        <v>7</v>
      </c>
      <c r="G2" s="12" t="s">
        <v>8</v>
      </c>
      <c r="H2" s="22" t="s">
        <v>9</v>
      </c>
      <c r="I2" s="23" t="s">
        <v>10</v>
      </c>
      <c r="J2" s="24" t="s">
        <v>11</v>
      </c>
      <c r="K2" s="24" t="s">
        <v>12</v>
      </c>
      <c r="L2" s="25" t="s">
        <v>13</v>
      </c>
      <c r="M2" s="25" t="s">
        <v>14</v>
      </c>
    </row>
    <row r="3" ht="14.5" customHeight="1" spans="1:13">
      <c r="A3" t="s">
        <v>15</v>
      </c>
      <c r="B3" s="6">
        <v>49.99</v>
      </c>
      <c r="C3" s="6">
        <f>VLOOKUP(A:A,'5.投入产出分析'!A:E,5,0)</f>
        <v>0</v>
      </c>
      <c r="D3" s="7">
        <v>0.15</v>
      </c>
      <c r="E3" s="6">
        <v>14</v>
      </c>
      <c r="F3" s="7">
        <v>0.3</v>
      </c>
      <c r="G3" s="6">
        <f>VLOOKUP(A:A,'5.投入产出分析'!A:K,11,0)</f>
        <v>7</v>
      </c>
      <c r="H3" s="7" t="str">
        <f>VLOOKUP(A:A,'5.投入产出分析'!A:R,18,0)</f>
        <v>#1000</v>
      </c>
      <c r="I3" s="6">
        <v>2</v>
      </c>
      <c r="J3" s="127">
        <f>B3*I3*7</f>
        <v>699.86</v>
      </c>
      <c r="K3" s="127">
        <f>J3</f>
        <v>699.86</v>
      </c>
      <c r="L3" s="127">
        <f>VLOOKUP(A:A,'5.投入产出分析'!A:V,22,0)</f>
        <v>-98.2865426666666</v>
      </c>
      <c r="M3" s="128">
        <f>VLOOKUP(A:A,'5.投入产出分析'!A:W,23,0)</f>
        <v>-0.140437434153497</v>
      </c>
    </row>
    <row r="4" ht="14.5" customHeight="1" spans="1:13">
      <c r="A4" t="s">
        <v>16</v>
      </c>
      <c r="B4" s="6">
        <v>49.99</v>
      </c>
      <c r="C4" s="6">
        <f>VLOOKUP(A:A,'5.投入产出分析'!A:E,5,0)</f>
        <v>0</v>
      </c>
      <c r="D4" s="7">
        <v>0.15</v>
      </c>
      <c r="E4" s="6">
        <v>14</v>
      </c>
      <c r="F4" s="7">
        <v>0.3</v>
      </c>
      <c r="G4" s="6">
        <f>VLOOKUP(A:A,'5.投入产出分析'!A:K,11,0)</f>
        <v>9</v>
      </c>
      <c r="H4" s="7" t="str">
        <f>VLOOKUP(A:A,'5.投入产出分析'!A:R,18,0)</f>
        <v>#800</v>
      </c>
      <c r="I4" s="6">
        <v>2</v>
      </c>
      <c r="J4" s="127">
        <f t="shared" ref="J4:J14" si="0">B4*I4*7</f>
        <v>699.86</v>
      </c>
      <c r="K4" s="127">
        <f>K3+J4</f>
        <v>1399.72</v>
      </c>
      <c r="L4" s="127">
        <f>VLOOKUP(A:A,'5.投入产出分析'!A:V,22,0)</f>
        <v>-159.619876</v>
      </c>
      <c r="M4" s="128">
        <f>VLOOKUP(A:A,'5.投入产出分析'!A:W,23,0)</f>
        <v>-0.228074009087532</v>
      </c>
    </row>
    <row r="5" ht="14.5" customHeight="1" spans="1:13">
      <c r="A5" t="s">
        <v>17</v>
      </c>
      <c r="B5" s="6">
        <v>49.99</v>
      </c>
      <c r="C5" s="6">
        <f>VLOOKUP(A:A,'5.投入产出分析'!A:E,5,0)</f>
        <v>0</v>
      </c>
      <c r="D5" s="7">
        <v>0.15</v>
      </c>
      <c r="E5" s="6">
        <v>14</v>
      </c>
      <c r="F5" s="7">
        <v>0.3</v>
      </c>
      <c r="G5" s="6">
        <f>VLOOKUP(A:A,'5.投入产出分析'!A:K,11,0)</f>
        <v>15</v>
      </c>
      <c r="H5" s="7" t="str">
        <f>VLOOKUP(A:A,'5.投入产出分析'!A:R,18,0)</f>
        <v>#700</v>
      </c>
      <c r="I5" s="6">
        <v>3</v>
      </c>
      <c r="J5" s="127">
        <f t="shared" si="0"/>
        <v>1049.79</v>
      </c>
      <c r="K5" s="127">
        <f t="shared" ref="K5:K14" si="1">K4+J5</f>
        <v>2449.51</v>
      </c>
      <c r="L5" s="127">
        <f>VLOOKUP(A:A,'5.投入产出分析'!A:V,22,0)</f>
        <v>-285.429814</v>
      </c>
      <c r="M5" s="128">
        <f>VLOOKUP(A:A,'5.投入产出分析'!A:W,23,0)</f>
        <v>-0.271892296554549</v>
      </c>
    </row>
    <row r="6" ht="14.5" customHeight="1" spans="1:13">
      <c r="A6" t="s">
        <v>18</v>
      </c>
      <c r="B6" s="6">
        <v>49.99</v>
      </c>
      <c r="C6" s="6">
        <f>VLOOKUP(A:A,'5.投入产出分析'!A:E,5,0)</f>
        <v>0</v>
      </c>
      <c r="D6" s="7">
        <v>0.15</v>
      </c>
      <c r="E6" s="6">
        <v>14</v>
      </c>
      <c r="F6" s="7">
        <v>0.3</v>
      </c>
      <c r="G6" s="6">
        <f>VLOOKUP(A:A,'5.投入产出分析'!A:K,11,0)</f>
        <v>16</v>
      </c>
      <c r="H6" s="7" t="str">
        <f>VLOOKUP(A:A,'5.投入产出分析'!A:R,18,0)</f>
        <v>#600</v>
      </c>
      <c r="I6" s="6">
        <v>4</v>
      </c>
      <c r="J6" s="127">
        <f t="shared" si="0"/>
        <v>1399.72</v>
      </c>
      <c r="K6" s="127">
        <f t="shared" si="1"/>
        <v>3849.23</v>
      </c>
      <c r="L6" s="127">
        <f>VLOOKUP(A:A,'5.投入产出分析'!A:V,22,0)</f>
        <v>-98.7070599999999</v>
      </c>
      <c r="M6" s="128">
        <f>VLOOKUP(A:A,'5.投入产出分析'!A:W,23,0)</f>
        <v>-0.0705191466864801</v>
      </c>
    </row>
    <row r="7" ht="14.5" customHeight="1" spans="1:13">
      <c r="A7" t="s">
        <v>19</v>
      </c>
      <c r="B7" s="6">
        <v>49.99</v>
      </c>
      <c r="C7" s="6">
        <f>VLOOKUP(A:A,'5.投入产出分析'!A:E,5,0)</f>
        <v>15</v>
      </c>
      <c r="D7" s="7">
        <v>0.15</v>
      </c>
      <c r="E7" s="6">
        <v>14</v>
      </c>
      <c r="F7" s="7">
        <v>0.3</v>
      </c>
      <c r="G7" s="6">
        <f>VLOOKUP(A:A,'5.投入产出分析'!A:K,11,0)</f>
        <v>21</v>
      </c>
      <c r="H7" s="7" t="str">
        <f>VLOOKUP(A:A,'5.投入产出分析'!A:R,18,0)</f>
        <v>#500</v>
      </c>
      <c r="I7" s="6">
        <v>5</v>
      </c>
      <c r="J7" s="127">
        <f t="shared" si="0"/>
        <v>1749.65</v>
      </c>
      <c r="K7" s="127">
        <f t="shared" si="1"/>
        <v>5598.88</v>
      </c>
      <c r="L7" s="127">
        <f>VLOOKUP(A:A,'5.投入产出分析'!A:V,22,0)</f>
        <v>70.4234083333333</v>
      </c>
      <c r="M7" s="128">
        <f>VLOOKUP(A:A,'5.投入产出分析'!A:W,23,0)</f>
        <v>0.0402499976185713</v>
      </c>
    </row>
    <row r="8" ht="14.5" customHeight="1" spans="1:13">
      <c r="A8" t="s">
        <v>20</v>
      </c>
      <c r="B8" s="6">
        <v>49.99</v>
      </c>
      <c r="C8" s="6">
        <f>VLOOKUP(A:A,'5.投入产出分析'!A:E,5,0)</f>
        <v>0</v>
      </c>
      <c r="D8" s="7">
        <v>0.15</v>
      </c>
      <c r="E8" s="6">
        <v>14</v>
      </c>
      <c r="F8" s="7">
        <v>0.3</v>
      </c>
      <c r="G8" s="6">
        <f>VLOOKUP(A:A,'5.投入产出分析'!A:K,11,0)</f>
        <v>25</v>
      </c>
      <c r="H8" s="7" t="str">
        <f>VLOOKUP(A:A,'5.投入产出分析'!A:R,18,0)</f>
        <v>#450</v>
      </c>
      <c r="I8" s="6">
        <v>5</v>
      </c>
      <c r="J8" s="127">
        <f t="shared" si="0"/>
        <v>1749.65</v>
      </c>
      <c r="K8" s="127">
        <f t="shared" si="1"/>
        <v>7348.53</v>
      </c>
      <c r="L8" s="127">
        <f>VLOOKUP(A:A,'5.投入产出分析'!A:V,22,0)</f>
        <v>-89.9401822222222</v>
      </c>
      <c r="M8" s="128">
        <f>VLOOKUP(A:A,'5.投入产出分析'!A:W,23,0)</f>
        <v>-0.0514046707754249</v>
      </c>
    </row>
    <row r="9" ht="14.5" customHeight="1" spans="1:13">
      <c r="A9" t="s">
        <v>21</v>
      </c>
      <c r="B9" s="6">
        <v>49.99</v>
      </c>
      <c r="C9" s="6">
        <f>VLOOKUP(A:A,'5.投入产出分析'!A:E,5,0)</f>
        <v>20</v>
      </c>
      <c r="D9" s="7">
        <v>0.15</v>
      </c>
      <c r="E9" s="6">
        <v>14</v>
      </c>
      <c r="F9" s="7">
        <v>0.3</v>
      </c>
      <c r="G9" s="6">
        <f>VLOOKUP(A:A,'5.投入产出分析'!A:K,11,0)</f>
        <v>25</v>
      </c>
      <c r="H9" s="7" t="str">
        <f>VLOOKUP(A:A,'5.投入产出分析'!A:R,18,0)</f>
        <v>#350</v>
      </c>
      <c r="I9" s="6">
        <v>6</v>
      </c>
      <c r="J9" s="127">
        <f t="shared" si="0"/>
        <v>2099.58</v>
      </c>
      <c r="K9" s="127">
        <f t="shared" si="1"/>
        <v>9448.11</v>
      </c>
      <c r="L9" s="127">
        <f>VLOOKUP(A:A,'5.投入产出分析'!A:V,22,0)</f>
        <v>75.2384777777778</v>
      </c>
      <c r="M9" s="128">
        <f>VLOOKUP(A:A,'5.投入产出分析'!A:W,23,0)</f>
        <v>0.0358350135635593</v>
      </c>
    </row>
    <row r="10" ht="14.5" customHeight="1" spans="1:13">
      <c r="A10" t="s">
        <v>22</v>
      </c>
      <c r="B10" s="6">
        <v>49.99</v>
      </c>
      <c r="C10" s="6">
        <f>VLOOKUP(A:A,'5.投入产出分析'!A:E,5,0)</f>
        <v>0</v>
      </c>
      <c r="D10" s="7">
        <v>0.15</v>
      </c>
      <c r="E10" s="6">
        <v>14</v>
      </c>
      <c r="F10" s="7">
        <v>0.3</v>
      </c>
      <c r="G10" s="6">
        <f>VLOOKUP(A:A,'5.投入产出分析'!A:K,11,0)</f>
        <v>25</v>
      </c>
      <c r="H10" s="7" t="str">
        <f>VLOOKUP(A:A,'5.投入产出分析'!A:R,18,0)</f>
        <v>#300</v>
      </c>
      <c r="I10" s="6">
        <v>6</v>
      </c>
      <c r="J10" s="127">
        <f t="shared" si="0"/>
        <v>2099.58</v>
      </c>
      <c r="K10" s="127">
        <f t="shared" si="1"/>
        <v>11547.69</v>
      </c>
      <c r="L10" s="127">
        <f>VLOOKUP(A:A,'5.投入产出分析'!A:V,22,0)</f>
        <v>8.43584097777784</v>
      </c>
      <c r="M10" s="128">
        <f>VLOOKUP(A:A,'5.投入产出分析'!A:W,23,0)</f>
        <v>0.00401787070641645</v>
      </c>
    </row>
    <row r="11" ht="14.5" customHeight="1" spans="1:13">
      <c r="A11" t="s">
        <v>23</v>
      </c>
      <c r="B11" s="6">
        <v>49.99</v>
      </c>
      <c r="C11" s="6">
        <f>VLOOKUP(A:A,'5.投入产出分析'!A:E,5,0)</f>
        <v>0</v>
      </c>
      <c r="D11" s="7">
        <v>0.15</v>
      </c>
      <c r="E11" s="6">
        <v>14</v>
      </c>
      <c r="F11" s="7">
        <v>0.3</v>
      </c>
      <c r="G11" s="6">
        <f>VLOOKUP(A:A,'5.投入产出分析'!A:K,11,0)</f>
        <v>28</v>
      </c>
      <c r="H11" s="7" t="str">
        <f>VLOOKUP(A:A,'5.投入产出分析'!A:R,18,0)</f>
        <v>#250</v>
      </c>
      <c r="I11" s="6">
        <v>7</v>
      </c>
      <c r="J11" s="127">
        <f t="shared" si="0"/>
        <v>2449.51</v>
      </c>
      <c r="K11" s="127">
        <f t="shared" si="1"/>
        <v>13997.2</v>
      </c>
      <c r="L11" s="127">
        <f>VLOOKUP(A:A,'5.投入产出分析'!A:V,22,0)</f>
        <v>139.927067</v>
      </c>
      <c r="M11" s="128">
        <f>VLOOKUP(A:A,'5.投入产出分析'!A:W,23,0)</f>
        <v>0.0571245134741234</v>
      </c>
    </row>
    <row r="12" ht="14.5" customHeight="1" spans="1:13">
      <c r="A12" t="s">
        <v>24</v>
      </c>
      <c r="B12" s="6">
        <v>49.99</v>
      </c>
      <c r="C12" s="6">
        <f>VLOOKUP(A:A,'5.投入产出分析'!A:E,5,0)</f>
        <v>0</v>
      </c>
      <c r="D12" s="7">
        <v>0.15</v>
      </c>
      <c r="E12" s="6">
        <v>14</v>
      </c>
      <c r="F12" s="7">
        <v>0.3</v>
      </c>
      <c r="G12" s="6">
        <f>VLOOKUP(A:A,'5.投入产出分析'!A:K,11,0)</f>
        <v>28</v>
      </c>
      <c r="H12" s="7" t="str">
        <f>VLOOKUP(A:A,'5.投入产出分析'!A:R,18,0)</f>
        <v>#200</v>
      </c>
      <c r="I12" s="6">
        <v>8</v>
      </c>
      <c r="J12" s="127">
        <f t="shared" si="0"/>
        <v>2799.44</v>
      </c>
      <c r="K12" s="127">
        <f t="shared" si="1"/>
        <v>16796.64</v>
      </c>
      <c r="L12" s="127">
        <f>VLOOKUP(A:A,'5.投入产出分析'!A:V,22,0)</f>
        <v>225.516648</v>
      </c>
      <c r="M12" s="128">
        <f>VLOOKUP(A:A,'5.投入产出分析'!A:W,23,0)</f>
        <v>0.0805577715543109</v>
      </c>
    </row>
    <row r="13" ht="14.5" customHeight="1" spans="1:13">
      <c r="A13" t="s">
        <v>25</v>
      </c>
      <c r="B13" s="6">
        <v>49.99</v>
      </c>
      <c r="C13" s="6">
        <f>VLOOKUP(A:A,'5.投入产出分析'!A:E,5,0)</f>
        <v>0</v>
      </c>
      <c r="D13" s="7">
        <v>0.15</v>
      </c>
      <c r="E13" s="6">
        <v>14</v>
      </c>
      <c r="F13" s="7">
        <v>0.3</v>
      </c>
      <c r="G13" s="6">
        <f>VLOOKUP(A:A,'5.投入产出分析'!A:K,11,0)</f>
        <v>30</v>
      </c>
      <c r="H13" s="7" t="str">
        <f>VLOOKUP(A:A,'5.投入产出分析'!A:R,18,0)</f>
        <v>#150</v>
      </c>
      <c r="I13" s="6">
        <v>10</v>
      </c>
      <c r="J13" s="127">
        <f t="shared" si="0"/>
        <v>3499.3</v>
      </c>
      <c r="K13" s="127">
        <f t="shared" si="1"/>
        <v>20295.94</v>
      </c>
      <c r="L13" s="127">
        <f>VLOOKUP(A:A,'5.投入产出分析'!A:V,22,0)</f>
        <v>363.89581</v>
      </c>
      <c r="M13" s="128">
        <f>VLOOKUP(A:A,'5.投入产出分析'!A:W,23,0)</f>
        <v>0.103991029634498</v>
      </c>
    </row>
    <row r="14" ht="14.5" customHeight="1" spans="1:13">
      <c r="A14" t="s">
        <v>26</v>
      </c>
      <c r="B14" s="6">
        <v>49.99</v>
      </c>
      <c r="C14" s="6">
        <f>VLOOKUP(A:A,'5.投入产出分析'!A:E,5,0)</f>
        <v>0</v>
      </c>
      <c r="D14" s="7">
        <v>0.15</v>
      </c>
      <c r="E14" s="6">
        <v>14</v>
      </c>
      <c r="F14" s="7">
        <v>0.3</v>
      </c>
      <c r="G14" s="6">
        <f>VLOOKUP(A:A,'5.投入产出分析'!A:K,11,0)</f>
        <v>35</v>
      </c>
      <c r="H14" s="7" t="str">
        <f>VLOOKUP(A:A,'5.投入产出分析'!A:R,18,0)</f>
        <v>#130</v>
      </c>
      <c r="I14" s="6">
        <v>12</v>
      </c>
      <c r="J14" s="127">
        <f t="shared" si="0"/>
        <v>4199.16</v>
      </c>
      <c r="K14" s="127">
        <f t="shared" si="1"/>
        <v>24495.1</v>
      </c>
      <c r="L14" s="127">
        <f>VLOOKUP(A:A,'5.投入产出分析'!A:V,22,0)</f>
        <v>453.074972</v>
      </c>
      <c r="M14" s="128">
        <f>VLOOKUP(A:A,'5.投入产出分析'!A:W,23,0)</f>
        <v>0.107896572647863</v>
      </c>
    </row>
    <row r="15" ht="14.5" customHeight="1" spans="2:13">
      <c r="B15" s="6"/>
      <c r="C15" s="6"/>
      <c r="D15" s="7"/>
      <c r="E15" s="6"/>
      <c r="F15" s="7"/>
      <c r="G15" s="6"/>
      <c r="H15" s="7"/>
      <c r="I15" s="6"/>
      <c r="J15" s="127"/>
      <c r="K15" s="127"/>
      <c r="L15" s="127"/>
      <c r="M15" s="128"/>
    </row>
    <row r="16" ht="14.5" customHeight="1" spans="2:13">
      <c r="B16" s="6"/>
      <c r="C16" s="6"/>
      <c r="D16" s="7"/>
      <c r="E16" s="6"/>
      <c r="F16" s="7"/>
      <c r="G16" s="6"/>
      <c r="H16" s="7"/>
      <c r="I16" s="6"/>
      <c r="J16" s="127"/>
      <c r="K16" s="127"/>
      <c r="L16" s="127"/>
      <c r="M16" s="128"/>
    </row>
    <row r="17" ht="14.5" customHeight="1" spans="2:13">
      <c r="B17" s="6"/>
      <c r="C17" s="6"/>
      <c r="D17" s="7"/>
      <c r="E17" s="6"/>
      <c r="F17" s="7"/>
      <c r="G17" s="6"/>
      <c r="H17" s="7"/>
      <c r="I17" s="6"/>
      <c r="J17" s="127"/>
      <c r="K17" s="127"/>
      <c r="L17" s="127"/>
      <c r="M17" s="128"/>
    </row>
    <row r="18" ht="14.5" customHeight="1" spans="2:13">
      <c r="B18" s="6"/>
      <c r="C18" s="6"/>
      <c r="D18" s="7"/>
      <c r="E18" s="6"/>
      <c r="F18" s="7"/>
      <c r="G18" s="6"/>
      <c r="H18" s="7"/>
      <c r="I18" s="6"/>
      <c r="J18" s="127"/>
      <c r="K18" s="127"/>
      <c r="L18" s="127"/>
      <c r="M18" s="128"/>
    </row>
    <row r="19" ht="14.25" customHeight="1" spans="2:13">
      <c r="B19" s="6"/>
      <c r="C19" s="6"/>
      <c r="D19" s="7"/>
      <c r="E19" s="6"/>
      <c r="F19" s="7"/>
      <c r="G19" s="6"/>
      <c r="H19" s="7"/>
      <c r="I19" s="6"/>
      <c r="J19" s="127"/>
      <c r="K19" s="127"/>
      <c r="L19" s="127"/>
      <c r="M19" s="128"/>
    </row>
    <row r="20" ht="14.25" customHeight="1" spans="2:13">
      <c r="B20" s="6"/>
      <c r="C20" s="6"/>
      <c r="D20" s="7"/>
      <c r="E20" s="6"/>
      <c r="F20" s="7"/>
      <c r="G20" s="6"/>
      <c r="H20" s="7"/>
      <c r="I20" s="6"/>
      <c r="J20" s="127"/>
      <c r="K20" s="127"/>
      <c r="L20" s="127"/>
      <c r="M20" s="128"/>
    </row>
    <row r="21" ht="14.25" customHeight="1" spans="2:13">
      <c r="B21" s="6"/>
      <c r="C21" s="6"/>
      <c r="D21" s="7"/>
      <c r="E21" s="6"/>
      <c r="F21" s="7"/>
      <c r="G21" s="6"/>
      <c r="H21" s="7"/>
      <c r="I21" s="6"/>
      <c r="J21" s="127"/>
      <c r="K21" s="127"/>
      <c r="L21" s="127"/>
      <c r="M21" s="128"/>
    </row>
    <row r="22" ht="14.25" customHeight="1" spans="2:13">
      <c r="B22" s="6"/>
      <c r="C22" s="6"/>
      <c r="D22" s="7"/>
      <c r="E22" s="6"/>
      <c r="F22" s="7"/>
      <c r="G22" s="6"/>
      <c r="H22" s="7"/>
      <c r="I22" s="6"/>
      <c r="J22" s="127"/>
      <c r="K22" s="127"/>
      <c r="L22" s="127"/>
      <c r="M22" s="128"/>
    </row>
    <row r="23" ht="14.5" customHeight="1" spans="2:13">
      <c r="B23" s="6"/>
      <c r="C23" s="6"/>
      <c r="D23" s="7"/>
      <c r="E23" s="6"/>
      <c r="F23" s="7"/>
      <c r="G23" s="6"/>
      <c r="H23" s="7"/>
      <c r="I23" s="6"/>
      <c r="J23" s="127"/>
      <c r="K23" s="127"/>
      <c r="L23" s="127"/>
      <c r="M23" s="128"/>
    </row>
    <row r="24" ht="14.5" customHeight="1" spans="2:13">
      <c r="B24" s="6"/>
      <c r="C24" s="6"/>
      <c r="D24" s="7"/>
      <c r="E24" s="6"/>
      <c r="F24" s="7"/>
      <c r="G24" s="6"/>
      <c r="H24" s="7"/>
      <c r="I24" s="6"/>
      <c r="J24" s="127"/>
      <c r="K24" s="127"/>
      <c r="L24" s="127"/>
      <c r="M24" s="128"/>
    </row>
    <row r="25" ht="14.5" customHeight="1" spans="2:13">
      <c r="B25" s="6"/>
      <c r="C25" s="6"/>
      <c r="D25" s="7"/>
      <c r="E25" s="6"/>
      <c r="F25" s="7"/>
      <c r="G25" s="6"/>
      <c r="H25" s="7"/>
      <c r="I25" s="6"/>
      <c r="J25" s="127"/>
      <c r="K25" s="127"/>
      <c r="L25" s="127"/>
      <c r="M25" s="128"/>
    </row>
    <row r="26" ht="14.5" customHeight="1" spans="2:13">
      <c r="B26" s="6"/>
      <c r="C26" s="6"/>
      <c r="D26" s="7"/>
      <c r="E26" s="6"/>
      <c r="F26" s="7"/>
      <c r="G26" s="6"/>
      <c r="H26" s="7"/>
      <c r="I26" s="6"/>
      <c r="J26" s="127"/>
      <c r="K26" s="127"/>
      <c r="L26" s="127"/>
      <c r="M26" s="128"/>
    </row>
    <row r="27" spans="2:13">
      <c r="B27" s="6"/>
      <c r="C27" s="6"/>
      <c r="D27" s="7"/>
      <c r="E27" s="6"/>
      <c r="F27" s="7"/>
      <c r="G27" s="6"/>
      <c r="H27" s="7"/>
      <c r="I27" s="6"/>
      <c r="J27" s="127"/>
      <c r="K27" s="127"/>
      <c r="L27" s="127"/>
      <c r="M27" s="128"/>
    </row>
    <row r="28" spans="2:13">
      <c r="B28" s="6"/>
      <c r="C28" s="6"/>
      <c r="D28" s="7"/>
      <c r="E28" s="6"/>
      <c r="F28" s="7"/>
      <c r="G28" s="6"/>
      <c r="H28" s="7"/>
      <c r="I28" s="6"/>
      <c r="J28" s="127"/>
      <c r="K28" s="127"/>
      <c r="L28" s="127"/>
      <c r="M28" s="128"/>
    </row>
    <row r="29" spans="2:13">
      <c r="B29" s="6"/>
      <c r="C29" s="6"/>
      <c r="D29" s="7"/>
      <c r="E29" s="6"/>
      <c r="F29" s="7"/>
      <c r="G29" s="6"/>
      <c r="H29" s="7"/>
      <c r="I29" s="6"/>
      <c r="J29" s="127"/>
      <c r="K29" s="127"/>
      <c r="L29" s="127"/>
      <c r="M29" s="128"/>
    </row>
    <row r="30" spans="2:13">
      <c r="B30" s="6"/>
      <c r="C30" s="6"/>
      <c r="D30" s="7"/>
      <c r="E30" s="6"/>
      <c r="F30" s="7"/>
      <c r="G30" s="6"/>
      <c r="H30" s="7"/>
      <c r="I30" s="6"/>
      <c r="J30" s="127"/>
      <c r="K30" s="127"/>
      <c r="L30" s="127"/>
      <c r="M30" s="128"/>
    </row>
    <row r="31" spans="2:13">
      <c r="B31" s="6"/>
      <c r="C31" s="6"/>
      <c r="D31" s="7"/>
      <c r="E31" s="6"/>
      <c r="F31" s="7"/>
      <c r="G31" s="6"/>
      <c r="H31" s="7"/>
      <c r="I31" s="6"/>
      <c r="J31" s="127"/>
      <c r="K31" s="127"/>
      <c r="L31" s="127"/>
      <c r="M31" s="128"/>
    </row>
    <row r="32" spans="2:13">
      <c r="B32" s="6"/>
      <c r="C32" s="6"/>
      <c r="D32" s="7"/>
      <c r="E32" s="6"/>
      <c r="F32" s="7"/>
      <c r="G32" s="6"/>
      <c r="H32" s="7"/>
      <c r="I32" s="6"/>
      <c r="J32" s="127"/>
      <c r="K32" s="127"/>
      <c r="L32" s="127"/>
      <c r="M32" s="128"/>
    </row>
    <row r="33" spans="2:13">
      <c r="B33" s="6"/>
      <c r="C33" s="6"/>
      <c r="D33" s="7"/>
      <c r="E33" s="6"/>
      <c r="F33" s="7"/>
      <c r="G33" s="6"/>
      <c r="H33" s="7"/>
      <c r="I33" s="6"/>
      <c r="J33" s="127"/>
      <c r="K33" s="127"/>
      <c r="L33" s="127"/>
      <c r="M33" s="128"/>
    </row>
    <row r="34" spans="2:13">
      <c r="B34" s="6"/>
      <c r="C34" s="6"/>
      <c r="D34" s="7"/>
      <c r="E34" s="6"/>
      <c r="F34" s="7"/>
      <c r="G34" s="6"/>
      <c r="H34" s="7"/>
      <c r="I34" s="6"/>
      <c r="J34" s="127"/>
      <c r="K34" s="127"/>
      <c r="L34" s="127"/>
      <c r="M34" s="128"/>
    </row>
    <row r="35" spans="6:6">
      <c r="F35" s="7"/>
    </row>
  </sheetData>
  <sheetProtection formatCells="0" insertHyperlinks="0" autoFilter="0"/>
  <mergeCells count="3">
    <mergeCell ref="C1:D1"/>
    <mergeCell ref="E1:F1"/>
    <mergeCell ref="H1:M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="80" zoomScaleNormal="80" topLeftCell="A25" workbookViewId="0">
      <selection activeCell="G12" sqref="G12"/>
    </sheetView>
  </sheetViews>
  <sheetFormatPr defaultColWidth="9" defaultRowHeight="14.4"/>
  <cols>
    <col min="1" max="1" width="28.1666666666667" customWidth="1"/>
    <col min="2" max="2" width="23.8333333333333" customWidth="1"/>
    <col min="3" max="3" width="19.6666666666667" customWidth="1"/>
    <col min="4" max="4" width="43.3333333333333" customWidth="1"/>
    <col min="5" max="5" width="18.5" customWidth="1"/>
    <col min="6" max="6" width="18.8333333333333" customWidth="1"/>
  </cols>
  <sheetData>
    <row r="1" ht="20.4" spans="1:6">
      <c r="A1" s="103" t="s">
        <v>27</v>
      </c>
      <c r="B1" s="103"/>
      <c r="C1" s="103" t="s">
        <v>28</v>
      </c>
      <c r="D1" s="103"/>
      <c r="E1" s="103" t="s">
        <v>29</v>
      </c>
      <c r="F1" s="103"/>
    </row>
    <row r="2" ht="20.4" spans="1:6">
      <c r="A2" s="104" t="s">
        <v>30</v>
      </c>
      <c r="B2" s="104" t="s">
        <v>31</v>
      </c>
      <c r="C2" s="104" t="s">
        <v>30</v>
      </c>
      <c r="D2" s="104" t="s">
        <v>31</v>
      </c>
      <c r="E2" s="104" t="s">
        <v>30</v>
      </c>
      <c r="F2" s="104" t="s">
        <v>31</v>
      </c>
    </row>
    <row r="3" ht="20.4" spans="1:6">
      <c r="A3" s="105">
        <v>3</v>
      </c>
      <c r="B3" s="105" t="s">
        <v>32</v>
      </c>
      <c r="C3" s="105">
        <v>6</v>
      </c>
      <c r="D3" s="105" t="s">
        <v>33</v>
      </c>
      <c r="E3" s="105">
        <v>10</v>
      </c>
      <c r="F3" s="105" t="s">
        <v>34</v>
      </c>
    </row>
    <row r="6" ht="17.4" spans="1:4">
      <c r="A6" s="106" t="s">
        <v>35</v>
      </c>
      <c r="B6" s="106"/>
      <c r="C6" s="107"/>
      <c r="D6" s="107"/>
    </row>
    <row r="7" ht="50.25" customHeight="1" spans="1:4">
      <c r="A7" s="108" t="s">
        <v>36</v>
      </c>
      <c r="B7" s="109" t="s">
        <v>37</v>
      </c>
      <c r="C7" s="110">
        <v>49.99</v>
      </c>
      <c r="D7" s="111"/>
    </row>
    <row r="8" ht="50.25" customHeight="1" spans="1:4">
      <c r="A8" s="112"/>
      <c r="B8" s="109" t="s">
        <v>30</v>
      </c>
      <c r="C8" s="110">
        <v>3</v>
      </c>
      <c r="D8" s="111"/>
    </row>
    <row r="9" ht="86.4" spans="1:11">
      <c r="A9" s="112"/>
      <c r="B9" s="109" t="s">
        <v>38</v>
      </c>
      <c r="C9" s="113"/>
      <c r="D9" s="114" t="s">
        <v>39</v>
      </c>
      <c r="E9" s="115"/>
      <c r="F9" s="6"/>
      <c r="G9" s="6"/>
      <c r="H9" s="6"/>
      <c r="I9" s="123"/>
      <c r="J9" s="124"/>
      <c r="K9" s="124"/>
    </row>
    <row r="10" ht="100.8" spans="1:4">
      <c r="A10" s="112"/>
      <c r="B10" s="109" t="s">
        <v>40</v>
      </c>
      <c r="C10" s="116">
        <v>0.6</v>
      </c>
      <c r="D10" s="111" t="s">
        <v>41</v>
      </c>
    </row>
    <row r="11" ht="86.4" spans="1:4">
      <c r="A11" s="112"/>
      <c r="B11" s="109" t="s">
        <v>42</v>
      </c>
      <c r="C11" s="117" t="s">
        <v>43</v>
      </c>
      <c r="D11" s="111" t="s">
        <v>44</v>
      </c>
    </row>
    <row r="12" ht="57.6" spans="1:4">
      <c r="A12" s="112"/>
      <c r="B12" s="109" t="s">
        <v>45</v>
      </c>
      <c r="C12" s="118" t="s">
        <v>46</v>
      </c>
      <c r="D12" s="111" t="s">
        <v>47</v>
      </c>
    </row>
    <row r="13" ht="100" customHeight="1" spans="1:4">
      <c r="A13" s="119"/>
      <c r="B13" s="109" t="s">
        <v>48</v>
      </c>
      <c r="C13" s="120" t="s">
        <v>49</v>
      </c>
      <c r="D13" s="121" t="s">
        <v>50</v>
      </c>
    </row>
    <row r="14" ht="17.4" spans="1:4">
      <c r="A14" s="122" t="s">
        <v>51</v>
      </c>
      <c r="B14" s="122"/>
      <c r="C14" s="107"/>
      <c r="D14" s="107"/>
    </row>
    <row r="15" ht="40" customHeight="1" spans="1:4">
      <c r="A15" s="108" t="s">
        <v>52</v>
      </c>
      <c r="B15" s="109" t="s">
        <v>37</v>
      </c>
      <c r="C15" s="110">
        <v>49.99</v>
      </c>
      <c r="D15" s="111"/>
    </row>
    <row r="16" ht="40" customHeight="1" spans="1:4">
      <c r="A16" s="112"/>
      <c r="B16" s="109" t="s">
        <v>30</v>
      </c>
      <c r="C16" s="110">
        <v>6</v>
      </c>
      <c r="D16" s="111"/>
    </row>
    <row r="17" spans="1:4">
      <c r="A17" s="112"/>
      <c r="B17" s="109" t="s">
        <v>38</v>
      </c>
      <c r="C17" s="113"/>
      <c r="D17" s="114" t="s">
        <v>53</v>
      </c>
    </row>
    <row r="18" ht="144" spans="1:4">
      <c r="A18" s="112"/>
      <c r="B18" s="109" t="s">
        <v>40</v>
      </c>
      <c r="C18" s="116">
        <v>0.5</v>
      </c>
      <c r="D18" s="111" t="s">
        <v>54</v>
      </c>
    </row>
    <row r="19" ht="100.8" spans="1:4">
      <c r="A19" s="112"/>
      <c r="B19" s="109" t="s">
        <v>42</v>
      </c>
      <c r="C19" s="117" t="s">
        <v>55</v>
      </c>
      <c r="D19" s="111" t="s">
        <v>56</v>
      </c>
    </row>
    <row r="20" ht="57.6" spans="1:4">
      <c r="A20" s="112"/>
      <c r="B20" s="109" t="s">
        <v>45</v>
      </c>
      <c r="C20" s="118" t="s">
        <v>57</v>
      </c>
      <c r="D20" s="111" t="s">
        <v>58</v>
      </c>
    </row>
    <row r="21" ht="100" customHeight="1" spans="1:4">
      <c r="A21" s="119"/>
      <c r="B21" s="109" t="s">
        <v>48</v>
      </c>
      <c r="C21" s="120" t="s">
        <v>59</v>
      </c>
      <c r="D21" s="121" t="s">
        <v>60</v>
      </c>
    </row>
    <row r="22" ht="17.4" spans="1:4">
      <c r="A22" s="122" t="s">
        <v>61</v>
      </c>
      <c r="B22" s="122"/>
      <c r="C22" s="107"/>
      <c r="D22" s="107"/>
    </row>
    <row r="23" ht="50.25" customHeight="1" spans="1:4">
      <c r="A23" s="108" t="s">
        <v>62</v>
      </c>
      <c r="B23" s="109" t="s">
        <v>37</v>
      </c>
      <c r="C23" s="110">
        <v>49.99</v>
      </c>
      <c r="D23" s="111"/>
    </row>
    <row r="24" ht="50.25" customHeight="1" spans="1:4">
      <c r="A24" s="112"/>
      <c r="B24" s="109" t="s">
        <v>30</v>
      </c>
      <c r="C24" s="110">
        <v>10</v>
      </c>
      <c r="D24" s="111"/>
    </row>
    <row r="25" spans="1:4">
      <c r="A25" s="112"/>
      <c r="B25" s="109" t="s">
        <v>38</v>
      </c>
      <c r="C25" s="113"/>
      <c r="D25" s="114"/>
    </row>
    <row r="26" ht="129.6" spans="1:4">
      <c r="A26" s="112"/>
      <c r="B26" s="109" t="s">
        <v>40</v>
      </c>
      <c r="C26" s="116">
        <v>0.35</v>
      </c>
      <c r="D26" s="111" t="s">
        <v>63</v>
      </c>
    </row>
    <row r="27" ht="100.8" spans="1:4">
      <c r="A27" s="112"/>
      <c r="B27" s="109" t="s">
        <v>42</v>
      </c>
      <c r="C27" s="117" t="s">
        <v>64</v>
      </c>
      <c r="D27" s="111" t="s">
        <v>65</v>
      </c>
    </row>
    <row r="28" ht="57.6" spans="1:4">
      <c r="A28" s="112"/>
      <c r="B28" s="109" t="s">
        <v>45</v>
      </c>
      <c r="C28" s="118" t="s">
        <v>66</v>
      </c>
      <c r="D28" s="111" t="s">
        <v>67</v>
      </c>
    </row>
    <row r="29" ht="100" customHeight="1" spans="1:4">
      <c r="A29" s="119"/>
      <c r="B29" s="109" t="s">
        <v>48</v>
      </c>
      <c r="C29" s="120" t="s">
        <v>68</v>
      </c>
      <c r="D29" s="121" t="s">
        <v>69</v>
      </c>
    </row>
  </sheetData>
  <sheetProtection formatCells="0" insertHyperlinks="0" autoFilter="0"/>
  <mergeCells count="11">
    <mergeCell ref="A1:B1"/>
    <mergeCell ref="C1:D1"/>
    <mergeCell ref="E1:F1"/>
    <mergeCell ref="A6:B6"/>
    <mergeCell ref="E9:H9"/>
    <mergeCell ref="I9:K9"/>
    <mergeCell ref="A14:B14"/>
    <mergeCell ref="A22:B22"/>
    <mergeCell ref="A7:A13"/>
    <mergeCell ref="A15:A21"/>
    <mergeCell ref="A23:A2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zoomScale="110" zoomScaleNormal="110" workbookViewId="0">
      <selection activeCell="D5" sqref="D5"/>
    </sheetView>
  </sheetViews>
  <sheetFormatPr defaultColWidth="9" defaultRowHeight="15"/>
  <cols>
    <col min="1" max="1" width="18.6666666666667" customWidth="1"/>
    <col min="2" max="2" width="15.6666666666667" customWidth="1"/>
    <col min="3" max="3" width="14.5" customWidth="1"/>
    <col min="4" max="4" width="41.3333333333333" customWidth="1"/>
    <col min="5" max="5" width="12" style="84" customWidth="1"/>
    <col min="10" max="10" width="9" style="84"/>
  </cols>
  <sheetData>
    <row r="1" ht="15.6" spans="1:10">
      <c r="A1" s="85" t="s">
        <v>70</v>
      </c>
      <c r="B1" s="85" t="s">
        <v>71</v>
      </c>
      <c r="C1" s="85" t="s">
        <v>72</v>
      </c>
      <c r="D1" s="86" t="s">
        <v>73</v>
      </c>
      <c r="E1" s="87" t="s">
        <v>30</v>
      </c>
      <c r="F1" s="88" t="s">
        <v>74</v>
      </c>
      <c r="G1" s="88"/>
      <c r="H1" s="88"/>
      <c r="I1" s="89"/>
      <c r="J1" s="84" t="s">
        <v>75</v>
      </c>
    </row>
    <row r="2" ht="15.6" spans="1:9">
      <c r="A2" s="85"/>
      <c r="B2" s="85"/>
      <c r="C2" s="85"/>
      <c r="D2" s="86"/>
      <c r="F2" s="89" t="s">
        <v>76</v>
      </c>
      <c r="G2" s="90" t="s">
        <v>77</v>
      </c>
      <c r="H2" s="91" t="s">
        <v>78</v>
      </c>
      <c r="I2" s="85" t="s">
        <v>79</v>
      </c>
    </row>
    <row r="3" ht="120" spans="1:10">
      <c r="A3" s="92" t="s">
        <v>15</v>
      </c>
      <c r="B3" s="93" t="s">
        <v>80</v>
      </c>
      <c r="C3" s="94">
        <v>49.99</v>
      </c>
      <c r="D3" s="95" t="s">
        <v>81</v>
      </c>
      <c r="E3" s="84">
        <v>2</v>
      </c>
      <c r="F3" s="96">
        <f>G3*0.9</f>
        <v>36</v>
      </c>
      <c r="G3" s="84">
        <f>I3/H3</f>
        <v>40</v>
      </c>
      <c r="H3" s="97">
        <v>0.03</v>
      </c>
      <c r="I3" s="84">
        <f>E3*0.6</f>
        <v>1.2</v>
      </c>
      <c r="J3" s="84" t="s">
        <v>82</v>
      </c>
    </row>
    <row r="4" ht="105" spans="1:10">
      <c r="A4" s="92" t="s">
        <v>16</v>
      </c>
      <c r="B4" s="93" t="s">
        <v>80</v>
      </c>
      <c r="C4" s="94">
        <v>49.99</v>
      </c>
      <c r="D4" s="98" t="s">
        <v>83</v>
      </c>
      <c r="E4" s="84">
        <v>2</v>
      </c>
      <c r="F4" s="96">
        <f>G4*0.9</f>
        <v>36</v>
      </c>
      <c r="G4" s="84">
        <f>I4/H4</f>
        <v>40</v>
      </c>
      <c r="H4" s="97">
        <v>0.03</v>
      </c>
      <c r="I4" s="84">
        <f>E4*0.6</f>
        <v>1.2</v>
      </c>
      <c r="J4" s="84" t="s">
        <v>84</v>
      </c>
    </row>
    <row r="5" ht="195" spans="1:10">
      <c r="A5" s="92" t="s">
        <v>17</v>
      </c>
      <c r="B5" s="93" t="s">
        <v>80</v>
      </c>
      <c r="C5" s="94">
        <v>49.99</v>
      </c>
      <c r="D5" s="99" t="s">
        <v>85</v>
      </c>
      <c r="E5" s="84">
        <v>3</v>
      </c>
      <c r="F5" s="96">
        <f>G5*0.9</f>
        <v>54</v>
      </c>
      <c r="G5" s="84">
        <f>I5/H5</f>
        <v>60</v>
      </c>
      <c r="H5" s="97">
        <v>0.03</v>
      </c>
      <c r="I5" s="84">
        <f>E5*0.6</f>
        <v>1.8</v>
      </c>
      <c r="J5" s="84" t="s">
        <v>86</v>
      </c>
    </row>
    <row r="6" ht="180" spans="1:10">
      <c r="A6" s="92" t="s">
        <v>18</v>
      </c>
      <c r="B6" s="93" t="s">
        <v>80</v>
      </c>
      <c r="C6" s="94">
        <v>49.99</v>
      </c>
      <c r="D6" s="98" t="s">
        <v>87</v>
      </c>
      <c r="E6" s="84">
        <v>4</v>
      </c>
      <c r="F6" s="96">
        <f>G6*0.9</f>
        <v>45</v>
      </c>
      <c r="G6" s="84">
        <f t="shared" ref="G6:G14" si="0">I6/H6</f>
        <v>50</v>
      </c>
      <c r="H6" s="97">
        <v>0.04</v>
      </c>
      <c r="I6" s="84">
        <f>E6*0.5</f>
        <v>2</v>
      </c>
      <c r="J6" s="84" t="s">
        <v>32</v>
      </c>
    </row>
    <row r="7" ht="135" spans="1:10">
      <c r="A7" s="92" t="s">
        <v>19</v>
      </c>
      <c r="B7" s="93" t="s">
        <v>80</v>
      </c>
      <c r="C7" s="94">
        <v>49.99</v>
      </c>
      <c r="D7" s="98" t="s">
        <v>88</v>
      </c>
      <c r="E7" s="84">
        <v>5</v>
      </c>
      <c r="F7" s="96">
        <f>G7*0.85</f>
        <v>53.125</v>
      </c>
      <c r="G7" s="84">
        <f t="shared" si="0"/>
        <v>62.5</v>
      </c>
      <c r="H7" s="97">
        <v>0.04</v>
      </c>
      <c r="I7" s="84">
        <f>E7*0.5</f>
        <v>2.5</v>
      </c>
      <c r="J7" s="84" t="s">
        <v>89</v>
      </c>
    </row>
    <row r="8" ht="105" spans="1:10">
      <c r="A8" s="92" t="s">
        <v>20</v>
      </c>
      <c r="B8" s="93" t="s">
        <v>80</v>
      </c>
      <c r="C8" s="94">
        <v>49.99</v>
      </c>
      <c r="D8" s="98" t="s">
        <v>90</v>
      </c>
      <c r="E8" s="84">
        <v>5</v>
      </c>
      <c r="F8" s="96">
        <f>G8*0.85</f>
        <v>53.125</v>
      </c>
      <c r="G8" s="84">
        <f t="shared" si="0"/>
        <v>62.5</v>
      </c>
      <c r="H8" s="97">
        <v>0.04</v>
      </c>
      <c r="I8" s="84">
        <f t="shared" ref="I8:I11" si="1">E8*0.5</f>
        <v>2.5</v>
      </c>
      <c r="J8" s="84" t="s">
        <v>91</v>
      </c>
    </row>
    <row r="9" ht="75" spans="1:10">
      <c r="A9" s="92" t="s">
        <v>21</v>
      </c>
      <c r="B9" s="93" t="s">
        <v>80</v>
      </c>
      <c r="C9" s="94">
        <v>49.99</v>
      </c>
      <c r="D9" s="98" t="s">
        <v>92</v>
      </c>
      <c r="E9" s="84">
        <v>6</v>
      </c>
      <c r="F9" s="96">
        <f>G9*0.85</f>
        <v>63.75</v>
      </c>
      <c r="G9" s="84">
        <f t="shared" si="0"/>
        <v>75</v>
      </c>
      <c r="H9" s="97">
        <v>0.04</v>
      </c>
      <c r="I9" s="84">
        <f t="shared" si="1"/>
        <v>3</v>
      </c>
      <c r="J9" s="84" t="s">
        <v>93</v>
      </c>
    </row>
    <row r="10" ht="75" spans="1:10">
      <c r="A10" s="92" t="s">
        <v>22</v>
      </c>
      <c r="B10" s="93" t="s">
        <v>80</v>
      </c>
      <c r="C10" s="94">
        <v>49.99</v>
      </c>
      <c r="D10" s="98" t="s">
        <v>94</v>
      </c>
      <c r="E10" s="84">
        <v>6</v>
      </c>
      <c r="F10" s="96">
        <f>G10*0.85</f>
        <v>63.75</v>
      </c>
      <c r="G10" s="84">
        <f t="shared" si="0"/>
        <v>75</v>
      </c>
      <c r="H10" s="97">
        <v>0.04</v>
      </c>
      <c r="I10" s="84">
        <f t="shared" si="1"/>
        <v>3</v>
      </c>
      <c r="J10" s="84" t="s">
        <v>95</v>
      </c>
    </row>
    <row r="11" ht="75" spans="1:10">
      <c r="A11" s="92" t="s">
        <v>23</v>
      </c>
      <c r="B11" s="93" t="s">
        <v>80</v>
      </c>
      <c r="C11" s="94">
        <v>49.99</v>
      </c>
      <c r="D11" s="98" t="s">
        <v>96</v>
      </c>
      <c r="E11" s="84">
        <v>7</v>
      </c>
      <c r="F11" s="96">
        <f>G11*0.83</f>
        <v>72.625</v>
      </c>
      <c r="G11" s="84">
        <f t="shared" si="0"/>
        <v>87.5</v>
      </c>
      <c r="H11" s="97">
        <v>0.04</v>
      </c>
      <c r="I11" s="84">
        <f t="shared" si="1"/>
        <v>3.5</v>
      </c>
      <c r="J11" s="84" t="s">
        <v>97</v>
      </c>
    </row>
    <row r="12" ht="75" spans="1:10">
      <c r="A12" s="92" t="s">
        <v>24</v>
      </c>
      <c r="B12" s="93" t="s">
        <v>80</v>
      </c>
      <c r="C12" s="94">
        <v>49.99</v>
      </c>
      <c r="D12" s="98" t="s">
        <v>98</v>
      </c>
      <c r="E12" s="84">
        <v>8</v>
      </c>
      <c r="F12" s="96">
        <f>G12*0.82</f>
        <v>65.6</v>
      </c>
      <c r="G12" s="84">
        <f t="shared" si="0"/>
        <v>80</v>
      </c>
      <c r="H12" s="97">
        <v>0.04</v>
      </c>
      <c r="I12" s="84">
        <f>E12*0.4</f>
        <v>3.2</v>
      </c>
      <c r="J12" s="84" t="s">
        <v>99</v>
      </c>
    </row>
    <row r="13" ht="75" spans="1:10">
      <c r="A13" s="92" t="s">
        <v>25</v>
      </c>
      <c r="B13" s="93" t="s">
        <v>80</v>
      </c>
      <c r="C13" s="94">
        <v>49.99</v>
      </c>
      <c r="D13" s="98" t="s">
        <v>96</v>
      </c>
      <c r="E13" s="84">
        <v>10</v>
      </c>
      <c r="F13" s="96">
        <f>G13*0.82</f>
        <v>82</v>
      </c>
      <c r="G13" s="84">
        <f t="shared" si="0"/>
        <v>100</v>
      </c>
      <c r="H13" s="97">
        <v>0.04</v>
      </c>
      <c r="I13" s="84">
        <f>E13*0.4</f>
        <v>4</v>
      </c>
      <c r="J13" s="84" t="s">
        <v>34</v>
      </c>
    </row>
    <row r="14" ht="75" spans="1:10">
      <c r="A14" s="92" t="s">
        <v>26</v>
      </c>
      <c r="B14" s="93" t="s">
        <v>80</v>
      </c>
      <c r="C14" s="94">
        <v>49.99</v>
      </c>
      <c r="D14" s="98" t="s">
        <v>98</v>
      </c>
      <c r="E14" s="100">
        <v>12</v>
      </c>
      <c r="F14" s="96">
        <f>G14*0.82</f>
        <v>98.4</v>
      </c>
      <c r="G14" s="100">
        <f t="shared" si="0"/>
        <v>120</v>
      </c>
      <c r="H14" s="101">
        <v>0.04</v>
      </c>
      <c r="I14" s="84">
        <f>E14*0.4</f>
        <v>4.8</v>
      </c>
      <c r="J14" s="100" t="s">
        <v>100</v>
      </c>
    </row>
    <row r="15" spans="5:10">
      <c r="E15" s="102"/>
      <c r="J15" s="102"/>
    </row>
    <row r="16" spans="5:10">
      <c r="E16" s="102"/>
      <c r="J16" s="102"/>
    </row>
    <row r="17" spans="5:10">
      <c r="E17" s="102"/>
      <c r="J17" s="102"/>
    </row>
    <row r="18" spans="5:10">
      <c r="E18" s="102"/>
      <c r="J18" s="102"/>
    </row>
    <row r="19" spans="5:10">
      <c r="E19" s="102"/>
      <c r="J19" s="102"/>
    </row>
    <row r="20" spans="5:10">
      <c r="E20" s="102"/>
      <c r="J20" s="102"/>
    </row>
    <row r="21" spans="5:10">
      <c r="E21" s="102"/>
      <c r="J21" s="102"/>
    </row>
    <row r="22" spans="5:10">
      <c r="E22" s="102"/>
      <c r="J22" s="102"/>
    </row>
    <row r="23" spans="5:10">
      <c r="E23" s="102"/>
      <c r="J23" s="102"/>
    </row>
    <row r="24" spans="5:10">
      <c r="E24" s="102"/>
      <c r="J24" s="102"/>
    </row>
    <row r="25" spans="5:10">
      <c r="E25" s="102"/>
      <c r="J25" s="102"/>
    </row>
    <row r="26" spans="5:10">
      <c r="E26" s="102"/>
      <c r="J26" s="102"/>
    </row>
    <row r="27" spans="5:10">
      <c r="E27" s="102"/>
      <c r="J27" s="102"/>
    </row>
    <row r="28" spans="5:10">
      <c r="E28" s="102"/>
      <c r="J28" s="102"/>
    </row>
    <row r="29" spans="5:10">
      <c r="E29" s="102"/>
      <c r="J29" s="102"/>
    </row>
    <row r="30" spans="5:10">
      <c r="E30" s="102"/>
      <c r="J30" s="102"/>
    </row>
    <row r="31" spans="5:10">
      <c r="E31" s="102"/>
      <c r="J31" s="102"/>
    </row>
    <row r="32" spans="5:10">
      <c r="E32" s="102"/>
      <c r="J32" s="102"/>
    </row>
    <row r="33" spans="5:10">
      <c r="E33" s="102"/>
      <c r="J33" s="102"/>
    </row>
    <row r="34" spans="5:10">
      <c r="E34" s="102"/>
      <c r="J34" s="102"/>
    </row>
    <row r="35" spans="5:10">
      <c r="E35" s="102"/>
      <c r="J35" s="102"/>
    </row>
    <row r="36" spans="5:10">
      <c r="E36" s="102"/>
      <c r="J36" s="102"/>
    </row>
    <row r="37" spans="5:10">
      <c r="E37" s="102"/>
      <c r="J37" s="102"/>
    </row>
    <row r="38" spans="5:10">
      <c r="E38" s="102"/>
      <c r="J38" s="102"/>
    </row>
    <row r="39" spans="5:10">
      <c r="E39" s="102"/>
      <c r="J39" s="102"/>
    </row>
    <row r="40" spans="5:10">
      <c r="E40" s="102"/>
      <c r="J40" s="102"/>
    </row>
    <row r="41" spans="5:10">
      <c r="E41" s="102"/>
      <c r="J41" s="102"/>
    </row>
    <row r="42" spans="5:10">
      <c r="E42" s="102"/>
      <c r="J42" s="102"/>
    </row>
    <row r="43" spans="5:10">
      <c r="E43" s="102"/>
      <c r="J43" s="102"/>
    </row>
    <row r="44" spans="5:10">
      <c r="E44" s="102"/>
      <c r="J44" s="102"/>
    </row>
    <row r="45" spans="5:10">
      <c r="E45" s="102"/>
      <c r="J45" s="102"/>
    </row>
    <row r="46" spans="5:10">
      <c r="E46" s="102"/>
      <c r="J46" s="102"/>
    </row>
    <row r="47" spans="5:10">
      <c r="E47" s="102"/>
      <c r="J47" s="102"/>
    </row>
    <row r="48" spans="5:10">
      <c r="E48" s="102"/>
      <c r="J48" s="102"/>
    </row>
    <row r="49" spans="5:10">
      <c r="E49" s="102"/>
      <c r="J49" s="102"/>
    </row>
    <row r="50" spans="5:10">
      <c r="E50" s="102"/>
      <c r="J50" s="102"/>
    </row>
    <row r="51" spans="5:10">
      <c r="E51" s="102"/>
      <c r="J51" s="102"/>
    </row>
    <row r="52" spans="5:10">
      <c r="E52" s="102"/>
      <c r="J52" s="102"/>
    </row>
    <row r="53" spans="5:10">
      <c r="E53" s="102"/>
      <c r="J53" s="102"/>
    </row>
    <row r="54" spans="5:10">
      <c r="E54" s="102"/>
      <c r="J54" s="102"/>
    </row>
    <row r="55" spans="5:10">
      <c r="E55" s="102"/>
      <c r="J55" s="102"/>
    </row>
    <row r="56" spans="5:10">
      <c r="E56" s="102"/>
      <c r="J56" s="102"/>
    </row>
    <row r="57" spans="5:10">
      <c r="E57" s="102"/>
      <c r="J57" s="102"/>
    </row>
  </sheetData>
  <sheetProtection formatCells="0" insertHyperlinks="0" autoFilter="0"/>
  <mergeCells count="5">
    <mergeCell ref="F1:I1"/>
    <mergeCell ref="A1:A2"/>
    <mergeCell ref="B1:B2"/>
    <mergeCell ref="C1:C2"/>
    <mergeCell ref="D1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G17" sqref="G17"/>
    </sheetView>
  </sheetViews>
  <sheetFormatPr defaultColWidth="9" defaultRowHeight="14.4"/>
  <cols>
    <col min="1" max="1" width="15.6666666666667" customWidth="1"/>
    <col min="2" max="2" width="11.3333333333333" customWidth="1"/>
    <col min="3" max="3" width="11.8333333333333" customWidth="1"/>
    <col min="4" max="4" width="12.6666666666667" customWidth="1"/>
    <col min="5" max="5" width="13.8333333333333" customWidth="1"/>
    <col min="6" max="6" width="12.6666666666667" customWidth="1"/>
    <col min="7" max="7" width="14.3333333333333" customWidth="1"/>
  </cols>
  <sheetData>
    <row r="1" ht="13.5" customHeight="1" spans="1:13">
      <c r="A1" s="40" t="s">
        <v>101</v>
      </c>
      <c r="B1" s="40"/>
      <c r="C1" s="40"/>
      <c r="D1" s="40"/>
      <c r="E1" s="40"/>
      <c r="F1" s="41"/>
      <c r="G1" s="41"/>
      <c r="H1" s="41"/>
      <c r="I1" s="41"/>
      <c r="J1" s="41"/>
      <c r="K1" s="41"/>
      <c r="L1" s="41"/>
      <c r="M1" s="41"/>
    </row>
    <row r="2" spans="1:13">
      <c r="A2" s="42" t="s">
        <v>102</v>
      </c>
      <c r="B2" s="42" t="s">
        <v>103</v>
      </c>
      <c r="C2" s="42" t="s">
        <v>103</v>
      </c>
      <c r="D2" s="42" t="s">
        <v>103</v>
      </c>
      <c r="E2" s="42" t="s">
        <v>103</v>
      </c>
      <c r="F2" s="41"/>
      <c r="G2" s="41"/>
      <c r="H2" s="41"/>
      <c r="I2" s="41"/>
      <c r="J2" s="41"/>
      <c r="K2" s="41"/>
      <c r="L2" s="41"/>
      <c r="M2" s="41"/>
    </row>
    <row r="3" spans="1:13">
      <c r="A3" s="42" t="s">
        <v>104</v>
      </c>
      <c r="B3" s="42"/>
      <c r="C3" s="43"/>
      <c r="D3" s="42"/>
      <c r="E3" s="42"/>
      <c r="F3" s="41"/>
      <c r="G3" s="41"/>
      <c r="H3" s="41"/>
      <c r="I3" s="41"/>
      <c r="J3" s="41"/>
      <c r="K3" s="41"/>
      <c r="L3" s="41"/>
      <c r="M3" s="41"/>
    </row>
    <row r="4" spans="1:13">
      <c r="A4" s="42" t="s">
        <v>105</v>
      </c>
      <c r="B4" s="44"/>
      <c r="C4" s="44"/>
      <c r="D4" s="44"/>
      <c r="E4" s="44"/>
      <c r="F4" s="41"/>
      <c r="G4" s="41"/>
      <c r="H4" s="41"/>
      <c r="I4" s="41"/>
      <c r="J4" s="41"/>
      <c r="K4" s="41"/>
      <c r="L4" s="41"/>
      <c r="M4" s="41"/>
    </row>
    <row r="5" spans="1:13">
      <c r="A5" s="42" t="s">
        <v>106</v>
      </c>
      <c r="B5" s="44"/>
      <c r="C5" s="44"/>
      <c r="D5" s="44"/>
      <c r="E5" s="44"/>
      <c r="F5" s="41"/>
      <c r="G5" s="41"/>
      <c r="H5" s="41"/>
      <c r="I5" s="41"/>
      <c r="J5" s="41"/>
      <c r="K5" s="41"/>
      <c r="L5" s="41"/>
      <c r="M5" s="41"/>
    </row>
    <row r="6" spans="1:13">
      <c r="A6" s="42" t="s">
        <v>107</v>
      </c>
      <c r="B6" s="45"/>
      <c r="C6" s="45"/>
      <c r="D6" s="45"/>
      <c r="E6" s="45"/>
      <c r="F6" s="41"/>
      <c r="G6" s="41"/>
      <c r="H6" s="41"/>
      <c r="I6" s="41"/>
      <c r="J6" s="41"/>
      <c r="K6" s="41"/>
      <c r="L6" s="41"/>
      <c r="M6" s="41"/>
    </row>
    <row r="7" spans="1:1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ht="13.5" customHeight="1" spans="1:13">
      <c r="A9" s="46" t="s">
        <v>108</v>
      </c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7">
      <c r="A10" s="48" t="s">
        <v>109</v>
      </c>
      <c r="B10" s="49" t="s">
        <v>110</v>
      </c>
      <c r="C10" s="49" t="s">
        <v>111</v>
      </c>
      <c r="D10" s="49" t="s">
        <v>112</v>
      </c>
      <c r="E10" s="49" t="s">
        <v>113</v>
      </c>
      <c r="F10" s="49" t="s">
        <v>114</v>
      </c>
      <c r="G10" s="49" t="s">
        <v>115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>
      <c r="A11" s="50" t="s">
        <v>116</v>
      </c>
      <c r="B11" s="51">
        <v>2</v>
      </c>
      <c r="C11" s="51">
        <v>4</v>
      </c>
      <c r="D11" s="51">
        <v>5</v>
      </c>
      <c r="E11" s="51">
        <v>6</v>
      </c>
      <c r="F11" s="51">
        <v>8</v>
      </c>
      <c r="G11" s="51">
        <v>10</v>
      </c>
      <c r="H11" s="51"/>
      <c r="I11" s="51"/>
      <c r="J11" s="51"/>
      <c r="K11" s="51"/>
      <c r="L11" s="51"/>
      <c r="M11" s="70"/>
      <c r="N11" s="71"/>
      <c r="O11" s="71"/>
      <c r="P11" s="71"/>
      <c r="Q11" s="71"/>
    </row>
    <row r="12" spans="1:17">
      <c r="A12" s="50" t="s">
        <v>117</v>
      </c>
      <c r="B12" s="50">
        <f t="shared" ref="B12:G12" si="0">B11*15</f>
        <v>30</v>
      </c>
      <c r="C12" s="50">
        <f t="shared" si="0"/>
        <v>60</v>
      </c>
      <c r="D12" s="50">
        <f t="shared" si="0"/>
        <v>75</v>
      </c>
      <c r="E12" s="50">
        <f t="shared" si="0"/>
        <v>90</v>
      </c>
      <c r="F12" s="50">
        <f t="shared" si="0"/>
        <v>120</v>
      </c>
      <c r="G12" s="50">
        <f t="shared" si="0"/>
        <v>150</v>
      </c>
      <c r="H12" s="50"/>
      <c r="I12" s="50"/>
      <c r="J12" s="50"/>
      <c r="K12" s="50"/>
      <c r="L12" s="50"/>
      <c r="M12" s="61"/>
      <c r="N12" s="72"/>
      <c r="O12" s="72"/>
      <c r="P12" s="72"/>
      <c r="Q12" s="72"/>
    </row>
    <row r="13" spans="1:17">
      <c r="A13" s="52" t="s">
        <v>118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73"/>
      <c r="N13" s="74"/>
      <c r="O13" s="74"/>
      <c r="P13" s="72"/>
      <c r="Q13" s="74"/>
    </row>
    <row r="14" spans="1:17">
      <c r="A14" s="50" t="s">
        <v>119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75"/>
      <c r="N14" s="76"/>
      <c r="O14" s="76"/>
      <c r="P14" s="76"/>
      <c r="Q14" s="76"/>
    </row>
    <row r="15" spans="1:17">
      <c r="A15" s="50" t="s">
        <v>120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61"/>
      <c r="N15" s="72"/>
      <c r="O15" s="72"/>
      <c r="P15" s="72"/>
      <c r="Q15" s="72"/>
    </row>
    <row r="16" spans="1:17">
      <c r="A16" s="54" t="s">
        <v>121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77"/>
      <c r="N16" s="78"/>
      <c r="O16" s="78"/>
      <c r="P16" s="78"/>
      <c r="Q16" s="78"/>
    </row>
    <row r="17" ht="17.4" spans="1:17">
      <c r="A17" s="50" t="s">
        <v>122</v>
      </c>
      <c r="B17" s="56"/>
      <c r="C17" s="57"/>
      <c r="D17" s="57"/>
      <c r="E17" s="57"/>
      <c r="F17" s="57"/>
      <c r="G17" s="57"/>
      <c r="H17" s="57"/>
      <c r="I17" s="79"/>
      <c r="J17" s="57"/>
      <c r="K17" s="57"/>
      <c r="L17" s="57"/>
      <c r="M17" s="80"/>
      <c r="N17" s="81"/>
      <c r="O17" s="81"/>
      <c r="P17" s="81"/>
      <c r="Q17" s="81"/>
    </row>
    <row r="18" ht="17.4" spans="1:17">
      <c r="A18" s="50" t="s">
        <v>123</v>
      </c>
      <c r="B18" s="58"/>
      <c r="C18" s="50"/>
      <c r="D18" s="50"/>
      <c r="E18" s="57"/>
      <c r="F18" s="57"/>
      <c r="G18" s="57"/>
      <c r="H18" s="57"/>
      <c r="I18" s="82"/>
      <c r="J18" s="57"/>
      <c r="K18" s="57"/>
      <c r="L18" s="57"/>
      <c r="M18" s="80"/>
      <c r="N18" s="81"/>
      <c r="O18" s="81"/>
      <c r="P18" s="81"/>
      <c r="Q18" s="81"/>
    </row>
    <row r="19" spans="1:17">
      <c r="A19" s="50" t="s">
        <v>102</v>
      </c>
      <c r="B19" s="59" t="s">
        <v>103</v>
      </c>
      <c r="C19" s="59" t="s">
        <v>103</v>
      </c>
      <c r="D19" s="60" t="s">
        <v>103</v>
      </c>
      <c r="E19" s="60" t="s">
        <v>103</v>
      </c>
      <c r="F19" s="60" t="s">
        <v>103</v>
      </c>
      <c r="G19" s="60" t="s">
        <v>103</v>
      </c>
      <c r="H19" s="60" t="s">
        <v>103</v>
      </c>
      <c r="I19" s="60" t="s">
        <v>103</v>
      </c>
      <c r="J19" s="60" t="s">
        <v>103</v>
      </c>
      <c r="K19" s="60" t="s">
        <v>103</v>
      </c>
      <c r="L19" s="60" t="s">
        <v>103</v>
      </c>
      <c r="M19" s="60" t="s">
        <v>103</v>
      </c>
      <c r="N19" s="83" t="s">
        <v>103</v>
      </c>
      <c r="O19" s="83" t="s">
        <v>103</v>
      </c>
      <c r="P19" s="83" t="s">
        <v>103</v>
      </c>
      <c r="Q19" s="83" t="s">
        <v>103</v>
      </c>
    </row>
    <row r="20" ht="17.4" spans="1:17">
      <c r="A20" s="61" t="s">
        <v>124</v>
      </c>
      <c r="B20" s="62"/>
      <c r="C20" s="62"/>
      <c r="D20" s="63"/>
      <c r="E20" s="56"/>
      <c r="F20" s="56"/>
      <c r="G20" s="64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ht="17.4" spans="1:17">
      <c r="A21" s="61" t="s">
        <v>125</v>
      </c>
      <c r="B21" s="62"/>
      <c r="C21" s="62"/>
      <c r="D21" s="65"/>
      <c r="E21" s="58"/>
      <c r="F21" s="58"/>
      <c r="G21" s="66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ht="17.4" spans="1:17">
      <c r="A22" s="50" t="s">
        <v>126</v>
      </c>
      <c r="B22" s="67"/>
      <c r="C22" s="6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</row>
    <row r="23" spans="1:17">
      <c r="A23" s="50" t="s">
        <v>127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</row>
    <row r="24" spans="1:1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>
      <c r="A25" s="41" t="s">
        <v>128</v>
      </c>
      <c r="B25" s="69" t="s">
        <v>129</v>
      </c>
      <c r="C25" s="69"/>
      <c r="D25" s="69"/>
      <c r="E25" s="41"/>
      <c r="F25" s="41"/>
      <c r="G25" s="41"/>
      <c r="H25" s="41"/>
      <c r="I25" s="41"/>
      <c r="J25" s="41"/>
      <c r="K25" s="41"/>
      <c r="L25" s="41"/>
      <c r="M25" s="41"/>
    </row>
    <row r="26" spans="1:13">
      <c r="A26" s="41"/>
      <c r="B26" s="69" t="s">
        <v>130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</row>
  </sheetData>
  <sheetProtection formatCells="0" insertHyperlinks="0" autoFilter="0"/>
  <mergeCells count="2">
    <mergeCell ref="A1:E1"/>
    <mergeCell ref="A9:B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"/>
  <sheetViews>
    <sheetView zoomScale="80" zoomScaleNormal="80" workbookViewId="0">
      <pane xSplit="1" topLeftCell="I1" activePane="topRight" state="frozen"/>
      <selection/>
      <selection pane="topRight" activeCell="K22" sqref="K22"/>
    </sheetView>
  </sheetViews>
  <sheetFormatPr defaultColWidth="9" defaultRowHeight="14.4"/>
  <cols>
    <col min="1" max="1" width="6.83333333333333" customWidth="1"/>
    <col min="2" max="2" width="7" customWidth="1"/>
    <col min="4" max="4" width="9.5" customWidth="1"/>
    <col min="5" max="5" width="6.16666666666667" customWidth="1"/>
    <col min="6" max="6" width="7.33333333333333" customWidth="1"/>
    <col min="7" max="7" width="9.16666666666667" style="1" customWidth="1"/>
    <col min="8" max="8" width="7.66666666666667" customWidth="1"/>
    <col min="9" max="9" width="7.33333333333333" customWidth="1"/>
    <col min="10" max="10" width="6.16666666666667" customWidth="1"/>
    <col min="11" max="12" width="8.33333333333333" customWidth="1"/>
    <col min="13" max="13" width="7" customWidth="1"/>
    <col min="14" max="14" width="8.33333333333333" customWidth="1"/>
    <col min="15" max="15" width="4.66666666666667" customWidth="1"/>
    <col min="16" max="16" width="5.33333333333333" customWidth="1"/>
    <col min="17" max="17" width="10.3333333333333"/>
    <col min="18" max="18" width="5.33333333333333" customWidth="1"/>
    <col min="19" max="19" width="4.66666666666667" customWidth="1"/>
    <col min="20" max="20" width="6.16666666666667" customWidth="1"/>
    <col min="22" max="22" width="11.5" style="2" customWidth="1"/>
    <col min="26" max="26" width="13.8333333333333"/>
    <col min="28" max="28" width="10.3333333333333"/>
  </cols>
  <sheetData>
    <row r="1" ht="16.2" spans="1:28">
      <c r="A1" s="3" t="s">
        <v>0</v>
      </c>
      <c r="B1" s="4" t="s">
        <v>1</v>
      </c>
      <c r="C1" s="4" t="s">
        <v>131</v>
      </c>
      <c r="D1" s="4" t="s">
        <v>132</v>
      </c>
      <c r="E1" s="4" t="s">
        <v>2</v>
      </c>
      <c r="F1" s="4"/>
      <c r="G1" s="5"/>
      <c r="H1" s="3" t="s">
        <v>3</v>
      </c>
      <c r="I1" s="3"/>
      <c r="J1" s="4"/>
      <c r="K1" s="9" t="s">
        <v>4</v>
      </c>
      <c r="L1" s="10"/>
      <c r="M1" s="11"/>
      <c r="N1" s="9" t="s">
        <v>133</v>
      </c>
      <c r="O1" s="10"/>
      <c r="P1" s="10"/>
      <c r="Q1" s="17" t="s">
        <v>134</v>
      </c>
      <c r="R1" s="18" t="s">
        <v>5</v>
      </c>
      <c r="S1" s="18"/>
      <c r="T1" s="18"/>
      <c r="U1" s="18"/>
      <c r="V1" s="19"/>
      <c r="W1" s="20"/>
      <c r="X1" s="21" t="s">
        <v>135</v>
      </c>
      <c r="Y1" s="21"/>
      <c r="Z1" s="35"/>
      <c r="AB1" s="36" t="s">
        <v>136</v>
      </c>
    </row>
    <row r="2" ht="64.8" spans="1:26">
      <c r="A2" s="3"/>
      <c r="B2" s="4"/>
      <c r="C2" s="4"/>
      <c r="D2" s="4"/>
      <c r="E2" s="4" t="s">
        <v>137</v>
      </c>
      <c r="F2" s="4" t="s">
        <v>7</v>
      </c>
      <c r="G2" s="5" t="s">
        <v>138</v>
      </c>
      <c r="H2" s="3" t="s">
        <v>137</v>
      </c>
      <c r="I2" s="3" t="s">
        <v>7</v>
      </c>
      <c r="J2" s="4" t="s">
        <v>139</v>
      </c>
      <c r="K2" s="12" t="s">
        <v>8</v>
      </c>
      <c r="L2" s="13" t="s">
        <v>139</v>
      </c>
      <c r="M2" s="13" t="s">
        <v>140</v>
      </c>
      <c r="N2" s="13" t="s">
        <v>141</v>
      </c>
      <c r="O2" s="13" t="s">
        <v>142</v>
      </c>
      <c r="P2" s="14" t="s">
        <v>143</v>
      </c>
      <c r="Q2" s="17"/>
      <c r="R2" s="22" t="s">
        <v>9</v>
      </c>
      <c r="S2" s="23" t="s">
        <v>144</v>
      </c>
      <c r="T2" s="23" t="s">
        <v>145</v>
      </c>
      <c r="U2" s="24" t="s">
        <v>146</v>
      </c>
      <c r="V2" s="25" t="s">
        <v>147</v>
      </c>
      <c r="W2" s="25" t="s">
        <v>14</v>
      </c>
      <c r="X2" s="26" t="s">
        <v>148</v>
      </c>
      <c r="Y2" s="26" t="s">
        <v>149</v>
      </c>
      <c r="Z2" s="37" t="s">
        <v>150</v>
      </c>
    </row>
    <row r="3" spans="1:28">
      <c r="A3" t="s">
        <v>15</v>
      </c>
      <c r="B3" s="6">
        <v>49.99</v>
      </c>
      <c r="C3" s="7">
        <v>0.3</v>
      </c>
      <c r="D3" s="8">
        <f>B3*C3*S3*0.6*7</f>
        <v>125.9748</v>
      </c>
      <c r="E3" s="6">
        <v>0</v>
      </c>
      <c r="F3" s="7">
        <v>0.15</v>
      </c>
      <c r="G3" s="8">
        <f>E3*F3*B3</f>
        <v>0</v>
      </c>
      <c r="H3" s="6">
        <v>0</v>
      </c>
      <c r="I3" s="7">
        <v>0.3</v>
      </c>
      <c r="J3" s="6">
        <f>H3*I3*B3</f>
        <v>0</v>
      </c>
      <c r="K3" s="6">
        <v>7</v>
      </c>
      <c r="L3" s="8">
        <f>K3/0.03*0.92</f>
        <v>214.666666666667</v>
      </c>
      <c r="M3" s="15">
        <f>L3/U3</f>
        <v>0.30672801226912</v>
      </c>
      <c r="N3" s="8">
        <v>19.99</v>
      </c>
      <c r="O3" s="6">
        <v>1.28</v>
      </c>
      <c r="P3" s="6">
        <v>6.08</v>
      </c>
      <c r="Q3">
        <f>(U3-D3-G3-J3)*0.08</f>
        <v>45.910816</v>
      </c>
      <c r="R3" s="7" t="str">
        <f>VLOOKUP(A:A,'3.推广计划细化'!A:J,10,0)</f>
        <v>#1000</v>
      </c>
      <c r="S3" s="27">
        <f>(T3*7-H3)/7</f>
        <v>2</v>
      </c>
      <c r="T3" s="6">
        <f>VLOOKUP(A:A,'3.推广计划细化'!A:E,5,0)</f>
        <v>2</v>
      </c>
      <c r="U3">
        <f>T3*7*B3</f>
        <v>699.86</v>
      </c>
      <c r="V3" s="2">
        <f>(B3-N3-O3-P3)*T3*7-D3-G3-J3-L3-Q3-AB3</f>
        <v>-98.2865426666666</v>
      </c>
      <c r="W3" s="15">
        <f>V3/U3</f>
        <v>-0.140437434153497</v>
      </c>
      <c r="Z3" s="38">
        <f>V3+(N3+O3)*7*T3</f>
        <v>199.493457333333</v>
      </c>
      <c r="AB3" s="39">
        <f>(B3*T3*7-J3-G3-D3)*0.05</f>
        <v>28.69426</v>
      </c>
    </row>
    <row r="4" spans="1:28">
      <c r="A4" t="s">
        <v>16</v>
      </c>
      <c r="B4" s="6">
        <v>49.99</v>
      </c>
      <c r="C4" s="7">
        <v>0.3</v>
      </c>
      <c r="D4" s="8">
        <f t="shared" ref="D4:D14" si="0">B4*C4*S4*0.6*7</f>
        <v>125.9748</v>
      </c>
      <c r="E4" s="6">
        <v>0</v>
      </c>
      <c r="F4" s="7">
        <v>0.15</v>
      </c>
      <c r="G4" s="8">
        <f t="shared" ref="G4:G14" si="1">E4*F4*B4</f>
        <v>0</v>
      </c>
      <c r="H4" s="6">
        <v>0</v>
      </c>
      <c r="I4" s="7">
        <v>0.3</v>
      </c>
      <c r="J4" s="6">
        <f>H4*I4*B4</f>
        <v>0</v>
      </c>
      <c r="K4" s="6">
        <v>9</v>
      </c>
      <c r="L4" s="8">
        <f>K4/0.03*0.92</f>
        <v>276</v>
      </c>
      <c r="M4" s="15">
        <f t="shared" ref="M4:M14" si="2">L4/U4</f>
        <v>0.394364587203155</v>
      </c>
      <c r="N4" s="8">
        <v>19.99</v>
      </c>
      <c r="O4" s="6">
        <v>1.28</v>
      </c>
      <c r="P4" s="6">
        <v>6.08</v>
      </c>
      <c r="Q4">
        <f>(U4-D4-G4-J4)*0.08</f>
        <v>45.910816</v>
      </c>
      <c r="R4" s="7" t="str">
        <f>VLOOKUP(A:A,'3.推广计划细化'!A:J,10,0)</f>
        <v>#800</v>
      </c>
      <c r="S4" s="27">
        <f t="shared" ref="S4:S5" si="3">(T4*7-H4)/7</f>
        <v>2</v>
      </c>
      <c r="T4" s="6">
        <f>VLOOKUP(A:A,'3.推广计划细化'!A:E,5,0)</f>
        <v>2</v>
      </c>
      <c r="U4">
        <f t="shared" ref="U4:U14" si="4">T4*7*B4</f>
        <v>699.86</v>
      </c>
      <c r="V4" s="2">
        <f t="shared" ref="V4:V14" si="5">(B4-N4-O4-P4)*T4*7-D4-G4-J4-L4-Q4-AB4</f>
        <v>-159.619876</v>
      </c>
      <c r="W4" s="15">
        <f t="shared" ref="W4:W14" si="6">V4/U4</f>
        <v>-0.228074009087532</v>
      </c>
      <c r="Z4" s="38">
        <f t="shared" ref="Z4:Z14" si="7">V4+(N4+O4)*7*T4</f>
        <v>138.160124</v>
      </c>
      <c r="AB4" s="39">
        <f t="shared" ref="AB4:AB14" si="8">(B4*T4*7-J4-G4-D4)*0.05</f>
        <v>28.69426</v>
      </c>
    </row>
    <row r="5" spans="1:28">
      <c r="A5" t="s">
        <v>17</v>
      </c>
      <c r="B5" s="6">
        <v>49.99</v>
      </c>
      <c r="C5" s="7">
        <v>0.3</v>
      </c>
      <c r="D5" s="8">
        <f t="shared" si="0"/>
        <v>188.9622</v>
      </c>
      <c r="E5" s="6">
        <v>0</v>
      </c>
      <c r="F5" s="7">
        <v>0.15</v>
      </c>
      <c r="G5" s="8">
        <f t="shared" si="1"/>
        <v>0</v>
      </c>
      <c r="H5" s="6">
        <v>0</v>
      </c>
      <c r="I5" s="7">
        <v>0.3</v>
      </c>
      <c r="J5" s="6">
        <f t="shared" ref="J5:J14" si="9">H5*I5*B5</f>
        <v>0</v>
      </c>
      <c r="K5" s="6">
        <v>15</v>
      </c>
      <c r="L5" s="8">
        <f>K5/0.03*0.92</f>
        <v>460</v>
      </c>
      <c r="M5" s="15">
        <f t="shared" si="2"/>
        <v>0.438182874670172</v>
      </c>
      <c r="N5" s="8">
        <v>19.99</v>
      </c>
      <c r="O5" s="6">
        <v>1.28</v>
      </c>
      <c r="P5" s="6">
        <v>6.08</v>
      </c>
      <c r="Q5">
        <f>(U5-D5-G5-J5)*0.08</f>
        <v>68.866224</v>
      </c>
      <c r="R5" s="7" t="str">
        <f>VLOOKUP(A:A,'3.推广计划细化'!A:J,10,0)</f>
        <v>#700</v>
      </c>
      <c r="S5" s="27">
        <f t="shared" si="3"/>
        <v>3</v>
      </c>
      <c r="T5" s="6">
        <f>VLOOKUP(A:A,'3.推广计划细化'!A:E,5,0)</f>
        <v>3</v>
      </c>
      <c r="U5">
        <f t="shared" si="4"/>
        <v>1049.79</v>
      </c>
      <c r="V5" s="2">
        <f t="shared" si="5"/>
        <v>-285.429814</v>
      </c>
      <c r="W5" s="15">
        <f t="shared" si="6"/>
        <v>-0.271892296554549</v>
      </c>
      <c r="Z5" s="38">
        <f t="shared" si="7"/>
        <v>161.240186</v>
      </c>
      <c r="AB5" s="39">
        <f t="shared" si="8"/>
        <v>43.04139</v>
      </c>
    </row>
    <row r="6" spans="1:28">
      <c r="A6" t="s">
        <v>18</v>
      </c>
      <c r="B6" s="6">
        <v>49.99</v>
      </c>
      <c r="C6" s="7">
        <v>0.25</v>
      </c>
      <c r="D6" s="8">
        <f t="shared" si="0"/>
        <v>209.958</v>
      </c>
      <c r="E6" s="6">
        <v>0</v>
      </c>
      <c r="F6" s="7">
        <v>0.15</v>
      </c>
      <c r="G6" s="8">
        <f t="shared" si="1"/>
        <v>0</v>
      </c>
      <c r="H6" s="6">
        <v>0</v>
      </c>
      <c r="I6" s="7">
        <v>0.3</v>
      </c>
      <c r="J6" s="6">
        <f t="shared" si="9"/>
        <v>0</v>
      </c>
      <c r="K6" s="6">
        <v>16</v>
      </c>
      <c r="L6" s="8">
        <f>K6/0.04*0.92</f>
        <v>368</v>
      </c>
      <c r="M6" s="15">
        <f t="shared" si="2"/>
        <v>0.262909724802103</v>
      </c>
      <c r="N6" s="8">
        <v>19.99</v>
      </c>
      <c r="O6" s="6">
        <v>1.28</v>
      </c>
      <c r="P6" s="6">
        <v>6.08</v>
      </c>
      <c r="Q6">
        <f t="shared" ref="Q6:Q14" si="10">(U6-D6-G6-J6)*0.08</f>
        <v>95.18096</v>
      </c>
      <c r="R6" s="7" t="str">
        <f>VLOOKUP(A:A,'3.推广计划细化'!A:J,10,0)</f>
        <v>#600</v>
      </c>
      <c r="S6" s="27">
        <f>(T6*7-E6-H6)/7</f>
        <v>4</v>
      </c>
      <c r="T6" s="6">
        <f>VLOOKUP(A:A,'3.推广计划细化'!A:E,5,0)</f>
        <v>4</v>
      </c>
      <c r="U6">
        <f t="shared" si="4"/>
        <v>1399.72</v>
      </c>
      <c r="V6" s="2">
        <f t="shared" si="5"/>
        <v>-98.7070599999999</v>
      </c>
      <c r="W6" s="15">
        <f t="shared" si="6"/>
        <v>-0.0705191466864801</v>
      </c>
      <c r="Z6" s="38">
        <f t="shared" si="7"/>
        <v>496.85294</v>
      </c>
      <c r="AB6" s="39">
        <f t="shared" si="8"/>
        <v>59.4881</v>
      </c>
    </row>
    <row r="7" spans="1:28">
      <c r="A7" t="s">
        <v>19</v>
      </c>
      <c r="B7" s="6">
        <v>49.99</v>
      </c>
      <c r="C7" s="7">
        <v>0</v>
      </c>
      <c r="D7" s="8">
        <f t="shared" si="0"/>
        <v>0</v>
      </c>
      <c r="E7" s="6">
        <v>15</v>
      </c>
      <c r="F7" s="7">
        <v>0.15</v>
      </c>
      <c r="G7" s="8">
        <f t="shared" si="1"/>
        <v>112.4775</v>
      </c>
      <c r="H7" s="6">
        <v>0</v>
      </c>
      <c r="I7" s="7">
        <v>0.3</v>
      </c>
      <c r="J7" s="6">
        <f t="shared" si="9"/>
        <v>0</v>
      </c>
      <c r="K7" s="6">
        <v>21</v>
      </c>
      <c r="L7" s="8">
        <f>K7/0.045*0.85</f>
        <v>396.666666666667</v>
      </c>
      <c r="M7" s="15">
        <f t="shared" si="2"/>
        <v>0.22671200906848</v>
      </c>
      <c r="N7" s="8">
        <v>19.99</v>
      </c>
      <c r="O7" s="6">
        <v>1.28</v>
      </c>
      <c r="P7" s="6">
        <v>6.08</v>
      </c>
      <c r="Q7">
        <f t="shared" si="10"/>
        <v>130.9738</v>
      </c>
      <c r="R7" s="7" t="str">
        <f>VLOOKUP(A:A,'3.推广计划细化'!A:J,10,0)</f>
        <v>#500</v>
      </c>
      <c r="S7" s="27">
        <f t="shared" ref="S7:S14" si="11">(T7*7-E7-H7)/7</f>
        <v>2.85714285714286</v>
      </c>
      <c r="T7" s="6">
        <f>VLOOKUP(A:A,'3.推广计划细化'!A:E,5,0)</f>
        <v>5</v>
      </c>
      <c r="U7">
        <f t="shared" si="4"/>
        <v>1749.65</v>
      </c>
      <c r="V7" s="2">
        <f t="shared" si="5"/>
        <v>70.4234083333333</v>
      </c>
      <c r="W7" s="15">
        <f t="shared" si="6"/>
        <v>0.0402499976185713</v>
      </c>
      <c r="Z7" s="38">
        <f t="shared" si="7"/>
        <v>814.873408333333</v>
      </c>
      <c r="AB7" s="39">
        <f t="shared" si="8"/>
        <v>81.858625</v>
      </c>
    </row>
    <row r="8" spans="1:28">
      <c r="A8" t="s">
        <v>20</v>
      </c>
      <c r="B8" s="6">
        <v>49.99</v>
      </c>
      <c r="C8" s="7">
        <v>0.2</v>
      </c>
      <c r="D8" s="8">
        <f t="shared" si="0"/>
        <v>209.958</v>
      </c>
      <c r="E8" s="6">
        <v>0</v>
      </c>
      <c r="F8" s="7">
        <v>0.15</v>
      </c>
      <c r="G8" s="8">
        <f t="shared" si="1"/>
        <v>0</v>
      </c>
      <c r="H8" s="6">
        <v>0</v>
      </c>
      <c r="I8" s="7">
        <v>0.3</v>
      </c>
      <c r="J8" s="6">
        <f t="shared" si="9"/>
        <v>0</v>
      </c>
      <c r="K8" s="6">
        <v>25</v>
      </c>
      <c r="L8" s="8">
        <f>K8/0.045*0.85</f>
        <v>472.222222222222</v>
      </c>
      <c r="M8" s="15">
        <f t="shared" si="2"/>
        <v>0.269895248891048</v>
      </c>
      <c r="N8" s="8">
        <v>19.99</v>
      </c>
      <c r="O8" s="6">
        <v>1.28</v>
      </c>
      <c r="P8" s="6">
        <v>6.08</v>
      </c>
      <c r="Q8">
        <f t="shared" si="10"/>
        <v>123.17536</v>
      </c>
      <c r="R8" s="7" t="str">
        <f>VLOOKUP(A:A,'3.推广计划细化'!A:J,10,0)</f>
        <v>#450</v>
      </c>
      <c r="S8" s="27">
        <f t="shared" si="11"/>
        <v>5</v>
      </c>
      <c r="T8" s="6">
        <f>VLOOKUP(A:A,'3.推广计划细化'!A:E,5,0)</f>
        <v>5</v>
      </c>
      <c r="U8">
        <f t="shared" si="4"/>
        <v>1749.65</v>
      </c>
      <c r="V8" s="2">
        <f t="shared" si="5"/>
        <v>-89.9401822222222</v>
      </c>
      <c r="W8" s="15">
        <f t="shared" si="6"/>
        <v>-0.0514046707754249</v>
      </c>
      <c r="Z8" s="38">
        <f t="shared" si="7"/>
        <v>654.509817777778</v>
      </c>
      <c r="AB8" s="39">
        <f t="shared" si="8"/>
        <v>76.9846</v>
      </c>
    </row>
    <row r="9" spans="1:28">
      <c r="A9" t="s">
        <v>21</v>
      </c>
      <c r="B9" s="6">
        <v>49.99</v>
      </c>
      <c r="C9" s="7">
        <v>0</v>
      </c>
      <c r="D9" s="8">
        <f t="shared" si="0"/>
        <v>0</v>
      </c>
      <c r="E9" s="6">
        <v>20</v>
      </c>
      <c r="F9" s="7">
        <v>0.15</v>
      </c>
      <c r="G9" s="8">
        <f t="shared" si="1"/>
        <v>149.97</v>
      </c>
      <c r="H9" s="6">
        <v>0</v>
      </c>
      <c r="I9" s="7">
        <v>0.3</v>
      </c>
      <c r="J9" s="6">
        <f t="shared" si="9"/>
        <v>0</v>
      </c>
      <c r="K9" s="6">
        <v>25</v>
      </c>
      <c r="L9" s="8">
        <f>K9/0.045*0.85</f>
        <v>472.222222222222</v>
      </c>
      <c r="M9" s="15">
        <f t="shared" si="2"/>
        <v>0.224912707409207</v>
      </c>
      <c r="N9" s="8">
        <v>19.99</v>
      </c>
      <c r="O9" s="6">
        <v>1.28</v>
      </c>
      <c r="P9" s="6">
        <v>6.08</v>
      </c>
      <c r="Q9">
        <f t="shared" si="10"/>
        <v>155.9688</v>
      </c>
      <c r="R9" s="7" t="str">
        <f>VLOOKUP(A:A,'3.推广计划细化'!A:J,10,0)</f>
        <v>#350</v>
      </c>
      <c r="S9" s="27">
        <f t="shared" si="11"/>
        <v>3.14285714285714</v>
      </c>
      <c r="T9" s="6">
        <f>VLOOKUP(A:A,'3.推广计划细化'!A:E,5,0)</f>
        <v>6</v>
      </c>
      <c r="U9">
        <f t="shared" si="4"/>
        <v>2099.58</v>
      </c>
      <c r="V9" s="2">
        <f t="shared" si="5"/>
        <v>75.2384777777778</v>
      </c>
      <c r="W9" s="15">
        <f t="shared" si="6"/>
        <v>0.0358350135635593</v>
      </c>
      <c r="Z9" s="38">
        <f t="shared" si="7"/>
        <v>968.578477777778</v>
      </c>
      <c r="AB9" s="39">
        <f t="shared" si="8"/>
        <v>97.4805</v>
      </c>
    </row>
    <row r="10" spans="1:28">
      <c r="A10" t="s">
        <v>22</v>
      </c>
      <c r="B10" s="6">
        <v>49.99</v>
      </c>
      <c r="C10" s="7">
        <v>0.18</v>
      </c>
      <c r="D10" s="8">
        <f t="shared" si="0"/>
        <v>226.75464</v>
      </c>
      <c r="E10" s="6">
        <v>0</v>
      </c>
      <c r="F10" s="7">
        <v>0.15</v>
      </c>
      <c r="G10" s="8">
        <f t="shared" si="1"/>
        <v>0</v>
      </c>
      <c r="H10" s="6">
        <v>0</v>
      </c>
      <c r="I10" s="7">
        <v>0.3</v>
      </c>
      <c r="J10" s="6">
        <f t="shared" si="9"/>
        <v>0</v>
      </c>
      <c r="K10" s="6">
        <v>25</v>
      </c>
      <c r="L10" s="8">
        <f>K10/0.045*0.85</f>
        <v>472.222222222222</v>
      </c>
      <c r="M10" s="15">
        <f t="shared" si="2"/>
        <v>0.224912707409207</v>
      </c>
      <c r="N10" s="8">
        <v>19.99</v>
      </c>
      <c r="O10" s="6">
        <v>1.28</v>
      </c>
      <c r="P10" s="6">
        <v>6.08</v>
      </c>
      <c r="Q10">
        <f t="shared" si="10"/>
        <v>149.8260288</v>
      </c>
      <c r="R10" s="7" t="str">
        <f>VLOOKUP(A:A,'3.推广计划细化'!A:J,10,0)</f>
        <v>#300</v>
      </c>
      <c r="S10" s="27">
        <f t="shared" si="11"/>
        <v>6</v>
      </c>
      <c r="T10" s="6">
        <f>VLOOKUP(A:A,'3.推广计划细化'!A:E,5,0)</f>
        <v>6</v>
      </c>
      <c r="U10">
        <f t="shared" si="4"/>
        <v>2099.58</v>
      </c>
      <c r="V10" s="2">
        <f t="shared" si="5"/>
        <v>8.43584097777784</v>
      </c>
      <c r="W10" s="15">
        <f t="shared" si="6"/>
        <v>0.00401787070641645</v>
      </c>
      <c r="Z10" s="38">
        <f t="shared" si="7"/>
        <v>901.775840977778</v>
      </c>
      <c r="AB10" s="39">
        <f t="shared" si="8"/>
        <v>93.641268</v>
      </c>
    </row>
    <row r="11" spans="1:28">
      <c r="A11" t="s">
        <v>23</v>
      </c>
      <c r="B11" s="6">
        <v>49.99</v>
      </c>
      <c r="C11" s="7">
        <v>0.15</v>
      </c>
      <c r="D11" s="8">
        <f t="shared" si="0"/>
        <v>220.4559</v>
      </c>
      <c r="E11" s="6">
        <v>0</v>
      </c>
      <c r="F11" s="7">
        <v>0.15</v>
      </c>
      <c r="G11" s="8">
        <f t="shared" si="1"/>
        <v>0</v>
      </c>
      <c r="H11" s="6">
        <v>0</v>
      </c>
      <c r="I11" s="7">
        <v>0.3</v>
      </c>
      <c r="J11" s="6">
        <f t="shared" si="9"/>
        <v>0</v>
      </c>
      <c r="K11" s="6">
        <v>28</v>
      </c>
      <c r="L11" s="8">
        <f>K11/0.05*0.82</f>
        <v>459.2</v>
      </c>
      <c r="M11" s="15">
        <f t="shared" si="2"/>
        <v>0.1874660646415</v>
      </c>
      <c r="N11" s="8">
        <v>19.99</v>
      </c>
      <c r="O11" s="6">
        <v>1.28</v>
      </c>
      <c r="P11" s="6">
        <v>6.08</v>
      </c>
      <c r="Q11">
        <f t="shared" si="10"/>
        <v>178.324328</v>
      </c>
      <c r="R11" s="7" t="str">
        <f>VLOOKUP(A:A,'3.推广计划细化'!A:J,10,0)</f>
        <v>#250</v>
      </c>
      <c r="S11" s="27">
        <f t="shared" si="11"/>
        <v>7</v>
      </c>
      <c r="T11" s="6">
        <f>VLOOKUP(A:A,'3.推广计划细化'!A:E,5,0)</f>
        <v>7</v>
      </c>
      <c r="U11">
        <f t="shared" si="4"/>
        <v>2449.51</v>
      </c>
      <c r="V11" s="2">
        <f t="shared" si="5"/>
        <v>139.927067</v>
      </c>
      <c r="W11" s="15">
        <f t="shared" si="6"/>
        <v>0.0571245134741234</v>
      </c>
      <c r="Z11" s="38">
        <f t="shared" si="7"/>
        <v>1182.157067</v>
      </c>
      <c r="AB11" s="39">
        <f t="shared" si="8"/>
        <v>111.452705</v>
      </c>
    </row>
    <row r="12" spans="1:28">
      <c r="A12" t="s">
        <v>24</v>
      </c>
      <c r="B12" s="6">
        <v>49.99</v>
      </c>
      <c r="C12" s="7">
        <v>0.15</v>
      </c>
      <c r="D12" s="8">
        <f t="shared" si="0"/>
        <v>251.9496</v>
      </c>
      <c r="E12" s="6">
        <v>0</v>
      </c>
      <c r="F12" s="7">
        <v>0.15</v>
      </c>
      <c r="G12" s="8">
        <f t="shared" si="1"/>
        <v>0</v>
      </c>
      <c r="H12" s="6">
        <v>0</v>
      </c>
      <c r="I12" s="7">
        <v>0.3</v>
      </c>
      <c r="J12" s="6">
        <f t="shared" si="9"/>
        <v>0</v>
      </c>
      <c r="K12" s="6">
        <v>28</v>
      </c>
      <c r="L12" s="8">
        <f>K12/0.05*0.82</f>
        <v>459.2</v>
      </c>
      <c r="M12" s="15">
        <f t="shared" si="2"/>
        <v>0.164032806561312</v>
      </c>
      <c r="N12" s="8">
        <v>19.99</v>
      </c>
      <c r="O12" s="6">
        <v>1.28</v>
      </c>
      <c r="P12" s="6">
        <v>6.08</v>
      </c>
      <c r="Q12">
        <f t="shared" si="10"/>
        <v>203.799232</v>
      </c>
      <c r="R12" s="7" t="str">
        <f>VLOOKUP(A:A,'3.推广计划细化'!A:J,10,0)</f>
        <v>#200</v>
      </c>
      <c r="S12" s="27">
        <f t="shared" si="11"/>
        <v>8</v>
      </c>
      <c r="T12" s="6">
        <f>VLOOKUP(A:A,'3.推广计划细化'!A:E,5,0)</f>
        <v>8</v>
      </c>
      <c r="U12">
        <f t="shared" si="4"/>
        <v>2799.44</v>
      </c>
      <c r="V12" s="2">
        <f t="shared" si="5"/>
        <v>225.516648</v>
      </c>
      <c r="W12" s="15">
        <f t="shared" si="6"/>
        <v>0.0805577715543109</v>
      </c>
      <c r="Z12" s="38">
        <f t="shared" si="7"/>
        <v>1416.636648</v>
      </c>
      <c r="AB12" s="39">
        <f t="shared" si="8"/>
        <v>127.37452</v>
      </c>
    </row>
    <row r="13" spans="1:28">
      <c r="A13" t="s">
        <v>25</v>
      </c>
      <c r="B13" s="6">
        <v>49.99</v>
      </c>
      <c r="C13" s="7">
        <v>0.15</v>
      </c>
      <c r="D13" s="8">
        <f t="shared" si="0"/>
        <v>314.937</v>
      </c>
      <c r="E13" s="6">
        <v>0</v>
      </c>
      <c r="F13" s="7">
        <v>0.15</v>
      </c>
      <c r="G13" s="8">
        <f t="shared" si="1"/>
        <v>0</v>
      </c>
      <c r="H13" s="6">
        <v>0</v>
      </c>
      <c r="I13" s="7">
        <v>0.3</v>
      </c>
      <c r="J13" s="6">
        <f t="shared" si="9"/>
        <v>0</v>
      </c>
      <c r="K13" s="6">
        <v>30</v>
      </c>
      <c r="L13" s="8">
        <f>K13/0.05*0.82</f>
        <v>492</v>
      </c>
      <c r="M13" s="15">
        <f t="shared" si="2"/>
        <v>0.140599548481125</v>
      </c>
      <c r="N13" s="8">
        <v>19.99</v>
      </c>
      <c r="O13" s="6">
        <v>1.28</v>
      </c>
      <c r="P13" s="6">
        <v>6.08</v>
      </c>
      <c r="Q13">
        <f t="shared" si="10"/>
        <v>254.74904</v>
      </c>
      <c r="R13" s="7" t="str">
        <f>VLOOKUP(A:A,'3.推广计划细化'!A:J,10,0)</f>
        <v>#150</v>
      </c>
      <c r="S13" s="27">
        <f t="shared" si="11"/>
        <v>10</v>
      </c>
      <c r="T13" s="6">
        <f>VLOOKUP(A:A,'3.推广计划细化'!A:E,5,0)</f>
        <v>10</v>
      </c>
      <c r="U13">
        <f t="shared" si="4"/>
        <v>3499.3</v>
      </c>
      <c r="V13" s="2">
        <f t="shared" si="5"/>
        <v>363.89581</v>
      </c>
      <c r="W13" s="15">
        <f t="shared" si="6"/>
        <v>0.103991029634498</v>
      </c>
      <c r="Z13" s="38">
        <f t="shared" si="7"/>
        <v>1852.79581</v>
      </c>
      <c r="AB13" s="39">
        <f t="shared" si="8"/>
        <v>159.21815</v>
      </c>
    </row>
    <row r="14" spans="1:28">
      <c r="A14" t="s">
        <v>26</v>
      </c>
      <c r="B14" s="6">
        <v>49.99</v>
      </c>
      <c r="C14" s="7">
        <v>0.15</v>
      </c>
      <c r="D14" s="8">
        <f t="shared" si="0"/>
        <v>377.9244</v>
      </c>
      <c r="E14" s="6">
        <v>0</v>
      </c>
      <c r="F14" s="7">
        <v>0.15</v>
      </c>
      <c r="G14" s="8">
        <f t="shared" si="1"/>
        <v>0</v>
      </c>
      <c r="H14" s="6">
        <v>0</v>
      </c>
      <c r="I14" s="7">
        <v>0.3</v>
      </c>
      <c r="J14" s="6">
        <f t="shared" si="9"/>
        <v>0</v>
      </c>
      <c r="K14" s="6">
        <v>35</v>
      </c>
      <c r="L14" s="8">
        <f>K14/0.05*0.82</f>
        <v>574</v>
      </c>
      <c r="M14" s="15">
        <f t="shared" si="2"/>
        <v>0.13669400546776</v>
      </c>
      <c r="N14" s="8">
        <v>19.99</v>
      </c>
      <c r="O14" s="6">
        <v>1.28</v>
      </c>
      <c r="P14" s="6">
        <v>6.08</v>
      </c>
      <c r="Q14">
        <f t="shared" si="10"/>
        <v>305.698848</v>
      </c>
      <c r="R14" s="7" t="str">
        <f>VLOOKUP(A:A,'3.推广计划细化'!A:J,10,0)</f>
        <v>#130</v>
      </c>
      <c r="S14" s="27">
        <f t="shared" si="11"/>
        <v>12</v>
      </c>
      <c r="T14" s="6">
        <f>VLOOKUP(A:A,'3.推广计划细化'!A:E,5,0)</f>
        <v>12</v>
      </c>
      <c r="U14">
        <f t="shared" si="4"/>
        <v>4199.16</v>
      </c>
      <c r="V14" s="2">
        <f t="shared" si="5"/>
        <v>453.074972</v>
      </c>
      <c r="W14" s="15">
        <f t="shared" si="6"/>
        <v>0.107896572647863</v>
      </c>
      <c r="Z14" s="38">
        <f t="shared" si="7"/>
        <v>2239.754972</v>
      </c>
      <c r="AB14" s="39">
        <f t="shared" si="8"/>
        <v>191.06178</v>
      </c>
    </row>
    <row r="15" spans="2:28">
      <c r="B15" s="6"/>
      <c r="C15" s="7"/>
      <c r="D15" s="6"/>
      <c r="E15" s="6"/>
      <c r="F15" s="7"/>
      <c r="G15" s="8"/>
      <c r="H15" s="6"/>
      <c r="I15" s="7"/>
      <c r="J15" s="6"/>
      <c r="K15" s="6"/>
      <c r="L15" s="6"/>
      <c r="M15" s="15"/>
      <c r="N15" s="6"/>
      <c r="O15" s="6"/>
      <c r="P15" s="6"/>
      <c r="R15" s="7"/>
      <c r="S15" s="27"/>
      <c r="T15" s="6"/>
      <c r="W15" s="15"/>
      <c r="AB15" s="6"/>
    </row>
    <row r="16" spans="2:28">
      <c r="B16" s="6"/>
      <c r="C16" s="7"/>
      <c r="D16" s="6"/>
      <c r="E16" s="6"/>
      <c r="F16" s="7"/>
      <c r="G16" s="8"/>
      <c r="H16" s="6"/>
      <c r="I16" s="7"/>
      <c r="J16" s="6"/>
      <c r="K16" s="6"/>
      <c r="L16" s="6"/>
      <c r="M16" s="15"/>
      <c r="N16" s="6"/>
      <c r="O16" s="6"/>
      <c r="P16" s="6"/>
      <c r="R16" s="7"/>
      <c r="S16" s="27"/>
      <c r="T16" s="6"/>
      <c r="W16" s="15"/>
      <c r="AB16" s="6"/>
    </row>
    <row r="17" spans="2:28">
      <c r="B17" s="6"/>
      <c r="C17" s="7"/>
      <c r="D17" s="6"/>
      <c r="E17" s="6"/>
      <c r="F17" s="7"/>
      <c r="G17" s="8"/>
      <c r="H17" s="6"/>
      <c r="I17" s="7"/>
      <c r="J17" s="6"/>
      <c r="K17" s="6"/>
      <c r="L17" s="6"/>
      <c r="M17" s="15"/>
      <c r="N17" s="6"/>
      <c r="O17" s="6"/>
      <c r="P17" s="6"/>
      <c r="R17" s="7"/>
      <c r="S17" s="27"/>
      <c r="T17" s="6"/>
      <c r="W17" s="15"/>
      <c r="AB17" s="6"/>
    </row>
    <row r="18" ht="15.6" spans="2:28">
      <c r="B18" s="6"/>
      <c r="C18" s="7"/>
      <c r="D18" s="6"/>
      <c r="E18" s="6"/>
      <c r="F18" s="7"/>
      <c r="G18" s="8"/>
      <c r="H18" s="6"/>
      <c r="I18" s="7"/>
      <c r="J18" s="6"/>
      <c r="K18" s="6"/>
      <c r="L18" s="6"/>
      <c r="M18" s="15"/>
      <c r="N18" s="6"/>
      <c r="O18" s="6"/>
      <c r="P18" s="16" t="s">
        <v>151</v>
      </c>
      <c r="Q18" s="16"/>
      <c r="R18" s="16"/>
      <c r="S18" s="16"/>
      <c r="T18" s="28" t="s">
        <v>152</v>
      </c>
      <c r="U18" s="28"/>
      <c r="V18" s="29" t="s">
        <v>21</v>
      </c>
      <c r="W18" s="15"/>
      <c r="AB18" s="6"/>
    </row>
    <row r="19" ht="15.6" spans="2:28">
      <c r="B19" s="6"/>
      <c r="C19" s="7"/>
      <c r="D19" s="6"/>
      <c r="E19" s="6"/>
      <c r="F19" s="7"/>
      <c r="G19" s="8"/>
      <c r="H19" s="6"/>
      <c r="I19" s="7"/>
      <c r="J19" s="6"/>
      <c r="K19" s="6"/>
      <c r="L19" s="6"/>
      <c r="M19" s="15"/>
      <c r="N19" s="6"/>
      <c r="O19" s="6"/>
      <c r="P19" s="16"/>
      <c r="Q19" s="16"/>
      <c r="R19" s="16"/>
      <c r="S19" s="16"/>
      <c r="T19" s="28" t="s">
        <v>153</v>
      </c>
      <c r="U19" s="28"/>
      <c r="V19" s="29">
        <f>SUM(V3:V14)</f>
        <v>604.5287492</v>
      </c>
      <c r="W19" s="30" t="s">
        <v>154</v>
      </c>
      <c r="AB19" s="6"/>
    </row>
    <row r="20" spans="2:28">
      <c r="B20" s="6"/>
      <c r="C20" s="7"/>
      <c r="D20" s="6"/>
      <c r="E20" s="6"/>
      <c r="F20" s="7"/>
      <c r="G20" s="8"/>
      <c r="H20" s="6"/>
      <c r="I20" s="7"/>
      <c r="J20" s="6"/>
      <c r="K20" s="6"/>
      <c r="L20" s="6"/>
      <c r="M20" s="15"/>
      <c r="N20" s="6"/>
      <c r="O20" s="6"/>
      <c r="Q20" s="7"/>
      <c r="R20" s="27"/>
      <c r="S20" s="31" t="s">
        <v>155</v>
      </c>
      <c r="T20" s="31"/>
      <c r="U20" s="31"/>
      <c r="V20" s="29">
        <f>V19*6.7</f>
        <v>4050.34261964</v>
      </c>
      <c r="W20" s="30" t="s">
        <v>156</v>
      </c>
      <c r="AB20" s="6"/>
    </row>
    <row r="23" ht="15.6" spans="17:22">
      <c r="Q23" s="16" t="s">
        <v>157</v>
      </c>
      <c r="R23" s="16"/>
      <c r="S23" s="16"/>
      <c r="T23" s="28" t="s">
        <v>152</v>
      </c>
      <c r="U23" s="28"/>
      <c r="V23" s="32" t="s">
        <v>21</v>
      </c>
    </row>
    <row r="24" ht="15.6" spans="17:23">
      <c r="Q24" s="16"/>
      <c r="R24" s="16"/>
      <c r="S24" s="16"/>
      <c r="T24" s="28" t="s">
        <v>158</v>
      </c>
      <c r="U24" s="28"/>
      <c r="V24" s="33">
        <v>-23.37</v>
      </c>
      <c r="W24" s="34" t="s">
        <v>154</v>
      </c>
    </row>
    <row r="25" spans="20:23">
      <c r="T25" s="31" t="s">
        <v>155</v>
      </c>
      <c r="U25" s="31"/>
      <c r="V25" s="33">
        <v>-126.59</v>
      </c>
      <c r="W25" s="34" t="s">
        <v>156</v>
      </c>
    </row>
    <row r="28" ht="15.6" spans="17:23">
      <c r="Q28" s="16" t="s">
        <v>159</v>
      </c>
      <c r="R28" s="16"/>
      <c r="S28" s="16"/>
      <c r="T28" s="28" t="s">
        <v>152</v>
      </c>
      <c r="U28" s="28"/>
      <c r="V28" s="32" t="s">
        <v>15</v>
      </c>
      <c r="W28" s="34"/>
    </row>
    <row r="29" ht="15.6" spans="17:23">
      <c r="Q29" s="16"/>
      <c r="R29" s="16"/>
      <c r="S29" s="16"/>
      <c r="T29" s="28" t="s">
        <v>160</v>
      </c>
      <c r="U29" s="28"/>
      <c r="V29" s="33">
        <v>-463.72</v>
      </c>
      <c r="W29" s="34" t="s">
        <v>154</v>
      </c>
    </row>
    <row r="30" spans="20:23">
      <c r="T30" s="31" t="s">
        <v>161</v>
      </c>
      <c r="U30" s="31"/>
      <c r="V30" s="33">
        <v>-3106.91</v>
      </c>
      <c r="W30" s="34" t="s">
        <v>156</v>
      </c>
    </row>
  </sheetData>
  <sheetProtection formatCells="0" insertHyperlinks="0" autoFilter="0"/>
  <mergeCells count="23">
    <mergeCell ref="E1:G1"/>
    <mergeCell ref="H1:J1"/>
    <mergeCell ref="K1:M1"/>
    <mergeCell ref="N1:P1"/>
    <mergeCell ref="R1:W1"/>
    <mergeCell ref="X1:Y1"/>
    <mergeCell ref="T18:U18"/>
    <mergeCell ref="T19:U19"/>
    <mergeCell ref="S20:U20"/>
    <mergeCell ref="T23:U23"/>
    <mergeCell ref="T24:U24"/>
    <mergeCell ref="T25:U25"/>
    <mergeCell ref="T28:U28"/>
    <mergeCell ref="T29:U29"/>
    <mergeCell ref="T30:U30"/>
    <mergeCell ref="A1:A2"/>
    <mergeCell ref="B1:B2"/>
    <mergeCell ref="C1:C2"/>
    <mergeCell ref="D1:D2"/>
    <mergeCell ref="Q1:Q2"/>
    <mergeCell ref="Q28:S29"/>
    <mergeCell ref="P18:S19"/>
    <mergeCell ref="Q23:S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9" sqref="A19"/>
    </sheetView>
  </sheetViews>
  <sheetFormatPr defaultColWidth="9" defaultRowHeight="14.4" outlineLevelRow="4"/>
  <sheetData>
    <row r="1" spans="1:1">
      <c r="A1" t="s">
        <v>162</v>
      </c>
    </row>
    <row r="2" spans="1:1">
      <c r="A2" t="s">
        <v>163</v>
      </c>
    </row>
    <row r="4" spans="1:1">
      <c r="A4" t="s">
        <v>164</v>
      </c>
    </row>
    <row r="5" spans="1:1">
      <c r="A5" t="s">
        <v>165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1.主要运营数据目标</vt:lpstr>
      <vt:lpstr>2.目标定位&amp;推广思路</vt:lpstr>
      <vt:lpstr>3.推广计划细化</vt:lpstr>
      <vt:lpstr>4.库存安排和跟进</vt:lpstr>
      <vt:lpstr>5.投入产出分析</vt:lpstr>
      <vt:lpstr>6.风控预案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2006-09-17T00:00:00Z</dcterms:created>
  <dcterms:modified xsi:type="dcterms:W3CDTF">2025-07-11T01:18:14Z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FD5F3DB8A23D4A9EB9BD249F7751DA0D_13</vt:lpwstr>
  </property>
  <property fmtid="{D5CDD505-2E9C-101B-9397-08002B2CF9AE}" pid="4" name="KSOReadingLayout">
    <vt:bool>true</vt:bool>
  </property>
</Properties>
</file>