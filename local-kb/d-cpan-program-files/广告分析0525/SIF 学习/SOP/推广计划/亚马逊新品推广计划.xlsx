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运营计划" sheetId="1" r:id="rId1"/>
    <sheet name="利润核算3" sheetId="3" r:id="rId2"/>
    <sheet name="利润核算 (2)" sheetId="5" state="hidden" r:id="rId3"/>
    <sheet name="利润核算 (1)" sheetId="6" state="hidden" r:id="rId4"/>
    <sheet name="补货计划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wuai</author>
  </authors>
  <commentList>
    <comment ref="K2" authorId="0">
      <text>
        <r>
          <rPr>
            <b/>
            <sz val="9"/>
            <rFont val="宋体"/>
            <charset val="134"/>
          </rPr>
          <t>wuai:</t>
        </r>
        <r>
          <rPr>
            <sz val="9"/>
            <rFont val="宋体"/>
            <charset val="134"/>
          </rPr>
          <t xml:space="preserve">
10%</t>
        </r>
      </text>
    </comment>
    <comment ref="K3" authorId="0">
      <text>
        <r>
          <rPr>
            <b/>
            <sz val="9"/>
            <rFont val="宋体"/>
            <charset val="134"/>
          </rPr>
          <t>wuai:</t>
        </r>
        <r>
          <rPr>
            <sz val="9"/>
            <rFont val="宋体"/>
            <charset val="134"/>
          </rPr>
          <t xml:space="preserve">
4%
</t>
        </r>
      </text>
    </comment>
  </commentList>
</comments>
</file>

<file path=xl/sharedStrings.xml><?xml version="1.0" encoding="utf-8"?>
<sst xmlns="http://schemas.openxmlformats.org/spreadsheetml/2006/main" count="146" uniqueCount="86">
  <si>
    <t>SPU</t>
  </si>
  <si>
    <t>推广计划</t>
  </si>
  <si>
    <t>起始时间</t>
  </si>
  <si>
    <t>结束时间</t>
  </si>
  <si>
    <t>备注</t>
  </si>
  <si>
    <t>产品卖点</t>
  </si>
  <si>
    <t>总结：一句话概括产品优势
卖点细化：（材质+功能）
1.</t>
  </si>
  <si>
    <t>产品风险点</t>
  </si>
  <si>
    <t>围绕产品本身，具体阐述产品可能会因为什么原因做不起来</t>
  </si>
  <si>
    <t>下单&amp;上架时间</t>
  </si>
  <si>
    <t>下单&amp;交货</t>
  </si>
  <si>
    <t>发货&amp;到货</t>
  </si>
  <si>
    <t>上链接</t>
  </si>
  <si>
    <t>提交图片、A+、品牌故事、主图视频需求</t>
  </si>
  <si>
    <t>撰写listing</t>
  </si>
  <si>
    <t>发货计划</t>
  </si>
  <si>
    <t>1. 产品首批发货站点、数量、渠道
2. 入FBA仓库和海外仓的数量分配</t>
  </si>
  <si>
    <t>上架计划</t>
  </si>
  <si>
    <t>上架类目、站点、定价、是否泛欧等</t>
  </si>
  <si>
    <t>获评计划</t>
  </si>
  <si>
    <t>通过什么渠道，最终要做到多少个review，多少评分，风险点及应对措施</t>
  </si>
  <si>
    <t>利润核算</t>
  </si>
  <si>
    <t>见表2</t>
  </si>
  <si>
    <t>广告</t>
  </si>
  <si>
    <t>预算、竞价、广告策略（包含关键词、广告组设置等）、优化方向，风险点及应对措施（例如广告预算不够，cpc太低烧不出去）</t>
  </si>
  <si>
    <t>上架第一个月（对应时间）</t>
  </si>
  <si>
    <t>上架第二个月（对应时间）</t>
  </si>
  <si>
    <t>上架第三个月（对应时间）</t>
  </si>
  <si>
    <t>定价及折扣</t>
  </si>
  <si>
    <t>定价、定价理由、折扣设置、风险点及应对措施</t>
  </si>
  <si>
    <t>推广及预估日销</t>
  </si>
  <si>
    <t>细化你的推广手法及预估结果（结果以广告点击率、广告转化率、链接转化率以及日销维度展开）、风险点及应对措施</t>
  </si>
  <si>
    <t>营收情况</t>
  </si>
  <si>
    <t>总销量、销售额、毛利、毛利率、风险点及应对措施</t>
  </si>
  <si>
    <t>listing排名</t>
  </si>
  <si>
    <t>1. 每日记录关键词自然位、广告位以及类目排名
2. 每周利润核算，根据“运营进度对照表”进行listing 调整</t>
  </si>
  <si>
    <t>补货计划</t>
  </si>
  <si>
    <t>见表3</t>
  </si>
  <si>
    <t>时期</t>
  </si>
  <si>
    <t>实时售价</t>
  </si>
  <si>
    <t>当前汇率</t>
  </si>
  <si>
    <t>产品成本</t>
  </si>
  <si>
    <t>AMZ佣金</t>
  </si>
  <si>
    <t>欧洲VAT</t>
  </si>
  <si>
    <t>头程成本
海运</t>
  </si>
  <si>
    <t>头程成本
空运</t>
  </si>
  <si>
    <t>FBA费</t>
  </si>
  <si>
    <t>FBA仓储费
3%</t>
  </si>
  <si>
    <t>站内广告费
6%</t>
  </si>
  <si>
    <t>站外推广</t>
  </si>
  <si>
    <t>退货成本</t>
  </si>
  <si>
    <t>利润</t>
  </si>
  <si>
    <t>利润率</t>
  </si>
  <si>
    <t>新品上架</t>
  </si>
  <si>
    <t>正常稳定期</t>
  </si>
  <si>
    <t>LD/BD秒杀</t>
  </si>
  <si>
    <t>黑五/网一/会员日</t>
  </si>
  <si>
    <t>最高可做到</t>
  </si>
  <si>
    <t>清仓</t>
  </si>
  <si>
    <t>空运</t>
  </si>
  <si>
    <t>海运</t>
  </si>
  <si>
    <t>装箱数量</t>
  </si>
  <si>
    <t>重量</t>
  </si>
  <si>
    <t>长</t>
  </si>
  <si>
    <t>宽</t>
  </si>
  <si>
    <t>高</t>
  </si>
  <si>
    <t>采购单价</t>
  </si>
  <si>
    <t>SKU料号</t>
  </si>
  <si>
    <t>名称</t>
  </si>
  <si>
    <t>尺寸</t>
  </si>
  <si>
    <t>当前可售库存</t>
  </si>
  <si>
    <t>过去30天日均销量</t>
  </si>
  <si>
    <t>当前库存可售天数</t>
  </si>
  <si>
    <t>在途库存（6.18）</t>
  </si>
  <si>
    <t>6.18到货库存剩余</t>
  </si>
  <si>
    <t>6.18到货可售天数</t>
  </si>
  <si>
    <t>7.20发货库存</t>
  </si>
  <si>
    <t>8.20到货库存剩余</t>
  </si>
  <si>
    <t>8.20到货可售天数</t>
  </si>
  <si>
    <t>本次到货日期</t>
  </si>
  <si>
    <t>下次断货日期</t>
  </si>
  <si>
    <t>下次备货日期</t>
  </si>
  <si>
    <t>当前时间</t>
  </si>
  <si>
    <t>天数差值</t>
  </si>
  <si>
    <t>在途库存到货时间</t>
  </si>
  <si>
    <t>下批库存到货时间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</si>
</sst>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yyyy/m/d;@"/>
    <numFmt numFmtId="179" formatCode="#,##0.00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sz val="11"/>
      <color rgb="FF000000"/>
      <name val="宋体"/>
      <charset val="134"/>
      <scheme val="minor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/>
    <xf numFmtId="0" fontId="4" fillId="0" borderId="1" xfId="0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left" vertical="center" wrapText="1"/>
    </xf>
    <xf numFmtId="14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1" fillId="0" borderId="0" xfId="0" applyFont="1">
      <alignment vertical="center"/>
    </xf>
    <xf numFmtId="177" fontId="5" fillId="3" borderId="1" xfId="0" applyNumberFormat="1" applyFont="1" applyFill="1" applyBorder="1" applyAlignment="1">
      <alignment horizontal="left" vertical="center" wrapText="1"/>
    </xf>
    <xf numFmtId="177" fontId="5" fillId="4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177" fontId="5" fillId="0" borderId="1" xfId="0" applyNumberFormat="1" applyFont="1" applyFill="1" applyBorder="1" applyAlignment="1">
      <alignment horizontal="left" vertical="center"/>
    </xf>
    <xf numFmtId="177" fontId="5" fillId="5" borderId="1" xfId="0" applyNumberFormat="1" applyFont="1" applyFill="1" applyBorder="1" applyAlignment="1">
      <alignment horizontal="left" vertical="center"/>
    </xf>
    <xf numFmtId="10" fontId="5" fillId="4" borderId="1" xfId="0" applyNumberFormat="1" applyFont="1" applyFill="1" applyBorder="1" applyAlignment="1">
      <alignment horizontal="left" vertical="center" wrapText="1"/>
    </xf>
    <xf numFmtId="10" fontId="5" fillId="0" borderId="1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58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58" fontId="1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vertical="center"/>
    </xf>
    <xf numFmtId="179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29"/>
  <sheetViews>
    <sheetView tabSelected="1" workbookViewId="0">
      <pane ySplit="1" topLeftCell="A2" activePane="bottomLeft" state="frozen"/>
      <selection/>
      <selection pane="bottomLeft" activeCell="B20" sqref="B20"/>
    </sheetView>
  </sheetViews>
  <sheetFormatPr defaultColWidth="9.16666666666667" defaultRowHeight="17.4"/>
  <cols>
    <col min="1" max="1" width="15.5648148148148" style="20" customWidth="1"/>
    <col min="2" max="2" width="55" style="20" customWidth="1"/>
    <col min="3" max="4" width="14.2685185185185" style="21" customWidth="1"/>
    <col min="5" max="5" width="50.7777777777778" style="20" customWidth="1"/>
    <col min="6" max="16375" width="9.16666666666667" style="20"/>
    <col min="16376" max="16380" width="9.16666666666667" style="22"/>
    <col min="16381" max="16384" width="9.16666666666667" style="20"/>
  </cols>
  <sheetData>
    <row r="1" s="20" customFormat="1" ht="22.5" customHeight="1" spans="1: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 s="20" customFormat="1" ht="114" customHeight="1" spans="1:5">
      <c r="A2" s="24" t="s">
        <v>5</v>
      </c>
      <c r="B2" s="25" t="s">
        <v>6</v>
      </c>
      <c r="C2" s="26"/>
      <c r="D2" s="26"/>
      <c r="E2" s="24"/>
    </row>
    <row r="3" s="20" customFormat="1" ht="114" customHeight="1" spans="1:5">
      <c r="A3" s="24" t="s">
        <v>7</v>
      </c>
      <c r="B3" s="25" t="s">
        <v>8</v>
      </c>
      <c r="C3" s="26"/>
      <c r="D3" s="26"/>
      <c r="E3" s="24"/>
    </row>
    <row r="4" s="20" customFormat="1" ht="34" customHeight="1" spans="1:5">
      <c r="A4" s="24" t="s">
        <v>9</v>
      </c>
      <c r="B4" s="6" t="s">
        <v>10</v>
      </c>
      <c r="C4" s="26"/>
      <c r="D4" s="26"/>
      <c r="E4" s="27"/>
    </row>
    <row r="5" s="20" customFormat="1" ht="34" customHeight="1" spans="1:5">
      <c r="A5" s="24"/>
      <c r="B5" s="6" t="s">
        <v>11</v>
      </c>
      <c r="C5" s="26"/>
      <c r="D5" s="26"/>
      <c r="E5" s="24"/>
    </row>
    <row r="6" s="20" customFormat="1" ht="34" customHeight="1" spans="1:5">
      <c r="A6" s="24"/>
      <c r="B6" s="6" t="s">
        <v>12</v>
      </c>
      <c r="C6" s="26"/>
      <c r="D6" s="26"/>
      <c r="E6" s="24"/>
    </row>
    <row r="7" s="20" customFormat="1" ht="34" customHeight="1" spans="1:5">
      <c r="A7" s="24"/>
      <c r="B7" s="6" t="s">
        <v>13</v>
      </c>
      <c r="C7" s="26"/>
      <c r="D7" s="26"/>
      <c r="E7" s="24"/>
    </row>
    <row r="8" s="20" customFormat="1" ht="34" customHeight="1" spans="1:5">
      <c r="A8" s="24"/>
      <c r="B8" s="6" t="s">
        <v>14</v>
      </c>
      <c r="C8" s="26"/>
      <c r="D8" s="26"/>
      <c r="E8" s="24"/>
    </row>
    <row r="9" s="20" customFormat="1" ht="52" customHeight="1" spans="1:5">
      <c r="A9" s="24" t="s">
        <v>15</v>
      </c>
      <c r="B9" s="25" t="s">
        <v>16</v>
      </c>
      <c r="C9" s="26"/>
      <c r="D9" s="26"/>
      <c r="E9" s="24"/>
    </row>
    <row r="10" s="20" customFormat="1" ht="52" customHeight="1" spans="1:5">
      <c r="A10" s="24" t="s">
        <v>17</v>
      </c>
      <c r="B10" s="25" t="s">
        <v>18</v>
      </c>
      <c r="C10" s="26"/>
      <c r="D10" s="26"/>
      <c r="E10" s="24"/>
    </row>
    <row r="11" s="20" customFormat="1" ht="52" customHeight="1" spans="1:5">
      <c r="A11" s="24" t="s">
        <v>19</v>
      </c>
      <c r="B11" s="25" t="s">
        <v>20</v>
      </c>
      <c r="C11" s="26"/>
      <c r="D11" s="26"/>
      <c r="E11" s="24"/>
    </row>
    <row r="12" s="20" customFormat="1" ht="52" customHeight="1" spans="1:5">
      <c r="A12" s="24" t="s">
        <v>21</v>
      </c>
      <c r="B12" s="25" t="s">
        <v>22</v>
      </c>
      <c r="C12" s="26"/>
      <c r="D12" s="26"/>
      <c r="E12" s="24"/>
    </row>
    <row r="13" s="20" customFormat="1" ht="31" customHeight="1" spans="1:5">
      <c r="A13" s="28" t="s">
        <v>23</v>
      </c>
      <c r="B13" s="29" t="s">
        <v>24</v>
      </c>
      <c r="C13" s="26" t="s">
        <v>25</v>
      </c>
      <c r="D13" s="24"/>
      <c r="E13" s="24"/>
    </row>
    <row r="14" s="20" customFormat="1" ht="31" customHeight="1" spans="1:5">
      <c r="A14" s="30"/>
      <c r="B14" s="29"/>
      <c r="C14" s="26" t="s">
        <v>26</v>
      </c>
      <c r="D14" s="24"/>
      <c r="E14" s="24"/>
    </row>
    <row r="15" s="20" customFormat="1" ht="31" customHeight="1" spans="1:5">
      <c r="A15" s="31"/>
      <c r="B15" s="29"/>
      <c r="C15" s="26" t="s">
        <v>27</v>
      </c>
      <c r="D15" s="26"/>
      <c r="E15" s="24"/>
    </row>
    <row r="16" s="20" customFormat="1" ht="34" customHeight="1" spans="1:5">
      <c r="A16" s="32" t="s">
        <v>28</v>
      </c>
      <c r="B16" s="25" t="s">
        <v>29</v>
      </c>
      <c r="C16" s="26" t="s">
        <v>25</v>
      </c>
      <c r="D16" s="26"/>
      <c r="E16" s="24"/>
    </row>
    <row r="17" s="20" customFormat="1" ht="34" customHeight="1" spans="1:5">
      <c r="A17" s="33"/>
      <c r="B17" s="25"/>
      <c r="C17" s="26" t="s">
        <v>26</v>
      </c>
      <c r="D17" s="26"/>
      <c r="E17" s="24"/>
    </row>
    <row r="18" s="20" customFormat="1" ht="34" customHeight="1" spans="1:5">
      <c r="A18" s="33"/>
      <c r="B18" s="25"/>
      <c r="C18" s="26" t="s">
        <v>27</v>
      </c>
      <c r="D18" s="26"/>
      <c r="E18" s="24"/>
    </row>
    <row r="19" s="20" customFormat="1" ht="33" customHeight="1" spans="1:5">
      <c r="A19" s="32" t="s">
        <v>30</v>
      </c>
      <c r="B19" s="25" t="s">
        <v>31</v>
      </c>
      <c r="C19" s="26" t="s">
        <v>25</v>
      </c>
      <c r="D19" s="26"/>
      <c r="E19" s="24"/>
    </row>
    <row r="20" s="20" customFormat="1" ht="33" customHeight="1" spans="1:5">
      <c r="A20" s="33"/>
      <c r="B20" s="25"/>
      <c r="C20" s="26" t="s">
        <v>26</v>
      </c>
      <c r="D20" s="26"/>
      <c r="E20" s="24"/>
    </row>
    <row r="21" s="20" customFormat="1" ht="36" customHeight="1" spans="1:5">
      <c r="A21" s="33"/>
      <c r="B21" s="25"/>
      <c r="C21" s="26" t="s">
        <v>27</v>
      </c>
      <c r="D21" s="26"/>
      <c r="E21" s="24"/>
    </row>
    <row r="22" s="20" customFormat="1" ht="36" customHeight="1" spans="1:5">
      <c r="A22" s="24" t="s">
        <v>32</v>
      </c>
      <c r="B22" s="25" t="s">
        <v>33</v>
      </c>
      <c r="C22" s="26" t="s">
        <v>25</v>
      </c>
      <c r="D22" s="26"/>
      <c r="E22" s="24"/>
    </row>
    <row r="23" s="20" customFormat="1" ht="36" customHeight="1" spans="1:5">
      <c r="A23" s="24"/>
      <c r="B23" s="25"/>
      <c r="C23" s="26" t="s">
        <v>26</v>
      </c>
      <c r="D23" s="26"/>
      <c r="E23" s="24"/>
    </row>
    <row r="24" s="20" customFormat="1" ht="36" customHeight="1" spans="1:5">
      <c r="A24" s="24"/>
      <c r="B24" s="25"/>
      <c r="C24" s="26" t="s">
        <v>27</v>
      </c>
      <c r="D24" s="26"/>
      <c r="E24" s="24"/>
    </row>
    <row r="25" s="20" customFormat="1" ht="52" customHeight="1" spans="1:5">
      <c r="A25" s="24" t="s">
        <v>34</v>
      </c>
      <c r="B25" s="25" t="s">
        <v>35</v>
      </c>
      <c r="C25" s="26"/>
      <c r="D25" s="26"/>
      <c r="E25" s="24"/>
    </row>
    <row r="26" s="20" customFormat="1" ht="52" customHeight="1" spans="1:5">
      <c r="A26" s="24" t="s">
        <v>36</v>
      </c>
      <c r="B26" s="25" t="s">
        <v>37</v>
      </c>
      <c r="C26" s="26"/>
      <c r="D26" s="26"/>
      <c r="E26" s="24"/>
    </row>
    <row r="27" s="20" customFormat="1" spans="3:16380">
      <c r="C27" s="34"/>
      <c r="D27" s="34"/>
      <c r="XEV27" s="22"/>
      <c r="XEW27" s="22"/>
      <c r="XEX27" s="22"/>
      <c r="XEY27" s="22"/>
      <c r="XEZ27" s="22"/>
    </row>
    <row r="28" s="20" customFormat="1" spans="2:16380">
      <c r="B28" s="35"/>
      <c r="C28" s="36"/>
      <c r="D28" s="36"/>
      <c r="XEV28" s="22"/>
      <c r="XEW28" s="22"/>
      <c r="XEX28" s="22"/>
      <c r="XEY28" s="22"/>
      <c r="XEZ28" s="22"/>
    </row>
    <row r="29" s="20" customFormat="1" spans="2:16380">
      <c r="B29" s="35"/>
      <c r="C29" s="36"/>
      <c r="D29" s="36"/>
      <c r="XEV29" s="22"/>
      <c r="XEW29" s="22"/>
      <c r="XEX29" s="22"/>
      <c r="XEY29" s="22"/>
      <c r="XEZ29" s="22"/>
    </row>
  </sheetData>
  <mergeCells count="5">
    <mergeCell ref="A4:A8"/>
    <mergeCell ref="A13:A15"/>
    <mergeCell ref="A16:A18"/>
    <mergeCell ref="A19:A21"/>
    <mergeCell ref="A22:A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pane ySplit="1" topLeftCell="A2" activePane="bottomLeft" state="frozen"/>
      <selection/>
      <selection pane="bottomLeft" activeCell="E2" sqref="E2"/>
    </sheetView>
  </sheetViews>
  <sheetFormatPr defaultColWidth="11.2222222222222" defaultRowHeight="37" customHeight="1" outlineLevelRow="6"/>
  <cols>
    <col min="1" max="1" width="17.3333333333333" style="12" customWidth="1"/>
    <col min="2" max="16384" width="11.2222222222222" style="12" customWidth="1"/>
  </cols>
  <sheetData>
    <row r="1" customHeight="1" spans="1:15">
      <c r="A1" s="13" t="s">
        <v>38</v>
      </c>
      <c r="B1" s="13" t="s">
        <v>39</v>
      </c>
      <c r="C1" s="13" t="s">
        <v>40</v>
      </c>
      <c r="D1" s="14" t="s">
        <v>41</v>
      </c>
      <c r="E1" s="14" t="s">
        <v>42</v>
      </c>
      <c r="F1" s="14" t="s">
        <v>43</v>
      </c>
      <c r="G1" s="14" t="s">
        <v>44</v>
      </c>
      <c r="H1" s="14" t="s">
        <v>45</v>
      </c>
      <c r="I1" s="14" t="s">
        <v>46</v>
      </c>
      <c r="J1" s="14" t="s">
        <v>47</v>
      </c>
      <c r="K1" s="14" t="s">
        <v>48</v>
      </c>
      <c r="L1" s="14" t="s">
        <v>49</v>
      </c>
      <c r="M1" s="14" t="s">
        <v>50</v>
      </c>
      <c r="N1" s="14" t="s">
        <v>51</v>
      </c>
      <c r="O1" s="18" t="s">
        <v>52</v>
      </c>
    </row>
    <row r="2" customHeight="1" spans="1:15">
      <c r="A2" s="15" t="s">
        <v>53</v>
      </c>
      <c r="B2" s="16">
        <v>14.99</v>
      </c>
      <c r="C2" s="16">
        <v>7</v>
      </c>
      <c r="D2" s="16">
        <f t="shared" ref="D2:D7" si="0">28/C2</f>
        <v>4</v>
      </c>
      <c r="E2" s="16">
        <f t="shared" ref="E2:E7" si="1">B2*IF(B2&lt;15,0.05,IF(B2&lt;20,0.1,0.17))</f>
        <v>0.7495</v>
      </c>
      <c r="F2" s="16">
        <v>0</v>
      </c>
      <c r="G2" s="16">
        <f t="shared" ref="G2:G7" si="2">4.7/C2</f>
        <v>0.671428571428571</v>
      </c>
      <c r="H2" s="17">
        <f t="shared" ref="H2:H7" si="3">G2+3.5/C2</f>
        <v>1.17142857142857</v>
      </c>
      <c r="I2" s="16">
        <v>4.67</v>
      </c>
      <c r="J2" s="16">
        <f t="shared" ref="J2:J7" si="4">B2*0.03</f>
        <v>0.4497</v>
      </c>
      <c r="K2" s="16">
        <f>B2*0.1</f>
        <v>1.499</v>
      </c>
      <c r="L2" s="16">
        <v>0</v>
      </c>
      <c r="M2" s="16">
        <f t="shared" ref="M2:M7" si="5">B2*0.08</f>
        <v>1.1992</v>
      </c>
      <c r="N2" s="16">
        <f t="shared" ref="N2:N7" si="6">B2-D2-E2-F2-G2-I2-J2-K2-L2-M2</f>
        <v>1.75117142857143</v>
      </c>
      <c r="O2" s="19">
        <f t="shared" ref="O2:O7" si="7">N2/B2</f>
        <v>0.116822643667207</v>
      </c>
    </row>
    <row r="3" customHeight="1" spans="1:15">
      <c r="A3" s="15" t="s">
        <v>54</v>
      </c>
      <c r="B3" s="16">
        <v>19.99</v>
      </c>
      <c r="C3" s="16">
        <v>7</v>
      </c>
      <c r="D3" s="16">
        <f t="shared" si="0"/>
        <v>4</v>
      </c>
      <c r="E3" s="16">
        <f t="shared" si="1"/>
        <v>1.999</v>
      </c>
      <c r="F3" s="16">
        <v>0</v>
      </c>
      <c r="G3" s="16">
        <f t="shared" si="2"/>
        <v>0.671428571428571</v>
      </c>
      <c r="H3" s="17">
        <f t="shared" si="3"/>
        <v>1.17142857142857</v>
      </c>
      <c r="I3" s="16">
        <v>4.67</v>
      </c>
      <c r="J3" s="16">
        <f t="shared" si="4"/>
        <v>0.5997</v>
      </c>
      <c r="K3" s="16">
        <f t="shared" ref="K3:K7" si="8">B3*0.04</f>
        <v>0.7996</v>
      </c>
      <c r="L3" s="16">
        <v>0</v>
      </c>
      <c r="M3" s="16">
        <f t="shared" si="5"/>
        <v>1.5992</v>
      </c>
      <c r="N3" s="16">
        <f t="shared" si="6"/>
        <v>5.65107142857143</v>
      </c>
      <c r="O3" s="19">
        <f t="shared" si="7"/>
        <v>0.282694918888015</v>
      </c>
    </row>
    <row r="4" customHeight="1" spans="1:15">
      <c r="A4" s="15" t="s">
        <v>55</v>
      </c>
      <c r="B4" s="16">
        <f>B3*0.85</f>
        <v>16.9915</v>
      </c>
      <c r="C4" s="16">
        <v>7</v>
      </c>
      <c r="D4" s="16">
        <f t="shared" si="0"/>
        <v>4</v>
      </c>
      <c r="E4" s="16">
        <f t="shared" si="1"/>
        <v>1.69915</v>
      </c>
      <c r="F4" s="16">
        <v>0</v>
      </c>
      <c r="G4" s="16">
        <f t="shared" si="2"/>
        <v>0.671428571428571</v>
      </c>
      <c r="H4" s="17">
        <f t="shared" si="3"/>
        <v>1.17142857142857</v>
      </c>
      <c r="I4" s="16">
        <v>4.67</v>
      </c>
      <c r="J4" s="16">
        <f t="shared" si="4"/>
        <v>0.509745</v>
      </c>
      <c r="K4" s="16">
        <f t="shared" si="8"/>
        <v>0.67966</v>
      </c>
      <c r="L4" s="16">
        <v>0</v>
      </c>
      <c r="M4" s="16">
        <f t="shared" si="5"/>
        <v>1.35932</v>
      </c>
      <c r="N4" s="16">
        <f t="shared" si="6"/>
        <v>3.40219642857143</v>
      </c>
      <c r="O4" s="19">
        <f t="shared" si="7"/>
        <v>0.200229316338842</v>
      </c>
    </row>
    <row r="5" customHeight="1" spans="1:15">
      <c r="A5" s="15" t="s">
        <v>56</v>
      </c>
      <c r="B5" s="16">
        <f>B3*0.8</f>
        <v>15.992</v>
      </c>
      <c r="C5" s="16">
        <v>7</v>
      </c>
      <c r="D5" s="16">
        <f t="shared" si="0"/>
        <v>4</v>
      </c>
      <c r="E5" s="16">
        <f t="shared" si="1"/>
        <v>1.5992</v>
      </c>
      <c r="F5" s="16">
        <v>0</v>
      </c>
      <c r="G5" s="16">
        <f t="shared" si="2"/>
        <v>0.671428571428571</v>
      </c>
      <c r="H5" s="17">
        <f t="shared" si="3"/>
        <v>1.17142857142857</v>
      </c>
      <c r="I5" s="16">
        <v>4.67</v>
      </c>
      <c r="J5" s="16">
        <f t="shared" si="4"/>
        <v>0.47976</v>
      </c>
      <c r="K5" s="16">
        <f t="shared" si="8"/>
        <v>0.63968</v>
      </c>
      <c r="L5" s="16">
        <v>0</v>
      </c>
      <c r="M5" s="16">
        <f t="shared" si="5"/>
        <v>1.27936</v>
      </c>
      <c r="N5" s="16">
        <f t="shared" si="6"/>
        <v>2.65257142857143</v>
      </c>
      <c r="O5" s="19">
        <f t="shared" si="7"/>
        <v>0.165868648610019</v>
      </c>
    </row>
    <row r="6" customHeight="1" spans="1:15">
      <c r="A6" s="15" t="s">
        <v>57</v>
      </c>
      <c r="B6" s="16">
        <v>29.99</v>
      </c>
      <c r="C6" s="16">
        <v>7</v>
      </c>
      <c r="D6" s="16">
        <f t="shared" si="0"/>
        <v>4</v>
      </c>
      <c r="E6" s="16">
        <f t="shared" si="1"/>
        <v>5.0983</v>
      </c>
      <c r="F6" s="16">
        <v>0</v>
      </c>
      <c r="G6" s="16">
        <f t="shared" si="2"/>
        <v>0.671428571428571</v>
      </c>
      <c r="H6" s="17">
        <f t="shared" si="3"/>
        <v>1.17142857142857</v>
      </c>
      <c r="I6" s="16">
        <v>4.67</v>
      </c>
      <c r="J6" s="16">
        <f t="shared" si="4"/>
        <v>0.8997</v>
      </c>
      <c r="K6" s="16">
        <f t="shared" si="8"/>
        <v>1.1996</v>
      </c>
      <c r="L6" s="16">
        <v>0</v>
      </c>
      <c r="M6" s="16">
        <f t="shared" si="5"/>
        <v>2.3992</v>
      </c>
      <c r="N6" s="16">
        <f t="shared" si="6"/>
        <v>11.0517714285714</v>
      </c>
      <c r="O6" s="19">
        <f t="shared" si="7"/>
        <v>0.368515219358834</v>
      </c>
    </row>
    <row r="7" customHeight="1" spans="1:15">
      <c r="A7" s="15" t="s">
        <v>58</v>
      </c>
      <c r="B7" s="16">
        <v>11.52</v>
      </c>
      <c r="C7" s="16">
        <v>7</v>
      </c>
      <c r="D7" s="16">
        <f t="shared" si="0"/>
        <v>4</v>
      </c>
      <c r="E7" s="16">
        <f t="shared" si="1"/>
        <v>0.576</v>
      </c>
      <c r="F7" s="16">
        <v>0</v>
      </c>
      <c r="G7" s="16">
        <f t="shared" si="2"/>
        <v>0.671428571428571</v>
      </c>
      <c r="H7" s="17">
        <f t="shared" si="3"/>
        <v>1.17142857142857</v>
      </c>
      <c r="I7" s="16">
        <v>4.67</v>
      </c>
      <c r="J7" s="16">
        <f t="shared" si="4"/>
        <v>0.3456</v>
      </c>
      <c r="K7" s="16">
        <f t="shared" si="8"/>
        <v>0.4608</v>
      </c>
      <c r="L7" s="16">
        <v>0</v>
      </c>
      <c r="M7" s="16">
        <f t="shared" si="5"/>
        <v>0.9216</v>
      </c>
      <c r="N7" s="16">
        <f t="shared" si="6"/>
        <v>-0.125428571428572</v>
      </c>
      <c r="O7" s="19">
        <f t="shared" si="7"/>
        <v>-0.0108878968253969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pane ySplit="1" topLeftCell="A2" activePane="bottomLeft" state="frozen"/>
      <selection/>
      <selection pane="bottomLeft" activeCell="B2" sqref="B2"/>
    </sheetView>
  </sheetViews>
  <sheetFormatPr defaultColWidth="11.2222222222222" defaultRowHeight="37" customHeight="1"/>
  <cols>
    <col min="1" max="1" width="17.3333333333333" style="12" customWidth="1"/>
    <col min="2" max="16384" width="11.2222222222222" style="12" customWidth="1"/>
  </cols>
  <sheetData>
    <row r="1" customHeight="1" spans="1:15">
      <c r="A1" s="13" t="s">
        <v>38</v>
      </c>
      <c r="B1" s="13" t="s">
        <v>39</v>
      </c>
      <c r="C1" s="13" t="s">
        <v>40</v>
      </c>
      <c r="D1" s="14" t="s">
        <v>41</v>
      </c>
      <c r="E1" s="14" t="s">
        <v>42</v>
      </c>
      <c r="F1" s="14" t="s">
        <v>43</v>
      </c>
      <c r="G1" s="14" t="s">
        <v>44</v>
      </c>
      <c r="H1" s="14" t="s">
        <v>45</v>
      </c>
      <c r="I1" s="14" t="s">
        <v>46</v>
      </c>
      <c r="J1" s="14" t="s">
        <v>47</v>
      </c>
      <c r="K1" s="14" t="s">
        <v>48</v>
      </c>
      <c r="L1" s="14" t="s">
        <v>49</v>
      </c>
      <c r="M1" s="14" t="s">
        <v>50</v>
      </c>
      <c r="N1" s="14" t="s">
        <v>51</v>
      </c>
      <c r="O1" s="18" t="s">
        <v>52</v>
      </c>
    </row>
    <row r="2" customHeight="1" spans="1:15">
      <c r="A2" s="15" t="s">
        <v>53</v>
      </c>
      <c r="B2" s="16">
        <v>12.99</v>
      </c>
      <c r="C2" s="16">
        <v>7.2</v>
      </c>
      <c r="D2" s="16">
        <f t="shared" ref="D2:D7" si="0">20/C2</f>
        <v>2.77777777777778</v>
      </c>
      <c r="E2" s="16">
        <f t="shared" ref="E2:E7" si="1">B2*IF(B2&lt;15,0.05,IF(B2&lt;20,0.1,0.17))</f>
        <v>0.6495</v>
      </c>
      <c r="F2" s="16">
        <v>0</v>
      </c>
      <c r="G2" s="16">
        <f t="shared" ref="G2:G7" si="2">4.7/C2</f>
        <v>0.652777777777778</v>
      </c>
      <c r="H2" s="17">
        <f t="shared" ref="H2:H7" si="3">G2+3.5/C2</f>
        <v>1.13888888888889</v>
      </c>
      <c r="I2" s="16">
        <v>4.67</v>
      </c>
      <c r="J2" s="16">
        <f t="shared" ref="J2:J7" si="4">B2*0.03</f>
        <v>0.3897</v>
      </c>
      <c r="K2" s="16">
        <f t="shared" ref="K2:K7" si="5">B2*0.06</f>
        <v>0.7794</v>
      </c>
      <c r="L2" s="16">
        <v>0</v>
      </c>
      <c r="M2" s="16">
        <f t="shared" ref="M2:M7" si="6">B2*0.08</f>
        <v>1.0392</v>
      </c>
      <c r="N2" s="16">
        <f t="shared" ref="N2:N7" si="7">B2-D2-E2-F2-G2-I2-J2-K2-L2-M2</f>
        <v>2.03164444444445</v>
      </c>
      <c r="O2" s="19">
        <f t="shared" ref="O2:O7" si="8">N2/B2</f>
        <v>0.156400650072706</v>
      </c>
    </row>
    <row r="3" customHeight="1" spans="1:15">
      <c r="A3" s="15" t="s">
        <v>54</v>
      </c>
      <c r="B3" s="16">
        <v>14.99</v>
      </c>
      <c r="C3" s="16">
        <v>7.2</v>
      </c>
      <c r="D3" s="16">
        <f t="shared" si="0"/>
        <v>2.77777777777778</v>
      </c>
      <c r="E3" s="16">
        <f t="shared" si="1"/>
        <v>0.7495</v>
      </c>
      <c r="F3" s="16">
        <v>0</v>
      </c>
      <c r="G3" s="16">
        <f t="shared" si="2"/>
        <v>0.652777777777778</v>
      </c>
      <c r="H3" s="17">
        <f t="shared" si="3"/>
        <v>1.13888888888889</v>
      </c>
      <c r="I3" s="16">
        <v>4.67</v>
      </c>
      <c r="J3" s="16">
        <f t="shared" si="4"/>
        <v>0.4497</v>
      </c>
      <c r="K3" s="16">
        <f>B3*0.04</f>
        <v>0.5996</v>
      </c>
      <c r="L3" s="16">
        <v>0</v>
      </c>
      <c r="M3" s="16">
        <f t="shared" si="6"/>
        <v>1.1992</v>
      </c>
      <c r="N3" s="16">
        <f t="shared" si="7"/>
        <v>3.89144444444445</v>
      </c>
      <c r="O3" s="19">
        <f t="shared" si="8"/>
        <v>0.259602698095026</v>
      </c>
    </row>
    <row r="4" customHeight="1" spans="1:15">
      <c r="A4" s="15" t="s">
        <v>55</v>
      </c>
      <c r="B4" s="16">
        <f>B3*0.85</f>
        <v>12.7415</v>
      </c>
      <c r="C4" s="16">
        <v>7.2</v>
      </c>
      <c r="D4" s="16">
        <f t="shared" si="0"/>
        <v>2.77777777777778</v>
      </c>
      <c r="E4" s="16">
        <f t="shared" si="1"/>
        <v>0.637075</v>
      </c>
      <c r="F4" s="16">
        <v>0</v>
      </c>
      <c r="G4" s="16">
        <f t="shared" si="2"/>
        <v>0.652777777777778</v>
      </c>
      <c r="H4" s="17">
        <f t="shared" si="3"/>
        <v>1.13888888888889</v>
      </c>
      <c r="I4" s="16">
        <v>4.67</v>
      </c>
      <c r="J4" s="16">
        <f t="shared" si="4"/>
        <v>0.382245</v>
      </c>
      <c r="K4" s="16">
        <f t="shared" si="5"/>
        <v>0.76449</v>
      </c>
      <c r="L4" s="16">
        <v>0</v>
      </c>
      <c r="M4" s="16">
        <f t="shared" si="6"/>
        <v>1.01932</v>
      </c>
      <c r="N4" s="16">
        <f t="shared" si="7"/>
        <v>1.83781444444445</v>
      </c>
      <c r="O4" s="19">
        <f t="shared" si="8"/>
        <v>0.14423846834709</v>
      </c>
    </row>
    <row r="5" customHeight="1" spans="1:15">
      <c r="A5" s="15" t="s">
        <v>56</v>
      </c>
      <c r="B5" s="16">
        <f>B3*0.8</f>
        <v>11.992</v>
      </c>
      <c r="C5" s="16">
        <v>7.2</v>
      </c>
      <c r="D5" s="16">
        <f t="shared" si="0"/>
        <v>2.77777777777778</v>
      </c>
      <c r="E5" s="16">
        <f t="shared" si="1"/>
        <v>0.5996</v>
      </c>
      <c r="F5" s="16">
        <v>0</v>
      </c>
      <c r="G5" s="16">
        <f t="shared" si="2"/>
        <v>0.652777777777778</v>
      </c>
      <c r="H5" s="17">
        <f t="shared" si="3"/>
        <v>1.13888888888889</v>
      </c>
      <c r="I5" s="16">
        <v>4.67</v>
      </c>
      <c r="J5" s="16">
        <f t="shared" si="4"/>
        <v>0.35976</v>
      </c>
      <c r="K5" s="16">
        <f t="shared" si="5"/>
        <v>0.71952</v>
      </c>
      <c r="L5" s="16">
        <v>0</v>
      </c>
      <c r="M5" s="16">
        <f t="shared" si="6"/>
        <v>0.95936</v>
      </c>
      <c r="N5" s="16">
        <f t="shared" si="7"/>
        <v>1.25320444444444</v>
      </c>
      <c r="O5" s="19">
        <f t="shared" si="8"/>
        <v>0.104503372618783</v>
      </c>
    </row>
    <row r="6" customHeight="1" spans="1:15">
      <c r="A6" s="15" t="s">
        <v>57</v>
      </c>
      <c r="B6" s="16">
        <v>23.99</v>
      </c>
      <c r="C6" s="16">
        <v>7.2</v>
      </c>
      <c r="D6" s="16">
        <f t="shared" si="0"/>
        <v>2.77777777777778</v>
      </c>
      <c r="E6" s="16">
        <f t="shared" si="1"/>
        <v>4.0783</v>
      </c>
      <c r="F6" s="16">
        <v>0</v>
      </c>
      <c r="G6" s="16">
        <f t="shared" si="2"/>
        <v>0.652777777777778</v>
      </c>
      <c r="H6" s="17">
        <f t="shared" si="3"/>
        <v>1.13888888888889</v>
      </c>
      <c r="I6" s="16">
        <v>4.67</v>
      </c>
      <c r="J6" s="16">
        <f t="shared" si="4"/>
        <v>0.7197</v>
      </c>
      <c r="K6" s="16">
        <f t="shared" si="5"/>
        <v>1.4394</v>
      </c>
      <c r="L6" s="16">
        <v>0</v>
      </c>
      <c r="M6" s="16">
        <f t="shared" si="6"/>
        <v>1.9192</v>
      </c>
      <c r="N6" s="16">
        <f t="shared" si="7"/>
        <v>7.73284444444444</v>
      </c>
      <c r="O6" s="19">
        <f t="shared" si="8"/>
        <v>0.322336158584595</v>
      </c>
    </row>
    <row r="7" customHeight="1" spans="1:15">
      <c r="A7" s="15" t="s">
        <v>58</v>
      </c>
      <c r="B7" s="16">
        <v>10.39</v>
      </c>
      <c r="C7" s="16">
        <v>7.2</v>
      </c>
      <c r="D7" s="16">
        <f t="shared" si="0"/>
        <v>2.77777777777778</v>
      </c>
      <c r="E7" s="16">
        <f t="shared" si="1"/>
        <v>0.5195</v>
      </c>
      <c r="F7" s="16">
        <v>0</v>
      </c>
      <c r="G7" s="16">
        <f t="shared" si="2"/>
        <v>0.652777777777778</v>
      </c>
      <c r="H7" s="17">
        <f t="shared" si="3"/>
        <v>1.13888888888889</v>
      </c>
      <c r="I7" s="16">
        <v>4.67</v>
      </c>
      <c r="J7" s="16">
        <f t="shared" si="4"/>
        <v>0.3117</v>
      </c>
      <c r="K7" s="16">
        <f t="shared" si="5"/>
        <v>0.6234</v>
      </c>
      <c r="L7" s="16">
        <v>0</v>
      </c>
      <c r="M7" s="16">
        <f t="shared" si="6"/>
        <v>0.8312</v>
      </c>
      <c r="N7" s="16">
        <f t="shared" si="7"/>
        <v>0.00364444444444523</v>
      </c>
      <c r="O7" s="19">
        <f t="shared" si="8"/>
        <v>0.000350764624104449</v>
      </c>
    </row>
    <row r="10" customHeight="1" spans="6:9">
      <c r="F10" s="12" t="s">
        <v>59</v>
      </c>
      <c r="G10" s="12">
        <v>50</v>
      </c>
      <c r="H10" s="12" t="s">
        <v>60</v>
      </c>
      <c r="I10" s="12">
        <v>13.5</v>
      </c>
    </row>
    <row r="11" customHeight="1" spans="4:5">
      <c r="D11" s="12" t="s">
        <v>61</v>
      </c>
      <c r="E11" s="12">
        <v>200</v>
      </c>
    </row>
    <row r="12" customHeight="1" spans="4:9">
      <c r="D12" s="12" t="s">
        <v>62</v>
      </c>
      <c r="E12" s="12">
        <v>18.8</v>
      </c>
      <c r="G12" s="12">
        <f>18.8*50/200</f>
        <v>4.7</v>
      </c>
      <c r="I12" s="12">
        <f>18.8*13.5/200</f>
        <v>1.269</v>
      </c>
    </row>
    <row r="13" customHeight="1" spans="4:5">
      <c r="D13" s="12" t="s">
        <v>63</v>
      </c>
      <c r="E13" s="12">
        <v>51</v>
      </c>
    </row>
    <row r="14" customHeight="1" spans="4:5">
      <c r="D14" s="12" t="s">
        <v>64</v>
      </c>
      <c r="E14" s="12">
        <v>44</v>
      </c>
    </row>
    <row r="15" customHeight="1" spans="4:5">
      <c r="D15" s="12" t="s">
        <v>65</v>
      </c>
      <c r="E15" s="12">
        <v>41</v>
      </c>
    </row>
    <row r="16" customHeight="1" spans="4:5">
      <c r="D16" s="12" t="s">
        <v>66</v>
      </c>
      <c r="E16" s="12">
        <v>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11.2222222222222" defaultRowHeight="37" customHeight="1"/>
  <cols>
    <col min="1" max="1" width="17.3333333333333" style="12" customWidth="1"/>
    <col min="2" max="16384" width="11.2222222222222" style="12" customWidth="1"/>
  </cols>
  <sheetData>
    <row r="1" customHeight="1" spans="1:15">
      <c r="A1" s="13" t="s">
        <v>38</v>
      </c>
      <c r="B1" s="13" t="s">
        <v>39</v>
      </c>
      <c r="C1" s="13" t="s">
        <v>40</v>
      </c>
      <c r="D1" s="14" t="s">
        <v>41</v>
      </c>
      <c r="E1" s="14" t="s">
        <v>42</v>
      </c>
      <c r="F1" s="14" t="s">
        <v>43</v>
      </c>
      <c r="G1" s="14" t="s">
        <v>44</v>
      </c>
      <c r="H1" s="14" t="s">
        <v>45</v>
      </c>
      <c r="I1" s="14" t="s">
        <v>46</v>
      </c>
      <c r="J1" s="14" t="s">
        <v>47</v>
      </c>
      <c r="K1" s="14" t="s">
        <v>48</v>
      </c>
      <c r="L1" s="14" t="s">
        <v>49</v>
      </c>
      <c r="M1" s="14" t="s">
        <v>50</v>
      </c>
      <c r="N1" s="14" t="s">
        <v>51</v>
      </c>
      <c r="O1" s="18" t="s">
        <v>52</v>
      </c>
    </row>
    <row r="2" customHeight="1" spans="1:15">
      <c r="A2" s="15" t="s">
        <v>53</v>
      </c>
      <c r="B2" s="16">
        <v>9.99</v>
      </c>
      <c r="C2" s="16">
        <v>7.2</v>
      </c>
      <c r="D2" s="16">
        <f t="shared" ref="D2:D7" si="0">9.5/C2</f>
        <v>1.31944444444444</v>
      </c>
      <c r="E2" s="16">
        <f t="shared" ref="E2:E7" si="1">B2*IF(B2&lt;15,0.05,IF(B2&lt;20,0.1,0.17))</f>
        <v>0.4995</v>
      </c>
      <c r="F2" s="16">
        <v>0</v>
      </c>
      <c r="G2" s="16">
        <f t="shared" ref="G2:G7" si="2">4.7/C2</f>
        <v>0.652777777777778</v>
      </c>
      <c r="H2" s="17">
        <f t="shared" ref="H2:H7" si="3">G2+3.5/C2</f>
        <v>1.13888888888889</v>
      </c>
      <c r="I2" s="16">
        <v>4.67</v>
      </c>
      <c r="J2" s="16">
        <f t="shared" ref="J2:J7" si="4">B2*0.03</f>
        <v>0.2997</v>
      </c>
      <c r="K2" s="16">
        <f t="shared" ref="K2:K7" si="5">B2*0.06</f>
        <v>0.5994</v>
      </c>
      <c r="L2" s="16">
        <v>0</v>
      </c>
      <c r="M2" s="16">
        <f t="shared" ref="M2:M7" si="6">B2*0.08</f>
        <v>0.7992</v>
      </c>
      <c r="N2" s="16">
        <f t="shared" ref="N2:N7" si="7">B2-D2-E2-F2-G2-I2-J2-K2-L2-M2</f>
        <v>1.14997777777778</v>
      </c>
      <c r="O2" s="19">
        <f t="shared" ref="O2:O7" si="8">N2/B2</f>
        <v>0.115112890668446</v>
      </c>
    </row>
    <row r="3" customHeight="1" spans="1:15">
      <c r="A3" s="15" t="s">
        <v>54</v>
      </c>
      <c r="B3" s="16">
        <v>12.99</v>
      </c>
      <c r="C3" s="16">
        <v>7.2</v>
      </c>
      <c r="D3" s="16">
        <f t="shared" si="0"/>
        <v>1.31944444444444</v>
      </c>
      <c r="E3" s="16">
        <f t="shared" si="1"/>
        <v>0.6495</v>
      </c>
      <c r="F3" s="16">
        <v>0</v>
      </c>
      <c r="G3" s="16">
        <f t="shared" si="2"/>
        <v>0.652777777777778</v>
      </c>
      <c r="H3" s="17">
        <f t="shared" si="3"/>
        <v>1.13888888888889</v>
      </c>
      <c r="I3" s="16">
        <v>4.67</v>
      </c>
      <c r="J3" s="16">
        <f t="shared" si="4"/>
        <v>0.3897</v>
      </c>
      <c r="K3" s="16">
        <f>B3*0.04</f>
        <v>0.5196</v>
      </c>
      <c r="L3" s="16">
        <v>0</v>
      </c>
      <c r="M3" s="16">
        <f t="shared" si="6"/>
        <v>1.0392</v>
      </c>
      <c r="N3" s="16">
        <f t="shared" si="7"/>
        <v>3.74977777777778</v>
      </c>
      <c r="O3" s="19">
        <f t="shared" si="8"/>
        <v>0.288666495594902</v>
      </c>
    </row>
    <row r="4" customHeight="1" spans="1:15">
      <c r="A4" s="15" t="s">
        <v>55</v>
      </c>
      <c r="B4" s="16">
        <f>B3*0.85</f>
        <v>11.0415</v>
      </c>
      <c r="C4" s="16">
        <v>7.2</v>
      </c>
      <c r="D4" s="16">
        <f t="shared" si="0"/>
        <v>1.31944444444444</v>
      </c>
      <c r="E4" s="16">
        <f t="shared" si="1"/>
        <v>0.552075</v>
      </c>
      <c r="F4" s="16">
        <v>0</v>
      </c>
      <c r="G4" s="16">
        <f t="shared" si="2"/>
        <v>0.652777777777778</v>
      </c>
      <c r="H4" s="17">
        <f t="shared" si="3"/>
        <v>1.13888888888889</v>
      </c>
      <c r="I4" s="16">
        <v>4.67</v>
      </c>
      <c r="J4" s="16">
        <f t="shared" si="4"/>
        <v>0.331245</v>
      </c>
      <c r="K4" s="16">
        <f t="shared" si="5"/>
        <v>0.66249</v>
      </c>
      <c r="L4" s="16">
        <v>0</v>
      </c>
      <c r="M4" s="16">
        <f t="shared" si="6"/>
        <v>0.88332</v>
      </c>
      <c r="N4" s="16">
        <f t="shared" si="7"/>
        <v>1.97014777777778</v>
      </c>
      <c r="O4" s="19">
        <f t="shared" si="8"/>
        <v>0.17843117128812</v>
      </c>
    </row>
    <row r="5" customHeight="1" spans="1:15">
      <c r="A5" s="15" t="s">
        <v>56</v>
      </c>
      <c r="B5" s="16">
        <f>B3*0.8</f>
        <v>10.392</v>
      </c>
      <c r="C5" s="16">
        <v>7.2</v>
      </c>
      <c r="D5" s="16">
        <f t="shared" si="0"/>
        <v>1.31944444444444</v>
      </c>
      <c r="E5" s="16">
        <f t="shared" si="1"/>
        <v>0.5196</v>
      </c>
      <c r="F5" s="16">
        <v>0</v>
      </c>
      <c r="G5" s="16">
        <f t="shared" si="2"/>
        <v>0.652777777777778</v>
      </c>
      <c r="H5" s="17">
        <f t="shared" si="3"/>
        <v>1.13888888888889</v>
      </c>
      <c r="I5" s="16">
        <v>4.67</v>
      </c>
      <c r="J5" s="16">
        <f t="shared" si="4"/>
        <v>0.31176</v>
      </c>
      <c r="K5" s="16">
        <f t="shared" si="5"/>
        <v>0.62352</v>
      </c>
      <c r="L5" s="16">
        <v>0</v>
      </c>
      <c r="M5" s="16">
        <f t="shared" si="6"/>
        <v>0.83136</v>
      </c>
      <c r="N5" s="16">
        <f t="shared" si="7"/>
        <v>1.46353777777778</v>
      </c>
      <c r="O5" s="19">
        <f t="shared" si="8"/>
        <v>0.140833119493628</v>
      </c>
    </row>
    <row r="6" customHeight="1" spans="1:15">
      <c r="A6" s="15" t="s">
        <v>57</v>
      </c>
      <c r="B6" s="16">
        <v>14.99</v>
      </c>
      <c r="C6" s="16">
        <v>7.2</v>
      </c>
      <c r="D6" s="16">
        <f t="shared" si="0"/>
        <v>1.31944444444444</v>
      </c>
      <c r="E6" s="16">
        <f t="shared" si="1"/>
        <v>0.7495</v>
      </c>
      <c r="F6" s="16">
        <v>0</v>
      </c>
      <c r="G6" s="16">
        <f t="shared" si="2"/>
        <v>0.652777777777778</v>
      </c>
      <c r="H6" s="17">
        <f t="shared" si="3"/>
        <v>1.13888888888889</v>
      </c>
      <c r="I6" s="16">
        <v>4.67</v>
      </c>
      <c r="J6" s="16">
        <f t="shared" si="4"/>
        <v>0.4497</v>
      </c>
      <c r="K6" s="16">
        <f t="shared" si="5"/>
        <v>0.8994</v>
      </c>
      <c r="L6" s="16">
        <v>0</v>
      </c>
      <c r="M6" s="16">
        <f t="shared" si="6"/>
        <v>1.1992</v>
      </c>
      <c r="N6" s="16">
        <f t="shared" si="7"/>
        <v>5.04997777777778</v>
      </c>
      <c r="O6" s="19">
        <f t="shared" si="8"/>
        <v>0.336889778370766</v>
      </c>
    </row>
    <row r="7" customHeight="1" spans="1:15">
      <c r="A7" s="15" t="s">
        <v>58</v>
      </c>
      <c r="B7" s="16">
        <v>8.52</v>
      </c>
      <c r="C7" s="16">
        <v>7.2</v>
      </c>
      <c r="D7" s="16">
        <f t="shared" si="0"/>
        <v>1.31944444444444</v>
      </c>
      <c r="E7" s="16">
        <f t="shared" si="1"/>
        <v>0.426</v>
      </c>
      <c r="F7" s="16">
        <v>0</v>
      </c>
      <c r="G7" s="16">
        <f t="shared" si="2"/>
        <v>0.652777777777778</v>
      </c>
      <c r="H7" s="17">
        <f t="shared" si="3"/>
        <v>1.13888888888889</v>
      </c>
      <c r="I7" s="16">
        <v>4.67</v>
      </c>
      <c r="J7" s="16">
        <f t="shared" si="4"/>
        <v>0.2556</v>
      </c>
      <c r="K7" s="16">
        <f t="shared" si="5"/>
        <v>0.5112</v>
      </c>
      <c r="L7" s="16">
        <v>0</v>
      </c>
      <c r="M7" s="16">
        <f t="shared" si="6"/>
        <v>0.6816</v>
      </c>
      <c r="N7" s="16">
        <f t="shared" si="7"/>
        <v>0.00337777777777715</v>
      </c>
      <c r="O7" s="19">
        <f t="shared" si="8"/>
        <v>0.000396452790818914</v>
      </c>
    </row>
    <row r="10" customHeight="1" spans="6:9">
      <c r="F10" s="12" t="s">
        <v>59</v>
      </c>
      <c r="G10" s="12">
        <v>50</v>
      </c>
      <c r="H10" s="12" t="s">
        <v>60</v>
      </c>
      <c r="I10" s="12">
        <v>13.5</v>
      </c>
    </row>
    <row r="11" customHeight="1" spans="4:5">
      <c r="D11" s="12" t="s">
        <v>61</v>
      </c>
      <c r="E11" s="12">
        <v>200</v>
      </c>
    </row>
    <row r="12" customHeight="1" spans="4:9">
      <c r="D12" s="12" t="s">
        <v>62</v>
      </c>
      <c r="E12" s="12">
        <v>18.8</v>
      </c>
      <c r="G12" s="12">
        <f>18.8*50/200</f>
        <v>4.7</v>
      </c>
      <c r="I12" s="12">
        <f>18.8*13.5/200</f>
        <v>1.269</v>
      </c>
    </row>
    <row r="13" customHeight="1" spans="4:5">
      <c r="D13" s="12" t="s">
        <v>63</v>
      </c>
      <c r="E13" s="12">
        <v>51</v>
      </c>
    </row>
    <row r="14" customHeight="1" spans="4:5">
      <c r="D14" s="12" t="s">
        <v>64</v>
      </c>
      <c r="E14" s="12">
        <v>44</v>
      </c>
    </row>
    <row r="15" customHeight="1" spans="4:5">
      <c r="D15" s="12" t="s">
        <v>65</v>
      </c>
      <c r="E15" s="12">
        <v>41</v>
      </c>
    </row>
    <row r="16" customHeight="1" spans="4:5">
      <c r="D16" s="12" t="s">
        <v>66</v>
      </c>
      <c r="E16" s="12">
        <v>28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workbookViewId="0">
      <selection activeCell="R1" sqref="R1"/>
    </sheetView>
  </sheetViews>
  <sheetFormatPr defaultColWidth="8.88888888888889" defaultRowHeight="38" customHeight="1"/>
  <cols>
    <col min="1" max="1" width="31.2314814814815" customWidth="1"/>
    <col min="2" max="2" width="26.0740740740741" customWidth="1"/>
    <col min="7" max="9" width="8.88888888888889" customWidth="1"/>
    <col min="13" max="13" width="12.2222222222222" customWidth="1"/>
    <col min="14" max="14" width="12.3333333333333" customWidth="1"/>
    <col min="15" max="15" width="12.3240740740741" customWidth="1"/>
    <col min="18" max="18" width="11.6666666666667" customWidth="1"/>
  </cols>
  <sheetData>
    <row r="1" customHeight="1" spans="1:19">
      <c r="A1" s="1" t="s">
        <v>67</v>
      </c>
      <c r="B1" s="1" t="s">
        <v>68</v>
      </c>
      <c r="C1" s="2" t="s">
        <v>69</v>
      </c>
      <c r="D1" s="3" t="s">
        <v>70</v>
      </c>
      <c r="E1" s="3" t="s">
        <v>71</v>
      </c>
      <c r="F1" s="4" t="s">
        <v>72</v>
      </c>
      <c r="G1" s="3" t="s">
        <v>73</v>
      </c>
      <c r="H1" s="4" t="s">
        <v>74</v>
      </c>
      <c r="I1" s="4" t="s">
        <v>75</v>
      </c>
      <c r="J1" s="3" t="s">
        <v>76</v>
      </c>
      <c r="K1" s="4" t="s">
        <v>77</v>
      </c>
      <c r="L1" s="4" t="s">
        <v>78</v>
      </c>
      <c r="M1" s="9" t="s">
        <v>79</v>
      </c>
      <c r="N1" s="2" t="s">
        <v>80</v>
      </c>
      <c r="O1" s="2" t="s">
        <v>81</v>
      </c>
      <c r="P1" s="6"/>
      <c r="Q1" s="9" t="s">
        <v>82</v>
      </c>
      <c r="R1" s="10">
        <v>45095</v>
      </c>
      <c r="S1" s="11"/>
    </row>
    <row r="2" customHeight="1" spans="1:19">
      <c r="A2" s="5"/>
      <c r="B2" s="5"/>
      <c r="C2" s="6"/>
      <c r="D2" s="6">
        <v>0</v>
      </c>
      <c r="E2" s="6">
        <v>3</v>
      </c>
      <c r="F2" s="7">
        <f t="shared" ref="F2:F21" si="0">D2/E2</f>
        <v>0</v>
      </c>
      <c r="G2" s="6">
        <v>300</v>
      </c>
      <c r="H2" s="7">
        <f t="shared" ref="H2:H21" si="1">G2+D2-E2*$S$2</f>
        <v>204</v>
      </c>
      <c r="I2" s="7">
        <f t="shared" ref="I2:I21" si="2">H2/E2</f>
        <v>68</v>
      </c>
      <c r="J2" s="6">
        <v>300</v>
      </c>
      <c r="K2" s="7">
        <f>J2+H2-E2*S4</f>
        <v>411</v>
      </c>
      <c r="L2" s="7">
        <f t="shared" ref="L2:L21" si="3">K2/E2</f>
        <v>137</v>
      </c>
      <c r="M2" s="10">
        <v>45163</v>
      </c>
      <c r="N2" s="10">
        <f t="shared" ref="N2:N21" si="4">DATE(YEAR(M2),MONTH(M2),DAY(M2)+L2)</f>
        <v>45300</v>
      </c>
      <c r="O2" s="10">
        <f t="shared" ref="O2:O21" si="5">DATE(YEAR(N2),MONTH(N2),DAY(N2)-90)</f>
        <v>45210</v>
      </c>
      <c r="P2" s="6"/>
      <c r="Q2" s="1"/>
      <c r="R2" s="1" t="s">
        <v>83</v>
      </c>
      <c r="S2" s="6">
        <f>_xlfn.DAYS(R3,R1)</f>
        <v>32</v>
      </c>
    </row>
    <row r="3" customHeight="1" spans="1:19">
      <c r="A3" s="5"/>
      <c r="B3" s="5"/>
      <c r="C3" s="6"/>
      <c r="D3" s="6">
        <v>0</v>
      </c>
      <c r="E3" s="6">
        <v>3</v>
      </c>
      <c r="F3" s="7">
        <f t="shared" si="0"/>
        <v>0</v>
      </c>
      <c r="G3" s="6">
        <v>300</v>
      </c>
      <c r="H3" s="7">
        <f t="shared" si="1"/>
        <v>204</v>
      </c>
      <c r="I3" s="7">
        <f t="shared" si="2"/>
        <v>68</v>
      </c>
      <c r="J3" s="6">
        <v>300</v>
      </c>
      <c r="K3" s="7">
        <f>J3+H3-E3*S4</f>
        <v>411</v>
      </c>
      <c r="L3" s="7">
        <f t="shared" si="3"/>
        <v>137</v>
      </c>
      <c r="M3" s="10">
        <v>45163</v>
      </c>
      <c r="N3" s="10">
        <f t="shared" si="4"/>
        <v>45300</v>
      </c>
      <c r="O3" s="10">
        <f t="shared" si="5"/>
        <v>45210</v>
      </c>
      <c r="P3" s="6"/>
      <c r="Q3" s="9" t="s">
        <v>84</v>
      </c>
      <c r="R3" s="10">
        <v>45127</v>
      </c>
      <c r="S3" s="6"/>
    </row>
    <row r="4" customHeight="1" spans="1:19">
      <c r="A4" s="5"/>
      <c r="B4" s="5"/>
      <c r="C4" s="6"/>
      <c r="D4" s="6">
        <v>0</v>
      </c>
      <c r="E4" s="6">
        <v>3</v>
      </c>
      <c r="F4" s="7">
        <f t="shared" si="0"/>
        <v>0</v>
      </c>
      <c r="G4" s="6">
        <v>300</v>
      </c>
      <c r="H4" s="7">
        <f t="shared" si="1"/>
        <v>204</v>
      </c>
      <c r="I4" s="7">
        <f t="shared" si="2"/>
        <v>68</v>
      </c>
      <c r="J4" s="6">
        <v>300</v>
      </c>
      <c r="K4" s="7">
        <f>J4+H4-E4*S4</f>
        <v>411</v>
      </c>
      <c r="L4" s="7">
        <f t="shared" si="3"/>
        <v>137</v>
      </c>
      <c r="M4" s="10">
        <v>45163</v>
      </c>
      <c r="N4" s="10">
        <f t="shared" si="4"/>
        <v>45300</v>
      </c>
      <c r="O4" s="10">
        <f t="shared" si="5"/>
        <v>45210</v>
      </c>
      <c r="P4" s="6"/>
      <c r="Q4" s="6"/>
      <c r="R4" s="1" t="s">
        <v>83</v>
      </c>
      <c r="S4" s="6">
        <f>R5-R3</f>
        <v>31</v>
      </c>
    </row>
    <row r="5" customHeight="1" spans="1:19">
      <c r="A5" s="5"/>
      <c r="B5" s="5"/>
      <c r="C5" s="6"/>
      <c r="D5" s="6">
        <v>0</v>
      </c>
      <c r="E5" s="6">
        <v>3</v>
      </c>
      <c r="F5" s="7">
        <f t="shared" si="0"/>
        <v>0</v>
      </c>
      <c r="G5" s="6">
        <v>300</v>
      </c>
      <c r="H5" s="7">
        <f t="shared" si="1"/>
        <v>204</v>
      </c>
      <c r="I5" s="7">
        <f t="shared" si="2"/>
        <v>68</v>
      </c>
      <c r="J5" s="6">
        <v>300</v>
      </c>
      <c r="K5" s="7">
        <f>J5+H5-E5*S4</f>
        <v>411</v>
      </c>
      <c r="L5" s="7">
        <f t="shared" si="3"/>
        <v>137</v>
      </c>
      <c r="M5" s="10">
        <v>45163</v>
      </c>
      <c r="N5" s="10">
        <f t="shared" si="4"/>
        <v>45300</v>
      </c>
      <c r="O5" s="10">
        <f t="shared" si="5"/>
        <v>45210</v>
      </c>
      <c r="P5" s="6"/>
      <c r="Q5" s="9" t="s">
        <v>85</v>
      </c>
      <c r="R5" s="10">
        <v>45158</v>
      </c>
      <c r="S5" s="6"/>
    </row>
    <row r="6" customHeight="1" spans="1:19">
      <c r="A6" s="5"/>
      <c r="B6" s="5"/>
      <c r="C6" s="6"/>
      <c r="D6" s="6">
        <v>0</v>
      </c>
      <c r="E6" s="6">
        <v>3</v>
      </c>
      <c r="F6" s="7">
        <f t="shared" si="0"/>
        <v>0</v>
      </c>
      <c r="G6" s="6">
        <v>300</v>
      </c>
      <c r="H6" s="7">
        <f t="shared" si="1"/>
        <v>204</v>
      </c>
      <c r="I6" s="7">
        <f t="shared" si="2"/>
        <v>68</v>
      </c>
      <c r="J6" s="6">
        <v>300</v>
      </c>
      <c r="K6" s="7">
        <f>J6+H6-E6*S4</f>
        <v>411</v>
      </c>
      <c r="L6" s="7">
        <f t="shared" si="3"/>
        <v>137</v>
      </c>
      <c r="M6" s="10">
        <v>45163</v>
      </c>
      <c r="N6" s="10">
        <f t="shared" si="4"/>
        <v>45300</v>
      </c>
      <c r="O6" s="10">
        <f t="shared" si="5"/>
        <v>45210</v>
      </c>
      <c r="P6" s="6"/>
      <c r="Q6" s="6"/>
      <c r="R6" s="6"/>
      <c r="S6" s="6"/>
    </row>
    <row r="7" customHeight="1" spans="1:19">
      <c r="A7" s="5"/>
      <c r="B7" s="5"/>
      <c r="C7" s="6"/>
      <c r="D7" s="6">
        <v>0</v>
      </c>
      <c r="E7" s="6">
        <v>9</v>
      </c>
      <c r="F7" s="7">
        <f t="shared" si="0"/>
        <v>0</v>
      </c>
      <c r="G7" s="6">
        <v>600</v>
      </c>
      <c r="H7" s="7">
        <f t="shared" si="1"/>
        <v>312</v>
      </c>
      <c r="I7" s="7">
        <f t="shared" si="2"/>
        <v>34.6666666666667</v>
      </c>
      <c r="J7" s="6">
        <v>600</v>
      </c>
      <c r="K7" s="7">
        <f t="shared" ref="K7:K21" si="6">J7+H7-E7*S4</f>
        <v>633</v>
      </c>
      <c r="L7" s="7">
        <f t="shared" si="3"/>
        <v>70.3333333333333</v>
      </c>
      <c r="M7" s="10">
        <v>45163</v>
      </c>
      <c r="N7" s="10">
        <f t="shared" si="4"/>
        <v>45233</v>
      </c>
      <c r="O7" s="10">
        <f t="shared" si="5"/>
        <v>45143</v>
      </c>
      <c r="P7" s="6"/>
      <c r="Q7" s="6"/>
      <c r="R7" s="6"/>
      <c r="S7" s="6"/>
    </row>
    <row r="8" customHeight="1" spans="1:19">
      <c r="A8" s="1"/>
      <c r="B8" s="1"/>
      <c r="C8" s="6"/>
      <c r="D8" s="6">
        <v>0</v>
      </c>
      <c r="E8" s="6">
        <v>9</v>
      </c>
      <c r="F8" s="7">
        <f t="shared" si="0"/>
        <v>0</v>
      </c>
      <c r="G8" s="6">
        <v>600</v>
      </c>
      <c r="H8" s="7">
        <f t="shared" si="1"/>
        <v>312</v>
      </c>
      <c r="I8" s="7">
        <f t="shared" si="2"/>
        <v>34.6666666666667</v>
      </c>
      <c r="J8" s="6">
        <v>600</v>
      </c>
      <c r="K8" s="7">
        <f t="shared" si="6"/>
        <v>912</v>
      </c>
      <c r="L8" s="7">
        <f t="shared" si="3"/>
        <v>101.333333333333</v>
      </c>
      <c r="M8" s="10">
        <v>45163</v>
      </c>
      <c r="N8" s="10">
        <f t="shared" si="4"/>
        <v>45264</v>
      </c>
      <c r="O8" s="10">
        <f t="shared" si="5"/>
        <v>45174</v>
      </c>
      <c r="P8" s="6"/>
      <c r="Q8" s="6"/>
      <c r="R8" s="6"/>
      <c r="S8" s="6"/>
    </row>
    <row r="9" customHeight="1" spans="1:15">
      <c r="A9" s="8"/>
      <c r="B9" s="8"/>
      <c r="C9" s="8"/>
      <c r="D9" s="6">
        <v>0</v>
      </c>
      <c r="E9" s="6">
        <v>9</v>
      </c>
      <c r="F9" s="7">
        <f t="shared" si="0"/>
        <v>0</v>
      </c>
      <c r="G9" s="6">
        <v>600</v>
      </c>
      <c r="H9" s="7">
        <f t="shared" si="1"/>
        <v>312</v>
      </c>
      <c r="I9" s="7">
        <f t="shared" si="2"/>
        <v>34.6666666666667</v>
      </c>
      <c r="J9" s="6">
        <v>600</v>
      </c>
      <c r="K9" s="7">
        <f t="shared" si="6"/>
        <v>912</v>
      </c>
      <c r="L9" s="7">
        <f t="shared" si="3"/>
        <v>101.333333333333</v>
      </c>
      <c r="M9" s="10">
        <v>45163</v>
      </c>
      <c r="N9" s="10">
        <f t="shared" si="4"/>
        <v>45264</v>
      </c>
      <c r="O9" s="10">
        <f t="shared" si="5"/>
        <v>45174</v>
      </c>
    </row>
    <row r="10" customHeight="1" spans="1:15">
      <c r="A10" s="8"/>
      <c r="B10" s="8"/>
      <c r="C10" s="8"/>
      <c r="D10" s="6">
        <v>0</v>
      </c>
      <c r="E10" s="6">
        <v>9</v>
      </c>
      <c r="F10" s="7">
        <f t="shared" si="0"/>
        <v>0</v>
      </c>
      <c r="G10" s="6">
        <v>600</v>
      </c>
      <c r="H10" s="7">
        <f t="shared" si="1"/>
        <v>312</v>
      </c>
      <c r="I10" s="7">
        <f t="shared" si="2"/>
        <v>34.6666666666667</v>
      </c>
      <c r="J10" s="6">
        <v>600</v>
      </c>
      <c r="K10" s="7">
        <f t="shared" si="6"/>
        <v>912</v>
      </c>
      <c r="L10" s="7">
        <f t="shared" si="3"/>
        <v>101.333333333333</v>
      </c>
      <c r="M10" s="10">
        <v>45163</v>
      </c>
      <c r="N10" s="10">
        <f t="shared" si="4"/>
        <v>45264</v>
      </c>
      <c r="O10" s="10">
        <f t="shared" si="5"/>
        <v>45174</v>
      </c>
    </row>
    <row r="11" customHeight="1" spans="1:15">
      <c r="A11" s="8"/>
      <c r="B11" s="8"/>
      <c r="C11" s="8"/>
      <c r="D11" s="6">
        <v>0</v>
      </c>
      <c r="E11" s="6">
        <v>9</v>
      </c>
      <c r="F11" s="7">
        <f t="shared" si="0"/>
        <v>0</v>
      </c>
      <c r="G11" s="6">
        <v>600</v>
      </c>
      <c r="H11" s="7">
        <f t="shared" si="1"/>
        <v>312</v>
      </c>
      <c r="I11" s="7">
        <f t="shared" si="2"/>
        <v>34.6666666666667</v>
      </c>
      <c r="J11" s="6">
        <v>600</v>
      </c>
      <c r="K11" s="7">
        <f t="shared" si="6"/>
        <v>912</v>
      </c>
      <c r="L11" s="7">
        <f t="shared" si="3"/>
        <v>101.333333333333</v>
      </c>
      <c r="M11" s="10">
        <v>45163</v>
      </c>
      <c r="N11" s="10">
        <f t="shared" si="4"/>
        <v>45264</v>
      </c>
      <c r="O11" s="10">
        <f t="shared" si="5"/>
        <v>45174</v>
      </c>
    </row>
    <row r="12" customHeight="1" spans="1:15">
      <c r="A12" s="8"/>
      <c r="B12" s="8"/>
      <c r="C12" s="8"/>
      <c r="D12" s="6">
        <v>0</v>
      </c>
      <c r="E12" s="6">
        <v>9</v>
      </c>
      <c r="F12" s="7">
        <f t="shared" si="0"/>
        <v>0</v>
      </c>
      <c r="G12" s="6">
        <v>600</v>
      </c>
      <c r="H12" s="7">
        <f t="shared" si="1"/>
        <v>312</v>
      </c>
      <c r="I12" s="7">
        <f t="shared" si="2"/>
        <v>34.6666666666667</v>
      </c>
      <c r="J12" s="6">
        <v>600</v>
      </c>
      <c r="K12" s="7">
        <f t="shared" si="6"/>
        <v>912</v>
      </c>
      <c r="L12" s="7">
        <f t="shared" si="3"/>
        <v>101.333333333333</v>
      </c>
      <c r="M12" s="10">
        <v>45163</v>
      </c>
      <c r="N12" s="10">
        <f t="shared" si="4"/>
        <v>45264</v>
      </c>
      <c r="O12" s="10">
        <f t="shared" si="5"/>
        <v>45174</v>
      </c>
    </row>
    <row r="13" customHeight="1" spans="1:15">
      <c r="A13" s="8"/>
      <c r="B13" s="8"/>
      <c r="C13" s="8"/>
      <c r="D13" s="6">
        <v>0</v>
      </c>
      <c r="E13" s="6">
        <v>9</v>
      </c>
      <c r="F13" s="7">
        <f t="shared" si="0"/>
        <v>0</v>
      </c>
      <c r="G13" s="6">
        <v>600</v>
      </c>
      <c r="H13" s="7">
        <f t="shared" si="1"/>
        <v>312</v>
      </c>
      <c r="I13" s="7">
        <f t="shared" si="2"/>
        <v>34.6666666666667</v>
      </c>
      <c r="J13" s="6">
        <v>600</v>
      </c>
      <c r="K13" s="7">
        <f t="shared" si="6"/>
        <v>912</v>
      </c>
      <c r="L13" s="7">
        <f t="shared" si="3"/>
        <v>101.333333333333</v>
      </c>
      <c r="M13" s="10">
        <v>45163</v>
      </c>
      <c r="N13" s="10">
        <f t="shared" si="4"/>
        <v>45264</v>
      </c>
      <c r="O13" s="10">
        <f t="shared" si="5"/>
        <v>45174</v>
      </c>
    </row>
    <row r="14" customHeight="1" spans="1:15">
      <c r="A14" s="8"/>
      <c r="B14" s="8"/>
      <c r="C14" s="8"/>
      <c r="D14" s="6">
        <v>0</v>
      </c>
      <c r="E14" s="6">
        <v>9</v>
      </c>
      <c r="F14" s="7">
        <f t="shared" si="0"/>
        <v>0</v>
      </c>
      <c r="G14" s="6">
        <v>600</v>
      </c>
      <c r="H14" s="7">
        <f t="shared" si="1"/>
        <v>312</v>
      </c>
      <c r="I14" s="7">
        <f t="shared" si="2"/>
        <v>34.6666666666667</v>
      </c>
      <c r="J14" s="6">
        <v>600</v>
      </c>
      <c r="K14" s="7">
        <f t="shared" si="6"/>
        <v>912</v>
      </c>
      <c r="L14" s="7">
        <f t="shared" si="3"/>
        <v>101.333333333333</v>
      </c>
      <c r="M14" s="10">
        <v>45163</v>
      </c>
      <c r="N14" s="10">
        <f t="shared" si="4"/>
        <v>45264</v>
      </c>
      <c r="O14" s="10">
        <f t="shared" si="5"/>
        <v>45174</v>
      </c>
    </row>
    <row r="15" customHeight="1" spans="1:15">
      <c r="A15" s="8"/>
      <c r="B15" s="8"/>
      <c r="C15" s="8"/>
      <c r="D15" s="6">
        <v>0</v>
      </c>
      <c r="E15" s="6">
        <v>9</v>
      </c>
      <c r="F15" s="7">
        <f t="shared" si="0"/>
        <v>0</v>
      </c>
      <c r="G15" s="6">
        <v>600</v>
      </c>
      <c r="H15" s="7">
        <f t="shared" si="1"/>
        <v>312</v>
      </c>
      <c r="I15" s="7">
        <f t="shared" si="2"/>
        <v>34.6666666666667</v>
      </c>
      <c r="J15" s="6">
        <v>600</v>
      </c>
      <c r="K15" s="7">
        <f t="shared" si="6"/>
        <v>912</v>
      </c>
      <c r="L15" s="7">
        <f t="shared" si="3"/>
        <v>101.333333333333</v>
      </c>
      <c r="M15" s="10">
        <v>45163</v>
      </c>
      <c r="N15" s="10">
        <f t="shared" si="4"/>
        <v>45264</v>
      </c>
      <c r="O15" s="10">
        <f t="shared" si="5"/>
        <v>45174</v>
      </c>
    </row>
    <row r="16" customHeight="1" spans="1:15">
      <c r="A16" s="8"/>
      <c r="B16" s="8"/>
      <c r="C16" s="8"/>
      <c r="D16" s="6">
        <v>0</v>
      </c>
      <c r="E16" s="6">
        <v>9</v>
      </c>
      <c r="F16" s="7">
        <f t="shared" si="0"/>
        <v>0</v>
      </c>
      <c r="G16" s="6">
        <v>600</v>
      </c>
      <c r="H16" s="7">
        <f t="shared" si="1"/>
        <v>312</v>
      </c>
      <c r="I16" s="7">
        <f t="shared" si="2"/>
        <v>34.6666666666667</v>
      </c>
      <c r="J16" s="6">
        <v>600</v>
      </c>
      <c r="K16" s="7">
        <f t="shared" si="6"/>
        <v>912</v>
      </c>
      <c r="L16" s="7">
        <f t="shared" si="3"/>
        <v>101.333333333333</v>
      </c>
      <c r="M16" s="10">
        <v>45163</v>
      </c>
      <c r="N16" s="10">
        <f t="shared" si="4"/>
        <v>45264</v>
      </c>
      <c r="O16" s="10">
        <f t="shared" si="5"/>
        <v>45174</v>
      </c>
    </row>
    <row r="17" customHeight="1" spans="1:15">
      <c r="A17" s="8"/>
      <c r="B17" s="8"/>
      <c r="C17" s="8"/>
      <c r="D17" s="6">
        <v>0</v>
      </c>
      <c r="E17" s="6">
        <v>9</v>
      </c>
      <c r="F17" s="7">
        <f t="shared" si="0"/>
        <v>0</v>
      </c>
      <c r="G17" s="6">
        <v>600</v>
      </c>
      <c r="H17" s="7">
        <f t="shared" si="1"/>
        <v>312</v>
      </c>
      <c r="I17" s="7">
        <f t="shared" si="2"/>
        <v>34.6666666666667</v>
      </c>
      <c r="J17" s="6">
        <v>600</v>
      </c>
      <c r="K17" s="7">
        <f t="shared" si="6"/>
        <v>912</v>
      </c>
      <c r="L17" s="7">
        <f t="shared" si="3"/>
        <v>101.333333333333</v>
      </c>
      <c r="M17" s="10">
        <v>45163</v>
      </c>
      <c r="N17" s="10">
        <f t="shared" si="4"/>
        <v>45264</v>
      </c>
      <c r="O17" s="10">
        <f t="shared" si="5"/>
        <v>45174</v>
      </c>
    </row>
    <row r="18" customHeight="1" spans="1:15">
      <c r="A18" s="8"/>
      <c r="B18" s="8"/>
      <c r="C18" s="8"/>
      <c r="D18" s="6">
        <v>0</v>
      </c>
      <c r="E18" s="6">
        <v>9</v>
      </c>
      <c r="F18" s="7">
        <f t="shared" si="0"/>
        <v>0</v>
      </c>
      <c r="G18" s="6">
        <v>600</v>
      </c>
      <c r="H18" s="7">
        <f t="shared" si="1"/>
        <v>312</v>
      </c>
      <c r="I18" s="7">
        <f t="shared" si="2"/>
        <v>34.6666666666667</v>
      </c>
      <c r="J18" s="6">
        <v>600</v>
      </c>
      <c r="K18" s="7">
        <f t="shared" si="6"/>
        <v>912</v>
      </c>
      <c r="L18" s="7">
        <f t="shared" si="3"/>
        <v>101.333333333333</v>
      </c>
      <c r="M18" s="10">
        <v>45163</v>
      </c>
      <c r="N18" s="10">
        <f t="shared" si="4"/>
        <v>45264</v>
      </c>
      <c r="O18" s="10">
        <f t="shared" si="5"/>
        <v>45174</v>
      </c>
    </row>
    <row r="19" customHeight="1" spans="1:15">
      <c r="A19" s="8"/>
      <c r="B19" s="8"/>
      <c r="C19" s="8"/>
      <c r="D19" s="6">
        <v>0</v>
      </c>
      <c r="E19" s="6">
        <v>9</v>
      </c>
      <c r="F19" s="7">
        <f t="shared" si="0"/>
        <v>0</v>
      </c>
      <c r="G19" s="6">
        <v>600</v>
      </c>
      <c r="H19" s="7">
        <f t="shared" si="1"/>
        <v>312</v>
      </c>
      <c r="I19" s="7">
        <f t="shared" si="2"/>
        <v>34.6666666666667</v>
      </c>
      <c r="J19" s="6">
        <v>600</v>
      </c>
      <c r="K19" s="7">
        <f t="shared" si="6"/>
        <v>912</v>
      </c>
      <c r="L19" s="7">
        <f t="shared" si="3"/>
        <v>101.333333333333</v>
      </c>
      <c r="M19" s="10">
        <v>45163</v>
      </c>
      <c r="N19" s="10">
        <f t="shared" si="4"/>
        <v>45264</v>
      </c>
      <c r="O19" s="10">
        <f t="shared" si="5"/>
        <v>45174</v>
      </c>
    </row>
    <row r="20" customHeight="1" spans="1:15">
      <c r="A20" s="8"/>
      <c r="B20" s="8"/>
      <c r="C20" s="8"/>
      <c r="D20" s="6">
        <v>0</v>
      </c>
      <c r="E20" s="6">
        <v>9</v>
      </c>
      <c r="F20" s="7">
        <f t="shared" si="0"/>
        <v>0</v>
      </c>
      <c r="G20" s="6">
        <v>600</v>
      </c>
      <c r="H20" s="7">
        <f t="shared" si="1"/>
        <v>312</v>
      </c>
      <c r="I20" s="7">
        <f t="shared" si="2"/>
        <v>34.6666666666667</v>
      </c>
      <c r="J20" s="6">
        <v>600</v>
      </c>
      <c r="K20" s="7">
        <f t="shared" si="6"/>
        <v>912</v>
      </c>
      <c r="L20" s="7">
        <f t="shared" si="3"/>
        <v>101.333333333333</v>
      </c>
      <c r="M20" s="10">
        <v>45163</v>
      </c>
      <c r="N20" s="10">
        <f t="shared" si="4"/>
        <v>45264</v>
      </c>
      <c r="O20" s="10">
        <f t="shared" si="5"/>
        <v>45174</v>
      </c>
    </row>
    <row r="21" customHeight="1" spans="1:15">
      <c r="A21" s="8"/>
      <c r="B21" s="8"/>
      <c r="C21" s="8"/>
      <c r="D21" s="6">
        <v>0</v>
      </c>
      <c r="E21" s="6">
        <v>9</v>
      </c>
      <c r="F21" s="7">
        <f t="shared" si="0"/>
        <v>0</v>
      </c>
      <c r="G21" s="6">
        <v>600</v>
      </c>
      <c r="H21" s="7">
        <f t="shared" si="1"/>
        <v>312</v>
      </c>
      <c r="I21" s="7">
        <f t="shared" si="2"/>
        <v>34.6666666666667</v>
      </c>
      <c r="J21" s="6">
        <v>600</v>
      </c>
      <c r="K21" s="7">
        <f t="shared" si="6"/>
        <v>912</v>
      </c>
      <c r="L21" s="7">
        <f t="shared" si="3"/>
        <v>101.333333333333</v>
      </c>
      <c r="M21" s="10">
        <v>45163</v>
      </c>
      <c r="N21" s="10">
        <f t="shared" si="4"/>
        <v>45264</v>
      </c>
      <c r="O21" s="10">
        <f t="shared" si="5"/>
        <v>45174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运营计划</vt:lpstr>
      <vt:lpstr>利润核算3</vt:lpstr>
      <vt:lpstr>利润核算 (2)</vt:lpstr>
      <vt:lpstr>利润核算 (1)</vt:lpstr>
      <vt:lpstr>补货计划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29728</dc:creator>
  <cp:lastModifiedBy>Anywhere</cp:lastModifiedBy>
  <dcterms:created xsi:type="dcterms:W3CDTF">2023-07-20T18:35:00Z</dcterms:created>
  <dcterms:modified xsi:type="dcterms:W3CDTF">2025-07-11T01:19:08Z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3BD300C78F6C4BBCB18D2BC8ADD30E69_13</vt:lpwstr>
  </property>
  <property fmtid="{D5CDD505-2E9C-101B-9397-08002B2CF9AE}" pid="3" name="KSOProductBuildVer">
    <vt:lpwstr>2052-12.1.0.21915</vt:lpwstr>
  </property>
</Properties>
</file>