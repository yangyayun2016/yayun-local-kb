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工具箱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<sst xmlns="http://schemas.openxmlformats.org/spreadsheetml/2006/main" count="27" uniqueCount="26">
  <si>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ACOS计算器</t>
  </si>
  <si>
    <t>产品利润计算器</t>
  </si>
  <si>
    <t>REVIEW评分计算器</t>
  </si>
  <si>
    <t>关键词</t>
  </si>
  <si>
    <t>拿货价</t>
  </si>
  <si>
    <t>5 stars</t>
  </si>
  <si>
    <t>预估竞价</t>
  </si>
  <si>
    <t>运费</t>
  </si>
  <si>
    <t>4 stars</t>
  </si>
  <si>
    <t>产品单价</t>
  </si>
  <si>
    <t>汇率</t>
  </si>
  <si>
    <t>3 stars</t>
  </si>
  <si>
    <t>产品转化率</t>
  </si>
  <si>
    <t>配送费</t>
  </si>
  <si>
    <t>2 stars</t>
  </si>
  <si>
    <t>利润率</t>
  </si>
  <si>
    <t>最低售价</t>
  </si>
  <si>
    <t>1 stars</t>
  </si>
  <si>
    <t>ACOS</t>
  </si>
  <si>
    <t>当前售价</t>
  </si>
  <si>
    <t>当前分数</t>
  </si>
  <si>
    <t>利润</t>
  </si>
  <si>
    <t>目标分数</t>
  </si>
  <si>
    <t>需补五星</t>
  </si>
  <si>
    <r>
      <rPr>
        <sz val="11"/>
        <color theme="0" tint="-0.149998474074526"/>
        <rFont val="等线"/>
        <charset val="134"/>
      </rPr>
      <t xml:space="preserve">Power by </t>
    </r>
    <r>
      <rPr>
        <sz val="11"/>
        <color theme="0" tint="-0.149998474074526"/>
        <rFont val="宋体"/>
        <charset val="134"/>
        <scheme val="major"/>
      </rPr>
      <t>一只大禽兽</t>
    </r>
  </si>
  <si>
    <t xml:space="preserve">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</si>
</sst>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  <numFmt numFmtId="177" formatCode="\$#,##0.00;\-\$#,##0.00"/>
    <numFmt numFmtId="178" formatCode="0.0%"/>
    <numFmt numFmtId="179" formatCode="0.0"/>
  </numFmts>
  <fonts count="28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20"/>
      <color theme="5"/>
      <name val="微软雅黑"/>
      <charset val="134"/>
    </font>
    <font>
      <sz val="20"/>
      <color theme="4" tint="-0.249977111117893"/>
      <name val="微软雅黑"/>
      <charset val="134"/>
    </font>
    <font>
      <b/>
      <sz val="14"/>
      <color theme="1"/>
      <name val="等线"/>
      <charset val="134"/>
    </font>
    <font>
      <sz val="20"/>
      <color theme="0"/>
      <name val="微软雅黑"/>
      <charset val="134"/>
    </font>
    <font>
      <sz val="11"/>
      <color theme="0" tint="-0.0499893185216834"/>
      <name val="等线"/>
      <charset val="134"/>
    </font>
    <font>
      <sz val="11"/>
      <color theme="0" tint="-0.149998474074526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 tint="-0.149998474074526"/>
      <name val="宋体"/>
      <charset val="134"/>
      <scheme val="maj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theme="0" tint="-0.14996795556505"/>
      </left>
      <right style="double">
        <color theme="0" tint="-0.14996795556505"/>
      </right>
      <top style="double">
        <color theme="0" tint="-0.14996795556505"/>
      </top>
      <bottom style="double">
        <color theme="0" tint="-0.14996795556505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double">
        <color theme="0" tint="-0.149937437055574"/>
      </left>
      <right/>
      <top style="double">
        <color theme="0" tint="-0.149937437055574"/>
      </top>
      <bottom style="double">
        <color theme="0" tint="-0.149937437055574"/>
      </bottom>
      <diagonal/>
    </border>
    <border>
      <left/>
      <right/>
      <top style="double">
        <color theme="0" tint="-0.149937437055574"/>
      </top>
      <bottom style="double">
        <color theme="0" tint="-0.14993743705557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double">
        <color theme="0" tint="-0.149937437055574"/>
      </right>
      <top style="double">
        <color theme="0" tint="-0.149937437055574"/>
      </top>
      <bottom style="double">
        <color theme="0" tint="-0.14993743705557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17" applyNumberFormat="0" applyAlignment="0" applyProtection="0">
      <alignment vertical="center"/>
    </xf>
    <xf numFmtId="0" fontId="17" fillId="9" borderId="18" applyNumberFormat="0" applyAlignment="0" applyProtection="0">
      <alignment vertical="center"/>
    </xf>
    <xf numFmtId="0" fontId="18" fillId="9" borderId="17" applyNumberFormat="0" applyAlignment="0" applyProtection="0">
      <alignment vertical="center"/>
    </xf>
    <xf numFmtId="0" fontId="19" fillId="10" borderId="19" applyNumberFormat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Protection="1">
      <alignment vertical="center"/>
    </xf>
    <xf numFmtId="0" fontId="1" fillId="2" borderId="1" xfId="0" applyFont="1" applyFill="1" applyBorder="1" applyProtection="1">
      <alignment vertical="center"/>
    </xf>
    <xf numFmtId="0" fontId="1" fillId="2" borderId="2" xfId="0" applyFont="1" applyFill="1" applyBorder="1" applyProtection="1">
      <alignment vertical="center"/>
    </xf>
    <xf numFmtId="0" fontId="1" fillId="2" borderId="3" xfId="0" applyFont="1" applyFill="1" applyBorder="1" applyProtection="1">
      <alignment vertical="center"/>
    </xf>
    <xf numFmtId="0" fontId="1" fillId="2" borderId="0" xfId="0" applyFont="1" applyFill="1" applyBorder="1" applyProtection="1">
      <alignment vertical="center"/>
    </xf>
    <xf numFmtId="0" fontId="2" fillId="3" borderId="4" xfId="0" applyFont="1" applyFill="1" applyBorder="1" applyAlignment="1" applyProtection="1">
      <alignment vertical="center"/>
    </xf>
    <xf numFmtId="0" fontId="1" fillId="2" borderId="5" xfId="0" applyFont="1" applyFill="1" applyBorder="1" applyProtection="1">
      <alignment vertical="center"/>
    </xf>
    <xf numFmtId="0" fontId="3" fillId="4" borderId="4" xfId="0" applyFont="1" applyFill="1" applyBorder="1" applyProtection="1">
      <alignment vertical="center"/>
    </xf>
    <xf numFmtId="0" fontId="2" fillId="2" borderId="0" xfId="0" applyFont="1" applyFill="1" applyBorder="1" applyAlignment="1" applyProtection="1">
      <alignment vertical="center"/>
    </xf>
    <xf numFmtId="0" fontId="3" fillId="2" borderId="0" xfId="0" applyFont="1" applyFill="1" applyBorder="1" applyProtection="1">
      <alignment vertical="center"/>
    </xf>
    <xf numFmtId="176" fontId="1" fillId="5" borderId="6" xfId="0" applyNumberFormat="1" applyFont="1" applyFill="1" applyBorder="1" applyProtection="1">
      <alignment vertical="center"/>
      <protection locked="0"/>
    </xf>
    <xf numFmtId="177" fontId="1" fillId="5" borderId="6" xfId="0" applyNumberFormat="1" applyFont="1" applyFill="1" applyBorder="1" applyProtection="1">
      <alignment vertical="center"/>
      <protection locked="0"/>
    </xf>
    <xf numFmtId="10" fontId="1" fillId="5" borderId="6" xfId="3" applyNumberFormat="1" applyFont="1" applyFill="1" applyBorder="1" applyProtection="1">
      <alignment vertical="center"/>
      <protection locked="0"/>
    </xf>
    <xf numFmtId="177" fontId="1" fillId="2" borderId="0" xfId="0" applyNumberFormat="1" applyFont="1" applyFill="1" applyBorder="1" applyProtection="1">
      <alignment vertical="center"/>
    </xf>
    <xf numFmtId="10" fontId="1" fillId="2" borderId="0" xfId="3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center" vertical="center"/>
    </xf>
    <xf numFmtId="176" fontId="1" fillId="2" borderId="0" xfId="0" applyNumberFormat="1" applyFont="1" applyFill="1" applyBorder="1" applyProtection="1">
      <alignment vertical="center"/>
    </xf>
    <xf numFmtId="0" fontId="4" fillId="2" borderId="4" xfId="0" applyFont="1" applyFill="1" applyBorder="1" applyAlignment="1" applyProtection="1">
      <alignment horizontal="center" vertical="center"/>
    </xf>
    <xf numFmtId="178" fontId="1" fillId="2" borderId="0" xfId="3" applyNumberFormat="1" applyFont="1" applyFill="1" applyBorder="1" applyProtection="1">
      <alignment vertical="center"/>
    </xf>
    <xf numFmtId="0" fontId="1" fillId="2" borderId="7" xfId="0" applyFont="1" applyFill="1" applyBorder="1" applyProtection="1">
      <alignment vertical="center"/>
    </xf>
    <xf numFmtId="0" fontId="1" fillId="2" borderId="4" xfId="0" applyFont="1" applyFill="1" applyBorder="1" applyProtection="1">
      <alignment vertical="center"/>
    </xf>
    <xf numFmtId="0" fontId="5" fillId="6" borderId="0" xfId="0" applyFont="1" applyFill="1" applyBorder="1" applyProtection="1">
      <alignment vertical="center"/>
    </xf>
    <xf numFmtId="0" fontId="1" fillId="6" borderId="0" xfId="0" applyFont="1" applyFill="1" applyBorder="1" applyProtection="1">
      <alignment vertical="center"/>
    </xf>
    <xf numFmtId="0" fontId="5" fillId="2" borderId="0" xfId="0" applyFont="1" applyFill="1" applyBorder="1" applyProtection="1">
      <alignment vertical="center"/>
    </xf>
    <xf numFmtId="0" fontId="1" fillId="5" borderId="8" xfId="0" applyNumberFormat="1" applyFont="1" applyFill="1" applyBorder="1" applyAlignment="1" applyProtection="1">
      <alignment horizontal="right"/>
      <protection locked="0"/>
    </xf>
    <xf numFmtId="0" fontId="1" fillId="5" borderId="9" xfId="0" applyNumberFormat="1" applyFont="1" applyFill="1" applyBorder="1" applyAlignment="1" applyProtection="1">
      <alignment horizontal="right"/>
      <protection locked="0"/>
    </xf>
    <xf numFmtId="179" fontId="6" fillId="2" borderId="0" xfId="0" applyNumberFormat="1" applyFont="1" applyFill="1" applyBorder="1" applyAlignment="1" applyProtection="1">
      <alignment horizontal="right" vertical="center"/>
    </xf>
    <xf numFmtId="0" fontId="6" fillId="2" borderId="0" xfId="0" applyFont="1" applyFill="1" applyBorder="1" applyProtection="1">
      <alignment vertical="center"/>
    </xf>
    <xf numFmtId="1" fontId="1" fillId="2" borderId="0" xfId="0" applyNumberFormat="1" applyFont="1" applyFill="1" applyBorder="1" applyAlignment="1" applyProtection="1">
      <alignment horizontal="right" vertical="center"/>
    </xf>
    <xf numFmtId="0" fontId="1" fillId="2" borderId="10" xfId="0" applyFont="1" applyFill="1" applyBorder="1" applyProtection="1">
      <alignment vertical="center"/>
    </xf>
    <xf numFmtId="0" fontId="1" fillId="2" borderId="11" xfId="0" applyFont="1" applyFill="1" applyBorder="1" applyProtection="1">
      <alignment vertical="center"/>
    </xf>
    <xf numFmtId="0" fontId="1" fillId="5" borderId="12" xfId="0" applyNumberFormat="1" applyFont="1" applyFill="1" applyBorder="1" applyAlignment="1" applyProtection="1">
      <alignment horizontal="right"/>
      <protection locked="0"/>
    </xf>
    <xf numFmtId="179" fontId="1" fillId="2" borderId="0" xfId="0" applyNumberFormat="1" applyFont="1" applyFill="1" applyBorder="1" applyAlignment="1" applyProtection="1">
      <alignment horizontal="right" vertical="center"/>
    </xf>
    <xf numFmtId="0" fontId="1" fillId="5" borderId="6" xfId="0" applyFont="1" applyFill="1" applyBorder="1" applyProtection="1">
      <alignment vertical="center"/>
      <protection locked="0"/>
    </xf>
    <xf numFmtId="0" fontId="1" fillId="2" borderId="13" xfId="0" applyFont="1" applyFill="1" applyBorder="1" applyProtection="1">
      <alignment vertical="center"/>
    </xf>
    <xf numFmtId="0" fontId="7" fillId="0" borderId="0" xfId="0" applyFont="1" applyAlignment="1" applyProtection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00B050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tencent://AddContact/?fromId=45&amp;fromSubId=1&amp;subcmd=all&amp;uin=635943996&amp;website=www.oicqzone.com/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579782</xdr:colOff>
      <xdr:row>22</xdr:row>
      <xdr:rowOff>33130</xdr:rowOff>
    </xdr:from>
    <xdr:to>
      <xdr:col>17</xdr:col>
      <xdr:colOff>679175</xdr:colOff>
      <xdr:row>23</xdr:row>
      <xdr:rowOff>57977</xdr:rowOff>
    </xdr:to>
    <xdr:sp>
      <xdr:nvSpPr>
        <xdr:cNvPr id="2" name="矩形 1">
          <a:hlinkClick xmlns:r="http://schemas.openxmlformats.org/officeDocument/2006/relationships" r:id="rId1"/>
        </xdr:cNvPr>
        <xdr:cNvSpPr/>
      </xdr:nvSpPr>
      <xdr:spPr>
        <a:xfrm>
          <a:off x="8399145" y="4130675"/>
          <a:ext cx="620395" cy="20002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 u="sng">
              <a:solidFill>
                <a:schemeClr val="bg1">
                  <a:lumMod val="85000"/>
                </a:schemeClr>
              </a:solidFill>
            </a:rPr>
            <a:t>点此联系</a:t>
          </a:r>
          <a:endParaRPr lang="zh-CN" altLang="en-US" sz="1100" u="sng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R23"/>
  <sheetViews>
    <sheetView showGridLines="0" tabSelected="1" zoomScale="129" zoomScaleNormal="129" workbookViewId="0">
      <selection activeCell="H10" sqref="H10"/>
    </sheetView>
  </sheetViews>
  <sheetFormatPr defaultColWidth="9" defaultRowHeight="13.8"/>
  <cols>
    <col min="1" max="2" width="9" style="1"/>
    <col min="3" max="3" width="10.3796296296296" style="1" customWidth="1"/>
    <col min="4" max="4" width="19.8796296296296" style="1" customWidth="1"/>
    <col min="5" max="5" width="3.62962962962963" style="1" customWidth="1"/>
    <col min="6" max="6" width="3.75" style="1" customWidth="1"/>
    <col min="7" max="7" width="14.1296296296296" style="1" customWidth="1"/>
    <col min="8" max="8" width="14" style="1" customWidth="1"/>
    <col min="9" max="9" width="3.75" style="1" customWidth="1"/>
    <col min="10" max="10" width="4" style="1" customWidth="1"/>
    <col min="11" max="11" width="8.75" style="1" customWidth="1"/>
    <col min="12" max="16" width="2.75" style="1" customWidth="1"/>
    <col min="17" max="17" width="8.5" style="1" customWidth="1"/>
    <col min="18" max="16384" width="9" style="1"/>
  </cols>
  <sheetData>
    <row r="4" ht="14.55"/>
    <row r="5" spans="2:18"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0"/>
    </row>
    <row r="6" spans="2:18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31"/>
    </row>
    <row r="7" ht="28.35" spans="2:18">
      <c r="B7" s="4"/>
      <c r="C7" s="6" t="s">
        <v>0</v>
      </c>
      <c r="D7" s="6"/>
      <c r="E7" s="5"/>
      <c r="F7" s="7"/>
      <c r="G7" s="8" t="s">
        <v>1</v>
      </c>
      <c r="H7" s="8"/>
      <c r="I7" s="5"/>
      <c r="J7" s="7"/>
      <c r="K7" s="22" t="s">
        <v>2</v>
      </c>
      <c r="L7" s="23"/>
      <c r="M7" s="23"/>
      <c r="N7" s="23"/>
      <c r="O7" s="23"/>
      <c r="P7" s="23"/>
      <c r="Q7" s="23"/>
      <c r="R7" s="31"/>
    </row>
    <row r="8" ht="5.25" customHeight="1" spans="2:18">
      <c r="B8" s="4"/>
      <c r="C8" s="9"/>
      <c r="D8" s="9"/>
      <c r="E8" s="5"/>
      <c r="F8" s="7"/>
      <c r="G8" s="10"/>
      <c r="H8" s="5"/>
      <c r="I8" s="5"/>
      <c r="J8" s="7"/>
      <c r="K8" s="24"/>
      <c r="L8" s="5"/>
      <c r="M8" s="5"/>
      <c r="N8" s="5"/>
      <c r="O8" s="5"/>
      <c r="P8" s="5"/>
      <c r="Q8" s="5"/>
      <c r="R8" s="31"/>
    </row>
    <row r="9" ht="15.3" spans="2:18">
      <c r="B9" s="4"/>
      <c r="C9" s="5" t="s">
        <v>3</v>
      </c>
      <c r="D9" s="11"/>
      <c r="E9" s="5"/>
      <c r="F9" s="7"/>
      <c r="G9" s="5" t="s">
        <v>4</v>
      </c>
      <c r="H9" s="11">
        <v>5</v>
      </c>
      <c r="I9" s="5"/>
      <c r="J9" s="7"/>
      <c r="K9" s="5" t="s">
        <v>5</v>
      </c>
      <c r="L9" s="25">
        <v>3</v>
      </c>
      <c r="M9" s="26"/>
      <c r="N9" s="26"/>
      <c r="O9" s="26"/>
      <c r="P9" s="26"/>
      <c r="Q9" s="32"/>
      <c r="R9" s="31"/>
    </row>
    <row r="10" ht="15.3" spans="2:18">
      <c r="B10" s="4"/>
      <c r="C10" s="5" t="s">
        <v>6</v>
      </c>
      <c r="D10" s="12">
        <v>4</v>
      </c>
      <c r="E10" s="5"/>
      <c r="F10" s="7"/>
      <c r="G10" s="5" t="s">
        <v>7</v>
      </c>
      <c r="H10" s="11">
        <v>1</v>
      </c>
      <c r="I10" s="5"/>
      <c r="J10" s="7"/>
      <c r="K10" s="5" t="s">
        <v>8</v>
      </c>
      <c r="L10" s="25">
        <v>1</v>
      </c>
      <c r="M10" s="26"/>
      <c r="N10" s="26"/>
      <c r="O10" s="26"/>
      <c r="P10" s="26"/>
      <c r="Q10" s="32"/>
      <c r="R10" s="31"/>
    </row>
    <row r="11" ht="15.3" spans="2:18">
      <c r="B11" s="4"/>
      <c r="C11" s="5" t="s">
        <v>9</v>
      </c>
      <c r="D11" s="12">
        <v>2</v>
      </c>
      <c r="E11" s="5"/>
      <c r="F11" s="7"/>
      <c r="G11" s="5" t="s">
        <v>10</v>
      </c>
      <c r="H11" s="11">
        <v>6.8</v>
      </c>
      <c r="I11" s="5"/>
      <c r="J11" s="7"/>
      <c r="K11" s="5" t="s">
        <v>11</v>
      </c>
      <c r="L11" s="25">
        <v>3</v>
      </c>
      <c r="M11" s="26"/>
      <c r="N11" s="26"/>
      <c r="O11" s="26"/>
      <c r="P11" s="26"/>
      <c r="Q11" s="32"/>
      <c r="R11" s="31"/>
    </row>
    <row r="12" ht="15.3" spans="2:18">
      <c r="B12" s="4"/>
      <c r="C12" s="5" t="s">
        <v>12</v>
      </c>
      <c r="D12" s="13">
        <v>0.01</v>
      </c>
      <c r="E12" s="5"/>
      <c r="F12" s="7"/>
      <c r="G12" s="5" t="s">
        <v>13</v>
      </c>
      <c r="H12" s="12">
        <v>2</v>
      </c>
      <c r="I12" s="5"/>
      <c r="J12" s="7"/>
      <c r="K12" s="5" t="s">
        <v>14</v>
      </c>
      <c r="L12" s="25">
        <v>0</v>
      </c>
      <c r="M12" s="26"/>
      <c r="N12" s="26"/>
      <c r="O12" s="26"/>
      <c r="P12" s="26"/>
      <c r="Q12" s="32"/>
      <c r="R12" s="31"/>
    </row>
    <row r="13" ht="15.3" spans="2:18">
      <c r="B13" s="4"/>
      <c r="C13" s="5" t="s">
        <v>15</v>
      </c>
      <c r="D13" s="13">
        <v>0.09</v>
      </c>
      <c r="E13" s="5"/>
      <c r="F13" s="7"/>
      <c r="G13" s="5" t="s">
        <v>16</v>
      </c>
      <c r="H13" s="14">
        <f>((H9+H10)/H11+H12)/0.85</f>
        <v>3.39100346020761</v>
      </c>
      <c r="I13" s="5"/>
      <c r="J13" s="7"/>
      <c r="K13" s="5" t="s">
        <v>17</v>
      </c>
      <c r="L13" s="25">
        <v>1</v>
      </c>
      <c r="M13" s="26"/>
      <c r="N13" s="26"/>
      <c r="O13" s="26"/>
      <c r="P13" s="26"/>
      <c r="Q13" s="32"/>
      <c r="R13" s="31"/>
    </row>
    <row r="14" ht="15.3" spans="2:18">
      <c r="B14" s="4"/>
      <c r="C14" s="5" t="s">
        <v>18</v>
      </c>
      <c r="D14" s="15">
        <f>D10/D11/D12</f>
        <v>200</v>
      </c>
      <c r="E14" s="5"/>
      <c r="F14" s="7"/>
      <c r="G14" s="5" t="s">
        <v>19</v>
      </c>
      <c r="H14" s="12">
        <v>2</v>
      </c>
      <c r="I14" s="5"/>
      <c r="J14" s="7"/>
      <c r="K14" s="5" t="s">
        <v>20</v>
      </c>
      <c r="L14" s="27">
        <f>Q14</f>
        <v>3.625</v>
      </c>
      <c r="M14" s="27">
        <f>Q14</f>
        <v>3.625</v>
      </c>
      <c r="N14" s="27">
        <f>Q14</f>
        <v>3.625</v>
      </c>
      <c r="O14" s="27">
        <f>Q14</f>
        <v>3.625</v>
      </c>
      <c r="P14" s="27">
        <f>Q14</f>
        <v>3.625</v>
      </c>
      <c r="Q14" s="33">
        <f>IFERROR((L9*5+L10*4+L11*3+L12*2+L13*1)/SUM(L9:Q13),"数据有误")</f>
        <v>3.625</v>
      </c>
      <c r="R14" s="31"/>
    </row>
    <row r="15" ht="14.25" customHeight="1" spans="2:18">
      <c r="B15" s="4"/>
      <c r="C15" s="5"/>
      <c r="D15" s="16" t="str">
        <f>IF(D14&lt;=D13,"推荐","不推荐")</f>
        <v>不推荐</v>
      </c>
      <c r="E15" s="5"/>
      <c r="F15" s="7"/>
      <c r="G15" s="5" t="s">
        <v>21</v>
      </c>
      <c r="H15" s="17">
        <f>(H14*0.85-H12)*H11-H10-H9</f>
        <v>-8.04</v>
      </c>
      <c r="I15" s="5"/>
      <c r="J15" s="7"/>
      <c r="K15" s="5" t="s">
        <v>22</v>
      </c>
      <c r="L15" s="28">
        <f>Q15</f>
        <v>3.8</v>
      </c>
      <c r="M15" s="27">
        <f>Q15</f>
        <v>3.8</v>
      </c>
      <c r="N15" s="28">
        <f>Q15</f>
        <v>3.8</v>
      </c>
      <c r="O15" s="28">
        <f>Q15</f>
        <v>3.8</v>
      </c>
      <c r="P15" s="28">
        <f>Q15</f>
        <v>3.8</v>
      </c>
      <c r="Q15" s="34">
        <v>3.8</v>
      </c>
      <c r="R15" s="31"/>
    </row>
    <row r="16" ht="15.3" spans="2:18">
      <c r="B16" s="4"/>
      <c r="C16" s="5"/>
      <c r="D16" s="18"/>
      <c r="E16" s="5"/>
      <c r="F16" s="7"/>
      <c r="G16" s="5" t="s">
        <v>15</v>
      </c>
      <c r="H16" s="19">
        <f>H15/H11/H14</f>
        <v>-0.591176470588235</v>
      </c>
      <c r="I16" s="5"/>
      <c r="J16" s="7"/>
      <c r="K16" s="5" t="s">
        <v>23</v>
      </c>
      <c r="L16" s="29"/>
      <c r="M16" s="29"/>
      <c r="N16" s="29"/>
      <c r="O16" s="29"/>
      <c r="P16" s="29"/>
      <c r="Q16" s="29">
        <f>IF(Q15&gt;Q14,IFERROR((Q15*SUM(L10:L13)-L10*4-L11*3-L12*2-L13*1)/(5-Q15)-L9,"数据有误"),"不需要")</f>
        <v>1.16666666666667</v>
      </c>
      <c r="R16" s="31"/>
    </row>
    <row r="17" spans="2:18"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31"/>
    </row>
    <row r="18" spans="2:18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31"/>
    </row>
    <row r="19" spans="2:18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31"/>
    </row>
    <row r="20" ht="14.55" spans="2:18"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35"/>
    </row>
    <row r="22" ht="14.4" spans="18:18">
      <c r="R22" s="36" t="s">
        <v>24</v>
      </c>
    </row>
    <row r="23" spans="17:17">
      <c r="Q23" s="1" t="s">
        <v>25</v>
      </c>
    </row>
  </sheetData>
  <sheetProtection selectLockedCells="1"/>
  <mergeCells count="6">
    <mergeCell ref="L9:Q9"/>
    <mergeCell ref="L10:Q10"/>
    <mergeCell ref="L11:Q11"/>
    <mergeCell ref="L12:Q12"/>
    <mergeCell ref="L13:Q13"/>
    <mergeCell ref="D15:D16"/>
  </mergeCells>
  <conditionalFormatting sqref="L9">
    <cfRule type="dataBar" priority="6">
      <dataBar>
        <cfvo type="num" val="0"/>
        <cfvo type="num" val="SUM($L$9:$L$13)"/>
        <color rgb="FF638EC6"/>
      </dataBar>
      <extLst>
        <ext xmlns:x14="http://schemas.microsoft.com/office/spreadsheetml/2009/9/main" uri="{B025F937-C7B1-47D3-B67F-A62EFF666E3E}">
          <x14:id>{6c3230f9-ef39-4df9-9466-617173c4a959}</x14:id>
        </ext>
      </extLst>
    </cfRule>
    <cfRule type="dataBar" priority="5">
      <dataBar>
        <cfvo type="num" val="0"/>
        <cfvo type="num" val="SUM($L$9:$L$13)"/>
        <color rgb="FFFFC000"/>
      </dataBar>
      <extLst>
        <ext xmlns:x14="http://schemas.microsoft.com/office/spreadsheetml/2009/9/main" uri="{B025F937-C7B1-47D3-B67F-A62EFF666E3E}">
          <x14:id>{47c2eeb2-d615-4ac3-90b4-f4789af8b9fd}</x14:id>
        </ext>
      </extLst>
    </cfRule>
  </conditionalFormatting>
  <conditionalFormatting sqref="Q9">
    <cfRule type="containsText" dxfId="0" priority="4" operator="between" text="有误">
      <formula>NOT(ISERROR(SEARCH("有误",Q9)))</formula>
    </cfRule>
  </conditionalFormatting>
  <conditionalFormatting sqref="L10">
    <cfRule type="dataBar" priority="3">
      <dataBar>
        <cfvo type="num" val="0"/>
        <cfvo type="num" val="SUM($L$9:$L$13)"/>
        <color rgb="FF638EC6"/>
      </dataBar>
      <extLst>
        <ext xmlns:x14="http://schemas.microsoft.com/office/spreadsheetml/2009/9/main" uri="{B025F937-C7B1-47D3-B67F-A62EFF666E3E}">
          <x14:id>{0df899d9-4d55-4c1d-9975-50301987b7a8}</x14:id>
        </ext>
      </extLst>
    </cfRule>
    <cfRule type="dataBar" priority="2">
      <dataBar>
        <cfvo type="num" val="0"/>
        <cfvo type="num" val="SUM($L$9:$L$13)"/>
        <color rgb="FFFFC000"/>
      </dataBar>
      <extLst>
        <ext xmlns:x14="http://schemas.microsoft.com/office/spreadsheetml/2009/9/main" uri="{B025F937-C7B1-47D3-B67F-A62EFF666E3E}">
          <x14:id>{df99f6af-65ef-4f96-b930-2b9fb9ee18d8}</x14:id>
        </ext>
      </extLst>
    </cfRule>
  </conditionalFormatting>
  <conditionalFormatting sqref="Q10">
    <cfRule type="containsText" dxfId="0" priority="1" operator="between" text="有误">
      <formula>NOT(ISERROR(SEARCH("有误",Q10)))</formula>
    </cfRule>
  </conditionalFormatting>
  <conditionalFormatting sqref="L12">
    <cfRule type="dataBar" priority="9">
      <dataBar>
        <cfvo type="num" val="0"/>
        <cfvo type="num" val="SUM($L$9:$L$13)"/>
        <color rgb="FF638EC6"/>
      </dataBar>
      <extLst>
        <ext xmlns:x14="http://schemas.microsoft.com/office/spreadsheetml/2009/9/main" uri="{B025F937-C7B1-47D3-B67F-A62EFF666E3E}">
          <x14:id>{98aa8b26-4663-4d54-8a36-16ad9c194585}</x14:id>
        </ext>
      </extLst>
    </cfRule>
    <cfRule type="dataBar" priority="8">
      <dataBar>
        <cfvo type="num" val="0"/>
        <cfvo type="num" val="SUM($L$9:$L$13)"/>
        <color rgb="FFFFC000"/>
      </dataBar>
      <extLst>
        <ext xmlns:x14="http://schemas.microsoft.com/office/spreadsheetml/2009/9/main" uri="{B025F937-C7B1-47D3-B67F-A62EFF666E3E}">
          <x14:id>{3d4ada28-825e-4956-97ef-b994ca3d6e52}</x14:id>
        </ext>
      </extLst>
    </cfRule>
  </conditionalFormatting>
  <conditionalFormatting sqref="Q12">
    <cfRule type="containsText" dxfId="0" priority="7" operator="between" text="有误">
      <formula>NOT(ISERROR(SEARCH("有误",Q12)))</formula>
    </cfRule>
  </conditionalFormatting>
  <conditionalFormatting sqref="D15">
    <cfRule type="cellIs" dxfId="1" priority="28" operator="equal">
      <formula>"推荐"</formula>
    </cfRule>
    <cfRule type="cellIs" dxfId="2" priority="27" operator="equal">
      <formula>"不推荐"</formula>
    </cfRule>
  </conditionalFormatting>
  <conditionalFormatting sqref="Q16">
    <cfRule type="cellIs" dxfId="3" priority="13" operator="equal">
      <formula>"不需要"</formula>
    </cfRule>
  </conditionalFormatting>
  <conditionalFormatting sqref="Q1:Q8 Q14:Q1048576">
    <cfRule type="containsText" dxfId="0" priority="14" operator="between" text="有误">
      <formula>NOT(ISERROR(SEARCH("有误",Q1)))</formula>
    </cfRule>
  </conditionalFormatting>
  <conditionalFormatting sqref="L11 L13">
    <cfRule type="dataBar" priority="12">
      <dataBar>
        <cfvo type="num" val="0"/>
        <cfvo type="num" val="SUM($L$9:$L$13)"/>
        <color rgb="FF638EC6"/>
      </dataBar>
      <extLst>
        <ext xmlns:x14="http://schemas.microsoft.com/office/spreadsheetml/2009/9/main" uri="{B025F937-C7B1-47D3-B67F-A62EFF666E3E}">
          <x14:id>{75e9689f-5dd5-4570-b445-213dbd5d1c9d}</x14:id>
        </ext>
      </extLst>
    </cfRule>
    <cfRule type="dataBar" priority="11">
      <dataBar>
        <cfvo type="num" val="0"/>
        <cfvo type="num" val="SUM($L$9:$L$13)"/>
        <color rgb="FFFFC000"/>
      </dataBar>
      <extLst>
        <ext xmlns:x14="http://schemas.microsoft.com/office/spreadsheetml/2009/9/main" uri="{B025F937-C7B1-47D3-B67F-A62EFF666E3E}">
          <x14:id>{4f22b9d8-15c5-46e2-a27e-8ce5ab22b844}</x14:id>
        </ext>
      </extLst>
    </cfRule>
  </conditionalFormatting>
  <conditionalFormatting sqref="Q11 Q13">
    <cfRule type="containsText" dxfId="0" priority="10" operator="between" text="有误">
      <formula>NOT(ISERROR(SEARCH("有误",Q11)))</formula>
    </cfRule>
  </conditionalFormatting>
  <conditionalFormatting sqref="L14:Q16">
    <cfRule type="containsText" dxfId="4" priority="26" operator="between" text="检查">
      <formula>NOT(ISERROR(SEARCH("检查",L14)))</formula>
    </cfRule>
  </conditionalFormatting>
  <pageMargins left="0.7" right="0.7" top="0.75" bottom="0.75" header="0.3" footer="0.3"/>
  <pageSetup paperSize="256" orientation="portrait" horizontalDpi="203" verticalDpi="203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3230f9-ef39-4df9-9466-617173c4a959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14:cfRule type="dataBar" id="{47c2eeb2-d615-4ac3-90b4-f4789af8b9fd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0df899d9-4d55-4c1d-9975-50301987b7a8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14:cfRule type="dataBar" id="{df99f6af-65ef-4f96-b930-2b9fb9ee18d8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98aa8b26-4663-4d54-8a36-16ad9c194585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14:cfRule type="dataBar" id="{3d4ada28-825e-4956-97ef-b994ca3d6e52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iconSet" priority="25" id="{941b21b6-1edc-48e7-a969-ad7c6db69986}">
            <x14:iconSet iconSet="3TrafficLights1" custom="1">
              <x14:cfvo type="percent">
                <xm:f>0</xm:f>
              </x14:cfvo>
              <x14:cfvo type="percent">
                <xm:f>33</xm:f>
              </x14:cfvo>
              <x14:cfvo type="num">
                <xm:f>$Q$14</xm:f>
              </x14:cfvo>
              <x14:cfIcon iconSet="3TrafficLights1" iconId="0"/>
              <x14:cfIcon iconSet="3TrafficLights1" iconId="1"/>
              <x14:cfIcon iconSet="3Stars" iconId="2"/>
            </x14:iconSet>
          </x14:cfRule>
          <x14:cfRule type="iconSet" priority="24" id="{9779f96d-31a4-4c30-8f03-848898a74317}">
            <x14:iconSet iconSet="3Stars">
              <x14:cfvo type="percent">
                <xm:f>0</xm:f>
              </x14:cfvo>
              <x14:cfvo type="percent">
                <xm:f>0.5</xm:f>
              </x14:cfvo>
              <x14:cfvo type="percent">
                <xm:f>1</xm:f>
              </x14:cfvo>
            </x14:iconSet>
          </x14:cfRule>
          <x14:cfRule type="iconSet" priority="23" id="{f492f85f-4968-44ff-830d-127e0afa30aa}">
            <x14:iconSet iconSet="3Stars">
              <x14:cfvo type="percent">
                <xm:f>0</xm:f>
              </x14:cfvo>
              <x14:cfvo type="num">
                <xm:f>0.5</xm:f>
              </x14:cfvo>
              <x14:cfvo type="num">
                <xm:f>1</xm:f>
              </x14:cfvo>
            </x14:iconSet>
          </x14:cfRule>
          <xm:sqref>L14</xm:sqref>
        </x14:conditionalFormatting>
        <x14:conditionalFormatting xmlns:xm="http://schemas.microsoft.com/office/excel/2006/main">
          <x14:cfRule type="iconSet" priority="19" id="{110e2721-baf5-4224-ba76-6dd04dacfd8b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14:cfRule type="iconSet" priority="18" id="{01087636-dad8-4aa3-9046-5c90c416f855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M14</xm:sqref>
        </x14:conditionalFormatting>
        <x14:conditionalFormatting xmlns:xm="http://schemas.microsoft.com/office/excel/2006/main">
          <x14:cfRule type="iconSet" priority="20" id="{731f7484-fadb-43b1-8ee2-2be85272519c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M15</xm:sqref>
        </x14:conditionalFormatting>
        <x14:conditionalFormatting xmlns:xm="http://schemas.microsoft.com/office/excel/2006/main">
          <x14:cfRule type="iconSet" priority="22" id="{1faea4e7-185a-4ad6-9689-97d8820fc9a8}">
            <x14:iconSet iconSet="3Stars">
              <x14:cfvo type="percent">
                <xm:f>0</xm:f>
              </x14:cfvo>
              <x14:cfvo type="num">
                <xm:f>0.3</xm:f>
              </x14:cfvo>
              <x14:cfvo type="num">
                <xm:f>0.7</xm:f>
              </x14:cfvo>
            </x14:iconSet>
          </x14:cfRule>
          <xm:sqref>L14:L15</xm:sqref>
        </x14:conditionalFormatting>
        <x14:conditionalFormatting xmlns:xm="http://schemas.microsoft.com/office/excel/2006/main">
          <x14:cfRule type="iconSet" priority="21" id="{cd46eddd-78af-45b5-9c99-929a7a994fd9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M14:M15</xm:sqref>
        </x14:conditionalFormatting>
        <x14:conditionalFormatting xmlns:xm="http://schemas.microsoft.com/office/excel/2006/main">
          <x14:cfRule type="iconSet" priority="17" id="{7f8707fb-b19a-4d57-bedc-2d0fbbf3df47}">
            <x14:iconSet iconSet="3Stars">
              <x14:cfvo type="percent">
                <xm:f>0</xm:f>
              </x14:cfvo>
              <x14:cfvo type="num">
                <xm:f>2.29999999999999</xm:f>
              </x14:cfvo>
              <x14:cfvo type="num">
                <xm:f>2.7</xm:f>
              </x14:cfvo>
            </x14:iconSet>
          </x14:cfRule>
          <xm:sqref>N14:N15</xm:sqref>
        </x14:conditionalFormatting>
        <x14:conditionalFormatting xmlns:xm="http://schemas.microsoft.com/office/excel/2006/main">
          <x14:cfRule type="iconSet" priority="16" id="{c540d078-64ee-4f2e-b63a-0d2d914f0650}">
            <x14:iconSet iconSet="3Stars">
              <x14:cfvo type="percent">
                <xm:f>0</xm:f>
              </x14:cfvo>
              <x14:cfvo type="num">
                <xm:f>3.3</xm:f>
              </x14:cfvo>
              <x14:cfvo type="num">
                <xm:f>3.7</xm:f>
              </x14:cfvo>
            </x14:iconSet>
          </x14:cfRule>
          <xm:sqref>O14:O15</xm:sqref>
        </x14:conditionalFormatting>
        <x14:conditionalFormatting xmlns:xm="http://schemas.microsoft.com/office/excel/2006/main">
          <x14:cfRule type="iconSet" priority="15" id="{37b921c8-c4f6-48e5-a24f-024b230f41ad}">
            <x14:iconSet iconSet="3Stars">
              <x14:cfvo type="percent">
                <xm:f>0</xm:f>
              </x14:cfvo>
              <x14:cfvo type="num">
                <xm:f>4.3</xm:f>
              </x14:cfvo>
              <x14:cfvo type="num">
                <xm:f>4.7</xm:f>
              </x14:cfvo>
            </x14:iconSet>
          </x14:cfRule>
          <xm:sqref>P14:P15</xm:sqref>
        </x14:conditionalFormatting>
        <x14:conditionalFormatting xmlns:xm="http://schemas.microsoft.com/office/excel/2006/main">
          <x14:cfRule type="dataBar" id="{75e9689f-5dd5-4570-b445-213dbd5d1c9d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14:cfRule type="dataBar" id="{4f22b9d8-15c5-46e2-a27e-8ce5ab22b844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m:sqref>L11 L13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工具箱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mymac</dc:creator>
  <cp:lastModifiedBy>Anywhere</cp:lastModifiedBy>
  <dcterms:created xsi:type="dcterms:W3CDTF">2023-05-18T17:43:00Z</dcterms:created>
  <dcterms:modified xsi:type="dcterms:W3CDTF">2025-07-11T00:27:03Z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00C255BD674242B48E88CF829FA294BA_13</vt:lpwstr>
  </property>
  <property fmtid="{D5CDD505-2E9C-101B-9397-08002B2CF9AE}" pid="3" name="KSOProductBuildVer">
    <vt:lpwstr>2052-12.1.0.21915</vt:lpwstr>
  </property>
</Properties>
</file>